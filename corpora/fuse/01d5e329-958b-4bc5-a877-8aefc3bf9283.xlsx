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90" yWindow="1680" windowWidth="20730" windowHeight="7875" activeTab="1"/>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NoMetricMessage">'Overall Metrics'!$X$3</definedName>
    <definedName name="NotAvailable">'Overall Metrics'!$X$2</definedName>
    <definedName name="ValidBooleansDefaultFalse">Misc!$F$2:$F$5</definedName>
    <definedName name="ValidEdgeStyles">Misc!$B$2:$B$11</definedName>
    <definedName name="ValidEdgeVisibilities">Misc!$A$2:$A$7</definedName>
    <definedName name="ValidGroupShapes">Misc!$E$2:$E$19</definedName>
    <definedName name="ValidVertexLabelPositions">Misc!$G$2:$G$21</definedName>
    <definedName name="ValidVertexShapes">Misc!$D$2:$D$23</definedName>
    <definedName name="ValidVertexVisibilities">Misc!$C$2:$C$9</definedName>
  </definedNames>
  <calcPr calcId="145621"/>
</workbook>
</file>

<file path=xl/calcChain.xml><?xml version="1.0" encoding="utf-8"?>
<calcChain xmlns="http://schemas.openxmlformats.org/spreadsheetml/2006/main">
  <c r="AF67" i="3" l="1"/>
  <c r="AA67" i="3" s="1"/>
  <c r="M90" i="1"/>
  <c r="M89" i="1"/>
  <c r="M88" i="1"/>
  <c r="M87" i="1"/>
  <c r="M86" i="1"/>
  <c r="M85" i="1"/>
  <c r="M84" i="1"/>
  <c r="M83"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AF4" i="3"/>
  <c r="AA4" i="3" s="1"/>
  <c r="AF5" i="3"/>
  <c r="AA5" i="3" s="1"/>
  <c r="AF6" i="3"/>
  <c r="AA6" i="3" s="1"/>
  <c r="AF7" i="3"/>
  <c r="AA7" i="3" s="1"/>
  <c r="AF8" i="3"/>
  <c r="AA8" i="3" s="1"/>
  <c r="AF9" i="3"/>
  <c r="AA9" i="3" s="1"/>
  <c r="AF10" i="3"/>
  <c r="AA10" i="3" s="1"/>
  <c r="AF13" i="3"/>
  <c r="AA13" i="3" s="1"/>
  <c r="AF14" i="3"/>
  <c r="AA14" i="3" s="1"/>
  <c r="AF17" i="3"/>
  <c r="AA17" i="3" s="1"/>
  <c r="AF19" i="3"/>
  <c r="AA19" i="3" s="1"/>
  <c r="AF20" i="3"/>
  <c r="AA20" i="3" s="1"/>
  <c r="AF22" i="3"/>
  <c r="AA22" i="3" s="1"/>
  <c r="AF23" i="3"/>
  <c r="AA23" i="3" s="1"/>
  <c r="AF25" i="3"/>
  <c r="AA25" i="3" s="1"/>
  <c r="AF27" i="3"/>
  <c r="AA27" i="3" s="1"/>
  <c r="AF28" i="3"/>
  <c r="AA28" i="3" s="1"/>
  <c r="AF29" i="3"/>
  <c r="AA29" i="3" s="1"/>
  <c r="AF30" i="3"/>
  <c r="AA30" i="3" s="1"/>
  <c r="AF31" i="3"/>
  <c r="AA31" i="3" s="1"/>
  <c r="AF32" i="3"/>
  <c r="AA32" i="3" s="1"/>
  <c r="AF33" i="3"/>
  <c r="AA33" i="3" s="1"/>
  <c r="AF34" i="3"/>
  <c r="AA34" i="3" s="1"/>
  <c r="AF35" i="3"/>
  <c r="AA35" i="3" s="1"/>
  <c r="AF36" i="3"/>
  <c r="AA36" i="3" s="1"/>
  <c r="AF38" i="3"/>
  <c r="AA38" i="3" s="1"/>
  <c r="AF39" i="3"/>
  <c r="AA39" i="3" s="1"/>
  <c r="AF40" i="3"/>
  <c r="AA40" i="3" s="1"/>
  <c r="AF41" i="3"/>
  <c r="AA41" i="3" s="1"/>
  <c r="AF42" i="3"/>
  <c r="AA42" i="3" s="1"/>
  <c r="AF44" i="3"/>
  <c r="AA44" i="3" s="1"/>
  <c r="AF45" i="3"/>
  <c r="AA45" i="3" s="1"/>
  <c r="AF46" i="3"/>
  <c r="AA46" i="3" s="1"/>
  <c r="AF47" i="3"/>
  <c r="AA47" i="3" s="1"/>
  <c r="AF48" i="3"/>
  <c r="AA48" i="3" s="1"/>
  <c r="AF49" i="3"/>
  <c r="AA49" i="3" s="1"/>
  <c r="AF50" i="3"/>
  <c r="AA50" i="3" s="1"/>
  <c r="AF51" i="3"/>
  <c r="AA51" i="3" s="1"/>
  <c r="AF52" i="3"/>
  <c r="AA52" i="3" s="1"/>
  <c r="AF54" i="3"/>
  <c r="AA54" i="3" s="1"/>
  <c r="AF55" i="3"/>
  <c r="AA55" i="3" s="1"/>
  <c r="AF56" i="3"/>
  <c r="AA56" i="3" s="1"/>
  <c r="AF57" i="3"/>
  <c r="AA57" i="3" s="1"/>
  <c r="AF58" i="3"/>
  <c r="AA58" i="3" s="1"/>
  <c r="AF60" i="3"/>
  <c r="AA60" i="3" s="1"/>
  <c r="AF62" i="3"/>
  <c r="AA62" i="3" s="1"/>
  <c r="AF63" i="3"/>
  <c r="AA63" i="3" s="1"/>
  <c r="AF64" i="3"/>
  <c r="AA64" i="3" s="1"/>
  <c r="AF65" i="3"/>
  <c r="AA65" i="3" s="1"/>
  <c r="AF66" i="3"/>
  <c r="AA66" i="3" s="1"/>
  <c r="AE61" i="3"/>
  <c r="AF61" i="3" s="1"/>
  <c r="AA61" i="3" s="1"/>
  <c r="AE59" i="3"/>
  <c r="AF59" i="3" s="1"/>
  <c r="AA59" i="3" s="1"/>
  <c r="AE53" i="3"/>
  <c r="AF53" i="3" s="1"/>
  <c r="AA53" i="3" s="1"/>
  <c r="AE24" i="3"/>
  <c r="AE21" i="3"/>
  <c r="AF21" i="3" s="1"/>
  <c r="AA21" i="3" s="1"/>
  <c r="AE18" i="3"/>
  <c r="AE15" i="3"/>
  <c r="AF15" i="3" s="1"/>
  <c r="AA15" i="3" s="1"/>
  <c r="AE12" i="3"/>
  <c r="AE11" i="3"/>
  <c r="AF11" i="3" s="1"/>
  <c r="AA11" i="3" s="1"/>
  <c r="AE16" i="3"/>
  <c r="AE26" i="3"/>
  <c r="AE3" i="3"/>
  <c r="AE43" i="3"/>
  <c r="AF43" i="3" s="1"/>
  <c r="AA43" i="3" s="1"/>
  <c r="AE37" i="3"/>
  <c r="B125" i="7"/>
  <c r="B124" i="7"/>
  <c r="B127" i="7"/>
  <c r="B126" i="7"/>
  <c r="P45" i="7"/>
  <c r="Q45" i="7" s="1"/>
  <c r="P2" i="7"/>
  <c r="B139" i="7"/>
  <c r="B138" i="7"/>
  <c r="B141" i="7"/>
  <c r="B140" i="7"/>
  <c r="R45" i="7"/>
  <c r="S45" i="7" s="1"/>
  <c r="R2" i="7"/>
  <c r="B111" i="7"/>
  <c r="B110" i="7"/>
  <c r="B113" i="7"/>
  <c r="B112" i="7"/>
  <c r="N45" i="7"/>
  <c r="O45" i="7" s="1"/>
  <c r="N2" i="7"/>
  <c r="B97" i="7"/>
  <c r="B96" i="7"/>
  <c r="B83" i="7"/>
  <c r="B82" i="7"/>
  <c r="B99" i="7"/>
  <c r="B98" i="7"/>
  <c r="L45" i="7"/>
  <c r="M45" i="7" s="1"/>
  <c r="L2" i="7"/>
  <c r="B69" i="7"/>
  <c r="B68" i="7"/>
  <c r="B55" i="7"/>
  <c r="B54" i="7"/>
  <c r="B85" i="7"/>
  <c r="B84" i="7"/>
  <c r="J45" i="7"/>
  <c r="K45" i="7" s="1"/>
  <c r="J2" i="7"/>
  <c r="B71" i="7"/>
  <c r="B70" i="7"/>
  <c r="H45" i="7"/>
  <c r="I45" i="7" s="1"/>
  <c r="H2" i="7"/>
  <c r="B57" i="7"/>
  <c r="B56" i="7"/>
  <c r="F45" i="7"/>
  <c r="G45" i="7" s="1"/>
  <c r="F2" i="7"/>
  <c r="B41" i="7"/>
  <c r="B40" i="7"/>
  <c r="B43" i="7"/>
  <c r="B42" i="7"/>
  <c r="AF37" i="3" l="1"/>
  <c r="AA37" i="3" s="1"/>
  <c r="AF24" i="3"/>
  <c r="AA24" i="3" s="1"/>
  <c r="AF16" i="3"/>
  <c r="AA16" i="3" s="1"/>
  <c r="AF12" i="3"/>
  <c r="AA12" i="3" s="1"/>
  <c r="AF26" i="3"/>
  <c r="AA26" i="3" s="1"/>
  <c r="AF18" i="3"/>
  <c r="AA18" i="3" s="1"/>
  <c r="AF3" i="3"/>
  <c r="X2" i="7"/>
  <c r="P3" i="7" s="1"/>
  <c r="P4" i="7" s="1"/>
  <c r="P5" i="7" s="1"/>
  <c r="P6" i="7" s="1"/>
  <c r="P7" i="7" s="1"/>
  <c r="P8" i="7" s="1"/>
  <c r="P9" i="7" s="1"/>
  <c r="P10" i="7" s="1"/>
  <c r="P11" i="7" s="1"/>
  <c r="P12" i="7" s="1"/>
  <c r="P13" i="7" s="1"/>
  <c r="P14" i="7" s="1"/>
  <c r="P15" i="7" s="1"/>
  <c r="P16" i="7" s="1"/>
  <c r="P17" i="7" s="1"/>
  <c r="P18" i="7" s="1"/>
  <c r="P19" i="7" s="1"/>
  <c r="P20" i="7" s="1"/>
  <c r="P21" i="7" s="1"/>
  <c r="P22" i="7" s="1"/>
  <c r="P23" i="7" s="1"/>
  <c r="P24" i="7" s="1"/>
  <c r="P25" i="7" s="1"/>
  <c r="P26" i="7" s="1"/>
  <c r="P27" i="7" s="1"/>
  <c r="P28" i="7" s="1"/>
  <c r="P29" i="7" s="1"/>
  <c r="P30" i="7" s="1"/>
  <c r="P31" i="7" s="1"/>
  <c r="P32" i="7" s="1"/>
  <c r="P33" i="7" s="1"/>
  <c r="P34" i="7" s="1"/>
  <c r="P35" i="7" s="1"/>
  <c r="P36" i="7" s="1"/>
  <c r="P37" i="7" s="1"/>
  <c r="P38" i="7" s="1"/>
  <c r="P39" i="7" s="1"/>
  <c r="P40" i="7" s="1"/>
  <c r="P41" i="7" s="1"/>
  <c r="P42" i="7" s="1"/>
  <c r="P43" i="7" s="1"/>
  <c r="P44" i="7" s="1"/>
  <c r="D45" i="7"/>
  <c r="E45" i="7" s="1"/>
  <c r="D2" i="7"/>
  <c r="T45" i="7"/>
  <c r="T2" i="7"/>
  <c r="U45" i="7"/>
  <c r="AA3" i="3" l="1"/>
  <c r="Q3" i="7"/>
  <c r="Q2" i="7"/>
  <c r="R3" i="7"/>
  <c r="R4" i="7" s="1"/>
  <c r="S3" i="7" s="1"/>
  <c r="T3" i="7"/>
  <c r="L3" i="7"/>
  <c r="M2" i="7" s="1"/>
  <c r="N3" i="7"/>
  <c r="H3" i="7"/>
  <c r="J3" i="7"/>
  <c r="D3" i="7"/>
  <c r="D4" i="7" s="1"/>
  <c r="E3" i="7" s="1"/>
  <c r="F3" i="7"/>
  <c r="U2" i="7"/>
  <c r="Q5" i="7" l="1"/>
  <c r="Q4" i="7"/>
  <c r="S2" i="7"/>
  <c r="T4" i="7"/>
  <c r="R5" i="7"/>
  <c r="S4" i="7" s="1"/>
  <c r="N4" i="7"/>
  <c r="O2" i="7"/>
  <c r="L4" i="7"/>
  <c r="L5" i="7" s="1"/>
  <c r="L6" i="7" s="1"/>
  <c r="L7" i="7" s="1"/>
  <c r="L8" i="7" s="1"/>
  <c r="L9" i="7" s="1"/>
  <c r="L10" i="7" s="1"/>
  <c r="L11" i="7" s="1"/>
  <c r="L12" i="7" s="1"/>
  <c r="L13" i="7" s="1"/>
  <c r="L14" i="7" s="1"/>
  <c r="L15" i="7" s="1"/>
  <c r="L16" i="7" s="1"/>
  <c r="L17" i="7" s="1"/>
  <c r="L18" i="7" s="1"/>
  <c r="L19" i="7" s="1"/>
  <c r="L20" i="7" s="1"/>
  <c r="L21" i="7" s="1"/>
  <c r="L22" i="7" s="1"/>
  <c r="L23" i="7" s="1"/>
  <c r="L24" i="7" s="1"/>
  <c r="L25" i="7" s="1"/>
  <c r="L26" i="7" s="1"/>
  <c r="L27" i="7" s="1"/>
  <c r="L28" i="7" s="1"/>
  <c r="L29" i="7" s="1"/>
  <c r="L30" i="7" s="1"/>
  <c r="L31" i="7" s="1"/>
  <c r="L32" i="7" s="1"/>
  <c r="L33" i="7" s="1"/>
  <c r="L34" i="7" s="1"/>
  <c r="L35" i="7" s="1"/>
  <c r="L36" i="7" s="1"/>
  <c r="L37" i="7" s="1"/>
  <c r="L38" i="7" s="1"/>
  <c r="L39" i="7" s="1"/>
  <c r="L40" i="7" s="1"/>
  <c r="L41" i="7" s="1"/>
  <c r="L42" i="7" s="1"/>
  <c r="L43" i="7" s="1"/>
  <c r="L44" i="7" s="1"/>
  <c r="I2" i="7"/>
  <c r="J4" i="7"/>
  <c r="K2" i="7"/>
  <c r="H4" i="7"/>
  <c r="H5" i="7" s="1"/>
  <c r="E2" i="7"/>
  <c r="F4" i="7"/>
  <c r="G2" i="7"/>
  <c r="D5" i="7"/>
  <c r="E4" i="7" s="1"/>
  <c r="U3" i="7"/>
  <c r="Q6" i="7" l="1"/>
  <c r="T5" i="7"/>
  <c r="M3" i="7"/>
  <c r="R6" i="7"/>
  <c r="S5" i="7" s="1"/>
  <c r="I3" i="7"/>
  <c r="N5" i="7"/>
  <c r="O3" i="7"/>
  <c r="M4" i="7"/>
  <c r="M5" i="7"/>
  <c r="M6" i="7"/>
  <c r="J5" i="7"/>
  <c r="K3" i="7"/>
  <c r="H6" i="7"/>
  <c r="I5" i="7" s="1"/>
  <c r="I4" i="7"/>
  <c r="F5" i="7"/>
  <c r="G3" i="7"/>
  <c r="D6" i="7"/>
  <c r="E5" i="7" s="1"/>
  <c r="U4" i="7"/>
  <c r="Q7" i="7" l="1"/>
  <c r="T6" i="7"/>
  <c r="R7" i="7"/>
  <c r="S6" i="7" s="1"/>
  <c r="N6" i="7"/>
  <c r="O4" i="7"/>
  <c r="M7" i="7"/>
  <c r="J6" i="7"/>
  <c r="K4" i="7"/>
  <c r="H7" i="7"/>
  <c r="I6" i="7" s="1"/>
  <c r="F6" i="7"/>
  <c r="G4" i="7"/>
  <c r="D7" i="7"/>
  <c r="E6" i="7" s="1"/>
  <c r="U5" i="7"/>
  <c r="T7" i="7" l="1"/>
  <c r="R8" i="7"/>
  <c r="N7" i="7"/>
  <c r="O5" i="7"/>
  <c r="M8" i="7"/>
  <c r="J7" i="7"/>
  <c r="K6" i="7" s="1"/>
  <c r="K5" i="7"/>
  <c r="H8" i="7"/>
  <c r="F7" i="7"/>
  <c r="G6" i="7" s="1"/>
  <c r="G5" i="7"/>
  <c r="D8" i="7"/>
  <c r="E7" i="7" s="1"/>
  <c r="U6" i="7"/>
  <c r="Q9" i="7" l="1"/>
  <c r="Q8" i="7"/>
  <c r="T8" i="7"/>
  <c r="R9" i="7"/>
  <c r="S7" i="7"/>
  <c r="N8" i="7"/>
  <c r="O6" i="7"/>
  <c r="M9" i="7"/>
  <c r="J8" i="7"/>
  <c r="K7" i="7" s="1"/>
  <c r="H9" i="7"/>
  <c r="I8" i="7" s="1"/>
  <c r="I7" i="7"/>
  <c r="F8" i="7"/>
  <c r="D9" i="7"/>
  <c r="E8" i="7" s="1"/>
  <c r="U7" i="7"/>
  <c r="Q10" i="7" l="1"/>
  <c r="T9" i="7"/>
  <c r="R10" i="7"/>
  <c r="S9" i="7" s="1"/>
  <c r="S8" i="7"/>
  <c r="N9" i="7"/>
  <c r="O8" i="7" s="1"/>
  <c r="O7" i="7"/>
  <c r="M10" i="7"/>
  <c r="J9" i="7"/>
  <c r="K8" i="7" s="1"/>
  <c r="H10" i="7"/>
  <c r="I9" i="7" s="1"/>
  <c r="F9" i="7"/>
  <c r="G8" i="7" s="1"/>
  <c r="G7" i="7"/>
  <c r="D10" i="7"/>
  <c r="E9" i="7" s="1"/>
  <c r="U8" i="7"/>
  <c r="Q11" i="7" l="1"/>
  <c r="T10" i="7"/>
  <c r="R11" i="7"/>
  <c r="S10" i="7" s="1"/>
  <c r="N10" i="7"/>
  <c r="O9" i="7" s="1"/>
  <c r="M11" i="7"/>
  <c r="J10" i="7"/>
  <c r="K9" i="7" s="1"/>
  <c r="H11" i="7"/>
  <c r="I10" i="7" s="1"/>
  <c r="F10" i="7"/>
  <c r="G9" i="7" s="1"/>
  <c r="D11" i="7"/>
  <c r="E10" i="7" s="1"/>
  <c r="U9" i="7"/>
  <c r="Q12" i="7" l="1"/>
  <c r="T11" i="7"/>
  <c r="R12" i="7"/>
  <c r="S11" i="7" s="1"/>
  <c r="N11" i="7"/>
  <c r="O10" i="7" s="1"/>
  <c r="M12" i="7"/>
  <c r="J11" i="7"/>
  <c r="K10" i="7" s="1"/>
  <c r="H12" i="7"/>
  <c r="I11" i="7" s="1"/>
  <c r="F11" i="7"/>
  <c r="G10" i="7" s="1"/>
  <c r="D12" i="7"/>
  <c r="E11" i="7" s="1"/>
  <c r="U10" i="7"/>
  <c r="Q13" i="7" l="1"/>
  <c r="T12" i="7"/>
  <c r="R13" i="7"/>
  <c r="S12" i="7" s="1"/>
  <c r="N12" i="7"/>
  <c r="O11" i="7" s="1"/>
  <c r="M13" i="7"/>
  <c r="J12" i="7"/>
  <c r="K11" i="7" s="1"/>
  <c r="H13" i="7"/>
  <c r="I12" i="7" s="1"/>
  <c r="F12" i="7"/>
  <c r="G11" i="7" s="1"/>
  <c r="D13" i="7"/>
  <c r="E12" i="7" s="1"/>
  <c r="U11" i="7"/>
  <c r="Q14" i="7" l="1"/>
  <c r="T13" i="7"/>
  <c r="R14" i="7"/>
  <c r="S13" i="7" s="1"/>
  <c r="N13" i="7"/>
  <c r="O12" i="7" s="1"/>
  <c r="M14" i="7"/>
  <c r="J13" i="7"/>
  <c r="K12" i="7" s="1"/>
  <c r="H14" i="7"/>
  <c r="I13" i="7" s="1"/>
  <c r="F13" i="7"/>
  <c r="G12" i="7" s="1"/>
  <c r="D14" i="7"/>
  <c r="E13" i="7" s="1"/>
  <c r="U12" i="7"/>
  <c r="Q15" i="7" l="1"/>
  <c r="T14" i="7"/>
  <c r="R15" i="7"/>
  <c r="N14" i="7"/>
  <c r="O13" i="7" s="1"/>
  <c r="M15" i="7"/>
  <c r="J14" i="7"/>
  <c r="K13" i="7" s="1"/>
  <c r="H15" i="7"/>
  <c r="I14" i="7" s="1"/>
  <c r="F14" i="7"/>
  <c r="G13" i="7" s="1"/>
  <c r="D15" i="7"/>
  <c r="E14" i="7" s="1"/>
  <c r="U13" i="7"/>
  <c r="Q16" i="7" l="1"/>
  <c r="T15" i="7"/>
  <c r="R16" i="7"/>
  <c r="S15" i="7" s="1"/>
  <c r="S14" i="7"/>
  <c r="N15" i="7"/>
  <c r="O14" i="7" s="1"/>
  <c r="M16" i="7"/>
  <c r="J15" i="7"/>
  <c r="K14" i="7" s="1"/>
  <c r="H16" i="7"/>
  <c r="I15" i="7" s="1"/>
  <c r="F15" i="7"/>
  <c r="G14" i="7" s="1"/>
  <c r="D16" i="7"/>
  <c r="E15" i="7" s="1"/>
  <c r="U14" i="7"/>
  <c r="Q17" i="7" l="1"/>
  <c r="T16" i="7"/>
  <c r="R17" i="7"/>
  <c r="N16" i="7"/>
  <c r="O15" i="7" s="1"/>
  <c r="M17" i="7"/>
  <c r="J16" i="7"/>
  <c r="K15" i="7" s="1"/>
  <c r="H17" i="7"/>
  <c r="I16" i="7" s="1"/>
  <c r="F16" i="7"/>
  <c r="G15" i="7" s="1"/>
  <c r="D17" i="7"/>
  <c r="E16" i="7" s="1"/>
  <c r="U15" i="7"/>
  <c r="Q18" i="7" l="1"/>
  <c r="T17" i="7"/>
  <c r="R18" i="7"/>
  <c r="S16" i="7"/>
  <c r="N17" i="7"/>
  <c r="O16" i="7" s="1"/>
  <c r="M18" i="7"/>
  <c r="J17" i="7"/>
  <c r="K16" i="7" s="1"/>
  <c r="H18" i="7"/>
  <c r="I17" i="7" s="1"/>
  <c r="F17" i="7"/>
  <c r="G16" i="7" s="1"/>
  <c r="D18" i="7"/>
  <c r="E17" i="7" s="1"/>
  <c r="U16" i="7"/>
  <c r="Q19" i="7" l="1"/>
  <c r="T18" i="7"/>
  <c r="R19" i="7"/>
  <c r="S18" i="7" s="1"/>
  <c r="S17" i="7"/>
  <c r="N18" i="7"/>
  <c r="O17" i="7" s="1"/>
  <c r="M19" i="7"/>
  <c r="J18" i="7"/>
  <c r="K17" i="7" s="1"/>
  <c r="H19" i="7"/>
  <c r="I18" i="7" s="1"/>
  <c r="F18" i="7"/>
  <c r="G17" i="7" s="1"/>
  <c r="D19" i="7"/>
  <c r="E18" i="7" s="1"/>
  <c r="U17" i="7"/>
  <c r="Q20" i="7" l="1"/>
  <c r="T19" i="7"/>
  <c r="R20" i="7"/>
  <c r="S19" i="7" s="1"/>
  <c r="N19" i="7"/>
  <c r="O18" i="7" s="1"/>
  <c r="M20" i="7"/>
  <c r="J19" i="7"/>
  <c r="K18" i="7" s="1"/>
  <c r="H20" i="7"/>
  <c r="I19" i="7" s="1"/>
  <c r="F19" i="7"/>
  <c r="G18" i="7" s="1"/>
  <c r="D20" i="7"/>
  <c r="E19" i="7" s="1"/>
  <c r="U18" i="7"/>
  <c r="Q21" i="7" l="1"/>
  <c r="T20" i="7"/>
  <c r="R21" i="7"/>
  <c r="S20" i="7" s="1"/>
  <c r="N20" i="7"/>
  <c r="O19" i="7" s="1"/>
  <c r="M21" i="7"/>
  <c r="J20" i="7"/>
  <c r="K19" i="7" s="1"/>
  <c r="H21" i="7"/>
  <c r="I20" i="7" s="1"/>
  <c r="F20" i="7"/>
  <c r="G19" i="7" s="1"/>
  <c r="D21" i="7"/>
  <c r="E20" i="7" s="1"/>
  <c r="U19" i="7"/>
  <c r="T21" i="7" l="1"/>
  <c r="R22" i="7"/>
  <c r="S21" i="7" s="1"/>
  <c r="N21" i="7"/>
  <c r="O20" i="7" s="1"/>
  <c r="M22" i="7"/>
  <c r="J21" i="7"/>
  <c r="K20" i="7" s="1"/>
  <c r="H22" i="7"/>
  <c r="I21" i="7" s="1"/>
  <c r="F21" i="7"/>
  <c r="G20" i="7" s="1"/>
  <c r="D22" i="7"/>
  <c r="E21" i="7" s="1"/>
  <c r="U20" i="7"/>
  <c r="Q22" i="7" l="1"/>
  <c r="T22" i="7"/>
  <c r="R23" i="7"/>
  <c r="S22" i="7" s="1"/>
  <c r="N22" i="7"/>
  <c r="O21" i="7" s="1"/>
  <c r="M23" i="7"/>
  <c r="J22" i="7"/>
  <c r="K21" i="7" s="1"/>
  <c r="H23" i="7"/>
  <c r="I22" i="7" s="1"/>
  <c r="F22" i="7"/>
  <c r="G21" i="7" s="1"/>
  <c r="D23" i="7"/>
  <c r="E22" i="7" s="1"/>
  <c r="U21" i="7"/>
  <c r="Q23" i="7" l="1"/>
  <c r="T23" i="7"/>
  <c r="R24" i="7"/>
  <c r="S23" i="7" s="1"/>
  <c r="N23" i="7"/>
  <c r="O22" i="7" s="1"/>
  <c r="M24" i="7"/>
  <c r="J23" i="7"/>
  <c r="K22" i="7" s="1"/>
  <c r="H24" i="7"/>
  <c r="I23" i="7" s="1"/>
  <c r="F23" i="7"/>
  <c r="G22" i="7" s="1"/>
  <c r="D24" i="7"/>
  <c r="E23" i="7" s="1"/>
  <c r="U22" i="7"/>
  <c r="Q24" i="7" l="1"/>
  <c r="T24" i="7"/>
  <c r="R25" i="7"/>
  <c r="S24" i="7" s="1"/>
  <c r="N24" i="7"/>
  <c r="O23" i="7" s="1"/>
  <c r="M25" i="7"/>
  <c r="J24" i="7"/>
  <c r="K23" i="7" s="1"/>
  <c r="H25" i="7"/>
  <c r="I24" i="7" s="1"/>
  <c r="F24" i="7"/>
  <c r="G23" i="7" s="1"/>
  <c r="D25" i="7"/>
  <c r="E24" i="7" s="1"/>
  <c r="U23" i="7"/>
  <c r="Q25" i="7" l="1"/>
  <c r="T25" i="7"/>
  <c r="R26" i="7"/>
  <c r="S25" i="7" s="1"/>
  <c r="N25" i="7"/>
  <c r="O24" i="7" s="1"/>
  <c r="M26" i="7"/>
  <c r="J25" i="7"/>
  <c r="K24" i="7" s="1"/>
  <c r="H26" i="7"/>
  <c r="I25" i="7" s="1"/>
  <c r="F25" i="7"/>
  <c r="G24" i="7" s="1"/>
  <c r="D26" i="7"/>
  <c r="E25" i="7" s="1"/>
  <c r="U24" i="7"/>
  <c r="Q26" i="7" l="1"/>
  <c r="T26" i="7"/>
  <c r="R27" i="7"/>
  <c r="S26" i="7" s="1"/>
  <c r="N26" i="7"/>
  <c r="O25" i="7" s="1"/>
  <c r="M27" i="7"/>
  <c r="J26" i="7"/>
  <c r="K25" i="7" s="1"/>
  <c r="H27" i="7"/>
  <c r="I26" i="7" s="1"/>
  <c r="F26" i="7"/>
  <c r="G25" i="7" s="1"/>
  <c r="D27" i="7"/>
  <c r="E26" i="7" s="1"/>
  <c r="U25" i="7"/>
  <c r="Q27" i="7" l="1"/>
  <c r="T27" i="7"/>
  <c r="R28" i="7"/>
  <c r="S27" i="7" s="1"/>
  <c r="N27" i="7"/>
  <c r="O26" i="7" s="1"/>
  <c r="M28" i="7"/>
  <c r="J27" i="7"/>
  <c r="K26" i="7" s="1"/>
  <c r="H28" i="7"/>
  <c r="I27" i="7" s="1"/>
  <c r="F27" i="7"/>
  <c r="G26" i="7" s="1"/>
  <c r="D28" i="7"/>
  <c r="E27" i="7" s="1"/>
  <c r="U26" i="7"/>
  <c r="Q28" i="7" l="1"/>
  <c r="T28" i="7"/>
  <c r="R29" i="7"/>
  <c r="S28" i="7" s="1"/>
  <c r="N28" i="7"/>
  <c r="O27" i="7" s="1"/>
  <c r="M29" i="7"/>
  <c r="J28" i="7"/>
  <c r="K27" i="7" s="1"/>
  <c r="H29" i="7"/>
  <c r="I28" i="7" s="1"/>
  <c r="F28" i="7"/>
  <c r="G27" i="7" s="1"/>
  <c r="D29" i="7"/>
  <c r="E28" i="7" s="1"/>
  <c r="U27" i="7"/>
  <c r="Q29" i="7" l="1"/>
  <c r="T29" i="7"/>
  <c r="R30" i="7"/>
  <c r="N29" i="7"/>
  <c r="O28" i="7" s="1"/>
  <c r="M30" i="7"/>
  <c r="J29" i="7"/>
  <c r="K28" i="7" s="1"/>
  <c r="H30" i="7"/>
  <c r="I29" i="7" s="1"/>
  <c r="F29" i="7"/>
  <c r="G28" i="7" s="1"/>
  <c r="D30" i="7"/>
  <c r="E29" i="7" s="1"/>
  <c r="U28" i="7"/>
  <c r="Q30" i="7" l="1"/>
  <c r="T30" i="7"/>
  <c r="R31" i="7"/>
  <c r="S30" i="7" s="1"/>
  <c r="S29" i="7"/>
  <c r="N30" i="7"/>
  <c r="O29" i="7" s="1"/>
  <c r="M31" i="7"/>
  <c r="J30" i="7"/>
  <c r="K29" i="7" s="1"/>
  <c r="H31" i="7"/>
  <c r="I30" i="7" s="1"/>
  <c r="F30" i="7"/>
  <c r="G29" i="7" s="1"/>
  <c r="D31" i="7"/>
  <c r="E30" i="7" s="1"/>
  <c r="U29" i="7"/>
  <c r="Q31" i="7" l="1"/>
  <c r="T31" i="7"/>
  <c r="R32" i="7"/>
  <c r="S31" i="7" s="1"/>
  <c r="N31" i="7"/>
  <c r="O30" i="7" s="1"/>
  <c r="M32" i="7"/>
  <c r="J31" i="7"/>
  <c r="K30" i="7" s="1"/>
  <c r="H32" i="7"/>
  <c r="I31" i="7" s="1"/>
  <c r="F31" i="7"/>
  <c r="G30" i="7" s="1"/>
  <c r="D32" i="7"/>
  <c r="E31" i="7" s="1"/>
  <c r="U30" i="7"/>
  <c r="Q32" i="7" l="1"/>
  <c r="T32" i="7"/>
  <c r="R33" i="7"/>
  <c r="N32" i="7"/>
  <c r="O31" i="7" s="1"/>
  <c r="M33" i="7"/>
  <c r="J32" i="7"/>
  <c r="K31" i="7" s="1"/>
  <c r="H33" i="7"/>
  <c r="I32" i="7" s="1"/>
  <c r="F32" i="7"/>
  <c r="G31" i="7" s="1"/>
  <c r="D33" i="7"/>
  <c r="E32" i="7" s="1"/>
  <c r="U31" i="7"/>
  <c r="Q33" i="7" l="1"/>
  <c r="T33" i="7"/>
  <c r="R34" i="7"/>
  <c r="S33" i="7" s="1"/>
  <c r="S32" i="7"/>
  <c r="N33" i="7"/>
  <c r="O32" i="7" s="1"/>
  <c r="M34" i="7"/>
  <c r="J33" i="7"/>
  <c r="K32" i="7" s="1"/>
  <c r="H34" i="7"/>
  <c r="I33" i="7" s="1"/>
  <c r="F33" i="7"/>
  <c r="G32" i="7" s="1"/>
  <c r="D34" i="7"/>
  <c r="E33" i="7" s="1"/>
  <c r="U32" i="7"/>
  <c r="Q34" i="7" l="1"/>
  <c r="T34" i="7"/>
  <c r="R35" i="7"/>
  <c r="S34" i="7" s="1"/>
  <c r="N34" i="7"/>
  <c r="O33" i="7" s="1"/>
  <c r="M35" i="7"/>
  <c r="J34" i="7"/>
  <c r="K33" i="7" s="1"/>
  <c r="H35" i="7"/>
  <c r="I34" i="7" s="1"/>
  <c r="F34" i="7"/>
  <c r="G33" i="7" s="1"/>
  <c r="D35" i="7"/>
  <c r="E34" i="7" s="1"/>
  <c r="U33" i="7"/>
  <c r="Q35" i="7" l="1"/>
  <c r="T35" i="7"/>
  <c r="R36" i="7"/>
  <c r="S35" i="7" s="1"/>
  <c r="N35" i="7"/>
  <c r="O34" i="7" s="1"/>
  <c r="M36" i="7"/>
  <c r="J35" i="7"/>
  <c r="K34" i="7" s="1"/>
  <c r="H36" i="7"/>
  <c r="I35" i="7" s="1"/>
  <c r="F35" i="7"/>
  <c r="G34" i="7" s="1"/>
  <c r="D36" i="7"/>
  <c r="E35" i="7" s="1"/>
  <c r="U34" i="7"/>
  <c r="Q36" i="7" l="1"/>
  <c r="T36" i="7"/>
  <c r="R37" i="7"/>
  <c r="S36" i="7" s="1"/>
  <c r="N36" i="7"/>
  <c r="O35" i="7" s="1"/>
  <c r="M37" i="7"/>
  <c r="J36" i="7"/>
  <c r="K35" i="7" s="1"/>
  <c r="H37" i="7"/>
  <c r="I36" i="7" s="1"/>
  <c r="F36" i="7"/>
  <c r="G35" i="7" s="1"/>
  <c r="D37" i="7"/>
  <c r="E36" i="7" s="1"/>
  <c r="U35" i="7"/>
  <c r="Q37" i="7" l="1"/>
  <c r="T37" i="7"/>
  <c r="R38" i="7"/>
  <c r="S37" i="7" s="1"/>
  <c r="N37" i="7"/>
  <c r="O36" i="7" s="1"/>
  <c r="M38" i="7"/>
  <c r="J37" i="7"/>
  <c r="K36" i="7" s="1"/>
  <c r="H38" i="7"/>
  <c r="I37" i="7" s="1"/>
  <c r="F37" i="7"/>
  <c r="G36" i="7" s="1"/>
  <c r="D38" i="7"/>
  <c r="E37" i="7" s="1"/>
  <c r="U36" i="7"/>
  <c r="Q38" i="7" l="1"/>
  <c r="T38" i="7"/>
  <c r="R39" i="7"/>
  <c r="S38" i="7" s="1"/>
  <c r="N38" i="7"/>
  <c r="O37" i="7" s="1"/>
  <c r="M39" i="7"/>
  <c r="J38" i="7"/>
  <c r="K37" i="7" s="1"/>
  <c r="H39" i="7"/>
  <c r="I38" i="7" s="1"/>
  <c r="F38" i="7"/>
  <c r="G37" i="7" s="1"/>
  <c r="D39" i="7"/>
  <c r="E38" i="7" s="1"/>
  <c r="U37" i="7"/>
  <c r="Q39" i="7" l="1"/>
  <c r="T39" i="7"/>
  <c r="R40" i="7"/>
  <c r="S39" i="7" s="1"/>
  <c r="N39" i="7"/>
  <c r="O38" i="7" s="1"/>
  <c r="M40" i="7"/>
  <c r="J39" i="7"/>
  <c r="K38" i="7" s="1"/>
  <c r="H40" i="7"/>
  <c r="I39" i="7" s="1"/>
  <c r="F39" i="7"/>
  <c r="G38" i="7" s="1"/>
  <c r="D40" i="7"/>
  <c r="E39" i="7" s="1"/>
  <c r="U38" i="7"/>
  <c r="Q40" i="7" l="1"/>
  <c r="T40" i="7"/>
  <c r="R41" i="7"/>
  <c r="S40" i="7" s="1"/>
  <c r="N40" i="7"/>
  <c r="O39" i="7" s="1"/>
  <c r="M41" i="7"/>
  <c r="J40" i="7"/>
  <c r="K39" i="7" s="1"/>
  <c r="H41" i="7"/>
  <c r="I40" i="7" s="1"/>
  <c r="F40" i="7"/>
  <c r="G39" i="7" s="1"/>
  <c r="D41" i="7"/>
  <c r="E40" i="7" s="1"/>
  <c r="U39" i="7"/>
  <c r="Q41" i="7" l="1"/>
  <c r="T41" i="7"/>
  <c r="R42" i="7"/>
  <c r="S41" i="7" s="1"/>
  <c r="N41" i="7"/>
  <c r="O40" i="7" s="1"/>
  <c r="M42" i="7"/>
  <c r="J41" i="7"/>
  <c r="K40" i="7" s="1"/>
  <c r="H42" i="7"/>
  <c r="I41" i="7" s="1"/>
  <c r="F41" i="7"/>
  <c r="G40" i="7" s="1"/>
  <c r="D42" i="7"/>
  <c r="E41" i="7" s="1"/>
  <c r="U40" i="7"/>
  <c r="Q44" i="7" l="1"/>
  <c r="Q42" i="7"/>
  <c r="T42" i="7"/>
  <c r="R43" i="7"/>
  <c r="S42" i="7" s="1"/>
  <c r="N42" i="7"/>
  <c r="O41" i="7" s="1"/>
  <c r="M43" i="7"/>
  <c r="M44" i="7"/>
  <c r="J42" i="7"/>
  <c r="K41" i="7" s="1"/>
  <c r="H43" i="7"/>
  <c r="I42" i="7" s="1"/>
  <c r="F42" i="7"/>
  <c r="G41" i="7" s="1"/>
  <c r="D43" i="7"/>
  <c r="E42" i="7" s="1"/>
  <c r="U41" i="7"/>
  <c r="Q43" i="7" l="1"/>
  <c r="T43" i="7"/>
  <c r="R44" i="7"/>
  <c r="S44" i="7" s="1"/>
  <c r="N43" i="7"/>
  <c r="O42" i="7" s="1"/>
  <c r="J43" i="7"/>
  <c r="K42" i="7" s="1"/>
  <c r="H44" i="7"/>
  <c r="I44" i="7" s="1"/>
  <c r="F43" i="7"/>
  <c r="G42" i="7" s="1"/>
  <c r="D44" i="7"/>
  <c r="E44" i="7" s="1"/>
  <c r="U42" i="7"/>
  <c r="S43" i="7" l="1"/>
  <c r="T44" i="7"/>
  <c r="N44" i="7"/>
  <c r="O44" i="7" s="1"/>
  <c r="J44" i="7"/>
  <c r="K44" i="7" s="1"/>
  <c r="I43" i="7"/>
  <c r="F44" i="7"/>
  <c r="G44" i="7" s="1"/>
  <c r="E43" i="7"/>
  <c r="U44" i="7"/>
  <c r="O43" i="7" l="1"/>
  <c r="K43" i="7"/>
  <c r="G43" i="7"/>
  <c r="U43" i="7"/>
</calcChain>
</file>

<file path=xl/comments1.xml><?xml version="1.0" encoding="utf-8"?>
<comments xmlns="http://schemas.openxmlformats.org/spreadsheetml/2006/main">
  <authors>
    <author>TonyAdmin</author>
    <author>Tony</author>
    <author>Tony C.</author>
  </authors>
  <commentList>
    <comment ref="A2" authorId="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text>
        <r>
          <rPr>
            <b/>
            <sz val="8"/>
            <color indexed="81"/>
            <rFont val="Tahoma"/>
            <family val="2"/>
          </rPr>
          <t xml:space="preserve">Edge Width
</t>
        </r>
        <r>
          <rPr>
            <sz val="8"/>
            <color indexed="81"/>
            <rFont val="Tahoma"/>
            <family val="2"/>
          </rPr>
          <t xml:space="preserve">
Enter an optional edge width between 1 and 10.</t>
        </r>
      </text>
    </comment>
    <comment ref="E2" authorId="1">
      <text>
        <r>
          <rPr>
            <b/>
            <sz val="8"/>
            <color indexed="81"/>
            <rFont val="Tahoma"/>
            <family val="2"/>
          </rPr>
          <t>Edge Style</t>
        </r>
        <r>
          <rPr>
            <b/>
            <sz val="9"/>
            <color indexed="81"/>
            <rFont val="Tahoma"/>
            <charset val="1"/>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text>
        <r>
          <rPr>
            <b/>
            <sz val="8"/>
            <color indexed="81"/>
            <rFont val="Tahoma"/>
            <family val="2"/>
          </rPr>
          <t xml:space="preserve">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Label Font Size
</t>
        </r>
        <r>
          <rPr>
            <sz val="8"/>
            <color indexed="81"/>
            <rFont val="Tahoma"/>
            <family val="2"/>
          </rPr>
          <t>Enter an optional label font size between 8 and 72.</t>
        </r>
        <r>
          <rPr>
            <b/>
            <sz val="8"/>
            <color indexed="81"/>
            <rFont val="Tahoma"/>
            <family val="2"/>
          </rPr>
          <t xml:space="preserve">
</t>
        </r>
      </text>
    </comment>
    <comment ref="K2" authorId="1">
      <text>
        <r>
          <rPr>
            <b/>
            <sz val="8"/>
            <color indexed="81"/>
            <rFont val="Tahoma"/>
            <family val="2"/>
          </rPr>
          <t xml:space="preserve">Edge Reciprocated?
</t>
        </r>
        <r>
          <rPr>
            <sz val="8"/>
            <color indexed="81"/>
            <rFont val="Tahoma"/>
            <family val="2"/>
          </rPr>
          <t xml:space="preserve">
This and other graph metrics can be computed with the Graph Metrics button in the Analysis group in the NodeXL Ribbon tab</t>
        </r>
        <r>
          <rPr>
            <sz val="9"/>
            <color indexed="81"/>
            <rFont val="Tahoma"/>
            <family val="2"/>
          </rPr>
          <t>.</t>
        </r>
        <r>
          <rPr>
            <sz val="9"/>
            <color indexed="81"/>
            <rFont val="Tahoma"/>
            <charset val="1"/>
          </rPr>
          <t xml:space="preserve">
</t>
        </r>
      </text>
    </comment>
    <comment ref="L2" authorId="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authors>
    <author>TonyAdmin</author>
    <author>Tony C.</author>
    <author>Tony</author>
  </authors>
  <commentList>
    <comment ref="A2" authorId="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text>
        <r>
          <rPr>
            <b/>
            <sz val="8"/>
            <color indexed="81"/>
            <rFont val="Tahoma"/>
            <family val="2"/>
          </rPr>
          <t xml:space="preserve">Vertex Size
</t>
        </r>
        <r>
          <rPr>
            <sz val="8"/>
            <color indexed="81"/>
            <rFont val="Tahoma"/>
            <family val="2"/>
          </rPr>
          <t xml:space="preserve">
Enter an optional vertex size between 1 and 100.</t>
        </r>
      </text>
    </comment>
    <comment ref="E2" authorId="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text>
        <r>
          <rPr>
            <b/>
            <sz val="8"/>
            <color indexed="81"/>
            <rFont val="Tahoma"/>
            <family val="2"/>
          </rPr>
          <t>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N2" authorId="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O2" authorId="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R2" authorId="0">
      <text>
        <r>
          <rPr>
            <b/>
            <sz val="8"/>
            <color indexed="81"/>
            <rFont val="Tahoma"/>
            <family val="2"/>
          </rPr>
          <t>Vertex Degree</t>
        </r>
        <r>
          <rPr>
            <sz val="8"/>
            <color indexed="81"/>
            <rFont val="Tahoma"/>
            <family val="2"/>
          </rPr>
          <t xml:space="preserve">
This and other graph metrics can be computed with the Graph Metrics button in the Analysis group in the NodeXL Ribbon tab.
</t>
        </r>
      </text>
    </comment>
    <comment ref="S2" authorId="0">
      <text>
        <r>
          <rPr>
            <b/>
            <sz val="8"/>
            <color indexed="81"/>
            <rFont val="Tahoma"/>
            <family val="2"/>
          </rPr>
          <t xml:space="preserve">Vertex In-Degree
</t>
        </r>
        <r>
          <rPr>
            <sz val="8"/>
            <color indexed="81"/>
            <rFont val="Tahoma"/>
            <family val="2"/>
          </rPr>
          <t xml:space="preserve">This and other graph metrics can be computed with the Graph Metrics button in the Analysis group in the NodeXL Ribbon tab.
</t>
        </r>
      </text>
    </comment>
    <comment ref="T2" authorId="0">
      <text>
        <r>
          <rPr>
            <b/>
            <sz val="8"/>
            <color indexed="81"/>
            <rFont val="Tahoma"/>
            <family val="2"/>
          </rPr>
          <t xml:space="preserve">Vertex Out-Degree
</t>
        </r>
        <r>
          <rPr>
            <sz val="8"/>
            <color indexed="81"/>
            <rFont val="Tahoma"/>
            <family val="2"/>
          </rPr>
          <t xml:space="preserve">This and other graph metrics can be computed with the Graph Metrics button in the Analysis group in the NodeXL Ribbon tab.
</t>
        </r>
      </text>
    </comment>
    <comment ref="U2" authorId="0">
      <text>
        <r>
          <rPr>
            <b/>
            <sz val="8"/>
            <color indexed="81"/>
            <rFont val="Tahoma"/>
            <family val="2"/>
          </rPr>
          <t xml:space="preserve">Vertex Betweenness Centrality
</t>
        </r>
        <r>
          <rPr>
            <sz val="8"/>
            <color indexed="81"/>
            <rFont val="Tahoma"/>
            <family val="2"/>
          </rPr>
          <t xml:space="preserve">This and other graph metrics can be computed with the Graph Metrics button in the Analysis group in the NodeXL Ribbon tab.
</t>
        </r>
      </text>
    </comment>
    <comment ref="V2" authorId="0">
      <text>
        <r>
          <rPr>
            <b/>
            <sz val="8"/>
            <color indexed="81"/>
            <rFont val="Tahoma"/>
            <family val="2"/>
          </rPr>
          <t xml:space="preserve">Vertex Closeness Centrality
</t>
        </r>
        <r>
          <rPr>
            <sz val="8"/>
            <color indexed="81"/>
            <rFont val="Tahoma"/>
            <family val="2"/>
          </rPr>
          <t xml:space="preserve">This and other graph metrics can be computed with the Graph Metrics button in the Analysis group in the NodeXL Ribbon tab.
</t>
        </r>
      </text>
    </comment>
    <comment ref="W2" authorId="0">
      <text>
        <r>
          <rPr>
            <b/>
            <sz val="8"/>
            <color indexed="81"/>
            <rFont val="Tahoma"/>
            <family val="2"/>
          </rPr>
          <t xml:space="preserve">Vertex Eigenvector Centrality
</t>
        </r>
        <r>
          <rPr>
            <sz val="8"/>
            <color indexed="81"/>
            <rFont val="Tahoma"/>
            <family val="2"/>
          </rPr>
          <t xml:space="preserve">This and other graph metrics can be computed with the Graph Metrics button in the Analysis group in the NodeXL Ribbon tab.
</t>
        </r>
      </text>
    </comment>
    <comment ref="X2" authorId="2">
      <text>
        <r>
          <rPr>
            <b/>
            <sz val="8"/>
            <color indexed="81"/>
            <rFont val="Tahoma"/>
            <family val="2"/>
          </rPr>
          <t xml:space="preserve">Vertex PageRank
</t>
        </r>
        <r>
          <rPr>
            <sz val="8"/>
            <color indexed="81"/>
            <rFont val="Tahoma"/>
            <family val="2"/>
          </rPr>
          <t>This and other graph metrics can be computed with the Graph Metrics button in the Analysis group in the NodeXL Ribbon tab.</t>
        </r>
      </text>
    </comment>
    <comment ref="Y2" authorId="0">
      <text>
        <r>
          <rPr>
            <b/>
            <sz val="8"/>
            <color indexed="81"/>
            <rFont val="Tahoma"/>
            <family val="2"/>
          </rPr>
          <t xml:space="preserve">Vertex Clustering Coefficient
</t>
        </r>
        <r>
          <rPr>
            <sz val="8"/>
            <color indexed="81"/>
            <rFont val="Tahoma"/>
            <family val="2"/>
          </rPr>
          <t xml:space="preserve">This and other graph metrics can be computed with the Graph Metrics button in the Analysis group in the NodeXL Ribbon tab.
</t>
        </r>
      </text>
    </comment>
    <comment ref="Z2" authorId="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B2" authorId="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authors>
    <author>TonyAdmin</author>
    <author>Tony</author>
  </authors>
  <commentList>
    <comment ref="A2"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text>
        <r>
          <rPr>
            <b/>
            <sz val="8"/>
            <color indexed="81"/>
            <rFont val="Tahoma"/>
            <family val="2"/>
          </rPr>
          <t xml:space="preserve">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text>
        <r>
          <rPr>
            <b/>
            <sz val="8"/>
            <color indexed="81"/>
            <rFont val="Tahoma"/>
            <family val="2"/>
          </rPr>
          <t>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text>
        <r>
          <rPr>
            <b/>
            <sz val="8"/>
            <color indexed="81"/>
            <rFont val="Tahoma"/>
            <family val="2"/>
          </rPr>
          <t xml:space="preserve">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E2" authorId="1">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charset val="1"/>
          </rPr>
          <t xml:space="preserve">
</t>
        </r>
      </text>
    </comment>
    <comment ref="H2" authorId="1">
      <text>
        <r>
          <rPr>
            <b/>
            <sz val="8"/>
            <color indexed="81"/>
            <rFont val="Tahoma"/>
            <family val="2"/>
          </rPr>
          <t xml:space="preserve">Group Vertices
</t>
        </r>
        <r>
          <rPr>
            <sz val="8"/>
            <color indexed="81"/>
            <rFont val="Tahoma"/>
            <family val="2"/>
          </rPr>
          <t xml:space="preserve">
This and other graph metrics can be computed with the Graph Metrics button in the Analysis group in the NodeXL Ribbon tab.</t>
        </r>
        <r>
          <rPr>
            <b/>
            <sz val="9"/>
            <color indexed="81"/>
            <rFont val="Tahoma"/>
            <charset val="1"/>
          </rPr>
          <t xml:space="preserve">
</t>
        </r>
        <r>
          <rPr>
            <sz val="9"/>
            <color indexed="81"/>
            <rFont val="Tahoma"/>
            <charset val="1"/>
          </rPr>
          <t xml:space="preserve">
</t>
        </r>
      </text>
    </comment>
    <comment ref="I2" authorId="1">
      <text>
        <r>
          <rPr>
            <b/>
            <sz val="8"/>
            <color indexed="81"/>
            <rFont val="Tahoma"/>
            <family val="2"/>
          </rPr>
          <t>Group Unique Edges</t>
        </r>
        <r>
          <rPr>
            <sz val="8"/>
            <color indexed="81"/>
            <rFont val="Tahoma"/>
            <family val="2"/>
          </rPr>
          <t xml:space="preserve">
This and other graph metrics can be computed with the Graph Metrics button in the Analysis group in the NodeXL Ribbon tab.</t>
        </r>
      </text>
    </comment>
    <comment ref="J2" authorId="1">
      <text>
        <r>
          <rPr>
            <b/>
            <sz val="8"/>
            <color indexed="81"/>
            <rFont val="Tahoma"/>
            <family val="2"/>
          </rPr>
          <t>Group Edges With Duplicates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K2" authorId="1">
      <text>
        <r>
          <rPr>
            <b/>
            <sz val="8"/>
            <color indexed="81"/>
            <rFont val="Tahoma"/>
            <family val="2"/>
          </rPr>
          <t>Group Total Edges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L2" authorId="1">
      <text>
        <r>
          <rPr>
            <b/>
            <sz val="8"/>
            <color indexed="81"/>
            <rFont val="Tahoma"/>
            <family val="2"/>
          </rPr>
          <t>Group Self-Loops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M2" authorId="1">
      <text>
        <r>
          <rPr>
            <b/>
            <sz val="8"/>
            <color indexed="81"/>
            <rFont val="Tahoma"/>
            <family val="2"/>
          </rPr>
          <t>Group Connected Components</t>
        </r>
        <r>
          <rPr>
            <sz val="8"/>
            <color indexed="81"/>
            <rFont val="Tahoma"/>
            <family val="2"/>
          </rPr>
          <t xml:space="preserve">
This and other graph metrics can be computed with the Graph Metrics button in the Analysis group in the NodeXL Ribbon tab.</t>
        </r>
        <r>
          <rPr>
            <b/>
            <sz val="8"/>
            <color indexed="81"/>
            <rFont val="Tahoma"/>
            <family val="2"/>
          </rPr>
          <t xml:space="preserve">
</t>
        </r>
      </text>
    </comment>
    <comment ref="N2" authorId="1">
      <text>
        <r>
          <rPr>
            <b/>
            <sz val="8"/>
            <color indexed="81"/>
            <rFont val="Tahoma"/>
            <family val="2"/>
          </rPr>
          <t>Group Single-Vertex Connected Components</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O2" authorId="1">
      <text>
        <r>
          <rPr>
            <b/>
            <sz val="8"/>
            <color indexed="81"/>
            <rFont val="Tahoma"/>
            <family val="2"/>
          </rPr>
          <t>Group Maximum Vertices in a Connected Component</t>
        </r>
        <r>
          <rPr>
            <sz val="8"/>
            <color indexed="81"/>
            <rFont val="Tahoma"/>
            <family val="2"/>
          </rPr>
          <t xml:space="preserve">
This and other graph metrics can be computed with the Graph Metrics button in the Analysis group in the NodeXL Ribbon tab.
</t>
        </r>
        <r>
          <rPr>
            <sz val="9"/>
            <color indexed="81"/>
            <rFont val="Tahoma"/>
            <family val="2"/>
          </rPr>
          <t xml:space="preserve">
</t>
        </r>
      </text>
    </comment>
    <comment ref="P2" authorId="1">
      <text>
        <r>
          <rPr>
            <b/>
            <sz val="8"/>
            <color indexed="81"/>
            <rFont val="Tahoma"/>
            <family val="2"/>
          </rPr>
          <t>Group Maximum Edges in a Connected Component</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 ref="Q2" authorId="1">
      <text>
        <r>
          <rPr>
            <b/>
            <sz val="8"/>
            <color indexed="81"/>
            <rFont val="Tahoma"/>
            <family val="2"/>
          </rPr>
          <t>Group Maximum Geodesic Distance (Diameter)</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R2" authorId="1">
      <text>
        <r>
          <rPr>
            <b/>
            <sz val="8"/>
            <color indexed="81"/>
            <rFont val="Tahoma"/>
            <family val="2"/>
          </rPr>
          <t>Group Average Geodesic Distance</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S2" authorId="1">
      <text>
        <r>
          <rPr>
            <b/>
            <sz val="8"/>
            <color indexed="81"/>
            <rFont val="Tahoma"/>
            <family val="2"/>
          </rPr>
          <t>Group Graph Density</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List>
</comments>
</file>

<file path=xl/comments4.xml><?xml version="1.0" encoding="utf-8"?>
<comments xmlns="http://schemas.openxmlformats.org/spreadsheetml/2006/main">
  <authors>
    <author>TonyAdmin</author>
    <author>Tony</author>
  </authors>
  <commentList>
    <comment ref="A1"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charset val="1"/>
          </rPr>
          <t xml:space="preserve">
</t>
        </r>
        <r>
          <rPr>
            <sz val="9"/>
            <color indexed="81"/>
            <rFont val="Tahoma"/>
            <charset val="1"/>
          </rPr>
          <t xml:space="preserve">
</t>
        </r>
      </text>
    </comment>
  </commentList>
</comments>
</file>

<file path=xl/comments5.xml><?xml version="1.0" encoding="utf-8"?>
<comments xmlns="http://schemas.openxmlformats.org/spreadsheetml/2006/main">
  <authors>
    <author>TonyAdmin</author>
  </authors>
  <commentList>
    <comment ref="A1" authorId="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<sst xmlns="http://schemas.openxmlformats.org/spreadsheetml/2006/main" count="754" uniqueCount="323">
  <si>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</si>
  <si>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</si>
  <si>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</si>
  <si>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</si>
  <si>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</si>
  <si>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</si>
  <si>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</si>
  <si>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</si>
  <si>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</si>
  <si>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</si>
  <si>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</si>
  <si>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</si>
  <si>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</si>
  <si>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</si>
  <si>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</si>
  <si>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</si>
  <si>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</si>
  <si>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</si>
  <si>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</si>
  <si>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</si>
  <si>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</si>
  <si>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</si>
  <si>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</si>
  <si>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</si>
  <si>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</si>
  <si>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</si>
  <si>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</si>
  <si>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</si>
  <si>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</si>
  <si>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</si>
  <si>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</si>
  <si>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Undirected</t>
  </si>
  <si>
    <t>Degree</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</si>
  <si>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</si>
  <si>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</si>
  <si>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</si>
  <si>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</si>
  <si>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</si>
  <si>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</si>
  <si>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</si>
  <si>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</si>
  <si>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</si>
  <si>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</si>
  <si>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</si>
  <si>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</si>
  <si>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</si>
  <si>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</si>
  <si>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</si>
  <si>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</si>
  <si>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</si>
  <si>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</si>
  <si>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</si>
  <si>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</si>
  <si>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</si>
  <si>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</si>
  <si>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</si>
  <si>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</si>
  <si>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</si>
  <si>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</si>
  <si>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</si>
  <si>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</si>
  <si>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</si>
  <si>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</si>
  <si>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</si>
  <si>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</si>
  <si>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</si>
  <si>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</si>
  <si>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</si>
  <si>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</si>
  <si>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</si>
  <si>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</si>
  <si>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</si>
  <si>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</si>
  <si>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</si>
  <si>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</si>
  <si>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</si>
  <si>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</si>
  <si>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</si>
  <si>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</si>
  <si>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</si>
  <si>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</si>
  <si>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</si>
  <si>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</si>
  <si>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</si>
  <si>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</si>
  <si>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</si>
  <si>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</si>
  <si>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</si>
  <si>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</si>
  <si>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</si>
  <si>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</si>
  <si>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</si>
  <si>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</si>
  <si>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</si>
  <si>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</si>
  <si>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</si>
  <si>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</si>
  <si>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</si>
  <si>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</si>
  <si>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</si>
  <si>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</si>
  <si>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</si>
  <si>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</si>
  <si>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</si>
  <si>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</si>
  <si>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</si>
  <si>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</si>
  <si>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</si>
  <si>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</si>
  <si>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</si>
  <si>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</si>
  <si>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</si>
  <si>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</si>
  <si>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</si>
  <si>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</si>
  <si>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</si>
  <si>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</si>
  <si>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</si>
  <si>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</si>
  <si>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</si>
  <si>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</si>
  <si>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</si>
  <si>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</si>
  <si>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</si>
  <si>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</si>
  <si>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</si>
  <si>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</si>
  <si>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</si>
  <si>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</si>
  <si>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</si>
  <si>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</si>
  <si>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</si>
  <si>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</si>
  <si>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</si>
  <si>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</si>
  <si>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</si>
  <si>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</si>
  <si>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</si>
  <si>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</si>
  <si>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</si>
  <si>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</si>
  <si>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</si>
  <si>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</si>
  <si>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</si>
  <si>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</si>
  <si>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</si>
  <si>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</si>
  <si>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</si>
  <si>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</si>
  <si>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</si>
  <si>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</si>
  <si>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</si>
  <si>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</si>
  <si>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</si>
  <si>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</si>
  <si>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</si>
  <si>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</si>
  <si>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</si>
  <si>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</si>
  <si>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</si>
  <si>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</si>
  <si>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</si>
  <si>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</si>
  <si>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</si>
  <si>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</si>
  <si>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</si>
  <si>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</si>
  <si>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Workbook Settings 1</t>
  </si>
  <si>
    <t>Workbook Settings Cell Count</t>
  </si>
  <si>
    <t>#opendata</t>
  </si>
  <si>
    <t>Brazil</t>
  </si>
  <si>
    <t>UK</t>
  </si>
  <si>
    <t>US</t>
  </si>
  <si>
    <t>Europe</t>
  </si>
  <si>
    <t>South America</t>
  </si>
  <si>
    <t>North America</t>
  </si>
  <si>
    <t>@worldbank</t>
  </si>
  <si>
    <t>#da12</t>
  </si>
  <si>
    <t>#dadosabertos</t>
  </si>
  <si>
    <t>@dadosgovbr</t>
  </si>
  <si>
    <t>@egovbr</t>
  </si>
  <si>
    <t>#uktransparency</t>
  </si>
  <si>
    <t>#egov</t>
  </si>
  <si>
    <t>@ictdev</t>
  </si>
  <si>
    <t>#ICT4d</t>
  </si>
  <si>
    <t>@glynmoody</t>
  </si>
  <si>
    <t>Followers</t>
  </si>
  <si>
    <t>@Jay_Nath</t>
  </si>
  <si>
    <t>#gov20</t>
  </si>
  <si>
    <t>Government</t>
  </si>
  <si>
    <t>SF</t>
  </si>
  <si>
    <t>#IOGDC</t>
  </si>
  <si>
    <t>#ogov</t>
  </si>
  <si>
    <t>@usdatagov</t>
  </si>
  <si>
    <t>@WorldBankData</t>
  </si>
  <si>
    <t>Tags</t>
  </si>
  <si>
    <t>@LiberationTech</t>
  </si>
  <si>
    <t>11938</t>
  </si>
  <si>
    <t>Minutes to max tweets</t>
  </si>
  <si>
    <t>Inverse of Min to Max Tweets</t>
  </si>
  <si>
    <t>Type</t>
  </si>
  <si>
    <t>Academic</t>
  </si>
  <si>
    <t>Tag</t>
  </si>
  <si>
    <t>Geography</t>
  </si>
  <si>
    <t>Issue</t>
  </si>
  <si>
    <t>Media</t>
  </si>
  <si>
    <t>Organization</t>
  </si>
  <si>
    <t>Officer</t>
  </si>
  <si>
    <t>@SunFoundation</t>
  </si>
  <si>
    <t>16709</t>
  </si>
  <si>
    <t>Foundation</t>
  </si>
  <si>
    <t>@EC_opendata</t>
  </si>
  <si>
    <t>1789</t>
  </si>
  <si>
    <t>46348</t>
  </si>
  <si>
    <t>@OpenGov</t>
  </si>
  <si>
    <t>472072</t>
  </si>
  <si>
    <t>@opendataParis</t>
  </si>
  <si>
    <t>1573</t>
  </si>
  <si>
    <t>Europe, European Commission, #da12</t>
  </si>
  <si>
    <t>Europe, European Commission</t>
  </si>
  <si>
    <t>US, White House</t>
  </si>
  <si>
    <t>International</t>
  </si>
  <si>
    <t>Stanford</t>
  </si>
  <si>
    <t>Europe, UK</t>
  </si>
  <si>
    <t>Europe, France</t>
  </si>
  <si>
    <t>SF, US</t>
  </si>
  <si>
    <t>@KnightFdn</t>
  </si>
  <si>
    <t>28614</t>
  </si>
  <si>
    <t>@OKFN</t>
  </si>
  <si>
    <t>4492</t>
  </si>
  <si>
    <t>US, Arts</t>
  </si>
  <si>
    <t>@jwyg</t>
  </si>
  <si>
    <t>OKFN</t>
  </si>
  <si>
    <t>2344</t>
  </si>
  <si>
    <t>@civicdatachallenge</t>
  </si>
  <si>
    <t>11520</t>
  </si>
  <si>
    <t>#civicdata</t>
  </si>
  <si>
    <t>Contest</t>
  </si>
  <si>
    <t>@regardscityoens</t>
  </si>
  <si>
    <t>5742</t>
  </si>
  <si>
    <t>Citizens</t>
  </si>
  <si>
    <t>@TimDavies</t>
  </si>
  <si>
    <t>3757</t>
  </si>
  <si>
    <t>@HadleyBeeman</t>
  </si>
  <si>
    <t>4834</t>
  </si>
  <si>
    <t>@GuardianData</t>
  </si>
  <si>
    <t>23249</t>
  </si>
  <si>
    <t>@CodeforAmerica</t>
  </si>
  <si>
    <t>10463</t>
  </si>
  <si>
    <t>US, Developer</t>
  </si>
  <si>
    <t>@urbandata</t>
  </si>
  <si>
    <t>11268</t>
  </si>
  <si>
    <t>@timberners_lee</t>
  </si>
  <si>
    <t>71018</t>
  </si>
  <si>
    <t>@DirDigEng</t>
  </si>
  <si>
    <t>8393</t>
  </si>
  <si>
    <t>@HansRosling</t>
  </si>
  <si>
    <t>83681</t>
  </si>
  <si>
    <t>Europe, Sweden</t>
  </si>
  <si>
    <t>@DigitalAgenda</t>
  </si>
  <si>
    <t>6954</t>
  </si>
  <si>
    <t>Europe, EU</t>
  </si>
  <si>
    <t>10080</t>
  </si>
  <si>
    <t>720</t>
  </si>
  <si>
    <t>1080</t>
  </si>
  <si>
    <t>60</t>
  </si>
  <si>
    <t>5760</t>
  </si>
  <si>
    <t>300</t>
  </si>
  <si>
    <t>360</t>
  </si>
  <si>
    <t>@alecjross</t>
  </si>
  <si>
    <t>376043</t>
  </si>
  <si>
    <t>@cheekygeeky</t>
  </si>
  <si>
    <t>21844</t>
  </si>
  <si>
    <t>US, Microsoft</t>
  </si>
  <si>
    <t>@Publicyte</t>
  </si>
  <si>
    <t>1592</t>
  </si>
  <si>
    <t>Corporate</t>
  </si>
  <si>
    <t>@VivekKundra</t>
  </si>
  <si>
    <t>8453</t>
  </si>
  <si>
    <t>US, Salesforce.com, White House</t>
  </si>
  <si>
    <t>#oddc</t>
  </si>
  <si>
    <t>4230</t>
  </si>
  <si>
    <t>#openforchange</t>
  </si>
  <si>
    <t>@KenyaOpenData</t>
  </si>
  <si>
    <t>313</t>
  </si>
  <si>
    <t>Africa</t>
  </si>
  <si>
    <t>@opendataafrica</t>
  </si>
  <si>
    <t>Africa, Kenya</t>
  </si>
  <si>
    <t>511</t>
  </si>
  <si>
    <t>@gov20radio</t>
  </si>
  <si>
    <t>#gobiernoabierto</t>
  </si>
  <si>
    <t>1440</t>
  </si>
  <si>
    <t>@netzpolitik</t>
  </si>
  <si>
    <t>87224</t>
  </si>
  <si>
    <t>Europe, Germany</t>
  </si>
  <si>
    <t>#netzpolitik</t>
  </si>
  <si>
    <t>147124</t>
  </si>
  <si>
    <t>635</t>
  </si>
  <si>
    <t>12943</t>
  </si>
  <si>
    <t>2772</t>
  </si>
  <si>
    <t>10430</t>
  </si>
  <si>
    <t>2857</t>
  </si>
  <si>
    <t>@NeelieKroesEU</t>
  </si>
  <si>
    <t>2812</t>
  </si>
  <si>
    <t>WorldBank, Conference</t>
  </si>
  <si>
    <t>Europe, Africa, Netherlands, Kenya, Contest</t>
  </si>
  <si>
    <t>Graph History</t>
  </si>
  <si>
    <t>3349</t>
  </si>
  <si>
    <t>Germany</t>
  </si>
  <si>
    <t>France</t>
  </si>
  <si>
    <t>Sweden</t>
  </si>
  <si>
    <t>environment</t>
  </si>
  <si>
    <t>development</t>
  </si>
  <si>
    <t>Autofill Workbook Results</t>
  </si>
  <si>
    <t>Workbook Settings 2</t>
  </si>
  <si>
    <t>Size2</t>
  </si>
  <si>
    <t>LayoutAlgorithm░The graph was laid out using the Harel-Koren Fast Multiscale layout algorithm.▓GraphDirectedness░The graph is undirected.</t>
  </si>
  <si>
    <t>Vertices[Size2]</t>
  </si>
  <si>
    <t>255, 191, 0</t>
  </si>
  <si>
    <t>▓0▓0▓0▓True▓Black▓Black▓▓▓0▓0▓0▓0▓0▓False▓▓0▓0▓0▓0▓0▓False▓▓0▓0▓0▓True▓Black▓Black▓▓Size2▓313▓472072▓0▓1.5▓8▓True▓▓0▓0▓0▓0▓0▓False▓▓0▓0▓0▓0▓0▓False▓▓0▓0▓0▓0▓0▓False</t>
  </si>
  <si>
    <t>alse&lt;/value&gt;_x000D_
      &lt;/setting&gt;_x000D_
      &lt;setting name="VertexLayoutOrderDetails" serializeAs="String"&gt;_x000D_
        &lt;value&gt;False	False	0	0	1	9999	False	False&lt;/value&gt;_x000D_
      &lt;/setting&gt;_x000D_
      &lt;setting name="VertexYDetails" serializeAs="String"&gt;_x000D_
        &lt;value&gt;False	False	0	0	0	9999	False	False&lt;/value&gt;_x000D_
      &lt;/setting&gt;_x000D_
      &lt;setting name="VertexPolarRDetails" serializeAs="String"&gt;_x000D_
        &lt;value&gt;False	False	0	0	0	1	False	False&lt;/value&gt;_x000D_
      &lt;/setting&gt;_x000D_
      &lt;setting name="VertexVisibilitySourceColumnName" serializeAs="String"&gt;_x000D_
        &lt;value /&gt;_x000D_
      &lt;/setting&gt;_x000D_
      &lt;setting name="VertexPolarAngleSourceColumnName" serializeAs="String"&gt;_x000D_
        &lt;value /&gt;_x000D_
      &lt;/setting&gt;_x000D_
      &lt;setting name="VertexLabelSourceColumnName" serializeAs="String"&gt;_x000D_
        &lt;value /&gt;_x000D_
      &lt;/setting&gt;_x000D_
      &lt;setting name="VertexXSourceColumnName" serializeAs="String"&gt;_x000D_
        &lt;value /&gt;_x000D_
      &lt;/setting&gt;_x000D_
      &lt;setting name="VertexLabelFillColorSourceColumnName" serializeAs="String"&gt;_x000D_
        &lt;value /&gt;_x000D_
      &lt;/setting&gt;_x000D_
      &lt;setting name="GroupCollapsedDetails" serializeAs="String"&gt;_x000D_
        &lt;value&gt;GreaterThan	0	Yes	No&lt;/value&gt;_x000D_
      &lt;/setting&gt;_x000D_
      &lt;setting name="VertexPolarRSourceColumnName" serializeAs="String"&gt;_x000D_
        &lt;value /&gt;_x000D_
      &lt;/setting&gt;_x000D_
      &lt;setting name="VertexLabelPositionSourceColumnName" serializeAs="String"&gt;_x000D_
        &lt;value /&gt;_x000D_
      &lt;/setting&gt;_x000D_
      &lt;setting name="VertexAlphaDetails" serializeAs="String"&gt;_x000D_
        &lt;value&gt;False	False	0	100	10	100	False	False&lt;/value&gt;_x000D_
      &lt;/setting&gt;_x000D_
      &lt;setting name="VertexLabelFillColorDetails" serializeAs="String"&gt;_x000D_
        &lt;value&gt;False	False	0	10	241, 137, 4	46, 7, 195	False	False	True&lt;/value&gt;_x000D_
      &lt;/setting&gt;_x000D_
      &lt;setting name="GroupLabelSourceColumnName" serializeAs="String"&gt;_x000D_
        &lt;value /&gt;_x000D_
      &lt;/setting&gt;_x000D_
      &lt;setting name="EdgeVisibilitySourceColumnName" serializeAs="String"&gt;_x000D_
        &lt;value /&gt;_x000D_
      &lt;/setting&gt;_x000D_
      &lt;setting name="EdgeStyleDetails" serializeAs="String"&gt;_x000D_
        &lt;value&gt;GreaterThan	0	Solid	Dash&lt;/value&gt;_x000D_
      &lt;/setting&gt;_x000D_
      &lt;setting name="EdgeColorDetails" serializeAs="String"&gt;_x000D_
        &lt;value&gt;False	False	0	10	241, 137, 4	46, 7, 195	False	False	True&lt;/value&gt;_x000D_
      &lt;/setting&gt;_x000D_
    &lt;/AutoFillUserSettings3&gt;_x000D_
    &lt;GeneralUserSettings4&gt;_x000D_
      &lt;setting name="ShowGraphLegend" serializeAs="String"&gt;_x000D_
        &lt;value&gt;False&lt;/value&gt;_x000D_
      &lt;/setting&gt;_x000D_
      &lt;setting name="ReadEdgeLabels" serializeAs="String"&gt;_x000D_
        &lt;value&gt;True&lt;/value&gt;_x000D_
      &lt;/setting&gt;_x000D_
      &lt;setting name="ClearTablesBeforeImport" serializeAs="String"&gt;_x000D_
        &lt;value&gt;True&lt;/value&gt;_x000D_
      &lt;/setting&gt;_x000D_
      &lt;setting name="SaveImportDescription" serializeAs="String"&gt;_x000D_
        &lt;value&gt;False&lt;/value&gt;_x000D_
      &lt;/setting&gt;_x000D_
      &lt;setting name="ShowGraphAxes" serializeAs="String"&gt;_x000D_
        &lt;value&gt;False&lt;/value&gt;_x000D_
      &lt;/setting&gt;_x000D_
      &lt;setting name="ReadGroupLabels" serializeAs="String"&gt;_x000D_
        &lt;value&gt;True&lt;/value&gt;_x000D_
      &lt;/setting&gt;_x000D_
      &lt;setting name="ReadVertexLabels" serializeAs="String"&gt;_x000D_
        &lt;value&gt;True&lt;/value&gt;_x000D_
      &lt;/setting&gt;_x000D_
      &lt;setting name="AutoReadWorkbook" serializeAs="String"&gt;_x000D_
        &lt;value&gt;True&lt;/value&gt;_x000D_
      &lt;/setting&gt;_x000D_
      &lt;setting name="EdgeAlpha" serializeAs="String"&gt;_x000D_
        &lt;value&gt;100&lt;/value&gt;_x000D_
      &lt;/setting&gt;_x000D_
      &lt;setting name="SelectedEdgeColor" serializeAs="String"&gt;_x000D_
        &lt;value&gt;Red&lt;/value&gt;_x000D_
      &lt;/setting&gt;_x000D_
      &lt;setting name="EdgeColor" serializeAs="String"&gt;_x000D_
        &lt;value&gt;Gray&lt;/value&gt;_x000D_
      &lt;/setting&gt;_x000D_
      &lt;setting name="RelativeArrowSize" serializeAs="String"&gt;_x000D_
        &lt;value&gt;3&lt;/value&gt;_x000D_
      &lt;/setting&gt;_x000D_
      &lt;setting name="VertexImageSize" serializeAs="String"&gt;_x000D_
        &lt;value&gt;3&lt;/value&gt;_x000D_
      &lt;/setting&gt;_x000D_
      &lt;setting name="VertexShape" serializeAs="String"&gt;_x000D_
        &lt;value&gt;Disk&lt;/value&gt;_x000D_
      &lt;/setting&gt;_x000D_
      &lt;setting name="VertexRadius" serializeAs="String"&gt;_x000D_
        &lt;value&gt;1.5&lt;/value&gt;_x000D_
      &lt;/setting&gt;_x000D_
      &lt;setting name="AxisFont" serializeAs="String"&gt;_x000D_
        &lt;value&gt;Microsoft Sans Serif, 8.25pt&lt;/value&gt;_x000D_
      &lt;/setting&gt;_x000D_
      &lt;setting name="EdgeBundlerStraightening" serializeAs="String"&gt;_x000D_
        &lt;value&gt;0.15&lt;/value&gt;_x000D_
      &lt;/setting&gt;_x000D_
      &lt;setting name="LabelUserSettings" serializeAs="String"&gt;_x000D_
        &lt;value&gt;Microsoft Sans Serif, 8.25pt	White	BottomCenter	2147483647	2147483647	Black	True	200	Black	86&lt;/value&gt;_x000D_
      &lt;/setting&gt;_x000D_
      &lt;setting name="SelectedVertexColor" serializeAs="String"&gt;_x000D_
        &lt;value&gt;Red&lt;/value&gt;_x000D_
      &lt;/setting&gt;_x000D_
      &lt;setting name="VertexEffect" serializeAs="String"&gt;_x000D_
        &lt;value&gt;None&lt;/value&gt;_x000D_
      &lt;/setting&gt;_x000D_
      &lt;setting name="EdgeCurveStyle" serializeAs="String"&gt;_x000D_
        &lt;value&gt;Bezier&lt;/value&gt;_x000D_
      &lt;/setting&gt;_x000D_
      &lt;setting name="BackColor" serializeAs="String"&gt;_x000D_
        &lt;value&gt;White&lt;/value&gt;_x000D_
      &lt;/setting&gt;_x000D_
      &lt;setting name="VertexAlpha" serializeAs="String"&gt;_x000D_
        &lt;value&gt;100&lt;/value&gt;_x000D_
      &lt;/setting&gt;_x000D_
      &lt;setting name="EdgeBezierDisplacementFactor" serializeAs="String"&gt;_x000D_
        &lt;value&gt;0.2&lt;/value&gt;_x000D_
      &lt;/setting&gt;_x000D_
      &lt;setting name="EdgeWidth" serializeAs="String"&gt;_x000D_
        &lt;value&gt;1&lt;/value&gt;_x000D_
      &lt;/setting&gt;_x000D_
      &lt;setting name="VertexRelativeOuterGlowSize" serializeAs="String"&gt;_x000D_
        &lt;value&gt;3&lt;/value&gt;_x000D_
      &lt;/setting&gt;_x000D_
      &lt;setting name="BackgroundImageUri" serializeAs="String"&gt;_x000D_
        &lt;value /&gt;_x000D_
      &lt;/setting&gt;_x000D_
      &lt;setting name="AutoSelect" serializeAs="String"&gt;_x000D_
        &lt;value&gt;True&lt;/value&gt;_x000D_
      &lt;/setting&gt;_x000D_
      &lt;setting name="VertexColor" serializeAs="String"&gt;_x000D_
        &lt;value&gt;Black&lt;/value&gt;_x000D_
      &lt;/setting&gt;_x000D_
      &lt;setting name="ClusterAlgorithm" serializeAs="String"&gt;_x000D_
        &lt;value&gt;ClausetNewmanMoore&lt;/value&gt;_x000D_
      &lt;/setting&gt;_x000D_
    &lt;/GeneralUserSettings4&gt;_x000D_
    &lt;GraphZoomAndScaleUserSettings&gt;_x000D_
      &lt;setting name="GraphScale" serializeAs="String"&gt;_x000D_
        &lt;value&gt;1&lt;/value&gt;_x000D_
      &lt;/setting&gt;_x000D_
    &lt;/GraphZoomAndScaleUserSettings&gt;_x000D_
  &lt;/userSettings&gt;_x000D_
&lt;/configuration&gt;</t>
  </si>
  <si>
    <t>@opengov</t>
  </si>
  <si>
    <t>&lt;?xml version="1.0" encoding="utf-8"?&gt;_x000D_
&lt;configuration&gt;_x000D_
  &lt;configSections&gt;_x000D_
    &lt;sectionGroup name="userSettings" type="System.Configuration.UserSettingsGroup, System, Version=2.0.0.0, Culture=neutral, PublicKeyToken=b77a5c561934e089"&gt;_x000D_
      &lt;section name="GroupUserSettings" type="System.Configuration.ClientSettingsSection, System, Version=2.0.0.0, Culture=neutral, PublicKeyToken=b77a5c561934e089" allowExeDefinition="MachineToLocalUser" requirePermission="false" /&gt;_x000D_
      &lt;section name="DynamicFiltersUserSettings" type="System.Configuration.ClientSettingsSection, System, Version=2.0.0.0, Culture=neutral, PublicKeyToken=b77a5c561934e089" allowExeDefinition="MachineToLocalUser" requirePermission="false" /&gt;_x000D_
      &lt;section name="LayoutUserSettings" type="System.Configuration.ClientSettingsSection, System, Version=2.0.0.0, Culture=neutral, PublicKeyToken=b77a5c561934e089" allowExeDefinition="MachineToLocalUser" requirePermission="false" /&gt;_x000D_
      &lt;section name="AutoFillUserSettings3" type="System.Configuration.ClientSettingsSection, System, Version=2.0.0.0, Culture=neutral, PublicKeyToken=b77a5c561934e089" allowExeDefinition="MachineToLocalUser" requirePermission="false" /&gt;_x000D_
      &lt;section name="GeneralUserSettings4"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&lt;/sectionGroup&gt;_x000D_
  &lt;/configSections&gt;_x000D_
  &lt;userSettings&gt;_x000D_
    &lt;GroupUserSettings&gt;_x000D_
      &lt;setting name="ReadGroups" serializeAs="String"&gt;_x000D_
        &lt;value&gt;True&lt;/value&gt;_x000D_
      &lt;/setting&gt;_x000D_
      &lt;setting name="ReadVertexShapeFromGroups" serializeAs="String"&gt;_x000D_
        &lt;value&gt;True&lt;/value&gt;_x000D_
      &lt;/setting&gt;_x000D_
      &lt;setting name="ReadVertexColorFromGroups" serializeAs="String"&gt;_x000D_
        &lt;value&gt;True&lt;/value&gt;_x000D_
      &lt;/setting&gt;_x000D_
    &lt;/GroupUserSettings&gt;_x000D_
    &lt;DynamicFiltersUserSettings&gt;_x000D_
      &lt;setting name="FilterNonNumericCells" serializeAs="String"&gt;_x000D_
        &lt;value&gt;False&lt;/value&gt;_x000D_
      &lt;/setting&gt;_x000D_
      &lt;setting name="FilteredAlpha" serializeAs="String"&gt;_x000D_
        &lt;value&gt;0&lt;/value&gt;_x000D_
      &lt;/setting&gt;_x000D_
    &lt;/DynamicFiltersUserSettings&gt;_x000D_
    &lt;LayoutUserSettings&gt;_x000D_
      &lt;setting name="Layout" serializeAs="String"&gt;_x000D_
        &lt;value&gt;HarelKorenFastMultiscale&lt;/value&gt;_x000D_
      &lt;/setting&gt;_x000D_
      &lt;setting name="LayoutStyle" serializeAs="String"&gt;_x000D_
        &lt;value&gt;Normal&lt;/value&gt;_x000D_
      &lt;/setting&gt;_x000D_
      &lt;setting name="Margin" serializeAs="String"&gt;_x000D_
        &lt;value&gt;6&lt;/value&gt;_x000D_
      &lt;/setting&gt;_x000D_
      &lt;setting name="FruchtermanReingoldIterations" serializeAs="String"&gt;_x000D_
        &lt;value&gt;10&lt;/value&gt;_x000D_
      &lt;/setting&gt;_x000D_
      &lt;setting name="FruchtermanReingoldC" serializeAs="String"&gt;_x000D_
        &lt;value&gt;4&lt;/value&gt;_x000D_
      &lt;/setting&gt;_x000D_
      &lt;setting name="IntergroupEdgeStyle" serializeAs="String"&gt;_x000D_
        &lt;value&gt;Show&lt;/value&gt;_x000D_
      &lt;/setting&gt;_x000D_
    &lt;/LayoutUserSettings&gt;_x000D_
    &lt;AutoFillUserSettings3&gt;_x000D_
      &lt;setting name="VertexRadiusDetails" serializeAs="String"&gt;_x000D_
        &lt;value&gt;False	False	0	0	1.5	8	False	True&lt;/value&gt;_x000D_
      &lt;/setting&gt;_x000D_
      &lt;setting name="GroupCollapsedSourceColumnName" serializeAs="String"&gt;_x000D_
        &lt;value /&gt;_x000D_
      &lt;/setting&gt;_x000D_
      &lt;setting name="EdgeVisibilityDetails" serializeAs="String"&gt;_x000D_
        &lt;value&gt;GreaterThan	0	Show	Skip&lt;/value&gt;_x000D_
      &lt;/setting&gt;_x000D_
      &lt;setting name="VertexYSourceColumnName" serializeAs="String"&gt;_x000D_
        &lt;value /&gt;_x000D_
      &lt;/setting&gt;_x000D_
      &lt;setting name="VertexLabelPositionDetails" serializeAs="String"&gt;_x000D_
        &lt;value&gt;GreaterThan	0	Bottom Center	Nowhere&lt;/value&gt;_x000D_
      &lt;/setting&gt;_x000D_
      &lt;setting name="VertexRadiusSourceColumnName" serializeAs="String"&gt;_x000D_
        &lt;value&gt;Size2&lt;/value&gt;_x000D_
      &lt;/setting&gt;_x000D_
      &lt;setting name="VertexLayoutOrderSourceColumnName" serializeAs="String"&gt;_x000D_
        &lt;value /&gt;_x000D_
      &lt;/setting&gt;_x000D_
      &lt;setting name="VertexShapeSourceColumnName" serializeAs="String"&gt;_x000D_
        &lt;value /&gt;_x000D_
      &lt;/setting&gt;_x000D_
      &lt;setting name="EdgeAlphaSourceColumnName" serializeAs="String"&gt;_x000D_
        &lt;value /&gt;_x000D_
      &lt;/setting&gt;_x000D_
      &lt;setting name="VertexColorSourceColumnName" serializeAs="String"&gt;_x000D_
        &lt;value /&gt;_x000D_
      &lt;/setting&gt;_x000D_
      &lt;setting name="VertexShapeDetails" serializeAs="String"&gt;_x000D_
        &lt;value&gt;GreaterThan	0	Solid Square	Disk&lt;/value&gt;_x000D_
      &lt;/setting&gt;_x000D_
      &lt;setting name="EdgeStyleSourceColumnName" serializeAs="String"&gt;_x000D_
        &lt;value /&gt;_x000D_
      &lt;/setting&gt;_x000D_
      &lt;setting name="EdgeLabelSourceColumnName" serializeAs="String"&gt;_x000D_
        &lt;value /&gt;_x000D_
      &lt;/setting&gt;_x000D_
      &lt;setting name="EdgeWidthDetails" serializeAs="String"&gt;_x000D_
        &lt;value&gt;False	False	1	10	1	10	False	False&lt;/value&gt;_x000D_
      &lt;/setting&gt;_x000D_
      &lt;setting name="EdgeWidthSourceColumnName" serializeAs="String"&gt;_x000D_
        &lt;value /&gt;_x000D_
      &lt;/setting&gt;_x000D_
      &lt;setting name="EdgeColorSourceColumnName" serializeAs="String"&gt;_x000D_
        &lt;value /&gt;_x000D_
      &lt;/setting&gt;_x000D_
      &lt;setting name="VertexAlphaSourceColumnName" serializeAs="String"&gt;_x000D_
        &lt;value /&gt;_x000D_
      &lt;/setting&gt;_x000D_
      &lt;setting name="VertexXDetails" serializeAs="String"&gt;_x000D_
        &lt;value&gt;False	False	0	0	0	9999	False	False&lt;/value&gt;_x000D_
      &lt;/setting&gt;_x000D_
      &lt;setting name="VertexVisibilityDetails" serializeAs="String"&gt;_x000D_
        &lt;value&gt;GreaterThan	0	Show if in an Edge	Skip&lt;/value&gt;_x000D_
      &lt;/setting&gt;_x000D_
      &lt;setting name="EdgeAlphaDetails" serializeAs="String"&gt;_x000D_
        &lt;value&gt;False	False	0	100	10	100	False	False&lt;/value&gt;_x000D_
      &lt;/setting&gt;_x000D_
      &lt;setting name="VertexToolTipSourceColumnName" serializeAs="String"&gt;_x000D_
        &lt;value /&gt;_x000D_
      &lt;/setting&gt;_x000D_
      &lt;setting name="VertexColorDetails" serializeAs="String"&gt;_x000D_
        &lt;value&gt;False	False	0	10	241, 137, 4	46, 7, 195	False	False	True&lt;/value&gt;_x000D_
      &lt;/setting&gt;_x000D_
      &lt;setting name="VertexPolarAngleDetails" serializeAs="String"&gt;_x000D_
        &lt;value&gt;False	False	0	0	0	359	False	F</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</si>
</sst>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
    <numFmt numFmtId="166" formatCode="#,##0.000"/>
    <numFmt numFmtId="167" formatCode="0.000"/>
  </numFmts>
  <fonts count="13" x14ac:knownFonts="1">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charset val="1"/>
    </font>
    <font>
      <sz val="9"/>
      <color indexed="81"/>
      <name val="Tahoma"/>
      <family val="2"/>
    </font>
    <font>
      <sz val="9"/>
      <color indexed="81"/>
      <name val="Tahoma"/>
      <charset val="1"/>
    </font>
    <font>
      <sz val="11"/>
      <color theme="1"/>
      <name val="Calibri"/>
      <scheme val="minor"/>
    </font>
    <font>
      <b/>
      <sz val="9"/>
      <color indexed="81"/>
      <name val="Tahoma"/>
      <family val="2"/>
    </font>
  </fonts>
  <fills count="10">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style="thin">
        <color theme="0"/>
      </right>
      <top style="thin">
        <color theme="0"/>
      </top>
      <bottom/>
      <diagonal/>
    </border>
  </borders>
  <cellStyleXfs count="9">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cellStyleXfs>
  <cellXfs count="100">
    <xf numFmtId="0" fontId="0" fillId="0" borderId="0" xfId="0"/>
    <xf numFmtId="49" fontId="0" fillId="0" borderId="0" xfId="0" applyNumberFormat="1"/>
    <xf numFmtId="1" fontId="0" fillId="0" borderId="0" xfId="0" applyNumberFormat="1"/>
    <xf numFmtId="0"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NumberFormat="1"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0" fontId="0" fillId="0" borderId="0" xfId="0" applyBorder="1"/>
    <xf numFmtId="0" fontId="0" fillId="0" borderId="0" xfId="0" applyAlignment="1">
      <alignment wrapText="1"/>
    </xf>
    <xf numFmtId="0" fontId="0" fillId="5" borderId="1" xfId="4" applyNumberFormat="1" applyFont="1"/>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NumberFormat="1" applyFont="1"/>
    <xf numFmtId="4" fontId="0" fillId="0" borderId="0" xfId="0" applyNumberFormat="1"/>
    <xf numFmtId="4" fontId="0" fillId="0" borderId="0" xfId="0" applyNumberFormat="1" applyBorder="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ont="1" applyFill="1" applyBorder="1"/>
    <xf numFmtId="0" fontId="0" fillId="8" borderId="6" xfId="0" applyNumberFormat="1" applyFont="1" applyFill="1" applyBorder="1"/>
    <xf numFmtId="4" fontId="0" fillId="9" borderId="5" xfId="0" applyNumberFormat="1" applyFont="1" applyFill="1" applyBorder="1"/>
    <xf numFmtId="0" fontId="0" fillId="9" borderId="6" xfId="0" applyNumberFormat="1" applyFont="1" applyFill="1" applyBorder="1"/>
    <xf numFmtId="4" fontId="0" fillId="9" borderId="7" xfId="0" applyNumberFormat="1" applyFont="1" applyFill="1" applyBorder="1"/>
    <xf numFmtId="0" fontId="0" fillId="9" borderId="0" xfId="0" applyNumberFormat="1" applyFont="1" applyFill="1"/>
    <xf numFmtId="0" fontId="0" fillId="8" borderId="5" xfId="0" applyNumberFormat="1" applyFont="1" applyFill="1" applyBorder="1"/>
    <xf numFmtId="0" fontId="0" fillId="9" borderId="5" xfId="0" applyNumberFormat="1" applyFont="1" applyFill="1" applyBorder="1"/>
    <xf numFmtId="0" fontId="0" fillId="9" borderId="7" xfId="0" applyNumberFormat="1" applyFont="1" applyFill="1" applyBorder="1"/>
    <xf numFmtId="1" fontId="5" fillId="4" borderId="1" xfId="5" applyNumberFormat="1"/>
    <xf numFmtId="167" fontId="5" fillId="4" borderId="1" xfId="5" applyNumberFormat="1"/>
    <xf numFmtId="49" fontId="0" fillId="0" borderId="0" xfId="3" applyNumberFormat="1" applyFont="1" applyAlignment="1">
      <alignment wrapText="1"/>
    </xf>
    <xf numFmtId="1" fontId="5" fillId="4" borderId="1" xfId="5" applyNumberFormat="1" applyAlignment="1"/>
    <xf numFmtId="167" fontId="5" fillId="4" borderId="1" xfId="5" applyNumberFormat="1" applyAlignment="1"/>
    <xf numFmtId="167" fontId="11" fillId="4" borderId="1" xfId="5" applyNumberFormat="1" applyFont="1" applyAlignment="1"/>
    <xf numFmtId="0" fontId="0" fillId="5" borderId="1" xfId="4" applyNumberFormat="1" applyFont="1" applyAlignment="1">
      <alignment wrapText="1"/>
    </xf>
    <xf numFmtId="164" fontId="0" fillId="5" borderId="1" xfId="4" applyNumberFormat="1" applyFont="1" applyAlignment="1">
      <alignment wrapText="1"/>
    </xf>
    <xf numFmtId="1" fontId="0" fillId="5" borderId="1" xfId="4" applyNumberFormat="1" applyFont="1" applyAlignment="1">
      <alignment wrapText="1"/>
    </xf>
    <xf numFmtId="0" fontId="6" fillId="6" borderId="1" xfId="6" applyNumberFormat="1" applyAlignment="1">
      <alignment wrapText="1"/>
    </xf>
    <xf numFmtId="49" fontId="6" fillId="6" borderId="1" xfId="6" applyNumberFormat="1" applyAlignment="1">
      <alignment wrapText="1"/>
    </xf>
    <xf numFmtId="0" fontId="0" fillId="3" borderId="1" xfId="7" applyNumberFormat="1" applyFont="1" applyAlignment="1">
      <alignment wrapText="1"/>
    </xf>
    <xf numFmtId="164" fontId="0" fillId="3" borderId="1" xfId="7" applyNumberFormat="1" applyFont="1" applyAlignment="1">
      <alignment wrapText="1"/>
    </xf>
    <xf numFmtId="165" fontId="0" fillId="3" borderId="1" xfId="7" applyNumberFormat="1" applyFont="1" applyAlignment="1">
      <alignment wrapText="1"/>
    </xf>
    <xf numFmtId="166" fontId="0" fillId="3" borderId="1" xfId="7" applyNumberFormat="1" applyFont="1" applyAlignment="1">
      <alignment wrapText="1"/>
    </xf>
    <xf numFmtId="0" fontId="0" fillId="2" borderId="1" xfId="1" applyNumberFormat="1" applyFont="1" applyAlignment="1">
      <alignment wrapText="1"/>
    </xf>
    <xf numFmtId="0" fontId="0" fillId="0" borderId="0" xfId="2" applyNumberFormat="1" applyFont="1" applyAlignment="1">
      <alignment wrapText="1"/>
    </xf>
    <xf numFmtId="0" fontId="5" fillId="2" borderId="1" xfId="1" applyNumberFormat="1"/>
    <xf numFmtId="0" fontId="6" fillId="6" borderId="1" xfId="6"/>
    <xf numFmtId="0" fontId="6" fillId="6" borderId="1" xfId="6" applyNumberFormat="1"/>
    <xf numFmtId="0" fontId="5" fillId="4" borderId="1" xfId="5" applyNumberFormat="1" applyAlignment="1">
      <alignment wrapText="1"/>
    </xf>
    <xf numFmtId="0" fontId="0" fillId="2" borderId="1" xfId="1" applyNumberFormat="1" applyFont="1"/>
    <xf numFmtId="49" fontId="0" fillId="0" borderId="0" xfId="3" applyNumberFormat="1" applyFont="1" applyBorder="1"/>
    <xf numFmtId="0" fontId="0" fillId="5" borderId="8" xfId="4" applyNumberFormat="1" applyFont="1" applyBorder="1"/>
    <xf numFmtId="164" fontId="0" fillId="5" borderId="8" xfId="4" applyNumberFormat="1" applyFont="1" applyBorder="1"/>
    <xf numFmtId="1" fontId="0" fillId="5" borderId="8" xfId="4" applyNumberFormat="1" applyFont="1" applyBorder="1"/>
    <xf numFmtId="49" fontId="6" fillId="6" borderId="8" xfId="6" applyNumberFormat="1" applyBorder="1"/>
    <xf numFmtId="0" fontId="6" fillId="6" borderId="8" xfId="6" applyNumberFormat="1" applyBorder="1"/>
    <xf numFmtId="164" fontId="0" fillId="3" borderId="8" xfId="7" applyNumberFormat="1" applyFont="1" applyBorder="1"/>
    <xf numFmtId="165" fontId="0" fillId="3" borderId="8" xfId="7" applyNumberFormat="1" applyFont="1" applyBorder="1"/>
    <xf numFmtId="0" fontId="0" fillId="3" borderId="8" xfId="7" applyNumberFormat="1" applyFont="1" applyBorder="1"/>
    <xf numFmtId="166" fontId="0" fillId="3" borderId="8" xfId="7" applyNumberFormat="1" applyFont="1" applyBorder="1"/>
    <xf numFmtId="1" fontId="11" fillId="4" borderId="8" xfId="5" applyNumberFormat="1" applyFont="1" applyBorder="1" applyAlignment="1"/>
    <xf numFmtId="167" fontId="11" fillId="4" borderId="8" xfId="5" applyNumberFormat="1" applyFont="1" applyBorder="1" applyAlignment="1"/>
    <xf numFmtId="0" fontId="0" fillId="2" borderId="8" xfId="1" applyNumberFormat="1" applyFont="1" applyBorder="1"/>
    <xf numFmtId="0" fontId="0" fillId="0" borderId="0" xfId="2" applyNumberFormat="1" applyFont="1" applyBorder="1"/>
    <xf numFmtId="49" fontId="0" fillId="0" borderId="0" xfId="0" applyNumberFormat="1" applyBorder="1"/>
    <xf numFmtId="1" fontId="0" fillId="0" borderId="0" xfId="0" applyNumberFormat="1" applyBorder="1"/>
    <xf numFmtId="1" fontId="0" fillId="4" borderId="8" xfId="5" applyNumberFormat="1" applyFont="1" applyBorder="1" applyAlignment="1"/>
    <xf numFmtId="167" fontId="0" fillId="4" borderId="8" xfId="5" applyNumberFormat="1" applyFont="1" applyBorder="1" applyAlignment="1"/>
    <xf numFmtId="49" fontId="0" fillId="0" borderId="0" xfId="3" applyNumberFormat="1" applyFont="1" applyBorder="1" applyAlignment="1">
      <alignment wrapText="1"/>
    </xf>
    <xf numFmtId="0" fontId="0" fillId="5" borderId="8" xfId="4" applyNumberFormat="1" applyFont="1" applyBorder="1" applyAlignment="1">
      <alignment wrapText="1"/>
    </xf>
    <xf numFmtId="164" fontId="0" fillId="5" borderId="8" xfId="4" applyNumberFormat="1" applyFont="1" applyBorder="1" applyAlignment="1">
      <alignment wrapText="1"/>
    </xf>
    <xf numFmtId="1" fontId="0" fillId="5" borderId="8" xfId="4" applyNumberFormat="1" applyFont="1" applyBorder="1" applyAlignment="1">
      <alignment wrapText="1"/>
    </xf>
    <xf numFmtId="49" fontId="6" fillId="6" borderId="8" xfId="6" applyNumberFormat="1" applyBorder="1" applyAlignment="1">
      <alignment wrapText="1"/>
    </xf>
    <xf numFmtId="0" fontId="6" fillId="6" borderId="8" xfId="6" applyNumberFormat="1" applyBorder="1" applyAlignment="1">
      <alignment wrapText="1"/>
    </xf>
    <xf numFmtId="0" fontId="5" fillId="4" borderId="8" xfId="5" applyNumberFormat="1" applyBorder="1" applyAlignment="1">
      <alignment wrapText="1"/>
    </xf>
    <xf numFmtId="0" fontId="0" fillId="2" borderId="8" xfId="1" applyNumberFormat="1" applyFont="1" applyBorder="1" applyAlignment="1">
      <alignment wrapText="1"/>
    </xf>
    <xf numFmtId="0" fontId="0" fillId="0" borderId="0" xfId="2" applyNumberFormat="1" applyFont="1" applyBorder="1" applyAlignment="1">
      <alignment wrapText="1"/>
    </xf>
    <xf numFmtId="49" fontId="0" fillId="0" borderId="0" xfId="3" applyNumberFormat="1" applyFont="1" applyAlignment="1"/>
    <xf numFmtId="0" fontId="0" fillId="0" borderId="0" xfId="0" applyAlignment="1"/>
    <xf numFmtId="0" fontId="0" fillId="5" borderId="1" xfId="4" applyNumberFormat="1" applyFont="1" applyAlignment="1"/>
    <xf numFmtId="0" fontId="0" fillId="0" borderId="0" xfId="0" quotePrefix="1" applyAlignment="1"/>
  </cellXfs>
  <cellStyles count="9">
    <cellStyle name="NodeXL Do Not Edit" xfId="1"/>
    <cellStyle name="NodeXL Graph Metric" xfId="5"/>
    <cellStyle name="NodeXL Graph Metric Separator" xfId="8"/>
    <cellStyle name="NodeXL Label" xfId="6"/>
    <cellStyle name="NodeXL Layout" xfId="7"/>
    <cellStyle name="NodeXL Other Column" xfId="2"/>
    <cellStyle name="NodeXL Required" xfId="3"/>
    <cellStyle name="NodeXL Visual Property" xfId="4"/>
    <cellStyle name="Normal" xfId="0" builtinId="0"/>
  </cellStyles>
  <dxfs count="99">
    <dxf>
      <numFmt numFmtId="0" formatCode="General"/>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30" formatCode="@"/>
    </dxf>
    <dxf>
      <numFmt numFmtId="30" formatCode="@"/>
    </dxf>
    <dxf>
      <numFmt numFmtId="1" formatCode="0"/>
    </dxf>
    <dxf>
      <numFmt numFmtId="30" formatCode="@"/>
    </dxf>
    <dxf>
      <numFmt numFmtId="30" formatCode="@"/>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numFmt numFmtId="166" formatCode="#,##0.000"/>
    </dxf>
    <dxf>
      <numFmt numFmtId="166" formatCode="#,##0.000"/>
    </dxf>
    <dxf>
      <numFmt numFmtId="0" formatCode="General"/>
    </dxf>
    <dxf>
      <numFmt numFmtId="165" formatCode="#,##0.0"/>
    </dxf>
    <dxf>
      <numFmt numFmtId="165" formatCode="#,##0.0"/>
    </dxf>
    <dxf>
      <numFmt numFmtId="164" formatCode="0.0"/>
    </dxf>
    <dxf>
      <numFmt numFmtId="30" formatCode="@"/>
    </dxf>
    <dxf>
      <numFmt numFmtId="0" formatCode="General"/>
    </dxf>
    <dxf>
      <numFmt numFmtId="30" formatCode="@"/>
    </dxf>
    <dxf>
      <numFmt numFmtId="0" formatCode="General"/>
    </dxf>
    <dxf>
      <numFmt numFmtId="0" formatCode="General"/>
    </dxf>
    <dxf>
      <numFmt numFmtId="1" formatCode="0"/>
    </dxf>
    <dxf>
      <numFmt numFmtId="164" formatCode="0.0"/>
    </dxf>
    <dxf>
      <numFmt numFmtId="0" formatCode="General"/>
    </dxf>
    <dxf>
      <numFmt numFmtId="0" formatCode="General"/>
    </dxf>
    <dxf>
      <numFmt numFmtId="30" formatCode="@"/>
    </dxf>
    <dxf>
      <numFmt numFmtId="30" formatCode="@"/>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numFmt numFmtId="0" formatCode="General"/>
      <alignment horizontal="general" vertical="bottom" textRotation="0" wrapText="1" relative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0" formatCode="@"/>
    </dxf>
    <dxf>
      <numFmt numFmtId="30" formatCode="@"/>
    </dxf>
    <dxf>
      <numFmt numFmtId="167" formatCode="0.000"/>
    </dxf>
    <dxf>
      <numFmt numFmtId="167"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1"/>
        <name val="Calibri"/>
        <scheme val="minor"/>
      </font>
      <numFmt numFmtId="0" formatCode="General"/>
    </dxf>
    <dxf>
      <numFmt numFmtId="30" formatCode="@"/>
    </dxf>
    <dxf>
      <alignment horizontal="general" vertical="bottom" textRotation="0" wrapText="1" indent="0" justifyLastLine="0" shrinkToFit="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s>
  <tableStyles count="1" defaultTableStyle="TableStyleMedium9" defaultPivotStyle="PivotStyleLight16">
    <tableStyle name="NodeXL Table" pivot="0" count="1">
      <tableStyleElement type="headerRow" dxfId="9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Metrics'!$E$2</c:f>
              <c:strCache>
                <c:ptCount val="1"/>
                <c:pt idx="0">
                  <c:v>0</c:v>
                </c:pt>
              </c:strCache>
            </c:strRef>
          </c:tx>
          <c:spPr>
            <a:solidFill>
              <a:schemeClr val="accent1"/>
            </a:solidFill>
          </c:spPr>
          <c:invertIfNegative val="0"/>
          <c:cat>
            <c:numRef>
              <c:f>'Overall Metrics'!$D$2:$D$45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Metrics'!$E$2:$E$45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04679936"/>
        <c:axId val="96860928"/>
      </c:barChart>
      <c:catAx>
        <c:axId val="104679936"/>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overlay val="0"/>
        </c:title>
        <c:numFmt formatCode="#,##0.00" sourceLinked="1"/>
        <c:majorTickMark val="out"/>
        <c:minorTickMark val="none"/>
        <c:tickLblPos val="none"/>
        <c:crossAx val="96860928"/>
        <c:crosses val="autoZero"/>
        <c:auto val="1"/>
        <c:lblAlgn val="ctr"/>
        <c:lblOffset val="100"/>
        <c:noMultiLvlLbl val="0"/>
      </c:catAx>
      <c:valAx>
        <c:axId val="9686092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0467993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Metrics'!$G$2</c:f>
              <c:strCache>
                <c:ptCount val="1"/>
                <c:pt idx="0">
                  <c:v>0</c:v>
                </c:pt>
              </c:strCache>
            </c:strRef>
          </c:tx>
          <c:spPr>
            <a:solidFill>
              <a:schemeClr val="accent1"/>
            </a:solidFill>
          </c:spPr>
          <c:invertIfNegative val="0"/>
          <c:cat>
            <c:numRef>
              <c:f>'Overall Metrics'!$F$2:$F$45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Metrics'!$G$2:$G$45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04759296"/>
        <c:axId val="105710144"/>
      </c:barChart>
      <c:catAx>
        <c:axId val="104759296"/>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overlay val="0"/>
        </c:title>
        <c:numFmt formatCode="#,##0.00" sourceLinked="1"/>
        <c:majorTickMark val="out"/>
        <c:minorTickMark val="none"/>
        <c:tickLblPos val="none"/>
        <c:crossAx val="105710144"/>
        <c:crosses val="autoZero"/>
        <c:auto val="1"/>
        <c:lblAlgn val="ctr"/>
        <c:lblOffset val="100"/>
        <c:noMultiLvlLbl val="0"/>
      </c:catAx>
      <c:valAx>
        <c:axId val="10571014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0475929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Metrics'!$I$2</c:f>
              <c:strCache>
                <c:ptCount val="1"/>
                <c:pt idx="0">
                  <c:v>0</c:v>
                </c:pt>
              </c:strCache>
            </c:strRef>
          </c:tx>
          <c:spPr>
            <a:solidFill>
              <a:schemeClr val="accent1"/>
            </a:solidFill>
          </c:spPr>
          <c:invertIfNegative val="0"/>
          <c:cat>
            <c:numRef>
              <c:f>'Overall Metrics'!$H$2:$H$45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Metrics'!$I$2:$I$45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04759808"/>
        <c:axId val="105711872"/>
      </c:barChart>
      <c:catAx>
        <c:axId val="104759808"/>
        <c:scaling>
          <c:orientation val="minMax"/>
        </c:scaling>
        <c:delete val="1"/>
        <c:axPos val="b"/>
        <c:title>
          <c:tx>
            <c:rich>
              <a:bodyPr/>
              <a:lstStyle/>
              <a:p>
                <a:pPr>
                  <a:defRPr/>
                </a:pPr>
                <a:r>
                  <a:rPr lang="en-US"/>
                  <a:t>Out-Degree</a:t>
                </a:r>
              </a:p>
            </c:rich>
          </c:tx>
          <c:layout>
            <c:manualLayout>
              <c:xMode val="edge"/>
              <c:yMode val="edge"/>
              <c:x val="0.41379516818709683"/>
              <c:y val="0.80898890864449868"/>
            </c:manualLayout>
          </c:layout>
          <c:overlay val="0"/>
        </c:title>
        <c:numFmt formatCode="#,##0.00" sourceLinked="1"/>
        <c:majorTickMark val="out"/>
        <c:minorTickMark val="none"/>
        <c:tickLblPos val="none"/>
        <c:crossAx val="105711872"/>
        <c:crosses val="autoZero"/>
        <c:auto val="1"/>
        <c:lblAlgn val="ctr"/>
        <c:lblOffset val="100"/>
        <c:noMultiLvlLbl val="0"/>
      </c:catAx>
      <c:valAx>
        <c:axId val="10571187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0475980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Metrics'!$K$2</c:f>
              <c:strCache>
                <c:ptCount val="1"/>
                <c:pt idx="0">
                  <c:v>0</c:v>
                </c:pt>
              </c:strCache>
            </c:strRef>
          </c:tx>
          <c:spPr>
            <a:solidFill>
              <a:schemeClr val="accent1"/>
            </a:solidFill>
          </c:spPr>
          <c:invertIfNegative val="0"/>
          <c:cat>
            <c:numRef>
              <c:f>'Overall Metrics'!$J$2:$J$45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Metrics'!$K$2:$K$45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04760320"/>
        <c:axId val="105713600"/>
      </c:barChart>
      <c:catAx>
        <c:axId val="104760320"/>
        <c:scaling>
          <c:orientation val="minMax"/>
        </c:scaling>
        <c:delete val="1"/>
        <c:axPos val="b"/>
        <c:title>
          <c:tx>
            <c:rich>
              <a:bodyPr/>
              <a:lstStyle/>
              <a:p>
                <a:pPr>
                  <a:defRPr/>
                </a:pPr>
                <a:r>
                  <a:rPr lang="en-US"/>
                  <a:t>Betweenness Centrality</a:t>
                </a:r>
              </a:p>
            </c:rich>
          </c:tx>
          <c:layout>
            <c:manualLayout>
              <c:xMode val="edge"/>
              <c:yMode val="edge"/>
              <c:x val="0.32728710116055848"/>
              <c:y val="0.82619320971975252"/>
            </c:manualLayout>
          </c:layout>
          <c:overlay val="0"/>
        </c:title>
        <c:numFmt formatCode="#,##0.00" sourceLinked="1"/>
        <c:majorTickMark val="out"/>
        <c:minorTickMark val="none"/>
        <c:tickLblPos val="none"/>
        <c:crossAx val="105713600"/>
        <c:crosses val="autoZero"/>
        <c:auto val="1"/>
        <c:lblAlgn val="ctr"/>
        <c:lblOffset val="100"/>
        <c:noMultiLvlLbl val="0"/>
      </c:catAx>
      <c:valAx>
        <c:axId val="10571360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0476032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Metrics'!$M$2</c:f>
              <c:strCache>
                <c:ptCount val="1"/>
                <c:pt idx="0">
                  <c:v>0</c:v>
                </c:pt>
              </c:strCache>
            </c:strRef>
          </c:tx>
          <c:spPr>
            <a:solidFill>
              <a:schemeClr val="accent1"/>
            </a:solidFill>
          </c:spPr>
          <c:invertIfNegative val="0"/>
          <c:cat>
            <c:numRef>
              <c:f>'Overall Metrics'!$L$2:$L$45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Metrics'!$M$2:$M$45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04760832"/>
        <c:axId val="105715328"/>
      </c:barChart>
      <c:catAx>
        <c:axId val="104760832"/>
        <c:scaling>
          <c:orientation val="minMax"/>
        </c:scaling>
        <c:delete val="1"/>
        <c:axPos val="b"/>
        <c:title>
          <c:tx>
            <c:rich>
              <a:bodyPr/>
              <a:lstStyle/>
              <a:p>
                <a:pPr>
                  <a:defRPr/>
                </a:pPr>
                <a:r>
                  <a:rPr lang="en-US"/>
                  <a:t>Closeness Centrality</a:t>
                </a:r>
              </a:p>
            </c:rich>
          </c:tx>
          <c:layout>
            <c:manualLayout>
              <c:xMode val="edge"/>
              <c:yMode val="edge"/>
              <c:x val="0.35406086287408189"/>
              <c:y val="0.82619320971975252"/>
            </c:manualLayout>
          </c:layout>
          <c:overlay val="0"/>
        </c:title>
        <c:numFmt formatCode="#,##0.00" sourceLinked="1"/>
        <c:majorTickMark val="out"/>
        <c:minorTickMark val="none"/>
        <c:tickLblPos val="none"/>
        <c:crossAx val="105715328"/>
        <c:crosses val="autoZero"/>
        <c:auto val="1"/>
        <c:lblAlgn val="ctr"/>
        <c:lblOffset val="100"/>
        <c:noMultiLvlLbl val="0"/>
      </c:catAx>
      <c:valAx>
        <c:axId val="10571532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04760832"/>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Metrics'!$O$2</c:f>
              <c:strCache>
                <c:ptCount val="1"/>
                <c:pt idx="0">
                  <c:v>0</c:v>
                </c:pt>
              </c:strCache>
            </c:strRef>
          </c:tx>
          <c:spPr>
            <a:solidFill>
              <a:schemeClr val="accent1"/>
            </a:solidFill>
          </c:spPr>
          <c:invertIfNegative val="0"/>
          <c:cat>
            <c:numRef>
              <c:f>'Overall Metrics'!$N$2:$N$45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Metrics'!$O$2:$O$45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04761344"/>
        <c:axId val="105717056"/>
      </c:barChart>
      <c:catAx>
        <c:axId val="104761344"/>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033"/>
              <c:y val="0.82619320971975252"/>
            </c:manualLayout>
          </c:layout>
          <c:overlay val="0"/>
        </c:title>
        <c:numFmt formatCode="#,##0.00" sourceLinked="1"/>
        <c:majorTickMark val="out"/>
        <c:minorTickMark val="none"/>
        <c:tickLblPos val="none"/>
        <c:crossAx val="105717056"/>
        <c:crosses val="autoZero"/>
        <c:auto val="1"/>
        <c:lblAlgn val="ctr"/>
        <c:lblOffset val="100"/>
        <c:noMultiLvlLbl val="0"/>
      </c:catAx>
      <c:valAx>
        <c:axId val="105717056"/>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0476134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Metrics'!$S$2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Metrics'!$S$2:$S$45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04761856"/>
        <c:axId val="123954304"/>
      </c:barChart>
      <c:catAx>
        <c:axId val="104761856"/>
        <c:scaling>
          <c:orientation val="minMax"/>
        </c:scaling>
        <c:delete val="1"/>
        <c:axPos val="b"/>
        <c:title>
          <c:tx>
            <c:rich>
              <a:bodyPr/>
              <a:lstStyle/>
              <a:p>
                <a:pPr>
                  <a:defRPr/>
                </a:pPr>
                <a:r>
                  <a:rPr lang="en-US"/>
                  <a:t>Clustering Coefficient</a:t>
                </a:r>
              </a:p>
            </c:rich>
          </c:tx>
          <c:layout>
            <c:manualLayout>
              <c:xMode val="edge"/>
              <c:yMode val="edge"/>
              <c:x val="0.33732726180313055"/>
              <c:y val="0.82619320971975252"/>
            </c:manualLayout>
          </c:layout>
          <c:overlay val="0"/>
        </c:title>
        <c:numFmt formatCode="#,##0.00" sourceLinked="1"/>
        <c:majorTickMark val="out"/>
        <c:minorTickMark val="none"/>
        <c:tickLblPos val="none"/>
        <c:crossAx val="123954304"/>
        <c:crosses val="autoZero"/>
        <c:auto val="1"/>
        <c:lblAlgn val="ctr"/>
        <c:lblOffset val="100"/>
        <c:noMultiLvlLbl val="0"/>
      </c:catAx>
      <c:valAx>
        <c:axId val="12395430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0476185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Metrics'!$Q$2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Metrics'!$Q$2:$Q$45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04762368"/>
        <c:axId val="123956032"/>
      </c:barChart>
      <c:catAx>
        <c:axId val="104762368"/>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overlay val="0"/>
        </c:title>
        <c:numFmt formatCode="#,##0.00" sourceLinked="1"/>
        <c:majorTickMark val="out"/>
        <c:minorTickMark val="none"/>
        <c:tickLblPos val="none"/>
        <c:crossAx val="123956032"/>
        <c:crosses val="autoZero"/>
        <c:auto val="1"/>
        <c:lblAlgn val="ctr"/>
        <c:lblOffset val="100"/>
        <c:noMultiLvlLbl val="0"/>
      </c:catAx>
      <c:valAx>
        <c:axId val="12395603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0476236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39579878386612E-3"/>
          <c:y val="8.0430855234004828E-3"/>
          <c:w val="0.99723592884220935"/>
          <c:h val="0.98391246548724509"/>
        </c:manualLayout>
      </c:layout>
      <c:barChart>
        <c:barDir val="col"/>
        <c:grouping val="clustered"/>
        <c:varyColors val="0"/>
        <c:ser>
          <c:idx val="1"/>
          <c:order val="0"/>
          <c:tx>
            <c:strRef>
              <c:f>'Overall Metrics'!$U$2</c:f>
              <c:strCache>
                <c:ptCount val="1"/>
                <c:pt idx="0">
                  <c:v>45</c:v>
                </c:pt>
              </c:strCache>
            </c:strRef>
          </c:tx>
          <c:spPr>
            <a:solidFill>
              <a:schemeClr val="accent1"/>
            </a:solidFill>
          </c:spPr>
          <c:invertIfNegative val="0"/>
          <c:cat>
            <c:numRef>
              <c:f>'Overall Metrics'!$T$2:$T$45</c:f>
              <c:numCache>
                <c:formatCode>#,##0.00</c:formatCode>
                <c:ptCount val="44"/>
                <c:pt idx="0">
                  <c:v>0</c:v>
                </c:pt>
                <c:pt idx="1">
                  <c:v>10978.418604651162</c:v>
                </c:pt>
                <c:pt idx="2">
                  <c:v>21956.837209302324</c:v>
                </c:pt>
                <c:pt idx="3">
                  <c:v>32935.255813953489</c:v>
                </c:pt>
                <c:pt idx="4">
                  <c:v>43913.674418604649</c:v>
                </c:pt>
                <c:pt idx="5">
                  <c:v>54892.093023255809</c:v>
                </c:pt>
                <c:pt idx="6">
                  <c:v>65870.511627906977</c:v>
                </c:pt>
                <c:pt idx="7">
                  <c:v>76848.930232558138</c:v>
                </c:pt>
                <c:pt idx="8">
                  <c:v>87827.348837209298</c:v>
                </c:pt>
                <c:pt idx="9">
                  <c:v>98805.767441860458</c:v>
                </c:pt>
                <c:pt idx="10">
                  <c:v>109784.18604651162</c:v>
                </c:pt>
                <c:pt idx="11">
                  <c:v>120762.60465116278</c:v>
                </c:pt>
                <c:pt idx="12">
                  <c:v>131741.02325581395</c:v>
                </c:pt>
                <c:pt idx="13">
                  <c:v>142719.44186046513</c:v>
                </c:pt>
                <c:pt idx="14">
                  <c:v>153697.8604651163</c:v>
                </c:pt>
                <c:pt idx="15">
                  <c:v>164676.27906976748</c:v>
                </c:pt>
                <c:pt idx="16">
                  <c:v>175654.69767441865</c:v>
                </c:pt>
                <c:pt idx="17">
                  <c:v>186633.11627906983</c:v>
                </c:pt>
                <c:pt idx="18">
                  <c:v>197611.534883721</c:v>
                </c:pt>
                <c:pt idx="19">
                  <c:v>208589.95348837218</c:v>
                </c:pt>
                <c:pt idx="20">
                  <c:v>219568.37209302335</c:v>
                </c:pt>
                <c:pt idx="21">
                  <c:v>230546.79069767453</c:v>
                </c:pt>
                <c:pt idx="22">
                  <c:v>241525.2093023257</c:v>
                </c:pt>
                <c:pt idx="23">
                  <c:v>252503.62790697688</c:v>
                </c:pt>
                <c:pt idx="24">
                  <c:v>263482.04651162802</c:v>
                </c:pt>
                <c:pt idx="25">
                  <c:v>274460.4651162792</c:v>
                </c:pt>
                <c:pt idx="26">
                  <c:v>285438.88372093037</c:v>
                </c:pt>
                <c:pt idx="27">
                  <c:v>296417.30232558155</c:v>
                </c:pt>
                <c:pt idx="28">
                  <c:v>307395.72093023272</c:v>
                </c:pt>
                <c:pt idx="29">
                  <c:v>318374.1395348839</c:v>
                </c:pt>
                <c:pt idx="30">
                  <c:v>329352.55813953507</c:v>
                </c:pt>
                <c:pt idx="31">
                  <c:v>340330.97674418625</c:v>
                </c:pt>
                <c:pt idx="32">
                  <c:v>351309.39534883742</c:v>
                </c:pt>
                <c:pt idx="33">
                  <c:v>362287.8139534886</c:v>
                </c:pt>
                <c:pt idx="34">
                  <c:v>373266.23255813977</c:v>
                </c:pt>
                <c:pt idx="35">
                  <c:v>384244.65116279095</c:v>
                </c:pt>
                <c:pt idx="36">
                  <c:v>395223.06976744212</c:v>
                </c:pt>
                <c:pt idx="37">
                  <c:v>406201.4883720933</c:v>
                </c:pt>
                <c:pt idx="38">
                  <c:v>417179.90697674447</c:v>
                </c:pt>
                <c:pt idx="39">
                  <c:v>428158.32558139565</c:v>
                </c:pt>
                <c:pt idx="40">
                  <c:v>439136.74418604682</c:v>
                </c:pt>
                <c:pt idx="41">
                  <c:v>450115.162790698</c:v>
                </c:pt>
                <c:pt idx="42">
                  <c:v>461093.58139534917</c:v>
                </c:pt>
                <c:pt idx="43">
                  <c:v>472072</c:v>
                </c:pt>
              </c:numCache>
            </c:numRef>
          </c:cat>
          <c:val>
            <c:numRef>
              <c:f>'Overall Metrics'!$U$2:$U$45</c:f>
              <c:numCache>
                <c:formatCode>General</c:formatCode>
                <c:ptCount val="44"/>
                <c:pt idx="0">
                  <c:v>45</c:v>
                </c:pt>
                <c:pt idx="1">
                  <c:v>8</c:v>
                </c:pt>
                <c:pt idx="2">
                  <c:v>3</c:v>
                </c:pt>
                <c:pt idx="3">
                  <c:v>1</c:v>
                </c:pt>
                <c:pt idx="4">
                  <c:v>1</c:v>
                </c:pt>
                <c:pt idx="5">
                  <c:v>0</c:v>
                </c:pt>
                <c:pt idx="6">
                  <c:v>1</c:v>
                </c:pt>
                <c:pt idx="7">
                  <c:v>2</c:v>
                </c:pt>
                <c:pt idx="8">
                  <c:v>0</c:v>
                </c:pt>
                <c:pt idx="9">
                  <c:v>0</c:v>
                </c:pt>
                <c:pt idx="10">
                  <c:v>0</c:v>
                </c:pt>
                <c:pt idx="11">
                  <c:v>0</c:v>
                </c:pt>
                <c:pt idx="12">
                  <c:v>0</c:v>
                </c:pt>
                <c:pt idx="13">
                  <c:v>1</c:v>
                </c:pt>
                <c:pt idx="14">
                  <c:v>0</c:v>
                </c:pt>
                <c:pt idx="15">
                  <c:v>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c:v>
                </c:pt>
                <c:pt idx="35">
                  <c:v>0</c:v>
                </c:pt>
                <c:pt idx="36">
                  <c:v>0</c:v>
                </c:pt>
                <c:pt idx="37">
                  <c:v>0</c:v>
                </c:pt>
                <c:pt idx="38">
                  <c:v>0</c:v>
                </c:pt>
                <c:pt idx="39">
                  <c:v>0</c:v>
                </c:pt>
                <c:pt idx="40">
                  <c:v>0</c:v>
                </c:pt>
                <c:pt idx="41">
                  <c:v>0</c:v>
                </c:pt>
                <c:pt idx="42">
                  <c:v>0</c:v>
                </c:pt>
                <c:pt idx="43">
                  <c:v>1</c:v>
                </c:pt>
              </c:numCache>
            </c:numRef>
          </c:val>
        </c:ser>
        <c:dLbls>
          <c:showLegendKey val="0"/>
          <c:showVal val="0"/>
          <c:showCatName val="0"/>
          <c:showSerName val="0"/>
          <c:showPercent val="0"/>
          <c:showBubbleSize val="0"/>
        </c:dLbls>
        <c:gapWidth val="0"/>
        <c:axId val="104677376"/>
        <c:axId val="123958912"/>
      </c:barChart>
      <c:catAx>
        <c:axId val="104677376"/>
        <c:scaling>
          <c:orientation val="minMax"/>
        </c:scaling>
        <c:delete val="1"/>
        <c:axPos val="b"/>
        <c:numFmt formatCode="#,##0.00" sourceLinked="1"/>
        <c:majorTickMark val="out"/>
        <c:minorTickMark val="none"/>
        <c:tickLblPos val="none"/>
        <c:crossAx val="123958912"/>
        <c:crosses val="autoZero"/>
        <c:auto val="1"/>
        <c:lblAlgn val="ctr"/>
        <c:lblOffset val="100"/>
        <c:noMultiLvlLbl val="0"/>
      </c:catAx>
      <c:valAx>
        <c:axId val="123958912"/>
        <c:scaling>
          <c:orientation val="minMax"/>
        </c:scaling>
        <c:delete val="1"/>
        <c:axPos val="l"/>
        <c:numFmt formatCode="General" sourceLinked="1"/>
        <c:majorTickMark val="out"/>
        <c:minorTickMark val="none"/>
        <c:tickLblPos val="none"/>
        <c:crossAx val="104677376"/>
        <c:crosses val="autoZero"/>
        <c:crossBetween val="between"/>
      </c:valAx>
      <c:spPr>
        <a:solidFill>
          <a:schemeClr val="bg1">
            <a:lumMod val="85000"/>
          </a:schemeClr>
        </a:solidFill>
        <a:ln>
          <a:noFill/>
        </a:ln>
      </c:spPr>
    </c:plotArea>
    <c:plotVisOnly val="0"/>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31</xdr:row>
      <xdr:rowOff>38100</xdr:rowOff>
    </xdr:from>
    <xdr:to>
      <xdr:col>1</xdr:col>
      <xdr:colOff>918209</xdr:colOff>
      <xdr:row>38</xdr:row>
      <xdr:rowOff>180975</xdr:rowOff>
    </xdr:to>
    <xdr:graphicFrame macro="">
      <xdr:nvGraphicFramePr>
        <xdr:cNvPr id="2" name="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45</xdr:row>
      <xdr:rowOff>38100</xdr:rowOff>
    </xdr:from>
    <xdr:to>
      <xdr:col>1</xdr:col>
      <xdr:colOff>918209</xdr:colOff>
      <xdr:row>52</xdr:row>
      <xdr:rowOff>180975</xdr:rowOff>
    </xdr:to>
    <xdr:graphicFrame macro="">
      <xdr:nvGraphicFramePr>
        <xdr:cNvPr id="5" name="In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59</xdr:row>
      <xdr:rowOff>28575</xdr:rowOff>
    </xdr:from>
    <xdr:to>
      <xdr:col>1</xdr:col>
      <xdr:colOff>918209</xdr:colOff>
      <xdr:row>66</xdr:row>
      <xdr:rowOff>171450</xdr:rowOff>
    </xdr:to>
    <xdr:graphicFrame macro="">
      <xdr:nvGraphicFramePr>
        <xdr:cNvPr id="4" name="Out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73</xdr:row>
      <xdr:rowOff>9525</xdr:rowOff>
    </xdr:from>
    <xdr:to>
      <xdr:col>1</xdr:col>
      <xdr:colOff>918210</xdr:colOff>
      <xdr:row>80</xdr:row>
      <xdr:rowOff>152400</xdr:rowOff>
    </xdr:to>
    <xdr:graphicFrame macro="">
      <xdr:nvGraphicFramePr>
        <xdr:cNvPr id="6" name="Between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87</xdr:row>
      <xdr:rowOff>19050</xdr:rowOff>
    </xdr:from>
    <xdr:to>
      <xdr:col>2</xdr:col>
      <xdr:colOff>0</xdr:colOff>
      <xdr:row>94</xdr:row>
      <xdr:rowOff>161925</xdr:rowOff>
    </xdr:to>
    <xdr:graphicFrame macro="">
      <xdr:nvGraphicFramePr>
        <xdr:cNvPr id="7" name="Close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101</xdr:row>
      <xdr:rowOff>19050</xdr:rowOff>
    </xdr:from>
    <xdr:to>
      <xdr:col>1</xdr:col>
      <xdr:colOff>918210</xdr:colOff>
      <xdr:row>108</xdr:row>
      <xdr:rowOff>161925</xdr:rowOff>
    </xdr:to>
    <xdr:graphicFrame macro="">
      <xdr:nvGraphicFramePr>
        <xdr:cNvPr id="8" name="Eigenvector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129</xdr:row>
      <xdr:rowOff>9525</xdr:rowOff>
    </xdr:from>
    <xdr:to>
      <xdr:col>1</xdr:col>
      <xdr:colOff>918210</xdr:colOff>
      <xdr:row>136</xdr:row>
      <xdr:rowOff>152400</xdr:rowOff>
    </xdr:to>
    <xdr:graphicFrame macro="">
      <xdr:nvGraphicFramePr>
        <xdr:cNvPr id="9"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115</xdr:row>
      <xdr:rowOff>0</xdr:rowOff>
    </xdr:from>
    <xdr:to>
      <xdr:col>1</xdr:col>
      <xdr:colOff>918210</xdr:colOff>
      <xdr:row>122</xdr:row>
      <xdr:rowOff>142875</xdr:rowOff>
    </xdr:to>
    <xdr:graphicFrame macro="">
      <xdr:nvGraphicFramePr>
        <xdr:cNvPr id="10"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1</xdr:row>
      <xdr:rowOff>0</xdr:rowOff>
    </xdr:from>
    <xdr:to>
      <xdr:col>21</xdr:col>
      <xdr:colOff>381000</xdr:colOff>
      <xdr:row>4</xdr:row>
      <xdr:rowOff>28575</xdr:rowOff>
    </xdr:to>
    <xdr:graphicFrame macro="">
      <xdr:nvGraphicFramePr>
        <xdr:cNvPr id="2" name="DynamicFilter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Edges" displayName="Edges" ref="A2:N90" totalsRowShown="0" headerRowDxfId="57" dataDxfId="56">
  <autoFilter ref="A2:N90">
    <filterColumn colId="1">
      <filters>
        <filter val="US"/>
      </filters>
    </filterColumn>
  </autoFilter>
  <tableColumns count="14">
    <tableColumn id="1" name="Vertex 1" dataDxfId="55" dataCellStyle="NodeXL Required"/>
    <tableColumn id="2" name="Vertex 2" dataDxfId="54" dataCellStyle="NodeXL Required"/>
    <tableColumn id="3" name="Color" dataDxfId="53" dataCellStyle="NodeXL Visual Property"/>
    <tableColumn id="4" name="Width" dataDxfId="52" dataCellStyle="NodeXL Visual Property"/>
    <tableColumn id="11" name="Style" dataDxfId="51" dataCellStyle="NodeXL Visual Property"/>
    <tableColumn id="5" name="Opacity" dataDxfId="50" dataCellStyle="NodeXL Visual Property"/>
    <tableColumn id="6" name="Visibility" dataDxfId="49" dataCellStyle="NodeXL Visual Property"/>
    <tableColumn id="10" name="Label" dataDxfId="48" dataCellStyle="NodeXL Label"/>
    <tableColumn id="12" name="Label Text Color" dataDxfId="47" dataCellStyle="NodeXL Label"/>
    <tableColumn id="13" name="Label Font Size" dataDxfId="46" dataCellStyle="NodeXL Label"/>
    <tableColumn id="14" name="Reciprocated?" dataDxfId="45" dataCellStyle="NodeXL Graph Metric"/>
    <tableColumn id="7" name="ID" dataDxfId="44" dataCellStyle="NodeXL Do Not Edit"/>
    <tableColumn id="9" name="Dynamic Filter" dataDxfId="43" dataCellStyle="NodeXL Do Not Edit">
      <calculatedColumnFormula xml:space="preserve"> IF(AND(TRUE), TRUE, FALSE)</calculatedColumnFormula>
    </tableColumn>
    <tableColumn id="8" name="Add Your Own Columns Here" dataDxfId="42" dataCellStyle="NodeXL Other Column"/>
  </tableColumns>
  <tableStyleInfo name="NodeXL Table" showFirstColumn="0" showLastColumn="0" showRowStripes="0" showColumnStripes="0"/>
</table>
</file>

<file path=xl/tables/table2.xml><?xml version="1.0" encoding="utf-8"?>
<table xmlns="http://schemas.openxmlformats.org/spreadsheetml/2006/main" id="2" name="Vertices" displayName="Vertices" ref="A2:AH67" totalsRowShown="0" headerRowDxfId="41" dataDxfId="40">
  <autoFilter ref="A2:AH67"/>
  <tableColumns count="34">
    <tableColumn id="1" name="Vertex" dataDxfId="39" dataCellStyle="NodeXL Required"/>
    <tableColumn id="2" name="Color" dataDxfId="38" dataCellStyle="NodeXL Visual Property"/>
    <tableColumn id="5" name="Shape" dataDxfId="37" dataCellStyle="NodeXL Visual Property"/>
    <tableColumn id="6" name="Size" dataDxfId="36" dataCellStyle="NodeXL Visual Property"/>
    <tableColumn id="4" name="Opacity" dataDxfId="35" dataCellStyle="NodeXL Visual Property"/>
    <tableColumn id="7" name="Image File" dataDxfId="34" dataCellStyle="NodeXL Visual Property"/>
    <tableColumn id="3" name="Visibility" dataDxfId="33" dataCellStyle="NodeXL Visual Property"/>
    <tableColumn id="10" name="Label" dataDxfId="32" dataCellStyle="NodeXL Label"/>
    <tableColumn id="16" name="Label Fill Color" dataDxfId="0" dataCellStyle="NodeXL Label"/>
    <tableColumn id="9" name="Label Position" dataDxfId="31" dataCellStyle="NodeXL Label"/>
    <tableColumn id="8" name="Tooltip" dataDxfId="30" dataCellStyle="NodeXL Label"/>
    <tableColumn id="18" name="Layout Order" dataDxfId="29" dataCellStyle="NodeXL Layout"/>
    <tableColumn id="13" name="X" dataDxfId="28" dataCellStyle="NodeXL Layout"/>
    <tableColumn id="14" name="Y" dataDxfId="27" dataCellStyle="NodeXL Layout"/>
    <tableColumn id="12" name="Locked?" dataDxfId="26" dataCellStyle="NodeXL Layout"/>
    <tableColumn id="19" name="Polar R" dataDxfId="25" dataCellStyle="NodeXL Layout"/>
    <tableColumn id="20" name="Polar Angle" dataDxfId="24" dataCellStyle="NodeXL Layout"/>
    <tableColumn id="21" name="Degree" dataDxfId="23" dataCellStyle="NodeXL Graph Metric"/>
    <tableColumn id="22" name="In-Degree" dataDxfId="22" dataCellStyle="NodeXL Graph Metric"/>
    <tableColumn id="23" name="Out-Degree" dataDxfId="21" dataCellStyle="NodeXL Graph Metric"/>
    <tableColumn id="24" name="Betweenness Centrality" dataDxfId="20" dataCellStyle="NodeXL Graph Metric"/>
    <tableColumn id="25" name="Closeness Centrality" dataDxfId="19" dataCellStyle="NodeXL Graph Metric"/>
    <tableColumn id="26" name="Eigenvector Centrality" dataDxfId="18" dataCellStyle="NodeXL Graph Metric"/>
    <tableColumn id="15" name="PageRank" dataDxfId="17" dataCellStyle="NodeXL Graph Metric"/>
    <tableColumn id="27" name="Clustering Coefficient" dataDxfId="16" dataCellStyle="NodeXL Graph Metric"/>
    <tableColumn id="11" name="ID" dataDxfId="15" dataCellStyle="NodeXL Do Not Edit"/>
    <tableColumn id="28" name="Dynamic Filter" dataDxfId="14" dataCellStyle="NodeXL Do Not Edit">
      <calculatedColumnFormula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calculatedColumnFormula>
    </tableColumn>
    <tableColumn id="17" name="Add Your Own Columns Here" dataDxfId="13" dataCellStyle="NodeXL Other Column"/>
    <tableColumn id="29" name="Followers" dataDxfId="12"/>
    <tableColumn id="30" name="Minutes to max tweets" dataDxfId="11"/>
    <tableColumn id="32" name="Inverse of Min to Max Tweets" dataDxfId="10"/>
    <tableColumn id="34" name="Size2" dataDxfId="7">
      <calculatedColumnFormula>Vertices[[#This Row],[Followers]]+Vertices[[#This Row],[Inverse of Min to Max Tweets]]</calculatedColumnFormula>
    </tableColumn>
    <tableColumn id="31" name="Tags" dataDxfId="9"/>
    <tableColumn id="33" name="Type" dataDxfId="8"/>
  </tableColumns>
  <tableStyleInfo name="NodeXL Table" showFirstColumn="0" showLastColumn="0" showRowStripes="0" showColumnStripes="0"/>
</table>
</file>

<file path=xl/tables/table3.xml><?xml version="1.0" encoding="utf-8"?>
<table xmlns="http://schemas.openxmlformats.org/spreadsheetml/2006/main" id="4" name="Groups" displayName="Groups" ref="A2:S3" totalsRowShown="0" headerRowDxfId="97">
  <autoFilter ref="A2:S3"/>
  <tableColumns count="19">
    <tableColumn id="1" name="Group" dataDxfId="6" dataCellStyle="NodeXL Required"/>
    <tableColumn id="2" name="Vertex Color" dataDxfId="5" dataCellStyle="NodeXL Visual Property"/>
    <tableColumn id="3" name="Vertex Shape" dataDxfId="4" dataCellStyle="NodeXL Visual Property"/>
    <tableColumn id="4" name="Collapsed?" dataCellStyle="NodeXL Visual Property"/>
    <tableColumn id="18" name="Label" dataDxfId="96" dataCellStyle="NodeXL Label"/>
    <tableColumn id="6" name="ID" dataDxfId="95" dataCellStyle="NodeXL Do Not Edit"/>
    <tableColumn id="19" name="Collapsed Properties" dataDxfId="94" dataCellStyle="NodeXL Do Not Edit"/>
    <tableColumn id="5" name="Vertices" dataDxfId="93" dataCellStyle="NodeXL Graph Metric"/>
    <tableColumn id="7" name="Unique Edges" dataDxfId="92" dataCellStyle="NodeXL Graph Metric"/>
    <tableColumn id="8" name="Edges With Duplicates" dataDxfId="91" dataCellStyle="NodeXL Graph Metric"/>
    <tableColumn id="9" name="Total Edges" dataDxfId="90" dataCellStyle="NodeXL Graph Metric"/>
    <tableColumn id="10" name="Self-Loops" dataDxfId="89" dataCellStyle="NodeXL Graph Metric"/>
    <tableColumn id="11" name="Connected Components" dataDxfId="88" dataCellStyle="NodeXL Graph Metric"/>
    <tableColumn id="12" name="Single-Vertex Connected Components" dataDxfId="87" dataCellStyle="NodeXL Graph Metric"/>
    <tableColumn id="13" name="Maximum Vertices in a Connected Component" dataDxfId="86" dataCellStyle="NodeXL Graph Metric"/>
    <tableColumn id="14" name="Maximum Edges in a Connected Component" dataDxfId="85" dataCellStyle="NodeXL Graph Metric"/>
    <tableColumn id="15" name="Maximum Geodesic Distance (Diameter)" dataDxfId="84" dataCellStyle="NodeXL Graph Metric"/>
    <tableColumn id="16" name="Average Geodesic Distance" dataDxfId="83" dataCellStyle="NodeXL Graph Metric"/>
    <tableColumn id="17" name="Graph Density" dataDxfId="82" dataCellStyle="NodeXL Graph Metric"/>
  </tableColumns>
  <tableStyleInfo name="NodeXL Table" showFirstColumn="0" showLastColumn="0" showRowStripes="1" showColumnStripes="0"/>
</table>
</file>

<file path=xl/tables/table4.xml><?xml version="1.0" encoding="utf-8"?>
<table xmlns="http://schemas.openxmlformats.org/spreadsheetml/2006/main" id="5" name="GroupVertices" displayName="GroupVertices" ref="A1:C2" totalsRowShown="0" headerRowDxfId="81" dataDxfId="80">
  <autoFilter ref="A1:C2"/>
  <tableColumns count="3">
    <tableColumn id="1" name="Group" dataDxfId="3" dataCellStyle="Normal"/>
    <tableColumn id="2" name="Vertex" dataDxfId="2" dataCellStyle="Normal"/>
    <tableColumn id="3" name="Vertex ID" dataDxfId="1" dataCellStyle="Normal"/>
  </tableColumns>
  <tableStyleInfo name="TableStyleMedium9" showFirstColumn="0" showLastColumn="0" showRowStripes="1" showColumnStripes="0"/>
</table>
</file>

<file path=xl/tables/table5.xml><?xml version="1.0" encoding="utf-8"?>
<table xmlns="http://schemas.openxmlformats.org/spreadsheetml/2006/main" id="6" name="OverallMetrics" displayName="OverallMetrics" ref="A1:B23" totalsRowShown="0" dataCellStyle="NodeXL Graph Metric">
  <autoFilter ref="A1:B23"/>
  <tableColumns count="2">
    <tableColumn id="1" name="Graph Metric" dataDxfId="79" dataCellStyle="NodeXL Graph Metric"/>
    <tableColumn id="2" name="Value" dataDxfId="78" dataCellStyle="NodeXL Graph Metric"/>
  </tableColumns>
  <tableStyleInfo name="TableStyleMedium9" showFirstColumn="0" showLastColumn="0" showRowStripes="1" showColumnStripes="0"/>
</table>
</file>

<file path=xl/tables/table6.xml><?xml version="1.0" encoding="utf-8"?>
<table xmlns="http://schemas.openxmlformats.org/spreadsheetml/2006/main" id="3" name="HistogramBins" displayName="HistogramBins" ref="D1:U45" totalsRowShown="0">
  <autoFilter ref="D1:U45"/>
  <tableColumns count="18">
    <tableColumn id="1" name="Degree Bin" dataDxfId="77"/>
    <tableColumn id="2" name="Degree Frequency" dataDxfId="76">
      <calculatedColumnFormula>COUNTIF(Vertices[Degree], "&gt;= " &amp; D2) - COUNTIF(Vertices[Degree], "&gt;=" &amp; D3)</calculatedColumnFormula>
    </tableColumn>
    <tableColumn id="3" name="In-Degree Bin" dataDxfId="75"/>
    <tableColumn id="4" name="In-Degree Frequency" dataDxfId="74">
      <calculatedColumnFormula>COUNTIF(Vertices[In-Degree], "&gt;= " &amp; F2) - COUNTIF(Vertices[In-Degree], "&gt;=" &amp; F3)</calculatedColumnFormula>
    </tableColumn>
    <tableColumn id="5" name="Out-Degree Bin" dataDxfId="73"/>
    <tableColumn id="6" name="Out-Degree Frequency" dataDxfId="72">
      <calculatedColumnFormula>COUNTIF(Vertices[Out-Degree], "&gt;= " &amp; H2) - COUNTIF(Vertices[Out-Degree], "&gt;=" &amp; H3)</calculatedColumnFormula>
    </tableColumn>
    <tableColumn id="7" name="Betweenness Centrality Bin" dataDxfId="71"/>
    <tableColumn id="8" name="Betweenness Centrality Frequency" dataDxfId="70">
      <calculatedColumnFormula>COUNTIF(Vertices[Betweenness Centrality], "&gt;= " &amp; J2) - COUNTIF(Vertices[Betweenness Centrality], "&gt;=" &amp; J3)</calculatedColumnFormula>
    </tableColumn>
    <tableColumn id="9" name="Closeness Centrality Bin" dataDxfId="69"/>
    <tableColumn id="10" name="Closeness Centrality Frequency" dataDxfId="68">
      <calculatedColumnFormula>COUNTIF(Vertices[Closeness Centrality], "&gt;= " &amp; L2) - COUNTIF(Vertices[Closeness Centrality], "&gt;=" &amp; L3)</calculatedColumnFormula>
    </tableColumn>
    <tableColumn id="11" name="Eigenvector Centrality Bin" dataDxfId="67"/>
    <tableColumn id="12" name="Eigenvector Centrality Frequency" dataDxfId="66">
      <calculatedColumnFormula>COUNTIF(Vertices[Eigenvector Centrality], "&gt;= " &amp; N2) - COUNTIF(Vertices[Eigenvector Centrality], "&gt;=" &amp; N3)</calculatedColumnFormula>
    </tableColumn>
    <tableColumn id="18" name="PageRank Bin" dataDxfId="65"/>
    <tableColumn id="17" name="PageRank Frequency" dataDxfId="64">
      <calculatedColumnFormula>COUNTIF(Vertices[Eigenvector Centrality], "&gt;= " &amp; P2) - COUNTIF(Vertices[Eigenvector Centrality], "&gt;=" &amp; P3)</calculatedColumnFormula>
    </tableColumn>
    <tableColumn id="13" name="Clustering Coefficient Bin" dataDxfId="63"/>
    <tableColumn id="14" name="Clustering Coefficient Frequency" dataDxfId="62">
      <calculatedColumnFormula>COUNTIF(Vertices[Clustering Coefficient], "&gt;= " &amp; R2) - COUNTIF(Vertices[Clustering Coefficient], "&gt;=" &amp; R3)</calculatedColumnFormula>
    </tableColumn>
    <tableColumn id="15" name="Dynamic Filter Bin" dataDxfId="61"/>
    <tableColumn id="16" name="Dynamic Filter Frequency" dataDxfId="60">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15" name="HistogramProperties" displayName="HistogramProperties" ref="W1:X4" totalsRowShown="0">
  <autoFilter ref="W1:X4"/>
  <tableColumns count="2">
    <tableColumn id="1" name="Histogram Property"/>
    <tableColumn id="2" name="Value"/>
  </tableColumns>
  <tableStyleInfo name="TableStyleMedium9" showFirstColumn="0" showLastColumn="0" showRowStripes="1" showColumnStripes="0"/>
</table>
</file>

<file path=xl/tables/table8.xml><?xml version="1.0" encoding="utf-8"?>
<table xmlns="http://schemas.openxmlformats.org/spreadsheetml/2006/main" id="9" name="OverallReadabilityMetrics" displayName="OverallReadabilityMetrics" ref="A26:B29" totalsRowShown="0" dataCellStyle="NodeXL Graph Metric">
  <autoFilter ref="A26:B29"/>
  <tableColumns count="2">
    <tableColumn id="1" name="Readability Metric" dataCellStyle="NodeXL Graph Metric"/>
    <tableColumn id="2"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id="7" name="PerWorkbookSettings" displayName="PerWorkbookSettings" ref="I1:J9" totalsRowShown="0" headerRowDxfId="59">
  <autoFilter ref="I1:J9"/>
  <tableColumns count="2">
    <tableColumn id="1" name="Per-Workbook Setting"/>
    <tableColumn id="2" name="Value"/>
  </tableColumns>
  <tableStyleInfo name="TableStyleMedium9" showFirstColumn="0" showLastColumn="0" showRowStripes="1" showColumnStripes="0"/>
</table>
</file>

<file path=xl/tables/table10.xml><?xml version="1.0" encoding="utf-8"?>
<table xmlns="http://schemas.openxmlformats.org/spreadsheetml/2006/main" id="8" name="DynamicFilterSettings" displayName="DynamicFilterSettings" ref="L1:O4" totalsRowShown="0" headerRowDxfId="58">
  <autoFilter ref="L1:O4"/>
  <tableColumns count="4">
    <tableColumn id="1" name="Table Name"/>
    <tableColumn id="2" name="Column Name"/>
    <tableColumn id="3" name="Selected Minimum"/>
    <tableColumn id="4" name="Selected Maxim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N90"/>
  <sheetViews>
    <sheetView workbookViewId="0">
      <pane xSplit="2" ySplit="2" topLeftCell="C34" activePane="bottomRight" state="frozen"/>
      <selection pane="topRight" activeCell="C1" sqref="C1"/>
      <selection pane="bottomLeft" activeCell="A3" sqref="A3"/>
      <selection pane="bottomRight" activeCell="B89" sqref="B89"/>
    </sheetView>
  </sheetViews>
  <sheetFormatPr defaultRowHeight="15" x14ac:dyDescent="0.25"/>
  <cols>
    <col min="1" max="2" width="10.42578125" style="1" customWidth="1"/>
    <col min="3" max="3" width="7.85546875" style="3" bestFit="1" customWidth="1"/>
    <col min="4" max="4" width="8.7109375" style="2" bestFit="1" customWidth="1"/>
    <col min="5" max="5" width="7.7109375" style="2" bestFit="1" customWidth="1"/>
    <col min="6" max="6" width="9.85546875" style="2" bestFit="1" customWidth="1"/>
    <col min="7" max="7" width="11" style="3" bestFit="1" customWidth="1"/>
    <col min="8" max="8" width="8" style="1" bestFit="1" customWidth="1"/>
    <col min="9" max="9" width="12.28515625" style="3" bestFit="1" customWidth="1"/>
    <col min="10" max="10" width="12.42578125" style="3" bestFit="1" customWidth="1"/>
    <col min="11" max="11" width="15.5703125" style="3" hidden="1" customWidth="1"/>
    <col min="12" max="12" width="11" hidden="1" customWidth="1"/>
    <col min="13" max="13" width="10.85546875" hidden="1" customWidth="1"/>
    <col min="14" max="14" width="16" bestFit="1" customWidth="1"/>
  </cols>
  <sheetData>
    <row r="1" spans="1:14" x14ac:dyDescent="0.25">
      <c r="C1" s="17" t="s">
        <v>40</v>
      </c>
      <c r="D1" s="18"/>
      <c r="E1" s="18"/>
      <c r="F1" s="18"/>
      <c r="G1" s="17"/>
      <c r="H1" s="15" t="s">
        <v>44</v>
      </c>
      <c r="I1" s="65"/>
      <c r="J1" s="65"/>
      <c r="K1" s="34" t="s">
        <v>43</v>
      </c>
      <c r="L1" s="19" t="s">
        <v>41</v>
      </c>
      <c r="M1" s="19"/>
      <c r="N1" s="16" t="s">
        <v>42</v>
      </c>
    </row>
    <row r="2" spans="1:14" ht="30" customHeight="1" x14ac:dyDescent="0.25">
      <c r="A2" s="11" t="s">
        <v>0</v>
      </c>
      <c r="B2" s="11" t="s">
        <v>1</v>
      </c>
      <c r="C2" s="13" t="s">
        <v>2</v>
      </c>
      <c r="D2" s="13" t="s">
        <v>3</v>
      </c>
      <c r="E2" s="13" t="s">
        <v>130</v>
      </c>
      <c r="F2" s="13" t="s">
        <v>4</v>
      </c>
      <c r="G2" s="13" t="s">
        <v>11</v>
      </c>
      <c r="H2" s="11" t="s">
        <v>47</v>
      </c>
      <c r="I2" s="13" t="s">
        <v>160</v>
      </c>
      <c r="J2" s="13" t="s">
        <v>161</v>
      </c>
      <c r="K2" s="13" t="s">
        <v>165</v>
      </c>
      <c r="L2" s="13" t="s">
        <v>12</v>
      </c>
      <c r="M2" s="13" t="s">
        <v>39</v>
      </c>
      <c r="N2" s="13" t="s">
        <v>26</v>
      </c>
    </row>
    <row r="3" spans="1:14" ht="15" hidden="1" customHeight="1" x14ac:dyDescent="0.25">
      <c r="A3" s="69" t="s">
        <v>170</v>
      </c>
      <c r="B3" s="49" t="s">
        <v>174</v>
      </c>
      <c r="C3" s="53"/>
      <c r="D3" s="54"/>
      <c r="E3" s="53"/>
      <c r="F3" s="55"/>
      <c r="G3" s="53"/>
      <c r="H3" s="57"/>
      <c r="I3" s="56"/>
      <c r="J3" s="56"/>
      <c r="K3" s="67"/>
      <c r="L3" s="62">
        <v>3</v>
      </c>
      <c r="M3" s="62" t="b">
        <f t="shared" ref="M3:M32" si="0" xml:space="preserve"> IF(AND(TRUE), TRUE, FALSE)</f>
        <v>1</v>
      </c>
      <c r="N3" s="63"/>
    </row>
    <row r="4" spans="1:14" hidden="1" x14ac:dyDescent="0.25">
      <c r="A4" s="69" t="s">
        <v>171</v>
      </c>
      <c r="B4" s="49" t="s">
        <v>173</v>
      </c>
      <c r="C4" s="53"/>
      <c r="D4" s="54"/>
      <c r="E4" s="53"/>
      <c r="F4" s="55"/>
      <c r="G4" s="53"/>
      <c r="H4" s="57"/>
      <c r="I4" s="56"/>
      <c r="J4" s="56"/>
      <c r="K4" s="67"/>
      <c r="L4" s="62">
        <v>4</v>
      </c>
      <c r="M4" s="62" t="b">
        <f t="shared" si="0"/>
        <v>1</v>
      </c>
      <c r="N4" s="63"/>
    </row>
    <row r="5" spans="1:14" ht="30" hidden="1" x14ac:dyDescent="0.25">
      <c r="A5" s="69" t="s">
        <v>172</v>
      </c>
      <c r="B5" s="49" t="s">
        <v>175</v>
      </c>
      <c r="C5" s="53"/>
      <c r="D5" s="54"/>
      <c r="E5" s="53"/>
      <c r="F5" s="55"/>
      <c r="G5" s="53"/>
      <c r="H5" s="57"/>
      <c r="I5" s="56"/>
      <c r="J5" s="56"/>
      <c r="K5" s="67"/>
      <c r="L5" s="62">
        <v>5</v>
      </c>
      <c r="M5" s="62" t="b">
        <f t="shared" si="0"/>
        <v>1</v>
      </c>
      <c r="N5" s="63"/>
    </row>
    <row r="6" spans="1:14" hidden="1" x14ac:dyDescent="0.25">
      <c r="A6" s="69" t="s">
        <v>173</v>
      </c>
      <c r="B6" s="49" t="s">
        <v>169</v>
      </c>
      <c r="C6" s="53"/>
      <c r="D6" s="54"/>
      <c r="E6" s="53"/>
      <c r="F6" s="55"/>
      <c r="G6" s="53"/>
      <c r="H6" s="57"/>
      <c r="I6" s="56"/>
      <c r="J6" s="56"/>
      <c r="K6" s="67"/>
      <c r="L6" s="62">
        <v>6</v>
      </c>
      <c r="M6" s="62" t="b">
        <f t="shared" si="0"/>
        <v>1</v>
      </c>
      <c r="N6" s="63"/>
    </row>
    <row r="7" spans="1:14" hidden="1" x14ac:dyDescent="0.25">
      <c r="A7" s="69" t="s">
        <v>174</v>
      </c>
      <c r="B7" s="49" t="s">
        <v>169</v>
      </c>
      <c r="C7" s="53"/>
      <c r="D7" s="54"/>
      <c r="E7" s="53"/>
      <c r="F7" s="55"/>
      <c r="G7" s="53"/>
      <c r="H7" s="57"/>
      <c r="I7" s="56"/>
      <c r="J7" s="56"/>
      <c r="K7" s="67"/>
      <c r="L7" s="62">
        <v>7</v>
      </c>
      <c r="M7" s="62" t="b">
        <f t="shared" si="0"/>
        <v>1</v>
      </c>
      <c r="N7" s="63"/>
    </row>
    <row r="8" spans="1:14" hidden="1" x14ac:dyDescent="0.25">
      <c r="A8" s="69" t="s">
        <v>175</v>
      </c>
      <c r="B8" s="49" t="s">
        <v>169</v>
      </c>
      <c r="C8" s="53"/>
      <c r="D8" s="54"/>
      <c r="E8" s="53"/>
      <c r="F8" s="55"/>
      <c r="G8" s="53"/>
      <c r="H8" s="57"/>
      <c r="I8" s="56"/>
      <c r="J8" s="56"/>
      <c r="K8" s="67"/>
      <c r="L8" s="62">
        <v>8</v>
      </c>
      <c r="M8" s="62" t="b">
        <f t="shared" si="0"/>
        <v>1</v>
      </c>
      <c r="N8" s="63"/>
    </row>
    <row r="9" spans="1:14" hidden="1" x14ac:dyDescent="0.25">
      <c r="A9" s="69" t="s">
        <v>176</v>
      </c>
      <c r="B9" s="49" t="s">
        <v>169</v>
      </c>
      <c r="C9" s="53"/>
      <c r="D9" s="54"/>
      <c r="E9" s="53"/>
      <c r="F9" s="55"/>
      <c r="G9" s="53"/>
      <c r="H9" s="57"/>
      <c r="I9" s="56"/>
      <c r="J9" s="56"/>
      <c r="K9" s="67"/>
      <c r="L9" s="62">
        <v>9</v>
      </c>
      <c r="M9" s="62" t="b">
        <f t="shared" si="0"/>
        <v>1</v>
      </c>
      <c r="N9" s="63"/>
    </row>
    <row r="10" spans="1:14" hidden="1" x14ac:dyDescent="0.25">
      <c r="A10" s="69" t="s">
        <v>177</v>
      </c>
      <c r="B10" s="49" t="s">
        <v>173</v>
      </c>
      <c r="C10" s="53"/>
      <c r="D10" s="54"/>
      <c r="E10" s="53"/>
      <c r="F10" s="55"/>
      <c r="G10" s="53"/>
      <c r="H10" s="57"/>
      <c r="I10" s="56"/>
      <c r="J10" s="56"/>
      <c r="K10" s="67"/>
      <c r="L10" s="62">
        <v>10</v>
      </c>
      <c r="M10" s="62" t="b">
        <f t="shared" si="0"/>
        <v>1</v>
      </c>
      <c r="N10" s="63"/>
    </row>
    <row r="11" spans="1:14" hidden="1" x14ac:dyDescent="0.25">
      <c r="A11" s="69" t="s">
        <v>178</v>
      </c>
      <c r="B11" s="49" t="s">
        <v>170</v>
      </c>
      <c r="C11" s="53"/>
      <c r="D11" s="54"/>
      <c r="E11" s="53"/>
      <c r="F11" s="55"/>
      <c r="G11" s="53"/>
      <c r="H11" s="57"/>
      <c r="I11" s="56"/>
      <c r="J11" s="56"/>
      <c r="K11" s="67"/>
      <c r="L11" s="62">
        <v>11</v>
      </c>
      <c r="M11" s="62" t="b">
        <f t="shared" si="0"/>
        <v>1</v>
      </c>
      <c r="N11" s="63"/>
    </row>
    <row r="12" spans="1:14" hidden="1" x14ac:dyDescent="0.25">
      <c r="A12" s="69" t="s">
        <v>179</v>
      </c>
      <c r="B12" s="49" t="s">
        <v>170</v>
      </c>
      <c r="C12" s="53"/>
      <c r="D12" s="54"/>
      <c r="E12" s="53"/>
      <c r="F12" s="55"/>
      <c r="G12" s="53"/>
      <c r="H12" s="57"/>
      <c r="I12" s="56"/>
      <c r="J12" s="56"/>
      <c r="K12" s="67"/>
      <c r="L12" s="62">
        <v>12</v>
      </c>
      <c r="M12" s="62" t="b">
        <f t="shared" si="0"/>
        <v>1</v>
      </c>
      <c r="N12" s="63"/>
    </row>
    <row r="13" spans="1:14" hidden="1" x14ac:dyDescent="0.25">
      <c r="A13" s="69" t="s">
        <v>180</v>
      </c>
      <c r="B13" s="49" t="s">
        <v>170</v>
      </c>
      <c r="C13" s="53"/>
      <c r="D13" s="54"/>
      <c r="E13" s="53"/>
      <c r="F13" s="55"/>
      <c r="G13" s="53"/>
      <c r="H13" s="57"/>
      <c r="I13" s="56"/>
      <c r="J13" s="56"/>
      <c r="K13" s="67"/>
      <c r="L13" s="62">
        <v>13</v>
      </c>
      <c r="M13" s="62" t="b">
        <f t="shared" si="0"/>
        <v>1</v>
      </c>
      <c r="N13" s="63"/>
    </row>
    <row r="14" spans="1:14" hidden="1" x14ac:dyDescent="0.25">
      <c r="A14" s="69" t="s">
        <v>181</v>
      </c>
      <c r="B14" s="49" t="s">
        <v>171</v>
      </c>
      <c r="C14" s="53"/>
      <c r="D14" s="54"/>
      <c r="E14" s="53"/>
      <c r="F14" s="55"/>
      <c r="G14" s="53"/>
      <c r="H14" s="57"/>
      <c r="I14" s="56"/>
      <c r="J14" s="56"/>
      <c r="K14" s="67"/>
      <c r="L14" s="62">
        <v>14</v>
      </c>
      <c r="M14" s="62" t="b">
        <f t="shared" si="0"/>
        <v>1</v>
      </c>
      <c r="N14" s="63"/>
    </row>
    <row r="15" spans="1:14" hidden="1" x14ac:dyDescent="0.25">
      <c r="A15" s="69" t="s">
        <v>182</v>
      </c>
      <c r="B15" s="49" t="s">
        <v>169</v>
      </c>
      <c r="C15" s="53"/>
      <c r="D15" s="54"/>
      <c r="E15" s="53"/>
      <c r="F15" s="55"/>
      <c r="G15" s="53"/>
      <c r="H15" s="57"/>
      <c r="I15" s="56"/>
      <c r="J15" s="56"/>
      <c r="K15" s="67"/>
      <c r="L15" s="62">
        <v>15</v>
      </c>
      <c r="M15" s="62" t="b">
        <f t="shared" si="0"/>
        <v>1</v>
      </c>
      <c r="N15" s="63"/>
    </row>
    <row r="16" spans="1:14" hidden="1" x14ac:dyDescent="0.25">
      <c r="A16" s="69" t="s">
        <v>183</v>
      </c>
      <c r="B16" s="49" t="s">
        <v>184</v>
      </c>
      <c r="C16" s="53"/>
      <c r="D16" s="54"/>
      <c r="E16" s="53"/>
      <c r="F16" s="55"/>
      <c r="G16" s="53"/>
      <c r="H16" s="57"/>
      <c r="I16" s="56"/>
      <c r="J16" s="56"/>
      <c r="K16" s="67"/>
      <c r="L16" s="62">
        <v>16</v>
      </c>
      <c r="M16" s="62" t="b">
        <f t="shared" si="0"/>
        <v>1</v>
      </c>
      <c r="N16" s="63"/>
    </row>
    <row r="17" spans="1:14" ht="30" hidden="1" x14ac:dyDescent="0.25">
      <c r="A17" s="69" t="s">
        <v>184</v>
      </c>
      <c r="B17" s="49" t="s">
        <v>312</v>
      </c>
      <c r="C17" s="53"/>
      <c r="D17" s="54"/>
      <c r="E17" s="53"/>
      <c r="F17" s="55"/>
      <c r="G17" s="53"/>
      <c r="H17" s="57"/>
      <c r="I17" s="56"/>
      <c r="J17" s="56"/>
      <c r="K17" s="67"/>
      <c r="L17" s="62">
        <v>17</v>
      </c>
      <c r="M17" s="62" t="b">
        <f t="shared" si="0"/>
        <v>1</v>
      </c>
      <c r="N17" s="63"/>
    </row>
    <row r="18" spans="1:14" hidden="1" x14ac:dyDescent="0.25">
      <c r="A18" s="69" t="s">
        <v>185</v>
      </c>
      <c r="B18" s="49" t="s">
        <v>169</v>
      </c>
      <c r="C18" s="53"/>
      <c r="D18" s="54"/>
      <c r="E18" s="53"/>
      <c r="F18" s="55"/>
      <c r="G18" s="53"/>
      <c r="H18" s="57"/>
      <c r="I18" s="56"/>
      <c r="J18" s="56"/>
      <c r="K18" s="67"/>
      <c r="L18" s="62">
        <v>18</v>
      </c>
      <c r="M18" s="62" t="b">
        <f t="shared" si="0"/>
        <v>1</v>
      </c>
      <c r="N18" s="63"/>
    </row>
    <row r="19" spans="1:14" hidden="1" x14ac:dyDescent="0.25">
      <c r="A19" s="69" t="s">
        <v>187</v>
      </c>
      <c r="B19" s="49" t="s">
        <v>190</v>
      </c>
      <c r="C19" s="53"/>
      <c r="D19" s="54"/>
      <c r="E19" s="53"/>
      <c r="F19" s="55"/>
      <c r="G19" s="53"/>
      <c r="H19" s="57"/>
      <c r="I19" s="56"/>
      <c r="J19" s="56"/>
      <c r="K19" s="67"/>
      <c r="L19" s="62">
        <v>19</v>
      </c>
      <c r="M19" s="62" t="b">
        <f t="shared" si="0"/>
        <v>1</v>
      </c>
      <c r="N19" s="63"/>
    </row>
    <row r="20" spans="1:14" hidden="1" x14ac:dyDescent="0.25">
      <c r="A20" s="69" t="s">
        <v>188</v>
      </c>
      <c r="B20" s="49" t="s">
        <v>169</v>
      </c>
      <c r="C20" s="53"/>
      <c r="D20" s="54"/>
      <c r="E20" s="53"/>
      <c r="F20" s="55"/>
      <c r="G20" s="53"/>
      <c r="H20" s="57"/>
      <c r="I20" s="56"/>
      <c r="J20" s="56"/>
      <c r="K20" s="67"/>
      <c r="L20" s="62">
        <v>20</v>
      </c>
      <c r="M20" s="62" t="b">
        <f t="shared" si="0"/>
        <v>1</v>
      </c>
      <c r="N20" s="63"/>
    </row>
    <row r="21" spans="1:14" hidden="1" x14ac:dyDescent="0.25">
      <c r="A21" s="69" t="s">
        <v>302</v>
      </c>
      <c r="B21" s="49" t="s">
        <v>177</v>
      </c>
      <c r="C21" s="53"/>
      <c r="D21" s="54"/>
      <c r="E21" s="53"/>
      <c r="F21" s="55"/>
      <c r="G21" s="53"/>
      <c r="H21" s="57"/>
      <c r="I21" s="56"/>
      <c r="J21" s="56"/>
      <c r="K21" s="67"/>
      <c r="L21" s="62">
        <v>21</v>
      </c>
      <c r="M21" s="62" t="b">
        <f t="shared" si="0"/>
        <v>1</v>
      </c>
      <c r="N21" s="63"/>
    </row>
    <row r="22" spans="1:14" x14ac:dyDescent="0.25">
      <c r="A22" s="69" t="s">
        <v>190</v>
      </c>
      <c r="B22" s="49" t="s">
        <v>172</v>
      </c>
      <c r="C22" s="53"/>
      <c r="D22" s="54"/>
      <c r="E22" s="53"/>
      <c r="F22" s="55"/>
      <c r="G22" s="53"/>
      <c r="H22" s="57"/>
      <c r="I22" s="56"/>
      <c r="J22" s="56"/>
      <c r="K22" s="67"/>
      <c r="L22" s="62">
        <v>22</v>
      </c>
      <c r="M22" s="62" t="b">
        <f t="shared" si="0"/>
        <v>1</v>
      </c>
      <c r="N22" s="63"/>
    </row>
    <row r="23" spans="1:14" ht="30" hidden="1" x14ac:dyDescent="0.25">
      <c r="A23" s="69" t="s">
        <v>191</v>
      </c>
      <c r="B23" s="49" t="s">
        <v>176</v>
      </c>
      <c r="C23" s="53"/>
      <c r="D23" s="54"/>
      <c r="E23" s="53"/>
      <c r="F23" s="55"/>
      <c r="G23" s="53"/>
      <c r="H23" s="57"/>
      <c r="I23" s="56"/>
      <c r="J23" s="56"/>
      <c r="K23" s="67"/>
      <c r="L23" s="62">
        <v>23</v>
      </c>
      <c r="M23" s="62" t="b">
        <f t="shared" si="0"/>
        <v>1</v>
      </c>
      <c r="N23" s="63"/>
    </row>
    <row r="24" spans="1:14" ht="30" hidden="1" x14ac:dyDescent="0.25">
      <c r="A24" s="69" t="s">
        <v>194</v>
      </c>
      <c r="B24" s="49" t="s">
        <v>176</v>
      </c>
      <c r="C24" s="53"/>
      <c r="D24" s="54"/>
      <c r="E24" s="53"/>
      <c r="F24" s="55"/>
      <c r="G24" s="53"/>
      <c r="H24" s="57"/>
      <c r="I24" s="56"/>
      <c r="J24" s="56"/>
      <c r="K24" s="67"/>
      <c r="L24" s="62">
        <v>24</v>
      </c>
      <c r="M24" s="62" t="b">
        <f t="shared" si="0"/>
        <v>1</v>
      </c>
      <c r="N24" s="63"/>
    </row>
    <row r="25" spans="1:14" hidden="1" x14ac:dyDescent="0.25">
      <c r="A25" s="69" t="s">
        <v>192</v>
      </c>
      <c r="B25" s="49" t="s">
        <v>169</v>
      </c>
      <c r="C25" s="53"/>
      <c r="D25" s="54"/>
      <c r="E25" s="53"/>
      <c r="F25" s="55"/>
      <c r="G25" s="53"/>
      <c r="H25" s="57"/>
      <c r="I25" s="56"/>
      <c r="J25" s="56"/>
      <c r="K25" s="67"/>
      <c r="L25" s="62">
        <v>25</v>
      </c>
      <c r="M25" s="62" t="b">
        <f t="shared" si="0"/>
        <v>1</v>
      </c>
      <c r="N25" s="63"/>
    </row>
    <row r="26" spans="1:14" hidden="1" x14ac:dyDescent="0.25">
      <c r="A26" s="69" t="s">
        <v>193</v>
      </c>
      <c r="B26" s="49" t="s">
        <v>192</v>
      </c>
      <c r="C26" s="53"/>
      <c r="D26" s="54"/>
      <c r="E26" s="53"/>
      <c r="F26" s="55"/>
      <c r="G26" s="53"/>
      <c r="H26" s="57"/>
      <c r="I26" s="56"/>
      <c r="J26" s="56"/>
      <c r="K26" s="67"/>
      <c r="L26" s="62">
        <v>26</v>
      </c>
      <c r="M26" s="62" t="b">
        <f t="shared" si="0"/>
        <v>1</v>
      </c>
      <c r="N26" s="63"/>
    </row>
    <row r="27" spans="1:14" hidden="1" x14ac:dyDescent="0.25">
      <c r="A27" s="69" t="s">
        <v>196</v>
      </c>
      <c r="B27" s="49" t="s">
        <v>169</v>
      </c>
      <c r="C27" s="53"/>
      <c r="D27" s="54"/>
      <c r="E27" s="53"/>
      <c r="F27" s="55"/>
      <c r="G27" s="53"/>
      <c r="H27" s="57"/>
      <c r="I27" s="56"/>
      <c r="J27" s="56"/>
      <c r="K27" s="67"/>
      <c r="L27" s="62">
        <v>27</v>
      </c>
      <c r="M27" s="62" t="b">
        <f t="shared" si="0"/>
        <v>1</v>
      </c>
      <c r="N27" s="63"/>
    </row>
    <row r="28" spans="1:14" hidden="1" x14ac:dyDescent="0.25">
      <c r="A28" s="69" t="s">
        <v>208</v>
      </c>
      <c r="B28" s="49" t="s">
        <v>182</v>
      </c>
      <c r="C28" s="53"/>
      <c r="D28" s="54"/>
      <c r="E28" s="53"/>
      <c r="F28" s="55"/>
      <c r="G28" s="53"/>
      <c r="H28" s="57"/>
      <c r="I28" s="56"/>
      <c r="J28" s="56"/>
      <c r="K28" s="67"/>
      <c r="L28" s="62">
        <v>28</v>
      </c>
      <c r="M28" s="62" t="b">
        <f t="shared" si="0"/>
        <v>1</v>
      </c>
      <c r="N28" s="63"/>
    </row>
    <row r="29" spans="1:14" hidden="1" x14ac:dyDescent="0.25">
      <c r="A29" s="69" t="s">
        <v>211</v>
      </c>
      <c r="B29" s="49" t="s">
        <v>169</v>
      </c>
      <c r="C29" s="53"/>
      <c r="D29" s="54"/>
      <c r="E29" s="53"/>
      <c r="F29" s="55"/>
      <c r="G29" s="53"/>
      <c r="H29" s="57"/>
      <c r="I29" s="56"/>
      <c r="J29" s="56"/>
      <c r="K29" s="67"/>
      <c r="L29" s="62">
        <v>29</v>
      </c>
      <c r="M29" s="62" t="b">
        <f t="shared" si="0"/>
        <v>1</v>
      </c>
      <c r="N29" s="63"/>
    </row>
    <row r="30" spans="1:14" hidden="1" x14ac:dyDescent="0.25">
      <c r="A30" s="69" t="s">
        <v>214</v>
      </c>
      <c r="B30" s="49" t="s">
        <v>192</v>
      </c>
      <c r="C30" s="53"/>
      <c r="D30" s="54"/>
      <c r="E30" s="53"/>
      <c r="F30" s="55"/>
      <c r="G30" s="53"/>
      <c r="H30" s="57"/>
      <c r="I30" s="56"/>
      <c r="J30" s="56"/>
      <c r="K30" s="67"/>
      <c r="L30" s="62">
        <v>30</v>
      </c>
      <c r="M30" s="62" t="b">
        <f t="shared" si="0"/>
        <v>1</v>
      </c>
      <c r="N30" s="63"/>
    </row>
    <row r="31" spans="1:14" hidden="1" x14ac:dyDescent="0.25">
      <c r="A31" s="69" t="s">
        <v>216</v>
      </c>
      <c r="B31" s="49" t="s">
        <v>309</v>
      </c>
      <c r="C31" s="53"/>
      <c r="D31" s="54"/>
      <c r="E31" s="53"/>
      <c r="F31" s="55"/>
      <c r="G31" s="53"/>
      <c r="H31" s="57"/>
      <c r="I31" s="56"/>
      <c r="J31" s="56"/>
      <c r="K31" s="67"/>
      <c r="L31" s="62">
        <v>31</v>
      </c>
      <c r="M31" s="62" t="b">
        <f t="shared" si="0"/>
        <v>1</v>
      </c>
      <c r="N31" s="63"/>
    </row>
    <row r="32" spans="1:14" hidden="1" x14ac:dyDescent="0.25">
      <c r="A32" s="69" t="s">
        <v>226</v>
      </c>
      <c r="B32" s="49" t="s">
        <v>169</v>
      </c>
      <c r="C32" s="53"/>
      <c r="D32" s="54"/>
      <c r="E32" s="53"/>
      <c r="F32" s="55"/>
      <c r="G32" s="53"/>
      <c r="H32" s="57"/>
      <c r="I32" s="56"/>
      <c r="J32" s="56"/>
      <c r="K32" s="67"/>
      <c r="L32" s="62">
        <v>32</v>
      </c>
      <c r="M32" s="62" t="b">
        <f t="shared" si="0"/>
        <v>1</v>
      </c>
      <c r="N32" s="63"/>
    </row>
    <row r="33" spans="1:14" hidden="1" x14ac:dyDescent="0.25">
      <c r="A33" s="69" t="s">
        <v>228</v>
      </c>
      <c r="B33" s="49" t="s">
        <v>169</v>
      </c>
      <c r="C33" s="53"/>
      <c r="D33" s="54"/>
      <c r="E33" s="53"/>
      <c r="F33" s="55"/>
      <c r="G33" s="53"/>
      <c r="H33" s="57"/>
      <c r="I33" s="56"/>
      <c r="J33" s="56"/>
      <c r="K33" s="67"/>
      <c r="L33" s="62">
        <v>33</v>
      </c>
      <c r="M33" s="62" t="b">
        <f t="shared" ref="M33:M64" si="1" xml:space="preserve"> IF(AND(TRUE), TRUE, FALSE)</f>
        <v>1</v>
      </c>
      <c r="N33" s="63"/>
    </row>
    <row r="34" spans="1:14" hidden="1" x14ac:dyDescent="0.25">
      <c r="A34" s="69" t="s">
        <v>231</v>
      </c>
      <c r="B34" s="49" t="s">
        <v>228</v>
      </c>
      <c r="C34" s="53"/>
      <c r="D34" s="54"/>
      <c r="E34" s="53"/>
      <c r="F34" s="55"/>
      <c r="G34" s="53"/>
      <c r="H34" s="57"/>
      <c r="I34" s="56"/>
      <c r="J34" s="56"/>
      <c r="K34" s="67"/>
      <c r="L34" s="62">
        <v>34</v>
      </c>
      <c r="M34" s="62" t="b">
        <f t="shared" si="1"/>
        <v>1</v>
      </c>
      <c r="N34" s="63"/>
    </row>
    <row r="35" spans="1:14" hidden="1" x14ac:dyDescent="0.25">
      <c r="A35" s="69" t="s">
        <v>234</v>
      </c>
      <c r="B35" s="49" t="s">
        <v>192</v>
      </c>
      <c r="C35" s="53"/>
      <c r="D35" s="54"/>
      <c r="E35" s="53"/>
      <c r="F35" s="55"/>
      <c r="G35" s="53"/>
      <c r="H35" s="57"/>
      <c r="I35" s="56"/>
      <c r="J35" s="56"/>
      <c r="K35" s="67"/>
      <c r="L35" s="62">
        <v>35</v>
      </c>
      <c r="M35" s="62" t="b">
        <f t="shared" si="1"/>
        <v>1</v>
      </c>
      <c r="N35" s="63"/>
    </row>
    <row r="36" spans="1:14" hidden="1" x14ac:dyDescent="0.25">
      <c r="A36" s="69" t="s">
        <v>236</v>
      </c>
      <c r="B36" s="49" t="s">
        <v>192</v>
      </c>
      <c r="C36" s="53"/>
      <c r="D36" s="54"/>
      <c r="E36" s="53"/>
      <c r="F36" s="55"/>
      <c r="G36" s="53"/>
      <c r="H36" s="57"/>
      <c r="I36" s="56"/>
      <c r="J36" s="56"/>
      <c r="K36" s="67"/>
      <c r="L36" s="62">
        <v>36</v>
      </c>
      <c r="M36" s="62" t="b">
        <f t="shared" si="1"/>
        <v>1</v>
      </c>
      <c r="N36" s="63"/>
    </row>
    <row r="37" spans="1:14" hidden="1" x14ac:dyDescent="0.25">
      <c r="A37" s="69" t="s">
        <v>238</v>
      </c>
      <c r="B37" s="49" t="s">
        <v>182</v>
      </c>
      <c r="C37" s="53"/>
      <c r="D37" s="54"/>
      <c r="E37" s="53"/>
      <c r="F37" s="55"/>
      <c r="G37" s="53"/>
      <c r="H37" s="57"/>
      <c r="I37" s="56"/>
      <c r="J37" s="56"/>
      <c r="K37" s="67"/>
      <c r="L37" s="62">
        <v>37</v>
      </c>
      <c r="M37" s="62" t="b">
        <f t="shared" si="1"/>
        <v>1</v>
      </c>
      <c r="N37" s="63"/>
    </row>
    <row r="38" spans="1:14" hidden="1" x14ac:dyDescent="0.25">
      <c r="A38" s="69" t="s">
        <v>241</v>
      </c>
      <c r="B38" s="49" t="s">
        <v>171</v>
      </c>
      <c r="C38" s="53"/>
      <c r="D38" s="54"/>
      <c r="E38" s="53"/>
      <c r="F38" s="55"/>
      <c r="G38" s="53"/>
      <c r="H38" s="57"/>
      <c r="I38" s="56"/>
      <c r="J38" s="56"/>
      <c r="K38" s="67"/>
      <c r="L38" s="62">
        <v>38</v>
      </c>
      <c r="M38" s="62" t="b">
        <f t="shared" si="1"/>
        <v>1</v>
      </c>
      <c r="N38" s="63"/>
    </row>
    <row r="39" spans="1:14" hidden="1" x14ac:dyDescent="0.25">
      <c r="A39" s="69" t="s">
        <v>243</v>
      </c>
      <c r="B39" s="49" t="s">
        <v>171</v>
      </c>
      <c r="C39" s="53"/>
      <c r="D39" s="54"/>
      <c r="E39" s="53"/>
      <c r="F39" s="55"/>
      <c r="G39" s="53"/>
      <c r="H39" s="57"/>
      <c r="I39" s="56"/>
      <c r="J39" s="56"/>
      <c r="K39" s="67"/>
      <c r="L39" s="62">
        <v>39</v>
      </c>
      <c r="M39" s="62" t="b">
        <f t="shared" si="1"/>
        <v>1</v>
      </c>
      <c r="N39" s="63"/>
    </row>
    <row r="40" spans="1:14" hidden="1" x14ac:dyDescent="0.25">
      <c r="A40" s="69" t="s">
        <v>245</v>
      </c>
      <c r="B40" s="49" t="s">
        <v>171</v>
      </c>
      <c r="C40" s="53"/>
      <c r="D40" s="54"/>
      <c r="E40" s="53"/>
      <c r="F40" s="55"/>
      <c r="G40" s="53"/>
      <c r="H40" s="57"/>
      <c r="I40" s="56"/>
      <c r="J40" s="56"/>
      <c r="K40" s="67"/>
      <c r="L40" s="62">
        <v>40</v>
      </c>
      <c r="M40" s="62" t="b">
        <f t="shared" si="1"/>
        <v>1</v>
      </c>
      <c r="N40" s="63"/>
    </row>
    <row r="41" spans="1:14" x14ac:dyDescent="0.25">
      <c r="A41" s="69" t="s">
        <v>247</v>
      </c>
      <c r="B41" s="49" t="s">
        <v>172</v>
      </c>
      <c r="C41" s="53"/>
      <c r="D41" s="54"/>
      <c r="E41" s="53"/>
      <c r="F41" s="55"/>
      <c r="G41" s="53"/>
      <c r="H41" s="57"/>
      <c r="I41" s="56"/>
      <c r="J41" s="56"/>
      <c r="K41" s="67"/>
      <c r="L41" s="62">
        <v>41</v>
      </c>
      <c r="M41" s="62" t="b">
        <f t="shared" si="1"/>
        <v>1</v>
      </c>
      <c r="N41" s="63"/>
    </row>
    <row r="42" spans="1:14" hidden="1" x14ac:dyDescent="0.25">
      <c r="A42" s="69" t="s">
        <v>188</v>
      </c>
      <c r="B42" s="49" t="s">
        <v>169</v>
      </c>
      <c r="C42" s="53"/>
      <c r="D42" s="54"/>
      <c r="E42" s="53"/>
      <c r="F42" s="55"/>
      <c r="G42" s="53"/>
      <c r="H42" s="57"/>
      <c r="I42" s="56"/>
      <c r="J42" s="56"/>
      <c r="K42" s="67"/>
      <c r="L42" s="62">
        <v>42</v>
      </c>
      <c r="M42" s="62" t="b">
        <f t="shared" si="1"/>
        <v>1</v>
      </c>
      <c r="N42" s="63"/>
    </row>
    <row r="43" spans="1:14" x14ac:dyDescent="0.25">
      <c r="A43" s="69" t="s">
        <v>250</v>
      </c>
      <c r="B43" s="49" t="s">
        <v>172</v>
      </c>
      <c r="C43" s="53"/>
      <c r="D43" s="54"/>
      <c r="E43" s="53"/>
      <c r="F43" s="55"/>
      <c r="G43" s="53"/>
      <c r="H43" s="57"/>
      <c r="I43" s="56"/>
      <c r="J43" s="56"/>
      <c r="K43" s="67"/>
      <c r="L43" s="62">
        <v>43</v>
      </c>
      <c r="M43" s="62" t="b">
        <f t="shared" si="1"/>
        <v>1</v>
      </c>
      <c r="N43" s="63"/>
    </row>
    <row r="44" spans="1:14" x14ac:dyDescent="0.25">
      <c r="A44" s="69" t="s">
        <v>252</v>
      </c>
      <c r="B44" s="49" t="s">
        <v>172</v>
      </c>
      <c r="C44" s="53"/>
      <c r="D44" s="54"/>
      <c r="E44" s="53"/>
      <c r="F44" s="55"/>
      <c r="G44" s="53"/>
      <c r="H44" s="57"/>
      <c r="I44" s="56"/>
      <c r="J44" s="56"/>
      <c r="K44" s="67"/>
      <c r="L44" s="62">
        <v>44</v>
      </c>
      <c r="M44" s="62" t="b">
        <f t="shared" si="1"/>
        <v>1</v>
      </c>
      <c r="N44" s="63"/>
    </row>
    <row r="45" spans="1:14" hidden="1" x14ac:dyDescent="0.25">
      <c r="A45" s="69" t="s">
        <v>254</v>
      </c>
      <c r="B45" s="49" t="s">
        <v>171</v>
      </c>
      <c r="C45" s="53"/>
      <c r="D45" s="54"/>
      <c r="E45" s="53"/>
      <c r="F45" s="55"/>
      <c r="G45" s="53"/>
      <c r="H45" s="57"/>
      <c r="I45" s="56"/>
      <c r="J45" s="56"/>
      <c r="K45" s="67"/>
      <c r="L45" s="62">
        <v>45</v>
      </c>
      <c r="M45" s="62" t="b">
        <f t="shared" si="1"/>
        <v>1</v>
      </c>
      <c r="N45" s="63"/>
    </row>
    <row r="46" spans="1:14" hidden="1" x14ac:dyDescent="0.25">
      <c r="A46" s="69" t="s">
        <v>256</v>
      </c>
      <c r="B46" s="49" t="s">
        <v>310</v>
      </c>
      <c r="C46" s="53"/>
      <c r="D46" s="54"/>
      <c r="E46" s="53"/>
      <c r="F46" s="55"/>
      <c r="G46" s="53"/>
      <c r="H46" s="57"/>
      <c r="I46" s="56"/>
      <c r="J46" s="56"/>
      <c r="K46" s="67"/>
      <c r="L46" s="62">
        <v>46</v>
      </c>
      <c r="M46" s="62" t="b">
        <f t="shared" si="1"/>
        <v>1</v>
      </c>
      <c r="N46" s="63"/>
    </row>
    <row r="47" spans="1:14" hidden="1" x14ac:dyDescent="0.25">
      <c r="A47" s="69" t="s">
        <v>259</v>
      </c>
      <c r="B47" s="49" t="s">
        <v>173</v>
      </c>
      <c r="C47" s="53"/>
      <c r="D47" s="54"/>
      <c r="E47" s="53"/>
      <c r="F47" s="55"/>
      <c r="G47" s="53"/>
      <c r="H47" s="57"/>
      <c r="I47" s="56"/>
      <c r="J47" s="56"/>
      <c r="K47" s="67"/>
      <c r="L47" s="62">
        <v>47</v>
      </c>
      <c r="M47" s="62" t="b">
        <f t="shared" si="1"/>
        <v>1</v>
      </c>
      <c r="N47" s="63"/>
    </row>
    <row r="48" spans="1:14" x14ac:dyDescent="0.25">
      <c r="A48" s="69" t="s">
        <v>269</v>
      </c>
      <c r="B48" s="49" t="s">
        <v>172</v>
      </c>
      <c r="C48" s="53"/>
      <c r="D48" s="54"/>
      <c r="E48" s="53"/>
      <c r="F48" s="55"/>
      <c r="G48" s="53"/>
      <c r="H48" s="57"/>
      <c r="I48" s="56"/>
      <c r="J48" s="56"/>
      <c r="K48" s="67"/>
      <c r="L48" s="62">
        <v>48</v>
      </c>
      <c r="M48" s="62" t="b">
        <f t="shared" si="1"/>
        <v>1</v>
      </c>
      <c r="N48" s="63"/>
    </row>
    <row r="49" spans="1:14" x14ac:dyDescent="0.25">
      <c r="A49" s="69" t="s">
        <v>271</v>
      </c>
      <c r="B49" s="49" t="s">
        <v>172</v>
      </c>
      <c r="C49" s="53"/>
      <c r="D49" s="54"/>
      <c r="E49" s="53"/>
      <c r="F49" s="55"/>
      <c r="G49" s="53"/>
      <c r="H49" s="57"/>
      <c r="I49" s="56"/>
      <c r="J49" s="56"/>
      <c r="K49" s="67"/>
      <c r="L49" s="62">
        <v>49</v>
      </c>
      <c r="M49" s="62" t="b">
        <f t="shared" si="1"/>
        <v>1</v>
      </c>
      <c r="N49" s="63"/>
    </row>
    <row r="50" spans="1:14" x14ac:dyDescent="0.25">
      <c r="A50" s="69" t="s">
        <v>274</v>
      </c>
      <c r="B50" s="49" t="s">
        <v>172</v>
      </c>
      <c r="C50" s="53"/>
      <c r="D50" s="54"/>
      <c r="E50" s="53"/>
      <c r="F50" s="55"/>
      <c r="G50" s="53"/>
      <c r="H50" s="57"/>
      <c r="I50" s="56"/>
      <c r="J50" s="56"/>
      <c r="K50" s="67"/>
      <c r="L50" s="62">
        <v>50</v>
      </c>
      <c r="M50" s="62" t="b">
        <f t="shared" si="1"/>
        <v>1</v>
      </c>
      <c r="N50" s="63"/>
    </row>
    <row r="51" spans="1:14" hidden="1" x14ac:dyDescent="0.25">
      <c r="A51" s="69" t="s">
        <v>277</v>
      </c>
      <c r="B51" s="49" t="s">
        <v>188</v>
      </c>
      <c r="C51" s="53"/>
      <c r="D51" s="54"/>
      <c r="E51" s="53"/>
      <c r="F51" s="55"/>
      <c r="G51" s="53"/>
      <c r="H51" s="57"/>
      <c r="I51" s="56"/>
      <c r="J51" s="56"/>
      <c r="K51" s="67"/>
      <c r="L51" s="62">
        <v>51</v>
      </c>
      <c r="M51" s="62" t="b">
        <f t="shared" si="1"/>
        <v>1</v>
      </c>
      <c r="N51" s="63"/>
    </row>
    <row r="52" spans="1:14" hidden="1" x14ac:dyDescent="0.25">
      <c r="A52" s="69" t="s">
        <v>280</v>
      </c>
      <c r="B52" s="49" t="s">
        <v>169</v>
      </c>
      <c r="C52" s="53"/>
      <c r="D52" s="54"/>
      <c r="E52" s="53"/>
      <c r="F52" s="55"/>
      <c r="G52" s="53"/>
      <c r="H52" s="57"/>
      <c r="I52" s="56"/>
      <c r="J52" s="56"/>
      <c r="K52" s="67"/>
      <c r="L52" s="62">
        <v>52</v>
      </c>
      <c r="M52" s="62" t="b">
        <f t="shared" si="1"/>
        <v>1</v>
      </c>
      <c r="N52" s="63"/>
    </row>
    <row r="53" spans="1:14" hidden="1" x14ac:dyDescent="0.25">
      <c r="A53" s="69" t="s">
        <v>282</v>
      </c>
      <c r="B53" s="49" t="s">
        <v>169</v>
      </c>
      <c r="C53" s="53"/>
      <c r="D53" s="54"/>
      <c r="E53" s="53"/>
      <c r="F53" s="55"/>
      <c r="G53" s="53"/>
      <c r="H53" s="57"/>
      <c r="I53" s="56"/>
      <c r="J53" s="56"/>
      <c r="K53" s="67"/>
      <c r="L53" s="62">
        <v>53</v>
      </c>
      <c r="M53" s="62" t="b">
        <f t="shared" si="1"/>
        <v>1</v>
      </c>
      <c r="N53" s="63"/>
    </row>
    <row r="54" spans="1:14" hidden="1" x14ac:dyDescent="0.25">
      <c r="A54" s="69" t="s">
        <v>283</v>
      </c>
      <c r="B54" s="49" t="s">
        <v>285</v>
      </c>
      <c r="C54" s="53"/>
      <c r="D54" s="54"/>
      <c r="E54" s="53"/>
      <c r="F54" s="55"/>
      <c r="G54" s="53"/>
      <c r="H54" s="57"/>
      <c r="I54" s="56"/>
      <c r="J54" s="56"/>
      <c r="K54" s="67"/>
      <c r="L54" s="62">
        <v>54</v>
      </c>
      <c r="M54" s="62" t="b">
        <f t="shared" si="1"/>
        <v>1</v>
      </c>
      <c r="N54" s="63"/>
    </row>
    <row r="55" spans="1:14" hidden="1" x14ac:dyDescent="0.25">
      <c r="A55" s="69" t="s">
        <v>286</v>
      </c>
      <c r="B55" s="49" t="s">
        <v>285</v>
      </c>
      <c r="C55" s="53"/>
      <c r="D55" s="54"/>
      <c r="E55" s="53"/>
      <c r="F55" s="55"/>
      <c r="G55" s="53"/>
      <c r="H55" s="57"/>
      <c r="I55" s="56"/>
      <c r="J55" s="56"/>
      <c r="K55" s="67"/>
      <c r="L55" s="62">
        <v>55</v>
      </c>
      <c r="M55" s="62" t="b">
        <f t="shared" si="1"/>
        <v>1</v>
      </c>
      <c r="N55" s="63"/>
    </row>
    <row r="56" spans="1:14" hidden="1" x14ac:dyDescent="0.25">
      <c r="A56" s="69" t="s">
        <v>289</v>
      </c>
      <c r="B56" s="49" t="s">
        <v>188</v>
      </c>
      <c r="C56" s="53"/>
      <c r="D56" s="54"/>
      <c r="E56" s="53"/>
      <c r="F56" s="55"/>
      <c r="G56" s="53"/>
      <c r="H56" s="57"/>
      <c r="I56" s="56"/>
      <c r="J56" s="56"/>
      <c r="K56" s="67"/>
      <c r="L56" s="62">
        <v>56</v>
      </c>
      <c r="M56" s="62" t="b">
        <f t="shared" si="1"/>
        <v>1</v>
      </c>
      <c r="N56" s="63"/>
    </row>
    <row r="57" spans="1:14" hidden="1" x14ac:dyDescent="0.25">
      <c r="A57" s="49" t="s">
        <v>285</v>
      </c>
      <c r="B57" s="49" t="s">
        <v>169</v>
      </c>
      <c r="C57" s="53"/>
      <c r="D57" s="54"/>
      <c r="E57" s="53"/>
      <c r="F57" s="55"/>
      <c r="G57" s="53"/>
      <c r="H57" s="57"/>
      <c r="I57" s="56"/>
      <c r="J57" s="56"/>
      <c r="K57" s="67"/>
      <c r="L57" s="62">
        <v>57</v>
      </c>
      <c r="M57" s="62" t="b">
        <f t="shared" si="1"/>
        <v>1</v>
      </c>
      <c r="N57" s="63"/>
    </row>
    <row r="58" spans="1:14" hidden="1" x14ac:dyDescent="0.25">
      <c r="A58" s="69" t="s">
        <v>290</v>
      </c>
      <c r="B58" s="49" t="s">
        <v>192</v>
      </c>
      <c r="C58" s="53"/>
      <c r="D58" s="54"/>
      <c r="E58" s="53"/>
      <c r="F58" s="55"/>
      <c r="G58" s="53"/>
      <c r="H58" s="57"/>
      <c r="I58" s="56"/>
      <c r="J58" s="56"/>
      <c r="K58" s="67"/>
      <c r="L58" s="62">
        <v>58</v>
      </c>
      <c r="M58" s="62" t="b">
        <f t="shared" si="1"/>
        <v>1</v>
      </c>
      <c r="N58" s="63"/>
    </row>
    <row r="59" spans="1:14" hidden="1" x14ac:dyDescent="0.25">
      <c r="A59" s="69" t="s">
        <v>292</v>
      </c>
      <c r="B59" s="49" t="s">
        <v>308</v>
      </c>
      <c r="C59" s="53"/>
      <c r="D59" s="54"/>
      <c r="E59" s="53"/>
      <c r="F59" s="55"/>
      <c r="G59" s="53"/>
      <c r="H59" s="57"/>
      <c r="I59" s="56"/>
      <c r="J59" s="56"/>
      <c r="K59" s="67"/>
      <c r="L59" s="62">
        <v>59</v>
      </c>
      <c r="M59" s="62" t="b">
        <f t="shared" si="1"/>
        <v>1</v>
      </c>
      <c r="N59" s="63"/>
    </row>
    <row r="60" spans="1:14" hidden="1" x14ac:dyDescent="0.25">
      <c r="A60" s="69" t="s">
        <v>295</v>
      </c>
      <c r="B60" s="49" t="s">
        <v>308</v>
      </c>
      <c r="C60" s="53"/>
      <c r="D60" s="54"/>
      <c r="E60" s="53"/>
      <c r="F60" s="55"/>
      <c r="G60" s="53"/>
      <c r="H60" s="57"/>
      <c r="I60" s="56"/>
      <c r="J60" s="56"/>
      <c r="K60" s="67"/>
      <c r="L60" s="62">
        <v>60</v>
      </c>
      <c r="M60" s="62" t="b">
        <f t="shared" si="1"/>
        <v>1</v>
      </c>
      <c r="N60" s="63"/>
    </row>
    <row r="61" spans="1:14" hidden="1" x14ac:dyDescent="0.25">
      <c r="A61" s="87" t="s">
        <v>182</v>
      </c>
      <c r="B61" s="87" t="s">
        <v>188</v>
      </c>
      <c r="C61" s="88"/>
      <c r="D61" s="89"/>
      <c r="E61" s="88"/>
      <c r="F61" s="90"/>
      <c r="G61" s="88"/>
      <c r="H61" s="91"/>
      <c r="I61" s="92"/>
      <c r="J61" s="92"/>
      <c r="K61" s="93"/>
      <c r="L61" s="94">
        <v>61</v>
      </c>
      <c r="M61" s="94" t="b">
        <f t="shared" si="1"/>
        <v>1</v>
      </c>
      <c r="N61" s="95"/>
    </row>
    <row r="62" spans="1:14" hidden="1" x14ac:dyDescent="0.25">
      <c r="A62" s="87" t="s">
        <v>188</v>
      </c>
      <c r="B62" s="87" t="s">
        <v>192</v>
      </c>
      <c r="C62" s="88"/>
      <c r="D62" s="89"/>
      <c r="E62" s="88"/>
      <c r="F62" s="90"/>
      <c r="G62" s="88"/>
      <c r="H62" s="91"/>
      <c r="I62" s="92"/>
      <c r="J62" s="92"/>
      <c r="K62" s="93"/>
      <c r="L62" s="94">
        <v>62</v>
      </c>
      <c r="M62" s="94" t="b">
        <f t="shared" si="1"/>
        <v>1</v>
      </c>
      <c r="N62" s="95"/>
    </row>
    <row r="63" spans="1:14" hidden="1" x14ac:dyDescent="0.25">
      <c r="A63" s="87" t="s">
        <v>192</v>
      </c>
      <c r="B63" s="87" t="s">
        <v>182</v>
      </c>
      <c r="C63" s="88"/>
      <c r="D63" s="89"/>
      <c r="E63" s="88"/>
      <c r="F63" s="90"/>
      <c r="G63" s="88"/>
      <c r="H63" s="91"/>
      <c r="I63" s="92"/>
      <c r="J63" s="92"/>
      <c r="K63" s="93"/>
      <c r="L63" s="94">
        <v>63</v>
      </c>
      <c r="M63" s="94" t="b">
        <f t="shared" si="1"/>
        <v>1</v>
      </c>
      <c r="N63" s="95"/>
    </row>
    <row r="64" spans="1:14" ht="30" hidden="1" x14ac:dyDescent="0.25">
      <c r="A64" s="87" t="s">
        <v>280</v>
      </c>
      <c r="B64" s="87" t="s">
        <v>282</v>
      </c>
      <c r="C64" s="88"/>
      <c r="D64" s="89"/>
      <c r="E64" s="88"/>
      <c r="F64" s="90"/>
      <c r="G64" s="88"/>
      <c r="H64" s="91"/>
      <c r="I64" s="92"/>
      <c r="J64" s="92"/>
      <c r="K64" s="93"/>
      <c r="L64" s="94">
        <v>64</v>
      </c>
      <c r="M64" s="94" t="b">
        <f t="shared" si="1"/>
        <v>1</v>
      </c>
      <c r="N64" s="95"/>
    </row>
    <row r="65" spans="1:14" hidden="1" x14ac:dyDescent="0.25">
      <c r="A65" s="87" t="s">
        <v>280</v>
      </c>
      <c r="B65" s="69" t="s">
        <v>285</v>
      </c>
      <c r="C65" s="53"/>
      <c r="D65" s="54"/>
      <c r="E65" s="53"/>
      <c r="F65" s="55"/>
      <c r="G65" s="53"/>
      <c r="H65" s="57"/>
      <c r="I65" s="56"/>
      <c r="J65" s="56"/>
      <c r="K65" s="67"/>
      <c r="L65" s="62">
        <v>65</v>
      </c>
      <c r="M65" s="62" t="b">
        <f t="shared" ref="M65:M82" si="2" xml:space="preserve"> IF(AND(TRUE), TRUE, FALSE)</f>
        <v>1</v>
      </c>
      <c r="N65" s="63"/>
    </row>
    <row r="66" spans="1:14" ht="30" hidden="1" x14ac:dyDescent="0.25">
      <c r="A66" s="87" t="s">
        <v>282</v>
      </c>
      <c r="B66" s="69" t="s">
        <v>285</v>
      </c>
      <c r="C66" s="88"/>
      <c r="D66" s="89"/>
      <c r="E66" s="88"/>
      <c r="F66" s="90"/>
      <c r="G66" s="88"/>
      <c r="H66" s="91"/>
      <c r="I66" s="92"/>
      <c r="J66" s="92"/>
      <c r="K66" s="93"/>
      <c r="L66" s="94">
        <v>66</v>
      </c>
      <c r="M66" s="94" t="b">
        <f t="shared" si="2"/>
        <v>1</v>
      </c>
      <c r="N66" s="95"/>
    </row>
    <row r="67" spans="1:14" hidden="1" x14ac:dyDescent="0.25">
      <c r="A67" s="87" t="s">
        <v>280</v>
      </c>
      <c r="B67" s="49" t="s">
        <v>173</v>
      </c>
      <c r="C67" s="53"/>
      <c r="D67" s="54"/>
      <c r="E67" s="53"/>
      <c r="F67" s="55"/>
      <c r="G67" s="53"/>
      <c r="H67" s="57"/>
      <c r="I67" s="56"/>
      <c r="J67" s="56"/>
      <c r="K67" s="67"/>
      <c r="L67" s="62">
        <v>67</v>
      </c>
      <c r="M67" s="62" t="b">
        <f t="shared" si="2"/>
        <v>1</v>
      </c>
      <c r="N67" s="63"/>
    </row>
    <row r="68" spans="1:14" ht="30" hidden="1" x14ac:dyDescent="0.25">
      <c r="A68" s="87" t="s">
        <v>282</v>
      </c>
      <c r="B68" s="49" t="s">
        <v>173</v>
      </c>
      <c r="C68" s="88"/>
      <c r="D68" s="89"/>
      <c r="E68" s="88"/>
      <c r="F68" s="90"/>
      <c r="G68" s="88"/>
      <c r="H68" s="91"/>
      <c r="I68" s="92"/>
      <c r="J68" s="92"/>
      <c r="K68" s="93"/>
      <c r="L68" s="94">
        <v>68</v>
      </c>
      <c r="M68" s="94" t="b">
        <f t="shared" si="2"/>
        <v>1</v>
      </c>
      <c r="N68" s="95"/>
    </row>
    <row r="69" spans="1:14" ht="30" hidden="1" x14ac:dyDescent="0.25">
      <c r="A69" s="87" t="s">
        <v>283</v>
      </c>
      <c r="B69" s="87" t="s">
        <v>169</v>
      </c>
      <c r="C69" s="88"/>
      <c r="D69" s="89"/>
      <c r="E69" s="88"/>
      <c r="F69" s="90"/>
      <c r="G69" s="88"/>
      <c r="H69" s="91"/>
      <c r="I69" s="92"/>
      <c r="J69" s="92"/>
      <c r="K69" s="93"/>
      <c r="L69" s="94">
        <v>69</v>
      </c>
      <c r="M69" s="94" t="b">
        <f t="shared" si="2"/>
        <v>1</v>
      </c>
      <c r="N69" s="95"/>
    </row>
    <row r="70" spans="1:14" ht="30" x14ac:dyDescent="0.25">
      <c r="A70" s="87" t="s">
        <v>193</v>
      </c>
      <c r="B70" s="87" t="s">
        <v>172</v>
      </c>
      <c r="C70" s="88"/>
      <c r="D70" s="89"/>
      <c r="E70" s="88"/>
      <c r="F70" s="90"/>
      <c r="G70" s="88"/>
      <c r="H70" s="91"/>
      <c r="I70" s="92"/>
      <c r="J70" s="92"/>
      <c r="K70" s="93"/>
      <c r="L70" s="94">
        <v>70</v>
      </c>
      <c r="M70" s="94" t="b">
        <f t="shared" si="2"/>
        <v>1</v>
      </c>
      <c r="N70" s="95"/>
    </row>
    <row r="71" spans="1:14" ht="30" hidden="1" x14ac:dyDescent="0.25">
      <c r="A71" s="87" t="s">
        <v>211</v>
      </c>
      <c r="B71" s="87" t="s">
        <v>173</v>
      </c>
      <c r="C71" s="88"/>
      <c r="D71" s="89"/>
      <c r="E71" s="88"/>
      <c r="F71" s="90"/>
      <c r="G71" s="88"/>
      <c r="H71" s="91"/>
      <c r="I71" s="92"/>
      <c r="J71" s="92"/>
      <c r="K71" s="93"/>
      <c r="L71" s="94">
        <v>71</v>
      </c>
      <c r="M71" s="94" t="b">
        <f t="shared" si="2"/>
        <v>1</v>
      </c>
      <c r="N71" s="95"/>
    </row>
    <row r="72" spans="1:14" ht="30" hidden="1" x14ac:dyDescent="0.25">
      <c r="A72" s="87" t="s">
        <v>238</v>
      </c>
      <c r="B72" s="87" t="s">
        <v>309</v>
      </c>
      <c r="C72" s="88"/>
      <c r="D72" s="89"/>
      <c r="E72" s="88"/>
      <c r="F72" s="90"/>
      <c r="G72" s="88"/>
      <c r="H72" s="91"/>
      <c r="I72" s="92"/>
      <c r="J72" s="92"/>
      <c r="K72" s="93"/>
      <c r="L72" s="94">
        <v>72</v>
      </c>
      <c r="M72" s="94" t="b">
        <f t="shared" si="2"/>
        <v>1</v>
      </c>
      <c r="N72" s="95"/>
    </row>
    <row r="73" spans="1:14" hidden="1" x14ac:dyDescent="0.25">
      <c r="A73" s="87" t="s">
        <v>228</v>
      </c>
      <c r="B73" s="87" t="s">
        <v>173</v>
      </c>
      <c r="C73" s="88"/>
      <c r="D73" s="89"/>
      <c r="E73" s="88"/>
      <c r="F73" s="90"/>
      <c r="G73" s="88"/>
      <c r="H73" s="91"/>
      <c r="I73" s="92"/>
      <c r="J73" s="92"/>
      <c r="K73" s="93"/>
      <c r="L73" s="94">
        <v>73</v>
      </c>
      <c r="M73" s="94" t="b">
        <f t="shared" si="2"/>
        <v>1</v>
      </c>
      <c r="N73" s="95"/>
    </row>
    <row r="74" spans="1:14" ht="30" x14ac:dyDescent="0.25">
      <c r="A74" s="87" t="s">
        <v>226</v>
      </c>
      <c r="B74" s="87" t="s">
        <v>172</v>
      </c>
      <c r="C74" s="88"/>
      <c r="D74" s="89"/>
      <c r="E74" s="88"/>
      <c r="F74" s="90"/>
      <c r="G74" s="88"/>
      <c r="H74" s="91"/>
      <c r="I74" s="92"/>
      <c r="J74" s="92"/>
      <c r="K74" s="93"/>
      <c r="L74" s="94">
        <v>74</v>
      </c>
      <c r="M74" s="94" t="b">
        <f t="shared" si="2"/>
        <v>1</v>
      </c>
      <c r="N74" s="95"/>
    </row>
    <row r="75" spans="1:14" ht="30" hidden="1" x14ac:dyDescent="0.25">
      <c r="A75" s="87" t="s">
        <v>247</v>
      </c>
      <c r="B75" s="87" t="s">
        <v>192</v>
      </c>
      <c r="C75" s="88"/>
      <c r="D75" s="89"/>
      <c r="E75" s="88"/>
      <c r="F75" s="90"/>
      <c r="G75" s="88"/>
      <c r="H75" s="91"/>
      <c r="I75" s="92"/>
      <c r="J75" s="92"/>
      <c r="K75" s="93"/>
      <c r="L75" s="94">
        <v>75</v>
      </c>
      <c r="M75" s="94" t="b">
        <f t="shared" si="2"/>
        <v>1</v>
      </c>
      <c r="N75" s="95"/>
    </row>
    <row r="76" spans="1:14" ht="30" hidden="1" x14ac:dyDescent="0.25">
      <c r="A76" s="87" t="s">
        <v>269</v>
      </c>
      <c r="B76" s="87" t="s">
        <v>188</v>
      </c>
      <c r="C76" s="88"/>
      <c r="D76" s="89"/>
      <c r="E76" s="88"/>
      <c r="F76" s="90"/>
      <c r="G76" s="88"/>
      <c r="H76" s="91"/>
      <c r="I76" s="92"/>
      <c r="J76" s="92"/>
      <c r="K76" s="93"/>
      <c r="L76" s="94">
        <v>76</v>
      </c>
      <c r="M76" s="94" t="b">
        <f t="shared" si="2"/>
        <v>1</v>
      </c>
      <c r="N76" s="95"/>
    </row>
    <row r="77" spans="1:14" ht="30" x14ac:dyDescent="0.25">
      <c r="A77" s="87" t="s">
        <v>277</v>
      </c>
      <c r="B77" s="87" t="s">
        <v>172</v>
      </c>
      <c r="C77" s="88"/>
      <c r="D77" s="89"/>
      <c r="E77" s="88"/>
      <c r="F77" s="90"/>
      <c r="G77" s="88"/>
      <c r="H77" s="91"/>
      <c r="I77" s="92"/>
      <c r="J77" s="92"/>
      <c r="K77" s="93"/>
      <c r="L77" s="94">
        <v>77</v>
      </c>
      <c r="M77" s="94" t="b">
        <f t="shared" si="2"/>
        <v>1</v>
      </c>
      <c r="N77" s="95"/>
    </row>
    <row r="78" spans="1:14" ht="30" hidden="1" x14ac:dyDescent="0.25">
      <c r="A78" s="87" t="s">
        <v>183</v>
      </c>
      <c r="B78" s="49" t="s">
        <v>312</v>
      </c>
      <c r="C78" s="53"/>
      <c r="D78" s="54"/>
      <c r="E78" s="53"/>
      <c r="F78" s="55"/>
      <c r="G78" s="53"/>
      <c r="H78" s="57"/>
      <c r="I78" s="56"/>
      <c r="J78" s="56"/>
      <c r="K78" s="67"/>
      <c r="L78" s="62">
        <v>78</v>
      </c>
      <c r="M78" s="62" t="b">
        <f t="shared" si="2"/>
        <v>1</v>
      </c>
      <c r="N78" s="63"/>
    </row>
    <row r="79" spans="1:14" ht="30" hidden="1" x14ac:dyDescent="0.25">
      <c r="A79" s="87" t="s">
        <v>184</v>
      </c>
      <c r="B79" s="87" t="s">
        <v>312</v>
      </c>
      <c r="C79" s="88"/>
      <c r="D79" s="89"/>
      <c r="E79" s="88"/>
      <c r="F79" s="90"/>
      <c r="G79" s="88"/>
      <c r="H79" s="91"/>
      <c r="I79" s="92"/>
      <c r="J79" s="92"/>
      <c r="K79" s="93"/>
      <c r="L79" s="94">
        <v>79</v>
      </c>
      <c r="M79" s="94" t="b">
        <f t="shared" si="2"/>
        <v>1</v>
      </c>
      <c r="N79" s="95"/>
    </row>
    <row r="80" spans="1:14" ht="30" hidden="1" x14ac:dyDescent="0.25">
      <c r="A80" s="87" t="s">
        <v>302</v>
      </c>
      <c r="B80" s="87" t="s">
        <v>173</v>
      </c>
      <c r="C80" s="88"/>
      <c r="D80" s="89"/>
      <c r="E80" s="88"/>
      <c r="F80" s="90"/>
      <c r="G80" s="88"/>
      <c r="H80" s="91"/>
      <c r="I80" s="92"/>
      <c r="J80" s="92"/>
      <c r="K80" s="93"/>
      <c r="L80" s="94">
        <v>80</v>
      </c>
      <c r="M80" s="94" t="b">
        <f t="shared" si="2"/>
        <v>1</v>
      </c>
      <c r="N80" s="95"/>
    </row>
    <row r="81" spans="1:14" hidden="1" x14ac:dyDescent="0.25">
      <c r="A81" s="87" t="s">
        <v>173</v>
      </c>
      <c r="B81" s="87" t="s">
        <v>308</v>
      </c>
      <c r="C81" s="88"/>
      <c r="D81" s="89"/>
      <c r="E81" s="88"/>
      <c r="F81" s="90"/>
      <c r="G81" s="88"/>
      <c r="H81" s="91"/>
      <c r="I81" s="92"/>
      <c r="J81" s="92"/>
      <c r="K81" s="93"/>
      <c r="L81" s="94">
        <v>81</v>
      </c>
      <c r="M81" s="94" t="b">
        <f t="shared" si="2"/>
        <v>1</v>
      </c>
      <c r="N81" s="95"/>
    </row>
    <row r="82" spans="1:14" hidden="1" x14ac:dyDescent="0.25">
      <c r="A82" s="87" t="s">
        <v>173</v>
      </c>
      <c r="B82" s="87" t="s">
        <v>309</v>
      </c>
      <c r="C82" s="88"/>
      <c r="D82" s="89"/>
      <c r="E82" s="88"/>
      <c r="F82" s="90"/>
      <c r="G82" s="88"/>
      <c r="H82" s="91"/>
      <c r="I82" s="92"/>
      <c r="J82" s="92"/>
      <c r="K82" s="93"/>
      <c r="L82" s="94">
        <v>82</v>
      </c>
      <c r="M82" s="94" t="b">
        <f t="shared" si="2"/>
        <v>1</v>
      </c>
      <c r="N82" s="95"/>
    </row>
    <row r="83" spans="1:14" ht="30" hidden="1" x14ac:dyDescent="0.25">
      <c r="A83" s="87" t="s">
        <v>290</v>
      </c>
      <c r="B83" s="87" t="s">
        <v>174</v>
      </c>
      <c r="C83" s="88"/>
      <c r="D83" s="89"/>
      <c r="E83" s="88"/>
      <c r="F83" s="90"/>
      <c r="G83" s="88"/>
      <c r="H83" s="91"/>
      <c r="I83" s="92"/>
      <c r="J83" s="92"/>
      <c r="K83" s="93"/>
      <c r="L83" s="94">
        <v>83</v>
      </c>
      <c r="M83" s="94" t="b">
        <f xml:space="preserve"> IF(AND(TRUE), TRUE, FALSE)</f>
        <v>1</v>
      </c>
      <c r="N83" s="95"/>
    </row>
    <row r="84" spans="1:14" ht="30" hidden="1" x14ac:dyDescent="0.25">
      <c r="A84" s="87" t="s">
        <v>295</v>
      </c>
      <c r="B84" s="87" t="s">
        <v>292</v>
      </c>
      <c r="C84" s="88"/>
      <c r="D84" s="89"/>
      <c r="E84" s="88"/>
      <c r="F84" s="90"/>
      <c r="G84" s="88"/>
      <c r="H84" s="91"/>
      <c r="I84" s="92"/>
      <c r="J84" s="92"/>
      <c r="K84" s="93"/>
      <c r="L84" s="94">
        <v>84</v>
      </c>
      <c r="M84" s="94" t="b">
        <f xml:space="preserve"> IF(AND(TRUE), TRUE, FALSE)</f>
        <v>1</v>
      </c>
      <c r="N84" s="95"/>
    </row>
    <row r="85" spans="1:14" ht="30" hidden="1" x14ac:dyDescent="0.25">
      <c r="A85" s="87" t="s">
        <v>259</v>
      </c>
      <c r="B85" s="87" t="s">
        <v>177</v>
      </c>
      <c r="C85" s="88"/>
      <c r="D85" s="89"/>
      <c r="E85" s="88"/>
      <c r="F85" s="90"/>
      <c r="G85" s="88"/>
      <c r="H85" s="91"/>
      <c r="I85" s="92"/>
      <c r="J85" s="92"/>
      <c r="K85" s="93"/>
      <c r="L85" s="94">
        <v>85</v>
      </c>
      <c r="M85" s="94" t="b">
        <f xml:space="preserve"> IF(AND(TRUE), TRUE, FALSE)</f>
        <v>1</v>
      </c>
      <c r="N85" s="95"/>
    </row>
    <row r="86" spans="1:14" hidden="1" x14ac:dyDescent="0.25">
      <c r="A86" s="87" t="s">
        <v>173</v>
      </c>
      <c r="B86" s="87" t="s">
        <v>310</v>
      </c>
      <c r="C86" s="88"/>
      <c r="D86" s="89"/>
      <c r="E86" s="88"/>
      <c r="F86" s="90"/>
      <c r="G86" s="88"/>
      <c r="H86" s="91"/>
      <c r="I86" s="92"/>
      <c r="J86" s="92"/>
      <c r="K86" s="93"/>
      <c r="L86" s="94">
        <v>86</v>
      </c>
      <c r="M86" s="94" t="b">
        <f xml:space="preserve"> IF(AND(TRUE), TRUE, FALSE)</f>
        <v>1</v>
      </c>
      <c r="N86" s="95"/>
    </row>
    <row r="87" spans="1:14" ht="30" hidden="1" x14ac:dyDescent="0.25">
      <c r="A87" s="87" t="s">
        <v>312</v>
      </c>
      <c r="B87" s="87" t="s">
        <v>169</v>
      </c>
      <c r="C87" s="88"/>
      <c r="D87" s="89"/>
      <c r="E87" s="88"/>
      <c r="F87" s="90"/>
      <c r="G87" s="88"/>
      <c r="H87" s="91"/>
      <c r="I87" s="92"/>
      <c r="J87" s="92"/>
      <c r="K87" s="93"/>
      <c r="L87" s="94">
        <v>87</v>
      </c>
      <c r="M87" s="94" t="b">
        <f xml:space="preserve"> IF(AND(TRUE), TRUE, FALSE)</f>
        <v>1</v>
      </c>
      <c r="N87" s="95"/>
    </row>
    <row r="88" spans="1:14" ht="45" hidden="1" x14ac:dyDescent="0.25">
      <c r="A88" s="87" t="s">
        <v>234</v>
      </c>
      <c r="B88" s="87" t="s">
        <v>236</v>
      </c>
      <c r="C88" s="88"/>
      <c r="D88" s="89"/>
      <c r="E88" s="88"/>
      <c r="F88" s="90"/>
      <c r="G88" s="88"/>
      <c r="H88" s="91"/>
      <c r="I88" s="92"/>
      <c r="J88" s="92"/>
      <c r="K88" s="93"/>
      <c r="L88" s="94">
        <v>88</v>
      </c>
      <c r="M88" s="94" t="b">
        <f xml:space="preserve"> IF(AND(TRUE), TRUE, FALSE)</f>
        <v>1</v>
      </c>
      <c r="N88" s="95"/>
    </row>
    <row r="89" spans="1:14" ht="30" x14ac:dyDescent="0.25">
      <c r="A89" s="87" t="s">
        <v>321</v>
      </c>
      <c r="B89" s="87" t="s">
        <v>172</v>
      </c>
      <c r="C89" s="88"/>
      <c r="D89" s="89"/>
      <c r="E89" s="88"/>
      <c r="F89" s="90"/>
      <c r="G89" s="88"/>
      <c r="H89" s="91"/>
      <c r="I89" s="92"/>
      <c r="J89" s="92"/>
      <c r="K89" s="93"/>
      <c r="L89" s="94">
        <v>89</v>
      </c>
      <c r="M89" s="94" t="b">
        <f xml:space="preserve"> IF(AND(TRUE), TRUE, FALSE)</f>
        <v>1</v>
      </c>
      <c r="N89" s="95"/>
    </row>
    <row r="90" spans="1:14" hidden="1" x14ac:dyDescent="0.25">
      <c r="A90" s="87"/>
      <c r="B90" s="87"/>
      <c r="C90" s="88"/>
      <c r="D90" s="89"/>
      <c r="E90" s="88"/>
      <c r="F90" s="90"/>
      <c r="G90" s="88"/>
      <c r="H90" s="91"/>
      <c r="I90" s="92"/>
      <c r="J90" s="92"/>
      <c r="K90" s="93"/>
      <c r="L90" s="94">
        <v>90</v>
      </c>
      <c r="M90" s="94" t="b">
        <f xml:space="preserve"> IF(AND(TRUE), TRUE, FALSE)</f>
        <v>1</v>
      </c>
      <c r="N90" s="95"/>
    </row>
  </sheetData>
  <dataConsolidate/>
  <dataValidations count="14">
    <dataValidation allowBlank="1" showInputMessage="1" showErrorMessage="1" promptTitle="Vertex 2 Name" prompt="Enter the name of the edge's second vertex." sqref="B4:B5 B54:B56 B69 B58:B60 B72 B9:B52"/>
    <dataValidation allowBlank="1" showInputMessage="1" showErrorMessage="1" promptTitle="Vertex Name" prompt="Enter the name of the vertex." sqref="B6:B8 B57 B53 B65:B66 A58:A73 A75:A80 A3:A56 B3"/>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90"/>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90"/>
    <dataValidation allowBlank="1" showErrorMessage="1" sqref="N2:N90"/>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I3:I90"/>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90"/>
    <dataValidation allowBlank="1" showInputMessage="1" promptTitle="Edge Color" prompt="To select an optional edge color, right-click and select Select Color on the right-click menu." sqref="C3:C90"/>
    <dataValidation allowBlank="1" showInputMessage="1" errorTitle="Invalid Edge Width" error="The optional edge width must be a whole number between 1 and 10." promptTitle="Edge Width" prompt="Enter an optional edge width between 1 and 10." sqref="D3:D90"/>
    <dataValidation allowBlank="1" showInputMessage="1" errorTitle="Invalid Edge Opacity" error="The optional edge opacity must be a whole number between 0 and 10." promptTitle="Edge Opacity" prompt="Enter an optional edge opacity between 0 (transparent) and 100 (opaque)." sqref="F3:F90"/>
    <dataValidation type="list" allowBlank="1" showInputMessage="1" showErrorMessage="1" errorTitle="Invalid Edge Visibility" error="You have entered an unrecognized edge visibility.  Try selecting from the drop-down list instead." promptTitle="Edge Visibility" prompt="Select an optional edge visibility.  Edges are shown by default." sqref="G3:G90">
      <formula1>ValidEdgeVisibilities</formula1>
    </dataValidation>
    <dataValidation allowBlank="1" showInputMessage="1" showErrorMessage="1" errorTitle="Invalid Edge Visibility" error="You have entered an unrecognized edge visibility.  Try selecting from the drop-down list instead." promptTitle="Edge Label" prompt="Enter an optional edge label." sqref="H3:H90"/>
    <dataValidation type="list" allowBlank="1" showInputMessage="1" showErrorMessage="1" errorTitle="Invalid Edge Style" error="You have entered an unrecognized edge style.  Try selecting from the drop-down list instead." promptTitle="Edge Style" prompt="Select an optional edge style.  Edges are Solid by default." sqref="E3:E90">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90"/>
  </dataValidations>
  <pageMargins left="0.7" right="0.7" top="0.75" bottom="0.75" header="0.3" footer="0.3"/>
  <pageSetup orientation="portrait" horizontalDpi="0" verticalDpi="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I67"/>
  <sheetViews>
    <sheetView tabSelected="1" workbookViewId="0">
      <pane xSplit="1" ySplit="2" topLeftCell="G54" activePane="bottomRight" state="frozen"/>
      <selection pane="topRight" activeCell="B1" sqref="B1"/>
      <selection pane="bottomLeft" activeCell="A3" sqref="A3"/>
      <selection pane="bottomRight" activeCell="A25" sqref="A25"/>
    </sheetView>
  </sheetViews>
  <sheetFormatPr defaultRowHeight="15" x14ac:dyDescent="0.25"/>
  <cols>
    <col min="1" max="1" width="16.5703125" style="1" customWidth="1"/>
    <col min="2" max="2" width="7.85546875" customWidth="1"/>
    <col min="3" max="3" width="8.5703125" customWidth="1"/>
    <col min="4" max="4" width="6.7109375" customWidth="1"/>
    <col min="5" max="5" width="9.85546875" customWidth="1"/>
    <col min="6" max="6" width="7.7109375" customWidth="1"/>
    <col min="7" max="7" width="11" customWidth="1"/>
    <col min="8" max="8" width="8.5703125" customWidth="1"/>
    <col min="9" max="9" width="9.7109375" customWidth="1"/>
    <col min="10" max="10" width="10.5703125" style="3" customWidth="1"/>
    <col min="11" max="11" width="9.140625" customWidth="1"/>
    <col min="12" max="12" width="9.140625" hidden="1" customWidth="1"/>
    <col min="13" max="14" width="4.28515625" hidden="1" customWidth="1"/>
    <col min="15" max="15" width="10.28515625" hidden="1" customWidth="1"/>
    <col min="16" max="16" width="6.42578125" hidden="1" customWidth="1"/>
    <col min="17" max="17" width="8.28515625" hidden="1" customWidth="1"/>
    <col min="18" max="18" width="9.5703125" hidden="1" customWidth="1"/>
    <col min="19" max="19" width="9.28515625" hidden="1" customWidth="1"/>
    <col min="20" max="20" width="9.5703125" hidden="1" customWidth="1"/>
    <col min="21" max="23" width="14.28515625" hidden="1" customWidth="1"/>
    <col min="24" max="24" width="11.85546875" hidden="1" customWidth="1"/>
    <col min="25" max="25" width="14.42578125" hidden="1" customWidth="1"/>
    <col min="26" max="26" width="5" style="3" hidden="1" customWidth="1"/>
    <col min="27" max="27" width="16" style="3" hidden="1" customWidth="1"/>
    <col min="28" max="28" width="16" style="6" bestFit="1" customWidth="1"/>
    <col min="29" max="29" width="14.28515625" style="2" customWidth="1"/>
    <col min="30" max="30" width="14.28515625" style="3" customWidth="1"/>
    <col min="31" max="32" width="14.28515625" style="2" customWidth="1"/>
    <col min="33" max="33" width="14.28515625" style="3" customWidth="1"/>
    <col min="34" max="34" width="11.85546875" style="3" customWidth="1"/>
    <col min="35" max="35" width="14.42578125" style="3" customWidth="1"/>
    <col min="36" max="36" width="5" customWidth="1"/>
    <col min="37" max="37" width="16" customWidth="1"/>
    <col min="38" max="38" width="16" bestFit="1" customWidth="1"/>
    <col min="39" max="40" width="9.140625" customWidth="1"/>
  </cols>
  <sheetData>
    <row r="1" spans="1:35" x14ac:dyDescent="0.25">
      <c r="B1" s="24" t="s">
        <v>40</v>
      </c>
      <c r="C1" s="17"/>
      <c r="D1" s="17"/>
      <c r="E1" s="17"/>
      <c r="F1" s="17"/>
      <c r="G1" s="17"/>
      <c r="H1" s="26" t="s">
        <v>44</v>
      </c>
      <c r="I1" s="25"/>
      <c r="J1" s="25"/>
      <c r="K1" s="25"/>
      <c r="L1" s="28" t="s">
        <v>45</v>
      </c>
      <c r="M1" s="27"/>
      <c r="N1" s="27"/>
      <c r="O1" s="27"/>
      <c r="P1" s="27"/>
      <c r="Q1" s="27"/>
      <c r="R1" s="23" t="s">
        <v>43</v>
      </c>
      <c r="S1" s="20"/>
      <c r="T1" s="21"/>
      <c r="U1" s="22"/>
      <c r="V1" s="20"/>
      <c r="W1" s="20"/>
      <c r="X1" s="20"/>
      <c r="Y1" s="20"/>
      <c r="Z1" s="29" t="s">
        <v>41</v>
      </c>
      <c r="AA1" s="19"/>
      <c r="AB1" s="30" t="s">
        <v>42</v>
      </c>
      <c r="AC1"/>
      <c r="AD1"/>
      <c r="AG1"/>
      <c r="AH1"/>
      <c r="AI1"/>
    </row>
    <row r="2" spans="1:35" ht="30" customHeight="1" x14ac:dyDescent="0.25">
      <c r="A2" s="11" t="s">
        <v>5</v>
      </c>
      <c r="B2" s="8" t="s">
        <v>2</v>
      </c>
      <c r="C2" s="8" t="s">
        <v>8</v>
      </c>
      <c r="D2" s="9" t="s">
        <v>46</v>
      </c>
      <c r="E2" s="10" t="s">
        <v>4</v>
      </c>
      <c r="F2" s="8" t="s">
        <v>49</v>
      </c>
      <c r="G2" s="8" t="s">
        <v>11</v>
      </c>
      <c r="H2" s="8" t="s">
        <v>47</v>
      </c>
      <c r="I2" s="8" t="s">
        <v>48</v>
      </c>
      <c r="J2" s="8" t="s">
        <v>78</v>
      </c>
      <c r="K2" s="8" t="s">
        <v>10</v>
      </c>
      <c r="L2" s="8" t="s">
        <v>27</v>
      </c>
      <c r="M2" s="8" t="s">
        <v>15</v>
      </c>
      <c r="N2" s="8" t="s">
        <v>16</v>
      </c>
      <c r="O2" s="8" t="s">
        <v>13</v>
      </c>
      <c r="P2" s="8" t="s">
        <v>28</v>
      </c>
      <c r="Q2" s="8" t="s">
        <v>29</v>
      </c>
      <c r="R2" s="13" t="s">
        <v>32</v>
      </c>
      <c r="S2" s="13" t="s">
        <v>33</v>
      </c>
      <c r="T2" s="13" t="s">
        <v>34</v>
      </c>
      <c r="U2" s="13" t="s">
        <v>35</v>
      </c>
      <c r="V2" s="13" t="s">
        <v>36</v>
      </c>
      <c r="W2" s="13" t="s">
        <v>37</v>
      </c>
      <c r="X2" s="13" t="s">
        <v>137</v>
      </c>
      <c r="Y2" s="13" t="s">
        <v>38</v>
      </c>
      <c r="Z2" s="11" t="s">
        <v>12</v>
      </c>
      <c r="AA2" s="11" t="s">
        <v>39</v>
      </c>
      <c r="AB2" s="8" t="s">
        <v>26</v>
      </c>
      <c r="AC2" s="11" t="s">
        <v>186</v>
      </c>
      <c r="AD2" s="11" t="s">
        <v>198</v>
      </c>
      <c r="AE2" s="10" t="s">
        <v>199</v>
      </c>
      <c r="AF2" s="10" t="s">
        <v>315</v>
      </c>
      <c r="AG2" s="11" t="s">
        <v>195</v>
      </c>
      <c r="AH2" s="11" t="s">
        <v>200</v>
      </c>
      <c r="AI2" s="1"/>
    </row>
    <row r="3" spans="1:35" ht="15" customHeight="1" x14ac:dyDescent="0.25">
      <c r="A3" s="49" t="s">
        <v>169</v>
      </c>
      <c r="B3" s="98" t="s">
        <v>318</v>
      </c>
      <c r="C3" s="53" t="s">
        <v>47</v>
      </c>
      <c r="D3" s="54">
        <v>7.0753279608503297</v>
      </c>
      <c r="E3" s="55"/>
      <c r="F3" s="53"/>
      <c r="G3" s="53"/>
      <c r="H3" s="73" t="s">
        <v>169</v>
      </c>
      <c r="I3" s="56"/>
      <c r="J3" s="56"/>
      <c r="K3" s="57"/>
      <c r="L3" s="59"/>
      <c r="M3" s="60"/>
      <c r="N3" s="60"/>
      <c r="O3" s="58"/>
      <c r="P3" s="61"/>
      <c r="Q3" s="61"/>
      <c r="R3" s="50"/>
      <c r="S3" s="50"/>
      <c r="T3" s="50"/>
      <c r="U3" s="50"/>
      <c r="V3" s="51"/>
      <c r="W3" s="51"/>
      <c r="X3" s="52"/>
      <c r="Y3" s="51"/>
      <c r="Z3" s="62">
        <v>3</v>
      </c>
      <c r="AA3" s="62"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 s="63"/>
      <c r="AC3" s="1"/>
      <c r="AD3" s="83" t="s">
        <v>265</v>
      </c>
      <c r="AE3" s="84">
        <f>10000000/Vertices[[#This Row],[Minutes to max tweets]]</f>
        <v>166666.66666666666</v>
      </c>
      <c r="AF3" s="84">
        <f>Vertices[[#This Row],[Followers]]+Vertices[[#This Row],[Inverse of Min to Max Tweets]]</f>
        <v>166666.66666666666</v>
      </c>
      <c r="AG3" s="1"/>
      <c r="AH3" s="1" t="s">
        <v>202</v>
      </c>
      <c r="AI3" s="1"/>
    </row>
    <row r="4" spans="1:35" x14ac:dyDescent="0.25">
      <c r="A4" s="69" t="s">
        <v>170</v>
      </c>
      <c r="B4" s="70"/>
      <c r="C4" s="70" t="s">
        <v>47</v>
      </c>
      <c r="D4" s="71">
        <v>5</v>
      </c>
      <c r="E4" s="72"/>
      <c r="F4" s="70"/>
      <c r="G4" s="70"/>
      <c r="H4" s="73" t="s">
        <v>170</v>
      </c>
      <c r="I4" s="74"/>
      <c r="J4" s="74"/>
      <c r="K4" s="73"/>
      <c r="L4" s="75"/>
      <c r="M4" s="76"/>
      <c r="N4" s="76"/>
      <c r="O4" s="77"/>
      <c r="P4" s="78"/>
      <c r="Q4" s="78"/>
      <c r="R4" s="79"/>
      <c r="S4" s="79"/>
      <c r="T4" s="79"/>
      <c r="U4" s="79"/>
      <c r="V4" s="80"/>
      <c r="W4" s="80"/>
      <c r="X4" s="80"/>
      <c r="Y4" s="80"/>
      <c r="Z4" s="81">
        <v>4</v>
      </c>
      <c r="AA4"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 s="82"/>
      <c r="AC4" s="1"/>
      <c r="AD4" s="1"/>
      <c r="AF4" s="2">
        <f>Vertices[[#This Row],[Followers]]+Vertices[[#This Row],[Inverse of Min to Max Tweets]]</f>
        <v>0</v>
      </c>
      <c r="AG4" s="1"/>
      <c r="AH4" s="1" t="s">
        <v>203</v>
      </c>
      <c r="AI4" s="1"/>
    </row>
    <row r="5" spans="1:35" x14ac:dyDescent="0.25">
      <c r="A5" s="69" t="s">
        <v>171</v>
      </c>
      <c r="B5" s="70"/>
      <c r="C5" s="70" t="s">
        <v>47</v>
      </c>
      <c r="D5" s="71">
        <v>5</v>
      </c>
      <c r="E5" s="72"/>
      <c r="F5" s="70"/>
      <c r="G5" s="70"/>
      <c r="H5" s="73" t="s">
        <v>171</v>
      </c>
      <c r="I5" s="74"/>
      <c r="J5" s="74"/>
      <c r="K5" s="73"/>
      <c r="L5" s="75"/>
      <c r="M5" s="76"/>
      <c r="N5" s="76"/>
      <c r="O5" s="77"/>
      <c r="P5" s="78"/>
      <c r="Q5" s="78"/>
      <c r="R5" s="79"/>
      <c r="S5" s="79"/>
      <c r="T5" s="79"/>
      <c r="U5" s="79"/>
      <c r="V5" s="80"/>
      <c r="W5" s="80"/>
      <c r="X5" s="80"/>
      <c r="Y5" s="80"/>
      <c r="Z5" s="81">
        <v>5</v>
      </c>
      <c r="AA5"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 s="82"/>
      <c r="AC5" s="1"/>
      <c r="AD5" s="1"/>
      <c r="AF5" s="2">
        <f>Vertices[[#This Row],[Followers]]+Vertices[[#This Row],[Inverse of Min to Max Tweets]]</f>
        <v>0</v>
      </c>
      <c r="AG5" s="1"/>
      <c r="AH5" s="1" t="s">
        <v>203</v>
      </c>
      <c r="AI5" s="1"/>
    </row>
    <row r="6" spans="1:35" x14ac:dyDescent="0.25">
      <c r="A6" s="69" t="s">
        <v>172</v>
      </c>
      <c r="B6" s="70"/>
      <c r="C6" s="70" t="s">
        <v>47</v>
      </c>
      <c r="D6" s="71">
        <v>5</v>
      </c>
      <c r="E6" s="72"/>
      <c r="F6" s="70"/>
      <c r="G6" s="70"/>
      <c r="H6" s="73" t="s">
        <v>172</v>
      </c>
      <c r="I6" s="74"/>
      <c r="J6" s="74"/>
      <c r="K6" s="73"/>
      <c r="L6" s="75"/>
      <c r="M6" s="76"/>
      <c r="N6" s="76"/>
      <c r="O6" s="77"/>
      <c r="P6" s="78"/>
      <c r="Q6" s="78"/>
      <c r="R6" s="79"/>
      <c r="S6" s="79"/>
      <c r="T6" s="79"/>
      <c r="U6" s="79"/>
      <c r="V6" s="80"/>
      <c r="W6" s="80"/>
      <c r="X6" s="80"/>
      <c r="Y6" s="80"/>
      <c r="Z6" s="81">
        <v>6</v>
      </c>
      <c r="AA6"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6" s="82"/>
      <c r="AC6" s="1"/>
      <c r="AD6" s="1"/>
      <c r="AF6" s="2">
        <f>Vertices[[#This Row],[Followers]]+Vertices[[#This Row],[Inverse of Min to Max Tweets]]</f>
        <v>0</v>
      </c>
      <c r="AG6" s="1"/>
      <c r="AH6" s="1" t="s">
        <v>203</v>
      </c>
      <c r="AI6" s="1"/>
    </row>
    <row r="7" spans="1:35" x14ac:dyDescent="0.25">
      <c r="A7" s="69" t="s">
        <v>173</v>
      </c>
      <c r="B7" s="70"/>
      <c r="C7" s="70" t="s">
        <v>47</v>
      </c>
      <c r="D7" s="71">
        <v>5</v>
      </c>
      <c r="E7" s="72"/>
      <c r="F7" s="70"/>
      <c r="G7" s="70"/>
      <c r="H7" s="73" t="s">
        <v>173</v>
      </c>
      <c r="I7" s="74"/>
      <c r="J7" s="74"/>
      <c r="K7" s="73"/>
      <c r="L7" s="75"/>
      <c r="M7" s="76"/>
      <c r="N7" s="76"/>
      <c r="O7" s="77"/>
      <c r="P7" s="78"/>
      <c r="Q7" s="78"/>
      <c r="R7" s="79"/>
      <c r="S7" s="79"/>
      <c r="T7" s="79"/>
      <c r="U7" s="79"/>
      <c r="V7" s="80"/>
      <c r="W7" s="80"/>
      <c r="X7" s="80"/>
      <c r="Y7" s="80"/>
      <c r="Z7" s="81">
        <v>7</v>
      </c>
      <c r="AA7"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7" s="82"/>
      <c r="AC7" s="1"/>
      <c r="AD7" s="1"/>
      <c r="AF7" s="2">
        <f>Vertices[[#This Row],[Followers]]+Vertices[[#This Row],[Inverse of Min to Max Tweets]]</f>
        <v>0</v>
      </c>
      <c r="AG7" s="1"/>
      <c r="AH7" s="1" t="s">
        <v>203</v>
      </c>
      <c r="AI7" s="1"/>
    </row>
    <row r="8" spans="1:35" x14ac:dyDescent="0.25">
      <c r="A8" s="69" t="s">
        <v>174</v>
      </c>
      <c r="B8" s="70"/>
      <c r="C8" s="70" t="s">
        <v>47</v>
      </c>
      <c r="D8" s="71">
        <v>5</v>
      </c>
      <c r="E8" s="72"/>
      <c r="F8" s="70"/>
      <c r="G8" s="70"/>
      <c r="H8" s="73" t="s">
        <v>174</v>
      </c>
      <c r="I8" s="74"/>
      <c r="J8" s="74"/>
      <c r="K8" s="73"/>
      <c r="L8" s="75"/>
      <c r="M8" s="76"/>
      <c r="N8" s="76"/>
      <c r="O8" s="77"/>
      <c r="P8" s="78"/>
      <c r="Q8" s="78"/>
      <c r="R8" s="79"/>
      <c r="S8" s="79"/>
      <c r="T8" s="79"/>
      <c r="U8" s="79"/>
      <c r="V8" s="80"/>
      <c r="W8" s="80"/>
      <c r="X8" s="80"/>
      <c r="Y8" s="80"/>
      <c r="Z8" s="81">
        <v>8</v>
      </c>
      <c r="AA8"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8" s="82"/>
      <c r="AC8" s="1"/>
      <c r="AD8" s="1"/>
      <c r="AF8" s="2">
        <f>Vertices[[#This Row],[Followers]]+Vertices[[#This Row],[Inverse of Min to Max Tweets]]</f>
        <v>0</v>
      </c>
      <c r="AG8" s="1"/>
      <c r="AH8" s="1" t="s">
        <v>203</v>
      </c>
      <c r="AI8" s="1"/>
    </row>
    <row r="9" spans="1:35" x14ac:dyDescent="0.25">
      <c r="A9" s="69" t="s">
        <v>175</v>
      </c>
      <c r="B9" s="70"/>
      <c r="C9" s="70" t="s">
        <v>47</v>
      </c>
      <c r="D9" s="71">
        <v>5</v>
      </c>
      <c r="E9" s="72"/>
      <c r="F9" s="70"/>
      <c r="G9" s="70"/>
      <c r="H9" s="73" t="s">
        <v>175</v>
      </c>
      <c r="I9" s="74"/>
      <c r="J9" s="74"/>
      <c r="K9" s="73"/>
      <c r="L9" s="75"/>
      <c r="M9" s="76"/>
      <c r="N9" s="76"/>
      <c r="O9" s="77"/>
      <c r="P9" s="78"/>
      <c r="Q9" s="78"/>
      <c r="R9" s="79"/>
      <c r="S9" s="79"/>
      <c r="T9" s="79"/>
      <c r="U9" s="79"/>
      <c r="V9" s="80"/>
      <c r="W9" s="80"/>
      <c r="X9" s="80"/>
      <c r="Y9" s="80"/>
      <c r="Z9" s="81">
        <v>9</v>
      </c>
      <c r="AA9"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9" s="82"/>
      <c r="AC9" s="1"/>
      <c r="AD9" s="1"/>
      <c r="AF9" s="2">
        <f>Vertices[[#This Row],[Followers]]+Vertices[[#This Row],[Inverse of Min to Max Tweets]]</f>
        <v>0</v>
      </c>
      <c r="AG9" s="1"/>
      <c r="AH9" s="1" t="s">
        <v>203</v>
      </c>
      <c r="AI9" s="1"/>
    </row>
    <row r="10" spans="1:35" x14ac:dyDescent="0.25">
      <c r="A10" s="69" t="s">
        <v>176</v>
      </c>
      <c r="B10" s="70"/>
      <c r="C10" s="70" t="s">
        <v>56</v>
      </c>
      <c r="D10" s="71">
        <v>6.9645593703254276</v>
      </c>
      <c r="E10" s="72"/>
      <c r="F10" s="70"/>
      <c r="G10" s="70"/>
      <c r="H10" s="73" t="s">
        <v>176</v>
      </c>
      <c r="I10" s="74"/>
      <c r="J10" s="74"/>
      <c r="K10" s="73"/>
      <c r="L10" s="75"/>
      <c r="M10" s="76"/>
      <c r="N10" s="76"/>
      <c r="O10" s="77"/>
      <c r="P10" s="78"/>
      <c r="Q10" s="78"/>
      <c r="R10" s="79"/>
      <c r="S10" s="79"/>
      <c r="T10" s="79"/>
      <c r="U10" s="79"/>
      <c r="V10" s="80"/>
      <c r="W10" s="80"/>
      <c r="X10" s="80"/>
      <c r="Y10" s="80"/>
      <c r="Z10" s="81">
        <v>10</v>
      </c>
      <c r="AA10"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0" s="82"/>
      <c r="AC10" s="1" t="s">
        <v>296</v>
      </c>
      <c r="AD10" s="1"/>
      <c r="AF10" s="2">
        <f>Vertices[[#This Row],[Followers]]+Vertices[[#This Row],[Inverse of Min to Max Tweets]]</f>
        <v>147124</v>
      </c>
      <c r="AG10" s="1" t="s">
        <v>221</v>
      </c>
      <c r="AH10" s="1" t="s">
        <v>206</v>
      </c>
    </row>
    <row r="11" spans="1:35" x14ac:dyDescent="0.25">
      <c r="A11" s="69" t="s">
        <v>177</v>
      </c>
      <c r="B11" s="98" t="s">
        <v>318</v>
      </c>
      <c r="C11" s="53" t="s">
        <v>47</v>
      </c>
      <c r="D11" s="54">
        <v>4.5082793711165277</v>
      </c>
      <c r="E11" s="72"/>
      <c r="F11" s="70"/>
      <c r="G11" s="70"/>
      <c r="H11" s="73" t="s">
        <v>177</v>
      </c>
      <c r="I11" s="74"/>
      <c r="J11" s="74"/>
      <c r="K11" s="73"/>
      <c r="L11" s="75"/>
      <c r="M11" s="76"/>
      <c r="N11" s="76"/>
      <c r="O11" s="77"/>
      <c r="P11" s="78"/>
      <c r="Q11" s="78"/>
      <c r="R11" s="79"/>
      <c r="S11" s="79"/>
      <c r="T11" s="79"/>
      <c r="U11" s="79"/>
      <c r="V11" s="80"/>
      <c r="W11" s="80"/>
      <c r="X11" s="80"/>
      <c r="Y11" s="80"/>
      <c r="Z11" s="81">
        <v>11</v>
      </c>
      <c r="AA11"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1" s="82"/>
      <c r="AC11" s="1"/>
      <c r="AD11" s="83" t="s">
        <v>264</v>
      </c>
      <c r="AE11" s="84">
        <f>10000000/Vertices[[#This Row],[Minutes to max tweets]]</f>
        <v>9259.2592592592591</v>
      </c>
      <c r="AF11" s="84">
        <f>Vertices[[#This Row],[Followers]]+Vertices[[#This Row],[Inverse of Min to Max Tweets]]</f>
        <v>9259.2592592592591</v>
      </c>
      <c r="AG11" s="1"/>
      <c r="AH11" s="1" t="s">
        <v>202</v>
      </c>
      <c r="AI11" s="1"/>
    </row>
    <row r="12" spans="1:35" x14ac:dyDescent="0.25">
      <c r="A12" s="69" t="s">
        <v>178</v>
      </c>
      <c r="B12" s="98" t="s">
        <v>318</v>
      </c>
      <c r="C12" s="53" t="s">
        <v>47</v>
      </c>
      <c r="D12" s="54">
        <v>3.0215575225140494</v>
      </c>
      <c r="E12" s="72"/>
      <c r="F12" s="70"/>
      <c r="G12" s="70"/>
      <c r="H12" s="73" t="s">
        <v>178</v>
      </c>
      <c r="I12" s="74"/>
      <c r="J12" s="74"/>
      <c r="K12" s="73"/>
      <c r="L12" s="75"/>
      <c r="M12" s="76"/>
      <c r="N12" s="76"/>
      <c r="O12" s="77"/>
      <c r="P12" s="78"/>
      <c r="Q12" s="78"/>
      <c r="R12" s="79"/>
      <c r="S12" s="79"/>
      <c r="T12" s="79"/>
      <c r="U12" s="79"/>
      <c r="V12" s="80"/>
      <c r="W12" s="80"/>
      <c r="X12" s="80"/>
      <c r="Y12" s="80"/>
      <c r="Z12" s="81">
        <v>12</v>
      </c>
      <c r="AA12"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2" s="82"/>
      <c r="AC12" s="1"/>
      <c r="AD12" s="83" t="s">
        <v>266</v>
      </c>
      <c r="AE12" s="84">
        <f>10000000/Vertices[[#This Row],[Minutes to max tweets]]</f>
        <v>1736.1111111111111</v>
      </c>
      <c r="AF12" s="84">
        <f>Vertices[[#This Row],[Followers]]+Vertices[[#This Row],[Inverse of Min to Max Tweets]]</f>
        <v>1736.1111111111111</v>
      </c>
      <c r="AG12" s="1"/>
      <c r="AH12" s="1" t="s">
        <v>202</v>
      </c>
      <c r="AI12" s="1"/>
    </row>
    <row r="13" spans="1:35" x14ac:dyDescent="0.25">
      <c r="A13" s="69" t="s">
        <v>179</v>
      </c>
      <c r="B13" s="70"/>
      <c r="C13" s="70" t="s">
        <v>56</v>
      </c>
      <c r="D13" s="71">
        <v>2.1282880914945475</v>
      </c>
      <c r="E13" s="72"/>
      <c r="F13" s="70"/>
      <c r="G13" s="70"/>
      <c r="H13" s="73" t="s">
        <v>179</v>
      </c>
      <c r="I13" s="74"/>
      <c r="J13" s="74"/>
      <c r="K13" s="73"/>
      <c r="L13" s="75"/>
      <c r="M13" s="76"/>
      <c r="N13" s="76"/>
      <c r="O13" s="77"/>
      <c r="P13" s="78"/>
      <c r="Q13" s="78"/>
      <c r="R13" s="79"/>
      <c r="S13" s="79"/>
      <c r="T13" s="79"/>
      <c r="U13" s="79"/>
      <c r="V13" s="80"/>
      <c r="W13" s="80"/>
      <c r="X13" s="80"/>
      <c r="Y13" s="80"/>
      <c r="Z13" s="81">
        <v>13</v>
      </c>
      <c r="AA13"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3" s="82"/>
      <c r="AC13" s="1" t="s">
        <v>297</v>
      </c>
      <c r="AD13" s="1"/>
      <c r="AF13" s="2">
        <f>Vertices[[#This Row],[Followers]]+Vertices[[#This Row],[Inverse of Min to Max Tweets]]</f>
        <v>635</v>
      </c>
      <c r="AG13" s="1" t="s">
        <v>170</v>
      </c>
      <c r="AH13" s="1" t="s">
        <v>189</v>
      </c>
    </row>
    <row r="14" spans="1:35" x14ac:dyDescent="0.25">
      <c r="A14" s="69" t="s">
        <v>180</v>
      </c>
      <c r="B14" s="70"/>
      <c r="C14" s="70" t="s">
        <v>56</v>
      </c>
      <c r="D14" s="71">
        <v>4.8057443169979788</v>
      </c>
      <c r="E14" s="72"/>
      <c r="F14" s="70"/>
      <c r="G14" s="70"/>
      <c r="H14" s="73" t="s">
        <v>180</v>
      </c>
      <c r="I14" s="74"/>
      <c r="J14" s="74"/>
      <c r="K14" s="73"/>
      <c r="L14" s="75"/>
      <c r="M14" s="76"/>
      <c r="N14" s="76"/>
      <c r="O14" s="77"/>
      <c r="P14" s="78"/>
      <c r="Q14" s="78"/>
      <c r="R14" s="79"/>
      <c r="S14" s="79"/>
      <c r="T14" s="79"/>
      <c r="U14" s="79"/>
      <c r="V14" s="80"/>
      <c r="W14" s="80"/>
      <c r="X14" s="80"/>
      <c r="Y14" s="80"/>
      <c r="Z14" s="81">
        <v>14</v>
      </c>
      <c r="AA14"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4" s="82"/>
      <c r="AC14" s="1" t="s">
        <v>298</v>
      </c>
      <c r="AD14" s="1"/>
      <c r="AF14" s="2">
        <f>Vertices[[#This Row],[Followers]]+Vertices[[#This Row],[Inverse of Min to Max Tweets]]</f>
        <v>12943</v>
      </c>
      <c r="AG14" s="1" t="s">
        <v>170</v>
      </c>
      <c r="AH14" s="1" t="s">
        <v>189</v>
      </c>
    </row>
    <row r="15" spans="1:35" x14ac:dyDescent="0.25">
      <c r="A15" s="69" t="s">
        <v>181</v>
      </c>
      <c r="B15" s="98" t="s">
        <v>318</v>
      </c>
      <c r="C15" s="53" t="s">
        <v>47</v>
      </c>
      <c r="D15" s="71">
        <v>2.4059472684097432</v>
      </c>
      <c r="E15" s="72"/>
      <c r="F15" s="70"/>
      <c r="G15" s="70"/>
      <c r="H15" s="73" t="s">
        <v>181</v>
      </c>
      <c r="I15" s="74"/>
      <c r="J15" s="74"/>
      <c r="K15" s="73"/>
      <c r="L15" s="75"/>
      <c r="M15" s="76"/>
      <c r="N15" s="76"/>
      <c r="O15" s="77"/>
      <c r="P15" s="78"/>
      <c r="Q15" s="78"/>
      <c r="R15" s="79"/>
      <c r="S15" s="79"/>
      <c r="T15" s="79"/>
      <c r="U15" s="79"/>
      <c r="V15" s="80"/>
      <c r="W15" s="80"/>
      <c r="X15" s="80"/>
      <c r="Y15" s="80"/>
      <c r="Z15" s="81">
        <v>15</v>
      </c>
      <c r="AA15"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5" s="82"/>
      <c r="AC15" s="1"/>
      <c r="AD15" s="83" t="s">
        <v>235</v>
      </c>
      <c r="AE15" s="84">
        <f>10000000/Vertices[[#This Row],[Minutes to max tweets]]</f>
        <v>868.05555555555554</v>
      </c>
      <c r="AF15" s="84">
        <f>Vertices[[#This Row],[Followers]]+Vertices[[#This Row],[Inverse of Min to Max Tweets]]</f>
        <v>868.05555555555554</v>
      </c>
      <c r="AG15" s="1"/>
      <c r="AH15" s="1" t="s">
        <v>202</v>
      </c>
      <c r="AI15" s="1"/>
    </row>
    <row r="16" spans="1:35" x14ac:dyDescent="0.25">
      <c r="A16" s="69" t="s">
        <v>182</v>
      </c>
      <c r="B16" s="98" t="s">
        <v>318</v>
      </c>
      <c r="C16" s="53" t="s">
        <v>47</v>
      </c>
      <c r="D16" s="71">
        <v>5.6459252163447937</v>
      </c>
      <c r="E16" s="72"/>
      <c r="F16" s="70"/>
      <c r="G16" s="70"/>
      <c r="H16" s="73" t="s">
        <v>182</v>
      </c>
      <c r="I16" s="74"/>
      <c r="J16" s="74"/>
      <c r="K16" s="73"/>
      <c r="L16" s="75"/>
      <c r="M16" s="76"/>
      <c r="N16" s="76"/>
      <c r="O16" s="77"/>
      <c r="P16" s="78"/>
      <c r="Q16" s="78"/>
      <c r="R16" s="79"/>
      <c r="S16" s="79"/>
      <c r="T16" s="79"/>
      <c r="U16" s="79"/>
      <c r="V16" s="80"/>
      <c r="W16" s="80"/>
      <c r="X16" s="80"/>
      <c r="Y16" s="80"/>
      <c r="Z16" s="81">
        <v>16</v>
      </c>
      <c r="AA16"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6" s="82"/>
      <c r="AC16" s="1"/>
      <c r="AD16" s="83" t="s">
        <v>267</v>
      </c>
      <c r="AE16" s="84">
        <f>10000000/Vertices[[#This Row],[Minutes to max tweets]]</f>
        <v>33333.333333333336</v>
      </c>
      <c r="AF16" s="84">
        <f>Vertices[[#This Row],[Followers]]+Vertices[[#This Row],[Inverse of Min to Max Tweets]]</f>
        <v>33333.333333333336</v>
      </c>
      <c r="AG16" s="1"/>
      <c r="AH16" s="1" t="s">
        <v>202</v>
      </c>
      <c r="AI16" s="1"/>
    </row>
    <row r="17" spans="1:35" x14ac:dyDescent="0.25">
      <c r="A17" s="69" t="s">
        <v>183</v>
      </c>
      <c r="B17" s="70"/>
      <c r="C17" s="70" t="s">
        <v>56</v>
      </c>
      <c r="D17" s="71">
        <v>3.4371362896830666</v>
      </c>
      <c r="E17" s="72"/>
      <c r="F17" s="70"/>
      <c r="G17" s="70"/>
      <c r="H17" s="73" t="s">
        <v>183</v>
      </c>
      <c r="I17" s="74"/>
      <c r="J17" s="74"/>
      <c r="K17" s="73"/>
      <c r="L17" s="75"/>
      <c r="M17" s="76"/>
      <c r="N17" s="76"/>
      <c r="O17" s="77"/>
      <c r="P17" s="78"/>
      <c r="Q17" s="78"/>
      <c r="R17" s="79"/>
      <c r="S17" s="79"/>
      <c r="T17" s="79"/>
      <c r="U17" s="79"/>
      <c r="V17" s="80"/>
      <c r="W17" s="80"/>
      <c r="X17" s="80"/>
      <c r="Y17" s="80"/>
      <c r="Z17" s="81">
        <v>17</v>
      </c>
      <c r="AA17"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7" s="82"/>
      <c r="AC17" s="1" t="s">
        <v>299</v>
      </c>
      <c r="AD17" s="1"/>
      <c r="AF17" s="2">
        <f>Vertices[[#This Row],[Followers]]+Vertices[[#This Row],[Inverse of Min to Max Tweets]]</f>
        <v>2772</v>
      </c>
      <c r="AG17" s="1"/>
      <c r="AH17" s="1" t="s">
        <v>205</v>
      </c>
    </row>
    <row r="18" spans="1:35" x14ac:dyDescent="0.25">
      <c r="A18" s="69" t="s">
        <v>184</v>
      </c>
      <c r="B18" s="98" t="s">
        <v>318</v>
      </c>
      <c r="C18" s="53" t="s">
        <v>47</v>
      </c>
      <c r="D18" s="71">
        <v>5.4839985389312762</v>
      </c>
      <c r="E18" s="72"/>
      <c r="F18" s="70"/>
      <c r="G18" s="70"/>
      <c r="H18" s="73" t="s">
        <v>184</v>
      </c>
      <c r="I18" s="74"/>
      <c r="J18" s="74"/>
      <c r="K18" s="73"/>
      <c r="L18" s="75"/>
      <c r="M18" s="76"/>
      <c r="N18" s="76"/>
      <c r="O18" s="77"/>
      <c r="P18" s="78"/>
      <c r="Q18" s="78"/>
      <c r="R18" s="79"/>
      <c r="S18" s="79"/>
      <c r="T18" s="79"/>
      <c r="U18" s="79"/>
      <c r="V18" s="80"/>
      <c r="W18" s="80"/>
      <c r="X18" s="80"/>
      <c r="Y18" s="80"/>
      <c r="Z18" s="81">
        <v>18</v>
      </c>
      <c r="AA18"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8" s="82"/>
      <c r="AC18" s="1"/>
      <c r="AD18" s="83" t="s">
        <v>268</v>
      </c>
      <c r="AE18" s="84">
        <f>10000000/Vertices[[#This Row],[Minutes to max tweets]]</f>
        <v>27777.777777777777</v>
      </c>
      <c r="AF18" s="84">
        <f>Vertices[[#This Row],[Followers]]+Vertices[[#This Row],[Inverse of Min to Max Tweets]]</f>
        <v>27777.777777777777</v>
      </c>
      <c r="AG18" s="1"/>
      <c r="AH18" s="1" t="s">
        <v>202</v>
      </c>
      <c r="AI18" s="1"/>
    </row>
    <row r="19" spans="1:35" x14ac:dyDescent="0.25">
      <c r="A19" s="69" t="s">
        <v>185</v>
      </c>
      <c r="B19" s="70"/>
      <c r="C19" s="70" t="s">
        <v>56</v>
      </c>
      <c r="D19" s="71">
        <v>4.6140230339525443</v>
      </c>
      <c r="E19" s="72"/>
      <c r="F19" s="70"/>
      <c r="G19" s="70"/>
      <c r="H19" s="73" t="s">
        <v>185</v>
      </c>
      <c r="I19" s="74"/>
      <c r="J19" s="74"/>
      <c r="K19" s="73"/>
      <c r="L19" s="75"/>
      <c r="M19" s="76"/>
      <c r="N19" s="76"/>
      <c r="O19" s="77"/>
      <c r="P19" s="78"/>
      <c r="Q19" s="78"/>
      <c r="R19" s="79"/>
      <c r="S19" s="79"/>
      <c r="T19" s="79"/>
      <c r="U19" s="79"/>
      <c r="V19" s="80"/>
      <c r="W19" s="80"/>
      <c r="X19" s="80"/>
      <c r="Y19" s="80"/>
      <c r="Z19" s="81">
        <v>19</v>
      </c>
      <c r="AA19"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19" s="82"/>
      <c r="AC19" s="1" t="s">
        <v>300</v>
      </c>
      <c r="AD19" s="1"/>
      <c r="AF19" s="2">
        <f>Vertices[[#This Row],[Followers]]+Vertices[[#This Row],[Inverse of Min to Max Tweets]]</f>
        <v>10430</v>
      </c>
      <c r="AG19" s="1"/>
      <c r="AH19" s="1"/>
    </row>
    <row r="20" spans="1:35" x14ac:dyDescent="0.25">
      <c r="A20" s="69" t="s">
        <v>187</v>
      </c>
      <c r="B20" s="70"/>
      <c r="C20" s="70" t="s">
        <v>56</v>
      </c>
      <c r="D20" s="71">
        <v>3.4639607547219007</v>
      </c>
      <c r="E20" s="72"/>
      <c r="F20" s="70"/>
      <c r="G20" s="70"/>
      <c r="H20" s="73" t="s">
        <v>187</v>
      </c>
      <c r="I20" s="74"/>
      <c r="J20" s="74"/>
      <c r="K20" s="73"/>
      <c r="L20" s="75"/>
      <c r="M20" s="76"/>
      <c r="N20" s="76"/>
      <c r="O20" s="77"/>
      <c r="P20" s="78"/>
      <c r="Q20" s="78"/>
      <c r="R20" s="79"/>
      <c r="S20" s="79"/>
      <c r="T20" s="79"/>
      <c r="U20" s="79"/>
      <c r="V20" s="80"/>
      <c r="W20" s="80"/>
      <c r="X20" s="80"/>
      <c r="Y20" s="80"/>
      <c r="Z20" s="81">
        <v>20</v>
      </c>
      <c r="AA20"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0" s="82"/>
      <c r="AC20" s="83" t="s">
        <v>301</v>
      </c>
      <c r="AD20" s="83"/>
      <c r="AE20" s="84"/>
      <c r="AF20" s="84">
        <f>Vertices[[#This Row],[Followers]]+Vertices[[#This Row],[Inverse of Min to Max Tweets]]</f>
        <v>2857</v>
      </c>
      <c r="AG20" s="1" t="s">
        <v>225</v>
      </c>
      <c r="AH20" s="1" t="s">
        <v>207</v>
      </c>
    </row>
    <row r="21" spans="1:35" x14ac:dyDescent="0.25">
      <c r="A21" s="69" t="s">
        <v>188</v>
      </c>
      <c r="B21" s="98" t="s">
        <v>318</v>
      </c>
      <c r="C21" s="53" t="s">
        <v>47</v>
      </c>
      <c r="D21" s="71">
        <v>4.8683882848269686</v>
      </c>
      <c r="E21" s="72"/>
      <c r="F21" s="70"/>
      <c r="G21" s="70"/>
      <c r="H21" s="73" t="s">
        <v>188</v>
      </c>
      <c r="I21" s="74"/>
      <c r="J21" s="74"/>
      <c r="K21" s="73"/>
      <c r="L21" s="75"/>
      <c r="M21" s="76"/>
      <c r="N21" s="76"/>
      <c r="O21" s="77"/>
      <c r="P21" s="78"/>
      <c r="Q21" s="78"/>
      <c r="R21" s="79"/>
      <c r="S21" s="79"/>
      <c r="T21" s="79"/>
      <c r="U21" s="79"/>
      <c r="V21" s="80"/>
      <c r="W21" s="80"/>
      <c r="X21" s="80"/>
      <c r="Y21" s="80"/>
      <c r="Z21" s="81">
        <v>21</v>
      </c>
      <c r="AA21"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1" s="82"/>
      <c r="AC21" s="83"/>
      <c r="AD21" s="83" t="s">
        <v>263</v>
      </c>
      <c r="AE21" s="84">
        <f>10000000/Vertices[[#This Row],[Minutes to max tweets]]</f>
        <v>13888.888888888889</v>
      </c>
      <c r="AF21" s="84">
        <f>Vertices[[#This Row],[Followers]]+Vertices[[#This Row],[Inverse of Min to Max Tweets]]</f>
        <v>13888.888888888889</v>
      </c>
      <c r="AG21" s="1"/>
      <c r="AH21" s="1" t="s">
        <v>202</v>
      </c>
      <c r="AI21" s="1"/>
    </row>
    <row r="22" spans="1:35" x14ac:dyDescent="0.25">
      <c r="A22" s="69" t="s">
        <v>302</v>
      </c>
      <c r="B22" s="70"/>
      <c r="C22" s="70" t="s">
        <v>56</v>
      </c>
      <c r="D22" s="71">
        <v>5.93867343453541</v>
      </c>
      <c r="E22" s="72"/>
      <c r="F22" s="70"/>
      <c r="G22" s="70"/>
      <c r="H22" s="73" t="s">
        <v>302</v>
      </c>
      <c r="I22" s="74"/>
      <c r="J22" s="74"/>
      <c r="K22" s="73"/>
      <c r="L22" s="75"/>
      <c r="M22" s="76"/>
      <c r="N22" s="76"/>
      <c r="O22" s="77"/>
      <c r="P22" s="78"/>
      <c r="Q22" s="78"/>
      <c r="R22" s="79"/>
      <c r="S22" s="79"/>
      <c r="T22" s="79"/>
      <c r="U22" s="79"/>
      <c r="V22" s="80"/>
      <c r="W22" s="80"/>
      <c r="X22" s="80"/>
      <c r="Y22" s="80"/>
      <c r="Z22" s="81">
        <v>22</v>
      </c>
      <c r="AA22"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2" s="82"/>
      <c r="AC22" s="83" t="s">
        <v>213</v>
      </c>
      <c r="AD22" s="83"/>
      <c r="AE22" s="84"/>
      <c r="AF22" s="84">
        <f>Vertices[[#This Row],[Followers]]+Vertices[[#This Row],[Inverse of Min to Max Tweets]]</f>
        <v>46348</v>
      </c>
      <c r="AG22" s="83" t="s">
        <v>218</v>
      </c>
      <c r="AH22" s="1" t="s">
        <v>207</v>
      </c>
    </row>
    <row r="23" spans="1:35" x14ac:dyDescent="0.25">
      <c r="A23" s="69" t="s">
        <v>190</v>
      </c>
      <c r="B23" s="70"/>
      <c r="C23" s="70" t="s">
        <v>47</v>
      </c>
      <c r="D23" s="71">
        <v>5</v>
      </c>
      <c r="E23" s="72"/>
      <c r="F23" s="70"/>
      <c r="G23" s="70"/>
      <c r="H23" s="73" t="s">
        <v>190</v>
      </c>
      <c r="I23" s="74"/>
      <c r="J23" s="74"/>
      <c r="K23" s="73"/>
      <c r="L23" s="75"/>
      <c r="M23" s="76"/>
      <c r="N23" s="76"/>
      <c r="O23" s="77"/>
      <c r="P23" s="78"/>
      <c r="Q23" s="78"/>
      <c r="R23" s="79"/>
      <c r="S23" s="79"/>
      <c r="T23" s="79"/>
      <c r="U23" s="79"/>
      <c r="V23" s="80"/>
      <c r="W23" s="80"/>
      <c r="X23" s="80"/>
      <c r="Y23" s="80"/>
      <c r="Z23" s="81">
        <v>23</v>
      </c>
      <c r="AA23"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3" s="82"/>
      <c r="AC23" s="83"/>
      <c r="AD23" s="83"/>
      <c r="AE23" s="84"/>
      <c r="AF23" s="84">
        <f>Vertices[[#This Row],[Followers]]+Vertices[[#This Row],[Inverse of Min to Max Tweets]]</f>
        <v>0</v>
      </c>
      <c r="AG23" s="1"/>
      <c r="AH23" s="1" t="s">
        <v>203</v>
      </c>
      <c r="AI23" s="1"/>
    </row>
    <row r="24" spans="1:35" x14ac:dyDescent="0.25">
      <c r="A24" s="69" t="s">
        <v>191</v>
      </c>
      <c r="B24" s="98" t="s">
        <v>318</v>
      </c>
      <c r="C24" s="53" t="s">
        <v>47</v>
      </c>
      <c r="D24" s="71">
        <v>2.5245415537938056</v>
      </c>
      <c r="E24" s="72"/>
      <c r="F24" s="70"/>
      <c r="G24" s="70"/>
      <c r="H24" s="73" t="s">
        <v>191</v>
      </c>
      <c r="I24" s="74"/>
      <c r="J24" s="74"/>
      <c r="K24" s="73"/>
      <c r="L24" s="75"/>
      <c r="M24" s="76"/>
      <c r="N24" s="76"/>
      <c r="O24" s="77"/>
      <c r="P24" s="78"/>
      <c r="Q24" s="78"/>
      <c r="R24" s="79"/>
      <c r="S24" s="79"/>
      <c r="T24" s="79"/>
      <c r="U24" s="79"/>
      <c r="V24" s="80"/>
      <c r="W24" s="80"/>
      <c r="X24" s="80"/>
      <c r="Y24" s="80"/>
      <c r="Z24" s="81">
        <v>24</v>
      </c>
      <c r="AA24"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4" s="82"/>
      <c r="AC24" s="83"/>
      <c r="AD24" s="83" t="s">
        <v>262</v>
      </c>
      <c r="AE24" s="84">
        <f>10000000/Vertices[[#This Row],[Minutes to max tweets]]</f>
        <v>992.06349206349205</v>
      </c>
      <c r="AF24" s="84">
        <f>Vertices[[#This Row],[Followers]]+Vertices[[#This Row],[Inverse of Min to Max Tweets]]</f>
        <v>992.06349206349205</v>
      </c>
      <c r="AG24" s="1" t="s">
        <v>304</v>
      </c>
      <c r="AH24" s="1" t="s">
        <v>202</v>
      </c>
      <c r="AI24" s="1"/>
    </row>
    <row r="25" spans="1:35" x14ac:dyDescent="0.25">
      <c r="A25" s="69" t="s">
        <v>194</v>
      </c>
      <c r="B25" s="70"/>
      <c r="C25" s="70" t="s">
        <v>56</v>
      </c>
      <c r="D25" s="71">
        <v>0</v>
      </c>
      <c r="E25" s="72"/>
      <c r="F25" s="70"/>
      <c r="G25" s="70"/>
      <c r="H25" s="73" t="s">
        <v>194</v>
      </c>
      <c r="I25" s="74"/>
      <c r="J25" s="74"/>
      <c r="K25" s="73"/>
      <c r="L25" s="75"/>
      <c r="M25" s="76"/>
      <c r="N25" s="76"/>
      <c r="O25" s="77"/>
      <c r="P25" s="78"/>
      <c r="Q25" s="78"/>
      <c r="R25" s="79"/>
      <c r="S25" s="79"/>
      <c r="T25" s="79"/>
      <c r="U25" s="79"/>
      <c r="V25" s="80"/>
      <c r="W25" s="80"/>
      <c r="X25" s="80"/>
      <c r="Y25" s="80"/>
      <c r="Z25" s="81">
        <v>25</v>
      </c>
      <c r="AA25"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5" s="82"/>
      <c r="AC25" s="83"/>
      <c r="AD25" s="83"/>
      <c r="AE25" s="84"/>
      <c r="AF25" s="84">
        <f>Vertices[[#This Row],[Followers]]+Vertices[[#This Row],[Inverse of Min to Max Tweets]]</f>
        <v>0</v>
      </c>
      <c r="AG25" s="1" t="s">
        <v>221</v>
      </c>
      <c r="AH25" s="1" t="s">
        <v>206</v>
      </c>
    </row>
    <row r="26" spans="1:35" x14ac:dyDescent="0.25">
      <c r="A26" s="69" t="s">
        <v>192</v>
      </c>
      <c r="B26" s="98" t="s">
        <v>318</v>
      </c>
      <c r="C26" s="53" t="s">
        <v>47</v>
      </c>
      <c r="D26" s="71">
        <v>4.8683882848269686</v>
      </c>
      <c r="E26" s="72"/>
      <c r="F26" s="70"/>
      <c r="G26" s="70"/>
      <c r="H26" s="73" t="s">
        <v>192</v>
      </c>
      <c r="I26" s="74"/>
      <c r="J26" s="74"/>
      <c r="K26" s="73"/>
      <c r="L26" s="75"/>
      <c r="M26" s="76"/>
      <c r="N26" s="76"/>
      <c r="O26" s="77"/>
      <c r="P26" s="78"/>
      <c r="Q26" s="78"/>
      <c r="R26" s="79"/>
      <c r="S26" s="79"/>
      <c r="T26" s="79"/>
      <c r="U26" s="79"/>
      <c r="V26" s="80"/>
      <c r="W26" s="80"/>
      <c r="X26" s="80"/>
      <c r="Y26" s="80"/>
      <c r="Z26" s="81">
        <v>26</v>
      </c>
      <c r="AA26"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6" s="82"/>
      <c r="AC26" s="83"/>
      <c r="AD26" s="83" t="s">
        <v>263</v>
      </c>
      <c r="AE26" s="84">
        <f>10000000/Vertices[[#This Row],[Minutes to max tweets]]</f>
        <v>13888.888888888889</v>
      </c>
      <c r="AF26" s="84">
        <f>Vertices[[#This Row],[Followers]]+Vertices[[#This Row],[Inverse of Min to Max Tweets]]</f>
        <v>13888.888888888889</v>
      </c>
      <c r="AG26" s="1"/>
      <c r="AH26" s="1" t="s">
        <v>202</v>
      </c>
      <c r="AI26" s="1"/>
    </row>
    <row r="27" spans="1:35" x14ac:dyDescent="0.25">
      <c r="A27" s="69" t="s">
        <v>193</v>
      </c>
      <c r="B27" s="70"/>
      <c r="C27" s="70" t="s">
        <v>56</v>
      </c>
      <c r="D27" s="71">
        <v>3.4498605454459872</v>
      </c>
      <c r="E27" s="72"/>
      <c r="F27" s="70"/>
      <c r="G27" s="70"/>
      <c r="H27" s="73" t="s">
        <v>193</v>
      </c>
      <c r="I27" s="74"/>
      <c r="J27" s="74"/>
      <c r="K27" s="73"/>
      <c r="L27" s="75"/>
      <c r="M27" s="76"/>
      <c r="N27" s="76"/>
      <c r="O27" s="77"/>
      <c r="P27" s="78"/>
      <c r="Q27" s="78"/>
      <c r="R27" s="79"/>
      <c r="S27" s="79"/>
      <c r="T27" s="79"/>
      <c r="U27" s="79"/>
      <c r="V27" s="80"/>
      <c r="W27" s="80"/>
      <c r="X27" s="80"/>
      <c r="Y27" s="80"/>
      <c r="Z27" s="81">
        <v>27</v>
      </c>
      <c r="AA27"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7" s="82"/>
      <c r="AC27" s="83" t="s">
        <v>303</v>
      </c>
      <c r="AD27" s="83"/>
      <c r="AE27" s="84"/>
      <c r="AF27" s="84">
        <f>Vertices[[#This Row],[Followers]]+Vertices[[#This Row],[Inverse of Min to Max Tweets]]</f>
        <v>2812</v>
      </c>
      <c r="AG27" s="1" t="s">
        <v>220</v>
      </c>
      <c r="AH27" s="1" t="s">
        <v>189</v>
      </c>
    </row>
    <row r="28" spans="1:35" x14ac:dyDescent="0.25">
      <c r="A28" s="69" t="s">
        <v>196</v>
      </c>
      <c r="B28" s="70"/>
      <c r="C28" s="70" t="s">
        <v>56</v>
      </c>
      <c r="D28" s="71">
        <v>4.7339574555195352</v>
      </c>
      <c r="E28" s="72"/>
      <c r="F28" s="70"/>
      <c r="G28" s="70"/>
      <c r="H28" s="73" t="s">
        <v>196</v>
      </c>
      <c r="I28" s="74"/>
      <c r="J28" s="74"/>
      <c r="K28" s="73"/>
      <c r="L28" s="75"/>
      <c r="M28" s="76"/>
      <c r="N28" s="76"/>
      <c r="O28" s="77"/>
      <c r="P28" s="78"/>
      <c r="Q28" s="78"/>
      <c r="R28" s="79"/>
      <c r="S28" s="79"/>
      <c r="T28" s="79"/>
      <c r="U28" s="79"/>
      <c r="V28" s="80"/>
      <c r="W28" s="80"/>
      <c r="X28" s="80"/>
      <c r="Y28" s="80"/>
      <c r="Z28" s="81">
        <v>28</v>
      </c>
      <c r="AA28"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8" s="82"/>
      <c r="AC28" s="83" t="s">
        <v>197</v>
      </c>
      <c r="AD28" s="83"/>
      <c r="AE28" s="84"/>
      <c r="AF28" s="84">
        <f>Vertices[[#This Row],[Followers]]+Vertices[[#This Row],[Inverse of Min to Max Tweets]]</f>
        <v>11938</v>
      </c>
      <c r="AG28" s="83" t="s">
        <v>222</v>
      </c>
      <c r="AH28" s="1" t="s">
        <v>201</v>
      </c>
    </row>
    <row r="29" spans="1:35" x14ac:dyDescent="0.25">
      <c r="A29" s="69" t="s">
        <v>208</v>
      </c>
      <c r="B29" s="70"/>
      <c r="C29" s="70" t="s">
        <v>56</v>
      </c>
      <c r="D29" s="71">
        <v>5.0325679722936965</v>
      </c>
      <c r="E29" s="72"/>
      <c r="F29" s="70"/>
      <c r="G29" s="70"/>
      <c r="H29" s="73" t="s">
        <v>208</v>
      </c>
      <c r="I29" s="74"/>
      <c r="J29" s="74"/>
      <c r="K29" s="73"/>
      <c r="L29" s="75"/>
      <c r="M29" s="76"/>
      <c r="N29" s="76"/>
      <c r="O29" s="77"/>
      <c r="P29" s="78"/>
      <c r="Q29" s="78"/>
      <c r="R29" s="79"/>
      <c r="S29" s="79"/>
      <c r="T29" s="79"/>
      <c r="U29" s="79"/>
      <c r="V29" s="80"/>
      <c r="W29" s="80"/>
      <c r="X29" s="80"/>
      <c r="Y29" s="80"/>
      <c r="Z29" s="81">
        <v>29</v>
      </c>
      <c r="AA29"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29" s="82"/>
      <c r="AC29" s="83" t="s">
        <v>209</v>
      </c>
      <c r="AD29" s="83"/>
      <c r="AE29" s="84"/>
      <c r="AF29" s="84">
        <f>Vertices[[#This Row],[Followers]]+Vertices[[#This Row],[Inverse of Min to Max Tweets]]</f>
        <v>16709</v>
      </c>
      <c r="AG29" s="83"/>
      <c r="AH29" s="83" t="s">
        <v>210</v>
      </c>
    </row>
    <row r="30" spans="1:35" x14ac:dyDescent="0.25">
      <c r="A30" s="69" t="s">
        <v>211</v>
      </c>
      <c r="B30" s="70"/>
      <c r="C30" s="70" t="s">
        <v>56</v>
      </c>
      <c r="D30" s="71">
        <v>3.0482098169833902</v>
      </c>
      <c r="E30" s="72"/>
      <c r="F30" s="70"/>
      <c r="G30" s="70"/>
      <c r="H30" s="73" t="s">
        <v>211</v>
      </c>
      <c r="I30" s="74"/>
      <c r="J30" s="74"/>
      <c r="K30" s="73"/>
      <c r="L30" s="75"/>
      <c r="M30" s="76"/>
      <c r="N30" s="76"/>
      <c r="O30" s="77"/>
      <c r="P30" s="78"/>
      <c r="Q30" s="78"/>
      <c r="R30" s="79"/>
      <c r="S30" s="79"/>
      <c r="T30" s="79"/>
      <c r="U30" s="79"/>
      <c r="V30" s="80"/>
      <c r="W30" s="80"/>
      <c r="X30" s="80"/>
      <c r="Y30" s="80"/>
      <c r="Z30" s="81">
        <v>30</v>
      </c>
      <c r="AA30"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0" s="82"/>
      <c r="AC30" s="83" t="s">
        <v>212</v>
      </c>
      <c r="AD30" s="83"/>
      <c r="AE30" s="84"/>
      <c r="AF30" s="84">
        <f>Vertices[[#This Row],[Followers]]+Vertices[[#This Row],[Inverse of Min to Max Tweets]]</f>
        <v>1789</v>
      </c>
      <c r="AG30" s="83" t="s">
        <v>219</v>
      </c>
      <c r="AH30" s="83" t="s">
        <v>189</v>
      </c>
    </row>
    <row r="31" spans="1:35" x14ac:dyDescent="0.25">
      <c r="A31" s="69" t="s">
        <v>214</v>
      </c>
      <c r="B31" s="70"/>
      <c r="C31" s="70" t="s">
        <v>56</v>
      </c>
      <c r="D31" s="71">
        <v>8</v>
      </c>
      <c r="E31" s="72"/>
      <c r="F31" s="70"/>
      <c r="G31" s="70"/>
      <c r="H31" s="73" t="s">
        <v>214</v>
      </c>
      <c r="I31" s="74"/>
      <c r="J31" s="74"/>
      <c r="K31" s="73"/>
      <c r="L31" s="75"/>
      <c r="M31" s="76"/>
      <c r="N31" s="76"/>
      <c r="O31" s="77"/>
      <c r="P31" s="78"/>
      <c r="Q31" s="78"/>
      <c r="R31" s="79"/>
      <c r="S31" s="79"/>
      <c r="T31" s="79"/>
      <c r="U31" s="79"/>
      <c r="V31" s="80"/>
      <c r="W31" s="80"/>
      <c r="X31" s="80"/>
      <c r="Y31" s="80"/>
      <c r="Z31" s="81">
        <v>31</v>
      </c>
      <c r="AA31"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1" s="82"/>
      <c r="AC31" s="83" t="s">
        <v>215</v>
      </c>
      <c r="AD31" s="83"/>
      <c r="AE31" s="84"/>
      <c r="AF31" s="84">
        <f>Vertices[[#This Row],[Followers]]+Vertices[[#This Row],[Inverse of Min to Max Tweets]]</f>
        <v>472072</v>
      </c>
      <c r="AG31" s="1" t="s">
        <v>220</v>
      </c>
      <c r="AH31" s="83" t="s">
        <v>189</v>
      </c>
    </row>
    <row r="32" spans="1:35" x14ac:dyDescent="0.25">
      <c r="A32" s="69" t="s">
        <v>216</v>
      </c>
      <c r="B32" s="70"/>
      <c r="C32" s="70" t="s">
        <v>56</v>
      </c>
      <c r="D32" s="71">
        <v>2.9339311819043847</v>
      </c>
      <c r="E32" s="72"/>
      <c r="F32" s="70"/>
      <c r="G32" s="70"/>
      <c r="H32" s="73" t="s">
        <v>216</v>
      </c>
      <c r="I32" s="74"/>
      <c r="J32" s="74"/>
      <c r="K32" s="73"/>
      <c r="L32" s="75"/>
      <c r="M32" s="76"/>
      <c r="N32" s="76"/>
      <c r="O32" s="77"/>
      <c r="P32" s="78"/>
      <c r="Q32" s="78"/>
      <c r="R32" s="79"/>
      <c r="S32" s="79"/>
      <c r="T32" s="79"/>
      <c r="U32" s="79"/>
      <c r="V32" s="80"/>
      <c r="W32" s="80"/>
      <c r="X32" s="80"/>
      <c r="Y32" s="80"/>
      <c r="Z32" s="81">
        <v>32</v>
      </c>
      <c r="AA32"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2" s="82"/>
      <c r="AC32" s="83" t="s">
        <v>217</v>
      </c>
      <c r="AD32" s="83"/>
      <c r="AE32" s="84"/>
      <c r="AF32" s="84">
        <f>Vertices[[#This Row],[Followers]]+Vertices[[#This Row],[Inverse of Min to Max Tweets]]</f>
        <v>1573</v>
      </c>
      <c r="AG32" s="83" t="s">
        <v>224</v>
      </c>
      <c r="AH32" s="83" t="s">
        <v>189</v>
      </c>
    </row>
    <row r="33" spans="1:35" x14ac:dyDescent="0.25">
      <c r="A33" s="69" t="s">
        <v>226</v>
      </c>
      <c r="B33" s="70"/>
      <c r="C33" s="70" t="s">
        <v>56</v>
      </c>
      <c r="D33" s="71">
        <v>5.5103405018482379</v>
      </c>
      <c r="E33" s="72"/>
      <c r="F33" s="70"/>
      <c r="G33" s="70"/>
      <c r="H33" s="73" t="s">
        <v>226</v>
      </c>
      <c r="I33" s="74"/>
      <c r="J33" s="74"/>
      <c r="K33" s="73"/>
      <c r="L33" s="75"/>
      <c r="M33" s="76"/>
      <c r="N33" s="76"/>
      <c r="O33" s="77"/>
      <c r="P33" s="78"/>
      <c r="Q33" s="78"/>
      <c r="R33" s="79"/>
      <c r="S33" s="79"/>
      <c r="T33" s="79"/>
      <c r="U33" s="79"/>
      <c r="V33" s="80"/>
      <c r="W33" s="80"/>
      <c r="X33" s="80"/>
      <c r="Y33" s="80"/>
      <c r="Z33" s="81">
        <v>33</v>
      </c>
      <c r="AA33"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3" s="82"/>
      <c r="AC33" s="83" t="s">
        <v>227</v>
      </c>
      <c r="AD33" s="83"/>
      <c r="AE33" s="84"/>
      <c r="AF33" s="84">
        <f>Vertices[[#This Row],[Followers]]+Vertices[[#This Row],[Inverse of Min to Max Tweets]]</f>
        <v>28614</v>
      </c>
      <c r="AG33" s="83" t="s">
        <v>230</v>
      </c>
      <c r="AH33" s="83" t="s">
        <v>210</v>
      </c>
    </row>
    <row r="34" spans="1:35" x14ac:dyDescent="0.25">
      <c r="A34" s="69" t="s">
        <v>228</v>
      </c>
      <c r="B34" s="70"/>
      <c r="C34" s="70" t="s">
        <v>56</v>
      </c>
      <c r="D34" s="71">
        <v>3.8658661515699433</v>
      </c>
      <c r="E34" s="72"/>
      <c r="F34" s="70"/>
      <c r="G34" s="70"/>
      <c r="H34" s="73" t="s">
        <v>228</v>
      </c>
      <c r="I34" s="74"/>
      <c r="J34" s="74"/>
      <c r="K34" s="73"/>
      <c r="L34" s="75"/>
      <c r="M34" s="76"/>
      <c r="N34" s="76"/>
      <c r="O34" s="77"/>
      <c r="P34" s="78"/>
      <c r="Q34" s="78"/>
      <c r="R34" s="79"/>
      <c r="S34" s="79"/>
      <c r="T34" s="79"/>
      <c r="U34" s="79"/>
      <c r="V34" s="80"/>
      <c r="W34" s="80"/>
      <c r="X34" s="80"/>
      <c r="Y34" s="80"/>
      <c r="Z34" s="81">
        <v>34</v>
      </c>
      <c r="AA34"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4" s="82"/>
      <c r="AC34" s="83" t="s">
        <v>229</v>
      </c>
      <c r="AD34" s="83"/>
      <c r="AE34" s="84"/>
      <c r="AF34" s="84">
        <f>Vertices[[#This Row],[Followers]]+Vertices[[#This Row],[Inverse of Min to Max Tweets]]</f>
        <v>4492</v>
      </c>
      <c r="AG34" s="83" t="s">
        <v>173</v>
      </c>
      <c r="AH34" s="83" t="s">
        <v>210</v>
      </c>
    </row>
    <row r="35" spans="1:35" x14ac:dyDescent="0.25">
      <c r="A35" s="69" t="s">
        <v>231</v>
      </c>
      <c r="B35" s="70"/>
      <c r="C35" s="70" t="s">
        <v>56</v>
      </c>
      <c r="D35" s="71">
        <v>3.288186502897128</v>
      </c>
      <c r="E35" s="72"/>
      <c r="F35" s="70"/>
      <c r="G35" s="70"/>
      <c r="H35" s="73" t="s">
        <v>231</v>
      </c>
      <c r="I35" s="74"/>
      <c r="J35" s="74"/>
      <c r="K35" s="73"/>
      <c r="L35" s="75"/>
      <c r="M35" s="76"/>
      <c r="N35" s="76"/>
      <c r="O35" s="77"/>
      <c r="P35" s="78"/>
      <c r="Q35" s="78"/>
      <c r="R35" s="79"/>
      <c r="S35" s="79"/>
      <c r="T35" s="79"/>
      <c r="U35" s="79"/>
      <c r="V35" s="80"/>
      <c r="W35" s="80"/>
      <c r="X35" s="80"/>
      <c r="Y35" s="80"/>
      <c r="Z35" s="81">
        <v>35</v>
      </c>
      <c r="AA35"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5" s="82"/>
      <c r="AC35" s="83" t="s">
        <v>233</v>
      </c>
      <c r="AD35" s="83"/>
      <c r="AE35" s="84"/>
      <c r="AF35" s="84">
        <f>Vertices[[#This Row],[Followers]]+Vertices[[#This Row],[Inverse of Min to Max Tweets]]</f>
        <v>2344</v>
      </c>
      <c r="AG35" s="83" t="s">
        <v>232</v>
      </c>
      <c r="AH35" s="83" t="s">
        <v>207</v>
      </c>
    </row>
    <row r="36" spans="1:35" x14ac:dyDescent="0.25">
      <c r="A36" s="69" t="s">
        <v>234</v>
      </c>
      <c r="B36" s="70"/>
      <c r="C36" s="70" t="s">
        <v>56</v>
      </c>
      <c r="D36" s="71">
        <v>0</v>
      </c>
      <c r="E36" s="72"/>
      <c r="F36" s="70"/>
      <c r="G36" s="70"/>
      <c r="H36" s="73" t="s">
        <v>234</v>
      </c>
      <c r="I36" s="74"/>
      <c r="J36" s="74"/>
      <c r="K36" s="73"/>
      <c r="L36" s="75"/>
      <c r="M36" s="76"/>
      <c r="N36" s="76"/>
      <c r="O36" s="77"/>
      <c r="P36" s="78"/>
      <c r="Q36" s="78"/>
      <c r="R36" s="79"/>
      <c r="S36" s="79"/>
      <c r="T36" s="79"/>
      <c r="U36" s="79"/>
      <c r="V36" s="80"/>
      <c r="W36" s="80"/>
      <c r="X36" s="80"/>
      <c r="Y36" s="80"/>
      <c r="Z36" s="81">
        <v>36</v>
      </c>
      <c r="AA36"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6" s="82"/>
      <c r="AC36" s="83"/>
      <c r="AD36" s="1"/>
      <c r="AF36" s="2">
        <f>Vertices[[#This Row],[Followers]]+Vertices[[#This Row],[Inverse of Min to Max Tweets]]</f>
        <v>0</v>
      </c>
      <c r="AG36" s="83"/>
      <c r="AH36" s="83" t="s">
        <v>237</v>
      </c>
    </row>
    <row r="37" spans="1:35" x14ac:dyDescent="0.25">
      <c r="A37" s="69" t="s">
        <v>236</v>
      </c>
      <c r="B37" s="98" t="s">
        <v>318</v>
      </c>
      <c r="C37" s="53" t="s">
        <v>47</v>
      </c>
      <c r="D37" s="71">
        <v>2.5245415537938056</v>
      </c>
      <c r="E37" s="72"/>
      <c r="F37" s="70"/>
      <c r="G37" s="70"/>
      <c r="H37" s="73" t="s">
        <v>236</v>
      </c>
      <c r="I37" s="74"/>
      <c r="J37" s="74"/>
      <c r="K37" s="73"/>
      <c r="L37" s="75"/>
      <c r="M37" s="76"/>
      <c r="N37" s="76"/>
      <c r="O37" s="77"/>
      <c r="P37" s="78"/>
      <c r="Q37" s="78"/>
      <c r="R37" s="79"/>
      <c r="S37" s="79"/>
      <c r="T37" s="79"/>
      <c r="U37" s="79"/>
      <c r="V37" s="80"/>
      <c r="W37" s="80"/>
      <c r="X37" s="80"/>
      <c r="Y37" s="80"/>
      <c r="Z37" s="81">
        <v>37</v>
      </c>
      <c r="AA37"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7" s="82"/>
      <c r="AC37" s="83"/>
      <c r="AD37" s="83" t="s">
        <v>262</v>
      </c>
      <c r="AE37" s="84">
        <f>10000000/Vertices[[#This Row],[Minutes to max tweets]]</f>
        <v>992.06349206349205</v>
      </c>
      <c r="AF37" s="84">
        <f>Vertices[[#This Row],[Followers]]+Vertices[[#This Row],[Inverse of Min to Max Tweets]]</f>
        <v>992.06349206349205</v>
      </c>
      <c r="AG37" s="83"/>
      <c r="AH37" s="83" t="s">
        <v>202</v>
      </c>
      <c r="AI37" s="1"/>
    </row>
    <row r="38" spans="1:35" x14ac:dyDescent="0.25">
      <c r="A38" s="69" t="s">
        <v>238</v>
      </c>
      <c r="B38" s="70"/>
      <c r="C38" s="70" t="s">
        <v>56</v>
      </c>
      <c r="D38" s="71">
        <v>4.0839124734942782</v>
      </c>
      <c r="E38" s="72"/>
      <c r="F38" s="70"/>
      <c r="G38" s="70"/>
      <c r="H38" s="73" t="s">
        <v>238</v>
      </c>
      <c r="I38" s="74"/>
      <c r="J38" s="74"/>
      <c r="K38" s="73"/>
      <c r="L38" s="75"/>
      <c r="M38" s="76"/>
      <c r="N38" s="76"/>
      <c r="O38" s="77"/>
      <c r="P38" s="78"/>
      <c r="Q38" s="78"/>
      <c r="R38" s="79"/>
      <c r="S38" s="79"/>
      <c r="T38" s="79"/>
      <c r="U38" s="79"/>
      <c r="V38" s="80"/>
      <c r="W38" s="80"/>
      <c r="X38" s="80"/>
      <c r="Y38" s="80"/>
      <c r="Z38" s="81">
        <v>38</v>
      </c>
      <c r="AA38"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8" s="82"/>
      <c r="AC38" s="83" t="s">
        <v>239</v>
      </c>
      <c r="AD38" s="83"/>
      <c r="AE38" s="84"/>
      <c r="AF38" s="84">
        <f>Vertices[[#This Row],[Followers]]+Vertices[[#This Row],[Inverse of Min to Max Tweets]]</f>
        <v>5742</v>
      </c>
      <c r="AG38" s="83" t="s">
        <v>224</v>
      </c>
      <c r="AH38" s="83" t="s">
        <v>240</v>
      </c>
    </row>
    <row r="39" spans="1:35" x14ac:dyDescent="0.25">
      <c r="A39" s="69" t="s">
        <v>241</v>
      </c>
      <c r="B39" s="70"/>
      <c r="C39" s="70" t="s">
        <v>56</v>
      </c>
      <c r="D39" s="71">
        <v>3.707176102980891</v>
      </c>
      <c r="E39" s="72"/>
      <c r="F39" s="70"/>
      <c r="G39" s="70"/>
      <c r="H39" s="73" t="s">
        <v>241</v>
      </c>
      <c r="I39" s="74"/>
      <c r="J39" s="74"/>
      <c r="K39" s="73"/>
      <c r="L39" s="75"/>
      <c r="M39" s="76"/>
      <c r="N39" s="76"/>
      <c r="O39" s="77"/>
      <c r="P39" s="78"/>
      <c r="Q39" s="78"/>
      <c r="R39" s="79"/>
      <c r="S39" s="79"/>
      <c r="T39" s="79"/>
      <c r="U39" s="79"/>
      <c r="V39" s="80"/>
      <c r="W39" s="80"/>
      <c r="X39" s="80"/>
      <c r="Y39" s="80"/>
      <c r="Z39" s="81">
        <v>39</v>
      </c>
      <c r="AA39"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39" s="82"/>
      <c r="AC39" s="83" t="s">
        <v>242</v>
      </c>
      <c r="AD39" s="83"/>
      <c r="AE39" s="84"/>
      <c r="AF39" s="84">
        <f>Vertices[[#This Row],[Followers]]+Vertices[[#This Row],[Inverse of Min to Max Tweets]]</f>
        <v>3757</v>
      </c>
      <c r="AG39" s="83"/>
      <c r="AH39" s="83" t="s">
        <v>240</v>
      </c>
    </row>
    <row r="40" spans="1:35" x14ac:dyDescent="0.25">
      <c r="A40" s="69" t="s">
        <v>243</v>
      </c>
      <c r="B40" s="70"/>
      <c r="C40" s="70" t="s">
        <v>56</v>
      </c>
      <c r="D40" s="71">
        <v>3.9310343731914448</v>
      </c>
      <c r="E40" s="72"/>
      <c r="F40" s="70"/>
      <c r="G40" s="70"/>
      <c r="H40" s="73" t="s">
        <v>243</v>
      </c>
      <c r="I40" s="74"/>
      <c r="J40" s="74"/>
      <c r="K40" s="73"/>
      <c r="L40" s="75"/>
      <c r="M40" s="76"/>
      <c r="N40" s="76"/>
      <c r="O40" s="77"/>
      <c r="P40" s="78"/>
      <c r="Q40" s="78"/>
      <c r="R40" s="79"/>
      <c r="S40" s="79"/>
      <c r="T40" s="79"/>
      <c r="U40" s="79"/>
      <c r="V40" s="80"/>
      <c r="W40" s="80"/>
      <c r="X40" s="80"/>
      <c r="Y40" s="80"/>
      <c r="Z40" s="81">
        <v>40</v>
      </c>
      <c r="AA40"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0" s="82"/>
      <c r="AC40" s="83" t="s">
        <v>244</v>
      </c>
      <c r="AD40" s="83"/>
      <c r="AE40" s="84"/>
      <c r="AF40" s="84">
        <f>Vertices[[#This Row],[Followers]]+Vertices[[#This Row],[Inverse of Min to Max Tweets]]</f>
        <v>4834</v>
      </c>
      <c r="AG40" s="83" t="s">
        <v>223</v>
      </c>
      <c r="AH40" s="83" t="s">
        <v>240</v>
      </c>
    </row>
    <row r="41" spans="1:35" x14ac:dyDescent="0.25">
      <c r="A41" s="69" t="s">
        <v>245</v>
      </c>
      <c r="B41" s="70"/>
      <c r="C41" s="70" t="s">
        <v>56</v>
      </c>
      <c r="D41" s="71">
        <v>5.3259328957664716</v>
      </c>
      <c r="E41" s="72"/>
      <c r="F41" s="70"/>
      <c r="G41" s="70"/>
      <c r="H41" s="73" t="s">
        <v>245</v>
      </c>
      <c r="I41" s="74"/>
      <c r="J41" s="74"/>
      <c r="K41" s="73"/>
      <c r="L41" s="75"/>
      <c r="M41" s="76"/>
      <c r="N41" s="76"/>
      <c r="O41" s="77"/>
      <c r="P41" s="78"/>
      <c r="Q41" s="78"/>
      <c r="R41" s="79"/>
      <c r="S41" s="79"/>
      <c r="T41" s="79"/>
      <c r="U41" s="79"/>
      <c r="V41" s="80"/>
      <c r="W41" s="80"/>
      <c r="X41" s="80"/>
      <c r="Y41" s="80"/>
      <c r="Z41" s="81">
        <v>41</v>
      </c>
      <c r="AA41"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1" s="82"/>
      <c r="AC41" s="83" t="s">
        <v>246</v>
      </c>
      <c r="AD41" s="83"/>
      <c r="AE41" s="84"/>
      <c r="AF41" s="84">
        <f>Vertices[[#This Row],[Followers]]+Vertices[[#This Row],[Inverse of Min to Max Tweets]]</f>
        <v>23249</v>
      </c>
      <c r="AG41" s="83" t="s">
        <v>223</v>
      </c>
      <c r="AH41" s="83" t="s">
        <v>205</v>
      </c>
    </row>
    <row r="42" spans="1:35" x14ac:dyDescent="0.25">
      <c r="A42" s="69" t="s">
        <v>247</v>
      </c>
      <c r="B42" s="70"/>
      <c r="C42" s="70" t="s">
        <v>56</v>
      </c>
      <c r="D42" s="71">
        <v>4.6168286218313686</v>
      </c>
      <c r="E42" s="72"/>
      <c r="F42" s="70"/>
      <c r="G42" s="70"/>
      <c r="H42" s="73" t="s">
        <v>247</v>
      </c>
      <c r="I42" s="74"/>
      <c r="J42" s="74"/>
      <c r="K42" s="73"/>
      <c r="L42" s="75"/>
      <c r="M42" s="76"/>
      <c r="N42" s="76"/>
      <c r="O42" s="77"/>
      <c r="P42" s="78"/>
      <c r="Q42" s="78"/>
      <c r="R42" s="79"/>
      <c r="S42" s="79"/>
      <c r="T42" s="79"/>
      <c r="U42" s="79"/>
      <c r="V42" s="80"/>
      <c r="W42" s="80"/>
      <c r="X42" s="80"/>
      <c r="Y42" s="80"/>
      <c r="Z42" s="81">
        <v>42</v>
      </c>
      <c r="AA42"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2" s="82"/>
      <c r="AC42" s="83" t="s">
        <v>248</v>
      </c>
      <c r="AD42" s="83"/>
      <c r="AE42" s="84"/>
      <c r="AF42" s="84">
        <f>Vertices[[#This Row],[Followers]]+Vertices[[#This Row],[Inverse of Min to Max Tweets]]</f>
        <v>10463</v>
      </c>
      <c r="AG42" s="83" t="s">
        <v>249</v>
      </c>
      <c r="AH42" s="83" t="s">
        <v>237</v>
      </c>
    </row>
    <row r="43" spans="1:35" x14ac:dyDescent="0.25">
      <c r="A43" s="69" t="s">
        <v>188</v>
      </c>
      <c r="B43" s="98" t="s">
        <v>318</v>
      </c>
      <c r="C43" s="53" t="s">
        <v>47</v>
      </c>
      <c r="D43" s="71">
        <v>4.8683882848269686</v>
      </c>
      <c r="E43" s="72"/>
      <c r="F43" s="70"/>
      <c r="G43" s="70"/>
      <c r="H43" s="73" t="s">
        <v>188</v>
      </c>
      <c r="I43" s="74"/>
      <c r="J43" s="74"/>
      <c r="K43" s="73"/>
      <c r="L43" s="75"/>
      <c r="M43" s="76"/>
      <c r="N43" s="76"/>
      <c r="O43" s="77"/>
      <c r="P43" s="78"/>
      <c r="Q43" s="78"/>
      <c r="R43" s="79"/>
      <c r="S43" s="79"/>
      <c r="T43" s="79"/>
      <c r="U43" s="79"/>
      <c r="V43" s="80"/>
      <c r="W43" s="80"/>
      <c r="X43" s="80"/>
      <c r="Y43" s="80"/>
      <c r="Z43" s="81">
        <v>43</v>
      </c>
      <c r="AA43"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3" s="82"/>
      <c r="AC43" s="83"/>
      <c r="AD43" s="83" t="s">
        <v>263</v>
      </c>
      <c r="AE43" s="84">
        <f>10000000/Vertices[[#This Row],[Minutes to max tweets]]</f>
        <v>13888.888888888889</v>
      </c>
      <c r="AF43" s="84">
        <f>Vertices[[#This Row],[Followers]]+Vertices[[#This Row],[Inverse of Min to Max Tweets]]</f>
        <v>13888.888888888889</v>
      </c>
      <c r="AG43" s="83"/>
      <c r="AH43" s="83" t="s">
        <v>202</v>
      </c>
      <c r="AI43" s="1"/>
    </row>
    <row r="44" spans="1:35" x14ac:dyDescent="0.25">
      <c r="A44" s="69" t="s">
        <v>250</v>
      </c>
      <c r="B44" s="70"/>
      <c r="C44" s="70" t="s">
        <v>56</v>
      </c>
      <c r="D44" s="71">
        <v>4.6826588438381087</v>
      </c>
      <c r="E44" s="72"/>
      <c r="F44" s="70"/>
      <c r="G44" s="70"/>
      <c r="H44" s="73" t="s">
        <v>250</v>
      </c>
      <c r="I44" s="74"/>
      <c r="J44" s="74"/>
      <c r="K44" s="73"/>
      <c r="L44" s="75"/>
      <c r="M44" s="76"/>
      <c r="N44" s="76"/>
      <c r="O44" s="77"/>
      <c r="P44" s="78"/>
      <c r="Q44" s="78"/>
      <c r="R44" s="79"/>
      <c r="S44" s="79"/>
      <c r="T44" s="79"/>
      <c r="U44" s="79"/>
      <c r="V44" s="80"/>
      <c r="W44" s="80"/>
      <c r="X44" s="80"/>
      <c r="Y44" s="80"/>
      <c r="Z44" s="81">
        <v>44</v>
      </c>
      <c r="AA44"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4" s="82"/>
      <c r="AC44" s="83" t="s">
        <v>251</v>
      </c>
      <c r="AD44" s="83"/>
      <c r="AE44" s="84"/>
      <c r="AF44" s="84">
        <f>Vertices[[#This Row],[Followers]]+Vertices[[#This Row],[Inverse of Min to Max Tweets]]</f>
        <v>11268</v>
      </c>
      <c r="AG44" s="83" t="s">
        <v>172</v>
      </c>
      <c r="AH44" s="83" t="s">
        <v>240</v>
      </c>
    </row>
    <row r="45" spans="1:35" x14ac:dyDescent="0.25">
      <c r="A45" s="69" t="s">
        <v>252</v>
      </c>
      <c r="B45" s="70"/>
      <c r="C45" s="70" t="s">
        <v>56</v>
      </c>
      <c r="D45" s="71">
        <v>6.3176909070297222</v>
      </c>
      <c r="E45" s="72"/>
      <c r="F45" s="70"/>
      <c r="G45" s="70"/>
      <c r="H45" s="73" t="s">
        <v>252</v>
      </c>
      <c r="I45" s="74"/>
      <c r="J45" s="74"/>
      <c r="K45" s="73"/>
      <c r="L45" s="75"/>
      <c r="M45" s="76"/>
      <c r="N45" s="76"/>
      <c r="O45" s="77"/>
      <c r="P45" s="78"/>
      <c r="Q45" s="78"/>
      <c r="R45" s="79"/>
      <c r="S45" s="79"/>
      <c r="T45" s="79"/>
      <c r="U45" s="79"/>
      <c r="V45" s="80"/>
      <c r="W45" s="80"/>
      <c r="X45" s="80"/>
      <c r="Y45" s="80"/>
      <c r="Z45" s="81">
        <v>45</v>
      </c>
      <c r="AA45"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5" s="82"/>
      <c r="AC45" s="83" t="s">
        <v>253</v>
      </c>
      <c r="AD45" s="83"/>
      <c r="AE45" s="84"/>
      <c r="AF45" s="84">
        <f>Vertices[[#This Row],[Followers]]+Vertices[[#This Row],[Inverse of Min to Max Tweets]]</f>
        <v>71018</v>
      </c>
      <c r="AG45" s="83" t="s">
        <v>172</v>
      </c>
      <c r="AH45" s="83" t="s">
        <v>207</v>
      </c>
    </row>
    <row r="46" spans="1:35" x14ac:dyDescent="0.25">
      <c r="A46" s="69" t="s">
        <v>254</v>
      </c>
      <c r="B46" s="70"/>
      <c r="C46" s="70" t="s">
        <v>56</v>
      </c>
      <c r="D46" s="71">
        <v>4.4210411178456646</v>
      </c>
      <c r="E46" s="72"/>
      <c r="F46" s="70"/>
      <c r="G46" s="70"/>
      <c r="H46" s="73" t="s">
        <v>254</v>
      </c>
      <c r="I46" s="74"/>
      <c r="J46" s="74"/>
      <c r="K46" s="73"/>
      <c r="L46" s="75"/>
      <c r="M46" s="76"/>
      <c r="N46" s="76"/>
      <c r="O46" s="77"/>
      <c r="P46" s="78"/>
      <c r="Q46" s="78"/>
      <c r="R46" s="79"/>
      <c r="S46" s="79"/>
      <c r="T46" s="79"/>
      <c r="U46" s="79"/>
      <c r="V46" s="80"/>
      <c r="W46" s="80"/>
      <c r="X46" s="80"/>
      <c r="Y46" s="80"/>
      <c r="Z46" s="81">
        <v>46</v>
      </c>
      <c r="AA46"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6" s="82"/>
      <c r="AC46" s="83" t="s">
        <v>255</v>
      </c>
      <c r="AD46" s="83"/>
      <c r="AE46" s="84"/>
      <c r="AF46" s="84">
        <f>Vertices[[#This Row],[Followers]]+Vertices[[#This Row],[Inverse of Min to Max Tweets]]</f>
        <v>8393</v>
      </c>
      <c r="AG46" s="83" t="s">
        <v>223</v>
      </c>
      <c r="AH46" s="83" t="s">
        <v>207</v>
      </c>
    </row>
    <row r="47" spans="1:35" x14ac:dyDescent="0.25">
      <c r="A47" s="69" t="s">
        <v>256</v>
      </c>
      <c r="B47" s="70"/>
      <c r="C47" s="70" t="s">
        <v>56</v>
      </c>
      <c r="D47" s="71">
        <v>6.4634153100525236</v>
      </c>
      <c r="E47" s="72"/>
      <c r="F47" s="70"/>
      <c r="G47" s="70"/>
      <c r="H47" s="73" t="s">
        <v>256</v>
      </c>
      <c r="I47" s="74"/>
      <c r="J47" s="74"/>
      <c r="K47" s="73"/>
      <c r="L47" s="75"/>
      <c r="M47" s="76"/>
      <c r="N47" s="76"/>
      <c r="O47" s="77"/>
      <c r="P47" s="78"/>
      <c r="Q47" s="78"/>
      <c r="R47" s="79"/>
      <c r="S47" s="79"/>
      <c r="T47" s="79"/>
      <c r="U47" s="79"/>
      <c r="V47" s="80"/>
      <c r="W47" s="80"/>
      <c r="X47" s="80"/>
      <c r="Y47" s="80"/>
      <c r="Z47" s="81">
        <v>47</v>
      </c>
      <c r="AA47"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7" s="82"/>
      <c r="AC47" s="83" t="s">
        <v>257</v>
      </c>
      <c r="AD47" s="83"/>
      <c r="AE47" s="84"/>
      <c r="AF47" s="84">
        <f>Vertices[[#This Row],[Followers]]+Vertices[[#This Row],[Inverse of Min to Max Tweets]]</f>
        <v>83681</v>
      </c>
      <c r="AG47" s="83" t="s">
        <v>258</v>
      </c>
      <c r="AH47" s="83" t="s">
        <v>240</v>
      </c>
    </row>
    <row r="48" spans="1:35" x14ac:dyDescent="0.25">
      <c r="A48" s="69" t="s">
        <v>259</v>
      </c>
      <c r="B48" s="70"/>
      <c r="C48" s="70" t="s">
        <v>56</v>
      </c>
      <c r="D48" s="71">
        <v>4.2539992684000429</v>
      </c>
      <c r="E48" s="72"/>
      <c r="F48" s="70"/>
      <c r="G48" s="70"/>
      <c r="H48" s="73" t="s">
        <v>259</v>
      </c>
      <c r="I48" s="74"/>
      <c r="J48" s="74"/>
      <c r="K48" s="73"/>
      <c r="L48" s="75"/>
      <c r="M48" s="76"/>
      <c r="N48" s="76"/>
      <c r="O48" s="77"/>
      <c r="P48" s="78"/>
      <c r="Q48" s="78"/>
      <c r="R48" s="79"/>
      <c r="S48" s="79"/>
      <c r="T48" s="79"/>
      <c r="U48" s="79"/>
      <c r="V48" s="80"/>
      <c r="W48" s="80"/>
      <c r="X48" s="80"/>
      <c r="Y48" s="80"/>
      <c r="Z48" s="81">
        <v>48</v>
      </c>
      <c r="AA48"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8" s="82"/>
      <c r="AC48" s="83" t="s">
        <v>260</v>
      </c>
      <c r="AD48" s="83"/>
      <c r="AE48" s="84"/>
      <c r="AF48" s="84">
        <f>Vertices[[#This Row],[Followers]]+Vertices[[#This Row],[Inverse of Min to Max Tweets]]</f>
        <v>6954</v>
      </c>
      <c r="AG48" s="83" t="s">
        <v>261</v>
      </c>
      <c r="AH48" s="83" t="s">
        <v>189</v>
      </c>
    </row>
    <row r="49" spans="1:35" x14ac:dyDescent="0.25">
      <c r="A49" s="69" t="s">
        <v>269</v>
      </c>
      <c r="B49" s="70"/>
      <c r="C49" s="70" t="s">
        <v>56</v>
      </c>
      <c r="D49" s="71">
        <v>7.7980125668291089</v>
      </c>
      <c r="E49" s="72"/>
      <c r="F49" s="70"/>
      <c r="G49" s="70"/>
      <c r="H49" s="73" t="s">
        <v>269</v>
      </c>
      <c r="I49" s="74"/>
      <c r="J49" s="74"/>
      <c r="K49" s="73"/>
      <c r="L49" s="75"/>
      <c r="M49" s="76"/>
      <c r="N49" s="76"/>
      <c r="O49" s="77"/>
      <c r="P49" s="78"/>
      <c r="Q49" s="78"/>
      <c r="R49" s="79"/>
      <c r="S49" s="79"/>
      <c r="T49" s="79"/>
      <c r="U49" s="79"/>
      <c r="V49" s="80"/>
      <c r="W49" s="80"/>
      <c r="X49" s="80"/>
      <c r="Y49" s="80"/>
      <c r="Z49" s="81">
        <v>49</v>
      </c>
      <c r="AA49"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49" s="82"/>
      <c r="AC49" s="83" t="s">
        <v>270</v>
      </c>
      <c r="AD49" s="83"/>
      <c r="AE49" s="84"/>
      <c r="AF49" s="84">
        <f>Vertices[[#This Row],[Followers]]+Vertices[[#This Row],[Inverse of Min to Max Tweets]]</f>
        <v>376043</v>
      </c>
      <c r="AG49" s="83" t="s">
        <v>220</v>
      </c>
      <c r="AH49" s="83" t="s">
        <v>207</v>
      </c>
    </row>
    <row r="50" spans="1:35" x14ac:dyDescent="0.25">
      <c r="A50" s="69" t="s">
        <v>271</v>
      </c>
      <c r="B50" s="70"/>
      <c r="C50" s="70" t="s">
        <v>56</v>
      </c>
      <c r="D50" s="71">
        <v>5.2705700796770234</v>
      </c>
      <c r="E50" s="72"/>
      <c r="F50" s="70"/>
      <c r="G50" s="70"/>
      <c r="H50" s="73" t="s">
        <v>271</v>
      </c>
      <c r="I50" s="74"/>
      <c r="J50" s="74"/>
      <c r="K50" s="73"/>
      <c r="L50" s="75"/>
      <c r="M50" s="76"/>
      <c r="N50" s="76"/>
      <c r="O50" s="77"/>
      <c r="P50" s="78"/>
      <c r="Q50" s="78"/>
      <c r="R50" s="79"/>
      <c r="S50" s="79"/>
      <c r="T50" s="79"/>
      <c r="U50" s="79"/>
      <c r="V50" s="80"/>
      <c r="W50" s="80"/>
      <c r="X50" s="80"/>
      <c r="Y50" s="80"/>
      <c r="Z50" s="81">
        <v>50</v>
      </c>
      <c r="AA50"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0" s="82"/>
      <c r="AC50" s="83" t="s">
        <v>272</v>
      </c>
      <c r="AD50" s="83"/>
      <c r="AE50" s="84"/>
      <c r="AF50" s="84">
        <f>Vertices[[#This Row],[Followers]]+Vertices[[#This Row],[Inverse of Min to Max Tweets]]</f>
        <v>21844</v>
      </c>
      <c r="AG50" s="83" t="s">
        <v>273</v>
      </c>
      <c r="AH50" s="83" t="s">
        <v>207</v>
      </c>
    </row>
    <row r="51" spans="1:35" x14ac:dyDescent="0.25">
      <c r="A51" s="69" t="s">
        <v>274</v>
      </c>
      <c r="B51" s="70"/>
      <c r="C51" s="70" t="s">
        <v>56</v>
      </c>
      <c r="D51" s="71">
        <v>2.9445945765753194</v>
      </c>
      <c r="E51" s="72"/>
      <c r="F51" s="70"/>
      <c r="G51" s="70"/>
      <c r="H51" s="73" t="s">
        <v>274</v>
      </c>
      <c r="I51" s="74"/>
      <c r="J51" s="74"/>
      <c r="K51" s="73"/>
      <c r="L51" s="75"/>
      <c r="M51" s="76"/>
      <c r="N51" s="76"/>
      <c r="O51" s="77"/>
      <c r="P51" s="78"/>
      <c r="Q51" s="78"/>
      <c r="R51" s="79"/>
      <c r="S51" s="79"/>
      <c r="T51" s="79"/>
      <c r="U51" s="79"/>
      <c r="V51" s="80"/>
      <c r="W51" s="80"/>
      <c r="X51" s="80"/>
      <c r="Y51" s="80"/>
      <c r="Z51" s="81">
        <v>51</v>
      </c>
      <c r="AA51"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1" s="82"/>
      <c r="AC51" s="83" t="s">
        <v>275</v>
      </c>
      <c r="AD51" s="83"/>
      <c r="AE51" s="84"/>
      <c r="AF51" s="84">
        <f>Vertices[[#This Row],[Followers]]+Vertices[[#This Row],[Inverse of Min to Max Tweets]]</f>
        <v>1592</v>
      </c>
      <c r="AG51" s="83" t="s">
        <v>273</v>
      </c>
      <c r="AH51" s="83" t="s">
        <v>276</v>
      </c>
    </row>
    <row r="52" spans="1:35" x14ac:dyDescent="0.25">
      <c r="A52" s="69" t="s">
        <v>277</v>
      </c>
      <c r="B52" s="70"/>
      <c r="C52" s="70" t="s">
        <v>56</v>
      </c>
      <c r="D52" s="71">
        <v>4.427367663847666</v>
      </c>
      <c r="E52" s="72"/>
      <c r="F52" s="70"/>
      <c r="G52" s="70"/>
      <c r="H52" s="73" t="s">
        <v>277</v>
      </c>
      <c r="I52" s="74"/>
      <c r="J52" s="74"/>
      <c r="K52" s="73"/>
      <c r="L52" s="75"/>
      <c r="M52" s="76"/>
      <c r="N52" s="76"/>
      <c r="O52" s="77"/>
      <c r="P52" s="78"/>
      <c r="Q52" s="78"/>
      <c r="R52" s="79"/>
      <c r="S52" s="79"/>
      <c r="T52" s="79"/>
      <c r="U52" s="79"/>
      <c r="V52" s="80"/>
      <c r="W52" s="80"/>
      <c r="X52" s="80"/>
      <c r="Y52" s="80"/>
      <c r="Z52" s="81">
        <v>52</v>
      </c>
      <c r="AA52"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2" s="82"/>
      <c r="AC52" s="83" t="s">
        <v>278</v>
      </c>
      <c r="AD52" s="83"/>
      <c r="AE52" s="84"/>
      <c r="AF52" s="84">
        <f>Vertices[[#This Row],[Followers]]+Vertices[[#This Row],[Inverse of Min to Max Tweets]]</f>
        <v>8453</v>
      </c>
      <c r="AG52" s="83" t="s">
        <v>279</v>
      </c>
      <c r="AH52" s="83" t="s">
        <v>207</v>
      </c>
    </row>
    <row r="53" spans="1:35" x14ac:dyDescent="0.25">
      <c r="A53" s="69" t="s">
        <v>280</v>
      </c>
      <c r="B53" s="98" t="s">
        <v>318</v>
      </c>
      <c r="C53" s="53" t="s">
        <v>47</v>
      </c>
      <c r="D53" s="71">
        <v>3.29575719271367</v>
      </c>
      <c r="E53" s="72"/>
      <c r="F53" s="70"/>
      <c r="G53" s="70"/>
      <c r="H53" s="73" t="s">
        <v>280</v>
      </c>
      <c r="I53" s="74"/>
      <c r="J53" s="74"/>
      <c r="K53" s="73"/>
      <c r="L53" s="75"/>
      <c r="M53" s="76"/>
      <c r="N53" s="76"/>
      <c r="O53" s="77"/>
      <c r="P53" s="78"/>
      <c r="Q53" s="78"/>
      <c r="R53" s="79"/>
      <c r="S53" s="79"/>
      <c r="T53" s="79"/>
      <c r="U53" s="79"/>
      <c r="V53" s="80"/>
      <c r="W53" s="80"/>
      <c r="X53" s="80"/>
      <c r="Y53" s="80"/>
      <c r="Z53" s="81">
        <v>53</v>
      </c>
      <c r="AA53"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3" s="82"/>
      <c r="AC53" s="83"/>
      <c r="AD53" s="83" t="s">
        <v>281</v>
      </c>
      <c r="AE53" s="84">
        <f>10000000/Vertices[[#This Row],[Minutes to max tweets]]</f>
        <v>2364.0661938534281</v>
      </c>
      <c r="AF53" s="84">
        <f>Vertices[[#This Row],[Followers]]+Vertices[[#This Row],[Inverse of Min to Max Tweets]]</f>
        <v>2364.0661938534281</v>
      </c>
      <c r="AG53" s="83" t="s">
        <v>305</v>
      </c>
      <c r="AH53" s="83" t="s">
        <v>202</v>
      </c>
      <c r="AI53" s="1"/>
    </row>
    <row r="54" spans="1:35" x14ac:dyDescent="0.25">
      <c r="A54" s="69" t="s">
        <v>282</v>
      </c>
      <c r="B54" s="98" t="s">
        <v>318</v>
      </c>
      <c r="C54" s="53" t="s">
        <v>47</v>
      </c>
      <c r="D54" s="71">
        <v>0</v>
      </c>
      <c r="E54" s="72"/>
      <c r="F54" s="70"/>
      <c r="G54" s="70"/>
      <c r="H54" s="73" t="s">
        <v>282</v>
      </c>
      <c r="I54" s="74"/>
      <c r="J54" s="74"/>
      <c r="K54" s="73"/>
      <c r="L54" s="75"/>
      <c r="M54" s="76"/>
      <c r="N54" s="76"/>
      <c r="O54" s="77"/>
      <c r="P54" s="78"/>
      <c r="Q54" s="78"/>
      <c r="R54" s="79"/>
      <c r="S54" s="79"/>
      <c r="T54" s="79"/>
      <c r="U54" s="79"/>
      <c r="V54" s="80"/>
      <c r="W54" s="80"/>
      <c r="X54" s="80"/>
      <c r="Y54" s="80"/>
      <c r="Z54" s="81">
        <v>54</v>
      </c>
      <c r="AA54"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4" s="82"/>
      <c r="AC54" s="83"/>
      <c r="AD54" s="83"/>
      <c r="AE54" s="84"/>
      <c r="AF54" s="84">
        <f>Vertices[[#This Row],[Followers]]+Vertices[[#This Row],[Inverse of Min to Max Tweets]]</f>
        <v>0</v>
      </c>
      <c r="AG54" s="83" t="s">
        <v>237</v>
      </c>
      <c r="AH54" s="83" t="s">
        <v>202</v>
      </c>
      <c r="AI54" s="1"/>
    </row>
    <row r="55" spans="1:35" x14ac:dyDescent="0.25">
      <c r="A55" s="69" t="s">
        <v>283</v>
      </c>
      <c r="B55" s="70"/>
      <c r="C55" s="70" t="s">
        <v>56</v>
      </c>
      <c r="D55" s="71">
        <v>1.5</v>
      </c>
      <c r="E55" s="72"/>
      <c r="F55" s="70"/>
      <c r="G55" s="70"/>
      <c r="H55" s="73" t="s">
        <v>283</v>
      </c>
      <c r="I55" s="74"/>
      <c r="J55" s="74"/>
      <c r="K55" s="73"/>
      <c r="L55" s="75"/>
      <c r="M55" s="76"/>
      <c r="N55" s="76"/>
      <c r="O55" s="77"/>
      <c r="P55" s="78"/>
      <c r="Q55" s="78"/>
      <c r="R55" s="79"/>
      <c r="S55" s="79"/>
      <c r="T55" s="79"/>
      <c r="U55" s="79"/>
      <c r="V55" s="80"/>
      <c r="W55" s="80"/>
      <c r="X55" s="80"/>
      <c r="Y55" s="80"/>
      <c r="Z55" s="81">
        <v>55</v>
      </c>
      <c r="AA55"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5" s="82"/>
      <c r="AC55" s="83" t="s">
        <v>284</v>
      </c>
      <c r="AD55" s="83"/>
      <c r="AE55" s="84"/>
      <c r="AF55" s="84">
        <f>Vertices[[#This Row],[Followers]]+Vertices[[#This Row],[Inverse of Min to Max Tweets]]</f>
        <v>313</v>
      </c>
      <c r="AG55" s="83" t="s">
        <v>287</v>
      </c>
      <c r="AH55" s="83" t="s">
        <v>206</v>
      </c>
    </row>
    <row r="56" spans="1:35" x14ac:dyDescent="0.25">
      <c r="A56" s="69" t="s">
        <v>286</v>
      </c>
      <c r="B56" s="70"/>
      <c r="C56" s="70" t="s">
        <v>56</v>
      </c>
      <c r="D56" s="71">
        <v>1.9353353375923825</v>
      </c>
      <c r="E56" s="72"/>
      <c r="F56" s="70"/>
      <c r="G56" s="70"/>
      <c r="H56" s="73" t="s">
        <v>286</v>
      </c>
      <c r="I56" s="74"/>
      <c r="J56" s="74"/>
      <c r="K56" s="73"/>
      <c r="L56" s="75"/>
      <c r="M56" s="76"/>
      <c r="N56" s="76"/>
      <c r="O56" s="77"/>
      <c r="P56" s="78"/>
      <c r="Q56" s="78"/>
      <c r="R56" s="79"/>
      <c r="S56" s="79"/>
      <c r="T56" s="79"/>
      <c r="U56" s="79"/>
      <c r="V56" s="80"/>
      <c r="W56" s="80"/>
      <c r="X56" s="80"/>
      <c r="Y56" s="80"/>
      <c r="Z56" s="81">
        <v>56</v>
      </c>
      <c r="AA56"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6" s="82"/>
      <c r="AC56" s="83" t="s">
        <v>288</v>
      </c>
      <c r="AD56" s="83"/>
      <c r="AE56" s="84"/>
      <c r="AF56" s="84">
        <f>Vertices[[#This Row],[Followers]]+Vertices[[#This Row],[Inverse of Min to Max Tweets]]</f>
        <v>511</v>
      </c>
      <c r="AG56" s="83" t="s">
        <v>285</v>
      </c>
      <c r="AH56" s="83" t="s">
        <v>206</v>
      </c>
    </row>
    <row r="57" spans="1:35" x14ac:dyDescent="0.25">
      <c r="A57" s="69" t="s">
        <v>289</v>
      </c>
      <c r="B57" s="70"/>
      <c r="C57" s="70" t="s">
        <v>56</v>
      </c>
      <c r="D57" s="71">
        <v>3.6050766868260848</v>
      </c>
      <c r="E57" s="72"/>
      <c r="F57" s="70"/>
      <c r="G57" s="70"/>
      <c r="H57" s="73" t="s">
        <v>289</v>
      </c>
      <c r="I57" s="74"/>
      <c r="J57" s="74"/>
      <c r="K57" s="73"/>
      <c r="L57" s="75"/>
      <c r="M57" s="76"/>
      <c r="N57" s="76"/>
      <c r="O57" s="77"/>
      <c r="P57" s="78"/>
      <c r="Q57" s="78"/>
      <c r="R57" s="79"/>
      <c r="S57" s="79"/>
      <c r="T57" s="79"/>
      <c r="U57" s="79"/>
      <c r="V57" s="80"/>
      <c r="W57" s="80"/>
      <c r="X57" s="80"/>
      <c r="Y57" s="80"/>
      <c r="Z57" s="81">
        <v>57</v>
      </c>
      <c r="AA57"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7" s="82"/>
      <c r="AC57" s="83" t="s">
        <v>307</v>
      </c>
      <c r="AD57" s="83"/>
      <c r="AE57" s="84"/>
      <c r="AF57" s="84">
        <f>Vertices[[#This Row],[Followers]]+Vertices[[#This Row],[Inverse of Min to Max Tweets]]</f>
        <v>3349</v>
      </c>
      <c r="AG57" s="83"/>
      <c r="AH57" s="1" t="s">
        <v>205</v>
      </c>
    </row>
    <row r="58" spans="1:35" x14ac:dyDescent="0.25">
      <c r="A58" s="69" t="s">
        <v>285</v>
      </c>
      <c r="B58" s="70"/>
      <c r="C58" s="70" t="s">
        <v>47</v>
      </c>
      <c r="D58" s="71">
        <v>5</v>
      </c>
      <c r="E58" s="72"/>
      <c r="F58" s="70"/>
      <c r="G58" s="70"/>
      <c r="H58" s="73" t="s">
        <v>285</v>
      </c>
      <c r="I58" s="74"/>
      <c r="J58" s="74"/>
      <c r="K58" s="73"/>
      <c r="L58" s="75"/>
      <c r="M58" s="76"/>
      <c r="N58" s="76"/>
      <c r="O58" s="77"/>
      <c r="P58" s="78"/>
      <c r="Q58" s="78"/>
      <c r="R58" s="79"/>
      <c r="S58" s="79"/>
      <c r="T58" s="79"/>
      <c r="U58" s="79"/>
      <c r="V58" s="80"/>
      <c r="W58" s="80"/>
      <c r="X58" s="80"/>
      <c r="Y58" s="80"/>
      <c r="Z58" s="81">
        <v>58</v>
      </c>
      <c r="AA58"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8" s="82"/>
      <c r="AC58" s="83"/>
      <c r="AD58" s="1"/>
      <c r="AF58" s="2">
        <f>Vertices[[#This Row],[Followers]]+Vertices[[#This Row],[Inverse of Min to Max Tweets]]</f>
        <v>0</v>
      </c>
      <c r="AG58" s="1"/>
      <c r="AH58" s="83" t="s">
        <v>203</v>
      </c>
      <c r="AI58" s="1"/>
    </row>
    <row r="59" spans="1:35" x14ac:dyDescent="0.25">
      <c r="A59" s="69" t="s">
        <v>290</v>
      </c>
      <c r="B59" s="98" t="s">
        <v>318</v>
      </c>
      <c r="C59" s="53" t="s">
        <v>47</v>
      </c>
      <c r="D59" s="71">
        <v>4.2527780307226628</v>
      </c>
      <c r="E59" s="72"/>
      <c r="F59" s="70"/>
      <c r="G59" s="70"/>
      <c r="H59" s="73" t="s">
        <v>290</v>
      </c>
      <c r="I59" s="74"/>
      <c r="J59" s="74"/>
      <c r="K59" s="73"/>
      <c r="L59" s="75"/>
      <c r="M59" s="76"/>
      <c r="N59" s="76"/>
      <c r="O59" s="77"/>
      <c r="P59" s="78"/>
      <c r="Q59" s="78"/>
      <c r="R59" s="79"/>
      <c r="S59" s="79"/>
      <c r="T59" s="79"/>
      <c r="U59" s="79"/>
      <c r="V59" s="80"/>
      <c r="W59" s="80"/>
      <c r="X59" s="80"/>
      <c r="Y59" s="80"/>
      <c r="Z59" s="81">
        <v>59</v>
      </c>
      <c r="AA59"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59" s="82"/>
      <c r="AC59" s="83"/>
      <c r="AD59" s="83" t="s">
        <v>291</v>
      </c>
      <c r="AE59" s="84">
        <f>10000000/Vertices[[#This Row],[Minutes to max tweets]]</f>
        <v>6944.4444444444443</v>
      </c>
      <c r="AF59" s="84">
        <f>Vertices[[#This Row],[Followers]]+Vertices[[#This Row],[Inverse of Min to Max Tweets]]</f>
        <v>6944.4444444444443</v>
      </c>
      <c r="AG59" s="83" t="s">
        <v>174</v>
      </c>
      <c r="AH59" s="83" t="s">
        <v>202</v>
      </c>
      <c r="AI59" s="1"/>
    </row>
    <row r="60" spans="1:35" x14ac:dyDescent="0.25">
      <c r="A60" s="69" t="s">
        <v>292</v>
      </c>
      <c r="B60" s="70"/>
      <c r="C60" s="70" t="s">
        <v>56</v>
      </c>
      <c r="D60" s="71">
        <v>6.5002442306240944</v>
      </c>
      <c r="E60" s="72"/>
      <c r="F60" s="70"/>
      <c r="G60" s="70"/>
      <c r="H60" s="73" t="s">
        <v>292</v>
      </c>
      <c r="I60" s="74"/>
      <c r="J60" s="74"/>
      <c r="K60" s="73"/>
      <c r="L60" s="75"/>
      <c r="M60" s="76"/>
      <c r="N60" s="76"/>
      <c r="O60" s="77"/>
      <c r="P60" s="78"/>
      <c r="Q60" s="78"/>
      <c r="R60" s="79"/>
      <c r="S60" s="79"/>
      <c r="T60" s="79"/>
      <c r="U60" s="79"/>
      <c r="V60" s="80"/>
      <c r="W60" s="80"/>
      <c r="X60" s="80"/>
      <c r="Y60" s="80"/>
      <c r="Z60" s="81">
        <v>60</v>
      </c>
      <c r="AA60"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60" s="82"/>
      <c r="AC60" s="83" t="s">
        <v>293</v>
      </c>
      <c r="AD60" s="83"/>
      <c r="AE60" s="84"/>
      <c r="AF60" s="84">
        <f>Vertices[[#This Row],[Followers]]+Vertices[[#This Row],[Inverse of Min to Max Tweets]]</f>
        <v>87224</v>
      </c>
      <c r="AG60" s="83" t="s">
        <v>294</v>
      </c>
      <c r="AH60" s="83" t="s">
        <v>240</v>
      </c>
    </row>
    <row r="61" spans="1:35" x14ac:dyDescent="0.25">
      <c r="A61" s="69" t="s">
        <v>295</v>
      </c>
      <c r="B61" s="98" t="s">
        <v>318</v>
      </c>
      <c r="C61" s="53" t="s">
        <v>47</v>
      </c>
      <c r="D61" s="71">
        <v>4.2527780307226628</v>
      </c>
      <c r="E61" s="72"/>
      <c r="F61" s="70"/>
      <c r="G61" s="70"/>
      <c r="H61" s="73" t="s">
        <v>295</v>
      </c>
      <c r="I61" s="74"/>
      <c r="J61" s="74"/>
      <c r="K61" s="73"/>
      <c r="L61" s="75"/>
      <c r="M61" s="76"/>
      <c r="N61" s="76"/>
      <c r="O61" s="77"/>
      <c r="P61" s="78"/>
      <c r="Q61" s="78"/>
      <c r="R61" s="85"/>
      <c r="S61" s="85"/>
      <c r="T61" s="85"/>
      <c r="U61" s="85"/>
      <c r="V61" s="86"/>
      <c r="W61" s="86"/>
      <c r="X61" s="86"/>
      <c r="Y61" s="86"/>
      <c r="Z61" s="81">
        <v>61</v>
      </c>
      <c r="AA61"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61" s="82"/>
      <c r="AC61" s="83"/>
      <c r="AD61" s="83" t="s">
        <v>291</v>
      </c>
      <c r="AE61" s="84">
        <f>10000000/Vertices[[#This Row],[Minutes to max tweets]]</f>
        <v>6944.4444444444443</v>
      </c>
      <c r="AF61" s="84">
        <f>Vertices[[#This Row],[Followers]]+Vertices[[#This Row],[Inverse of Min to Max Tweets]]</f>
        <v>6944.4444444444443</v>
      </c>
      <c r="AG61" s="83"/>
      <c r="AH61" s="83" t="s">
        <v>202</v>
      </c>
      <c r="AI61" s="1"/>
    </row>
    <row r="62" spans="1:35" x14ac:dyDescent="0.25">
      <c r="A62" s="69" t="s">
        <v>308</v>
      </c>
      <c r="B62" s="70"/>
      <c r="C62" s="70" t="s">
        <v>47</v>
      </c>
      <c r="D62" s="71">
        <v>5</v>
      </c>
      <c r="E62" s="72"/>
      <c r="F62" s="70"/>
      <c r="G62" s="70"/>
      <c r="H62" s="73" t="s">
        <v>308</v>
      </c>
      <c r="I62" s="74"/>
      <c r="J62" s="74"/>
      <c r="K62" s="73"/>
      <c r="L62" s="75"/>
      <c r="M62" s="76"/>
      <c r="N62" s="76"/>
      <c r="O62" s="77"/>
      <c r="P62" s="78"/>
      <c r="Q62" s="78"/>
      <c r="R62" s="85"/>
      <c r="S62" s="85"/>
      <c r="T62" s="85"/>
      <c r="U62" s="85"/>
      <c r="V62" s="86"/>
      <c r="W62" s="86"/>
      <c r="X62" s="86"/>
      <c r="Y62" s="86"/>
      <c r="Z62" s="81">
        <v>62</v>
      </c>
      <c r="AA62"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62" s="82"/>
      <c r="AC62" s="83"/>
      <c r="AD62" s="83"/>
      <c r="AE62" s="84"/>
      <c r="AF62" s="84">
        <f>Vertices[[#This Row],[Followers]]+Vertices[[#This Row],[Inverse of Min to Max Tweets]]</f>
        <v>0</v>
      </c>
      <c r="AG62" s="83"/>
      <c r="AH62" s="83" t="s">
        <v>203</v>
      </c>
    </row>
    <row r="63" spans="1:35" x14ac:dyDescent="0.25">
      <c r="A63" s="69" t="s">
        <v>309</v>
      </c>
      <c r="B63" s="70"/>
      <c r="C63" s="70" t="s">
        <v>47</v>
      </c>
      <c r="D63" s="71">
        <v>5</v>
      </c>
      <c r="E63" s="72"/>
      <c r="F63" s="70"/>
      <c r="G63" s="70"/>
      <c r="H63" s="73" t="s">
        <v>309</v>
      </c>
      <c r="I63" s="74"/>
      <c r="J63" s="74"/>
      <c r="K63" s="73"/>
      <c r="L63" s="75"/>
      <c r="M63" s="76"/>
      <c r="N63" s="76"/>
      <c r="O63" s="77"/>
      <c r="P63" s="78"/>
      <c r="Q63" s="78"/>
      <c r="R63" s="85"/>
      <c r="S63" s="85"/>
      <c r="T63" s="85"/>
      <c r="U63" s="85"/>
      <c r="V63" s="86"/>
      <c r="W63" s="86"/>
      <c r="X63" s="86"/>
      <c r="Y63" s="86"/>
      <c r="Z63" s="81">
        <v>63</v>
      </c>
      <c r="AA63"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63" s="82"/>
      <c r="AC63" s="83"/>
      <c r="AD63" s="83"/>
      <c r="AE63" s="84"/>
      <c r="AF63" s="84">
        <f>Vertices[[#This Row],[Followers]]+Vertices[[#This Row],[Inverse of Min to Max Tweets]]</f>
        <v>0</v>
      </c>
      <c r="AG63" s="83"/>
      <c r="AH63" s="83" t="s">
        <v>203</v>
      </c>
    </row>
    <row r="64" spans="1:35" x14ac:dyDescent="0.25">
      <c r="A64" s="69" t="s">
        <v>310</v>
      </c>
      <c r="B64" s="70"/>
      <c r="C64" s="70" t="s">
        <v>47</v>
      </c>
      <c r="D64" s="71">
        <v>5</v>
      </c>
      <c r="E64" s="72"/>
      <c r="F64" s="70"/>
      <c r="G64" s="70"/>
      <c r="H64" s="73" t="s">
        <v>310</v>
      </c>
      <c r="I64" s="74"/>
      <c r="J64" s="74"/>
      <c r="K64" s="73"/>
      <c r="L64" s="75"/>
      <c r="M64" s="76"/>
      <c r="N64" s="76"/>
      <c r="O64" s="77"/>
      <c r="P64" s="78"/>
      <c r="Q64" s="78"/>
      <c r="R64" s="85"/>
      <c r="S64" s="85"/>
      <c r="T64" s="85"/>
      <c r="U64" s="85"/>
      <c r="V64" s="86"/>
      <c r="W64" s="86"/>
      <c r="X64" s="86"/>
      <c r="Y64" s="86"/>
      <c r="Z64" s="81">
        <v>64</v>
      </c>
      <c r="AA64"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64" s="82"/>
      <c r="AC64" s="83"/>
      <c r="AD64" s="83"/>
      <c r="AE64" s="84"/>
      <c r="AF64" s="84">
        <f>Vertices[[#This Row],[Followers]]+Vertices[[#This Row],[Inverse of Min to Max Tweets]]</f>
        <v>0</v>
      </c>
      <c r="AG64" s="83"/>
      <c r="AH64" s="83" t="s">
        <v>203</v>
      </c>
    </row>
    <row r="65" spans="1:34" x14ac:dyDescent="0.25">
      <c r="A65" s="69" t="s">
        <v>311</v>
      </c>
      <c r="B65" s="70"/>
      <c r="C65" s="70" t="s">
        <v>47</v>
      </c>
      <c r="D65" s="71">
        <v>5</v>
      </c>
      <c r="E65" s="72"/>
      <c r="F65" s="70"/>
      <c r="G65" s="70"/>
      <c r="H65" s="73" t="s">
        <v>311</v>
      </c>
      <c r="I65" s="74"/>
      <c r="J65" s="74"/>
      <c r="K65" s="73"/>
      <c r="L65" s="75"/>
      <c r="M65" s="76"/>
      <c r="N65" s="76"/>
      <c r="O65" s="77"/>
      <c r="P65" s="78"/>
      <c r="Q65" s="78"/>
      <c r="R65" s="85"/>
      <c r="S65" s="85"/>
      <c r="T65" s="85"/>
      <c r="U65" s="85"/>
      <c r="V65" s="86"/>
      <c r="W65" s="86"/>
      <c r="X65" s="86"/>
      <c r="Y65" s="86"/>
      <c r="Z65" s="81">
        <v>65</v>
      </c>
      <c r="AA65"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65" s="82"/>
      <c r="AC65" s="83"/>
      <c r="AD65" s="83"/>
      <c r="AE65" s="84"/>
      <c r="AF65" s="84">
        <f>Vertices[[#This Row],[Followers]]+Vertices[[#This Row],[Inverse of Min to Max Tweets]]</f>
        <v>0</v>
      </c>
      <c r="AG65" s="83"/>
      <c r="AH65" s="83" t="s">
        <v>204</v>
      </c>
    </row>
    <row r="66" spans="1:34" x14ac:dyDescent="0.25">
      <c r="A66" s="69" t="s">
        <v>312</v>
      </c>
      <c r="B66" s="70"/>
      <c r="C66" s="70" t="s">
        <v>47</v>
      </c>
      <c r="D66" s="71">
        <v>5</v>
      </c>
      <c r="E66" s="72"/>
      <c r="F66" s="70"/>
      <c r="G66" s="70"/>
      <c r="H66" s="73" t="s">
        <v>312</v>
      </c>
      <c r="I66" s="74"/>
      <c r="J66" s="74"/>
      <c r="K66" s="73"/>
      <c r="L66" s="75"/>
      <c r="M66" s="76"/>
      <c r="N66" s="76"/>
      <c r="O66" s="77"/>
      <c r="P66" s="78"/>
      <c r="Q66" s="78"/>
      <c r="R66" s="85"/>
      <c r="S66" s="85"/>
      <c r="T66" s="85"/>
      <c r="U66" s="85"/>
      <c r="V66" s="86"/>
      <c r="W66" s="86"/>
      <c r="X66" s="86"/>
      <c r="Y66" s="86"/>
      <c r="Z66" s="81">
        <v>66</v>
      </c>
      <c r="AA66"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66" s="82"/>
      <c r="AC66" s="83"/>
      <c r="AD66" s="83"/>
      <c r="AE66" s="84"/>
      <c r="AF66" s="84">
        <f>Vertices[[#This Row],[Followers]]+Vertices[[#This Row],[Inverse of Min to Max Tweets]]</f>
        <v>0</v>
      </c>
      <c r="AG66" s="83"/>
      <c r="AH66" s="83" t="s">
        <v>204</v>
      </c>
    </row>
    <row r="67" spans="1:34" x14ac:dyDescent="0.25">
      <c r="A67" s="69" t="s">
        <v>321</v>
      </c>
      <c r="B67" s="70"/>
      <c r="C67" s="70" t="s">
        <v>47</v>
      </c>
      <c r="D67" s="71"/>
      <c r="E67" s="72"/>
      <c r="F67" s="70"/>
      <c r="G67" s="70"/>
      <c r="H67" s="73" t="s">
        <v>321</v>
      </c>
      <c r="I67" s="74"/>
      <c r="J67" s="74"/>
      <c r="K67" s="73"/>
      <c r="L67" s="75"/>
      <c r="M67" s="76"/>
      <c r="N67" s="76"/>
      <c r="O67" s="77"/>
      <c r="P67" s="78"/>
      <c r="Q67" s="78"/>
      <c r="R67" s="85"/>
      <c r="S67" s="85"/>
      <c r="T67" s="85"/>
      <c r="U67" s="85"/>
      <c r="V67" s="86"/>
      <c r="W67" s="86"/>
      <c r="X67" s="86"/>
      <c r="Y67" s="86"/>
      <c r="Z67" s="81">
        <v>67</v>
      </c>
      <c r="AA67" s="81" t="b">
        <f xml:space="preserve"> IF(AND(OR(NOT(ISNUMBER(Vertices[Size])), Vertices[Size] &gt;= Misc!$N$2), OR(NOT(ISNUMBER(Vertices[Size])), Vertices[Size] &lt;= Misc!$O$2),OR(NOT(ISNUMBER(Vertices[Inverse of Min to Max Tweets])), Vertices[Inverse of Min to Max Tweets] &gt;= Misc!$N$3), OR(NOT(ISNUMBER(Vertices[Inverse of Min to Max Tweets])), Vertices[Inverse of Min to Max Tweets] &lt;= Misc!$O$3),OR(NOT(ISNUMBER(Vertices[Size2])), Vertices[Size2] &gt;= Misc!$N$4), OR(NOT(ISNUMBER(Vertices[Size2])), Vertices[Size2] &lt;= Misc!$O$4),TRUE), TRUE, FALSE)</f>
        <v>1</v>
      </c>
      <c r="AB67" s="82"/>
      <c r="AC67" s="83"/>
      <c r="AD67" s="83"/>
      <c r="AE67" s="84"/>
      <c r="AF67" s="84">
        <f>Vertices[[#This Row],[Followers]]+Vertices[[#This Row],[Inverse of Min to Max Tweets]]</f>
        <v>0</v>
      </c>
      <c r="AG67" s="83"/>
      <c r="AH67" s="83"/>
    </row>
  </sheetData>
  <dataConsolidate/>
  <dataValidations count="21">
    <dataValidation allowBlank="1" errorTitle="Invalid Vertex Visibility" error="You have entered an unrecognized vertex visibility.  Try selecting from the drop-down list instead." sqref="AC3"/>
    <dataValidation allowBlank="1" showErrorMessage="1" sqref="AC2"/>
    <dataValidation allowBlank="1" showInputMessage="1" promptTitle="Vertex Color" prompt="To select an optional vertex color, right-click and select Select Color on the right-click menu." sqref="B13:B14 B17 B19:B20 B22:B23 B25 B27:B36 B38:B42 B44:B52 B55:B58 B60 B62:B66 B4:B10"/>
    <dataValidation allowBlank="1" showInputMessage="1" promptTitle="Vertex Color" prompt="To select a color to use for all vertices in the group, right-click and select Select Color on the right-click menu." sqref="B59 B3 B11:B12 B15:B16 B18 B21 B24 B26 B37 B43 B53:B54 B61"/>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 sqref="D3:D67"/>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Z3:Z67"/>
    <dataValidation type="list" allowBlank="1" showInputMessage="1" showErrorMessage="1" errorTitle="Invalid Vertex Locked" error="You have entered an unrecognized &quot;vertex locked.&quot;  Try selecting from the drop-down list instead." promptTitle="Vertex Locked?" prompt="Set to Yes to lock the vertex at its current location." sqref="O3:O67">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If you enter X and Y values, you should set NodeXL, Graph, Layout to &quot;None&quot; to prevent NodeXL from overwriting your values when you show the graph." sqref="M3:N67"/>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L67"/>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P67"/>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Q67"/>
    <dataValidation allowBlank="1" showInputMessage="1" errorTitle="Invalid Vertex Image Key" promptTitle="Vertex Tooltip" prompt="Enter optional text that will pop up when the mouse is hovered over the vertex." sqref="K3:K67"/>
    <dataValidation allowBlank="1" errorTitle="Invalid Vertex Visibility" error="You have entered an unrecognized vertex visibility.  Try selecting from the drop-down list instead." promptTitle="Vertex ID" prompt="This is a unique ID that gets filled in automatically.  Do not edit this column." sqref="AA3:AA67"/>
    <dataValidation type="list" allowBlank="1" showInputMessage="1" showErrorMessage="1" errorTitle="Invalid Vertex Visibility" error="You have entered an unrecognized vertex visibility.  Try selecting from the drop-down list instead." promptTitle="Vertex Visibility" prompt="Select an optional vertex visibility.  Vertices are &quot;Show if in an Edge&quot; by default." sqref="G3:G67">
      <formula1>ValidVertexVisibilities</formula1>
    </dataValidation>
    <dataValidation allowBlank="1" showInputMessage="1" errorTitle="Invalid Vertex Image Key" promptTitle="Vertex Label" prompt="To show a vertex as a box containing text, set the Shape to Label and enter a label.  To annotate another shape with text, set the Shape to something else and enter a label." sqref="H3:H67"/>
    <dataValidation allowBlank="1" showInputMessage="1" promptTitle="Vertex Label Fill Color" prompt="To select an optional fill color for the Label shape, right-click and select Select Color on the right-click menu." sqref="I3:I67"/>
    <dataValidation allowBlank="1" showInputMessage="1" errorTitle="Invalid Vertex Image Key" promptTitle="Image File" prompt="Enter the path to an image file.  Hover over the column header for examples." sqref="F3:F67"/>
    <dataValidation allowBlank="1" showInputMessage="1" errorTitle="Invalid Vertex Opacity" error="The optional vertex opacity must be a whole number between 0 and 10." promptTitle="Vertex Opacity" prompt="Enter an optional vertex opacity between 0 (transparent) and 100 (opaque)." sqref="E3:E67"/>
    <dataValidation type="list" allowBlank="1" showInputMessage="1" showErrorMessage="1" errorTitle="Unrecognized Vertex Shape" error="You have entered an unrecognized vertex shape.  Try selecting from the drop-down list instead." promptTitle="Vertex Shape" prompt="Select an optional vertex shape." sqref="C3:C67">
      <formula1>ValidVertexShapes</formula1>
    </dataValidation>
    <dataValidation type="list" allowBlank="1" showInputMessage="1" showErrorMessage="1" errorTitle="Unrecognized Label Position" error="You have entered an unrecognized vertex label position.  Try selecting from the drop-down list instead." promptTitle="Vertex Label Position" prompt="Select an optional vertex label position." sqref="J3:J67">
      <formula1>ValidVertexLabelPositions</formula1>
    </dataValidation>
    <dataValidation allowBlank="1" showInputMessage="1" showErrorMessage="1" promptTitle="Vertex Name" prompt="Enter the name of the vertex." sqref="A3:A67"/>
  </dataValidations>
  <pageMargins left="0.7" right="0.7" top="0.75" bottom="0.75" header="0.3" footer="0.3"/>
  <pageSetup orientation="portrait" horizontalDpi="1200" verticalDpi="12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21"/>
  <sheetViews>
    <sheetView workbookViewId="0"/>
  </sheetViews>
  <sheetFormatPr defaultRowHeight="15" x14ac:dyDescent="0.25"/>
  <cols>
    <col min="1" max="1" width="10.85546875" style="3" bestFit="1" customWidth="1"/>
    <col min="2" max="2" width="16.85546875" style="3" bestFit="1" customWidth="1"/>
    <col min="4" max="5" width="9.140625" customWidth="1"/>
  </cols>
  <sheetData>
    <row r="1" spans="1:1" x14ac:dyDescent="0.25">
      <c r="A1" s="3" t="s">
        <v>50</v>
      </c>
    </row>
    <row r="2" spans="1:1" ht="15" customHeight="1" x14ac:dyDescent="0.25"/>
    <row r="3" spans="1:1" ht="15" customHeight="1" x14ac:dyDescent="0.25">
      <c r="A3" s="31" t="s">
        <v>51</v>
      </c>
    </row>
    <row r="21" spans="4:4" x14ac:dyDescent="0.25">
      <c r="D21" s="7"/>
    </row>
  </sheetData>
  <dataConsolidate/>
  <dataValidations xWindow="63" yWindow="236" count="2">
    <dataValidation allowBlank="1" showInputMessage="1" showErrorMessage="1" promptTitle="Image ID" prompt="Enter a unique ID for the image." sqref="A2"/>
    <dataValidation allowBlank="1" showInputMessage="1" showErrorMessage="1" promptTitle="Image File Path" prompt="Enter an image file path.  Hover over the column header for examples." sqref="B2"/>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S14"/>
  <sheetViews>
    <sheetView workbookViewId="0">
      <selection activeCell="A2" sqref="A2:S2"/>
    </sheetView>
  </sheetViews>
  <sheetFormatPr defaultRowHeight="15" x14ac:dyDescent="0.25"/>
  <cols>
    <col min="1" max="1" width="9.42578125" style="1" bestFit="1" customWidth="1"/>
    <col min="2" max="2" width="14.28515625" bestFit="1" customWidth="1"/>
    <col min="3" max="3" width="15" bestFit="1" customWidth="1"/>
    <col min="4" max="4" width="13" bestFit="1" customWidth="1"/>
    <col min="5" max="5" width="8" bestFit="1" customWidth="1"/>
    <col min="6" max="6" width="11" hidden="1" customWidth="1"/>
    <col min="7" max="7" width="12.5703125" hidden="1" customWidth="1"/>
    <col min="8" max="8" width="11" hidden="1" customWidth="1"/>
    <col min="9" max="9" width="9.7109375" hidden="1" customWidth="1"/>
    <col min="10" max="10" width="13.140625" hidden="1" customWidth="1"/>
    <col min="11" max="12" width="8.42578125" hidden="1" customWidth="1"/>
    <col min="13" max="13" width="14.5703125" hidden="1" customWidth="1"/>
    <col min="14" max="14" width="25" hidden="1" customWidth="1"/>
    <col min="15" max="16" width="24.140625" hidden="1" customWidth="1"/>
    <col min="17" max="17" width="21.28515625" hidden="1" customWidth="1"/>
    <col min="18" max="18" width="19.28515625" hidden="1" customWidth="1"/>
    <col min="19" max="19" width="10" hidden="1" customWidth="1"/>
  </cols>
  <sheetData>
    <row r="1" spans="1:19" x14ac:dyDescent="0.25">
      <c r="B1" s="14" t="s">
        <v>40</v>
      </c>
      <c r="C1" s="14"/>
      <c r="D1" s="14"/>
      <c r="E1" s="66" t="s">
        <v>44</v>
      </c>
      <c r="F1" s="64" t="s">
        <v>41</v>
      </c>
      <c r="G1" s="64"/>
      <c r="H1" s="34" t="s">
        <v>43</v>
      </c>
      <c r="I1" s="34"/>
      <c r="J1" s="34"/>
      <c r="K1" s="34"/>
      <c r="L1" s="34"/>
      <c r="M1" s="34"/>
      <c r="N1" s="34"/>
      <c r="O1" s="34"/>
      <c r="P1" s="34"/>
      <c r="Q1" s="34"/>
      <c r="R1" s="34"/>
      <c r="S1" s="34"/>
    </row>
    <row r="2" spans="1:19" s="13" customFormat="1" ht="30" customHeight="1" x14ac:dyDescent="0.25">
      <c r="A2" s="11" t="s">
        <v>144</v>
      </c>
      <c r="B2" s="13" t="s">
        <v>21</v>
      </c>
      <c r="C2" s="13" t="s">
        <v>20</v>
      </c>
      <c r="D2" s="13" t="s">
        <v>145</v>
      </c>
      <c r="E2" s="13" t="s">
        <v>47</v>
      </c>
      <c r="F2" s="13" t="s">
        <v>12</v>
      </c>
      <c r="G2" s="13" t="s">
        <v>166</v>
      </c>
      <c r="H2" s="13" t="s">
        <v>146</v>
      </c>
      <c r="I2" s="13" t="s">
        <v>148</v>
      </c>
      <c r="J2" s="13" t="s">
        <v>149</v>
      </c>
      <c r="K2" s="13" t="s">
        <v>150</v>
      </c>
      <c r="L2" s="13" t="s">
        <v>151</v>
      </c>
      <c r="M2" s="13" t="s">
        <v>152</v>
      </c>
      <c r="N2" s="13" t="s">
        <v>153</v>
      </c>
      <c r="O2" s="13" t="s">
        <v>154</v>
      </c>
      <c r="P2" s="13" t="s">
        <v>155</v>
      </c>
      <c r="Q2" s="13" t="s">
        <v>156</v>
      </c>
      <c r="R2" s="13" t="s">
        <v>157</v>
      </c>
      <c r="S2" s="13" t="s">
        <v>158</v>
      </c>
    </row>
    <row r="3" spans="1:19" x14ac:dyDescent="0.25">
      <c r="A3" s="96"/>
      <c r="B3" s="98"/>
      <c r="C3" s="98"/>
      <c r="D3" s="14"/>
      <c r="E3" s="15"/>
      <c r="F3" s="68"/>
      <c r="G3" s="64"/>
      <c r="H3" s="47"/>
      <c r="I3" s="47"/>
      <c r="J3" s="47"/>
      <c r="K3" s="47"/>
      <c r="L3" s="47"/>
      <c r="M3" s="47"/>
      <c r="N3" s="47"/>
      <c r="O3" s="47"/>
      <c r="P3" s="47"/>
      <c r="Q3" s="47"/>
      <c r="R3" s="48"/>
      <c r="S3" s="48"/>
    </row>
    <row r="4" spans="1:19" x14ac:dyDescent="0.25">
      <c r="A4"/>
    </row>
    <row r="5" spans="1:19" x14ac:dyDescent="0.25">
      <c r="A5"/>
    </row>
    <row r="6" spans="1:19" x14ac:dyDescent="0.25">
      <c r="A6"/>
    </row>
    <row r="7" spans="1:19" x14ac:dyDescent="0.25">
      <c r="A7"/>
    </row>
    <row r="8" spans="1:19" x14ac:dyDescent="0.25">
      <c r="A8"/>
    </row>
    <row r="9" spans="1:19" x14ac:dyDescent="0.25">
      <c r="A9"/>
    </row>
    <row r="10" spans="1:19" ht="14.25" customHeight="1" x14ac:dyDescent="0.25">
      <c r="A10"/>
    </row>
    <row r="11" spans="1:19" x14ac:dyDescent="0.25">
      <c r="A11"/>
    </row>
    <row r="12" spans="1:19" x14ac:dyDescent="0.25">
      <c r="A12"/>
    </row>
    <row r="13" spans="1:19" x14ac:dyDescent="0.25">
      <c r="A13"/>
    </row>
    <row r="14" spans="1:19" x14ac:dyDescent="0.25">
      <c r="A14"/>
    </row>
  </sheetData>
  <dataConsolidate/>
  <dataValidations count="6">
    <dataValidation allowBlank="1" showInputMessage="1" promptTitle="Vertex Color" prompt="To select a color to use for all vertices in the group, right-click and select Select Color on the right-click menu." sqref="B3"/>
    <dataValidation type="list" allowBlank="1" showInputMessage="1" showErrorMessage="1" errorTitle="Unrecognized Vertex Shape" error="You have entered an unrecognized vertex shape.  Try selecting from the drop-down list instead." promptTitle="Vertex Shape" prompt="Select a shape to use for all vertices in the group." sqref="C3">
      <formula1>ValidGroupShapes</formula1>
    </dataValidation>
    <dataValidation allowBlank="1" showInputMessage="1" showErrorMessage="1" promptTitle="Group Name" prompt="Enter the name of the group." sqref="A3"/>
    <dataValidation type="list" allowBlank="1" showInputMessage="1" showErrorMessage="1" errorTitle="Invalid Group Collapsed" error="You have entered an unrecognized &quot;group collapsed.&quot;  Try selecting from the drop-down list instead." promptTitle="Group Collapsed?" prompt="Set to Yes to collapse the group." sqref="D3">
      <formula1>ValidBooleansDefaultFalse</formula1>
    </dataValidation>
    <dataValidation allowBlank="1" sqref="H3"/>
    <dataValidation allowBlank="1" showInputMessage="1" showErrorMessage="1" errorTitle="Invalid Group Collapsed" error="You have entered an unrecognized &quot;group collapsed.&quot;  Try selecting from the drop-down list instead." promptTitle="Group Label" prompt="Enter an optional group label." sqref="E3"/>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C65"/>
  <sheetViews>
    <sheetView workbookViewId="0">
      <selection activeCell="A2" sqref="A2"/>
    </sheetView>
  </sheetViews>
  <sheetFormatPr defaultRowHeight="15" x14ac:dyDescent="0.25"/>
  <cols>
    <col min="1" max="1" width="9.42578125" style="1" bestFit="1" customWidth="1"/>
    <col min="2" max="2" width="9.140625" style="1"/>
    <col min="3" max="3" width="11.5703125" bestFit="1" customWidth="1"/>
    <col min="4" max="4" width="9.140625" customWidth="1"/>
  </cols>
  <sheetData>
    <row r="1" spans="1:3" ht="15" customHeight="1" x14ac:dyDescent="0.25">
      <c r="A1" s="11" t="s">
        <v>144</v>
      </c>
      <c r="B1" s="11" t="s">
        <v>5</v>
      </c>
      <c r="C1" s="11" t="s">
        <v>147</v>
      </c>
    </row>
    <row r="2" spans="1:3" x14ac:dyDescent="0.25">
      <c r="A2" s="97"/>
      <c r="B2" s="99"/>
      <c r="C2" s="97"/>
    </row>
    <row r="3" spans="1:3" x14ac:dyDescent="0.25">
      <c r="A3"/>
      <c r="B3"/>
    </row>
    <row r="4" spans="1:3" x14ac:dyDescent="0.25">
      <c r="A4"/>
      <c r="B4"/>
    </row>
    <row r="5" spans="1:3" x14ac:dyDescent="0.25">
      <c r="A5"/>
      <c r="B5"/>
    </row>
    <row r="6" spans="1:3" x14ac:dyDescent="0.25">
      <c r="A6"/>
      <c r="B6"/>
    </row>
    <row r="7" spans="1:3" x14ac:dyDescent="0.25">
      <c r="A7"/>
      <c r="B7"/>
    </row>
    <row r="8" spans="1:3" x14ac:dyDescent="0.25">
      <c r="A8"/>
      <c r="B8"/>
    </row>
    <row r="9" spans="1:3" x14ac:dyDescent="0.25">
      <c r="A9"/>
      <c r="B9"/>
    </row>
    <row r="10" spans="1:3" x14ac:dyDescent="0.25">
      <c r="A10"/>
      <c r="B10"/>
    </row>
    <row r="11" spans="1:3" x14ac:dyDescent="0.25">
      <c r="A11"/>
      <c r="B11"/>
    </row>
    <row r="12" spans="1:3" x14ac:dyDescent="0.25">
      <c r="A12"/>
      <c r="B12"/>
    </row>
    <row r="13" spans="1:3" x14ac:dyDescent="0.25">
      <c r="A13"/>
      <c r="B13"/>
    </row>
    <row r="14" spans="1:3" x14ac:dyDescent="0.25">
      <c r="A14"/>
      <c r="B14"/>
    </row>
    <row r="15" spans="1:3" x14ac:dyDescent="0.25">
      <c r="A15"/>
      <c r="B15"/>
    </row>
    <row r="16" spans="1:3" x14ac:dyDescent="0.25">
      <c r="A16"/>
      <c r="B16"/>
    </row>
    <row r="17" spans="1:2" x14ac:dyDescent="0.25">
      <c r="A17"/>
      <c r="B17"/>
    </row>
    <row r="18" spans="1:2" x14ac:dyDescent="0.25">
      <c r="A18"/>
      <c r="B18"/>
    </row>
    <row r="19" spans="1:2" x14ac:dyDescent="0.25">
      <c r="A19"/>
      <c r="B19"/>
    </row>
    <row r="20" spans="1:2" x14ac:dyDescent="0.25">
      <c r="A20"/>
      <c r="B20"/>
    </row>
    <row r="21" spans="1:2" x14ac:dyDescent="0.25">
      <c r="A21"/>
      <c r="B21"/>
    </row>
    <row r="22" spans="1:2" x14ac:dyDescent="0.25">
      <c r="A22"/>
      <c r="B22"/>
    </row>
    <row r="23" spans="1:2" x14ac:dyDescent="0.25">
      <c r="A23"/>
      <c r="B23"/>
    </row>
    <row r="24" spans="1:2" x14ac:dyDescent="0.25">
      <c r="A24"/>
      <c r="B24"/>
    </row>
    <row r="25" spans="1:2" x14ac:dyDescent="0.25">
      <c r="A25"/>
      <c r="B25"/>
    </row>
    <row r="26" spans="1:2" x14ac:dyDescent="0.25">
      <c r="A26"/>
      <c r="B26"/>
    </row>
    <row r="27" spans="1:2" x14ac:dyDescent="0.25">
      <c r="A27"/>
      <c r="B27"/>
    </row>
    <row r="28" spans="1:2" x14ac:dyDescent="0.25">
      <c r="A28"/>
      <c r="B28"/>
    </row>
    <row r="29" spans="1:2" x14ac:dyDescent="0.25">
      <c r="A29"/>
      <c r="B29"/>
    </row>
    <row r="30" spans="1:2" x14ac:dyDescent="0.25">
      <c r="A30"/>
      <c r="B30"/>
    </row>
    <row r="31" spans="1:2" x14ac:dyDescent="0.25">
      <c r="A31"/>
      <c r="B31"/>
    </row>
    <row r="32" spans="1:2" x14ac:dyDescent="0.25">
      <c r="A32"/>
      <c r="B32"/>
    </row>
    <row r="33" spans="1:2" x14ac:dyDescent="0.25">
      <c r="A33"/>
      <c r="B33"/>
    </row>
    <row r="34" spans="1:2" x14ac:dyDescent="0.25">
      <c r="A34"/>
      <c r="B34"/>
    </row>
    <row r="35" spans="1:2" x14ac:dyDescent="0.25">
      <c r="A35"/>
      <c r="B35"/>
    </row>
    <row r="36" spans="1:2" x14ac:dyDescent="0.25">
      <c r="A36"/>
      <c r="B36"/>
    </row>
    <row r="37" spans="1:2" x14ac:dyDescent="0.25">
      <c r="A37"/>
      <c r="B37"/>
    </row>
    <row r="38" spans="1:2" x14ac:dyDescent="0.25">
      <c r="A38"/>
      <c r="B38"/>
    </row>
    <row r="39" spans="1:2" x14ac:dyDescent="0.25">
      <c r="A39"/>
      <c r="B39"/>
    </row>
    <row r="40" spans="1:2" x14ac:dyDescent="0.25">
      <c r="A40"/>
      <c r="B40"/>
    </row>
    <row r="41" spans="1:2" x14ac:dyDescent="0.25">
      <c r="A41"/>
      <c r="B41"/>
    </row>
    <row r="42" spans="1:2" x14ac:dyDescent="0.25">
      <c r="A42"/>
      <c r="B42"/>
    </row>
    <row r="43" spans="1:2" x14ac:dyDescent="0.25">
      <c r="A43"/>
      <c r="B43"/>
    </row>
    <row r="44" spans="1:2" x14ac:dyDescent="0.25">
      <c r="A44"/>
      <c r="B44"/>
    </row>
    <row r="45" spans="1:2" x14ac:dyDescent="0.25">
      <c r="A45"/>
      <c r="B45"/>
    </row>
    <row r="46" spans="1:2" x14ac:dyDescent="0.25">
      <c r="A46"/>
      <c r="B46"/>
    </row>
    <row r="47" spans="1:2" x14ac:dyDescent="0.25">
      <c r="A47"/>
      <c r="B47"/>
    </row>
    <row r="48" spans="1:2"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sheetData>
  <dataConsolidate/>
  <dataValidations xWindow="58" yWindow="226" count="3">
    <dataValidation allowBlank="1" showInputMessage="1" showErrorMessage="1" promptTitle="Group Name" prompt="Enter the name of the group.  The group name must also be entered on the Groups worksheet." sqref="A2"/>
    <dataValidation allowBlank="1" showInputMessage="1" showErrorMessage="1" promptTitle="Vertex Name" prompt="Enter the name of a vertex to include in the group." sqref="B2"/>
    <dataValidation allowBlank="1" showInputMessage="1" promptTitle="Vertex ID" prompt="This is the value of the hidden ID cell in the Vertices worksheet.  It gets filled in by the items on the NodeXL, Analysis, Groups menu." sqref="C2"/>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X141"/>
  <sheetViews>
    <sheetView workbookViewId="0">
      <selection activeCell="A2" sqref="A2"/>
    </sheetView>
  </sheetViews>
  <sheetFormatPr defaultRowHeight="15" x14ac:dyDescent="0.25"/>
  <cols>
    <col min="1" max="1" width="43.140625" customWidth="1"/>
    <col min="2" max="2" width="13.8554687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x14ac:dyDescent="0.3">
      <c r="A1" s="13" t="s">
        <v>162</v>
      </c>
      <c r="B1" s="13" t="s">
        <v>17</v>
      </c>
      <c r="D1" t="s">
        <v>80</v>
      </c>
      <c r="E1" t="s">
        <v>81</v>
      </c>
      <c r="F1" s="36" t="s">
        <v>87</v>
      </c>
      <c r="G1" s="37" t="s">
        <v>88</v>
      </c>
      <c r="H1" s="36" t="s">
        <v>93</v>
      </c>
      <c r="I1" s="37" t="s">
        <v>94</v>
      </c>
      <c r="J1" s="36" t="s">
        <v>99</v>
      </c>
      <c r="K1" s="37" t="s">
        <v>100</v>
      </c>
      <c r="L1" s="36" t="s">
        <v>105</v>
      </c>
      <c r="M1" s="37" t="s">
        <v>106</v>
      </c>
      <c r="N1" s="36" t="s">
        <v>111</v>
      </c>
      <c r="O1" s="37" t="s">
        <v>112</v>
      </c>
      <c r="P1" s="37" t="s">
        <v>138</v>
      </c>
      <c r="Q1" s="37" t="s">
        <v>139</v>
      </c>
      <c r="R1" s="36" t="s">
        <v>117</v>
      </c>
      <c r="S1" s="36" t="s">
        <v>118</v>
      </c>
      <c r="T1" s="36" t="s">
        <v>123</v>
      </c>
      <c r="U1" s="37" t="s">
        <v>124</v>
      </c>
      <c r="W1" t="s">
        <v>128</v>
      </c>
      <c r="X1" t="s">
        <v>17</v>
      </c>
    </row>
    <row r="2" spans="1:24" ht="15.75" thickTop="1" x14ac:dyDescent="0.25">
      <c r="A2" s="35"/>
      <c r="B2" s="35"/>
      <c r="D2" s="32">
        <f>MIN(Vertices[Degree])</f>
        <v>0</v>
      </c>
      <c r="E2" s="3">
        <f>COUNTIF(Vertices[Degree], "&gt;= " &amp; D2) - COUNTIF(Vertices[Degree], "&gt;=" &amp; D3)</f>
        <v>0</v>
      </c>
      <c r="F2" s="38">
        <f>MIN(Vertices[In-Degree])</f>
        <v>0</v>
      </c>
      <c r="G2" s="39">
        <f>COUNTIF(Vertices[In-Degree], "&gt;= " &amp; F2) - COUNTIF(Vertices[In-Degree], "&gt;=" &amp; F3)</f>
        <v>0</v>
      </c>
      <c r="H2" s="38">
        <f>MIN(Vertices[Out-Degree])</f>
        <v>0</v>
      </c>
      <c r="I2" s="39">
        <f>COUNTIF(Vertices[Out-Degree], "&gt;= " &amp; H2) - COUNTIF(Vertices[Out-Degree], "&gt;=" &amp; H3)</f>
        <v>0</v>
      </c>
      <c r="J2" s="38">
        <f>MIN(Vertices[Betweenness Centrality])</f>
        <v>0</v>
      </c>
      <c r="K2" s="39">
        <f>COUNTIF(Vertices[Betweenness Centrality], "&gt;= " &amp; J2) - COUNTIF(Vertices[Betweenness Centrality], "&gt;=" &amp; J3)</f>
        <v>0</v>
      </c>
      <c r="L2" s="38">
        <f>MIN(Vertices[Closeness Centrality])</f>
        <v>0</v>
      </c>
      <c r="M2" s="39">
        <f>COUNTIF(Vertices[Closeness Centrality], "&gt;= " &amp; L2) - COUNTIF(Vertices[Closeness Centrality], "&gt;=" &amp; L3)</f>
        <v>0</v>
      </c>
      <c r="N2" s="38">
        <f>MIN(Vertices[Eigenvector Centrality])</f>
        <v>0</v>
      </c>
      <c r="O2" s="39">
        <f>COUNTIF(Vertices[Eigenvector Centrality], "&gt;= " &amp; N2) - COUNTIF(Vertices[Eigenvector Centrality], "&gt;=" &amp; N3)</f>
        <v>0</v>
      </c>
      <c r="P2" s="38">
        <f>MIN(Vertices[PageRank])</f>
        <v>0</v>
      </c>
      <c r="Q2" s="39">
        <f>COUNTIF(Vertices[PageRank], "&gt;= " &amp; P2) - COUNTIF(Vertices[PageRank], "&gt;=" &amp; P3)</f>
        <v>0</v>
      </c>
      <c r="R2" s="38">
        <f>MIN(Vertices[Clustering Coefficient])</f>
        <v>0</v>
      </c>
      <c r="S2" s="44">
        <f>COUNTIF(Vertices[Clustering Coefficient], "&gt;= " &amp; R2) - COUNTIF(Vertices[Clustering Coefficient], "&gt;=" &amp; R3)</f>
        <v>0</v>
      </c>
      <c r="T2" s="38">
        <f ca="1">MIN(INDIRECT(DynamicFilterSourceColumnRange))</f>
        <v>0</v>
      </c>
      <c r="U2" s="39">
        <f t="shared" ref="U2:U45" ca="1" si="0">COUNTIF(INDIRECT(DynamicFilterSourceColumnRange), "&gt;= " &amp; T2) - COUNTIF(INDIRECT(DynamicFilterSourceColumnRange), "&gt;=" &amp; T3)</f>
        <v>45</v>
      </c>
      <c r="W2" t="s">
        <v>125</v>
      </c>
      <c r="X2">
        <f>ROWS(HistogramBins[Degree Bin]) - 1</f>
        <v>43</v>
      </c>
    </row>
    <row r="3" spans="1:24" x14ac:dyDescent="0.25">
      <c r="A3" s="35"/>
      <c r="B3" s="35"/>
      <c r="D3" s="33">
        <f t="shared" ref="D3:D44" si="1">D2+($D$45-$D$2)/BinDivisor</f>
        <v>0</v>
      </c>
      <c r="E3" s="3">
        <f>COUNTIF(Vertices[Degree], "&gt;= " &amp; D3) - COUNTIF(Vertices[Degree], "&gt;=" &amp; D4)</f>
        <v>0</v>
      </c>
      <c r="F3" s="40">
        <f t="shared" ref="F3:F44" si="2">F2+($F$45-$F$2)/BinDivisor</f>
        <v>0</v>
      </c>
      <c r="G3" s="41">
        <f>COUNTIF(Vertices[In-Degree], "&gt;= " &amp; F3) - COUNTIF(Vertices[In-Degree], "&gt;=" &amp; F4)</f>
        <v>0</v>
      </c>
      <c r="H3" s="40">
        <f t="shared" ref="H3:H44" si="3">H2+($H$45-$H$2)/BinDivisor</f>
        <v>0</v>
      </c>
      <c r="I3" s="41">
        <f>COUNTIF(Vertices[Out-Degree], "&gt;= " &amp; H3) - COUNTIF(Vertices[Out-Degree], "&gt;=" &amp; H4)</f>
        <v>0</v>
      </c>
      <c r="J3" s="40">
        <f t="shared" ref="J3:J44" si="4">J2+($J$45-$J$2)/BinDivisor</f>
        <v>0</v>
      </c>
      <c r="K3" s="41">
        <f>COUNTIF(Vertices[Betweenness Centrality], "&gt;= " &amp; J3) - COUNTIF(Vertices[Betweenness Centrality], "&gt;=" &amp; J4)</f>
        <v>0</v>
      </c>
      <c r="L3" s="40">
        <f t="shared" ref="L3:L44" si="5">L2+($L$45-$L$2)/BinDivisor</f>
        <v>0</v>
      </c>
      <c r="M3" s="41">
        <f>COUNTIF(Vertices[Closeness Centrality], "&gt;= " &amp; L3) - COUNTIF(Vertices[Closeness Centrality], "&gt;=" &amp; L4)</f>
        <v>0</v>
      </c>
      <c r="N3" s="40">
        <f t="shared" ref="N3:N44" si="6">N2+($N$45-$N$2)/BinDivisor</f>
        <v>0</v>
      </c>
      <c r="O3" s="41">
        <f>COUNTIF(Vertices[Eigenvector Centrality], "&gt;= " &amp; N3) - COUNTIF(Vertices[Eigenvector Centrality], "&gt;=" &amp; N4)</f>
        <v>0</v>
      </c>
      <c r="P3" s="40">
        <f t="shared" ref="P3:P44" si="7">P2+($P$45-$P$2)/BinDivisor</f>
        <v>0</v>
      </c>
      <c r="Q3" s="41">
        <f>COUNTIF(Vertices[PageRank], "&gt;= " &amp; P3) - COUNTIF(Vertices[PageRank], "&gt;=" &amp; P4)</f>
        <v>0</v>
      </c>
      <c r="R3" s="40">
        <f t="shared" ref="R3:R44" si="8">R2+($R$45-$R$2)/BinDivisor</f>
        <v>0</v>
      </c>
      <c r="S3" s="45">
        <f>COUNTIF(Vertices[Clustering Coefficient], "&gt;= " &amp; R3) - COUNTIF(Vertices[Clustering Coefficient], "&gt;=" &amp; R4)</f>
        <v>0</v>
      </c>
      <c r="T3" s="40">
        <f t="shared" ref="T3:T44" ca="1" si="9">T2+($T$45-$T$2)/BinDivisor</f>
        <v>10978.418604651162</v>
      </c>
      <c r="U3" s="41">
        <f t="shared" ca="1" si="0"/>
        <v>8</v>
      </c>
      <c r="W3" t="s">
        <v>126</v>
      </c>
      <c r="X3" t="s">
        <v>86</v>
      </c>
    </row>
    <row r="4" spans="1:24" x14ac:dyDescent="0.25">
      <c r="A4" s="35"/>
      <c r="B4" s="35"/>
      <c r="D4" s="33">
        <f t="shared" si="1"/>
        <v>0</v>
      </c>
      <c r="E4" s="3">
        <f>COUNTIF(Vertices[Degree], "&gt;= " &amp; D4) - COUNTIF(Vertices[Degree], "&gt;=" &amp; D5)</f>
        <v>0</v>
      </c>
      <c r="F4" s="38">
        <f t="shared" si="2"/>
        <v>0</v>
      </c>
      <c r="G4" s="39">
        <f>COUNTIF(Vertices[In-Degree], "&gt;= " &amp; F4) - COUNTIF(Vertices[In-Degree], "&gt;=" &amp; F5)</f>
        <v>0</v>
      </c>
      <c r="H4" s="38">
        <f t="shared" si="3"/>
        <v>0</v>
      </c>
      <c r="I4" s="39">
        <f>COUNTIF(Vertices[Out-Degree], "&gt;= " &amp; H4) - COUNTIF(Vertices[Out-Degree], "&gt;=" &amp; H5)</f>
        <v>0</v>
      </c>
      <c r="J4" s="38">
        <f t="shared" si="4"/>
        <v>0</v>
      </c>
      <c r="K4" s="39">
        <f>COUNTIF(Vertices[Betweenness Centrality], "&gt;= " &amp; J4) - COUNTIF(Vertices[Betweenness Centrality], "&gt;=" &amp; J5)</f>
        <v>0</v>
      </c>
      <c r="L4" s="38">
        <f t="shared" si="5"/>
        <v>0</v>
      </c>
      <c r="M4" s="39">
        <f>COUNTIF(Vertices[Closeness Centrality], "&gt;= " &amp; L4) - COUNTIF(Vertices[Closeness Centrality], "&gt;=" &amp; L5)</f>
        <v>0</v>
      </c>
      <c r="N4" s="38">
        <f t="shared" si="6"/>
        <v>0</v>
      </c>
      <c r="O4" s="39">
        <f>COUNTIF(Vertices[Eigenvector Centrality], "&gt;= " &amp; N4) - COUNTIF(Vertices[Eigenvector Centrality], "&gt;=" &amp; N5)</f>
        <v>0</v>
      </c>
      <c r="P4" s="38">
        <f t="shared" si="7"/>
        <v>0</v>
      </c>
      <c r="Q4" s="39">
        <f>COUNTIF(Vertices[PageRank], "&gt;= " &amp; P4) - COUNTIF(Vertices[PageRank], "&gt;=" &amp; P5)</f>
        <v>0</v>
      </c>
      <c r="R4" s="38">
        <f t="shared" si="8"/>
        <v>0</v>
      </c>
      <c r="S4" s="44">
        <f>COUNTIF(Vertices[Clustering Coefficient], "&gt;= " &amp; R4) - COUNTIF(Vertices[Clustering Coefficient], "&gt;=" &amp; R5)</f>
        <v>0</v>
      </c>
      <c r="T4" s="38">
        <f t="shared" ca="1" si="9"/>
        <v>21956.837209302324</v>
      </c>
      <c r="U4" s="39">
        <f t="shared" ca="1" si="0"/>
        <v>3</v>
      </c>
      <c r="W4" s="12" t="s">
        <v>127</v>
      </c>
      <c r="X4" s="12" t="s">
        <v>317</v>
      </c>
    </row>
    <row r="5" spans="1:24" x14ac:dyDescent="0.25">
      <c r="A5" s="35"/>
      <c r="B5" s="35"/>
      <c r="D5" s="33">
        <f t="shared" si="1"/>
        <v>0</v>
      </c>
      <c r="E5" s="3">
        <f>COUNTIF(Vertices[Degree], "&gt;= " &amp; D5) - COUNTIF(Vertices[Degree], "&gt;=" &amp; D6)</f>
        <v>0</v>
      </c>
      <c r="F5" s="40">
        <f t="shared" si="2"/>
        <v>0</v>
      </c>
      <c r="G5" s="41">
        <f>COUNTIF(Vertices[In-Degree], "&gt;= " &amp; F5) - COUNTIF(Vertices[In-Degree], "&gt;=" &amp; F6)</f>
        <v>0</v>
      </c>
      <c r="H5" s="40">
        <f t="shared" si="3"/>
        <v>0</v>
      </c>
      <c r="I5" s="41">
        <f>COUNTIF(Vertices[Out-Degree], "&gt;= " &amp; H5) - COUNTIF(Vertices[Out-Degree], "&gt;=" &amp; H6)</f>
        <v>0</v>
      </c>
      <c r="J5" s="40">
        <f t="shared" si="4"/>
        <v>0</v>
      </c>
      <c r="K5" s="41">
        <f>COUNTIF(Vertices[Betweenness Centrality], "&gt;= " &amp; J5) - COUNTIF(Vertices[Betweenness Centrality], "&gt;=" &amp; J6)</f>
        <v>0</v>
      </c>
      <c r="L5" s="40">
        <f t="shared" si="5"/>
        <v>0</v>
      </c>
      <c r="M5" s="41">
        <f>COUNTIF(Vertices[Closeness Centrality], "&gt;= " &amp; L5) - COUNTIF(Vertices[Closeness Centrality], "&gt;=" &amp; L6)</f>
        <v>0</v>
      </c>
      <c r="N5" s="40">
        <f t="shared" si="6"/>
        <v>0</v>
      </c>
      <c r="O5" s="41">
        <f>COUNTIF(Vertices[Eigenvector Centrality], "&gt;= " &amp; N5) - COUNTIF(Vertices[Eigenvector Centrality], "&gt;=" &amp; N6)</f>
        <v>0</v>
      </c>
      <c r="P5" s="40">
        <f t="shared" si="7"/>
        <v>0</v>
      </c>
      <c r="Q5" s="41">
        <f>COUNTIF(Vertices[PageRank], "&gt;= " &amp; P5) - COUNTIF(Vertices[PageRank], "&gt;=" &amp; P6)</f>
        <v>0</v>
      </c>
      <c r="R5" s="40">
        <f t="shared" si="8"/>
        <v>0</v>
      </c>
      <c r="S5" s="45">
        <f>COUNTIF(Vertices[Clustering Coefficient], "&gt;= " &amp; R5) - COUNTIF(Vertices[Clustering Coefficient], "&gt;=" &amp; R6)</f>
        <v>0</v>
      </c>
      <c r="T5" s="40">
        <f t="shared" ca="1" si="9"/>
        <v>32935.255813953489</v>
      </c>
      <c r="U5" s="41">
        <f t="shared" ca="1" si="0"/>
        <v>1</v>
      </c>
    </row>
    <row r="6" spans="1:24" x14ac:dyDescent="0.25">
      <c r="A6" s="35"/>
      <c r="B6" s="35"/>
      <c r="D6" s="33">
        <f t="shared" si="1"/>
        <v>0</v>
      </c>
      <c r="E6" s="3">
        <f>COUNTIF(Vertices[Degree], "&gt;= " &amp; D6) - COUNTIF(Vertices[Degree], "&gt;=" &amp; D7)</f>
        <v>0</v>
      </c>
      <c r="F6" s="38">
        <f t="shared" si="2"/>
        <v>0</v>
      </c>
      <c r="G6" s="39">
        <f>COUNTIF(Vertices[In-Degree], "&gt;= " &amp; F6) - COUNTIF(Vertices[In-Degree], "&gt;=" &amp; F7)</f>
        <v>0</v>
      </c>
      <c r="H6" s="38">
        <f t="shared" si="3"/>
        <v>0</v>
      </c>
      <c r="I6" s="39">
        <f>COUNTIF(Vertices[Out-Degree], "&gt;= " &amp; H6) - COUNTIF(Vertices[Out-Degree], "&gt;=" &amp; H7)</f>
        <v>0</v>
      </c>
      <c r="J6" s="38">
        <f t="shared" si="4"/>
        <v>0</v>
      </c>
      <c r="K6" s="39">
        <f>COUNTIF(Vertices[Betweenness Centrality], "&gt;= " &amp; J6) - COUNTIF(Vertices[Betweenness Centrality], "&gt;=" &amp; J7)</f>
        <v>0</v>
      </c>
      <c r="L6" s="38">
        <f t="shared" si="5"/>
        <v>0</v>
      </c>
      <c r="M6" s="39">
        <f>COUNTIF(Vertices[Closeness Centrality], "&gt;= " &amp; L6) - COUNTIF(Vertices[Closeness Centrality], "&gt;=" &amp; L7)</f>
        <v>0</v>
      </c>
      <c r="N6" s="38">
        <f t="shared" si="6"/>
        <v>0</v>
      </c>
      <c r="O6" s="39">
        <f>COUNTIF(Vertices[Eigenvector Centrality], "&gt;= " &amp; N6) - COUNTIF(Vertices[Eigenvector Centrality], "&gt;=" &amp; N7)</f>
        <v>0</v>
      </c>
      <c r="P6" s="38">
        <f t="shared" si="7"/>
        <v>0</v>
      </c>
      <c r="Q6" s="39">
        <f>COUNTIF(Vertices[PageRank], "&gt;= " &amp; P6) - COUNTIF(Vertices[PageRank], "&gt;=" &amp; P7)</f>
        <v>0</v>
      </c>
      <c r="R6" s="38">
        <f t="shared" si="8"/>
        <v>0</v>
      </c>
      <c r="S6" s="44">
        <f>COUNTIF(Vertices[Clustering Coefficient], "&gt;= " &amp; R6) - COUNTIF(Vertices[Clustering Coefficient], "&gt;=" &amp; R7)</f>
        <v>0</v>
      </c>
      <c r="T6" s="38">
        <f t="shared" ca="1" si="9"/>
        <v>43913.674418604649</v>
      </c>
      <c r="U6" s="39">
        <f t="shared" ca="1" si="0"/>
        <v>1</v>
      </c>
    </row>
    <row r="7" spans="1:24" x14ac:dyDescent="0.25">
      <c r="A7" s="35"/>
      <c r="B7" s="35"/>
      <c r="D7" s="33">
        <f t="shared" si="1"/>
        <v>0</v>
      </c>
      <c r="E7" s="3">
        <f>COUNTIF(Vertices[Degree], "&gt;= " &amp; D7) - COUNTIF(Vertices[Degree], "&gt;=" &amp; D8)</f>
        <v>0</v>
      </c>
      <c r="F7" s="40">
        <f t="shared" si="2"/>
        <v>0</v>
      </c>
      <c r="G7" s="41">
        <f>COUNTIF(Vertices[In-Degree], "&gt;= " &amp; F7) - COUNTIF(Vertices[In-Degree], "&gt;=" &amp; F8)</f>
        <v>0</v>
      </c>
      <c r="H7" s="40">
        <f t="shared" si="3"/>
        <v>0</v>
      </c>
      <c r="I7" s="41">
        <f>COUNTIF(Vertices[Out-Degree], "&gt;= " &amp; H7) - COUNTIF(Vertices[Out-Degree], "&gt;=" &amp; H8)</f>
        <v>0</v>
      </c>
      <c r="J7" s="40">
        <f t="shared" si="4"/>
        <v>0</v>
      </c>
      <c r="K7" s="41">
        <f>COUNTIF(Vertices[Betweenness Centrality], "&gt;= " &amp; J7) - COUNTIF(Vertices[Betweenness Centrality], "&gt;=" &amp; J8)</f>
        <v>0</v>
      </c>
      <c r="L7" s="40">
        <f t="shared" si="5"/>
        <v>0</v>
      </c>
      <c r="M7" s="41">
        <f>COUNTIF(Vertices[Closeness Centrality], "&gt;= " &amp; L7) - COUNTIF(Vertices[Closeness Centrality], "&gt;=" &amp; L8)</f>
        <v>0</v>
      </c>
      <c r="N7" s="40">
        <f t="shared" si="6"/>
        <v>0</v>
      </c>
      <c r="O7" s="41">
        <f>COUNTIF(Vertices[Eigenvector Centrality], "&gt;= " &amp; N7) - COUNTIF(Vertices[Eigenvector Centrality], "&gt;=" &amp; N8)</f>
        <v>0</v>
      </c>
      <c r="P7" s="40">
        <f t="shared" si="7"/>
        <v>0</v>
      </c>
      <c r="Q7" s="41">
        <f>COUNTIF(Vertices[PageRank], "&gt;= " &amp; P7) - COUNTIF(Vertices[PageRank], "&gt;=" &amp; P8)</f>
        <v>0</v>
      </c>
      <c r="R7" s="40">
        <f t="shared" si="8"/>
        <v>0</v>
      </c>
      <c r="S7" s="45">
        <f>COUNTIF(Vertices[Clustering Coefficient], "&gt;= " &amp; R7) - COUNTIF(Vertices[Clustering Coefficient], "&gt;=" &amp; R8)</f>
        <v>0</v>
      </c>
      <c r="T7" s="40">
        <f t="shared" ca="1" si="9"/>
        <v>54892.093023255809</v>
      </c>
      <c r="U7" s="41">
        <f t="shared" ca="1" si="0"/>
        <v>0</v>
      </c>
    </row>
    <row r="8" spans="1:24" x14ac:dyDescent="0.25">
      <c r="A8" s="35"/>
      <c r="B8" s="35"/>
      <c r="D8" s="33">
        <f t="shared" si="1"/>
        <v>0</v>
      </c>
      <c r="E8" s="3">
        <f>COUNTIF(Vertices[Degree], "&gt;= " &amp; D8) - COUNTIF(Vertices[Degree], "&gt;=" &amp; D9)</f>
        <v>0</v>
      </c>
      <c r="F8" s="38">
        <f t="shared" si="2"/>
        <v>0</v>
      </c>
      <c r="G8" s="39">
        <f>COUNTIF(Vertices[In-Degree], "&gt;= " &amp; F8) - COUNTIF(Vertices[In-Degree], "&gt;=" &amp; F9)</f>
        <v>0</v>
      </c>
      <c r="H8" s="38">
        <f t="shared" si="3"/>
        <v>0</v>
      </c>
      <c r="I8" s="39">
        <f>COUNTIF(Vertices[Out-Degree], "&gt;= " &amp; H8) - COUNTIF(Vertices[Out-Degree], "&gt;=" &amp; H9)</f>
        <v>0</v>
      </c>
      <c r="J8" s="38">
        <f t="shared" si="4"/>
        <v>0</v>
      </c>
      <c r="K8" s="39">
        <f>COUNTIF(Vertices[Betweenness Centrality], "&gt;= " &amp; J8) - COUNTIF(Vertices[Betweenness Centrality], "&gt;=" &amp; J9)</f>
        <v>0</v>
      </c>
      <c r="L8" s="38">
        <f t="shared" si="5"/>
        <v>0</v>
      </c>
      <c r="M8" s="39">
        <f>COUNTIF(Vertices[Closeness Centrality], "&gt;= " &amp; L8) - COUNTIF(Vertices[Closeness Centrality], "&gt;=" &amp; L9)</f>
        <v>0</v>
      </c>
      <c r="N8" s="38">
        <f t="shared" si="6"/>
        <v>0</v>
      </c>
      <c r="O8" s="39">
        <f>COUNTIF(Vertices[Eigenvector Centrality], "&gt;= " &amp; N8) - COUNTIF(Vertices[Eigenvector Centrality], "&gt;=" &amp; N9)</f>
        <v>0</v>
      </c>
      <c r="P8" s="38">
        <f t="shared" si="7"/>
        <v>0</v>
      </c>
      <c r="Q8" s="39">
        <f>COUNTIF(Vertices[PageRank], "&gt;= " &amp; P8) - COUNTIF(Vertices[PageRank], "&gt;=" &amp; P9)</f>
        <v>0</v>
      </c>
      <c r="R8" s="38">
        <f t="shared" si="8"/>
        <v>0</v>
      </c>
      <c r="S8" s="44">
        <f>COUNTIF(Vertices[Clustering Coefficient], "&gt;= " &amp; R8) - COUNTIF(Vertices[Clustering Coefficient], "&gt;=" &amp; R9)</f>
        <v>0</v>
      </c>
      <c r="T8" s="38">
        <f t="shared" ca="1" si="9"/>
        <v>65870.511627906977</v>
      </c>
      <c r="U8" s="39">
        <f t="shared" ca="1" si="0"/>
        <v>1</v>
      </c>
    </row>
    <row r="9" spans="1:24" x14ac:dyDescent="0.25">
      <c r="A9" s="35"/>
      <c r="B9" s="35"/>
      <c r="D9" s="33">
        <f t="shared" si="1"/>
        <v>0</v>
      </c>
      <c r="E9" s="3">
        <f>COUNTIF(Vertices[Degree], "&gt;= " &amp; D9) - COUNTIF(Vertices[Degree], "&gt;=" &amp; D10)</f>
        <v>0</v>
      </c>
      <c r="F9" s="40">
        <f t="shared" si="2"/>
        <v>0</v>
      </c>
      <c r="G9" s="41">
        <f>COUNTIF(Vertices[In-Degree], "&gt;= " &amp; F9) - COUNTIF(Vertices[In-Degree], "&gt;=" &amp; F10)</f>
        <v>0</v>
      </c>
      <c r="H9" s="40">
        <f t="shared" si="3"/>
        <v>0</v>
      </c>
      <c r="I9" s="41">
        <f>COUNTIF(Vertices[Out-Degree], "&gt;= " &amp; H9) - COUNTIF(Vertices[Out-Degree], "&gt;=" &amp; H10)</f>
        <v>0</v>
      </c>
      <c r="J9" s="40">
        <f t="shared" si="4"/>
        <v>0</v>
      </c>
      <c r="K9" s="41">
        <f>COUNTIF(Vertices[Betweenness Centrality], "&gt;= " &amp; J9) - COUNTIF(Vertices[Betweenness Centrality], "&gt;=" &amp; J10)</f>
        <v>0</v>
      </c>
      <c r="L9" s="40">
        <f t="shared" si="5"/>
        <v>0</v>
      </c>
      <c r="M9" s="41">
        <f>COUNTIF(Vertices[Closeness Centrality], "&gt;= " &amp; L9) - COUNTIF(Vertices[Closeness Centrality], "&gt;=" &amp; L10)</f>
        <v>0</v>
      </c>
      <c r="N9" s="40">
        <f t="shared" si="6"/>
        <v>0</v>
      </c>
      <c r="O9" s="41">
        <f>COUNTIF(Vertices[Eigenvector Centrality], "&gt;= " &amp; N9) - COUNTIF(Vertices[Eigenvector Centrality], "&gt;=" &amp; N10)</f>
        <v>0</v>
      </c>
      <c r="P9" s="40">
        <f t="shared" si="7"/>
        <v>0</v>
      </c>
      <c r="Q9" s="41">
        <f>COUNTIF(Vertices[PageRank], "&gt;= " &amp; P9) - COUNTIF(Vertices[PageRank], "&gt;=" &amp; P10)</f>
        <v>0</v>
      </c>
      <c r="R9" s="40">
        <f t="shared" si="8"/>
        <v>0</v>
      </c>
      <c r="S9" s="45">
        <f>COUNTIF(Vertices[Clustering Coefficient], "&gt;= " &amp; R9) - COUNTIF(Vertices[Clustering Coefficient], "&gt;=" &amp; R10)</f>
        <v>0</v>
      </c>
      <c r="T9" s="40">
        <f t="shared" ca="1" si="9"/>
        <v>76848.930232558138</v>
      </c>
      <c r="U9" s="41">
        <f t="shared" ca="1" si="0"/>
        <v>2</v>
      </c>
    </row>
    <row r="10" spans="1:24" x14ac:dyDescent="0.25">
      <c r="A10" s="35"/>
      <c r="B10" s="35"/>
      <c r="D10" s="33">
        <f t="shared" si="1"/>
        <v>0</v>
      </c>
      <c r="E10" s="3">
        <f>COUNTIF(Vertices[Degree], "&gt;= " &amp; D10) - COUNTIF(Vertices[Degree], "&gt;=" &amp; D11)</f>
        <v>0</v>
      </c>
      <c r="F10" s="38">
        <f t="shared" si="2"/>
        <v>0</v>
      </c>
      <c r="G10" s="39">
        <f>COUNTIF(Vertices[In-Degree], "&gt;= " &amp; F10) - COUNTIF(Vertices[In-Degree], "&gt;=" &amp; F11)</f>
        <v>0</v>
      </c>
      <c r="H10" s="38">
        <f t="shared" si="3"/>
        <v>0</v>
      </c>
      <c r="I10" s="39">
        <f>COUNTIF(Vertices[Out-Degree], "&gt;= " &amp; H10) - COUNTIF(Vertices[Out-Degree], "&gt;=" &amp; H11)</f>
        <v>0</v>
      </c>
      <c r="J10" s="38">
        <f t="shared" si="4"/>
        <v>0</v>
      </c>
      <c r="K10" s="39">
        <f>COUNTIF(Vertices[Betweenness Centrality], "&gt;= " &amp; J10) - COUNTIF(Vertices[Betweenness Centrality], "&gt;=" &amp; J11)</f>
        <v>0</v>
      </c>
      <c r="L10" s="38">
        <f t="shared" si="5"/>
        <v>0</v>
      </c>
      <c r="M10" s="39">
        <f>COUNTIF(Vertices[Closeness Centrality], "&gt;= " &amp; L10) - COUNTIF(Vertices[Closeness Centrality], "&gt;=" &amp; L11)</f>
        <v>0</v>
      </c>
      <c r="N10" s="38">
        <f t="shared" si="6"/>
        <v>0</v>
      </c>
      <c r="O10" s="39">
        <f>COUNTIF(Vertices[Eigenvector Centrality], "&gt;= " &amp; N10) - COUNTIF(Vertices[Eigenvector Centrality], "&gt;=" &amp; N11)</f>
        <v>0</v>
      </c>
      <c r="P10" s="38">
        <f t="shared" si="7"/>
        <v>0</v>
      </c>
      <c r="Q10" s="39">
        <f>COUNTIF(Vertices[PageRank], "&gt;= " &amp; P10) - COUNTIF(Vertices[PageRank], "&gt;=" &amp; P11)</f>
        <v>0</v>
      </c>
      <c r="R10" s="38">
        <f t="shared" si="8"/>
        <v>0</v>
      </c>
      <c r="S10" s="44">
        <f>COUNTIF(Vertices[Clustering Coefficient], "&gt;= " &amp; R10) - COUNTIF(Vertices[Clustering Coefficient], "&gt;=" &amp; R11)</f>
        <v>0</v>
      </c>
      <c r="T10" s="38">
        <f t="shared" ca="1" si="9"/>
        <v>87827.348837209298</v>
      </c>
      <c r="U10" s="39">
        <f t="shared" ca="1" si="0"/>
        <v>0</v>
      </c>
    </row>
    <row r="11" spans="1:24" x14ac:dyDescent="0.25">
      <c r="A11" s="35"/>
      <c r="B11" s="35"/>
      <c r="D11" s="33">
        <f t="shared" si="1"/>
        <v>0</v>
      </c>
      <c r="E11" s="3">
        <f>COUNTIF(Vertices[Degree], "&gt;= " &amp; D11) - COUNTIF(Vertices[Degree], "&gt;=" &amp; D12)</f>
        <v>0</v>
      </c>
      <c r="F11" s="40">
        <f t="shared" si="2"/>
        <v>0</v>
      </c>
      <c r="G11" s="41">
        <f>COUNTIF(Vertices[In-Degree], "&gt;= " &amp; F11) - COUNTIF(Vertices[In-Degree], "&gt;=" &amp; F12)</f>
        <v>0</v>
      </c>
      <c r="H11" s="40">
        <f t="shared" si="3"/>
        <v>0</v>
      </c>
      <c r="I11" s="41">
        <f>COUNTIF(Vertices[Out-Degree], "&gt;= " &amp; H11) - COUNTIF(Vertices[Out-Degree], "&gt;=" &amp; H12)</f>
        <v>0</v>
      </c>
      <c r="J11" s="40">
        <f t="shared" si="4"/>
        <v>0</v>
      </c>
      <c r="K11" s="41">
        <f>COUNTIF(Vertices[Betweenness Centrality], "&gt;= " &amp; J11) - COUNTIF(Vertices[Betweenness Centrality], "&gt;=" &amp; J12)</f>
        <v>0</v>
      </c>
      <c r="L11" s="40">
        <f t="shared" si="5"/>
        <v>0</v>
      </c>
      <c r="M11" s="41">
        <f>COUNTIF(Vertices[Closeness Centrality], "&gt;= " &amp; L11) - COUNTIF(Vertices[Closeness Centrality], "&gt;=" &amp; L12)</f>
        <v>0</v>
      </c>
      <c r="N11" s="40">
        <f t="shared" si="6"/>
        <v>0</v>
      </c>
      <c r="O11" s="41">
        <f>COUNTIF(Vertices[Eigenvector Centrality], "&gt;= " &amp; N11) - COUNTIF(Vertices[Eigenvector Centrality], "&gt;=" &amp; N12)</f>
        <v>0</v>
      </c>
      <c r="P11" s="40">
        <f t="shared" si="7"/>
        <v>0</v>
      </c>
      <c r="Q11" s="41">
        <f>COUNTIF(Vertices[PageRank], "&gt;= " &amp; P11) - COUNTIF(Vertices[PageRank], "&gt;=" &amp; P12)</f>
        <v>0</v>
      </c>
      <c r="R11" s="40">
        <f t="shared" si="8"/>
        <v>0</v>
      </c>
      <c r="S11" s="45">
        <f>COUNTIF(Vertices[Clustering Coefficient], "&gt;= " &amp; R11) - COUNTIF(Vertices[Clustering Coefficient], "&gt;=" &amp; R12)</f>
        <v>0</v>
      </c>
      <c r="T11" s="40">
        <f t="shared" ca="1" si="9"/>
        <v>98805.767441860458</v>
      </c>
      <c r="U11" s="41">
        <f t="shared" ca="1" si="0"/>
        <v>0</v>
      </c>
    </row>
    <row r="12" spans="1:24" x14ac:dyDescent="0.25">
      <c r="A12" s="35"/>
      <c r="B12" s="35"/>
      <c r="D12" s="33">
        <f t="shared" si="1"/>
        <v>0</v>
      </c>
      <c r="E12" s="3">
        <f>COUNTIF(Vertices[Degree], "&gt;= " &amp; D12) - COUNTIF(Vertices[Degree], "&gt;=" &amp; D13)</f>
        <v>0</v>
      </c>
      <c r="F12" s="38">
        <f t="shared" si="2"/>
        <v>0</v>
      </c>
      <c r="G12" s="39">
        <f>COUNTIF(Vertices[In-Degree], "&gt;= " &amp; F12) - COUNTIF(Vertices[In-Degree], "&gt;=" &amp; F13)</f>
        <v>0</v>
      </c>
      <c r="H12" s="38">
        <f t="shared" si="3"/>
        <v>0</v>
      </c>
      <c r="I12" s="39">
        <f>COUNTIF(Vertices[Out-Degree], "&gt;= " &amp; H12) - COUNTIF(Vertices[Out-Degree], "&gt;=" &amp; H13)</f>
        <v>0</v>
      </c>
      <c r="J12" s="38">
        <f t="shared" si="4"/>
        <v>0</v>
      </c>
      <c r="K12" s="39">
        <f>COUNTIF(Vertices[Betweenness Centrality], "&gt;= " &amp; J12) - COUNTIF(Vertices[Betweenness Centrality], "&gt;=" &amp; J13)</f>
        <v>0</v>
      </c>
      <c r="L12" s="38">
        <f t="shared" si="5"/>
        <v>0</v>
      </c>
      <c r="M12" s="39">
        <f>COUNTIF(Vertices[Closeness Centrality], "&gt;= " &amp; L12) - COUNTIF(Vertices[Closeness Centrality], "&gt;=" &amp; L13)</f>
        <v>0</v>
      </c>
      <c r="N12" s="38">
        <f t="shared" si="6"/>
        <v>0</v>
      </c>
      <c r="O12" s="39">
        <f>COUNTIF(Vertices[Eigenvector Centrality], "&gt;= " &amp; N12) - COUNTIF(Vertices[Eigenvector Centrality], "&gt;=" &amp; N13)</f>
        <v>0</v>
      </c>
      <c r="P12" s="38">
        <f t="shared" si="7"/>
        <v>0</v>
      </c>
      <c r="Q12" s="39">
        <f>COUNTIF(Vertices[PageRank], "&gt;= " &amp; P12) - COUNTIF(Vertices[PageRank], "&gt;=" &amp; P13)</f>
        <v>0</v>
      </c>
      <c r="R12" s="38">
        <f t="shared" si="8"/>
        <v>0</v>
      </c>
      <c r="S12" s="44">
        <f>COUNTIF(Vertices[Clustering Coefficient], "&gt;= " &amp; R12) - COUNTIF(Vertices[Clustering Coefficient], "&gt;=" &amp; R13)</f>
        <v>0</v>
      </c>
      <c r="T12" s="38">
        <f t="shared" ca="1" si="9"/>
        <v>109784.18604651162</v>
      </c>
      <c r="U12" s="39">
        <f t="shared" ca="1" si="0"/>
        <v>0</v>
      </c>
    </row>
    <row r="13" spans="1:24" x14ac:dyDescent="0.25">
      <c r="A13" s="35"/>
      <c r="B13" s="35"/>
      <c r="D13" s="33">
        <f t="shared" si="1"/>
        <v>0</v>
      </c>
      <c r="E13" s="3">
        <f>COUNTIF(Vertices[Degree], "&gt;= " &amp; D13) - COUNTIF(Vertices[Degree], "&gt;=" &amp; D14)</f>
        <v>0</v>
      </c>
      <c r="F13" s="40">
        <f t="shared" si="2"/>
        <v>0</v>
      </c>
      <c r="G13" s="41">
        <f>COUNTIF(Vertices[In-Degree], "&gt;= " &amp; F13) - COUNTIF(Vertices[In-Degree], "&gt;=" &amp; F14)</f>
        <v>0</v>
      </c>
      <c r="H13" s="40">
        <f t="shared" si="3"/>
        <v>0</v>
      </c>
      <c r="I13" s="41">
        <f>COUNTIF(Vertices[Out-Degree], "&gt;= " &amp; H13) - COUNTIF(Vertices[Out-Degree], "&gt;=" &amp; H14)</f>
        <v>0</v>
      </c>
      <c r="J13" s="40">
        <f t="shared" si="4"/>
        <v>0</v>
      </c>
      <c r="K13" s="41">
        <f>COUNTIF(Vertices[Betweenness Centrality], "&gt;= " &amp; J13) - COUNTIF(Vertices[Betweenness Centrality], "&gt;=" &amp; J14)</f>
        <v>0</v>
      </c>
      <c r="L13" s="40">
        <f t="shared" si="5"/>
        <v>0</v>
      </c>
      <c r="M13" s="41">
        <f>COUNTIF(Vertices[Closeness Centrality], "&gt;= " &amp; L13) - COUNTIF(Vertices[Closeness Centrality], "&gt;=" &amp; L14)</f>
        <v>0</v>
      </c>
      <c r="N13" s="40">
        <f t="shared" si="6"/>
        <v>0</v>
      </c>
      <c r="O13" s="41">
        <f>COUNTIF(Vertices[Eigenvector Centrality], "&gt;= " &amp; N13) - COUNTIF(Vertices[Eigenvector Centrality], "&gt;=" &amp; N14)</f>
        <v>0</v>
      </c>
      <c r="P13" s="40">
        <f t="shared" si="7"/>
        <v>0</v>
      </c>
      <c r="Q13" s="41">
        <f>COUNTIF(Vertices[PageRank], "&gt;= " &amp; P13) - COUNTIF(Vertices[PageRank], "&gt;=" &amp; P14)</f>
        <v>0</v>
      </c>
      <c r="R13" s="40">
        <f t="shared" si="8"/>
        <v>0</v>
      </c>
      <c r="S13" s="45">
        <f>COUNTIF(Vertices[Clustering Coefficient], "&gt;= " &amp; R13) - COUNTIF(Vertices[Clustering Coefficient], "&gt;=" &amp; R14)</f>
        <v>0</v>
      </c>
      <c r="T13" s="40">
        <f t="shared" ca="1" si="9"/>
        <v>120762.60465116278</v>
      </c>
      <c r="U13" s="41">
        <f t="shared" ca="1" si="0"/>
        <v>0</v>
      </c>
    </row>
    <row r="14" spans="1:24" x14ac:dyDescent="0.25">
      <c r="A14" s="35"/>
      <c r="B14" s="35"/>
      <c r="D14" s="33">
        <f t="shared" si="1"/>
        <v>0</v>
      </c>
      <c r="E14" s="3">
        <f>COUNTIF(Vertices[Degree], "&gt;= " &amp; D14) - COUNTIF(Vertices[Degree], "&gt;=" &amp; D15)</f>
        <v>0</v>
      </c>
      <c r="F14" s="38">
        <f t="shared" si="2"/>
        <v>0</v>
      </c>
      <c r="G14" s="39">
        <f>COUNTIF(Vertices[In-Degree], "&gt;= " &amp; F14) - COUNTIF(Vertices[In-Degree], "&gt;=" &amp; F15)</f>
        <v>0</v>
      </c>
      <c r="H14" s="38">
        <f t="shared" si="3"/>
        <v>0</v>
      </c>
      <c r="I14" s="39">
        <f>COUNTIF(Vertices[Out-Degree], "&gt;= " &amp; H14) - COUNTIF(Vertices[Out-Degree], "&gt;=" &amp; H15)</f>
        <v>0</v>
      </c>
      <c r="J14" s="38">
        <f t="shared" si="4"/>
        <v>0</v>
      </c>
      <c r="K14" s="39">
        <f>COUNTIF(Vertices[Betweenness Centrality], "&gt;= " &amp; J14) - COUNTIF(Vertices[Betweenness Centrality], "&gt;=" &amp; J15)</f>
        <v>0</v>
      </c>
      <c r="L14" s="38">
        <f t="shared" si="5"/>
        <v>0</v>
      </c>
      <c r="M14" s="39">
        <f>COUNTIF(Vertices[Closeness Centrality], "&gt;= " &amp; L14) - COUNTIF(Vertices[Closeness Centrality], "&gt;=" &amp; L15)</f>
        <v>0</v>
      </c>
      <c r="N14" s="38">
        <f t="shared" si="6"/>
        <v>0</v>
      </c>
      <c r="O14" s="39">
        <f>COUNTIF(Vertices[Eigenvector Centrality], "&gt;= " &amp; N14) - COUNTIF(Vertices[Eigenvector Centrality], "&gt;=" &amp; N15)</f>
        <v>0</v>
      </c>
      <c r="P14" s="38">
        <f t="shared" si="7"/>
        <v>0</v>
      </c>
      <c r="Q14" s="39">
        <f>COUNTIF(Vertices[PageRank], "&gt;= " &amp; P14) - COUNTIF(Vertices[PageRank], "&gt;=" &amp; P15)</f>
        <v>0</v>
      </c>
      <c r="R14" s="38">
        <f t="shared" si="8"/>
        <v>0</v>
      </c>
      <c r="S14" s="44">
        <f>COUNTIF(Vertices[Clustering Coefficient], "&gt;= " &amp; R14) - COUNTIF(Vertices[Clustering Coefficient], "&gt;=" &amp; R15)</f>
        <v>0</v>
      </c>
      <c r="T14" s="38">
        <f t="shared" ca="1" si="9"/>
        <v>131741.02325581395</v>
      </c>
      <c r="U14" s="39">
        <f t="shared" ca="1" si="0"/>
        <v>0</v>
      </c>
    </row>
    <row r="15" spans="1:24" x14ac:dyDescent="0.25">
      <c r="A15" s="35"/>
      <c r="B15" s="35"/>
      <c r="D15" s="33">
        <f t="shared" si="1"/>
        <v>0</v>
      </c>
      <c r="E15" s="3">
        <f>COUNTIF(Vertices[Degree], "&gt;= " &amp; D15) - COUNTIF(Vertices[Degree], "&gt;=" &amp; D16)</f>
        <v>0</v>
      </c>
      <c r="F15" s="40">
        <f t="shared" si="2"/>
        <v>0</v>
      </c>
      <c r="G15" s="41">
        <f>COUNTIF(Vertices[In-Degree], "&gt;= " &amp; F15) - COUNTIF(Vertices[In-Degree], "&gt;=" &amp; F16)</f>
        <v>0</v>
      </c>
      <c r="H15" s="40">
        <f t="shared" si="3"/>
        <v>0</v>
      </c>
      <c r="I15" s="41">
        <f>COUNTIF(Vertices[Out-Degree], "&gt;= " &amp; H15) - COUNTIF(Vertices[Out-Degree], "&gt;=" &amp; H16)</f>
        <v>0</v>
      </c>
      <c r="J15" s="40">
        <f t="shared" si="4"/>
        <v>0</v>
      </c>
      <c r="K15" s="41">
        <f>COUNTIF(Vertices[Betweenness Centrality], "&gt;= " &amp; J15) - COUNTIF(Vertices[Betweenness Centrality], "&gt;=" &amp; J16)</f>
        <v>0</v>
      </c>
      <c r="L15" s="40">
        <f t="shared" si="5"/>
        <v>0</v>
      </c>
      <c r="M15" s="41">
        <f>COUNTIF(Vertices[Closeness Centrality], "&gt;= " &amp; L15) - COUNTIF(Vertices[Closeness Centrality], "&gt;=" &amp; L16)</f>
        <v>0</v>
      </c>
      <c r="N15" s="40">
        <f t="shared" si="6"/>
        <v>0</v>
      </c>
      <c r="O15" s="41">
        <f>COUNTIF(Vertices[Eigenvector Centrality], "&gt;= " &amp; N15) - COUNTIF(Vertices[Eigenvector Centrality], "&gt;=" &amp; N16)</f>
        <v>0</v>
      </c>
      <c r="P15" s="40">
        <f t="shared" si="7"/>
        <v>0</v>
      </c>
      <c r="Q15" s="41">
        <f>COUNTIF(Vertices[PageRank], "&gt;= " &amp; P15) - COUNTIF(Vertices[PageRank], "&gt;=" &amp; P16)</f>
        <v>0</v>
      </c>
      <c r="R15" s="40">
        <f t="shared" si="8"/>
        <v>0</v>
      </c>
      <c r="S15" s="45">
        <f>COUNTIF(Vertices[Clustering Coefficient], "&gt;= " &amp; R15) - COUNTIF(Vertices[Clustering Coefficient], "&gt;=" &amp; R16)</f>
        <v>0</v>
      </c>
      <c r="T15" s="40">
        <f t="shared" ca="1" si="9"/>
        <v>142719.44186046513</v>
      </c>
      <c r="U15" s="41">
        <f t="shared" ca="1" si="0"/>
        <v>1</v>
      </c>
    </row>
    <row r="16" spans="1:24" x14ac:dyDescent="0.25">
      <c r="A16" s="35"/>
      <c r="B16" s="35"/>
      <c r="D16" s="33">
        <f t="shared" si="1"/>
        <v>0</v>
      </c>
      <c r="E16" s="3">
        <f>COUNTIF(Vertices[Degree], "&gt;= " &amp; D16) - COUNTIF(Vertices[Degree], "&gt;=" &amp; D17)</f>
        <v>0</v>
      </c>
      <c r="F16" s="38">
        <f t="shared" si="2"/>
        <v>0</v>
      </c>
      <c r="G16" s="39">
        <f>COUNTIF(Vertices[In-Degree], "&gt;= " &amp; F16) - COUNTIF(Vertices[In-Degree], "&gt;=" &amp; F17)</f>
        <v>0</v>
      </c>
      <c r="H16" s="38">
        <f t="shared" si="3"/>
        <v>0</v>
      </c>
      <c r="I16" s="39">
        <f>COUNTIF(Vertices[Out-Degree], "&gt;= " &amp; H16) - COUNTIF(Vertices[Out-Degree], "&gt;=" &amp; H17)</f>
        <v>0</v>
      </c>
      <c r="J16" s="38">
        <f t="shared" si="4"/>
        <v>0</v>
      </c>
      <c r="K16" s="39">
        <f>COUNTIF(Vertices[Betweenness Centrality], "&gt;= " &amp; J16) - COUNTIF(Vertices[Betweenness Centrality], "&gt;=" &amp; J17)</f>
        <v>0</v>
      </c>
      <c r="L16" s="38">
        <f t="shared" si="5"/>
        <v>0</v>
      </c>
      <c r="M16" s="39">
        <f>COUNTIF(Vertices[Closeness Centrality], "&gt;= " &amp; L16) - COUNTIF(Vertices[Closeness Centrality], "&gt;=" &amp; L17)</f>
        <v>0</v>
      </c>
      <c r="N16" s="38">
        <f t="shared" si="6"/>
        <v>0</v>
      </c>
      <c r="O16" s="39">
        <f>COUNTIF(Vertices[Eigenvector Centrality], "&gt;= " &amp; N16) - COUNTIF(Vertices[Eigenvector Centrality], "&gt;=" &amp; N17)</f>
        <v>0</v>
      </c>
      <c r="P16" s="38">
        <f t="shared" si="7"/>
        <v>0</v>
      </c>
      <c r="Q16" s="39">
        <f>COUNTIF(Vertices[PageRank], "&gt;= " &amp; P16) - COUNTIF(Vertices[PageRank], "&gt;=" &amp; P17)</f>
        <v>0</v>
      </c>
      <c r="R16" s="38">
        <f t="shared" si="8"/>
        <v>0</v>
      </c>
      <c r="S16" s="44">
        <f>COUNTIF(Vertices[Clustering Coefficient], "&gt;= " &amp; R16) - COUNTIF(Vertices[Clustering Coefficient], "&gt;=" &amp; R17)</f>
        <v>0</v>
      </c>
      <c r="T16" s="38">
        <f t="shared" ca="1" si="9"/>
        <v>153697.8604651163</v>
      </c>
      <c r="U16" s="39">
        <f t="shared" ca="1" si="0"/>
        <v>0</v>
      </c>
    </row>
    <row r="17" spans="1:21" x14ac:dyDescent="0.25">
      <c r="A17" s="35"/>
      <c r="B17" s="35"/>
      <c r="D17" s="33">
        <f t="shared" si="1"/>
        <v>0</v>
      </c>
      <c r="E17" s="3">
        <f>COUNTIF(Vertices[Degree], "&gt;= " &amp; D17) - COUNTIF(Vertices[Degree], "&gt;=" &amp; D18)</f>
        <v>0</v>
      </c>
      <c r="F17" s="40">
        <f t="shared" si="2"/>
        <v>0</v>
      </c>
      <c r="G17" s="41">
        <f>COUNTIF(Vertices[In-Degree], "&gt;= " &amp; F17) - COUNTIF(Vertices[In-Degree], "&gt;=" &amp; F18)</f>
        <v>0</v>
      </c>
      <c r="H17" s="40">
        <f t="shared" si="3"/>
        <v>0</v>
      </c>
      <c r="I17" s="41">
        <f>COUNTIF(Vertices[Out-Degree], "&gt;= " &amp; H17) - COUNTIF(Vertices[Out-Degree], "&gt;=" &amp; H18)</f>
        <v>0</v>
      </c>
      <c r="J17" s="40">
        <f t="shared" si="4"/>
        <v>0</v>
      </c>
      <c r="K17" s="41">
        <f>COUNTIF(Vertices[Betweenness Centrality], "&gt;= " &amp; J17) - COUNTIF(Vertices[Betweenness Centrality], "&gt;=" &amp; J18)</f>
        <v>0</v>
      </c>
      <c r="L17" s="40">
        <f t="shared" si="5"/>
        <v>0</v>
      </c>
      <c r="M17" s="41">
        <f>COUNTIF(Vertices[Closeness Centrality], "&gt;= " &amp; L17) - COUNTIF(Vertices[Closeness Centrality], "&gt;=" &amp; L18)</f>
        <v>0</v>
      </c>
      <c r="N17" s="40">
        <f t="shared" si="6"/>
        <v>0</v>
      </c>
      <c r="O17" s="41">
        <f>COUNTIF(Vertices[Eigenvector Centrality], "&gt;= " &amp; N17) - COUNTIF(Vertices[Eigenvector Centrality], "&gt;=" &amp; N18)</f>
        <v>0</v>
      </c>
      <c r="P17" s="40">
        <f t="shared" si="7"/>
        <v>0</v>
      </c>
      <c r="Q17" s="41">
        <f>COUNTIF(Vertices[PageRank], "&gt;= " &amp; P17) - COUNTIF(Vertices[PageRank], "&gt;=" &amp; P18)</f>
        <v>0</v>
      </c>
      <c r="R17" s="40">
        <f t="shared" si="8"/>
        <v>0</v>
      </c>
      <c r="S17" s="45">
        <f>COUNTIF(Vertices[Clustering Coefficient], "&gt;= " &amp; R17) - COUNTIF(Vertices[Clustering Coefficient], "&gt;=" &amp; R18)</f>
        <v>0</v>
      </c>
      <c r="T17" s="40">
        <f t="shared" ca="1" si="9"/>
        <v>164676.27906976748</v>
      </c>
      <c r="U17" s="41">
        <f t="shared" ca="1" si="0"/>
        <v>1</v>
      </c>
    </row>
    <row r="18" spans="1:21" x14ac:dyDescent="0.25">
      <c r="A18" s="35"/>
      <c r="B18" s="35"/>
      <c r="D18" s="33">
        <f t="shared" si="1"/>
        <v>0</v>
      </c>
      <c r="E18" s="3">
        <f>COUNTIF(Vertices[Degree], "&gt;= " &amp; D18) - COUNTIF(Vertices[Degree], "&gt;=" &amp; D19)</f>
        <v>0</v>
      </c>
      <c r="F18" s="38">
        <f t="shared" si="2"/>
        <v>0</v>
      </c>
      <c r="G18" s="39">
        <f>COUNTIF(Vertices[In-Degree], "&gt;= " &amp; F18) - COUNTIF(Vertices[In-Degree], "&gt;=" &amp; F19)</f>
        <v>0</v>
      </c>
      <c r="H18" s="38">
        <f t="shared" si="3"/>
        <v>0</v>
      </c>
      <c r="I18" s="39">
        <f>COUNTIF(Vertices[Out-Degree], "&gt;= " &amp; H18) - COUNTIF(Vertices[Out-Degree], "&gt;=" &amp; H19)</f>
        <v>0</v>
      </c>
      <c r="J18" s="38">
        <f t="shared" si="4"/>
        <v>0</v>
      </c>
      <c r="K18" s="39">
        <f>COUNTIF(Vertices[Betweenness Centrality], "&gt;= " &amp; J18) - COUNTIF(Vertices[Betweenness Centrality], "&gt;=" &amp; J19)</f>
        <v>0</v>
      </c>
      <c r="L18" s="38">
        <f t="shared" si="5"/>
        <v>0</v>
      </c>
      <c r="M18" s="39">
        <f>COUNTIF(Vertices[Closeness Centrality], "&gt;= " &amp; L18) - COUNTIF(Vertices[Closeness Centrality], "&gt;=" &amp; L19)</f>
        <v>0</v>
      </c>
      <c r="N18" s="38">
        <f t="shared" si="6"/>
        <v>0</v>
      </c>
      <c r="O18" s="39">
        <f>COUNTIF(Vertices[Eigenvector Centrality], "&gt;= " &amp; N18) - COUNTIF(Vertices[Eigenvector Centrality], "&gt;=" &amp; N19)</f>
        <v>0</v>
      </c>
      <c r="P18" s="38">
        <f t="shared" si="7"/>
        <v>0</v>
      </c>
      <c r="Q18" s="39">
        <f>COUNTIF(Vertices[PageRank], "&gt;= " &amp; P18) - COUNTIF(Vertices[PageRank], "&gt;=" &amp; P19)</f>
        <v>0</v>
      </c>
      <c r="R18" s="38">
        <f t="shared" si="8"/>
        <v>0</v>
      </c>
      <c r="S18" s="44">
        <f>COUNTIF(Vertices[Clustering Coefficient], "&gt;= " &amp; R18) - COUNTIF(Vertices[Clustering Coefficient], "&gt;=" &amp; R19)</f>
        <v>0</v>
      </c>
      <c r="T18" s="38">
        <f t="shared" ca="1" si="9"/>
        <v>175654.69767441865</v>
      </c>
      <c r="U18" s="39">
        <f t="shared" ca="1" si="0"/>
        <v>0</v>
      </c>
    </row>
    <row r="19" spans="1:21" x14ac:dyDescent="0.25">
      <c r="A19" s="35"/>
      <c r="B19" s="35"/>
      <c r="D19" s="33">
        <f t="shared" si="1"/>
        <v>0</v>
      </c>
      <c r="E19" s="3">
        <f>COUNTIF(Vertices[Degree], "&gt;= " &amp; D19) - COUNTIF(Vertices[Degree], "&gt;=" &amp; D20)</f>
        <v>0</v>
      </c>
      <c r="F19" s="40">
        <f t="shared" si="2"/>
        <v>0</v>
      </c>
      <c r="G19" s="41">
        <f>COUNTIF(Vertices[In-Degree], "&gt;= " &amp; F19) - COUNTIF(Vertices[In-Degree], "&gt;=" &amp; F20)</f>
        <v>0</v>
      </c>
      <c r="H19" s="40">
        <f t="shared" si="3"/>
        <v>0</v>
      </c>
      <c r="I19" s="41">
        <f>COUNTIF(Vertices[Out-Degree], "&gt;= " &amp; H19) - COUNTIF(Vertices[Out-Degree], "&gt;=" &amp; H20)</f>
        <v>0</v>
      </c>
      <c r="J19" s="40">
        <f t="shared" si="4"/>
        <v>0</v>
      </c>
      <c r="K19" s="41">
        <f>COUNTIF(Vertices[Betweenness Centrality], "&gt;= " &amp; J19) - COUNTIF(Vertices[Betweenness Centrality], "&gt;=" &amp; J20)</f>
        <v>0</v>
      </c>
      <c r="L19" s="40">
        <f t="shared" si="5"/>
        <v>0</v>
      </c>
      <c r="M19" s="41">
        <f>COUNTIF(Vertices[Closeness Centrality], "&gt;= " &amp; L19) - COUNTIF(Vertices[Closeness Centrality], "&gt;=" &amp; L20)</f>
        <v>0</v>
      </c>
      <c r="N19" s="40">
        <f t="shared" si="6"/>
        <v>0</v>
      </c>
      <c r="O19" s="41">
        <f>COUNTIF(Vertices[Eigenvector Centrality], "&gt;= " &amp; N19) - COUNTIF(Vertices[Eigenvector Centrality], "&gt;=" &amp; N20)</f>
        <v>0</v>
      </c>
      <c r="P19" s="40">
        <f t="shared" si="7"/>
        <v>0</v>
      </c>
      <c r="Q19" s="41">
        <f>COUNTIF(Vertices[PageRank], "&gt;= " &amp; P19) - COUNTIF(Vertices[PageRank], "&gt;=" &amp; P20)</f>
        <v>0</v>
      </c>
      <c r="R19" s="40">
        <f t="shared" si="8"/>
        <v>0</v>
      </c>
      <c r="S19" s="45">
        <f>COUNTIF(Vertices[Clustering Coefficient], "&gt;= " &amp; R19) - COUNTIF(Vertices[Clustering Coefficient], "&gt;=" &amp; R20)</f>
        <v>0</v>
      </c>
      <c r="T19" s="40">
        <f t="shared" ca="1" si="9"/>
        <v>186633.11627906983</v>
      </c>
      <c r="U19" s="41">
        <f t="shared" ca="1" si="0"/>
        <v>0</v>
      </c>
    </row>
    <row r="20" spans="1:21" x14ac:dyDescent="0.25">
      <c r="A20" s="35"/>
      <c r="B20" s="35"/>
      <c r="D20" s="33">
        <f t="shared" si="1"/>
        <v>0</v>
      </c>
      <c r="E20" s="3">
        <f>COUNTIF(Vertices[Degree], "&gt;= " &amp; D20) - COUNTIF(Vertices[Degree], "&gt;=" &amp; D21)</f>
        <v>0</v>
      </c>
      <c r="F20" s="38">
        <f t="shared" si="2"/>
        <v>0</v>
      </c>
      <c r="G20" s="39">
        <f>COUNTIF(Vertices[In-Degree], "&gt;= " &amp; F20) - COUNTIF(Vertices[In-Degree], "&gt;=" &amp; F21)</f>
        <v>0</v>
      </c>
      <c r="H20" s="38">
        <f t="shared" si="3"/>
        <v>0</v>
      </c>
      <c r="I20" s="39">
        <f>COUNTIF(Vertices[Out-Degree], "&gt;= " &amp; H20) - COUNTIF(Vertices[Out-Degree], "&gt;=" &amp; H21)</f>
        <v>0</v>
      </c>
      <c r="J20" s="38">
        <f t="shared" si="4"/>
        <v>0</v>
      </c>
      <c r="K20" s="39">
        <f>COUNTIF(Vertices[Betweenness Centrality], "&gt;= " &amp; J20) - COUNTIF(Vertices[Betweenness Centrality], "&gt;=" &amp; J21)</f>
        <v>0</v>
      </c>
      <c r="L20" s="38">
        <f t="shared" si="5"/>
        <v>0</v>
      </c>
      <c r="M20" s="39">
        <f>COUNTIF(Vertices[Closeness Centrality], "&gt;= " &amp; L20) - COUNTIF(Vertices[Closeness Centrality], "&gt;=" &amp; L21)</f>
        <v>0</v>
      </c>
      <c r="N20" s="38">
        <f t="shared" si="6"/>
        <v>0</v>
      </c>
      <c r="O20" s="39">
        <f>COUNTIF(Vertices[Eigenvector Centrality], "&gt;= " &amp; N20) - COUNTIF(Vertices[Eigenvector Centrality], "&gt;=" &amp; N21)</f>
        <v>0</v>
      </c>
      <c r="P20" s="38">
        <f t="shared" si="7"/>
        <v>0</v>
      </c>
      <c r="Q20" s="39">
        <f>COUNTIF(Vertices[PageRank], "&gt;= " &amp; P20) - COUNTIF(Vertices[PageRank], "&gt;=" &amp; P21)</f>
        <v>0</v>
      </c>
      <c r="R20" s="38">
        <f t="shared" si="8"/>
        <v>0</v>
      </c>
      <c r="S20" s="44">
        <f>COUNTIF(Vertices[Clustering Coefficient], "&gt;= " &amp; R20) - COUNTIF(Vertices[Clustering Coefficient], "&gt;=" &amp; R21)</f>
        <v>0</v>
      </c>
      <c r="T20" s="38">
        <f t="shared" ca="1" si="9"/>
        <v>197611.534883721</v>
      </c>
      <c r="U20" s="39">
        <f t="shared" ca="1" si="0"/>
        <v>0</v>
      </c>
    </row>
    <row r="21" spans="1:21" x14ac:dyDescent="0.25">
      <c r="A21" s="35"/>
      <c r="B21" s="35"/>
      <c r="D21" s="33">
        <f t="shared" si="1"/>
        <v>0</v>
      </c>
      <c r="E21" s="3">
        <f>COUNTIF(Vertices[Degree], "&gt;= " &amp; D21) - COUNTIF(Vertices[Degree], "&gt;=" &amp; D22)</f>
        <v>0</v>
      </c>
      <c r="F21" s="40">
        <f t="shared" si="2"/>
        <v>0</v>
      </c>
      <c r="G21" s="41">
        <f>COUNTIF(Vertices[In-Degree], "&gt;= " &amp; F21) - COUNTIF(Vertices[In-Degree], "&gt;=" &amp; F22)</f>
        <v>0</v>
      </c>
      <c r="H21" s="40">
        <f t="shared" si="3"/>
        <v>0</v>
      </c>
      <c r="I21" s="41">
        <f>COUNTIF(Vertices[Out-Degree], "&gt;= " &amp; H21) - COUNTIF(Vertices[Out-Degree], "&gt;=" &amp; H22)</f>
        <v>0</v>
      </c>
      <c r="J21" s="40">
        <f t="shared" si="4"/>
        <v>0</v>
      </c>
      <c r="K21" s="41">
        <f>COUNTIF(Vertices[Betweenness Centrality], "&gt;= " &amp; J21) - COUNTIF(Vertices[Betweenness Centrality], "&gt;=" &amp; J22)</f>
        <v>0</v>
      </c>
      <c r="L21" s="40">
        <f t="shared" si="5"/>
        <v>0</v>
      </c>
      <c r="M21" s="41">
        <f>COUNTIF(Vertices[Closeness Centrality], "&gt;= " &amp; L21) - COUNTIF(Vertices[Closeness Centrality], "&gt;=" &amp; L22)</f>
        <v>0</v>
      </c>
      <c r="N21" s="40">
        <f t="shared" si="6"/>
        <v>0</v>
      </c>
      <c r="O21" s="41">
        <f>COUNTIF(Vertices[Eigenvector Centrality], "&gt;= " &amp; N21) - COUNTIF(Vertices[Eigenvector Centrality], "&gt;=" &amp; N22)</f>
        <v>0</v>
      </c>
      <c r="P21" s="40">
        <f t="shared" si="7"/>
        <v>0</v>
      </c>
      <c r="Q21" s="41">
        <f>COUNTIF(Vertices[PageRank], "&gt;= " &amp; P21) - COUNTIF(Vertices[PageRank], "&gt;=" &amp; P22)</f>
        <v>0</v>
      </c>
      <c r="R21" s="40">
        <f t="shared" si="8"/>
        <v>0</v>
      </c>
      <c r="S21" s="45">
        <f>COUNTIF(Vertices[Clustering Coefficient], "&gt;= " &amp; R21) - COUNTIF(Vertices[Clustering Coefficient], "&gt;=" &amp; R22)</f>
        <v>0</v>
      </c>
      <c r="T21" s="40">
        <f t="shared" ca="1" si="9"/>
        <v>208589.95348837218</v>
      </c>
      <c r="U21" s="41">
        <f t="shared" ca="1" si="0"/>
        <v>0</v>
      </c>
    </row>
    <row r="22" spans="1:21" x14ac:dyDescent="0.25">
      <c r="A22" s="35"/>
      <c r="B22" s="35"/>
      <c r="D22" s="33">
        <f t="shared" si="1"/>
        <v>0</v>
      </c>
      <c r="E22" s="3">
        <f>COUNTIF(Vertices[Degree], "&gt;= " &amp; D22) - COUNTIF(Vertices[Degree], "&gt;=" &amp; D23)</f>
        <v>0</v>
      </c>
      <c r="F22" s="38">
        <f t="shared" si="2"/>
        <v>0</v>
      </c>
      <c r="G22" s="39">
        <f>COUNTIF(Vertices[In-Degree], "&gt;= " &amp; F22) - COUNTIF(Vertices[In-Degree], "&gt;=" &amp; F23)</f>
        <v>0</v>
      </c>
      <c r="H22" s="38">
        <f t="shared" si="3"/>
        <v>0</v>
      </c>
      <c r="I22" s="39">
        <f>COUNTIF(Vertices[Out-Degree], "&gt;= " &amp; H22) - COUNTIF(Vertices[Out-Degree], "&gt;=" &amp; H23)</f>
        <v>0</v>
      </c>
      <c r="J22" s="38">
        <f t="shared" si="4"/>
        <v>0</v>
      </c>
      <c r="K22" s="39">
        <f>COUNTIF(Vertices[Betweenness Centrality], "&gt;= " &amp; J22) - COUNTIF(Vertices[Betweenness Centrality], "&gt;=" &amp; J23)</f>
        <v>0</v>
      </c>
      <c r="L22" s="38">
        <f t="shared" si="5"/>
        <v>0</v>
      </c>
      <c r="M22" s="39">
        <f>COUNTIF(Vertices[Closeness Centrality], "&gt;= " &amp; L22) - COUNTIF(Vertices[Closeness Centrality], "&gt;=" &amp; L23)</f>
        <v>0</v>
      </c>
      <c r="N22" s="38">
        <f t="shared" si="6"/>
        <v>0</v>
      </c>
      <c r="O22" s="39">
        <f>COUNTIF(Vertices[Eigenvector Centrality], "&gt;= " &amp; N22) - COUNTIF(Vertices[Eigenvector Centrality], "&gt;=" &amp; N23)</f>
        <v>0</v>
      </c>
      <c r="P22" s="38">
        <f t="shared" si="7"/>
        <v>0</v>
      </c>
      <c r="Q22" s="39">
        <f>COUNTIF(Vertices[PageRank], "&gt;= " &amp; P22) - COUNTIF(Vertices[PageRank], "&gt;=" &amp; P23)</f>
        <v>0</v>
      </c>
      <c r="R22" s="38">
        <f t="shared" si="8"/>
        <v>0</v>
      </c>
      <c r="S22" s="44">
        <f>COUNTIF(Vertices[Clustering Coefficient], "&gt;= " &amp; R22) - COUNTIF(Vertices[Clustering Coefficient], "&gt;=" &amp; R23)</f>
        <v>0</v>
      </c>
      <c r="T22" s="38">
        <f t="shared" ca="1" si="9"/>
        <v>219568.37209302335</v>
      </c>
      <c r="U22" s="39">
        <f t="shared" ca="1" si="0"/>
        <v>0</v>
      </c>
    </row>
    <row r="23" spans="1:21" x14ac:dyDescent="0.25">
      <c r="A23" s="35"/>
      <c r="B23" s="35"/>
      <c r="D23" s="33">
        <f t="shared" si="1"/>
        <v>0</v>
      </c>
      <c r="E23" s="3">
        <f>COUNTIF(Vertices[Degree], "&gt;= " &amp; D23) - COUNTIF(Vertices[Degree], "&gt;=" &amp; D24)</f>
        <v>0</v>
      </c>
      <c r="F23" s="40">
        <f t="shared" si="2"/>
        <v>0</v>
      </c>
      <c r="G23" s="41">
        <f>COUNTIF(Vertices[In-Degree], "&gt;= " &amp; F23) - COUNTIF(Vertices[In-Degree], "&gt;=" &amp; F24)</f>
        <v>0</v>
      </c>
      <c r="H23" s="40">
        <f t="shared" si="3"/>
        <v>0</v>
      </c>
      <c r="I23" s="41">
        <f>COUNTIF(Vertices[Out-Degree], "&gt;= " &amp; H23) - COUNTIF(Vertices[Out-Degree], "&gt;=" &amp; H24)</f>
        <v>0</v>
      </c>
      <c r="J23" s="40">
        <f t="shared" si="4"/>
        <v>0</v>
      </c>
      <c r="K23" s="41">
        <f>COUNTIF(Vertices[Betweenness Centrality], "&gt;= " &amp; J23) - COUNTIF(Vertices[Betweenness Centrality], "&gt;=" &amp; J24)</f>
        <v>0</v>
      </c>
      <c r="L23" s="40">
        <f t="shared" si="5"/>
        <v>0</v>
      </c>
      <c r="M23" s="41">
        <f>COUNTIF(Vertices[Closeness Centrality], "&gt;= " &amp; L23) - COUNTIF(Vertices[Closeness Centrality], "&gt;=" &amp; L24)</f>
        <v>0</v>
      </c>
      <c r="N23" s="40">
        <f t="shared" si="6"/>
        <v>0</v>
      </c>
      <c r="O23" s="41">
        <f>COUNTIF(Vertices[Eigenvector Centrality], "&gt;= " &amp; N23) - COUNTIF(Vertices[Eigenvector Centrality], "&gt;=" &amp; N24)</f>
        <v>0</v>
      </c>
      <c r="P23" s="40">
        <f t="shared" si="7"/>
        <v>0</v>
      </c>
      <c r="Q23" s="41">
        <f>COUNTIF(Vertices[PageRank], "&gt;= " &amp; P23) - COUNTIF(Vertices[PageRank], "&gt;=" &amp; P24)</f>
        <v>0</v>
      </c>
      <c r="R23" s="40">
        <f t="shared" si="8"/>
        <v>0</v>
      </c>
      <c r="S23" s="45">
        <f>COUNTIF(Vertices[Clustering Coefficient], "&gt;= " &amp; R23) - COUNTIF(Vertices[Clustering Coefficient], "&gt;=" &amp; R24)</f>
        <v>0</v>
      </c>
      <c r="T23" s="40">
        <f t="shared" ca="1" si="9"/>
        <v>230546.79069767453</v>
      </c>
      <c r="U23" s="41">
        <f t="shared" ca="1" si="0"/>
        <v>0</v>
      </c>
    </row>
    <row r="24" spans="1:21" x14ac:dyDescent="0.25">
      <c r="D24" s="33">
        <f t="shared" si="1"/>
        <v>0</v>
      </c>
      <c r="E24" s="3">
        <f>COUNTIF(Vertices[Degree], "&gt;= " &amp; D24) - COUNTIF(Vertices[Degree], "&gt;=" &amp; D25)</f>
        <v>0</v>
      </c>
      <c r="F24" s="38">
        <f t="shared" si="2"/>
        <v>0</v>
      </c>
      <c r="G24" s="39">
        <f>COUNTIF(Vertices[In-Degree], "&gt;= " &amp; F24) - COUNTIF(Vertices[In-Degree], "&gt;=" &amp; F25)</f>
        <v>0</v>
      </c>
      <c r="H24" s="38">
        <f t="shared" si="3"/>
        <v>0</v>
      </c>
      <c r="I24" s="39">
        <f>COUNTIF(Vertices[Out-Degree], "&gt;= " &amp; H24) - COUNTIF(Vertices[Out-Degree], "&gt;=" &amp; H25)</f>
        <v>0</v>
      </c>
      <c r="J24" s="38">
        <f t="shared" si="4"/>
        <v>0</v>
      </c>
      <c r="K24" s="39">
        <f>COUNTIF(Vertices[Betweenness Centrality], "&gt;= " &amp; J24) - COUNTIF(Vertices[Betweenness Centrality], "&gt;=" &amp; J25)</f>
        <v>0</v>
      </c>
      <c r="L24" s="38">
        <f t="shared" si="5"/>
        <v>0</v>
      </c>
      <c r="M24" s="39">
        <f>COUNTIF(Vertices[Closeness Centrality], "&gt;= " &amp; L24) - COUNTIF(Vertices[Closeness Centrality], "&gt;=" &amp; L25)</f>
        <v>0</v>
      </c>
      <c r="N24" s="38">
        <f t="shared" si="6"/>
        <v>0</v>
      </c>
      <c r="O24" s="39">
        <f>COUNTIF(Vertices[Eigenvector Centrality], "&gt;= " &amp; N24) - COUNTIF(Vertices[Eigenvector Centrality], "&gt;=" &amp; N25)</f>
        <v>0</v>
      </c>
      <c r="P24" s="38">
        <f t="shared" si="7"/>
        <v>0</v>
      </c>
      <c r="Q24" s="39">
        <f>COUNTIF(Vertices[PageRank], "&gt;= " &amp; P24) - COUNTIF(Vertices[PageRank], "&gt;=" &amp; P25)</f>
        <v>0</v>
      </c>
      <c r="R24" s="38">
        <f t="shared" si="8"/>
        <v>0</v>
      </c>
      <c r="S24" s="44">
        <f>COUNTIF(Vertices[Clustering Coefficient], "&gt;= " &amp; R24) - COUNTIF(Vertices[Clustering Coefficient], "&gt;=" &amp; R25)</f>
        <v>0</v>
      </c>
      <c r="T24" s="38">
        <f t="shared" ca="1" si="9"/>
        <v>241525.2093023257</v>
      </c>
      <c r="U24" s="39">
        <f t="shared" ca="1" si="0"/>
        <v>0</v>
      </c>
    </row>
    <row r="25" spans="1:21" x14ac:dyDescent="0.25">
      <c r="D25" s="33">
        <f t="shared" si="1"/>
        <v>0</v>
      </c>
      <c r="E25" s="3">
        <f>COUNTIF(Vertices[Degree], "&gt;= " &amp; D25) - COUNTIF(Vertices[Degree], "&gt;=" &amp; D26)</f>
        <v>0</v>
      </c>
      <c r="F25" s="40">
        <f t="shared" si="2"/>
        <v>0</v>
      </c>
      <c r="G25" s="41">
        <f>COUNTIF(Vertices[In-Degree], "&gt;= " &amp; F25) - COUNTIF(Vertices[In-Degree], "&gt;=" &amp; F26)</f>
        <v>0</v>
      </c>
      <c r="H25" s="40">
        <f t="shared" si="3"/>
        <v>0</v>
      </c>
      <c r="I25" s="41">
        <f>COUNTIF(Vertices[Out-Degree], "&gt;= " &amp; H25) - COUNTIF(Vertices[Out-Degree], "&gt;=" &amp; H26)</f>
        <v>0</v>
      </c>
      <c r="J25" s="40">
        <f t="shared" si="4"/>
        <v>0</v>
      </c>
      <c r="K25" s="41">
        <f>COUNTIF(Vertices[Betweenness Centrality], "&gt;= " &amp; J25) - COUNTIF(Vertices[Betweenness Centrality], "&gt;=" &amp; J26)</f>
        <v>0</v>
      </c>
      <c r="L25" s="40">
        <f t="shared" si="5"/>
        <v>0</v>
      </c>
      <c r="M25" s="41">
        <f>COUNTIF(Vertices[Closeness Centrality], "&gt;= " &amp; L25) - COUNTIF(Vertices[Closeness Centrality], "&gt;=" &amp; L26)</f>
        <v>0</v>
      </c>
      <c r="N25" s="40">
        <f t="shared" si="6"/>
        <v>0</v>
      </c>
      <c r="O25" s="41">
        <f>COUNTIF(Vertices[Eigenvector Centrality], "&gt;= " &amp; N25) - COUNTIF(Vertices[Eigenvector Centrality], "&gt;=" &amp; N26)</f>
        <v>0</v>
      </c>
      <c r="P25" s="40">
        <f t="shared" si="7"/>
        <v>0</v>
      </c>
      <c r="Q25" s="41">
        <f>COUNTIF(Vertices[PageRank], "&gt;= " &amp; P25) - COUNTIF(Vertices[PageRank], "&gt;=" &amp; P26)</f>
        <v>0</v>
      </c>
      <c r="R25" s="40">
        <f t="shared" si="8"/>
        <v>0</v>
      </c>
      <c r="S25" s="45">
        <f>COUNTIF(Vertices[Clustering Coefficient], "&gt;= " &amp; R25) - COUNTIF(Vertices[Clustering Coefficient], "&gt;=" &amp; R26)</f>
        <v>0</v>
      </c>
      <c r="T25" s="40">
        <f t="shared" ca="1" si="9"/>
        <v>252503.62790697688</v>
      </c>
      <c r="U25" s="41">
        <f t="shared" ca="1" si="0"/>
        <v>0</v>
      </c>
    </row>
    <row r="26" spans="1:21" x14ac:dyDescent="0.25">
      <c r="A26" t="s">
        <v>163</v>
      </c>
      <c r="B26" t="s">
        <v>17</v>
      </c>
      <c r="D26" s="33">
        <f t="shared" si="1"/>
        <v>0</v>
      </c>
      <c r="E26" s="3">
        <f>COUNTIF(Vertices[Degree], "&gt;= " &amp; D26) - COUNTIF(Vertices[Degree], "&gt;=" &amp; D27)</f>
        <v>0</v>
      </c>
      <c r="F26" s="38">
        <f t="shared" si="2"/>
        <v>0</v>
      </c>
      <c r="G26" s="39">
        <f>COUNTIF(Vertices[In-Degree], "&gt;= " &amp; F26) - COUNTIF(Vertices[In-Degree], "&gt;=" &amp; F27)</f>
        <v>0</v>
      </c>
      <c r="H26" s="38">
        <f t="shared" si="3"/>
        <v>0</v>
      </c>
      <c r="I26" s="39">
        <f>COUNTIF(Vertices[Out-Degree], "&gt;= " &amp; H26) - COUNTIF(Vertices[Out-Degree], "&gt;=" &amp; H27)</f>
        <v>0</v>
      </c>
      <c r="J26" s="38">
        <f t="shared" si="4"/>
        <v>0</v>
      </c>
      <c r="K26" s="39">
        <f>COUNTIF(Vertices[Betweenness Centrality], "&gt;= " &amp; J26) - COUNTIF(Vertices[Betweenness Centrality], "&gt;=" &amp; J27)</f>
        <v>0</v>
      </c>
      <c r="L26" s="38">
        <f t="shared" si="5"/>
        <v>0</v>
      </c>
      <c r="M26" s="39">
        <f>COUNTIF(Vertices[Closeness Centrality], "&gt;= " &amp; L26) - COUNTIF(Vertices[Closeness Centrality], "&gt;=" &amp; L27)</f>
        <v>0</v>
      </c>
      <c r="N26" s="38">
        <f t="shared" si="6"/>
        <v>0</v>
      </c>
      <c r="O26" s="39">
        <f>COUNTIF(Vertices[Eigenvector Centrality], "&gt;= " &amp; N26) - COUNTIF(Vertices[Eigenvector Centrality], "&gt;=" &amp; N27)</f>
        <v>0</v>
      </c>
      <c r="P26" s="38">
        <f t="shared" si="7"/>
        <v>0</v>
      </c>
      <c r="Q26" s="39">
        <f>COUNTIF(Vertices[PageRank], "&gt;= " &amp; P26) - COUNTIF(Vertices[PageRank], "&gt;=" &amp; P27)</f>
        <v>0</v>
      </c>
      <c r="R26" s="38">
        <f t="shared" si="8"/>
        <v>0</v>
      </c>
      <c r="S26" s="44">
        <f>COUNTIF(Vertices[Clustering Coefficient], "&gt;= " &amp; R26) - COUNTIF(Vertices[Clustering Coefficient], "&gt;=" &amp; R27)</f>
        <v>0</v>
      </c>
      <c r="T26" s="38">
        <f t="shared" ca="1" si="9"/>
        <v>263482.04651162802</v>
      </c>
      <c r="U26" s="39">
        <f t="shared" ca="1" si="0"/>
        <v>0</v>
      </c>
    </row>
    <row r="27" spans="1:21" x14ac:dyDescent="0.25">
      <c r="A27" s="34"/>
      <c r="B27" s="34"/>
      <c r="D27" s="33">
        <f t="shared" si="1"/>
        <v>0</v>
      </c>
      <c r="E27" s="3">
        <f>COUNTIF(Vertices[Degree], "&gt;= " &amp; D27) - COUNTIF(Vertices[Degree], "&gt;=" &amp; D28)</f>
        <v>0</v>
      </c>
      <c r="F27" s="40">
        <f t="shared" si="2"/>
        <v>0</v>
      </c>
      <c r="G27" s="41">
        <f>COUNTIF(Vertices[In-Degree], "&gt;= " &amp; F27) - COUNTIF(Vertices[In-Degree], "&gt;=" &amp; F28)</f>
        <v>0</v>
      </c>
      <c r="H27" s="40">
        <f t="shared" si="3"/>
        <v>0</v>
      </c>
      <c r="I27" s="41">
        <f>COUNTIF(Vertices[Out-Degree], "&gt;= " &amp; H27) - COUNTIF(Vertices[Out-Degree], "&gt;=" &amp; H28)</f>
        <v>0</v>
      </c>
      <c r="J27" s="40">
        <f t="shared" si="4"/>
        <v>0</v>
      </c>
      <c r="K27" s="41">
        <f>COUNTIF(Vertices[Betweenness Centrality], "&gt;= " &amp; J27) - COUNTIF(Vertices[Betweenness Centrality], "&gt;=" &amp; J28)</f>
        <v>0</v>
      </c>
      <c r="L27" s="40">
        <f t="shared" si="5"/>
        <v>0</v>
      </c>
      <c r="M27" s="41">
        <f>COUNTIF(Vertices[Closeness Centrality], "&gt;= " &amp; L27) - COUNTIF(Vertices[Closeness Centrality], "&gt;=" &amp; L28)</f>
        <v>0</v>
      </c>
      <c r="N27" s="40">
        <f t="shared" si="6"/>
        <v>0</v>
      </c>
      <c r="O27" s="41">
        <f>COUNTIF(Vertices[Eigenvector Centrality], "&gt;= " &amp; N27) - COUNTIF(Vertices[Eigenvector Centrality], "&gt;=" &amp; N28)</f>
        <v>0</v>
      </c>
      <c r="P27" s="40">
        <f t="shared" si="7"/>
        <v>0</v>
      </c>
      <c r="Q27" s="41">
        <f>COUNTIF(Vertices[PageRank], "&gt;= " &amp; P27) - COUNTIF(Vertices[PageRank], "&gt;=" &amp; P28)</f>
        <v>0</v>
      </c>
      <c r="R27" s="40">
        <f t="shared" si="8"/>
        <v>0</v>
      </c>
      <c r="S27" s="45">
        <f>COUNTIF(Vertices[Clustering Coefficient], "&gt;= " &amp; R27) - COUNTIF(Vertices[Clustering Coefficient], "&gt;=" &amp; R28)</f>
        <v>0</v>
      </c>
      <c r="T27" s="40">
        <f t="shared" ca="1" si="9"/>
        <v>274460.4651162792</v>
      </c>
      <c r="U27" s="41">
        <f t="shared" ca="1" si="0"/>
        <v>0</v>
      </c>
    </row>
    <row r="28" spans="1:21" x14ac:dyDescent="0.25">
      <c r="A28" s="34"/>
      <c r="B28" s="34"/>
      <c r="D28" s="33">
        <f t="shared" si="1"/>
        <v>0</v>
      </c>
      <c r="E28" s="3">
        <f>COUNTIF(Vertices[Degree], "&gt;= " &amp; D28) - COUNTIF(Vertices[Degree], "&gt;=" &amp; D29)</f>
        <v>0</v>
      </c>
      <c r="F28" s="38">
        <f t="shared" si="2"/>
        <v>0</v>
      </c>
      <c r="G28" s="39">
        <f>COUNTIF(Vertices[In-Degree], "&gt;= " &amp; F28) - COUNTIF(Vertices[In-Degree], "&gt;=" &amp; F29)</f>
        <v>0</v>
      </c>
      <c r="H28" s="38">
        <f t="shared" si="3"/>
        <v>0</v>
      </c>
      <c r="I28" s="39">
        <f>COUNTIF(Vertices[Out-Degree], "&gt;= " &amp; H28) - COUNTIF(Vertices[Out-Degree], "&gt;=" &amp; H29)</f>
        <v>0</v>
      </c>
      <c r="J28" s="38">
        <f t="shared" si="4"/>
        <v>0</v>
      </c>
      <c r="K28" s="39">
        <f>COUNTIF(Vertices[Betweenness Centrality], "&gt;= " &amp; J28) - COUNTIF(Vertices[Betweenness Centrality], "&gt;=" &amp; J29)</f>
        <v>0</v>
      </c>
      <c r="L28" s="38">
        <f t="shared" si="5"/>
        <v>0</v>
      </c>
      <c r="M28" s="39">
        <f>COUNTIF(Vertices[Closeness Centrality], "&gt;= " &amp; L28) - COUNTIF(Vertices[Closeness Centrality], "&gt;=" &amp; L29)</f>
        <v>0</v>
      </c>
      <c r="N28" s="38">
        <f t="shared" si="6"/>
        <v>0</v>
      </c>
      <c r="O28" s="39">
        <f>COUNTIF(Vertices[Eigenvector Centrality], "&gt;= " &amp; N28) - COUNTIF(Vertices[Eigenvector Centrality], "&gt;=" &amp; N29)</f>
        <v>0</v>
      </c>
      <c r="P28" s="38">
        <f t="shared" si="7"/>
        <v>0</v>
      </c>
      <c r="Q28" s="39">
        <f>COUNTIF(Vertices[PageRank], "&gt;= " &amp; P28) - COUNTIF(Vertices[PageRank], "&gt;=" &amp; P29)</f>
        <v>0</v>
      </c>
      <c r="R28" s="38">
        <f t="shared" si="8"/>
        <v>0</v>
      </c>
      <c r="S28" s="44">
        <f>COUNTIF(Vertices[Clustering Coefficient], "&gt;= " &amp; R28) - COUNTIF(Vertices[Clustering Coefficient], "&gt;=" &amp; R29)</f>
        <v>0</v>
      </c>
      <c r="T28" s="38">
        <f t="shared" ca="1" si="9"/>
        <v>285438.88372093037</v>
      </c>
      <c r="U28" s="39">
        <f t="shared" ca="1" si="0"/>
        <v>0</v>
      </c>
    </row>
    <row r="29" spans="1:21" x14ac:dyDescent="0.25">
      <c r="A29" s="34"/>
      <c r="B29" s="34"/>
      <c r="D29" s="33">
        <f t="shared" si="1"/>
        <v>0</v>
      </c>
      <c r="E29" s="3">
        <f>COUNTIF(Vertices[Degree], "&gt;= " &amp; D29) - COUNTIF(Vertices[Degree], "&gt;=" &amp; D30)</f>
        <v>0</v>
      </c>
      <c r="F29" s="40">
        <f t="shared" si="2"/>
        <v>0</v>
      </c>
      <c r="G29" s="41">
        <f>COUNTIF(Vertices[In-Degree], "&gt;= " &amp; F29) - COUNTIF(Vertices[In-Degree], "&gt;=" &amp; F30)</f>
        <v>0</v>
      </c>
      <c r="H29" s="40">
        <f t="shared" si="3"/>
        <v>0</v>
      </c>
      <c r="I29" s="41">
        <f>COUNTIF(Vertices[Out-Degree], "&gt;= " &amp; H29) - COUNTIF(Vertices[Out-Degree], "&gt;=" &amp; H30)</f>
        <v>0</v>
      </c>
      <c r="J29" s="40">
        <f t="shared" si="4"/>
        <v>0</v>
      </c>
      <c r="K29" s="41">
        <f>COUNTIF(Vertices[Betweenness Centrality], "&gt;= " &amp; J29) - COUNTIF(Vertices[Betweenness Centrality], "&gt;=" &amp; J30)</f>
        <v>0</v>
      </c>
      <c r="L29" s="40">
        <f t="shared" si="5"/>
        <v>0</v>
      </c>
      <c r="M29" s="41">
        <f>COUNTIF(Vertices[Closeness Centrality], "&gt;= " &amp; L29) - COUNTIF(Vertices[Closeness Centrality], "&gt;=" &amp; L30)</f>
        <v>0</v>
      </c>
      <c r="N29" s="40">
        <f t="shared" si="6"/>
        <v>0</v>
      </c>
      <c r="O29" s="41">
        <f>COUNTIF(Vertices[Eigenvector Centrality], "&gt;= " &amp; N29) - COUNTIF(Vertices[Eigenvector Centrality], "&gt;=" &amp; N30)</f>
        <v>0</v>
      </c>
      <c r="P29" s="40">
        <f t="shared" si="7"/>
        <v>0</v>
      </c>
      <c r="Q29" s="41">
        <f>COUNTIF(Vertices[PageRank], "&gt;= " &amp; P29) - COUNTIF(Vertices[PageRank], "&gt;=" &amp; P30)</f>
        <v>0</v>
      </c>
      <c r="R29" s="40">
        <f t="shared" si="8"/>
        <v>0</v>
      </c>
      <c r="S29" s="45">
        <f>COUNTIF(Vertices[Clustering Coefficient], "&gt;= " &amp; R29) - COUNTIF(Vertices[Clustering Coefficient], "&gt;=" &amp; R30)</f>
        <v>0</v>
      </c>
      <c r="T29" s="40">
        <f t="shared" ca="1" si="9"/>
        <v>296417.30232558155</v>
      </c>
      <c r="U29" s="41">
        <f t="shared" ca="1" si="0"/>
        <v>0</v>
      </c>
    </row>
    <row r="30" spans="1:21" x14ac:dyDescent="0.25">
      <c r="D30" s="33">
        <f t="shared" si="1"/>
        <v>0</v>
      </c>
      <c r="E30" s="3">
        <f>COUNTIF(Vertices[Degree], "&gt;= " &amp; D30) - COUNTIF(Vertices[Degree], "&gt;=" &amp; D31)</f>
        <v>0</v>
      </c>
      <c r="F30" s="38">
        <f t="shared" si="2"/>
        <v>0</v>
      </c>
      <c r="G30" s="39">
        <f>COUNTIF(Vertices[In-Degree], "&gt;= " &amp; F30) - COUNTIF(Vertices[In-Degree], "&gt;=" &amp; F31)</f>
        <v>0</v>
      </c>
      <c r="H30" s="38">
        <f t="shared" si="3"/>
        <v>0</v>
      </c>
      <c r="I30" s="39">
        <f>COUNTIF(Vertices[Out-Degree], "&gt;= " &amp; H30) - COUNTIF(Vertices[Out-Degree], "&gt;=" &amp; H31)</f>
        <v>0</v>
      </c>
      <c r="J30" s="38">
        <f t="shared" si="4"/>
        <v>0</v>
      </c>
      <c r="K30" s="39">
        <f>COUNTIF(Vertices[Betweenness Centrality], "&gt;= " &amp; J30) - COUNTIF(Vertices[Betweenness Centrality], "&gt;=" &amp; J31)</f>
        <v>0</v>
      </c>
      <c r="L30" s="38">
        <f t="shared" si="5"/>
        <v>0</v>
      </c>
      <c r="M30" s="39">
        <f>COUNTIF(Vertices[Closeness Centrality], "&gt;= " &amp; L30) - COUNTIF(Vertices[Closeness Centrality], "&gt;=" &amp; L31)</f>
        <v>0</v>
      </c>
      <c r="N30" s="38">
        <f t="shared" si="6"/>
        <v>0</v>
      </c>
      <c r="O30" s="39">
        <f>COUNTIF(Vertices[Eigenvector Centrality], "&gt;= " &amp; N30) - COUNTIF(Vertices[Eigenvector Centrality], "&gt;=" &amp; N31)</f>
        <v>0</v>
      </c>
      <c r="P30" s="38">
        <f t="shared" si="7"/>
        <v>0</v>
      </c>
      <c r="Q30" s="39">
        <f>COUNTIF(Vertices[PageRank], "&gt;= " &amp; P30) - COUNTIF(Vertices[PageRank], "&gt;=" &amp; P31)</f>
        <v>0</v>
      </c>
      <c r="R30" s="38">
        <f t="shared" si="8"/>
        <v>0</v>
      </c>
      <c r="S30" s="44">
        <f>COUNTIF(Vertices[Clustering Coefficient], "&gt;= " &amp; R30) - COUNTIF(Vertices[Clustering Coefficient], "&gt;=" &amp; R31)</f>
        <v>0</v>
      </c>
      <c r="T30" s="38">
        <f t="shared" ca="1" si="9"/>
        <v>307395.72093023272</v>
      </c>
      <c r="U30" s="39">
        <f t="shared" ca="1" si="0"/>
        <v>0</v>
      </c>
    </row>
    <row r="31" spans="1:21" x14ac:dyDescent="0.25">
      <c r="D31" s="33">
        <f t="shared" si="1"/>
        <v>0</v>
      </c>
      <c r="E31" s="3">
        <f>COUNTIF(Vertices[Degree], "&gt;= " &amp; D31) - COUNTIF(Vertices[Degree], "&gt;=" &amp; D32)</f>
        <v>0</v>
      </c>
      <c r="F31" s="40">
        <f t="shared" si="2"/>
        <v>0</v>
      </c>
      <c r="G31" s="41">
        <f>COUNTIF(Vertices[In-Degree], "&gt;= " &amp; F31) - COUNTIF(Vertices[In-Degree], "&gt;=" &amp; F32)</f>
        <v>0</v>
      </c>
      <c r="H31" s="40">
        <f t="shared" si="3"/>
        <v>0</v>
      </c>
      <c r="I31" s="41">
        <f>COUNTIF(Vertices[Out-Degree], "&gt;= " &amp; H31) - COUNTIF(Vertices[Out-Degree], "&gt;=" &amp; H32)</f>
        <v>0</v>
      </c>
      <c r="J31" s="40">
        <f t="shared" si="4"/>
        <v>0</v>
      </c>
      <c r="K31" s="41">
        <f>COUNTIF(Vertices[Betweenness Centrality], "&gt;= " &amp; J31) - COUNTIF(Vertices[Betweenness Centrality], "&gt;=" &amp; J32)</f>
        <v>0</v>
      </c>
      <c r="L31" s="40">
        <f t="shared" si="5"/>
        <v>0</v>
      </c>
      <c r="M31" s="41">
        <f>COUNTIF(Vertices[Closeness Centrality], "&gt;= " &amp; L31) - COUNTIF(Vertices[Closeness Centrality], "&gt;=" &amp; L32)</f>
        <v>0</v>
      </c>
      <c r="N31" s="40">
        <f t="shared" si="6"/>
        <v>0</v>
      </c>
      <c r="O31" s="41">
        <f>COUNTIF(Vertices[Eigenvector Centrality], "&gt;= " &amp; N31) - COUNTIF(Vertices[Eigenvector Centrality], "&gt;=" &amp; N32)</f>
        <v>0</v>
      </c>
      <c r="P31" s="40">
        <f t="shared" si="7"/>
        <v>0</v>
      </c>
      <c r="Q31" s="41">
        <f>COUNTIF(Vertices[PageRank], "&gt;= " &amp; P31) - COUNTIF(Vertices[PageRank], "&gt;=" &amp; P32)</f>
        <v>0</v>
      </c>
      <c r="R31" s="40">
        <f t="shared" si="8"/>
        <v>0</v>
      </c>
      <c r="S31" s="45">
        <f>COUNTIF(Vertices[Clustering Coefficient], "&gt;= " &amp; R31) - COUNTIF(Vertices[Clustering Coefficient], "&gt;=" &amp; R32)</f>
        <v>0</v>
      </c>
      <c r="T31" s="40">
        <f t="shared" ca="1" si="9"/>
        <v>318374.1395348839</v>
      </c>
      <c r="U31" s="41">
        <f t="shared" ca="1" si="0"/>
        <v>0</v>
      </c>
    </row>
    <row r="32" spans="1:21" x14ac:dyDescent="0.25">
      <c r="D32" s="33">
        <f t="shared" si="1"/>
        <v>0</v>
      </c>
      <c r="E32" s="3">
        <f>COUNTIF(Vertices[Degree], "&gt;= " &amp; D32) - COUNTIF(Vertices[Degree], "&gt;=" &amp; D33)</f>
        <v>0</v>
      </c>
      <c r="F32" s="38">
        <f t="shared" si="2"/>
        <v>0</v>
      </c>
      <c r="G32" s="39">
        <f>COUNTIF(Vertices[In-Degree], "&gt;= " &amp; F32) - COUNTIF(Vertices[In-Degree], "&gt;=" &amp; F33)</f>
        <v>0</v>
      </c>
      <c r="H32" s="38">
        <f t="shared" si="3"/>
        <v>0</v>
      </c>
      <c r="I32" s="39">
        <f>COUNTIF(Vertices[Out-Degree], "&gt;= " &amp; H32) - COUNTIF(Vertices[Out-Degree], "&gt;=" &amp; H33)</f>
        <v>0</v>
      </c>
      <c r="J32" s="38">
        <f t="shared" si="4"/>
        <v>0</v>
      </c>
      <c r="K32" s="39">
        <f>COUNTIF(Vertices[Betweenness Centrality], "&gt;= " &amp; J32) - COUNTIF(Vertices[Betweenness Centrality], "&gt;=" &amp; J33)</f>
        <v>0</v>
      </c>
      <c r="L32" s="38">
        <f t="shared" si="5"/>
        <v>0</v>
      </c>
      <c r="M32" s="39">
        <f>COUNTIF(Vertices[Closeness Centrality], "&gt;= " &amp; L32) - COUNTIF(Vertices[Closeness Centrality], "&gt;=" &amp; L33)</f>
        <v>0</v>
      </c>
      <c r="N32" s="38">
        <f t="shared" si="6"/>
        <v>0</v>
      </c>
      <c r="O32" s="39">
        <f>COUNTIF(Vertices[Eigenvector Centrality], "&gt;= " &amp; N32) - COUNTIF(Vertices[Eigenvector Centrality], "&gt;=" &amp; N33)</f>
        <v>0</v>
      </c>
      <c r="P32" s="38">
        <f t="shared" si="7"/>
        <v>0</v>
      </c>
      <c r="Q32" s="39">
        <f>COUNTIF(Vertices[PageRank], "&gt;= " &amp; P32) - COUNTIF(Vertices[PageRank], "&gt;=" &amp; P33)</f>
        <v>0</v>
      </c>
      <c r="R32" s="38">
        <f t="shared" si="8"/>
        <v>0</v>
      </c>
      <c r="S32" s="44">
        <f>COUNTIF(Vertices[Clustering Coefficient], "&gt;= " &amp; R32) - COUNTIF(Vertices[Clustering Coefficient], "&gt;=" &amp; R33)</f>
        <v>0</v>
      </c>
      <c r="T32" s="38">
        <f t="shared" ca="1" si="9"/>
        <v>329352.55813953507</v>
      </c>
      <c r="U32" s="39">
        <f t="shared" ca="1" si="0"/>
        <v>0</v>
      </c>
    </row>
    <row r="33" spans="1:21" x14ac:dyDescent="0.25">
      <c r="D33" s="33">
        <f t="shared" si="1"/>
        <v>0</v>
      </c>
      <c r="E33" s="3">
        <f>COUNTIF(Vertices[Degree], "&gt;= " &amp; D33) - COUNTIF(Vertices[Degree], "&gt;=" &amp; D34)</f>
        <v>0</v>
      </c>
      <c r="F33" s="40">
        <f t="shared" si="2"/>
        <v>0</v>
      </c>
      <c r="G33" s="41">
        <f>COUNTIF(Vertices[In-Degree], "&gt;= " &amp; F33) - COUNTIF(Vertices[In-Degree], "&gt;=" &amp; F34)</f>
        <v>0</v>
      </c>
      <c r="H33" s="40">
        <f t="shared" si="3"/>
        <v>0</v>
      </c>
      <c r="I33" s="41">
        <f>COUNTIF(Vertices[Out-Degree], "&gt;= " &amp; H33) - COUNTIF(Vertices[Out-Degree], "&gt;=" &amp; H34)</f>
        <v>0</v>
      </c>
      <c r="J33" s="40">
        <f t="shared" si="4"/>
        <v>0</v>
      </c>
      <c r="K33" s="41">
        <f>COUNTIF(Vertices[Betweenness Centrality], "&gt;= " &amp; J33) - COUNTIF(Vertices[Betweenness Centrality], "&gt;=" &amp; J34)</f>
        <v>0</v>
      </c>
      <c r="L33" s="40">
        <f t="shared" si="5"/>
        <v>0</v>
      </c>
      <c r="M33" s="41">
        <f>COUNTIF(Vertices[Closeness Centrality], "&gt;= " &amp; L33) - COUNTIF(Vertices[Closeness Centrality], "&gt;=" &amp; L34)</f>
        <v>0</v>
      </c>
      <c r="N33" s="40">
        <f t="shared" si="6"/>
        <v>0</v>
      </c>
      <c r="O33" s="41">
        <f>COUNTIF(Vertices[Eigenvector Centrality], "&gt;= " &amp; N33) - COUNTIF(Vertices[Eigenvector Centrality], "&gt;=" &amp; N34)</f>
        <v>0</v>
      </c>
      <c r="P33" s="40">
        <f t="shared" si="7"/>
        <v>0</v>
      </c>
      <c r="Q33" s="41">
        <f>COUNTIF(Vertices[PageRank], "&gt;= " &amp; P33) - COUNTIF(Vertices[PageRank], "&gt;=" &amp; P34)</f>
        <v>0</v>
      </c>
      <c r="R33" s="40">
        <f t="shared" si="8"/>
        <v>0</v>
      </c>
      <c r="S33" s="45">
        <f>COUNTIF(Vertices[Clustering Coefficient], "&gt;= " &amp; R33) - COUNTIF(Vertices[Clustering Coefficient], "&gt;=" &amp; R34)</f>
        <v>0</v>
      </c>
      <c r="T33" s="40">
        <f t="shared" ca="1" si="9"/>
        <v>340330.97674418625</v>
      </c>
      <c r="U33" s="41">
        <f t="shared" ca="1" si="0"/>
        <v>0</v>
      </c>
    </row>
    <row r="34" spans="1:21" x14ac:dyDescent="0.25">
      <c r="D34" s="33">
        <f t="shared" si="1"/>
        <v>0</v>
      </c>
      <c r="E34" s="3">
        <f>COUNTIF(Vertices[Degree], "&gt;= " &amp; D34) - COUNTIF(Vertices[Degree], "&gt;=" &amp; D35)</f>
        <v>0</v>
      </c>
      <c r="F34" s="38">
        <f t="shared" si="2"/>
        <v>0</v>
      </c>
      <c r="G34" s="39">
        <f>COUNTIF(Vertices[In-Degree], "&gt;= " &amp; F34) - COUNTIF(Vertices[In-Degree], "&gt;=" &amp; F35)</f>
        <v>0</v>
      </c>
      <c r="H34" s="38">
        <f t="shared" si="3"/>
        <v>0</v>
      </c>
      <c r="I34" s="39">
        <f>COUNTIF(Vertices[Out-Degree], "&gt;= " &amp; H34) - COUNTIF(Vertices[Out-Degree], "&gt;=" &amp; H35)</f>
        <v>0</v>
      </c>
      <c r="J34" s="38">
        <f t="shared" si="4"/>
        <v>0</v>
      </c>
      <c r="K34" s="39">
        <f>COUNTIF(Vertices[Betweenness Centrality], "&gt;= " &amp; J34) - COUNTIF(Vertices[Betweenness Centrality], "&gt;=" &amp; J35)</f>
        <v>0</v>
      </c>
      <c r="L34" s="38">
        <f t="shared" si="5"/>
        <v>0</v>
      </c>
      <c r="M34" s="39">
        <f>COUNTIF(Vertices[Closeness Centrality], "&gt;= " &amp; L34) - COUNTIF(Vertices[Closeness Centrality], "&gt;=" &amp; L35)</f>
        <v>0</v>
      </c>
      <c r="N34" s="38">
        <f t="shared" si="6"/>
        <v>0</v>
      </c>
      <c r="O34" s="39">
        <f>COUNTIF(Vertices[Eigenvector Centrality], "&gt;= " &amp; N34) - COUNTIF(Vertices[Eigenvector Centrality], "&gt;=" &amp; N35)</f>
        <v>0</v>
      </c>
      <c r="P34" s="38">
        <f t="shared" si="7"/>
        <v>0</v>
      </c>
      <c r="Q34" s="39">
        <f>COUNTIF(Vertices[PageRank], "&gt;= " &amp; P34) - COUNTIF(Vertices[PageRank], "&gt;=" &amp; P35)</f>
        <v>0</v>
      </c>
      <c r="R34" s="38">
        <f t="shared" si="8"/>
        <v>0</v>
      </c>
      <c r="S34" s="44">
        <f>COUNTIF(Vertices[Clustering Coefficient], "&gt;= " &amp; R34) - COUNTIF(Vertices[Clustering Coefficient], "&gt;=" &amp; R35)</f>
        <v>0</v>
      </c>
      <c r="T34" s="38">
        <f t="shared" ca="1" si="9"/>
        <v>351309.39534883742</v>
      </c>
      <c r="U34" s="39">
        <f t="shared" ca="1" si="0"/>
        <v>0</v>
      </c>
    </row>
    <row r="35" spans="1:21" x14ac:dyDescent="0.25">
      <c r="D35" s="33">
        <f t="shared" si="1"/>
        <v>0</v>
      </c>
      <c r="E35" s="3">
        <f>COUNTIF(Vertices[Degree], "&gt;= " &amp; D35) - COUNTIF(Vertices[Degree], "&gt;=" &amp; D36)</f>
        <v>0</v>
      </c>
      <c r="F35" s="40">
        <f t="shared" si="2"/>
        <v>0</v>
      </c>
      <c r="G35" s="41">
        <f>COUNTIF(Vertices[In-Degree], "&gt;= " &amp; F35) - COUNTIF(Vertices[In-Degree], "&gt;=" &amp; F36)</f>
        <v>0</v>
      </c>
      <c r="H35" s="40">
        <f t="shared" si="3"/>
        <v>0</v>
      </c>
      <c r="I35" s="41">
        <f>COUNTIF(Vertices[Out-Degree], "&gt;= " &amp; H35) - COUNTIF(Vertices[Out-Degree], "&gt;=" &amp; H36)</f>
        <v>0</v>
      </c>
      <c r="J35" s="40">
        <f t="shared" si="4"/>
        <v>0</v>
      </c>
      <c r="K35" s="41">
        <f>COUNTIF(Vertices[Betweenness Centrality], "&gt;= " &amp; J35) - COUNTIF(Vertices[Betweenness Centrality], "&gt;=" &amp; J36)</f>
        <v>0</v>
      </c>
      <c r="L35" s="40">
        <f t="shared" si="5"/>
        <v>0</v>
      </c>
      <c r="M35" s="41">
        <f>COUNTIF(Vertices[Closeness Centrality], "&gt;= " &amp; L35) - COUNTIF(Vertices[Closeness Centrality], "&gt;=" &amp; L36)</f>
        <v>0</v>
      </c>
      <c r="N35" s="40">
        <f t="shared" si="6"/>
        <v>0</v>
      </c>
      <c r="O35" s="41">
        <f>COUNTIF(Vertices[Eigenvector Centrality], "&gt;= " &amp; N35) - COUNTIF(Vertices[Eigenvector Centrality], "&gt;=" &amp; N36)</f>
        <v>0</v>
      </c>
      <c r="P35" s="40">
        <f t="shared" si="7"/>
        <v>0</v>
      </c>
      <c r="Q35" s="41">
        <f>COUNTIF(Vertices[PageRank], "&gt;= " &amp; P35) - COUNTIF(Vertices[PageRank], "&gt;=" &amp; P36)</f>
        <v>0</v>
      </c>
      <c r="R35" s="40">
        <f t="shared" si="8"/>
        <v>0</v>
      </c>
      <c r="S35" s="45">
        <f>COUNTIF(Vertices[Clustering Coefficient], "&gt;= " &amp; R35) - COUNTIF(Vertices[Clustering Coefficient], "&gt;=" &amp; R36)</f>
        <v>0</v>
      </c>
      <c r="T35" s="40">
        <f t="shared" ca="1" si="9"/>
        <v>362287.8139534886</v>
      </c>
      <c r="U35" s="41">
        <f t="shared" ca="1" si="0"/>
        <v>0</v>
      </c>
    </row>
    <row r="36" spans="1:21" x14ac:dyDescent="0.25">
      <c r="D36" s="33">
        <f t="shared" si="1"/>
        <v>0</v>
      </c>
      <c r="E36" s="3">
        <f>COUNTIF(Vertices[Degree], "&gt;= " &amp; D36) - COUNTIF(Vertices[Degree], "&gt;=" &amp; D37)</f>
        <v>0</v>
      </c>
      <c r="F36" s="38">
        <f t="shared" si="2"/>
        <v>0</v>
      </c>
      <c r="G36" s="39">
        <f>COUNTIF(Vertices[In-Degree], "&gt;= " &amp; F36) - COUNTIF(Vertices[In-Degree], "&gt;=" &amp; F37)</f>
        <v>0</v>
      </c>
      <c r="H36" s="38">
        <f t="shared" si="3"/>
        <v>0</v>
      </c>
      <c r="I36" s="39">
        <f>COUNTIF(Vertices[Out-Degree], "&gt;= " &amp; H36) - COUNTIF(Vertices[Out-Degree], "&gt;=" &amp; H37)</f>
        <v>0</v>
      </c>
      <c r="J36" s="38">
        <f t="shared" si="4"/>
        <v>0</v>
      </c>
      <c r="K36" s="39">
        <f>COUNTIF(Vertices[Betweenness Centrality], "&gt;= " &amp; J36) - COUNTIF(Vertices[Betweenness Centrality], "&gt;=" &amp; J37)</f>
        <v>0</v>
      </c>
      <c r="L36" s="38">
        <f t="shared" si="5"/>
        <v>0</v>
      </c>
      <c r="M36" s="39">
        <f>COUNTIF(Vertices[Closeness Centrality], "&gt;= " &amp; L36) - COUNTIF(Vertices[Closeness Centrality], "&gt;=" &amp; L37)</f>
        <v>0</v>
      </c>
      <c r="N36" s="38">
        <f t="shared" si="6"/>
        <v>0</v>
      </c>
      <c r="O36" s="39">
        <f>COUNTIF(Vertices[Eigenvector Centrality], "&gt;= " &amp; N36) - COUNTIF(Vertices[Eigenvector Centrality], "&gt;=" &amp; N37)</f>
        <v>0</v>
      </c>
      <c r="P36" s="38">
        <f t="shared" si="7"/>
        <v>0</v>
      </c>
      <c r="Q36" s="39">
        <f>COUNTIF(Vertices[PageRank], "&gt;= " &amp; P36) - COUNTIF(Vertices[PageRank], "&gt;=" &amp; P37)</f>
        <v>0</v>
      </c>
      <c r="R36" s="38">
        <f t="shared" si="8"/>
        <v>0</v>
      </c>
      <c r="S36" s="44">
        <f>COUNTIF(Vertices[Clustering Coefficient], "&gt;= " &amp; R36) - COUNTIF(Vertices[Clustering Coefficient], "&gt;=" &amp; R37)</f>
        <v>0</v>
      </c>
      <c r="T36" s="38">
        <f t="shared" ca="1" si="9"/>
        <v>373266.23255813977</v>
      </c>
      <c r="U36" s="39">
        <f t="shared" ca="1" si="0"/>
        <v>1</v>
      </c>
    </row>
    <row r="37" spans="1:21" x14ac:dyDescent="0.25">
      <c r="D37" s="33">
        <f t="shared" si="1"/>
        <v>0</v>
      </c>
      <c r="E37" s="3">
        <f>COUNTIF(Vertices[Degree], "&gt;= " &amp; D37) - COUNTIF(Vertices[Degree], "&gt;=" &amp; D38)</f>
        <v>0</v>
      </c>
      <c r="F37" s="40">
        <f t="shared" si="2"/>
        <v>0</v>
      </c>
      <c r="G37" s="41">
        <f>COUNTIF(Vertices[In-Degree], "&gt;= " &amp; F37) - COUNTIF(Vertices[In-Degree], "&gt;=" &amp; F38)</f>
        <v>0</v>
      </c>
      <c r="H37" s="40">
        <f t="shared" si="3"/>
        <v>0</v>
      </c>
      <c r="I37" s="41">
        <f>COUNTIF(Vertices[Out-Degree], "&gt;= " &amp; H37) - COUNTIF(Vertices[Out-Degree], "&gt;=" &amp; H38)</f>
        <v>0</v>
      </c>
      <c r="J37" s="40">
        <f t="shared" si="4"/>
        <v>0</v>
      </c>
      <c r="K37" s="41">
        <f>COUNTIF(Vertices[Betweenness Centrality], "&gt;= " &amp; J37) - COUNTIF(Vertices[Betweenness Centrality], "&gt;=" &amp; J38)</f>
        <v>0</v>
      </c>
      <c r="L37" s="40">
        <f t="shared" si="5"/>
        <v>0</v>
      </c>
      <c r="M37" s="41">
        <f>COUNTIF(Vertices[Closeness Centrality], "&gt;= " &amp; L37) - COUNTIF(Vertices[Closeness Centrality], "&gt;=" &amp; L38)</f>
        <v>0</v>
      </c>
      <c r="N37" s="40">
        <f t="shared" si="6"/>
        <v>0</v>
      </c>
      <c r="O37" s="41">
        <f>COUNTIF(Vertices[Eigenvector Centrality], "&gt;= " &amp; N37) - COUNTIF(Vertices[Eigenvector Centrality], "&gt;=" &amp; N38)</f>
        <v>0</v>
      </c>
      <c r="P37" s="40">
        <f t="shared" si="7"/>
        <v>0</v>
      </c>
      <c r="Q37" s="41">
        <f>COUNTIF(Vertices[PageRank], "&gt;= " &amp; P37) - COUNTIF(Vertices[PageRank], "&gt;=" &amp; P38)</f>
        <v>0</v>
      </c>
      <c r="R37" s="40">
        <f t="shared" si="8"/>
        <v>0</v>
      </c>
      <c r="S37" s="45">
        <f>COUNTIF(Vertices[Clustering Coefficient], "&gt;= " &amp; R37) - COUNTIF(Vertices[Clustering Coefficient], "&gt;=" &amp; R38)</f>
        <v>0</v>
      </c>
      <c r="T37" s="40">
        <f t="shared" ca="1" si="9"/>
        <v>384244.65116279095</v>
      </c>
      <c r="U37" s="41">
        <f t="shared" ca="1" si="0"/>
        <v>0</v>
      </c>
    </row>
    <row r="38" spans="1:21" x14ac:dyDescent="0.25">
      <c r="D38" s="33">
        <f t="shared" si="1"/>
        <v>0</v>
      </c>
      <c r="E38" s="3">
        <f>COUNTIF(Vertices[Degree], "&gt;= " &amp; D38) - COUNTIF(Vertices[Degree], "&gt;=" &amp; D39)</f>
        <v>0</v>
      </c>
      <c r="F38" s="38">
        <f t="shared" si="2"/>
        <v>0</v>
      </c>
      <c r="G38" s="39">
        <f>COUNTIF(Vertices[In-Degree], "&gt;= " &amp; F38) - COUNTIF(Vertices[In-Degree], "&gt;=" &amp; F39)</f>
        <v>0</v>
      </c>
      <c r="H38" s="38">
        <f t="shared" si="3"/>
        <v>0</v>
      </c>
      <c r="I38" s="39">
        <f>COUNTIF(Vertices[Out-Degree], "&gt;= " &amp; H38) - COUNTIF(Vertices[Out-Degree], "&gt;=" &amp; H39)</f>
        <v>0</v>
      </c>
      <c r="J38" s="38">
        <f t="shared" si="4"/>
        <v>0</v>
      </c>
      <c r="K38" s="39">
        <f>COUNTIF(Vertices[Betweenness Centrality], "&gt;= " &amp; J38) - COUNTIF(Vertices[Betweenness Centrality], "&gt;=" &amp; J39)</f>
        <v>0</v>
      </c>
      <c r="L38" s="38">
        <f t="shared" si="5"/>
        <v>0</v>
      </c>
      <c r="M38" s="39">
        <f>COUNTIF(Vertices[Closeness Centrality], "&gt;= " &amp; L38) - COUNTIF(Vertices[Closeness Centrality], "&gt;=" &amp; L39)</f>
        <v>0</v>
      </c>
      <c r="N38" s="38">
        <f t="shared" si="6"/>
        <v>0</v>
      </c>
      <c r="O38" s="39">
        <f>COUNTIF(Vertices[Eigenvector Centrality], "&gt;= " &amp; N38) - COUNTIF(Vertices[Eigenvector Centrality], "&gt;=" &amp; N39)</f>
        <v>0</v>
      </c>
      <c r="P38" s="38">
        <f t="shared" si="7"/>
        <v>0</v>
      </c>
      <c r="Q38" s="39">
        <f>COUNTIF(Vertices[PageRank], "&gt;= " &amp; P38) - COUNTIF(Vertices[PageRank], "&gt;=" &amp; P39)</f>
        <v>0</v>
      </c>
      <c r="R38" s="38">
        <f t="shared" si="8"/>
        <v>0</v>
      </c>
      <c r="S38" s="44">
        <f>COUNTIF(Vertices[Clustering Coefficient], "&gt;= " &amp; R38) - COUNTIF(Vertices[Clustering Coefficient], "&gt;=" &amp; R39)</f>
        <v>0</v>
      </c>
      <c r="T38" s="38">
        <f t="shared" ca="1" si="9"/>
        <v>395223.06976744212</v>
      </c>
      <c r="U38" s="39">
        <f t="shared" ca="1" si="0"/>
        <v>0</v>
      </c>
    </row>
    <row r="39" spans="1:21" x14ac:dyDescent="0.25">
      <c r="D39" s="33">
        <f t="shared" si="1"/>
        <v>0</v>
      </c>
      <c r="E39" s="3">
        <f>COUNTIF(Vertices[Degree], "&gt;= " &amp; D39) - COUNTIF(Vertices[Degree], "&gt;=" &amp; D40)</f>
        <v>0</v>
      </c>
      <c r="F39" s="40">
        <f t="shared" si="2"/>
        <v>0</v>
      </c>
      <c r="G39" s="41">
        <f>COUNTIF(Vertices[In-Degree], "&gt;= " &amp; F39) - COUNTIF(Vertices[In-Degree], "&gt;=" &amp; F40)</f>
        <v>0</v>
      </c>
      <c r="H39" s="40">
        <f t="shared" si="3"/>
        <v>0</v>
      </c>
      <c r="I39" s="41">
        <f>COUNTIF(Vertices[Out-Degree], "&gt;= " &amp; H39) - COUNTIF(Vertices[Out-Degree], "&gt;=" &amp; H40)</f>
        <v>0</v>
      </c>
      <c r="J39" s="40">
        <f t="shared" si="4"/>
        <v>0</v>
      </c>
      <c r="K39" s="41">
        <f>COUNTIF(Vertices[Betweenness Centrality], "&gt;= " &amp; J39) - COUNTIF(Vertices[Betweenness Centrality], "&gt;=" &amp; J40)</f>
        <v>0</v>
      </c>
      <c r="L39" s="40">
        <f t="shared" si="5"/>
        <v>0</v>
      </c>
      <c r="M39" s="41">
        <f>COUNTIF(Vertices[Closeness Centrality], "&gt;= " &amp; L39) - COUNTIF(Vertices[Closeness Centrality], "&gt;=" &amp; L40)</f>
        <v>0</v>
      </c>
      <c r="N39" s="40">
        <f t="shared" si="6"/>
        <v>0</v>
      </c>
      <c r="O39" s="41">
        <f>COUNTIF(Vertices[Eigenvector Centrality], "&gt;= " &amp; N39) - COUNTIF(Vertices[Eigenvector Centrality], "&gt;=" &amp; N40)</f>
        <v>0</v>
      </c>
      <c r="P39" s="40">
        <f t="shared" si="7"/>
        <v>0</v>
      </c>
      <c r="Q39" s="41">
        <f>COUNTIF(Vertices[PageRank], "&gt;= " &amp; P39) - COUNTIF(Vertices[PageRank], "&gt;=" &amp; P40)</f>
        <v>0</v>
      </c>
      <c r="R39" s="40">
        <f t="shared" si="8"/>
        <v>0</v>
      </c>
      <c r="S39" s="45">
        <f>COUNTIF(Vertices[Clustering Coefficient], "&gt;= " &amp; R39) - COUNTIF(Vertices[Clustering Coefficient], "&gt;=" &amp; R40)</f>
        <v>0</v>
      </c>
      <c r="T39" s="40">
        <f t="shared" ca="1" si="9"/>
        <v>406201.4883720933</v>
      </c>
      <c r="U39" s="41">
        <f t="shared" ca="1" si="0"/>
        <v>0</v>
      </c>
    </row>
    <row r="40" spans="1:21" x14ac:dyDescent="0.25">
      <c r="A40" s="34" t="s">
        <v>82</v>
      </c>
      <c r="B40" s="47" t="str">
        <f>IF(COUNT(Vertices[Degree])&gt;0, D2, NoMetricMessage)</f>
        <v>Not Available</v>
      </c>
      <c r="D40" s="33">
        <f t="shared" si="1"/>
        <v>0</v>
      </c>
      <c r="E40" s="3">
        <f>COUNTIF(Vertices[Degree], "&gt;= " &amp; D40) - COUNTIF(Vertices[Degree], "&gt;=" &amp; D41)</f>
        <v>0</v>
      </c>
      <c r="F40" s="38">
        <f t="shared" si="2"/>
        <v>0</v>
      </c>
      <c r="G40" s="39">
        <f>COUNTIF(Vertices[In-Degree], "&gt;= " &amp; F40) - COUNTIF(Vertices[In-Degree], "&gt;=" &amp; F41)</f>
        <v>0</v>
      </c>
      <c r="H40" s="38">
        <f t="shared" si="3"/>
        <v>0</v>
      </c>
      <c r="I40" s="39">
        <f>COUNTIF(Vertices[Out-Degree], "&gt;= " &amp; H40) - COUNTIF(Vertices[Out-Degree], "&gt;=" &amp; H41)</f>
        <v>0</v>
      </c>
      <c r="J40" s="38">
        <f t="shared" si="4"/>
        <v>0</v>
      </c>
      <c r="K40" s="39">
        <f>COUNTIF(Vertices[Betweenness Centrality], "&gt;= " &amp; J40) - COUNTIF(Vertices[Betweenness Centrality], "&gt;=" &amp; J41)</f>
        <v>0</v>
      </c>
      <c r="L40" s="38">
        <f t="shared" si="5"/>
        <v>0</v>
      </c>
      <c r="M40" s="39">
        <f>COUNTIF(Vertices[Closeness Centrality], "&gt;= " &amp; L40) - COUNTIF(Vertices[Closeness Centrality], "&gt;=" &amp; L41)</f>
        <v>0</v>
      </c>
      <c r="N40" s="38">
        <f t="shared" si="6"/>
        <v>0</v>
      </c>
      <c r="O40" s="39">
        <f>COUNTIF(Vertices[Eigenvector Centrality], "&gt;= " &amp; N40) - COUNTIF(Vertices[Eigenvector Centrality], "&gt;=" &amp; N41)</f>
        <v>0</v>
      </c>
      <c r="P40" s="38">
        <f t="shared" si="7"/>
        <v>0</v>
      </c>
      <c r="Q40" s="39">
        <f>COUNTIF(Vertices[PageRank], "&gt;= " &amp; P40) - COUNTIF(Vertices[PageRank], "&gt;=" &amp; P41)</f>
        <v>0</v>
      </c>
      <c r="R40" s="38">
        <f t="shared" si="8"/>
        <v>0</v>
      </c>
      <c r="S40" s="44">
        <f>COUNTIF(Vertices[Clustering Coefficient], "&gt;= " &amp; R40) - COUNTIF(Vertices[Clustering Coefficient], "&gt;=" &amp; R41)</f>
        <v>0</v>
      </c>
      <c r="T40" s="38">
        <f t="shared" ca="1" si="9"/>
        <v>417179.90697674447</v>
      </c>
      <c r="U40" s="39">
        <f t="shared" ca="1" si="0"/>
        <v>0</v>
      </c>
    </row>
    <row r="41" spans="1:21" x14ac:dyDescent="0.25">
      <c r="A41" s="34" t="s">
        <v>83</v>
      </c>
      <c r="B41" s="47" t="str">
        <f>IF(COUNT(Vertices[Degree])&gt;0, D45, NoMetricMessage)</f>
        <v>Not Available</v>
      </c>
      <c r="D41" s="33">
        <f t="shared" si="1"/>
        <v>0</v>
      </c>
      <c r="E41" s="3">
        <f>COUNTIF(Vertices[Degree], "&gt;= " &amp; D41) - COUNTIF(Vertices[Degree], "&gt;=" &amp; D42)</f>
        <v>0</v>
      </c>
      <c r="F41" s="40">
        <f t="shared" si="2"/>
        <v>0</v>
      </c>
      <c r="G41" s="41">
        <f>COUNTIF(Vertices[In-Degree], "&gt;= " &amp; F41) - COUNTIF(Vertices[In-Degree], "&gt;=" &amp; F42)</f>
        <v>0</v>
      </c>
      <c r="H41" s="40">
        <f t="shared" si="3"/>
        <v>0</v>
      </c>
      <c r="I41" s="41">
        <f>COUNTIF(Vertices[Out-Degree], "&gt;= " &amp; H41) - COUNTIF(Vertices[Out-Degree], "&gt;=" &amp; H42)</f>
        <v>0</v>
      </c>
      <c r="J41" s="40">
        <f t="shared" si="4"/>
        <v>0</v>
      </c>
      <c r="K41" s="41">
        <f>COUNTIF(Vertices[Betweenness Centrality], "&gt;= " &amp; J41) - COUNTIF(Vertices[Betweenness Centrality], "&gt;=" &amp; J42)</f>
        <v>0</v>
      </c>
      <c r="L41" s="40">
        <f t="shared" si="5"/>
        <v>0</v>
      </c>
      <c r="M41" s="41">
        <f>COUNTIF(Vertices[Closeness Centrality], "&gt;= " &amp; L41) - COUNTIF(Vertices[Closeness Centrality], "&gt;=" &amp; L42)</f>
        <v>0</v>
      </c>
      <c r="N41" s="40">
        <f t="shared" si="6"/>
        <v>0</v>
      </c>
      <c r="O41" s="41">
        <f>COUNTIF(Vertices[Eigenvector Centrality], "&gt;= " &amp; N41) - COUNTIF(Vertices[Eigenvector Centrality], "&gt;=" &amp; N42)</f>
        <v>0</v>
      </c>
      <c r="P41" s="40">
        <f t="shared" si="7"/>
        <v>0</v>
      </c>
      <c r="Q41" s="41">
        <f>COUNTIF(Vertices[PageRank], "&gt;= " &amp; P41) - COUNTIF(Vertices[PageRank], "&gt;=" &amp; P42)</f>
        <v>0</v>
      </c>
      <c r="R41" s="40">
        <f t="shared" si="8"/>
        <v>0</v>
      </c>
      <c r="S41" s="45">
        <f>COUNTIF(Vertices[Clustering Coefficient], "&gt;= " &amp; R41) - COUNTIF(Vertices[Clustering Coefficient], "&gt;=" &amp; R42)</f>
        <v>0</v>
      </c>
      <c r="T41" s="40">
        <f t="shared" ca="1" si="9"/>
        <v>428158.32558139565</v>
      </c>
      <c r="U41" s="41">
        <f t="shared" ca="1" si="0"/>
        <v>0</v>
      </c>
    </row>
    <row r="42" spans="1:21" x14ac:dyDescent="0.25">
      <c r="A42" s="34" t="s">
        <v>84</v>
      </c>
      <c r="B42" s="48" t="str">
        <f>IFERROR(AVERAGE(Vertices[Degree]),NoMetricMessage)</f>
        <v>Not Available</v>
      </c>
      <c r="D42" s="33">
        <f t="shared" si="1"/>
        <v>0</v>
      </c>
      <c r="E42" s="3">
        <f>COUNTIF(Vertices[Degree], "&gt;= " &amp; D42) - COUNTIF(Vertices[Degree], "&gt;=" &amp; D43)</f>
        <v>0</v>
      </c>
      <c r="F42" s="38">
        <f t="shared" si="2"/>
        <v>0</v>
      </c>
      <c r="G42" s="39">
        <f>COUNTIF(Vertices[In-Degree], "&gt;= " &amp; F42) - COUNTIF(Vertices[In-Degree], "&gt;=" &amp; F43)</f>
        <v>0</v>
      </c>
      <c r="H42" s="38">
        <f t="shared" si="3"/>
        <v>0</v>
      </c>
      <c r="I42" s="39">
        <f>COUNTIF(Vertices[Out-Degree], "&gt;= " &amp; H42) - COUNTIF(Vertices[Out-Degree], "&gt;=" &amp; H43)</f>
        <v>0</v>
      </c>
      <c r="J42" s="38">
        <f t="shared" si="4"/>
        <v>0</v>
      </c>
      <c r="K42" s="39">
        <f>COUNTIF(Vertices[Betweenness Centrality], "&gt;= " &amp; J42) - COUNTIF(Vertices[Betweenness Centrality], "&gt;=" &amp; J43)</f>
        <v>0</v>
      </c>
      <c r="L42" s="38">
        <f t="shared" si="5"/>
        <v>0</v>
      </c>
      <c r="M42" s="39">
        <f>COUNTIF(Vertices[Closeness Centrality], "&gt;= " &amp; L42) - COUNTIF(Vertices[Closeness Centrality], "&gt;=" &amp; L43)</f>
        <v>0</v>
      </c>
      <c r="N42" s="38">
        <f t="shared" si="6"/>
        <v>0</v>
      </c>
      <c r="O42" s="39">
        <f>COUNTIF(Vertices[Eigenvector Centrality], "&gt;= " &amp; N42) - COUNTIF(Vertices[Eigenvector Centrality], "&gt;=" &amp; N43)</f>
        <v>0</v>
      </c>
      <c r="P42" s="38">
        <f t="shared" si="7"/>
        <v>0</v>
      </c>
      <c r="Q42" s="39">
        <f>COUNTIF(Vertices[PageRank], "&gt;= " &amp; P42) - COUNTIF(Vertices[PageRank], "&gt;=" &amp; P43)</f>
        <v>0</v>
      </c>
      <c r="R42" s="38">
        <f t="shared" si="8"/>
        <v>0</v>
      </c>
      <c r="S42" s="44">
        <f>COUNTIF(Vertices[Clustering Coefficient], "&gt;= " &amp; R42) - COUNTIF(Vertices[Clustering Coefficient], "&gt;=" &amp; R43)</f>
        <v>0</v>
      </c>
      <c r="T42" s="38">
        <f t="shared" ca="1" si="9"/>
        <v>439136.74418604682</v>
      </c>
      <c r="U42" s="39">
        <f t="shared" ca="1" si="0"/>
        <v>0</v>
      </c>
    </row>
    <row r="43" spans="1:21" x14ac:dyDescent="0.25">
      <c r="A43" s="34" t="s">
        <v>85</v>
      </c>
      <c r="B43" s="48" t="str">
        <f>IFERROR(MEDIAN(Vertices[Degree]),NoMetricMessage)</f>
        <v>Not Available</v>
      </c>
      <c r="D43" s="33">
        <f t="shared" si="1"/>
        <v>0</v>
      </c>
      <c r="E43" s="3">
        <f>COUNTIF(Vertices[Degree], "&gt;= " &amp; D43) - COUNTIF(Vertices[Degree], "&gt;=" &amp; D44)</f>
        <v>0</v>
      </c>
      <c r="F43" s="40">
        <f t="shared" si="2"/>
        <v>0</v>
      </c>
      <c r="G43" s="41">
        <f>COUNTIF(Vertices[In-Degree], "&gt;= " &amp; F43) - COUNTIF(Vertices[In-Degree], "&gt;=" &amp; F44)</f>
        <v>0</v>
      </c>
      <c r="H43" s="40">
        <f t="shared" si="3"/>
        <v>0</v>
      </c>
      <c r="I43" s="41">
        <f>COUNTIF(Vertices[Out-Degree], "&gt;= " &amp; H43) - COUNTIF(Vertices[Out-Degree], "&gt;=" &amp; H44)</f>
        <v>0</v>
      </c>
      <c r="J43" s="40">
        <f t="shared" si="4"/>
        <v>0</v>
      </c>
      <c r="K43" s="41">
        <f>COUNTIF(Vertices[Betweenness Centrality], "&gt;= " &amp; J43) - COUNTIF(Vertices[Betweenness Centrality], "&gt;=" &amp; J44)</f>
        <v>0</v>
      </c>
      <c r="L43" s="40">
        <f t="shared" si="5"/>
        <v>0</v>
      </c>
      <c r="M43" s="41">
        <f>COUNTIF(Vertices[Closeness Centrality], "&gt;= " &amp; L43) - COUNTIF(Vertices[Closeness Centrality], "&gt;=" &amp; L44)</f>
        <v>0</v>
      </c>
      <c r="N43" s="40">
        <f t="shared" si="6"/>
        <v>0</v>
      </c>
      <c r="O43" s="41">
        <f>COUNTIF(Vertices[Eigenvector Centrality], "&gt;= " &amp; N43) - COUNTIF(Vertices[Eigenvector Centrality], "&gt;=" &amp; N44)</f>
        <v>0</v>
      </c>
      <c r="P43" s="40">
        <f t="shared" si="7"/>
        <v>0</v>
      </c>
      <c r="Q43" s="41">
        <f>COUNTIF(Vertices[PageRank], "&gt;= " &amp; P43) - COUNTIF(Vertices[PageRank], "&gt;=" &amp; P44)</f>
        <v>0</v>
      </c>
      <c r="R43" s="40">
        <f t="shared" si="8"/>
        <v>0</v>
      </c>
      <c r="S43" s="45">
        <f>COUNTIF(Vertices[Clustering Coefficient], "&gt;= " &amp; R43) - COUNTIF(Vertices[Clustering Coefficient], "&gt;=" &amp; R44)</f>
        <v>0</v>
      </c>
      <c r="T43" s="40">
        <f t="shared" ca="1" si="9"/>
        <v>450115.162790698</v>
      </c>
      <c r="U43" s="41">
        <f t="shared" ca="1" si="0"/>
        <v>0</v>
      </c>
    </row>
    <row r="44" spans="1:21" x14ac:dyDescent="0.25">
      <c r="D44" s="33">
        <f t="shared" si="1"/>
        <v>0</v>
      </c>
      <c r="E44" s="3">
        <f>COUNTIF(Vertices[Degree], "&gt;= " &amp; D44) - COUNTIF(Vertices[Degree], "&gt;=" &amp; D45)</f>
        <v>0</v>
      </c>
      <c r="F44" s="38">
        <f t="shared" si="2"/>
        <v>0</v>
      </c>
      <c r="G44" s="39">
        <f>COUNTIF(Vertices[In-Degree], "&gt;= " &amp; F44) - COUNTIF(Vertices[In-Degree], "&gt;=" &amp; F45)</f>
        <v>0</v>
      </c>
      <c r="H44" s="38">
        <f t="shared" si="3"/>
        <v>0</v>
      </c>
      <c r="I44" s="39">
        <f>COUNTIF(Vertices[Out-Degree], "&gt;= " &amp; H44) - COUNTIF(Vertices[Out-Degree], "&gt;=" &amp; H45)</f>
        <v>0</v>
      </c>
      <c r="J44" s="38">
        <f t="shared" si="4"/>
        <v>0</v>
      </c>
      <c r="K44" s="39">
        <f>COUNTIF(Vertices[Betweenness Centrality], "&gt;= " &amp; J44) - COUNTIF(Vertices[Betweenness Centrality], "&gt;=" &amp; J45)</f>
        <v>0</v>
      </c>
      <c r="L44" s="38">
        <f t="shared" si="5"/>
        <v>0</v>
      </c>
      <c r="M44" s="39">
        <f>COUNTIF(Vertices[Closeness Centrality], "&gt;= " &amp; L44) - COUNTIF(Vertices[Closeness Centrality], "&gt;=" &amp; L45)</f>
        <v>0</v>
      </c>
      <c r="N44" s="38">
        <f t="shared" si="6"/>
        <v>0</v>
      </c>
      <c r="O44" s="39">
        <f>COUNTIF(Vertices[Eigenvector Centrality], "&gt;= " &amp; N44) - COUNTIF(Vertices[Eigenvector Centrality], "&gt;=" &amp; N45)</f>
        <v>0</v>
      </c>
      <c r="P44" s="38">
        <f t="shared" si="7"/>
        <v>0</v>
      </c>
      <c r="Q44" s="39">
        <f>COUNTIF(Vertices[PageRank], "&gt;= " &amp; P44) - COUNTIF(Vertices[PageRank], "&gt;=" &amp; P45)</f>
        <v>0</v>
      </c>
      <c r="R44" s="38">
        <f t="shared" si="8"/>
        <v>0</v>
      </c>
      <c r="S44" s="44">
        <f>COUNTIF(Vertices[Clustering Coefficient], "&gt;= " &amp; R44) - COUNTIF(Vertices[Clustering Coefficient], "&gt;=" &amp; R45)</f>
        <v>0</v>
      </c>
      <c r="T44" s="38">
        <f t="shared" ca="1" si="9"/>
        <v>461093.58139534917</v>
      </c>
      <c r="U44" s="39">
        <f t="shared" ca="1" si="0"/>
        <v>0</v>
      </c>
    </row>
    <row r="45" spans="1:21" x14ac:dyDescent="0.25">
      <c r="D45" s="33">
        <f>MAX(Vertices[Degree])</f>
        <v>0</v>
      </c>
      <c r="E45" s="3">
        <f>COUNTIF(Vertices[Degree], "&gt;= " &amp; D45) - COUNTIF(Vertices[Degree], "&gt;=" &amp; D46)</f>
        <v>0</v>
      </c>
      <c r="F45" s="42">
        <f>MAX(Vertices[In-Degree])</f>
        <v>0</v>
      </c>
      <c r="G45" s="43">
        <f>COUNTIF(Vertices[In-Degree], "&gt;= " &amp; F45) - COUNTIF(Vertices[In-Degree], "&gt;=" &amp; F46)</f>
        <v>0</v>
      </c>
      <c r="H45" s="42">
        <f>MAX(Vertices[Out-Degree])</f>
        <v>0</v>
      </c>
      <c r="I45" s="43">
        <f>COUNTIF(Vertices[Out-Degree], "&gt;= " &amp; H45) - COUNTIF(Vertices[Out-Degree], "&gt;=" &amp; H46)</f>
        <v>0</v>
      </c>
      <c r="J45" s="42">
        <f>MAX(Vertices[Betweenness Centrality])</f>
        <v>0</v>
      </c>
      <c r="K45" s="43">
        <f>COUNTIF(Vertices[Betweenness Centrality], "&gt;= " &amp; J45) - COUNTIF(Vertices[Betweenness Centrality], "&gt;=" &amp; J46)</f>
        <v>0</v>
      </c>
      <c r="L45" s="42">
        <f>MAX(Vertices[Closeness Centrality])</f>
        <v>0</v>
      </c>
      <c r="M45" s="43">
        <f>COUNTIF(Vertices[Closeness Centrality], "&gt;= " &amp; L45) - COUNTIF(Vertices[Closeness Centrality], "&gt;=" &amp; L46)</f>
        <v>0</v>
      </c>
      <c r="N45" s="42">
        <f>MAX(Vertices[Eigenvector Centrality])</f>
        <v>0</v>
      </c>
      <c r="O45" s="43">
        <f>COUNTIF(Vertices[Eigenvector Centrality], "&gt;= " &amp; N45) - COUNTIF(Vertices[Eigenvector Centrality], "&gt;=" &amp; N46)</f>
        <v>0</v>
      </c>
      <c r="P45" s="42">
        <f>MAX(Vertices[PageRank])</f>
        <v>0</v>
      </c>
      <c r="Q45" s="43">
        <f>COUNTIF(Vertices[PageRank], "&gt;= " &amp; P45) - COUNTIF(Vertices[PageRank], "&gt;=" &amp; P46)</f>
        <v>0</v>
      </c>
      <c r="R45" s="42">
        <f>MAX(Vertices[Clustering Coefficient])</f>
        <v>0</v>
      </c>
      <c r="S45" s="46">
        <f>COUNTIF(Vertices[Clustering Coefficient], "&gt;= " &amp; R45) - COUNTIF(Vertices[Clustering Coefficient], "&gt;=" &amp; R46)</f>
        <v>0</v>
      </c>
      <c r="T45" s="42">
        <f ca="1">MAX(INDIRECT(DynamicFilterSourceColumnRange))</f>
        <v>472072</v>
      </c>
      <c r="U45" s="43">
        <f t="shared" ca="1" si="0"/>
        <v>1</v>
      </c>
    </row>
    <row r="54" spans="1:2" x14ac:dyDescent="0.25">
      <c r="A54" s="34" t="s">
        <v>89</v>
      </c>
      <c r="B54" s="47" t="str">
        <f>IF(COUNT(Vertices[In-Degree])&gt;0, F2, NoMetricMessage)</f>
        <v>Not Available</v>
      </c>
    </row>
    <row r="55" spans="1:2" x14ac:dyDescent="0.25">
      <c r="A55" s="34" t="s">
        <v>90</v>
      </c>
      <c r="B55" s="47" t="str">
        <f>IF(COUNT(Vertices[In-Degree])&gt;0, F45, NoMetricMessage)</f>
        <v>Not Available</v>
      </c>
    </row>
    <row r="56" spans="1:2" x14ac:dyDescent="0.25">
      <c r="A56" s="34" t="s">
        <v>91</v>
      </c>
      <c r="B56" s="48" t="str">
        <f>IFERROR(AVERAGE(Vertices[In-Degree]),NoMetricMessage)</f>
        <v>Not Available</v>
      </c>
    </row>
    <row r="57" spans="1:2" x14ac:dyDescent="0.25">
      <c r="A57" s="34" t="s">
        <v>92</v>
      </c>
      <c r="B57" s="48" t="str">
        <f>IFERROR(MEDIAN(Vertices[In-Degree]),NoMetricMessage)</f>
        <v>Not Available</v>
      </c>
    </row>
    <row r="68" spans="1:2" x14ac:dyDescent="0.25">
      <c r="A68" s="34" t="s">
        <v>95</v>
      </c>
      <c r="B68" s="47" t="str">
        <f>IF(COUNT(Vertices[Out-Degree])&gt;0, H2, NoMetricMessage)</f>
        <v>Not Available</v>
      </c>
    </row>
    <row r="69" spans="1:2" x14ac:dyDescent="0.25">
      <c r="A69" s="34" t="s">
        <v>96</v>
      </c>
      <c r="B69" s="47" t="str">
        <f>IF(COUNT(Vertices[Out-Degree])&gt;0, H45, NoMetricMessage)</f>
        <v>Not Available</v>
      </c>
    </row>
    <row r="70" spans="1:2" x14ac:dyDescent="0.25">
      <c r="A70" s="34" t="s">
        <v>97</v>
      </c>
      <c r="B70" s="48" t="str">
        <f>IFERROR(AVERAGE(Vertices[Out-Degree]),NoMetricMessage)</f>
        <v>Not Available</v>
      </c>
    </row>
    <row r="71" spans="1:2" x14ac:dyDescent="0.25">
      <c r="A71" s="34" t="s">
        <v>98</v>
      </c>
      <c r="B71" s="48" t="str">
        <f>IFERROR(MEDIAN(Vertices[Out-Degree]),NoMetricMessage)</f>
        <v>Not Available</v>
      </c>
    </row>
    <row r="82" spans="1:2" x14ac:dyDescent="0.25">
      <c r="A82" s="34" t="s">
        <v>101</v>
      </c>
      <c r="B82" s="48" t="str">
        <f>IF(COUNT(Vertices[Betweenness Centrality])&gt;0, J2, NoMetricMessage)</f>
        <v>Not Available</v>
      </c>
    </row>
    <row r="83" spans="1:2" x14ac:dyDescent="0.25">
      <c r="A83" s="34" t="s">
        <v>102</v>
      </c>
      <c r="B83" s="48" t="str">
        <f>IF(COUNT(Vertices[Betweenness Centrality])&gt;0, J45, NoMetricMessage)</f>
        <v>Not Available</v>
      </c>
    </row>
    <row r="84" spans="1:2" x14ac:dyDescent="0.25">
      <c r="A84" s="34" t="s">
        <v>103</v>
      </c>
      <c r="B84" s="48" t="str">
        <f>IFERROR(AVERAGE(Vertices[Betweenness Centrality]),NoMetricMessage)</f>
        <v>Not Available</v>
      </c>
    </row>
    <row r="85" spans="1:2" x14ac:dyDescent="0.25">
      <c r="A85" s="34" t="s">
        <v>104</v>
      </c>
      <c r="B85" s="48" t="str">
        <f>IFERROR(MEDIAN(Vertices[Betweenness Centrality]),NoMetricMessage)</f>
        <v>Not Available</v>
      </c>
    </row>
    <row r="96" spans="1:2" x14ac:dyDescent="0.25">
      <c r="A96" s="34" t="s">
        <v>107</v>
      </c>
      <c r="B96" s="48" t="str">
        <f>IF(COUNT(Vertices[Closeness Centrality])&gt;0, L2, NoMetricMessage)</f>
        <v>Not Available</v>
      </c>
    </row>
    <row r="97" spans="1:2" x14ac:dyDescent="0.25">
      <c r="A97" s="34" t="s">
        <v>108</v>
      </c>
      <c r="B97" s="48" t="str">
        <f>IF(COUNT(Vertices[Closeness Centrality])&gt;0, L45, NoMetricMessage)</f>
        <v>Not Available</v>
      </c>
    </row>
    <row r="98" spans="1:2" x14ac:dyDescent="0.25">
      <c r="A98" s="34" t="s">
        <v>109</v>
      </c>
      <c r="B98" s="48" t="str">
        <f>IFERROR(AVERAGE(Vertices[Closeness Centrality]),NoMetricMessage)</f>
        <v>Not Available</v>
      </c>
    </row>
    <row r="99" spans="1:2" x14ac:dyDescent="0.25">
      <c r="A99" s="34" t="s">
        <v>110</v>
      </c>
      <c r="B99" s="48" t="str">
        <f>IFERROR(MEDIAN(Vertices[Closeness Centrality]),NoMetricMessage)</f>
        <v>Not Available</v>
      </c>
    </row>
    <row r="110" spans="1:2" x14ac:dyDescent="0.25">
      <c r="A110" s="34" t="s">
        <v>113</v>
      </c>
      <c r="B110" s="48" t="str">
        <f>IF(COUNT(Vertices[Eigenvector Centrality])&gt;0, N2, NoMetricMessage)</f>
        <v>Not Available</v>
      </c>
    </row>
    <row r="111" spans="1:2" x14ac:dyDescent="0.25">
      <c r="A111" s="34" t="s">
        <v>114</v>
      </c>
      <c r="B111" s="48" t="str">
        <f>IF(COUNT(Vertices[Eigenvector Centrality])&gt;0, N45, NoMetricMessage)</f>
        <v>Not Available</v>
      </c>
    </row>
    <row r="112" spans="1:2" x14ac:dyDescent="0.25">
      <c r="A112" s="34" t="s">
        <v>115</v>
      </c>
      <c r="B112" s="48" t="str">
        <f>IFERROR(AVERAGE(Vertices[Eigenvector Centrality]),NoMetricMessage)</f>
        <v>Not Available</v>
      </c>
    </row>
    <row r="113" spans="1:2" x14ac:dyDescent="0.25">
      <c r="A113" s="34" t="s">
        <v>116</v>
      </c>
      <c r="B113" s="48" t="str">
        <f>IFERROR(MEDIAN(Vertices[Eigenvector Centrality]),NoMetricMessage)</f>
        <v>Not Available</v>
      </c>
    </row>
    <row r="124" spans="1:2" x14ac:dyDescent="0.25">
      <c r="A124" s="34" t="s">
        <v>140</v>
      </c>
      <c r="B124" s="48" t="str">
        <f>IF(COUNT(Vertices[PageRank])&gt;0, P2, NoMetricMessage)</f>
        <v>Not Available</v>
      </c>
    </row>
    <row r="125" spans="1:2" x14ac:dyDescent="0.25">
      <c r="A125" s="34" t="s">
        <v>141</v>
      </c>
      <c r="B125" s="48" t="str">
        <f>IF(COUNT(Vertices[PageRank])&gt;0, P45, NoMetricMessage)</f>
        <v>Not Available</v>
      </c>
    </row>
    <row r="126" spans="1:2" x14ac:dyDescent="0.25">
      <c r="A126" s="34" t="s">
        <v>142</v>
      </c>
      <c r="B126" s="48" t="str">
        <f>IFERROR(AVERAGE(Vertices[PageRank]),NoMetricMessage)</f>
        <v>Not Available</v>
      </c>
    </row>
    <row r="127" spans="1:2" x14ac:dyDescent="0.25">
      <c r="A127" s="34" t="s">
        <v>143</v>
      </c>
      <c r="B127" s="48" t="str">
        <f>IFERROR(MEDIAN(Vertices[PageRank]),NoMetricMessage)</f>
        <v>Not Available</v>
      </c>
    </row>
    <row r="138" spans="1:2" x14ac:dyDescent="0.25">
      <c r="A138" s="34" t="s">
        <v>119</v>
      </c>
      <c r="B138" s="48" t="str">
        <f>IF(COUNT(Vertices[Clustering Coefficient])&gt;0, R2, NoMetricMessage)</f>
        <v>Not Available</v>
      </c>
    </row>
    <row r="139" spans="1:2" x14ac:dyDescent="0.25">
      <c r="A139" s="34" t="s">
        <v>120</v>
      </c>
      <c r="B139" s="48" t="str">
        <f>IF(COUNT(Vertices[Clustering Coefficient])&gt;0, R45, NoMetricMessage)</f>
        <v>Not Available</v>
      </c>
    </row>
    <row r="140" spans="1:2" x14ac:dyDescent="0.25">
      <c r="A140" s="34" t="s">
        <v>121</v>
      </c>
      <c r="B140" s="48" t="str">
        <f>IFERROR(AVERAGE(Vertices[Clustering Coefficient]),NoMetricMessage)</f>
        <v>Not Available</v>
      </c>
    </row>
    <row r="141" spans="1:2" x14ac:dyDescent="0.25">
      <c r="A141" s="34" t="s">
        <v>122</v>
      </c>
      <c r="B141" s="48" t="str">
        <f>IFERROR(MEDIAN(Vertices[Clustering Coefficient]),NoMetricMessage)</f>
        <v>Not Available</v>
      </c>
    </row>
  </sheetData>
  <dataConsolidate/>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Q23"/>
  <sheetViews>
    <sheetView workbookViewId="0">
      <selection activeCell="A2" sqref="A2"/>
    </sheetView>
  </sheetViews>
  <sheetFormatPr defaultRowHeight="15" x14ac:dyDescent="0.25"/>
  <cols>
    <col min="1" max="1" width="10.42578125" style="1" bestFit="1" customWidth="1"/>
    <col min="2" max="2" width="12.42578125" style="1" bestFit="1" customWidth="1"/>
    <col min="3" max="3" width="22.85546875" bestFit="1" customWidth="1"/>
    <col min="4" max="4" width="16.85546875" bestFit="1" customWidth="1"/>
    <col min="5" max="5" width="16.85546875" customWidth="1"/>
    <col min="6" max="6" width="14.28515625" bestFit="1" customWidth="1"/>
    <col min="7" max="7" width="14.28515625" customWidth="1"/>
    <col min="9" max="9" width="39.140625" bestFit="1" customWidth="1"/>
    <col min="10" max="10" width="10.85546875" bestFit="1" customWidth="1"/>
    <col min="12" max="12" width="8.42578125" bestFit="1" customWidth="1"/>
    <col min="13" max="13" width="10" bestFit="1" customWidth="1"/>
    <col min="14" max="14" width="11.85546875" bestFit="1" customWidth="1"/>
    <col min="15" max="15" width="12.140625" bestFit="1" customWidth="1"/>
  </cols>
  <sheetData>
    <row r="1" spans="1:17" s="4" customFormat="1" ht="36" customHeight="1" x14ac:dyDescent="0.25">
      <c r="A1" s="5" t="s">
        <v>6</v>
      </c>
      <c r="B1" s="5" t="s">
        <v>131</v>
      </c>
      <c r="C1" s="4" t="s">
        <v>7</v>
      </c>
      <c r="D1" s="4" t="s">
        <v>9</v>
      </c>
      <c r="E1" s="4" t="s">
        <v>164</v>
      </c>
      <c r="F1" s="4" t="s">
        <v>14</v>
      </c>
      <c r="G1" s="4" t="s">
        <v>68</v>
      </c>
      <c r="I1" s="4" t="s">
        <v>18</v>
      </c>
      <c r="J1" s="4" t="s">
        <v>17</v>
      </c>
      <c r="L1" s="4" t="s">
        <v>22</v>
      </c>
      <c r="M1" s="4" t="s">
        <v>23</v>
      </c>
      <c r="N1" s="4" t="s">
        <v>24</v>
      </c>
      <c r="O1" s="4" t="s">
        <v>25</v>
      </c>
    </row>
    <row r="2" spans="1:17" x14ac:dyDescent="0.25">
      <c r="A2" s="1" t="s">
        <v>52</v>
      </c>
      <c r="B2" s="1" t="s">
        <v>132</v>
      </c>
      <c r="C2" t="s">
        <v>55</v>
      </c>
      <c r="D2" t="s">
        <v>56</v>
      </c>
      <c r="E2" t="s">
        <v>56</v>
      </c>
      <c r="F2" t="s">
        <v>66</v>
      </c>
      <c r="G2" t="s">
        <v>159</v>
      </c>
      <c r="I2" t="s">
        <v>19</v>
      </c>
      <c r="J2">
        <v>100</v>
      </c>
      <c r="L2" t="s">
        <v>146</v>
      </c>
      <c r="M2" t="s">
        <v>46</v>
      </c>
      <c r="N2">
        <v>0</v>
      </c>
      <c r="O2">
        <v>10</v>
      </c>
    </row>
    <row r="3" spans="1:17" x14ac:dyDescent="0.25">
      <c r="A3" s="1" t="s">
        <v>53</v>
      </c>
      <c r="B3" s="1" t="s">
        <v>133</v>
      </c>
      <c r="C3" t="s">
        <v>53</v>
      </c>
      <c r="D3" t="s">
        <v>57</v>
      </c>
      <c r="E3" t="s">
        <v>57</v>
      </c>
      <c r="F3" t="s">
        <v>67</v>
      </c>
      <c r="G3" t="s">
        <v>69</v>
      </c>
      <c r="I3" t="s">
        <v>30</v>
      </c>
      <c r="J3" t="s">
        <v>31</v>
      </c>
      <c r="L3" t="s">
        <v>146</v>
      </c>
      <c r="M3" t="s">
        <v>199</v>
      </c>
      <c r="N3">
        <v>868</v>
      </c>
      <c r="O3">
        <v>166666.66666666701</v>
      </c>
    </row>
    <row r="4" spans="1:17" x14ac:dyDescent="0.25">
      <c r="A4" s="1" t="s">
        <v>54</v>
      </c>
      <c r="B4" s="1" t="s">
        <v>134</v>
      </c>
      <c r="C4" t="s">
        <v>54</v>
      </c>
      <c r="D4" t="s">
        <v>58</v>
      </c>
      <c r="E4" t="s">
        <v>58</v>
      </c>
      <c r="F4">
        <v>0</v>
      </c>
      <c r="G4" t="s">
        <v>70</v>
      </c>
      <c r="I4" s="12" t="s">
        <v>79</v>
      </c>
      <c r="J4" s="12"/>
      <c r="L4" t="s">
        <v>146</v>
      </c>
      <c r="M4" t="s">
        <v>315</v>
      </c>
      <c r="N4">
        <v>0</v>
      </c>
      <c r="O4">
        <v>472072</v>
      </c>
    </row>
    <row r="5" spans="1:17" ht="409.5" x14ac:dyDescent="0.25">
      <c r="A5">
        <v>1</v>
      </c>
      <c r="B5" s="1" t="s">
        <v>135</v>
      </c>
      <c r="C5" t="s">
        <v>52</v>
      </c>
      <c r="D5" t="s">
        <v>59</v>
      </c>
      <c r="E5" t="s">
        <v>59</v>
      </c>
      <c r="F5">
        <v>1</v>
      </c>
      <c r="G5" t="s">
        <v>71</v>
      </c>
      <c r="I5" t="s">
        <v>167</v>
      </c>
      <c r="J5" s="13" t="s">
        <v>322</v>
      </c>
    </row>
    <row r="6" spans="1:17" x14ac:dyDescent="0.25">
      <c r="A6">
        <v>0</v>
      </c>
      <c r="B6" s="1" t="s">
        <v>136</v>
      </c>
      <c r="C6">
        <v>1</v>
      </c>
      <c r="D6" t="s">
        <v>60</v>
      </c>
      <c r="E6" t="s">
        <v>60</v>
      </c>
      <c r="G6" t="s">
        <v>72</v>
      </c>
      <c r="I6" t="s">
        <v>168</v>
      </c>
      <c r="J6">
        <v>2</v>
      </c>
      <c r="Q6" t="s">
        <v>129</v>
      </c>
    </row>
    <row r="7" spans="1:17" x14ac:dyDescent="0.25">
      <c r="A7">
        <v>2</v>
      </c>
      <c r="B7">
        <v>1</v>
      </c>
      <c r="C7">
        <v>0</v>
      </c>
      <c r="D7" t="s">
        <v>61</v>
      </c>
      <c r="E7" t="s">
        <v>61</v>
      </c>
      <c r="G7" t="s">
        <v>73</v>
      </c>
      <c r="I7" t="s">
        <v>306</v>
      </c>
      <c r="J7" t="s">
        <v>316</v>
      </c>
    </row>
    <row r="8" spans="1:17" x14ac:dyDescent="0.25">
      <c r="A8"/>
      <c r="B8">
        <v>2</v>
      </c>
      <c r="C8">
        <v>2</v>
      </c>
      <c r="D8" t="s">
        <v>62</v>
      </c>
      <c r="E8" t="s">
        <v>62</v>
      </c>
      <c r="G8" t="s">
        <v>74</v>
      </c>
      <c r="I8" t="s">
        <v>313</v>
      </c>
      <c r="J8" t="s">
        <v>319</v>
      </c>
    </row>
    <row r="9" spans="1:17" ht="409.5" x14ac:dyDescent="0.25">
      <c r="A9"/>
      <c r="B9">
        <v>3</v>
      </c>
      <c r="C9">
        <v>4</v>
      </c>
      <c r="D9" t="s">
        <v>63</v>
      </c>
      <c r="E9" t="s">
        <v>63</v>
      </c>
      <c r="G9" t="s">
        <v>75</v>
      </c>
      <c r="I9" t="s">
        <v>314</v>
      </c>
      <c r="J9" s="13" t="s">
        <v>320</v>
      </c>
    </row>
    <row r="10" spans="1:17" x14ac:dyDescent="0.25">
      <c r="A10"/>
      <c r="B10">
        <v>4</v>
      </c>
      <c r="D10" t="s">
        <v>64</v>
      </c>
      <c r="E10" t="s">
        <v>64</v>
      </c>
      <c r="G10" t="s">
        <v>76</v>
      </c>
    </row>
    <row r="11" spans="1:17" x14ac:dyDescent="0.25">
      <c r="A11"/>
      <c r="B11">
        <v>5</v>
      </c>
      <c r="D11" t="s">
        <v>47</v>
      </c>
      <c r="E11">
        <v>1</v>
      </c>
      <c r="G11" t="s">
        <v>77</v>
      </c>
    </row>
    <row r="12" spans="1:17" x14ac:dyDescent="0.25">
      <c r="A12"/>
      <c r="B12"/>
      <c r="D12" t="s">
        <v>65</v>
      </c>
      <c r="E12">
        <v>2</v>
      </c>
      <c r="G12">
        <v>0</v>
      </c>
    </row>
    <row r="13" spans="1:17" x14ac:dyDescent="0.25">
      <c r="A13"/>
      <c r="B13"/>
      <c r="D13">
        <v>1</v>
      </c>
      <c r="E13">
        <v>3</v>
      </c>
      <c r="G13">
        <v>1</v>
      </c>
    </row>
    <row r="14" spans="1:17" x14ac:dyDescent="0.25">
      <c r="D14">
        <v>2</v>
      </c>
      <c r="E14">
        <v>4</v>
      </c>
      <c r="G14">
        <v>2</v>
      </c>
    </row>
    <row r="15" spans="1:17" x14ac:dyDescent="0.25">
      <c r="D15">
        <v>3</v>
      </c>
      <c r="E15">
        <v>5</v>
      </c>
      <c r="G15">
        <v>3</v>
      </c>
    </row>
    <row r="16" spans="1:17" x14ac:dyDescent="0.25">
      <c r="D16">
        <v>4</v>
      </c>
      <c r="E16">
        <v>6</v>
      </c>
      <c r="G16">
        <v>4</v>
      </c>
    </row>
    <row r="17" spans="4:7" x14ac:dyDescent="0.25">
      <c r="D17">
        <v>5</v>
      </c>
      <c r="E17">
        <v>7</v>
      </c>
      <c r="G17">
        <v>5</v>
      </c>
    </row>
    <row r="18" spans="4:7" x14ac:dyDescent="0.25">
      <c r="D18">
        <v>6</v>
      </c>
      <c r="E18">
        <v>8</v>
      </c>
      <c r="G18">
        <v>6</v>
      </c>
    </row>
    <row r="19" spans="4:7" x14ac:dyDescent="0.25">
      <c r="D19">
        <v>7</v>
      </c>
      <c r="E19">
        <v>9</v>
      </c>
      <c r="G19">
        <v>7</v>
      </c>
    </row>
    <row r="20" spans="4:7" x14ac:dyDescent="0.25">
      <c r="D20">
        <v>8</v>
      </c>
      <c r="G20">
        <v>8</v>
      </c>
    </row>
    <row r="21" spans="4:7" x14ac:dyDescent="0.25">
      <c r="D21">
        <v>9</v>
      </c>
      <c r="G21">
        <v>9</v>
      </c>
    </row>
    <row r="22" spans="4:7" x14ac:dyDescent="0.25">
      <c r="D22">
        <v>10</v>
      </c>
    </row>
    <row r="23" spans="4:7" x14ac:dyDescent="0.25">
      <c r="D23">
        <v>11</v>
      </c>
    </row>
  </sheetData>
  <dataConsolidate/>
  <pageMargins left="0.7" right="0.7" top="0.75" bottom="0.75" header="0.3" footer="0.3"/>
  <pageSetup orientation="portrait" horizontalDpi="0" verticalDpi="0"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BB5BC590-BC5D-4974-886B-55BE8ECC20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Edges</vt:lpstr>
      <vt:lpstr>Vertices</vt:lpstr>
      <vt:lpstr>Do Not Delete</vt:lpstr>
      <vt:lpstr>Groups</vt:lpstr>
      <vt:lpstr>Group Vertices</vt:lpstr>
      <vt:lpstr>Overall Metrics</vt:lpstr>
      <vt:lpstr>Misc</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ValidVertexLabelPositions</vt:lpstr>
      <vt:lpstr>ValidVertexShapes</vt:lpstr>
      <vt:lpstr>ValidVertexVisibilities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Yu</dc:creator>
  <cp:lastModifiedBy>Angela Yu</cp:lastModifiedBy>
  <dcterms:created xsi:type="dcterms:W3CDTF">2008-01-30T00:41:58Z</dcterms:created>
  <dcterms:modified xsi:type="dcterms:W3CDTF">2012-06-25T09:37:42Z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ssemblyLocation">
    <vt:lpwstr>Smrf.NodeXL.ExcelTemplate.vsto|aa51c0f3-62b4-4782-83a8-a15dcdd17698</vt:lpwstr>
  </property>
  <property fmtid="{D5CDD505-2E9C-101B-9397-08002B2CF9AE}" pid="3" name="_AssemblyName">
    <vt:lpwstr>4E3C66D5-58D4-491E-A7D4-64AF99AF6E8B</vt:lpwstr>
  </property>
  <property fmtid="{D5CDD505-2E9C-101B-9397-08002B2CF9AE}" pid="4" name="Solution ID">
    <vt:lpwstr>{15727DE6-F92D-4E46-ACB4-0E2C58B31A18}</vt:lpwstr>
  </property>
</Properties>
</file>