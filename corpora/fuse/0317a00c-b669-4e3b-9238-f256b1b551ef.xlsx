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75" windowWidth="11355" windowHeight="7935"/>
  </bookViews>
  <sheets>
    <sheet name="ADM Hours" sheetId="4" r:id="rId1"/>
  </sheets>
  <definedNames>
    <definedName name="_xlnm.Print_Area" localSheetId="0">'ADM Hours'!$A$1:$AM$33</definedName>
  </definedNames>
  <calcPr calcId="125725"/>
  <customWorkbookViews>
    <customWorkbookView name="celson - Personal View" guid="{8BF2FB63-84AF-4446-AE87-F304D461B1B5}" mergeInterval="0" personalView="1" maximized="1" windowWidth="1020" windowHeight="565" activeSheetId="1"/>
  </customWorkbookViews>
</workbook>
</file>

<file path=xl/calcChain.xml><?xml version="1.0" encoding="utf-8"?>
<calcChain xmlns="http://schemas.openxmlformats.org/spreadsheetml/2006/main">
  <c r="T14" i="4"/>
  <c r="H15"/>
  <c r="AM20" s="1"/>
  <c r="AM21" s="1"/>
  <c r="AM22" s="1"/>
  <c r="AM23" s="1"/>
  <c r="AM24" s="1"/>
  <c r="AM25" s="1"/>
  <c r="AM26" s="1"/>
  <c r="AM27" s="1"/>
  <c r="AM28" s="1"/>
  <c r="AM29" s="1"/>
  <c r="AM30" s="1"/>
  <c r="AM31" s="1"/>
  <c r="AG20"/>
  <c r="AI13"/>
  <c r="V13"/>
  <c r="AL32"/>
  <c r="AG14"/>
  <c r="AG15" s="1"/>
  <c r="AK20" s="1"/>
  <c r="AK21" s="1"/>
  <c r="AK22" s="1"/>
  <c r="AK23" s="1"/>
  <c r="AK24" s="1"/>
  <c r="AK25" s="1"/>
  <c r="AK26" s="1"/>
  <c r="AK27" s="1"/>
  <c r="AK28" s="1"/>
  <c r="AK29" s="1"/>
  <c r="AK30" s="1"/>
  <c r="AK31" s="1"/>
  <c r="AK33" s="1"/>
  <c r="T15"/>
  <c r="AJ32"/>
  <c r="AH32"/>
  <c r="AI20" l="1"/>
  <c r="AG21" s="1"/>
  <c r="AI21" l="1"/>
  <c r="AG22" s="1"/>
  <c r="AI22" l="1"/>
  <c r="AG23" s="1"/>
  <c r="AI23" l="1"/>
  <c r="AG24" s="1"/>
  <c r="AI24" l="1"/>
  <c r="AG25" s="1"/>
  <c r="AI25" l="1"/>
  <c r="AG26" s="1"/>
  <c r="AI26" l="1"/>
  <c r="AG27" s="1"/>
  <c r="AI27" l="1"/>
  <c r="AG28" s="1"/>
  <c r="AI28" l="1"/>
  <c r="AG29" s="1"/>
  <c r="AI29" l="1"/>
  <c r="AG30" s="1"/>
  <c r="AI30" l="1"/>
  <c r="AG31" s="1"/>
  <c r="AI31" l="1"/>
  <c r="AI33" s="1"/>
</calcChain>
</file>

<file path=xl/sharedStrings.xml><?xml version="1.0" encoding="utf-8"?>
<sst xmlns="http://schemas.openxmlformats.org/spreadsheetml/2006/main" count="67" uniqueCount="66">
  <si>
    <t>July</t>
  </si>
  <si>
    <t>Time Off Codes</t>
  </si>
  <si>
    <t>May</t>
  </si>
  <si>
    <t>Vacation Balance</t>
  </si>
  <si>
    <t>Summary of Time Available &amp; Taken</t>
  </si>
  <si>
    <t>Weekend days</t>
  </si>
  <si>
    <t>DF: Death in Family</t>
  </si>
  <si>
    <t>D: Disability</t>
  </si>
  <si>
    <t>F: Family Leave</t>
  </si>
  <si>
    <t>H: Holiday</t>
  </si>
  <si>
    <t>J: Jury Duty</t>
  </si>
  <si>
    <t>PE: Personal</t>
  </si>
  <si>
    <t>M: Military Duty</t>
  </si>
  <si>
    <t>R: Religious</t>
  </si>
  <si>
    <t>L: Leave w/o Pay</t>
  </si>
  <si>
    <t>S: Sporadic Absence</t>
  </si>
  <si>
    <t>V: Vacation</t>
  </si>
  <si>
    <t>W: Worker's Comp</t>
  </si>
  <si>
    <t>Legend</t>
  </si>
  <si>
    <t>Cells to enter personal information</t>
  </si>
  <si>
    <t xml:space="preserve">Employee's Name: </t>
  </si>
  <si>
    <t xml:space="preserve">Department: </t>
  </si>
  <si>
    <t>1 full-time day=7.25 hours</t>
  </si>
  <si>
    <t>Enter # Monthly Pays:</t>
  </si>
  <si>
    <t>Aug</t>
  </si>
  <si>
    <t>Sept</t>
  </si>
  <si>
    <t>Oct</t>
  </si>
  <si>
    <t>Nov</t>
  </si>
  <si>
    <t>Dec</t>
  </si>
  <si>
    <t>Jan</t>
  </si>
  <si>
    <t>Feb</t>
  </si>
  <si>
    <t>Mar</t>
  </si>
  <si>
    <t>June</t>
  </si>
  <si>
    <t>Apr</t>
  </si>
  <si>
    <t>Mos &amp;
Days</t>
  </si>
  <si>
    <t>Max=</t>
  </si>
  <si>
    <t>Daily Schedule (Days, Hours):</t>
  </si>
  <si>
    <t>Total Hours Taken</t>
  </si>
  <si>
    <t>Holidays</t>
  </si>
  <si>
    <t>Vac. Hrs. Available</t>
  </si>
  <si>
    <t>Vac. Hrs. Taken</t>
  </si>
  <si>
    <t>Sick Hrs. Taken</t>
  </si>
  <si>
    <t>Sick Hrs. Balance</t>
  </si>
  <si>
    <t>Enter Duty Time (e.g., 100%):</t>
  </si>
  <si>
    <t>FY2013 Attendance and Time Off Tracking Tool for Administrative Staff in Hours</t>
  </si>
  <si>
    <r>
      <t xml:space="preserve">HOW TO USE THIS TOOL: Save the spreadsheet to your computer. In orange cells, where denoted, </t>
    </r>
    <r>
      <rPr>
        <b/>
        <sz val="10"/>
        <rFont val="Garamond"/>
        <family val="1"/>
      </rPr>
      <t>begin by entering your duty time, e.g., 100%, and number of pay periods, e.g., 12</t>
    </r>
    <r>
      <rPr>
        <sz val="10"/>
        <rFont val="Garamond"/>
        <family val="1"/>
      </rPr>
      <t>. Then, enter sick and/or vacation hours carried over from FY2012. You can mark your daily attendance with an X. Use codes listed below to record the amount of time off taken in the daily boxes, e.g., 7.25-V. One full-time day is equivalent to 7.25 hours. For each pay period, you must manually add up and enter the amount of time taken for each category in the corresponding orange box. As you enter time in the Summary columns at the end of each pay period, totals and time remaining, i.e., balances, will be calculated with embedded formulas that are based on current policies. If you have questions, contact your senior HR manager.</t>
    </r>
  </si>
  <si>
    <t>Holiday Schedule for FY2013</t>
  </si>
  <si>
    <t>July 4, 2012</t>
  </si>
  <si>
    <t>December 25, 2012</t>
  </si>
  <si>
    <t>September 3, 2012</t>
  </si>
  <si>
    <t>December 31, 2012</t>
  </si>
  <si>
    <t>November 22, 2012</t>
  </si>
  <si>
    <t>January 1, 2013</t>
  </si>
  <si>
    <t>November 23, 2012</t>
  </si>
  <si>
    <t>May 27, 2013</t>
  </si>
  <si>
    <t>December 24, 2012</t>
  </si>
  <si>
    <t>PE Taken</t>
  </si>
  <si>
    <t>PEBal.</t>
  </si>
  <si>
    <t>Time Remaining to Carry Over into FY2014 through 6/30/13</t>
  </si>
  <si>
    <t>Enter Sick Hours Carried over from FY2012:</t>
  </si>
  <si>
    <t>Sick Hours Allocated in FY2013:</t>
  </si>
  <si>
    <t>Total Sick Hours Available in FY2013:</t>
  </si>
  <si>
    <t>Total Vacation Hours Projected in FY2013:</t>
  </si>
  <si>
    <t>Vacation Hours Accrued Monthly in FY2013:</t>
  </si>
  <si>
    <t>Enter Vacation Hours Carried over from FY2012:</t>
  </si>
  <si>
    <t>Personal Hours in FY2013:</t>
  </si>
</sst>
</file>

<file path=xl/styles.xml><?xml version="1.0" encoding="utf-8"?>
<styleSheet xmlns="http://schemas.openxmlformats.org/spreadsheetml/2006/main">
  <numFmts count="3">
    <numFmt numFmtId="43" formatCode="_(* #,##0.00_);_(* \(#,##0.00\);_(* &quot;-&quot;??_);_(@_)"/>
    <numFmt numFmtId="164" formatCode="0.0"/>
    <numFmt numFmtId="165" formatCode="0.000"/>
  </numFmts>
  <fonts count="15">
    <font>
      <sz val="10"/>
      <name val="Arial"/>
    </font>
    <font>
      <sz val="10"/>
      <name val="Arial"/>
      <family val="2"/>
    </font>
    <font>
      <sz val="10"/>
      <name val="Garamond"/>
      <family val="1"/>
    </font>
    <font>
      <b/>
      <sz val="9"/>
      <name val="Garamond"/>
      <family val="1"/>
    </font>
    <font>
      <b/>
      <sz val="10"/>
      <name val="Garamond"/>
      <family val="1"/>
    </font>
    <font>
      <b/>
      <sz val="8"/>
      <name val="Garamond"/>
      <family val="1"/>
    </font>
    <font>
      <sz val="8"/>
      <name val="Garamond"/>
      <family val="1"/>
    </font>
    <font>
      <b/>
      <sz val="11"/>
      <name val="Garamond"/>
      <family val="1"/>
    </font>
    <font>
      <sz val="11"/>
      <name val="Garamond"/>
      <family val="1"/>
    </font>
    <font>
      <b/>
      <sz val="12"/>
      <name val="Garamond"/>
      <family val="1"/>
    </font>
    <font>
      <sz val="10"/>
      <name val="Arial"/>
      <family val="2"/>
    </font>
    <font>
      <sz val="12"/>
      <name val="Garamond"/>
      <family val="1"/>
    </font>
    <font>
      <sz val="9"/>
      <name val="Garamond"/>
      <family val="1"/>
    </font>
    <font>
      <sz val="11"/>
      <color theme="1"/>
      <name val="Calibri"/>
      <family val="2"/>
      <scheme val="minor"/>
    </font>
    <font>
      <b/>
      <sz val="6"/>
      <name val="Garamond"/>
      <family val="1"/>
    </font>
  </fonts>
  <fills count="7">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2" tint="-9.9978637043366805E-2"/>
        <bgColor indexed="64"/>
      </patternFill>
    </fill>
  </fills>
  <borders count="35">
    <border>
      <left/>
      <right/>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diagonal/>
    </border>
    <border>
      <left/>
      <right/>
      <top style="thin">
        <color indexed="64"/>
      </top>
      <bottom style="thin">
        <color indexed="64"/>
      </bottom>
      <diagonal/>
    </border>
    <border>
      <left style="thin">
        <color indexed="64"/>
      </left>
      <right style="double">
        <color indexed="64"/>
      </right>
      <top style="double">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style="thin">
        <color indexed="64"/>
      </right>
      <top style="thin">
        <color indexed="64"/>
      </top>
      <bottom style="double">
        <color indexed="64"/>
      </bottom>
      <diagonal/>
    </border>
    <border>
      <left/>
      <right style="thin">
        <color indexed="64"/>
      </right>
      <top/>
      <bottom style="double">
        <color indexed="64"/>
      </bottom>
      <diagonal/>
    </border>
    <border>
      <left style="thin">
        <color theme="1" tint="0.249977111117893"/>
      </left>
      <right/>
      <top style="thin">
        <color indexed="64"/>
      </top>
      <bottom style="thin">
        <color theme="1" tint="0.249977111117893"/>
      </bottom>
      <diagonal/>
    </border>
    <border>
      <left/>
      <right/>
      <top style="thin">
        <color indexed="64"/>
      </top>
      <bottom style="thin">
        <color theme="1" tint="0.249977111117893"/>
      </bottom>
      <diagonal/>
    </border>
    <border>
      <left/>
      <right style="thin">
        <color indexed="64"/>
      </right>
      <top style="thin">
        <color indexed="64"/>
      </top>
      <bottom style="thin">
        <color theme="1" tint="0.249977111117893"/>
      </bottom>
      <diagonal/>
    </border>
    <border>
      <left/>
      <right/>
      <top style="thin">
        <color theme="1" tint="0.249977111117893"/>
      </top>
      <bottom style="thin">
        <color theme="1" tint="0.249977111117893"/>
      </bottom>
      <diagonal/>
    </border>
    <border>
      <left/>
      <right style="thin">
        <color indexed="64"/>
      </right>
      <top style="thin">
        <color theme="1" tint="0.249977111117893"/>
      </top>
      <bottom style="thin">
        <color theme="1" tint="0.249977111117893"/>
      </bottom>
      <diagonal/>
    </border>
    <border>
      <left/>
      <right/>
      <top/>
      <bottom style="thin">
        <color theme="1" tint="0.249977111117893"/>
      </bottom>
      <diagonal/>
    </border>
    <border>
      <left style="thin">
        <color theme="1" tint="0.249977111117893"/>
      </left>
      <right style="thin">
        <color indexed="64"/>
      </right>
      <top style="thin">
        <color indexed="64"/>
      </top>
      <bottom/>
      <diagonal/>
    </border>
    <border>
      <left style="thin">
        <color theme="1" tint="0.249977111117893"/>
      </left>
      <right style="thin">
        <color indexed="64"/>
      </right>
      <top/>
      <bottom style="double">
        <color indexed="64"/>
      </bottom>
      <diagonal/>
    </border>
    <border>
      <left style="thin">
        <color theme="1" tint="0.249977111117893"/>
      </left>
      <right style="thin">
        <color theme="1" tint="0.249977111117893"/>
      </right>
      <top style="thin">
        <color indexed="64"/>
      </top>
      <bottom/>
      <diagonal/>
    </border>
    <border>
      <left style="thin">
        <color theme="1" tint="0.249977111117893"/>
      </left>
      <right style="thin">
        <color theme="1" tint="0.249977111117893"/>
      </right>
      <top/>
      <bottom style="double">
        <color indexed="64"/>
      </bottom>
      <diagonal/>
    </border>
  </borders>
  <cellStyleXfs count="7">
    <xf numFmtId="0" fontId="0" fillId="0" borderId="0"/>
    <xf numFmtId="43" fontId="1" fillId="0" borderId="0" applyFont="0" applyFill="0" applyBorder="0" applyAlignment="0" applyProtection="0"/>
    <xf numFmtId="43" fontId="1" fillId="0" borderId="0" applyFont="0" applyFill="0" applyBorder="0" applyAlignment="0" applyProtection="0"/>
    <xf numFmtId="0" fontId="10" fillId="0" borderId="0"/>
    <xf numFmtId="0" fontId="1" fillId="0" borderId="0"/>
    <xf numFmtId="0" fontId="13" fillId="0" borderId="0"/>
    <xf numFmtId="0" fontId="1" fillId="0" borderId="0"/>
  </cellStyleXfs>
  <cellXfs count="162">
    <xf numFmtId="0" fontId="0" fillId="0" borderId="0" xfId="0"/>
    <xf numFmtId="2" fontId="5" fillId="2" borderId="1" xfId="0" applyNumberFormat="1" applyFont="1" applyFill="1" applyBorder="1" applyAlignment="1" applyProtection="1">
      <alignment horizontal="center"/>
      <protection locked="0"/>
    </xf>
    <xf numFmtId="0" fontId="7" fillId="3" borderId="0" xfId="0" applyFont="1" applyFill="1" applyBorder="1" applyAlignment="1" applyProtection="1">
      <alignment horizontal="left"/>
    </xf>
    <xf numFmtId="164" fontId="5" fillId="2" borderId="1" xfId="0" applyNumberFormat="1" applyFont="1" applyFill="1" applyBorder="1" applyAlignment="1" applyProtection="1">
      <alignment horizontal="center"/>
      <protection locked="0"/>
    </xf>
    <xf numFmtId="9" fontId="5" fillId="3" borderId="3" xfId="6" applyNumberFormat="1" applyFont="1" applyFill="1" applyBorder="1" applyAlignment="1" applyProtection="1">
      <alignment horizontal="center"/>
    </xf>
    <xf numFmtId="0" fontId="4" fillId="0" borderId="3" xfId="6" applyFont="1" applyBorder="1" applyAlignment="1" applyProtection="1">
      <alignment horizontal="left"/>
    </xf>
    <xf numFmtId="0" fontId="4" fillId="0" borderId="3" xfId="6" applyFont="1" applyBorder="1" applyProtection="1"/>
    <xf numFmtId="0" fontId="4" fillId="0" borderId="3" xfId="6" applyFont="1" applyBorder="1" applyAlignment="1" applyProtection="1">
      <alignment horizontal="right"/>
    </xf>
    <xf numFmtId="1" fontId="5" fillId="3" borderId="4" xfId="6" applyNumberFormat="1" applyFont="1" applyFill="1" applyBorder="1" applyAlignment="1" applyProtection="1">
      <alignment horizontal="center"/>
    </xf>
    <xf numFmtId="1" fontId="5" fillId="3" borderId="0" xfId="6" applyNumberFormat="1" applyFont="1" applyFill="1" applyBorder="1" applyAlignment="1" applyProtection="1">
      <alignment horizontal="center"/>
    </xf>
    <xf numFmtId="0" fontId="4" fillId="0" borderId="0" xfId="6" applyFont="1" applyBorder="1" applyAlignment="1" applyProtection="1">
      <alignment horizontal="left"/>
    </xf>
    <xf numFmtId="0" fontId="1" fillId="0" borderId="0" xfId="6" applyBorder="1" applyProtection="1"/>
    <xf numFmtId="0" fontId="4" fillId="0" borderId="0" xfId="6" applyFont="1" applyBorder="1" applyAlignment="1" applyProtection="1">
      <alignment horizontal="right"/>
    </xf>
    <xf numFmtId="2" fontId="5" fillId="3" borderId="5" xfId="6" applyNumberFormat="1" applyFont="1" applyFill="1" applyBorder="1" applyAlignment="1" applyProtection="1">
      <alignment horizontal="center"/>
    </xf>
    <xf numFmtId="2" fontId="5" fillId="3" borderId="6" xfId="6" applyNumberFormat="1" applyFont="1" applyFill="1" applyBorder="1" applyAlignment="1" applyProtection="1">
      <alignment horizontal="center"/>
    </xf>
    <xf numFmtId="0" fontId="4" fillId="0" borderId="6" xfId="6" applyFont="1" applyBorder="1" applyAlignment="1" applyProtection="1">
      <alignment horizontal="left"/>
    </xf>
    <xf numFmtId="0" fontId="1" fillId="0" borderId="6" xfId="6" applyBorder="1" applyProtection="1"/>
    <xf numFmtId="0" fontId="4" fillId="0" borderId="6" xfId="6" applyFont="1" applyBorder="1" applyAlignment="1" applyProtection="1">
      <alignment horizontal="right"/>
    </xf>
    <xf numFmtId="9" fontId="5" fillId="3" borderId="7" xfId="6" applyNumberFormat="1" applyFont="1" applyFill="1" applyBorder="1" applyAlignment="1" applyProtection="1">
      <alignment horizontal="center"/>
    </xf>
    <xf numFmtId="0" fontId="9" fillId="0" borderId="3" xfId="0" applyFont="1" applyBorder="1" applyProtection="1"/>
    <xf numFmtId="0" fontId="9" fillId="0" borderId="3" xfId="6" applyFont="1" applyBorder="1" applyProtection="1"/>
    <xf numFmtId="0" fontId="9" fillId="0" borderId="0" xfId="0" applyFont="1" applyBorder="1" applyProtection="1"/>
    <xf numFmtId="0" fontId="9" fillId="0" borderId="0" xfId="6" applyFont="1" applyBorder="1" applyProtection="1"/>
    <xf numFmtId="0" fontId="9" fillId="0" borderId="6" xfId="0" applyFont="1" applyBorder="1" applyProtection="1"/>
    <xf numFmtId="0" fontId="9" fillId="0" borderId="6" xfId="6" applyFont="1" applyBorder="1" applyProtection="1"/>
    <xf numFmtId="0" fontId="4" fillId="0" borderId="6" xfId="6" applyFont="1" applyBorder="1" applyAlignment="1" applyProtection="1">
      <alignment horizontal="right" vertical="center"/>
    </xf>
    <xf numFmtId="0" fontId="9" fillId="0" borderId="0" xfId="0" applyFont="1" applyAlignment="1" applyProtection="1">
      <alignment horizontal="center"/>
    </xf>
    <xf numFmtId="0" fontId="7" fillId="0" borderId="0" xfId="0" applyFont="1" applyProtection="1"/>
    <xf numFmtId="0" fontId="9" fillId="0" borderId="0" xfId="0" applyFont="1" applyProtection="1"/>
    <xf numFmtId="0" fontId="4" fillId="3" borderId="0" xfId="0" applyFont="1" applyFill="1" applyBorder="1" applyProtection="1"/>
    <xf numFmtId="9" fontId="7" fillId="3" borderId="0" xfId="0" applyNumberFormat="1" applyFont="1" applyFill="1" applyBorder="1" applyAlignment="1" applyProtection="1">
      <alignment horizontal="left"/>
    </xf>
    <xf numFmtId="0" fontId="9" fillId="3" borderId="0" xfId="0" applyFont="1" applyFill="1" applyProtection="1"/>
    <xf numFmtId="0" fontId="2" fillId="0" borderId="0" xfId="0" applyFont="1" applyBorder="1" applyAlignment="1" applyProtection="1">
      <alignment horizontal="left" vertical="center" wrapText="1"/>
    </xf>
    <xf numFmtId="0" fontId="9" fillId="0" borderId="0" xfId="0" applyFont="1" applyAlignment="1" applyProtection="1">
      <alignment vertical="center"/>
    </xf>
    <xf numFmtId="0" fontId="4" fillId="0" borderId="3" xfId="0" applyFont="1" applyBorder="1" applyProtection="1"/>
    <xf numFmtId="0" fontId="9" fillId="0" borderId="8" xfId="0" applyFont="1" applyBorder="1" applyProtection="1"/>
    <xf numFmtId="0" fontId="2" fillId="0" borderId="0" xfId="0" applyFont="1" applyProtection="1"/>
    <xf numFmtId="0" fontId="2" fillId="0" borderId="0" xfId="0" applyFont="1" applyBorder="1" applyProtection="1"/>
    <xf numFmtId="0" fontId="9" fillId="0" borderId="9" xfId="0" applyFont="1" applyBorder="1" applyProtection="1"/>
    <xf numFmtId="49" fontId="2" fillId="0" borderId="0" xfId="0" applyNumberFormat="1" applyFont="1" applyBorder="1" applyAlignment="1" applyProtection="1">
      <alignment horizontal="left"/>
    </xf>
    <xf numFmtId="0" fontId="2" fillId="0" borderId="9" xfId="0" applyFont="1" applyBorder="1" applyProtection="1"/>
    <xf numFmtId="0" fontId="9" fillId="0" borderId="5" xfId="0" applyFont="1" applyBorder="1" applyProtection="1"/>
    <xf numFmtId="0" fontId="2" fillId="0" borderId="6" xfId="0" applyFont="1" applyBorder="1" applyProtection="1"/>
    <xf numFmtId="0" fontId="2" fillId="0" borderId="10" xfId="0" applyFont="1" applyBorder="1" applyProtection="1"/>
    <xf numFmtId="0" fontId="9" fillId="0" borderId="4" xfId="0" applyFont="1" applyBorder="1" applyProtection="1"/>
    <xf numFmtId="0" fontId="9" fillId="0" borderId="7" xfId="0" applyFont="1" applyBorder="1" applyProtection="1"/>
    <xf numFmtId="0" fontId="5" fillId="0" borderId="3" xfId="6" applyFont="1" applyBorder="1" applyAlignment="1" applyProtection="1">
      <alignment horizontal="left"/>
    </xf>
    <xf numFmtId="0" fontId="2" fillId="0" borderId="8" xfId="0" applyFont="1" applyBorder="1" applyAlignment="1" applyProtection="1">
      <alignment horizontal="left" wrapText="1"/>
    </xf>
    <xf numFmtId="0" fontId="9" fillId="0" borderId="0" xfId="6" applyFont="1" applyBorder="1" applyAlignment="1" applyProtection="1">
      <alignment horizontal="center"/>
    </xf>
    <xf numFmtId="1" fontId="5" fillId="3" borderId="9" xfId="6" applyNumberFormat="1" applyFont="1" applyFill="1" applyBorder="1" applyAlignment="1" applyProtection="1">
      <alignment horizontal="center"/>
    </xf>
    <xf numFmtId="0" fontId="2" fillId="0" borderId="9" xfId="0" applyFont="1" applyBorder="1" applyAlignment="1" applyProtection="1">
      <alignment horizontal="left" wrapText="1"/>
    </xf>
    <xf numFmtId="0" fontId="2" fillId="0" borderId="10" xfId="0" applyFont="1" applyBorder="1" applyAlignment="1" applyProtection="1">
      <alignment horizontal="left" wrapText="1"/>
    </xf>
    <xf numFmtId="2" fontId="5" fillId="3" borderId="0" xfId="0" applyNumberFormat="1" applyFont="1" applyFill="1" applyBorder="1" applyAlignment="1" applyProtection="1">
      <alignment horizontal="center"/>
    </xf>
    <xf numFmtId="2" fontId="5" fillId="3" borderId="0" xfId="6" applyNumberFormat="1" applyFont="1" applyFill="1" applyBorder="1" applyAlignment="1" applyProtection="1">
      <alignment horizontal="center"/>
    </xf>
    <xf numFmtId="2" fontId="5" fillId="3" borderId="0" xfId="6" applyNumberFormat="1" applyFont="1" applyFill="1" applyBorder="1" applyAlignment="1" applyProtection="1">
      <alignment horizontal="right"/>
    </xf>
    <xf numFmtId="0" fontId="4" fillId="0" borderId="0" xfId="6" applyFont="1" applyBorder="1" applyAlignment="1" applyProtection="1">
      <alignment horizontal="right" vertical="center"/>
    </xf>
    <xf numFmtId="0" fontId="2" fillId="0" borderId="0" xfId="0" applyFont="1" applyBorder="1" applyAlignment="1" applyProtection="1">
      <alignment horizontal="left" wrapText="1"/>
    </xf>
    <xf numFmtId="0" fontId="4" fillId="0" borderId="0" xfId="0" applyFont="1" applyBorder="1" applyAlignment="1" applyProtection="1">
      <alignment horizontal="left"/>
    </xf>
    <xf numFmtId="0" fontId="9" fillId="0" borderId="3" xfId="0" applyFont="1" applyBorder="1" applyAlignment="1" applyProtection="1">
      <alignment horizontal="center"/>
    </xf>
    <xf numFmtId="0" fontId="4" fillId="0" borderId="3" xfId="0" applyFont="1" applyBorder="1" applyAlignment="1" applyProtection="1">
      <alignment horizontal="left"/>
    </xf>
    <xf numFmtId="2" fontId="4" fillId="0" borderId="3" xfId="0" applyNumberFormat="1" applyFont="1" applyBorder="1" applyAlignment="1" applyProtection="1">
      <alignment horizontal="left"/>
    </xf>
    <xf numFmtId="2" fontId="5" fillId="3" borderId="25" xfId="0" applyNumberFormat="1" applyFont="1" applyFill="1" applyBorder="1" applyAlignment="1" applyProtection="1">
      <alignment horizontal="center"/>
    </xf>
    <xf numFmtId="2" fontId="5" fillId="3" borderId="26" xfId="0" applyNumberFormat="1" applyFont="1" applyFill="1" applyBorder="1" applyAlignment="1" applyProtection="1">
      <alignment horizontal="center"/>
    </xf>
    <xf numFmtId="2" fontId="5" fillId="3" borderId="27" xfId="0" applyNumberFormat="1" applyFont="1" applyFill="1" applyBorder="1" applyAlignment="1" applyProtection="1">
      <alignment horizontal="center"/>
    </xf>
    <xf numFmtId="2" fontId="5" fillId="3" borderId="28" xfId="0" applyNumberFormat="1" applyFont="1" applyFill="1" applyBorder="1" applyAlignment="1" applyProtection="1">
      <alignment horizontal="center"/>
    </xf>
    <xf numFmtId="2" fontId="5" fillId="3" borderId="29" xfId="0" applyNumberFormat="1" applyFont="1" applyFill="1" applyBorder="1" applyAlignment="1" applyProtection="1">
      <alignment horizontal="center"/>
    </xf>
    <xf numFmtId="2" fontId="5" fillId="3" borderId="30" xfId="0" applyNumberFormat="1" applyFont="1" applyFill="1" applyBorder="1" applyAlignment="1" applyProtection="1">
      <alignment horizontal="center"/>
    </xf>
    <xf numFmtId="0" fontId="5" fillId="4" borderId="3" xfId="0" applyFont="1" applyFill="1" applyBorder="1" applyProtection="1"/>
    <xf numFmtId="0" fontId="9" fillId="4" borderId="3" xfId="0" applyFont="1" applyFill="1" applyBorder="1" applyProtection="1"/>
    <xf numFmtId="0" fontId="5" fillId="4" borderId="11" xfId="0" applyFont="1" applyFill="1" applyBorder="1" applyProtection="1"/>
    <xf numFmtId="2" fontId="5" fillId="3" borderId="12" xfId="0" applyNumberFormat="1" applyFont="1" applyFill="1" applyBorder="1" applyAlignment="1" applyProtection="1">
      <alignment horizontal="center"/>
    </xf>
    <xf numFmtId="0" fontId="2" fillId="4" borderId="6" xfId="0" applyFont="1" applyFill="1" applyBorder="1" applyProtection="1"/>
    <xf numFmtId="0" fontId="5" fillId="4" borderId="6" xfId="0" applyFont="1" applyFill="1" applyBorder="1" applyProtection="1"/>
    <xf numFmtId="2" fontId="5" fillId="4" borderId="6" xfId="0" applyNumberFormat="1" applyFont="1" applyFill="1" applyBorder="1" applyProtection="1"/>
    <xf numFmtId="0" fontId="6" fillId="4" borderId="10" xfId="0" applyFont="1" applyFill="1" applyBorder="1" applyProtection="1"/>
    <xf numFmtId="0" fontId="8" fillId="0" borderId="0" xfId="0" applyFont="1" applyProtection="1"/>
    <xf numFmtId="0" fontId="11" fillId="0" borderId="0" xfId="0" applyFont="1" applyProtection="1"/>
    <xf numFmtId="0" fontId="4" fillId="0" borderId="0" xfId="0" applyFont="1" applyProtection="1"/>
    <xf numFmtId="2" fontId="5" fillId="2" borderId="13" xfId="0" applyNumberFormat="1" applyFont="1" applyFill="1" applyBorder="1" applyAlignment="1" applyProtection="1">
      <alignment horizontal="center"/>
      <protection locked="0"/>
    </xf>
    <xf numFmtId="0" fontId="5" fillId="4" borderId="14" xfId="0" applyFont="1" applyFill="1" applyBorder="1" applyProtection="1"/>
    <xf numFmtId="0" fontId="6" fillId="4" borderId="9" xfId="0" applyFont="1" applyFill="1" applyBorder="1" applyProtection="1"/>
    <xf numFmtId="0" fontId="4" fillId="4" borderId="4" xfId="0" applyFont="1" applyFill="1" applyBorder="1" applyProtection="1"/>
    <xf numFmtId="0" fontId="3" fillId="0" borderId="7" xfId="4" applyFont="1" applyBorder="1" applyAlignment="1" applyProtection="1">
      <alignment vertical="center"/>
    </xf>
    <xf numFmtId="0" fontId="12" fillId="0" borderId="4" xfId="4" applyFont="1" applyBorder="1" applyAlignment="1" applyProtection="1">
      <alignment vertical="center"/>
    </xf>
    <xf numFmtId="0" fontId="3" fillId="5" borderId="12" xfId="4" applyFont="1" applyFill="1" applyBorder="1" applyAlignment="1" applyProtection="1">
      <alignment vertical="center"/>
    </xf>
    <xf numFmtId="0" fontId="3" fillId="6" borderId="12" xfId="4" applyFont="1" applyFill="1" applyBorder="1" applyAlignment="1" applyProtection="1">
      <alignment horizontal="center" vertical="center" wrapText="1"/>
    </xf>
    <xf numFmtId="2" fontId="3" fillId="2" borderId="15" xfId="4" applyNumberFormat="1" applyFont="1" applyFill="1" applyBorder="1" applyAlignment="1" applyProtection="1">
      <alignment vertical="center"/>
    </xf>
    <xf numFmtId="0" fontId="12" fillId="0" borderId="0" xfId="4" applyFont="1" applyBorder="1" applyProtection="1"/>
    <xf numFmtId="0" fontId="4" fillId="2" borderId="7" xfId="0" applyFont="1" applyFill="1" applyBorder="1" applyProtection="1"/>
    <xf numFmtId="0" fontId="4" fillId="2" borderId="3" xfId="0" applyFont="1" applyFill="1" applyBorder="1" applyProtection="1"/>
    <xf numFmtId="0" fontId="2" fillId="2" borderId="3" xfId="0" applyFont="1" applyFill="1" applyBorder="1" applyProtection="1"/>
    <xf numFmtId="49" fontId="2" fillId="2" borderId="3" xfId="0" applyNumberFormat="1" applyFont="1" applyFill="1" applyBorder="1" applyAlignment="1" applyProtection="1">
      <alignment horizontal="left"/>
    </xf>
    <xf numFmtId="0" fontId="4" fillId="0" borderId="3" xfId="0" applyFont="1" applyBorder="1" applyAlignment="1" applyProtection="1">
      <alignment horizontal="right"/>
    </xf>
    <xf numFmtId="49" fontId="2" fillId="0" borderId="0" xfId="4" applyNumberFormat="1" applyFont="1" applyBorder="1" applyAlignment="1" applyProtection="1">
      <alignment horizontal="left"/>
    </xf>
    <xf numFmtId="0" fontId="9" fillId="0" borderId="0" xfId="4" applyFont="1" applyBorder="1" applyProtection="1"/>
    <xf numFmtId="0" fontId="9" fillId="0" borderId="6" xfId="4" applyFont="1" applyBorder="1" applyProtection="1"/>
    <xf numFmtId="49" fontId="2" fillId="0" borderId="6" xfId="4" applyNumberFormat="1" applyFont="1" applyBorder="1" applyAlignment="1" applyProtection="1">
      <alignment horizontal="left"/>
    </xf>
    <xf numFmtId="49" fontId="2" fillId="0" borderId="5" xfId="4" applyNumberFormat="1" applyFont="1" applyBorder="1" applyAlignment="1" applyProtection="1">
      <alignment horizontal="left"/>
    </xf>
    <xf numFmtId="49" fontId="2" fillId="0" borderId="4" xfId="4" applyNumberFormat="1" applyFont="1" applyBorder="1" applyAlignment="1" applyProtection="1">
      <alignment horizontal="left"/>
    </xf>
    <xf numFmtId="0" fontId="4" fillId="0" borderId="0" xfId="4" applyFont="1" applyBorder="1" applyProtection="1"/>
    <xf numFmtId="49" fontId="12" fillId="0" borderId="9" xfId="4" applyNumberFormat="1" applyFont="1" applyBorder="1" applyAlignment="1" applyProtection="1">
      <alignment horizontal="left"/>
    </xf>
    <xf numFmtId="49" fontId="12" fillId="0" borderId="0" xfId="4" applyNumberFormat="1" applyFont="1" applyBorder="1" applyAlignment="1" applyProtection="1">
      <alignment horizontal="left"/>
    </xf>
    <xf numFmtId="49" fontId="12" fillId="0" borderId="6" xfId="4" applyNumberFormat="1" applyFont="1" applyBorder="1" applyAlignment="1" applyProtection="1">
      <alignment horizontal="left"/>
    </xf>
    <xf numFmtId="49" fontId="12" fillId="0" borderId="5" xfId="4" applyNumberFormat="1" applyFont="1" applyBorder="1" applyAlignment="1" applyProtection="1"/>
    <xf numFmtId="49" fontId="12" fillId="0" borderId="4" xfId="4" applyNumberFormat="1" applyFont="1" applyBorder="1" applyAlignment="1" applyProtection="1"/>
    <xf numFmtId="0" fontId="3" fillId="6" borderId="7" xfId="4" applyFont="1" applyFill="1" applyBorder="1" applyAlignment="1" applyProtection="1"/>
    <xf numFmtId="0" fontId="9" fillId="0" borderId="10" xfId="4" applyFont="1" applyBorder="1" applyProtection="1"/>
    <xf numFmtId="0" fontId="3" fillId="6" borderId="3" xfId="4" applyFont="1" applyFill="1" applyBorder="1" applyAlignment="1" applyProtection="1"/>
    <xf numFmtId="0" fontId="3" fillId="6" borderId="8" xfId="4" applyFont="1" applyFill="1" applyBorder="1" applyAlignment="1" applyProtection="1"/>
    <xf numFmtId="0" fontId="3" fillId="3" borderId="4" xfId="4" applyFont="1" applyFill="1" applyBorder="1" applyProtection="1"/>
    <xf numFmtId="0" fontId="3" fillId="3" borderId="12" xfId="4" applyFont="1" applyFill="1" applyBorder="1" applyAlignment="1" applyProtection="1">
      <alignment horizontal="center" vertical="center"/>
    </xf>
    <xf numFmtId="0" fontId="5" fillId="3" borderId="16" xfId="4" applyFont="1" applyFill="1" applyBorder="1" applyAlignment="1" applyProtection="1">
      <alignment horizontal="left" vertical="center" wrapText="1"/>
    </xf>
    <xf numFmtId="0" fontId="3" fillId="3" borderId="5" xfId="4" applyFont="1" applyFill="1" applyBorder="1" applyProtection="1"/>
    <xf numFmtId="0" fontId="6" fillId="5" borderId="12" xfId="4" applyFont="1" applyFill="1" applyBorder="1" applyAlignment="1" applyProtection="1">
      <alignment horizontal="center" wrapText="1"/>
      <protection locked="0"/>
    </xf>
    <xf numFmtId="0" fontId="6" fillId="0" borderId="12" xfId="4" applyFont="1" applyBorder="1" applyAlignment="1" applyProtection="1">
      <alignment horizontal="center" wrapText="1"/>
      <protection locked="0"/>
    </xf>
    <xf numFmtId="0" fontId="6" fillId="6" borderId="12" xfId="4" applyFont="1" applyFill="1" applyBorder="1" applyAlignment="1" applyProtection="1">
      <alignment horizontal="center" wrapText="1"/>
      <protection locked="0"/>
    </xf>
    <xf numFmtId="0" fontId="6" fillId="4" borderId="12" xfId="4" applyFont="1" applyFill="1" applyBorder="1" applyAlignment="1" applyProtection="1">
      <alignment horizontal="center" wrapText="1"/>
      <protection locked="0"/>
    </xf>
    <xf numFmtId="0" fontId="9" fillId="0" borderId="12" xfId="4" applyFont="1" applyBorder="1" applyProtection="1"/>
    <xf numFmtId="0" fontId="4" fillId="0" borderId="7" xfId="4" applyFont="1" applyBorder="1" applyAlignment="1" applyProtection="1">
      <alignment horizontal="left"/>
    </xf>
    <xf numFmtId="0" fontId="4" fillId="0" borderId="3" xfId="4" applyFont="1" applyBorder="1" applyAlignment="1" applyProtection="1">
      <alignment horizontal="left"/>
    </xf>
    <xf numFmtId="0" fontId="4" fillId="3" borderId="3" xfId="0" applyFont="1" applyFill="1" applyBorder="1" applyProtection="1"/>
    <xf numFmtId="0" fontId="4" fillId="0" borderId="3" xfId="4" applyFont="1" applyBorder="1" applyAlignment="1" applyProtection="1">
      <alignment horizontal="right"/>
    </xf>
    <xf numFmtId="0" fontId="7" fillId="3" borderId="4" xfId="0" applyFont="1" applyFill="1" applyBorder="1" applyAlignment="1" applyProtection="1">
      <alignment horizontal="left"/>
    </xf>
    <xf numFmtId="9" fontId="7" fillId="3" borderId="9" xfId="0" applyNumberFormat="1" applyFont="1" applyFill="1" applyBorder="1" applyAlignment="1" applyProtection="1">
      <alignment horizontal="left"/>
    </xf>
    <xf numFmtId="0" fontId="1" fillId="0" borderId="0" xfId="4" applyBorder="1"/>
    <xf numFmtId="0" fontId="2" fillId="0" borderId="4" xfId="0" applyFont="1" applyBorder="1" applyAlignment="1" applyProtection="1">
      <alignment horizontal="left" vertical="center" wrapText="1"/>
    </xf>
    <xf numFmtId="0" fontId="2" fillId="0" borderId="9" xfId="0" applyFont="1" applyBorder="1" applyAlignment="1" applyProtection="1">
      <alignment horizontal="left" vertical="center" wrapText="1"/>
    </xf>
    <xf numFmtId="0" fontId="4" fillId="0" borderId="4" xfId="0" applyFont="1" applyBorder="1" applyAlignment="1" applyProtection="1">
      <alignment horizontal="left"/>
    </xf>
    <xf numFmtId="0" fontId="7" fillId="0" borderId="0" xfId="0" quotePrefix="1" applyFont="1" applyProtection="1"/>
    <xf numFmtId="1" fontId="5" fillId="2" borderId="2" xfId="0" applyNumberFormat="1" applyFont="1" applyFill="1" applyBorder="1" applyAlignment="1" applyProtection="1">
      <alignment horizontal="center"/>
      <protection locked="0"/>
    </xf>
    <xf numFmtId="2" fontId="14" fillId="2" borderId="1" xfId="0" applyNumberFormat="1" applyFont="1" applyFill="1" applyBorder="1" applyAlignment="1" applyProtection="1">
      <alignment horizontal="center"/>
      <protection locked="0"/>
    </xf>
    <xf numFmtId="0" fontId="4" fillId="3" borderId="5" xfId="0" applyFont="1" applyFill="1" applyBorder="1" applyProtection="1"/>
    <xf numFmtId="0" fontId="4" fillId="3" borderId="6" xfId="0" applyFont="1" applyFill="1" applyBorder="1" applyProtection="1"/>
    <xf numFmtId="0" fontId="4" fillId="3" borderId="31" xfId="0" applyFont="1" applyFill="1" applyBorder="1" applyAlignment="1" applyProtection="1">
      <alignment horizontal="center" textRotation="90" wrapText="1"/>
    </xf>
    <xf numFmtId="0" fontId="4" fillId="3" borderId="32" xfId="0" applyFont="1" applyFill="1" applyBorder="1" applyAlignment="1" applyProtection="1">
      <alignment horizontal="center" textRotation="90" wrapText="1"/>
    </xf>
    <xf numFmtId="0" fontId="4" fillId="3" borderId="10" xfId="0" applyFont="1" applyFill="1" applyBorder="1" applyAlignment="1" applyProtection="1">
      <alignment horizontal="center" textRotation="90" wrapText="1"/>
    </xf>
    <xf numFmtId="0" fontId="4" fillId="3" borderId="8" xfId="0" applyFont="1" applyFill="1" applyBorder="1" applyAlignment="1" applyProtection="1">
      <alignment horizontal="center" textRotation="90" wrapText="1"/>
    </xf>
    <xf numFmtId="0" fontId="4" fillId="3" borderId="24" xfId="0" applyFont="1" applyFill="1" applyBorder="1" applyAlignment="1" applyProtection="1">
      <alignment horizontal="center" textRotation="90" wrapText="1"/>
    </xf>
    <xf numFmtId="0" fontId="4" fillId="3" borderId="3" xfId="0" applyFont="1" applyFill="1" applyBorder="1" applyAlignment="1" applyProtection="1">
      <alignment horizontal="center" textRotation="90" wrapText="1"/>
    </xf>
    <xf numFmtId="0" fontId="4" fillId="3" borderId="6" xfId="0" applyFont="1" applyFill="1" applyBorder="1" applyAlignment="1" applyProtection="1">
      <alignment horizontal="center" textRotation="90" wrapText="1"/>
    </xf>
    <xf numFmtId="0" fontId="4" fillId="3" borderId="33" xfId="0" applyFont="1" applyFill="1" applyBorder="1" applyAlignment="1" applyProtection="1">
      <alignment horizontal="center" textRotation="90" wrapText="1"/>
    </xf>
    <xf numFmtId="0" fontId="4" fillId="3" borderId="34" xfId="0" applyFont="1" applyFill="1" applyBorder="1" applyAlignment="1" applyProtection="1">
      <alignment horizontal="center" textRotation="90" wrapText="1"/>
    </xf>
    <xf numFmtId="2" fontId="5" fillId="3" borderId="0" xfId="0" applyNumberFormat="1" applyFont="1" applyFill="1" applyBorder="1" applyAlignment="1" applyProtection="1">
      <alignment horizontal="left"/>
    </xf>
    <xf numFmtId="0" fontId="4" fillId="4" borderId="16" xfId="0" applyFont="1" applyFill="1" applyBorder="1" applyAlignment="1" applyProtection="1">
      <alignment horizontal="center"/>
    </xf>
    <xf numFmtId="0" fontId="4" fillId="4" borderId="14" xfId="0" applyFont="1" applyFill="1" applyBorder="1" applyAlignment="1" applyProtection="1">
      <alignment horizontal="center"/>
    </xf>
    <xf numFmtId="0" fontId="4" fillId="4" borderId="17" xfId="0" applyFont="1" applyFill="1" applyBorder="1" applyAlignment="1" applyProtection="1">
      <alignment horizontal="center"/>
    </xf>
    <xf numFmtId="0" fontId="9" fillId="0" borderId="0" xfId="0" applyFont="1" applyAlignment="1" applyProtection="1">
      <alignment horizontal="center"/>
    </xf>
    <xf numFmtId="0" fontId="4" fillId="2" borderId="18" xfId="4" applyNumberFormat="1" applyFont="1" applyFill="1" applyBorder="1" applyAlignment="1" applyProtection="1">
      <alignment horizontal="left"/>
      <protection locked="0"/>
    </xf>
    <xf numFmtId="0" fontId="4" fillId="2" borderId="19" xfId="4" applyNumberFormat="1" applyFont="1" applyFill="1" applyBorder="1" applyAlignment="1" applyProtection="1">
      <alignment horizontal="left"/>
      <protection locked="0"/>
    </xf>
    <xf numFmtId="0" fontId="4" fillId="2" borderId="20" xfId="4" applyNumberFormat="1" applyFont="1" applyFill="1" applyBorder="1" applyAlignment="1" applyProtection="1">
      <alignment horizontal="left"/>
      <protection locked="0"/>
    </xf>
    <xf numFmtId="10" fontId="5" fillId="2" borderId="21" xfId="0" applyNumberFormat="1" applyFont="1" applyFill="1" applyBorder="1" applyAlignment="1" applyProtection="1">
      <alignment horizontal="left"/>
      <protection locked="0"/>
    </xf>
    <xf numFmtId="10" fontId="5" fillId="2" borderId="22" xfId="0" applyNumberFormat="1" applyFont="1" applyFill="1" applyBorder="1" applyAlignment="1" applyProtection="1">
      <alignment horizontal="left"/>
      <protection locked="0"/>
    </xf>
    <xf numFmtId="2" fontId="5" fillId="3" borderId="3" xfId="0" applyNumberFormat="1" applyFont="1" applyFill="1" applyBorder="1" applyAlignment="1" applyProtection="1">
      <alignment horizontal="left"/>
    </xf>
    <xf numFmtId="2" fontId="5" fillId="3" borderId="8" xfId="0" applyNumberFormat="1" applyFont="1" applyFill="1" applyBorder="1" applyAlignment="1" applyProtection="1">
      <alignment horizontal="left"/>
    </xf>
    <xf numFmtId="165" fontId="5" fillId="3" borderId="3" xfId="0" applyNumberFormat="1" applyFont="1" applyFill="1" applyBorder="1" applyAlignment="1" applyProtection="1">
      <alignment horizontal="left"/>
    </xf>
    <xf numFmtId="0" fontId="4" fillId="2" borderId="23" xfId="4" applyNumberFormat="1" applyFont="1" applyFill="1" applyBorder="1" applyAlignment="1" applyProtection="1">
      <alignment horizontal="left"/>
      <protection locked="0"/>
    </xf>
    <xf numFmtId="0" fontId="2" fillId="0" borderId="16" xfId="0" applyFont="1" applyBorder="1" applyAlignment="1" applyProtection="1">
      <alignment horizontal="left" vertical="center" wrapText="1"/>
    </xf>
    <xf numFmtId="0" fontId="2" fillId="0" borderId="14" xfId="0" applyFont="1" applyBorder="1" applyAlignment="1" applyProtection="1">
      <alignment horizontal="left" vertical="center" wrapText="1"/>
    </xf>
    <xf numFmtId="0" fontId="2" fillId="0" borderId="17" xfId="0" applyFont="1" applyBorder="1" applyAlignment="1" applyProtection="1">
      <alignment horizontal="left" vertical="center" wrapText="1"/>
    </xf>
    <xf numFmtId="2" fontId="5" fillId="3" borderId="6" xfId="0" applyNumberFormat="1" applyFont="1" applyFill="1" applyBorder="1" applyAlignment="1" applyProtection="1">
      <alignment horizontal="center"/>
    </xf>
    <xf numFmtId="2" fontId="5" fillId="3" borderId="6" xfId="0" applyNumberFormat="1" applyFont="1" applyFill="1" applyBorder="1" applyAlignment="1" applyProtection="1">
      <alignment horizontal="left"/>
    </xf>
    <xf numFmtId="0" fontId="9" fillId="0" borderId="12" xfId="4" applyFont="1" applyBorder="1" applyProtection="1">
      <protection locked="0"/>
    </xf>
  </cellXfs>
  <cellStyles count="7">
    <cellStyle name="Comma 2" xfId="1"/>
    <cellStyle name="Comma 3" xfId="2"/>
    <cellStyle name="Normal" xfId="0" builtinId="0"/>
    <cellStyle name="Normal 2" xfId="3"/>
    <cellStyle name="Normal 2 2" xfId="4"/>
    <cellStyle name="Normal 3" xfId="5"/>
    <cellStyle name="Normal 4"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F55"/>
  <sheetViews>
    <sheetView showGridLines="0" tabSelected="1" topLeftCell="A11" zoomScaleNormal="100" workbookViewId="0">
      <selection activeCell="AE26" sqref="AE26"/>
    </sheetView>
  </sheetViews>
  <sheetFormatPr defaultRowHeight="15.75"/>
  <cols>
    <col min="1" max="1" width="4.28515625" style="28" customWidth="1"/>
    <col min="2" max="19" width="4.140625" style="28" customWidth="1"/>
    <col min="20" max="20" width="5.5703125" style="28" customWidth="1"/>
    <col min="21" max="32" width="4.140625" style="28" customWidth="1"/>
    <col min="33" max="37" width="4.7109375" style="28" customWidth="1"/>
    <col min="38" max="38" width="4.140625" style="28" customWidth="1"/>
    <col min="39" max="39" width="4.28515625" style="28" customWidth="1"/>
    <col min="40" max="82" width="9.140625" style="27"/>
    <col min="83" max="16384" width="9.140625" style="28"/>
  </cols>
  <sheetData>
    <row r="1" spans="1:84">
      <c r="A1" s="146" t="s">
        <v>44</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6"/>
      <c r="AI1" s="146"/>
      <c r="AJ1" s="146"/>
      <c r="AK1" s="146"/>
      <c r="AL1" s="146"/>
      <c r="AM1" s="146"/>
    </row>
    <row r="2" spans="1:84" ht="12" customHeight="1">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row>
    <row r="3" spans="1:84" s="29" customFormat="1" thickBot="1">
      <c r="A3" s="118" t="s">
        <v>20</v>
      </c>
      <c r="B3" s="119"/>
      <c r="C3" s="119"/>
      <c r="D3" s="120"/>
      <c r="E3" s="147"/>
      <c r="F3" s="148"/>
      <c r="G3" s="148"/>
      <c r="H3" s="148"/>
      <c r="I3" s="148"/>
      <c r="J3" s="148"/>
      <c r="K3" s="148"/>
      <c r="L3" s="148"/>
      <c r="M3" s="149"/>
      <c r="N3" s="120"/>
      <c r="O3" s="120"/>
      <c r="P3" s="121" t="s">
        <v>21</v>
      </c>
      <c r="Q3" s="147"/>
      <c r="R3" s="148"/>
      <c r="S3" s="148"/>
      <c r="T3" s="148"/>
      <c r="U3" s="148"/>
      <c r="V3" s="148"/>
      <c r="W3" s="148"/>
      <c r="X3" s="148"/>
      <c r="Y3" s="148"/>
      <c r="Z3" s="149"/>
      <c r="AA3" s="120"/>
      <c r="AB3" s="120"/>
      <c r="AC3" s="119"/>
      <c r="AD3" s="119"/>
      <c r="AE3" s="119"/>
      <c r="AF3" s="120"/>
      <c r="AG3" s="121" t="s">
        <v>36</v>
      </c>
      <c r="AH3" s="147"/>
      <c r="AI3" s="148"/>
      <c r="AJ3" s="148"/>
      <c r="AK3" s="148"/>
      <c r="AL3" s="148"/>
      <c r="AM3" s="155"/>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row>
    <row r="4" spans="1:84" s="31" customFormat="1" ht="12" customHeight="1" thickTop="1">
      <c r="A4" s="122"/>
      <c r="B4" s="2"/>
      <c r="C4" s="2"/>
      <c r="D4" s="30"/>
      <c r="E4" s="30"/>
      <c r="F4" s="30"/>
      <c r="G4" s="30"/>
      <c r="H4" s="30"/>
      <c r="I4" s="30"/>
      <c r="J4" s="30"/>
      <c r="K4" s="30"/>
      <c r="L4" s="2"/>
      <c r="M4" s="2"/>
      <c r="N4" s="2"/>
      <c r="O4" s="30"/>
      <c r="P4" s="30"/>
      <c r="Q4" s="30"/>
      <c r="R4" s="30"/>
      <c r="S4" s="30"/>
      <c r="T4" s="30"/>
      <c r="U4" s="30"/>
      <c r="V4" s="30"/>
      <c r="W4" s="30"/>
      <c r="X4" s="30"/>
      <c r="Y4" s="2"/>
      <c r="Z4" s="2"/>
      <c r="AA4" s="2"/>
      <c r="AB4" s="2"/>
      <c r="AC4" s="2"/>
      <c r="AD4" s="2"/>
      <c r="AE4" s="2"/>
      <c r="AF4" s="2"/>
      <c r="AG4" s="2"/>
      <c r="AH4" s="30"/>
      <c r="AI4" s="30"/>
      <c r="AJ4" s="30"/>
      <c r="AK4" s="30"/>
      <c r="AL4" s="30"/>
      <c r="AM4" s="123"/>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row>
    <row r="5" spans="1:84" s="33" customFormat="1" ht="52.5" customHeight="1">
      <c r="A5" s="156" t="s">
        <v>45</v>
      </c>
      <c r="B5" s="157"/>
      <c r="C5" s="157"/>
      <c r="D5" s="157"/>
      <c r="E5" s="157"/>
      <c r="F5" s="157"/>
      <c r="G5" s="157"/>
      <c r="H5" s="157"/>
      <c r="I5" s="157"/>
      <c r="J5" s="157"/>
      <c r="K5" s="157"/>
      <c r="L5" s="157"/>
      <c r="M5" s="157"/>
      <c r="N5" s="157"/>
      <c r="O5" s="157"/>
      <c r="P5" s="157"/>
      <c r="Q5" s="157"/>
      <c r="R5" s="157"/>
      <c r="S5" s="157"/>
      <c r="T5" s="157"/>
      <c r="U5" s="157"/>
      <c r="V5" s="157"/>
      <c r="W5" s="157"/>
      <c r="X5" s="157"/>
      <c r="Y5" s="157"/>
      <c r="Z5" s="157"/>
      <c r="AA5" s="157"/>
      <c r="AB5" s="157"/>
      <c r="AC5" s="157"/>
      <c r="AD5" s="157"/>
      <c r="AE5" s="157"/>
      <c r="AF5" s="157"/>
      <c r="AG5" s="157"/>
      <c r="AH5" s="157"/>
      <c r="AI5" s="157"/>
      <c r="AJ5" s="157"/>
      <c r="AK5" s="157"/>
      <c r="AL5" s="157"/>
      <c r="AM5" s="158"/>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row>
    <row r="6" spans="1:84" s="36" customFormat="1" ht="16.5" thickBot="1">
      <c r="A6" s="82" t="s">
        <v>18</v>
      </c>
      <c r="B6" s="34"/>
      <c r="C6" s="34"/>
      <c r="D6" s="34"/>
      <c r="E6" s="34"/>
      <c r="F6" s="34"/>
      <c r="G6" s="34"/>
      <c r="H6" s="34"/>
      <c r="I6" s="34"/>
      <c r="J6" s="19"/>
      <c r="K6" s="35"/>
      <c r="L6" s="88" t="s">
        <v>1</v>
      </c>
      <c r="M6" s="89"/>
      <c r="N6" s="89"/>
      <c r="O6" s="89"/>
      <c r="P6" s="89"/>
      <c r="Q6" s="89"/>
      <c r="R6" s="89"/>
      <c r="S6" s="89"/>
      <c r="T6" s="89"/>
      <c r="U6" s="89"/>
      <c r="V6" s="89"/>
      <c r="W6" s="89"/>
      <c r="X6" s="89"/>
      <c r="Y6" s="90"/>
      <c r="Z6" s="91"/>
      <c r="AA6" s="89"/>
      <c r="AB6" s="89"/>
      <c r="AC6" s="89"/>
      <c r="AD6" s="105" t="s">
        <v>46</v>
      </c>
      <c r="AE6" s="107"/>
      <c r="AF6" s="107"/>
      <c r="AG6" s="107"/>
      <c r="AH6" s="107"/>
      <c r="AI6" s="107"/>
      <c r="AJ6" s="107"/>
      <c r="AK6" s="107"/>
      <c r="AL6" s="107"/>
      <c r="AM6" s="108"/>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row>
    <row r="7" spans="1:84" ht="16.5" thickTop="1">
      <c r="A7" s="86"/>
      <c r="B7" s="87" t="s">
        <v>19</v>
      </c>
      <c r="C7" s="21"/>
      <c r="D7" s="21"/>
      <c r="E7" s="21"/>
      <c r="F7" s="21"/>
      <c r="G7" s="21"/>
      <c r="H7" s="21"/>
      <c r="I7" s="21"/>
      <c r="J7" s="21"/>
      <c r="K7" s="38"/>
      <c r="L7" s="98" t="s">
        <v>6</v>
      </c>
      <c r="M7" s="93"/>
      <c r="N7" s="93"/>
      <c r="O7" s="93"/>
      <c r="P7" s="124"/>
      <c r="Q7" s="93" t="s">
        <v>10</v>
      </c>
      <c r="R7" s="94"/>
      <c r="S7" s="93"/>
      <c r="T7" s="94"/>
      <c r="U7" s="124"/>
      <c r="V7" s="93" t="s">
        <v>16</v>
      </c>
      <c r="W7" s="93"/>
      <c r="X7" s="124"/>
      <c r="Y7" s="124"/>
      <c r="Z7" s="94"/>
      <c r="AA7" s="124"/>
      <c r="AB7" s="124"/>
      <c r="AC7" s="124"/>
      <c r="AD7" s="104" t="s">
        <v>47</v>
      </c>
      <c r="AE7" s="101"/>
      <c r="AF7" s="101"/>
      <c r="AG7" s="101"/>
      <c r="AH7" s="101" t="s">
        <v>48</v>
      </c>
      <c r="AI7" s="101"/>
      <c r="AJ7" s="101"/>
      <c r="AK7" s="101"/>
      <c r="AL7" s="101"/>
      <c r="AM7" s="100"/>
      <c r="AN7" s="28"/>
      <c r="AO7" s="28"/>
      <c r="CE7" s="27"/>
      <c r="CF7" s="27"/>
    </row>
    <row r="8" spans="1:84">
      <c r="A8" s="84"/>
      <c r="B8" s="87" t="s">
        <v>5</v>
      </c>
      <c r="C8" s="21"/>
      <c r="D8" s="21"/>
      <c r="E8" s="21"/>
      <c r="F8" s="21"/>
      <c r="G8" s="21"/>
      <c r="H8" s="21"/>
      <c r="I8" s="21"/>
      <c r="J8" s="21"/>
      <c r="K8" s="38"/>
      <c r="L8" s="98" t="s">
        <v>7</v>
      </c>
      <c r="M8" s="93"/>
      <c r="N8" s="93"/>
      <c r="O8" s="93"/>
      <c r="P8" s="124"/>
      <c r="Q8" s="93" t="s">
        <v>12</v>
      </c>
      <c r="R8" s="94"/>
      <c r="S8" s="93"/>
      <c r="T8" s="94"/>
      <c r="U8" s="124"/>
      <c r="V8" s="93" t="s">
        <v>13</v>
      </c>
      <c r="W8" s="94"/>
      <c r="X8" s="94"/>
      <c r="Y8" s="124"/>
      <c r="Z8" s="94"/>
      <c r="AA8" s="124"/>
      <c r="AB8" s="124"/>
      <c r="AC8" s="124"/>
      <c r="AD8" s="104" t="s">
        <v>49</v>
      </c>
      <c r="AE8" s="101"/>
      <c r="AF8" s="101"/>
      <c r="AG8" s="101"/>
      <c r="AH8" s="101" t="s">
        <v>50</v>
      </c>
      <c r="AI8" s="101"/>
      <c r="AJ8" s="101"/>
      <c r="AK8" s="101"/>
      <c r="AL8" s="101"/>
      <c r="AM8" s="100"/>
      <c r="AN8" s="28"/>
      <c r="AO8" s="28"/>
      <c r="CE8" s="27"/>
      <c r="CF8" s="27"/>
    </row>
    <row r="9" spans="1:84">
      <c r="A9" s="85"/>
      <c r="B9" s="87" t="s">
        <v>38</v>
      </c>
      <c r="C9" s="21"/>
      <c r="D9" s="21"/>
      <c r="E9" s="21"/>
      <c r="F9" s="21"/>
      <c r="G9" s="21"/>
      <c r="H9" s="21"/>
      <c r="I9" s="21"/>
      <c r="J9" s="21"/>
      <c r="K9" s="38"/>
      <c r="L9" s="98" t="s">
        <v>8</v>
      </c>
      <c r="M9" s="93"/>
      <c r="N9" s="93"/>
      <c r="O9" s="93"/>
      <c r="P9" s="124"/>
      <c r="Q9" s="93" t="s">
        <v>14</v>
      </c>
      <c r="R9" s="94"/>
      <c r="S9" s="94"/>
      <c r="T9" s="94"/>
      <c r="U9" s="124"/>
      <c r="V9" s="93" t="s">
        <v>15</v>
      </c>
      <c r="W9" s="99"/>
      <c r="X9" s="99"/>
      <c r="Y9" s="99"/>
      <c r="Z9" s="94"/>
      <c r="AA9" s="124"/>
      <c r="AB9" s="124"/>
      <c r="AC9" s="124"/>
      <c r="AD9" s="104" t="s">
        <v>51</v>
      </c>
      <c r="AE9" s="101"/>
      <c r="AF9" s="101"/>
      <c r="AG9" s="101"/>
      <c r="AH9" s="101" t="s">
        <v>52</v>
      </c>
      <c r="AI9" s="101"/>
      <c r="AJ9" s="101"/>
      <c r="AK9" s="101"/>
      <c r="AL9" s="101"/>
      <c r="AM9" s="100"/>
      <c r="AN9" s="28"/>
      <c r="AO9" s="28"/>
      <c r="CE9" s="27"/>
      <c r="CF9" s="27"/>
    </row>
    <row r="10" spans="1:84">
      <c r="A10" s="83" t="s">
        <v>22</v>
      </c>
      <c r="B10" s="37"/>
      <c r="C10" s="37"/>
      <c r="D10" s="37"/>
      <c r="E10" s="37"/>
      <c r="F10" s="37"/>
      <c r="G10" s="37"/>
      <c r="H10" s="37"/>
      <c r="I10" s="37"/>
      <c r="J10" s="37"/>
      <c r="K10" s="40"/>
      <c r="L10" s="98" t="s">
        <v>9</v>
      </c>
      <c r="M10" s="94"/>
      <c r="N10" s="94"/>
      <c r="O10" s="94"/>
      <c r="P10" s="94"/>
      <c r="Q10" s="93" t="s">
        <v>11</v>
      </c>
      <c r="R10" s="93"/>
      <c r="S10" s="94"/>
      <c r="T10" s="94"/>
      <c r="U10" s="94"/>
      <c r="V10" s="93" t="s">
        <v>17</v>
      </c>
      <c r="W10" s="93"/>
      <c r="X10" s="93"/>
      <c r="Y10" s="93"/>
      <c r="Z10" s="94"/>
      <c r="AA10" s="93"/>
      <c r="AB10" s="93"/>
      <c r="AC10" s="93"/>
      <c r="AD10" s="104" t="s">
        <v>53</v>
      </c>
      <c r="AE10" s="101"/>
      <c r="AF10" s="101"/>
      <c r="AG10" s="101"/>
      <c r="AH10" s="101" t="s">
        <v>54</v>
      </c>
      <c r="AI10" s="101"/>
      <c r="AJ10" s="101"/>
      <c r="AK10" s="101"/>
      <c r="AL10" s="101"/>
      <c r="AM10" s="100"/>
      <c r="AN10" s="28"/>
      <c r="AO10" s="28"/>
      <c r="CE10" s="27"/>
      <c r="CF10" s="27"/>
    </row>
    <row r="11" spans="1:84">
      <c r="A11" s="41"/>
      <c r="B11" s="42"/>
      <c r="C11" s="42"/>
      <c r="D11" s="42"/>
      <c r="E11" s="42"/>
      <c r="F11" s="42"/>
      <c r="G11" s="42"/>
      <c r="H11" s="42"/>
      <c r="I11" s="42"/>
      <c r="J11" s="42"/>
      <c r="K11" s="43"/>
      <c r="L11" s="97"/>
      <c r="M11" s="96"/>
      <c r="N11" s="96"/>
      <c r="O11" s="96"/>
      <c r="P11" s="96"/>
      <c r="Q11" s="96"/>
      <c r="R11" s="96"/>
      <c r="S11" s="96"/>
      <c r="T11" s="96"/>
      <c r="U11" s="96"/>
      <c r="V11" s="96"/>
      <c r="W11" s="96"/>
      <c r="X11" s="96"/>
      <c r="Y11" s="95"/>
      <c r="Z11" s="95"/>
      <c r="AA11" s="96"/>
      <c r="AB11" s="96"/>
      <c r="AC11" s="96"/>
      <c r="AD11" s="103" t="s">
        <v>55</v>
      </c>
      <c r="AE11" s="102"/>
      <c r="AF11" s="102"/>
      <c r="AG11" s="102"/>
      <c r="AH11" s="102"/>
      <c r="AI11" s="102"/>
      <c r="AJ11" s="95"/>
      <c r="AK11" s="95"/>
      <c r="AL11" s="95"/>
      <c r="AM11" s="106"/>
      <c r="AN11" s="28"/>
      <c r="AO11" s="28"/>
      <c r="CE11" s="27"/>
      <c r="CF11" s="27"/>
    </row>
    <row r="12" spans="1:84" s="33" customFormat="1" ht="16.5" thickBot="1">
      <c r="A12" s="125"/>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126"/>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row>
    <row r="13" spans="1:84" s="21" customFormat="1" ht="12.75" customHeight="1" thickTop="1" thickBot="1">
      <c r="A13" s="45"/>
      <c r="B13" s="19"/>
      <c r="C13" s="20"/>
      <c r="D13" s="19"/>
      <c r="E13" s="5"/>
      <c r="F13" s="5"/>
      <c r="G13" s="92" t="s">
        <v>43</v>
      </c>
      <c r="H13" s="150"/>
      <c r="I13" s="151"/>
      <c r="J13" s="4"/>
      <c r="K13" s="4"/>
      <c r="L13" s="4"/>
      <c r="M13" s="5"/>
      <c r="N13" s="6"/>
      <c r="O13" s="5"/>
      <c r="P13" s="5"/>
      <c r="Q13" s="5"/>
      <c r="R13" s="5"/>
      <c r="S13" s="7" t="s">
        <v>64</v>
      </c>
      <c r="T13" s="130"/>
      <c r="U13" s="46" t="s">
        <v>35</v>
      </c>
      <c r="V13" s="152">
        <f>48*7.25</f>
        <v>348</v>
      </c>
      <c r="W13" s="153"/>
      <c r="X13" s="18"/>
      <c r="Y13" s="19"/>
      <c r="Z13" s="20"/>
      <c r="AA13" s="5"/>
      <c r="AB13" s="5"/>
      <c r="AC13" s="5"/>
      <c r="AD13" s="5"/>
      <c r="AE13" s="20"/>
      <c r="AF13" s="7" t="s">
        <v>59</v>
      </c>
      <c r="AG13" s="3"/>
      <c r="AH13" s="46" t="s">
        <v>35</v>
      </c>
      <c r="AI13" s="154">
        <f>8*7.25*H13</f>
        <v>0</v>
      </c>
      <c r="AJ13" s="154"/>
      <c r="AK13" s="19"/>
      <c r="AL13" s="19"/>
      <c r="AM13" s="4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row>
    <row r="14" spans="1:84" ht="12.75" customHeight="1" thickTop="1" thickBot="1">
      <c r="A14" s="44"/>
      <c r="B14" s="21"/>
      <c r="C14" s="22"/>
      <c r="D14" s="11"/>
      <c r="E14" s="48"/>
      <c r="F14" s="21"/>
      <c r="G14" s="12" t="s">
        <v>23</v>
      </c>
      <c r="H14" s="129"/>
      <c r="I14" s="49"/>
      <c r="J14" s="8"/>
      <c r="K14" s="9"/>
      <c r="L14" s="9"/>
      <c r="M14" s="10"/>
      <c r="N14" s="11"/>
      <c r="O14" s="10"/>
      <c r="P14" s="10"/>
      <c r="Q14" s="10"/>
      <c r="R14" s="10"/>
      <c r="S14" s="12" t="s">
        <v>63</v>
      </c>
      <c r="T14" s="142">
        <f>(2*7.25)*H13</f>
        <v>0</v>
      </c>
      <c r="U14" s="142"/>
      <c r="V14" s="11"/>
      <c r="W14" s="21"/>
      <c r="X14" s="8"/>
      <c r="Y14" s="21"/>
      <c r="Z14" s="22"/>
      <c r="AA14" s="10"/>
      <c r="AB14" s="10"/>
      <c r="AC14" s="10"/>
      <c r="AD14" s="10"/>
      <c r="AE14" s="11"/>
      <c r="AF14" s="12" t="s">
        <v>60</v>
      </c>
      <c r="AG14" s="142">
        <f>58*H13*(H14/12)</f>
        <v>0</v>
      </c>
      <c r="AH14" s="142"/>
      <c r="AI14" s="11"/>
      <c r="AJ14" s="21"/>
      <c r="AK14" s="22"/>
      <c r="AL14" s="21"/>
      <c r="AM14" s="50"/>
    </row>
    <row r="15" spans="1:84" ht="12.75" customHeight="1" thickTop="1">
      <c r="A15" s="41"/>
      <c r="B15" s="23"/>
      <c r="C15" s="24"/>
      <c r="D15" s="24"/>
      <c r="E15" s="24"/>
      <c r="F15" s="23"/>
      <c r="G15" s="17" t="s">
        <v>65</v>
      </c>
      <c r="H15" s="159">
        <f>2*H13*(7.25)</f>
        <v>0</v>
      </c>
      <c r="I15" s="159"/>
      <c r="J15" s="13"/>
      <c r="K15" s="14"/>
      <c r="L15" s="14"/>
      <c r="M15" s="15"/>
      <c r="N15" s="16"/>
      <c r="O15" s="15"/>
      <c r="P15" s="15"/>
      <c r="Q15" s="15"/>
      <c r="R15" s="15"/>
      <c r="S15" s="17" t="s">
        <v>62</v>
      </c>
      <c r="T15" s="160">
        <f>IF(T13+(12*T14)&gt;V13,V13,T13+(12*T14))</f>
        <v>0</v>
      </c>
      <c r="U15" s="160"/>
      <c r="V15" s="16"/>
      <c r="W15" s="23"/>
      <c r="X15" s="13"/>
      <c r="Y15" s="23"/>
      <c r="Z15" s="24"/>
      <c r="AA15" s="16"/>
      <c r="AB15" s="16"/>
      <c r="AC15" s="16"/>
      <c r="AD15" s="16"/>
      <c r="AE15" s="16"/>
      <c r="AF15" s="25" t="s">
        <v>61</v>
      </c>
      <c r="AG15" s="160">
        <f>IF((AG13+AG14)&gt;58,58,AG13+AG14)+AG13</f>
        <v>0</v>
      </c>
      <c r="AH15" s="160"/>
      <c r="AI15" s="16"/>
      <c r="AJ15" s="23"/>
      <c r="AK15" s="24"/>
      <c r="AL15" s="23"/>
      <c r="AM15" s="51"/>
    </row>
    <row r="16" spans="1:84" ht="12.75" customHeight="1">
      <c r="A16" s="44"/>
      <c r="B16" s="21"/>
      <c r="C16" s="22"/>
      <c r="D16" s="22"/>
      <c r="E16" s="22"/>
      <c r="F16" s="21"/>
      <c r="G16" s="12"/>
      <c r="H16" s="52"/>
      <c r="I16" s="53"/>
      <c r="J16" s="53"/>
      <c r="K16" s="53"/>
      <c r="L16" s="10"/>
      <c r="M16" s="11"/>
      <c r="N16" s="10"/>
      <c r="O16" s="10"/>
      <c r="P16" s="10"/>
      <c r="Q16" s="10"/>
      <c r="R16" s="12"/>
      <c r="S16" s="54"/>
      <c r="T16" s="54"/>
      <c r="U16" s="11"/>
      <c r="V16" s="21"/>
      <c r="W16" s="21"/>
      <c r="X16" s="21"/>
      <c r="Y16" s="21"/>
      <c r="Z16" s="21"/>
      <c r="AA16" s="22"/>
      <c r="AB16" s="11"/>
      <c r="AC16" s="11"/>
      <c r="AD16" s="11"/>
      <c r="AE16" s="11"/>
      <c r="AF16" s="11"/>
      <c r="AG16" s="55"/>
      <c r="AH16" s="53"/>
      <c r="AI16" s="21"/>
      <c r="AJ16" s="11"/>
      <c r="AK16" s="22"/>
      <c r="AL16" s="56"/>
      <c r="AM16" s="50"/>
    </row>
    <row r="17" spans="1:41" ht="13.5" customHeight="1">
      <c r="A17" s="127"/>
      <c r="B17" s="21"/>
      <c r="C17" s="21"/>
      <c r="D17" s="21"/>
      <c r="E17" s="21"/>
      <c r="F17" s="21"/>
      <c r="G17" s="21"/>
      <c r="H17" s="21"/>
      <c r="I17" s="142"/>
      <c r="J17" s="142"/>
      <c r="K17" s="21"/>
      <c r="L17" s="21"/>
      <c r="M17" s="57"/>
      <c r="N17" s="57"/>
      <c r="O17" s="57"/>
      <c r="P17" s="57"/>
      <c r="Q17" s="57"/>
      <c r="R17" s="21"/>
      <c r="S17" s="21"/>
      <c r="T17" s="57"/>
      <c r="U17" s="57"/>
      <c r="V17" s="21"/>
      <c r="W17" s="142"/>
      <c r="X17" s="142"/>
      <c r="Y17" s="21"/>
      <c r="Z17" s="21"/>
      <c r="AA17" s="21"/>
      <c r="AB17" s="21"/>
      <c r="AC17" s="21"/>
      <c r="AD17" s="21"/>
      <c r="AE17" s="21"/>
      <c r="AF17" s="21"/>
      <c r="AG17" s="143" t="s">
        <v>4</v>
      </c>
      <c r="AH17" s="144"/>
      <c r="AI17" s="144"/>
      <c r="AJ17" s="144"/>
      <c r="AK17" s="144"/>
      <c r="AL17" s="144"/>
      <c r="AM17" s="145"/>
    </row>
    <row r="18" spans="1:41" ht="15.75" customHeight="1">
      <c r="A18" s="45"/>
      <c r="B18" s="58"/>
      <c r="C18" s="58"/>
      <c r="D18" s="58"/>
      <c r="E18" s="58"/>
      <c r="F18" s="58"/>
      <c r="G18" s="58"/>
      <c r="H18" s="19"/>
      <c r="I18" s="59"/>
      <c r="J18" s="59"/>
      <c r="K18" s="59"/>
      <c r="L18" s="59"/>
      <c r="M18" s="59"/>
      <c r="N18" s="19"/>
      <c r="O18" s="19"/>
      <c r="P18" s="19"/>
      <c r="Q18" s="19"/>
      <c r="R18" s="19"/>
      <c r="S18" s="19"/>
      <c r="T18" s="19"/>
      <c r="U18" s="19"/>
      <c r="V18" s="19"/>
      <c r="W18" s="19"/>
      <c r="X18" s="19"/>
      <c r="Y18" s="60"/>
      <c r="Z18" s="59"/>
      <c r="AA18" s="59"/>
      <c r="AB18" s="59"/>
      <c r="AC18" s="19"/>
      <c r="AD18" s="19"/>
      <c r="AE18" s="19"/>
      <c r="AF18" s="19"/>
      <c r="AG18" s="133" t="s">
        <v>39</v>
      </c>
      <c r="AH18" s="136" t="s">
        <v>40</v>
      </c>
      <c r="AI18" s="138" t="s">
        <v>3</v>
      </c>
      <c r="AJ18" s="133" t="s">
        <v>41</v>
      </c>
      <c r="AK18" s="138" t="s">
        <v>42</v>
      </c>
      <c r="AL18" s="140" t="s">
        <v>56</v>
      </c>
      <c r="AM18" s="133" t="s">
        <v>57</v>
      </c>
      <c r="AO18" s="128"/>
    </row>
    <row r="19" spans="1:41" ht="34.5" customHeight="1" thickBot="1">
      <c r="A19" s="111" t="s">
        <v>34</v>
      </c>
      <c r="B19" s="110">
        <v>1</v>
      </c>
      <c r="C19" s="110">
        <v>2</v>
      </c>
      <c r="D19" s="110">
        <v>3</v>
      </c>
      <c r="E19" s="110">
        <v>4</v>
      </c>
      <c r="F19" s="110">
        <v>5</v>
      </c>
      <c r="G19" s="110">
        <v>6</v>
      </c>
      <c r="H19" s="110">
        <v>7</v>
      </c>
      <c r="I19" s="110">
        <v>8</v>
      </c>
      <c r="J19" s="110">
        <v>9</v>
      </c>
      <c r="K19" s="110">
        <v>10</v>
      </c>
      <c r="L19" s="110">
        <v>11</v>
      </c>
      <c r="M19" s="110">
        <v>12</v>
      </c>
      <c r="N19" s="110">
        <v>13</v>
      </c>
      <c r="O19" s="110">
        <v>14</v>
      </c>
      <c r="P19" s="110">
        <v>15</v>
      </c>
      <c r="Q19" s="110">
        <v>16</v>
      </c>
      <c r="R19" s="110">
        <v>17</v>
      </c>
      <c r="S19" s="110">
        <v>18</v>
      </c>
      <c r="T19" s="110">
        <v>19</v>
      </c>
      <c r="U19" s="110">
        <v>20</v>
      </c>
      <c r="V19" s="110">
        <v>21</v>
      </c>
      <c r="W19" s="110">
        <v>22</v>
      </c>
      <c r="X19" s="110">
        <v>23</v>
      </c>
      <c r="Y19" s="110">
        <v>24</v>
      </c>
      <c r="Z19" s="110">
        <v>25</v>
      </c>
      <c r="AA19" s="110">
        <v>26</v>
      </c>
      <c r="AB19" s="110">
        <v>27</v>
      </c>
      <c r="AC19" s="110">
        <v>28</v>
      </c>
      <c r="AD19" s="110">
        <v>29</v>
      </c>
      <c r="AE19" s="110">
        <v>30</v>
      </c>
      <c r="AF19" s="110">
        <v>31</v>
      </c>
      <c r="AG19" s="135"/>
      <c r="AH19" s="137"/>
      <c r="AI19" s="139"/>
      <c r="AJ19" s="134"/>
      <c r="AK19" s="139"/>
      <c r="AL19" s="141"/>
      <c r="AM19" s="134"/>
    </row>
    <row r="20" spans="1:41" ht="25.5" customHeight="1" thickTop="1" thickBot="1">
      <c r="A20" s="109" t="s">
        <v>0</v>
      </c>
      <c r="B20" s="113"/>
      <c r="C20" s="114"/>
      <c r="D20" s="114"/>
      <c r="E20" s="115"/>
      <c r="F20" s="114"/>
      <c r="G20" s="114"/>
      <c r="H20" s="113"/>
      <c r="I20" s="113"/>
      <c r="J20" s="114"/>
      <c r="K20" s="114"/>
      <c r="L20" s="114"/>
      <c r="M20" s="114"/>
      <c r="N20" s="114"/>
      <c r="O20" s="113"/>
      <c r="P20" s="113"/>
      <c r="Q20" s="114"/>
      <c r="R20" s="114"/>
      <c r="S20" s="114"/>
      <c r="T20" s="114"/>
      <c r="U20" s="114"/>
      <c r="V20" s="113"/>
      <c r="W20" s="113"/>
      <c r="X20" s="114"/>
      <c r="Y20" s="114"/>
      <c r="Z20" s="114"/>
      <c r="AA20" s="114"/>
      <c r="AB20" s="114"/>
      <c r="AC20" s="113"/>
      <c r="AD20" s="113"/>
      <c r="AE20" s="114"/>
      <c r="AF20" s="114"/>
      <c r="AG20" s="61">
        <f>T13</f>
        <v>0</v>
      </c>
      <c r="AH20" s="1"/>
      <c r="AI20" s="62">
        <f t="shared" ref="AI20:AI31" si="0">IF(AG20-AH20+$T$14&gt;$V$13,$V$13,AG20-AH20+$T$14)</f>
        <v>0</v>
      </c>
      <c r="AJ20" s="1"/>
      <c r="AK20" s="62">
        <f>AG15-AJ20</f>
        <v>0</v>
      </c>
      <c r="AL20" s="1"/>
      <c r="AM20" s="63">
        <f>H15-AL20</f>
        <v>0</v>
      </c>
    </row>
    <row r="21" spans="1:41" ht="25.5" customHeight="1" thickTop="1" thickBot="1">
      <c r="A21" s="109" t="s">
        <v>24</v>
      </c>
      <c r="B21" s="114"/>
      <c r="C21" s="114"/>
      <c r="D21" s="114"/>
      <c r="E21" s="113"/>
      <c r="F21" s="113"/>
      <c r="G21" s="114"/>
      <c r="H21" s="114"/>
      <c r="I21" s="114"/>
      <c r="J21" s="114"/>
      <c r="K21" s="114"/>
      <c r="L21" s="113"/>
      <c r="M21" s="113"/>
      <c r="N21" s="114"/>
      <c r="O21" s="114"/>
      <c r="P21" s="114"/>
      <c r="Q21" s="114"/>
      <c r="R21" s="114"/>
      <c r="S21" s="113"/>
      <c r="T21" s="113"/>
      <c r="U21" s="114"/>
      <c r="V21" s="114"/>
      <c r="W21" s="114"/>
      <c r="X21" s="114"/>
      <c r="Y21" s="114"/>
      <c r="Z21" s="113"/>
      <c r="AA21" s="113"/>
      <c r="AB21" s="114"/>
      <c r="AC21" s="114"/>
      <c r="AD21" s="114"/>
      <c r="AE21" s="114"/>
      <c r="AF21" s="114"/>
      <c r="AG21" s="61">
        <f t="shared" ref="AG21:AG31" si="1">AI20</f>
        <v>0</v>
      </c>
      <c r="AH21" s="1"/>
      <c r="AI21" s="62">
        <f t="shared" si="0"/>
        <v>0</v>
      </c>
      <c r="AJ21" s="1"/>
      <c r="AK21" s="64">
        <f>AK20-AJ21</f>
        <v>0</v>
      </c>
      <c r="AL21" s="1"/>
      <c r="AM21" s="65">
        <f>AM20-AL21</f>
        <v>0</v>
      </c>
    </row>
    <row r="22" spans="1:41" ht="25.5" customHeight="1" thickTop="1" thickBot="1">
      <c r="A22" s="109" t="s">
        <v>25</v>
      </c>
      <c r="B22" s="113"/>
      <c r="C22" s="113"/>
      <c r="D22" s="115"/>
      <c r="E22" s="114"/>
      <c r="F22" s="114"/>
      <c r="G22" s="114"/>
      <c r="H22" s="114"/>
      <c r="I22" s="113"/>
      <c r="J22" s="113"/>
      <c r="K22" s="114"/>
      <c r="L22" s="114"/>
      <c r="M22" s="114"/>
      <c r="N22" s="114"/>
      <c r="O22" s="114"/>
      <c r="P22" s="113"/>
      <c r="Q22" s="113"/>
      <c r="R22" s="114"/>
      <c r="S22" s="114"/>
      <c r="T22" s="114"/>
      <c r="U22" s="114"/>
      <c r="V22" s="114"/>
      <c r="W22" s="113"/>
      <c r="X22" s="113"/>
      <c r="Y22" s="114"/>
      <c r="Z22" s="114"/>
      <c r="AA22" s="114"/>
      <c r="AB22" s="114"/>
      <c r="AC22" s="114"/>
      <c r="AD22" s="113"/>
      <c r="AE22" s="113"/>
      <c r="AF22" s="116"/>
      <c r="AG22" s="61">
        <f t="shared" si="1"/>
        <v>0</v>
      </c>
      <c r="AH22" s="1"/>
      <c r="AI22" s="62">
        <f t="shared" si="0"/>
        <v>0</v>
      </c>
      <c r="AJ22" s="1"/>
      <c r="AK22" s="64">
        <f>AK21-AJ22</f>
        <v>0</v>
      </c>
      <c r="AL22" s="1"/>
      <c r="AM22" s="65">
        <f t="shared" ref="AM22:AM31" si="2">AM21-AL22</f>
        <v>0</v>
      </c>
    </row>
    <row r="23" spans="1:41" ht="25.5" customHeight="1" thickTop="1" thickBot="1">
      <c r="A23" s="109" t="s">
        <v>26</v>
      </c>
      <c r="B23" s="114"/>
      <c r="C23" s="114"/>
      <c r="D23" s="114"/>
      <c r="E23" s="114"/>
      <c r="F23" s="114"/>
      <c r="G23" s="113"/>
      <c r="H23" s="113"/>
      <c r="I23" s="114"/>
      <c r="J23" s="114"/>
      <c r="K23" s="114"/>
      <c r="L23" s="114"/>
      <c r="M23" s="114"/>
      <c r="N23" s="113"/>
      <c r="O23" s="113"/>
      <c r="P23" s="114"/>
      <c r="Q23" s="114"/>
      <c r="R23" s="114"/>
      <c r="S23" s="114"/>
      <c r="T23" s="114"/>
      <c r="U23" s="113"/>
      <c r="V23" s="113"/>
      <c r="W23" s="114"/>
      <c r="X23" s="114"/>
      <c r="Y23" s="114"/>
      <c r="Z23" s="114"/>
      <c r="AA23" s="114"/>
      <c r="AB23" s="113"/>
      <c r="AC23" s="113"/>
      <c r="AD23" s="114"/>
      <c r="AE23" s="114"/>
      <c r="AF23" s="114"/>
      <c r="AG23" s="61">
        <f t="shared" si="1"/>
        <v>0</v>
      </c>
      <c r="AH23" s="1"/>
      <c r="AI23" s="62">
        <f t="shared" si="0"/>
        <v>0</v>
      </c>
      <c r="AJ23" s="1"/>
      <c r="AK23" s="64">
        <f>AK22-AJ23</f>
        <v>0</v>
      </c>
      <c r="AL23" s="1"/>
      <c r="AM23" s="65">
        <f>AM22-AL23</f>
        <v>0</v>
      </c>
    </row>
    <row r="24" spans="1:41" ht="25.5" customHeight="1" thickTop="1" thickBot="1">
      <c r="A24" s="109" t="s">
        <v>27</v>
      </c>
      <c r="B24" s="114"/>
      <c r="C24" s="114"/>
      <c r="D24" s="113"/>
      <c r="E24" s="113"/>
      <c r="F24" s="114"/>
      <c r="G24" s="114"/>
      <c r="H24" s="114"/>
      <c r="I24" s="114"/>
      <c r="J24" s="114"/>
      <c r="K24" s="113"/>
      <c r="L24" s="113"/>
      <c r="M24" s="114"/>
      <c r="N24" s="114"/>
      <c r="O24" s="114"/>
      <c r="P24" s="114"/>
      <c r="Q24" s="114"/>
      <c r="R24" s="113"/>
      <c r="S24" s="113"/>
      <c r="T24" s="114"/>
      <c r="U24" s="114"/>
      <c r="V24" s="114"/>
      <c r="W24" s="115"/>
      <c r="X24" s="115"/>
      <c r="Y24" s="113"/>
      <c r="Z24" s="113"/>
      <c r="AA24" s="114"/>
      <c r="AB24" s="114"/>
      <c r="AC24" s="114"/>
      <c r="AD24" s="114"/>
      <c r="AE24" s="114"/>
      <c r="AF24" s="116"/>
      <c r="AG24" s="61">
        <f t="shared" si="1"/>
        <v>0</v>
      </c>
      <c r="AH24" s="1"/>
      <c r="AI24" s="62">
        <f t="shared" si="0"/>
        <v>0</v>
      </c>
      <c r="AJ24" s="1"/>
      <c r="AK24" s="64">
        <f>AK23-AJ24</f>
        <v>0</v>
      </c>
      <c r="AL24" s="1"/>
      <c r="AM24" s="65">
        <f t="shared" si="2"/>
        <v>0</v>
      </c>
    </row>
    <row r="25" spans="1:41" ht="25.5" customHeight="1" thickTop="1" thickBot="1">
      <c r="A25" s="109" t="s">
        <v>28</v>
      </c>
      <c r="B25" s="113"/>
      <c r="C25" s="113"/>
      <c r="D25" s="114"/>
      <c r="E25" s="114"/>
      <c r="F25" s="114"/>
      <c r="G25" s="114"/>
      <c r="H25" s="114"/>
      <c r="I25" s="113"/>
      <c r="J25" s="113"/>
      <c r="K25" s="114"/>
      <c r="L25" s="114"/>
      <c r="M25" s="114"/>
      <c r="N25" s="114"/>
      <c r="O25" s="114"/>
      <c r="P25" s="113"/>
      <c r="Q25" s="113"/>
      <c r="R25" s="114"/>
      <c r="S25" s="114"/>
      <c r="T25" s="114"/>
      <c r="U25" s="114"/>
      <c r="V25" s="114"/>
      <c r="W25" s="113"/>
      <c r="X25" s="113"/>
      <c r="Y25" s="115"/>
      <c r="Z25" s="115"/>
      <c r="AA25" s="161"/>
      <c r="AB25" s="114"/>
      <c r="AC25" s="114"/>
      <c r="AD25" s="113"/>
      <c r="AE25" s="113"/>
      <c r="AF25" s="115"/>
      <c r="AG25" s="61">
        <f t="shared" si="1"/>
        <v>0</v>
      </c>
      <c r="AH25" s="1"/>
      <c r="AI25" s="62">
        <f t="shared" si="0"/>
        <v>0</v>
      </c>
      <c r="AJ25" s="1"/>
      <c r="AK25" s="64">
        <f t="shared" ref="AK25:AK30" si="3">AK24-AJ25</f>
        <v>0</v>
      </c>
      <c r="AL25" s="1"/>
      <c r="AM25" s="65">
        <f t="shared" si="2"/>
        <v>0</v>
      </c>
    </row>
    <row r="26" spans="1:41" ht="25.5" customHeight="1" thickTop="1" thickBot="1">
      <c r="A26" s="109" t="s">
        <v>29</v>
      </c>
      <c r="B26" s="115"/>
      <c r="C26" s="114"/>
      <c r="D26" s="114"/>
      <c r="E26" s="114"/>
      <c r="F26" s="113"/>
      <c r="G26" s="113"/>
      <c r="H26" s="114"/>
      <c r="I26" s="114"/>
      <c r="J26" s="114"/>
      <c r="K26" s="114"/>
      <c r="L26" s="114"/>
      <c r="M26" s="113"/>
      <c r="N26" s="113"/>
      <c r="O26" s="114"/>
      <c r="P26" s="114"/>
      <c r="Q26" s="114"/>
      <c r="R26" s="114"/>
      <c r="S26" s="114"/>
      <c r="T26" s="113"/>
      <c r="U26" s="113"/>
      <c r="V26" s="114"/>
      <c r="W26" s="114"/>
      <c r="X26" s="114"/>
      <c r="Y26" s="114"/>
      <c r="Z26" s="114"/>
      <c r="AA26" s="113"/>
      <c r="AB26" s="113"/>
      <c r="AC26" s="114"/>
      <c r="AD26" s="114"/>
      <c r="AE26" s="114"/>
      <c r="AF26" s="114"/>
      <c r="AG26" s="61">
        <f t="shared" si="1"/>
        <v>0</v>
      </c>
      <c r="AH26" s="1"/>
      <c r="AI26" s="62">
        <f t="shared" si="0"/>
        <v>0</v>
      </c>
      <c r="AJ26" s="1"/>
      <c r="AK26" s="64">
        <f t="shared" si="3"/>
        <v>0</v>
      </c>
      <c r="AL26" s="1"/>
      <c r="AM26" s="65">
        <f t="shared" si="2"/>
        <v>0</v>
      </c>
    </row>
    <row r="27" spans="1:41" ht="25.5" customHeight="1" thickTop="1" thickBot="1">
      <c r="A27" s="109" t="s">
        <v>30</v>
      </c>
      <c r="B27" s="114"/>
      <c r="C27" s="113"/>
      <c r="D27" s="113"/>
      <c r="E27" s="114"/>
      <c r="F27" s="114"/>
      <c r="G27" s="114"/>
      <c r="H27" s="114"/>
      <c r="I27" s="114"/>
      <c r="J27" s="113"/>
      <c r="K27" s="113"/>
      <c r="L27" s="114"/>
      <c r="M27" s="114"/>
      <c r="N27" s="114"/>
      <c r="O27" s="114"/>
      <c r="P27" s="114"/>
      <c r="Q27" s="113"/>
      <c r="R27" s="113"/>
      <c r="S27" s="114"/>
      <c r="T27" s="114"/>
      <c r="U27" s="114"/>
      <c r="V27" s="114"/>
      <c r="W27" s="114"/>
      <c r="X27" s="113"/>
      <c r="Y27" s="113"/>
      <c r="Z27" s="114"/>
      <c r="AA27" s="114"/>
      <c r="AB27" s="114"/>
      <c r="AC27" s="114"/>
      <c r="AD27" s="116"/>
      <c r="AE27" s="116"/>
      <c r="AF27" s="116"/>
      <c r="AG27" s="61">
        <f t="shared" si="1"/>
        <v>0</v>
      </c>
      <c r="AH27" s="1"/>
      <c r="AI27" s="62">
        <f t="shared" si="0"/>
        <v>0</v>
      </c>
      <c r="AJ27" s="1"/>
      <c r="AK27" s="64">
        <f t="shared" si="3"/>
        <v>0</v>
      </c>
      <c r="AL27" s="1"/>
      <c r="AM27" s="65">
        <f t="shared" si="2"/>
        <v>0</v>
      </c>
    </row>
    <row r="28" spans="1:41" ht="25.5" customHeight="1" thickTop="1" thickBot="1">
      <c r="A28" s="109" t="s">
        <v>31</v>
      </c>
      <c r="B28" s="114"/>
      <c r="C28" s="113"/>
      <c r="D28" s="113"/>
      <c r="E28" s="114"/>
      <c r="F28" s="114"/>
      <c r="G28" s="114"/>
      <c r="H28" s="114"/>
      <c r="I28" s="114"/>
      <c r="J28" s="113"/>
      <c r="K28" s="113"/>
      <c r="L28" s="114"/>
      <c r="M28" s="114"/>
      <c r="N28" s="114"/>
      <c r="O28" s="114"/>
      <c r="P28" s="114"/>
      <c r="Q28" s="113"/>
      <c r="R28" s="113"/>
      <c r="S28" s="114"/>
      <c r="T28" s="114"/>
      <c r="U28" s="114"/>
      <c r="V28" s="114"/>
      <c r="W28" s="114"/>
      <c r="X28" s="113"/>
      <c r="Y28" s="113"/>
      <c r="Z28" s="114"/>
      <c r="AA28" s="114"/>
      <c r="AB28" s="114"/>
      <c r="AC28" s="114"/>
      <c r="AD28" s="114"/>
      <c r="AE28" s="113"/>
      <c r="AF28" s="113"/>
      <c r="AG28" s="61">
        <f t="shared" si="1"/>
        <v>0</v>
      </c>
      <c r="AH28" s="1"/>
      <c r="AI28" s="62">
        <f t="shared" si="0"/>
        <v>0</v>
      </c>
      <c r="AJ28" s="1"/>
      <c r="AK28" s="64">
        <f t="shared" si="3"/>
        <v>0</v>
      </c>
      <c r="AL28" s="1"/>
      <c r="AM28" s="65">
        <f t="shared" si="2"/>
        <v>0</v>
      </c>
    </row>
    <row r="29" spans="1:41" ht="25.5" customHeight="1" thickTop="1" thickBot="1">
      <c r="A29" s="109" t="s">
        <v>33</v>
      </c>
      <c r="B29" s="114"/>
      <c r="C29" s="114"/>
      <c r="D29" s="114"/>
      <c r="E29" s="114"/>
      <c r="F29" s="117"/>
      <c r="G29" s="113"/>
      <c r="H29" s="113"/>
      <c r="I29" s="114"/>
      <c r="J29" s="114"/>
      <c r="K29" s="114"/>
      <c r="L29" s="114"/>
      <c r="M29" s="114"/>
      <c r="N29" s="113"/>
      <c r="O29" s="113"/>
      <c r="P29" s="114"/>
      <c r="Q29" s="114"/>
      <c r="R29" s="114"/>
      <c r="S29" s="114"/>
      <c r="T29" s="114"/>
      <c r="U29" s="113"/>
      <c r="V29" s="113"/>
      <c r="W29" s="114"/>
      <c r="X29" s="114"/>
      <c r="Y29" s="114"/>
      <c r="Z29" s="114"/>
      <c r="AA29" s="114"/>
      <c r="AB29" s="113"/>
      <c r="AC29" s="113"/>
      <c r="AD29" s="114"/>
      <c r="AE29" s="114"/>
      <c r="AF29" s="116"/>
      <c r="AG29" s="61">
        <f t="shared" si="1"/>
        <v>0</v>
      </c>
      <c r="AH29" s="1"/>
      <c r="AI29" s="62">
        <f t="shared" si="0"/>
        <v>0</v>
      </c>
      <c r="AJ29" s="1"/>
      <c r="AK29" s="64">
        <f>AK28-AJ29</f>
        <v>0</v>
      </c>
      <c r="AL29" s="1"/>
      <c r="AM29" s="65">
        <f t="shared" si="2"/>
        <v>0</v>
      </c>
    </row>
    <row r="30" spans="1:41" ht="25.5" customHeight="1" thickTop="1" thickBot="1">
      <c r="A30" s="109" t="s">
        <v>2</v>
      </c>
      <c r="B30" s="114"/>
      <c r="C30" s="114"/>
      <c r="D30" s="114"/>
      <c r="E30" s="113"/>
      <c r="F30" s="113"/>
      <c r="G30" s="114"/>
      <c r="H30" s="114"/>
      <c r="I30" s="114"/>
      <c r="J30" s="114"/>
      <c r="K30" s="114"/>
      <c r="L30" s="113"/>
      <c r="M30" s="113"/>
      <c r="N30" s="114"/>
      <c r="O30" s="114"/>
      <c r="P30" s="114"/>
      <c r="Q30" s="114"/>
      <c r="R30" s="114"/>
      <c r="S30" s="113"/>
      <c r="T30" s="113"/>
      <c r="U30" s="114"/>
      <c r="V30" s="114"/>
      <c r="W30" s="114"/>
      <c r="X30" s="114"/>
      <c r="Y30" s="114"/>
      <c r="Z30" s="113"/>
      <c r="AA30" s="113"/>
      <c r="AB30" s="115"/>
      <c r="AC30" s="114"/>
      <c r="AD30" s="114"/>
      <c r="AE30" s="114"/>
      <c r="AF30" s="114"/>
      <c r="AG30" s="61">
        <f t="shared" si="1"/>
        <v>0</v>
      </c>
      <c r="AH30" s="1"/>
      <c r="AI30" s="62">
        <f t="shared" si="0"/>
        <v>0</v>
      </c>
      <c r="AJ30" s="1"/>
      <c r="AK30" s="66">
        <f t="shared" si="3"/>
        <v>0</v>
      </c>
      <c r="AL30" s="1"/>
      <c r="AM30" s="65">
        <f t="shared" si="2"/>
        <v>0</v>
      </c>
    </row>
    <row r="31" spans="1:41" ht="25.5" customHeight="1" thickTop="1" thickBot="1">
      <c r="A31" s="112" t="s">
        <v>32</v>
      </c>
      <c r="B31" s="117"/>
      <c r="C31" s="113"/>
      <c r="D31" s="113"/>
      <c r="E31" s="114"/>
      <c r="F31" s="114"/>
      <c r="G31" s="114"/>
      <c r="H31" s="114"/>
      <c r="I31" s="114"/>
      <c r="J31" s="113"/>
      <c r="K31" s="113"/>
      <c r="L31" s="114"/>
      <c r="M31" s="114"/>
      <c r="N31" s="114"/>
      <c r="O31" s="114"/>
      <c r="P31" s="114"/>
      <c r="Q31" s="113"/>
      <c r="R31" s="113"/>
      <c r="S31" s="114"/>
      <c r="T31" s="114"/>
      <c r="U31" s="114"/>
      <c r="V31" s="114"/>
      <c r="W31" s="114"/>
      <c r="X31" s="113"/>
      <c r="Y31" s="113"/>
      <c r="Z31" s="114"/>
      <c r="AA31" s="114"/>
      <c r="AB31" s="114"/>
      <c r="AC31" s="114"/>
      <c r="AD31" s="114"/>
      <c r="AE31" s="113"/>
      <c r="AF31" s="116"/>
      <c r="AG31" s="61">
        <f t="shared" si="1"/>
        <v>0</v>
      </c>
      <c r="AH31" s="78"/>
      <c r="AI31" s="62">
        <f t="shared" si="0"/>
        <v>0</v>
      </c>
      <c r="AJ31" s="1"/>
      <c r="AK31" s="52">
        <f>AK30-AJ31</f>
        <v>0</v>
      </c>
      <c r="AL31" s="1"/>
      <c r="AM31" s="65">
        <f t="shared" si="2"/>
        <v>0</v>
      </c>
    </row>
    <row r="32" spans="1:41" ht="25.5" customHeight="1" thickTop="1">
      <c r="A32" s="81" t="s">
        <v>37</v>
      </c>
      <c r="B32" s="67"/>
      <c r="C32" s="67"/>
      <c r="D32" s="67"/>
      <c r="E32" s="67"/>
      <c r="F32" s="67"/>
      <c r="G32" s="67"/>
      <c r="H32" s="67"/>
      <c r="I32" s="67"/>
      <c r="J32" s="67"/>
      <c r="K32" s="67"/>
      <c r="L32" s="68"/>
      <c r="M32" s="68"/>
      <c r="N32" s="68"/>
      <c r="O32" s="68"/>
      <c r="P32" s="68"/>
      <c r="Q32" s="68"/>
      <c r="R32" s="68"/>
      <c r="S32" s="68"/>
      <c r="T32" s="68"/>
      <c r="U32" s="68"/>
      <c r="V32" s="68"/>
      <c r="W32" s="68"/>
      <c r="X32" s="68"/>
      <c r="Y32" s="68"/>
      <c r="Z32" s="68"/>
      <c r="AA32" s="68"/>
      <c r="AB32" s="68"/>
      <c r="AC32" s="68"/>
      <c r="AD32" s="68"/>
      <c r="AE32" s="68"/>
      <c r="AF32" s="68"/>
      <c r="AG32" s="67"/>
      <c r="AH32" s="70">
        <f>SUM(AH20:AH31)</f>
        <v>0</v>
      </c>
      <c r="AI32" s="69"/>
      <c r="AJ32" s="70">
        <f>SUM(AJ20:AJ31)</f>
        <v>0</v>
      </c>
      <c r="AK32" s="69"/>
      <c r="AL32" s="70">
        <f>SUM(AL20:AL31)</f>
        <v>0</v>
      </c>
      <c r="AM32" s="80"/>
    </row>
    <row r="33" spans="1:39" ht="25.5" customHeight="1">
      <c r="A33" s="131" t="s">
        <v>58</v>
      </c>
      <c r="B33" s="132"/>
      <c r="C33" s="132"/>
      <c r="D33" s="132"/>
      <c r="E33" s="132"/>
      <c r="F33" s="132"/>
      <c r="G33" s="132"/>
      <c r="H33" s="132"/>
      <c r="I33" s="132"/>
      <c r="J33" s="132"/>
      <c r="K33" s="132"/>
      <c r="L33" s="132"/>
      <c r="M33" s="71"/>
      <c r="N33" s="71"/>
      <c r="O33" s="71"/>
      <c r="P33" s="71"/>
      <c r="Q33" s="71"/>
      <c r="R33" s="71"/>
      <c r="S33" s="71"/>
      <c r="T33" s="71"/>
      <c r="U33" s="71"/>
      <c r="V33" s="71"/>
      <c r="W33" s="71"/>
      <c r="X33" s="71"/>
      <c r="Y33" s="71"/>
      <c r="Z33" s="71"/>
      <c r="AA33" s="71"/>
      <c r="AB33" s="71"/>
      <c r="AC33" s="71"/>
      <c r="AD33" s="71"/>
      <c r="AE33" s="71"/>
      <c r="AF33" s="71"/>
      <c r="AG33" s="72"/>
      <c r="AH33" s="79"/>
      <c r="AI33" s="70">
        <f>AI31</f>
        <v>0</v>
      </c>
      <c r="AJ33" s="72"/>
      <c r="AK33" s="70">
        <f>AK31</f>
        <v>0</v>
      </c>
      <c r="AL33" s="73"/>
      <c r="AM33" s="74"/>
    </row>
    <row r="34" spans="1:39" ht="21"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M34" s="39"/>
    </row>
    <row r="35" spans="1:39">
      <c r="A35" s="75"/>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spans="1:39" s="27" customFormat="1">
      <c r="A36" s="75"/>
      <c r="AL36" s="28"/>
      <c r="AM36" s="28"/>
    </row>
    <row r="37" spans="1:39" s="27" customFormat="1">
      <c r="A37" s="75"/>
      <c r="AL37" s="28"/>
      <c r="AM37" s="28"/>
    </row>
    <row r="38" spans="1:39" s="27" customForma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row>
    <row r="39" spans="1:39" s="27" customForma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row>
    <row r="40" spans="1:39">
      <c r="A40" s="75"/>
    </row>
    <row r="41" spans="1:39">
      <c r="A41" s="75"/>
    </row>
    <row r="42" spans="1:39">
      <c r="A42" s="76"/>
    </row>
    <row r="55" spans="1:4">
      <c r="A55" s="77"/>
      <c r="B55" s="77"/>
      <c r="C55" s="77"/>
      <c r="D55" s="77"/>
    </row>
  </sheetData>
  <sheetProtection password="C7D5" sheet="1" objects="1" scenarios="1" selectLockedCells="1"/>
  <mergeCells count="24">
    <mergeCell ref="I17:J17"/>
    <mergeCell ref="W17:X17"/>
    <mergeCell ref="AG17:AM17"/>
    <mergeCell ref="A1:AM1"/>
    <mergeCell ref="E3:M3"/>
    <mergeCell ref="Q3:Z3"/>
    <mergeCell ref="H13:I13"/>
    <mergeCell ref="V13:W13"/>
    <mergeCell ref="AI13:AJ13"/>
    <mergeCell ref="AH3:AM3"/>
    <mergeCell ref="T14:U14"/>
    <mergeCell ref="AG14:AH14"/>
    <mergeCell ref="A5:AM5"/>
    <mergeCell ref="H15:I15"/>
    <mergeCell ref="T15:U15"/>
    <mergeCell ref="AG15:AH15"/>
    <mergeCell ref="A33:L33"/>
    <mergeCell ref="AM18:AM19"/>
    <mergeCell ref="AG18:AG19"/>
    <mergeCell ref="AH18:AH19"/>
    <mergeCell ref="AI18:AI19"/>
    <mergeCell ref="AJ18:AJ19"/>
    <mergeCell ref="AK18:AK19"/>
    <mergeCell ref="AL18:AL19"/>
  </mergeCells>
  <dataValidations count="1">
    <dataValidation type="decimal" operator="lessThanOrEqual" allowBlank="1" showInputMessage="1" showErrorMessage="1" sqref="AG13 T13">
      <formula1>V13</formula1>
    </dataValidation>
  </dataValidations>
  <pageMargins left="0.1" right="0" top="0.25" bottom="0" header="0.25" footer="0"/>
  <pageSetup scale="8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ADM Hours</vt:lpstr>
      <vt:lpstr>'ADM Hours'!Print_Area</vt:lpstr>
    </vt:vector>
  </TitlesOfParts>
  <Company>Princeton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celson</dc:creator>
  <cp:lastModifiedBy>celson</cp:lastModifiedBy>
  <cp:lastPrinted>2012-07-11T19:14:40Z</cp:lastPrinted>
  <dcterms:created xsi:type="dcterms:W3CDTF">2007-05-22T13:05:47Z</dcterms:created>
  <dcterms:modified xsi:type="dcterms:W3CDTF">2012-12-17T19:36:37Z</dcterms:modified>
</cp:coreProperties>
</file>