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4295" windowHeight="15045" activeTab="3"/>
  </bookViews>
  <sheets>
    <sheet name="Exhibits" sheetId="1" r:id="rId1"/>
    <sheet name="Tail Factor" sheetId="2" r:id="rId2"/>
    <sheet name="Layer Dev" sheetId="4" r:id="rId3"/>
    <sheet name="Non-Formula Method" sheetId="5" r:id="rId4"/>
  </sheets>
  <calcPr calcId="125725"/>
</workbook>
</file>

<file path=xl/calcChain.xml><?xml version="1.0" encoding="utf-8"?>
<calcChain xmlns="http://schemas.openxmlformats.org/spreadsheetml/2006/main">
  <c r="C49" i="5"/>
  <c r="D47"/>
  <c r="C47"/>
  <c r="E47"/>
  <c r="C38"/>
  <c r="C34"/>
  <c r="C30"/>
  <c r="D20"/>
  <c r="D28"/>
  <c r="D27"/>
  <c r="E28"/>
  <c r="E27"/>
  <c r="C28"/>
  <c r="C27"/>
  <c r="C20"/>
  <c r="C19"/>
  <c r="D19"/>
  <c r="E20"/>
  <c r="E19"/>
  <c r="C18" i="4"/>
  <c r="C16"/>
  <c r="C15"/>
  <c r="C14"/>
  <c r="C13"/>
  <c r="AA81" i="1" l="1"/>
  <c r="Z81"/>
  <c r="Y81"/>
  <c r="X81"/>
  <c r="W81"/>
  <c r="V81"/>
  <c r="U81"/>
  <c r="AA80"/>
  <c r="Z80"/>
  <c r="Y80"/>
  <c r="X80"/>
  <c r="W80"/>
  <c r="V80"/>
  <c r="U80"/>
  <c r="S80"/>
  <c r="AA79"/>
  <c r="Z79"/>
  <c r="Y79"/>
  <c r="X79"/>
  <c r="W79"/>
  <c r="V79"/>
  <c r="U79"/>
  <c r="S79"/>
  <c r="AA78"/>
  <c r="Z78"/>
  <c r="Y78"/>
  <c r="X78"/>
  <c r="W78"/>
  <c r="V78"/>
  <c r="U78"/>
  <c r="S78"/>
  <c r="AA77"/>
  <c r="Z77"/>
  <c r="Y77"/>
  <c r="X77"/>
  <c r="W77"/>
  <c r="V77"/>
  <c r="U77"/>
  <c r="S77"/>
  <c r="AA76"/>
  <c r="Z76"/>
  <c r="Y76"/>
  <c r="X76"/>
  <c r="W76"/>
  <c r="V76"/>
  <c r="U76"/>
  <c r="S76"/>
  <c r="AA75"/>
  <c r="Z75"/>
  <c r="Y75"/>
  <c r="X75"/>
  <c r="W75"/>
  <c r="V75"/>
  <c r="U75"/>
  <c r="S75"/>
  <c r="AA74"/>
  <c r="Z74"/>
  <c r="Y74"/>
  <c r="X74"/>
  <c r="W74"/>
  <c r="V74"/>
  <c r="U74"/>
  <c r="S74"/>
  <c r="AA73"/>
  <c r="Z73"/>
  <c r="Y73"/>
  <c r="X73"/>
  <c r="W73"/>
  <c r="V73"/>
  <c r="U73"/>
  <c r="S73"/>
  <c r="AA72"/>
  <c r="Z72"/>
  <c r="Y72"/>
  <c r="X72"/>
  <c r="W72"/>
  <c r="V72"/>
  <c r="U72"/>
  <c r="S72"/>
  <c r="AA71"/>
  <c r="Z71"/>
  <c r="Y71"/>
  <c r="X71"/>
  <c r="W71"/>
  <c r="V71"/>
  <c r="U71"/>
  <c r="S71"/>
  <c r="AA70"/>
  <c r="Z70"/>
  <c r="Y70"/>
  <c r="X70"/>
  <c r="W70"/>
  <c r="V70"/>
  <c r="U70"/>
  <c r="S70"/>
  <c r="AA69"/>
  <c r="Z69"/>
  <c r="Y69"/>
  <c r="X69"/>
  <c r="W69"/>
  <c r="V69"/>
  <c r="U69"/>
  <c r="S69"/>
  <c r="AA68"/>
  <c r="Z68"/>
  <c r="Y68"/>
  <c r="X68"/>
  <c r="W68"/>
  <c r="V68"/>
  <c r="U68"/>
  <c r="S68"/>
  <c r="AA67"/>
  <c r="Z67"/>
  <c r="Y67"/>
  <c r="X67"/>
  <c r="W67"/>
  <c r="V67"/>
  <c r="U67"/>
  <c r="S67"/>
  <c r="I81"/>
  <c r="H81"/>
  <c r="G81"/>
  <c r="F81"/>
  <c r="E81"/>
  <c r="D81"/>
  <c r="I80"/>
  <c r="H80"/>
  <c r="G80"/>
  <c r="F80"/>
  <c r="E80"/>
  <c r="D80"/>
  <c r="I79"/>
  <c r="H79"/>
  <c r="G79"/>
  <c r="F79"/>
  <c r="E79"/>
  <c r="D79"/>
  <c r="I78"/>
  <c r="H78"/>
  <c r="G78"/>
  <c r="F78"/>
  <c r="E78"/>
  <c r="D78"/>
  <c r="I77"/>
  <c r="H77"/>
  <c r="G77"/>
  <c r="F77"/>
  <c r="E77"/>
  <c r="D77"/>
  <c r="I76"/>
  <c r="H76"/>
  <c r="G76"/>
  <c r="F76"/>
  <c r="E76"/>
  <c r="D76"/>
  <c r="I75"/>
  <c r="H75"/>
  <c r="G75"/>
  <c r="F75"/>
  <c r="E75"/>
  <c r="D75"/>
  <c r="I74"/>
  <c r="H74"/>
  <c r="G74"/>
  <c r="F74"/>
  <c r="E74"/>
  <c r="D74"/>
  <c r="I73"/>
  <c r="H73"/>
  <c r="G73"/>
  <c r="F73"/>
  <c r="E73"/>
  <c r="D73"/>
  <c r="I72"/>
  <c r="H72"/>
  <c r="G72"/>
  <c r="F72"/>
  <c r="E72"/>
  <c r="D72"/>
  <c r="I71"/>
  <c r="H71"/>
  <c r="G71"/>
  <c r="F71"/>
  <c r="E71"/>
  <c r="D71"/>
  <c r="I70"/>
  <c r="H70"/>
  <c r="G70"/>
  <c r="F70"/>
  <c r="E70"/>
  <c r="D70"/>
  <c r="I69"/>
  <c r="H69"/>
  <c r="G69"/>
  <c r="F69"/>
  <c r="E69"/>
  <c r="D69"/>
  <c r="I68"/>
  <c r="H68"/>
  <c r="G68"/>
  <c r="F68"/>
  <c r="E68"/>
  <c r="D68"/>
  <c r="I67"/>
  <c r="H67"/>
  <c r="G67"/>
  <c r="F67"/>
  <c r="E67"/>
  <c r="D67"/>
  <c r="C81"/>
  <c r="C80"/>
  <c r="C79"/>
  <c r="C78"/>
  <c r="C77"/>
  <c r="C76"/>
  <c r="C75"/>
  <c r="C74"/>
  <c r="C73"/>
  <c r="C72"/>
  <c r="C71"/>
  <c r="C70"/>
  <c r="C69"/>
  <c r="C68"/>
  <c r="C67"/>
  <c r="A80"/>
  <c r="A79"/>
  <c r="A78"/>
  <c r="A77"/>
  <c r="A76"/>
  <c r="A75"/>
  <c r="A74"/>
  <c r="A73"/>
  <c r="A72"/>
  <c r="A71"/>
  <c r="A70"/>
  <c r="A69"/>
  <c r="A68"/>
  <c r="A67"/>
  <c r="T46"/>
  <c r="Z39"/>
  <c r="Y39"/>
  <c r="X39"/>
  <c r="W39"/>
  <c r="V39"/>
  <c r="U39"/>
  <c r="Z38"/>
  <c r="Y38"/>
  <c r="X38"/>
  <c r="W38"/>
  <c r="V38"/>
  <c r="U38"/>
  <c r="Z37"/>
  <c r="Y37"/>
  <c r="X37"/>
  <c r="W37"/>
  <c r="V37"/>
  <c r="U37"/>
  <c r="Z36"/>
  <c r="Y36"/>
  <c r="X36"/>
  <c r="W36"/>
  <c r="V36"/>
  <c r="U36"/>
  <c r="Z35"/>
  <c r="Y35"/>
  <c r="X35"/>
  <c r="W35"/>
  <c r="V35"/>
  <c r="U35"/>
  <c r="Z34"/>
  <c r="Y34"/>
  <c r="X34"/>
  <c r="W34"/>
  <c r="V34"/>
  <c r="U34"/>
  <c r="Z33"/>
  <c r="Y33"/>
  <c r="X33"/>
  <c r="W33"/>
  <c r="V33"/>
  <c r="U33"/>
  <c r="Z32"/>
  <c r="Y32"/>
  <c r="X32"/>
  <c r="W32"/>
  <c r="V32"/>
  <c r="U32"/>
  <c r="Z31"/>
  <c r="Y31"/>
  <c r="X31"/>
  <c r="W31"/>
  <c r="V31"/>
  <c r="U31"/>
  <c r="Z30"/>
  <c r="Y30"/>
  <c r="X30"/>
  <c r="W30"/>
  <c r="V30"/>
  <c r="U30"/>
  <c r="Z29"/>
  <c r="Y29"/>
  <c r="X29"/>
  <c r="W29"/>
  <c r="V29"/>
  <c r="U29"/>
  <c r="Z28"/>
  <c r="Y28"/>
  <c r="X28"/>
  <c r="W28"/>
  <c r="V28"/>
  <c r="U28"/>
  <c r="Z27"/>
  <c r="Y27"/>
  <c r="X27"/>
  <c r="W27"/>
  <c r="V27"/>
  <c r="U27"/>
  <c r="Z26"/>
  <c r="Y26"/>
  <c r="X26"/>
  <c r="W26"/>
  <c r="V26"/>
  <c r="U26"/>
  <c r="T38"/>
  <c r="T37" s="1"/>
  <c r="T36" s="1"/>
  <c r="T35" s="1"/>
  <c r="T34" s="1"/>
  <c r="T33" s="1"/>
  <c r="T32" s="1"/>
  <c r="T31" s="1"/>
  <c r="T30" s="1"/>
  <c r="T29" s="1"/>
  <c r="T28" s="1"/>
  <c r="T27" s="1"/>
  <c r="T26" s="1"/>
  <c r="T39"/>
  <c r="S46"/>
  <c r="S26"/>
  <c r="T47"/>
  <c r="T48" s="1"/>
  <c r="T49" s="1"/>
  <c r="T50" s="1"/>
  <c r="T51" s="1"/>
  <c r="T52" s="1"/>
  <c r="T53" s="1"/>
  <c r="T54" s="1"/>
  <c r="T55" s="1"/>
  <c r="T56" s="1"/>
  <c r="T57" s="1"/>
  <c r="T58" s="1"/>
  <c r="T59" s="1"/>
  <c r="T60" s="1"/>
  <c r="B46"/>
  <c r="A46"/>
  <c r="A26"/>
  <c r="I39"/>
  <c r="H39"/>
  <c r="G39"/>
  <c r="F39"/>
  <c r="E39"/>
  <c r="D39"/>
  <c r="C38"/>
  <c r="C39"/>
  <c r="T8"/>
  <c r="T7"/>
  <c r="T6"/>
  <c r="M10"/>
  <c r="T9" s="1"/>
  <c r="K7"/>
  <c r="S47" s="1"/>
  <c r="E10" i="2"/>
  <c r="E8"/>
  <c r="E7"/>
  <c r="E6"/>
  <c r="D10"/>
  <c r="C10"/>
  <c r="C8"/>
  <c r="C7"/>
  <c r="C6"/>
  <c r="I18" i="1"/>
  <c r="I38" s="1"/>
  <c r="H18"/>
  <c r="G18"/>
  <c r="G38" s="1"/>
  <c r="F18"/>
  <c r="E18"/>
  <c r="E38" s="1"/>
  <c r="D18"/>
  <c r="I17"/>
  <c r="H17"/>
  <c r="G17"/>
  <c r="F17"/>
  <c r="E17"/>
  <c r="D17"/>
  <c r="I16"/>
  <c r="H16"/>
  <c r="G16"/>
  <c r="F16"/>
  <c r="E16"/>
  <c r="D16"/>
  <c r="I15"/>
  <c r="H15"/>
  <c r="G15"/>
  <c r="F15"/>
  <c r="E15"/>
  <c r="D15"/>
  <c r="I14"/>
  <c r="H14"/>
  <c r="G14"/>
  <c r="F14"/>
  <c r="E14"/>
  <c r="D14"/>
  <c r="I13"/>
  <c r="H13"/>
  <c r="G13"/>
  <c r="F13"/>
  <c r="E13"/>
  <c r="D13"/>
  <c r="I12"/>
  <c r="H12"/>
  <c r="G12"/>
  <c r="F12"/>
  <c r="E12"/>
  <c r="D12"/>
  <c r="I11"/>
  <c r="H11"/>
  <c r="G11"/>
  <c r="F11"/>
  <c r="E11"/>
  <c r="D11"/>
  <c r="I10"/>
  <c r="H10"/>
  <c r="G10"/>
  <c r="F10"/>
  <c r="E10"/>
  <c r="D10"/>
  <c r="I9"/>
  <c r="Z9" s="1"/>
  <c r="H9"/>
  <c r="Y9" s="1"/>
  <c r="G9"/>
  <c r="X9" s="1"/>
  <c r="F9"/>
  <c r="W9" s="1"/>
  <c r="E9"/>
  <c r="V9" s="1"/>
  <c r="D9"/>
  <c r="U9" s="1"/>
  <c r="I8"/>
  <c r="Z8" s="1"/>
  <c r="H8"/>
  <c r="Y8" s="1"/>
  <c r="G8"/>
  <c r="X8" s="1"/>
  <c r="F8"/>
  <c r="W8" s="1"/>
  <c r="E8"/>
  <c r="V8" s="1"/>
  <c r="D8"/>
  <c r="U8" s="1"/>
  <c r="I7"/>
  <c r="Z7" s="1"/>
  <c r="H7"/>
  <c r="Y7" s="1"/>
  <c r="G7"/>
  <c r="X7" s="1"/>
  <c r="F7"/>
  <c r="W7" s="1"/>
  <c r="E7"/>
  <c r="V7" s="1"/>
  <c r="D7"/>
  <c r="U7" s="1"/>
  <c r="I6"/>
  <c r="Z6" s="1"/>
  <c r="H6"/>
  <c r="Y6" s="1"/>
  <c r="G6"/>
  <c r="X6" s="1"/>
  <c r="F6"/>
  <c r="W6" s="1"/>
  <c r="E6"/>
  <c r="V6" s="1"/>
  <c r="D6"/>
  <c r="U6" s="1"/>
  <c r="D38" l="1"/>
  <c r="F38"/>
  <c r="H38"/>
  <c r="C37"/>
  <c r="A27"/>
  <c r="A47"/>
  <c r="B47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G60" s="1"/>
  <c r="S27"/>
  <c r="E37"/>
  <c r="G37"/>
  <c r="I37"/>
  <c r="K8"/>
  <c r="M11"/>
  <c r="U10" s="1"/>
  <c r="S48" l="1"/>
  <c r="S28"/>
  <c r="A48"/>
  <c r="A28"/>
  <c r="G36"/>
  <c r="H37"/>
  <c r="D37"/>
  <c r="I36"/>
  <c r="E36"/>
  <c r="C36"/>
  <c r="F37"/>
  <c r="H60"/>
  <c r="D60"/>
  <c r="I60"/>
  <c r="E60"/>
  <c r="AA60"/>
  <c r="F60"/>
  <c r="C60"/>
  <c r="K9"/>
  <c r="Y10"/>
  <c r="Z10"/>
  <c r="V10"/>
  <c r="M12"/>
  <c r="T10"/>
  <c r="X10"/>
  <c r="W10"/>
  <c r="F36" l="1"/>
  <c r="C35"/>
  <c r="E35"/>
  <c r="I35"/>
  <c r="D36"/>
  <c r="H36"/>
  <c r="G35"/>
  <c r="S49"/>
  <c r="S29"/>
  <c r="A49"/>
  <c r="A29"/>
  <c r="M13"/>
  <c r="T11"/>
  <c r="Y11"/>
  <c r="V11"/>
  <c r="Z11"/>
  <c r="U11"/>
  <c r="X11"/>
  <c r="W11"/>
  <c r="K10"/>
  <c r="S50" l="1"/>
  <c r="S30"/>
  <c r="A50"/>
  <c r="A30"/>
  <c r="G34"/>
  <c r="H35"/>
  <c r="D35"/>
  <c r="I34"/>
  <c r="E34"/>
  <c r="C34"/>
  <c r="F35"/>
  <c r="K11"/>
  <c r="M14"/>
  <c r="T12"/>
  <c r="X12"/>
  <c r="W12"/>
  <c r="V12"/>
  <c r="Z12"/>
  <c r="U12"/>
  <c r="Y12"/>
  <c r="S51" l="1"/>
  <c r="S31"/>
  <c r="A51"/>
  <c r="A31"/>
  <c r="F34"/>
  <c r="C33"/>
  <c r="E33"/>
  <c r="I33"/>
  <c r="D34"/>
  <c r="H34"/>
  <c r="G33"/>
  <c r="M15"/>
  <c r="T13"/>
  <c r="V13"/>
  <c r="Z13"/>
  <c r="X13"/>
  <c r="W13"/>
  <c r="U13"/>
  <c r="Y13"/>
  <c r="K12"/>
  <c r="S52" l="1"/>
  <c r="S32"/>
  <c r="A52"/>
  <c r="A32"/>
  <c r="G32"/>
  <c r="H33"/>
  <c r="D33"/>
  <c r="I32"/>
  <c r="E32"/>
  <c r="C32"/>
  <c r="F33"/>
  <c r="K13"/>
  <c r="M16"/>
  <c r="T14"/>
  <c r="X14"/>
  <c r="W14"/>
  <c r="V14"/>
  <c r="Z14"/>
  <c r="U14"/>
  <c r="Y14"/>
  <c r="S53" l="1"/>
  <c r="S33"/>
  <c r="A53"/>
  <c r="A33"/>
  <c r="F32"/>
  <c r="C31"/>
  <c r="C53"/>
  <c r="E31"/>
  <c r="E53"/>
  <c r="I31"/>
  <c r="I53"/>
  <c r="D32"/>
  <c r="H32"/>
  <c r="G31"/>
  <c r="G53"/>
  <c r="AA52"/>
  <c r="AA53"/>
  <c r="M17"/>
  <c r="T15"/>
  <c r="V15"/>
  <c r="Z15"/>
  <c r="Y15"/>
  <c r="X15"/>
  <c r="W15"/>
  <c r="U15"/>
  <c r="K14"/>
  <c r="AA51" l="1"/>
  <c r="G30"/>
  <c r="G52"/>
  <c r="H31"/>
  <c r="H53"/>
  <c r="D31"/>
  <c r="D53"/>
  <c r="I30"/>
  <c r="I52"/>
  <c r="E30"/>
  <c r="E52"/>
  <c r="C30"/>
  <c r="C52"/>
  <c r="F31"/>
  <c r="F53"/>
  <c r="S54"/>
  <c r="S34"/>
  <c r="A54"/>
  <c r="A34"/>
  <c r="AA54"/>
  <c r="G54"/>
  <c r="I54"/>
  <c r="E54"/>
  <c r="C54"/>
  <c r="H54"/>
  <c r="D54"/>
  <c r="F54"/>
  <c r="K15"/>
  <c r="M18"/>
  <c r="T16"/>
  <c r="X16"/>
  <c r="V16"/>
  <c r="Z16"/>
  <c r="U16"/>
  <c r="Y16"/>
  <c r="W16"/>
  <c r="S55" l="1"/>
  <c r="S35"/>
  <c r="A55"/>
  <c r="A35"/>
  <c r="AA55"/>
  <c r="C55"/>
  <c r="E55"/>
  <c r="I55"/>
  <c r="G55"/>
  <c r="H55"/>
  <c r="D55"/>
  <c r="F55"/>
  <c r="F30"/>
  <c r="F52"/>
  <c r="C29"/>
  <c r="C51"/>
  <c r="E29"/>
  <c r="E51"/>
  <c r="I29"/>
  <c r="I51"/>
  <c r="D30"/>
  <c r="D52"/>
  <c r="H30"/>
  <c r="H52"/>
  <c r="G29"/>
  <c r="G51"/>
  <c r="AA50"/>
  <c r="M19"/>
  <c r="T17"/>
  <c r="V17"/>
  <c r="Z17"/>
  <c r="U17"/>
  <c r="X17"/>
  <c r="W17"/>
  <c r="Y17"/>
  <c r="K16"/>
  <c r="S56" l="1"/>
  <c r="S36"/>
  <c r="A56"/>
  <c r="A36"/>
  <c r="AA56"/>
  <c r="G56"/>
  <c r="I56"/>
  <c r="E56"/>
  <c r="C56"/>
  <c r="F56"/>
  <c r="D56"/>
  <c r="H56"/>
  <c r="AA49"/>
  <c r="G28"/>
  <c r="G50"/>
  <c r="H29"/>
  <c r="H51"/>
  <c r="D29"/>
  <c r="D51"/>
  <c r="I28"/>
  <c r="I50"/>
  <c r="E28"/>
  <c r="E50"/>
  <c r="C28"/>
  <c r="C50"/>
  <c r="F29"/>
  <c r="F51"/>
  <c r="K17"/>
  <c r="T18"/>
  <c r="X18"/>
  <c r="V18"/>
  <c r="Z18"/>
  <c r="U18"/>
  <c r="Y18"/>
  <c r="W18"/>
  <c r="S57" l="1"/>
  <c r="S37"/>
  <c r="A57"/>
  <c r="A37"/>
  <c r="AA57"/>
  <c r="C57"/>
  <c r="E57"/>
  <c r="I57"/>
  <c r="G57"/>
  <c r="H57"/>
  <c r="D57"/>
  <c r="F57"/>
  <c r="F28"/>
  <c r="F50"/>
  <c r="C27"/>
  <c r="C49"/>
  <c r="E27"/>
  <c r="E49"/>
  <c r="I27"/>
  <c r="I49"/>
  <c r="D28"/>
  <c r="D50"/>
  <c r="H28"/>
  <c r="H50"/>
  <c r="G27"/>
  <c r="G49"/>
  <c r="AA48"/>
  <c r="T19"/>
  <c r="V19"/>
  <c r="Z19"/>
  <c r="U19"/>
  <c r="X19"/>
  <c r="W19"/>
  <c r="Y19"/>
  <c r="K18"/>
  <c r="W60" l="1"/>
  <c r="U60"/>
  <c r="Y60"/>
  <c r="X60"/>
  <c r="Z60"/>
  <c r="AA47"/>
  <c r="AA46"/>
  <c r="G26"/>
  <c r="G48"/>
  <c r="H27"/>
  <c r="H49"/>
  <c r="D27"/>
  <c r="D49"/>
  <c r="I26"/>
  <c r="I48"/>
  <c r="E26"/>
  <c r="E48"/>
  <c r="C26"/>
  <c r="C48"/>
  <c r="F27"/>
  <c r="F49"/>
  <c r="S58"/>
  <c r="S38"/>
  <c r="A58"/>
  <c r="A38"/>
  <c r="AA58"/>
  <c r="G58"/>
  <c r="I58"/>
  <c r="E58"/>
  <c r="C58"/>
  <c r="F58"/>
  <c r="D58"/>
  <c r="H58"/>
  <c r="V60"/>
  <c r="K19"/>
  <c r="S59" l="1"/>
  <c r="S39"/>
  <c r="A59"/>
  <c r="A39"/>
  <c r="G59"/>
  <c r="C59"/>
  <c r="AA59"/>
  <c r="E59"/>
  <c r="I59"/>
  <c r="H59"/>
  <c r="D59"/>
  <c r="F59"/>
  <c r="F26"/>
  <c r="F48"/>
  <c r="C47"/>
  <c r="C46"/>
  <c r="E47"/>
  <c r="E46"/>
  <c r="I47"/>
  <c r="I46"/>
  <c r="D26"/>
  <c r="D48"/>
  <c r="H26"/>
  <c r="H48"/>
  <c r="G47"/>
  <c r="G46"/>
  <c r="V59"/>
  <c r="Z59"/>
  <c r="X59"/>
  <c r="Y59"/>
  <c r="U59"/>
  <c r="W59"/>
  <c r="H47" l="1"/>
  <c r="H46"/>
  <c r="D47"/>
  <c r="D46"/>
  <c r="F47"/>
  <c r="F46"/>
  <c r="W58"/>
  <c r="U58"/>
  <c r="Y58"/>
  <c r="X58"/>
  <c r="Z58"/>
  <c r="V58"/>
  <c r="W57" l="1"/>
  <c r="V57"/>
  <c r="Z57"/>
  <c r="X57"/>
  <c r="Y57"/>
  <c r="U57"/>
  <c r="U56" l="1"/>
  <c r="Y56"/>
  <c r="X56"/>
  <c r="Z56"/>
  <c r="V56"/>
  <c r="W56"/>
  <c r="W55" l="1"/>
  <c r="V55"/>
  <c r="Z55"/>
  <c r="X55"/>
  <c r="Y55"/>
  <c r="U55"/>
  <c r="U54" l="1"/>
  <c r="Y54"/>
  <c r="X54"/>
  <c r="Z54"/>
  <c r="V54"/>
  <c r="W54"/>
  <c r="W53" l="1"/>
  <c r="V53"/>
  <c r="Z53"/>
  <c r="X53"/>
  <c r="Y53"/>
  <c r="U53"/>
  <c r="U52" l="1"/>
  <c r="Y52"/>
  <c r="X52"/>
  <c r="Z52"/>
  <c r="V52"/>
  <c r="W52"/>
  <c r="V51" l="1"/>
  <c r="X51"/>
  <c r="Y51"/>
  <c r="U51"/>
  <c r="W51"/>
  <c r="Z51"/>
  <c r="Z50" l="1"/>
  <c r="W50"/>
  <c r="U50"/>
  <c r="Y50"/>
  <c r="X50"/>
  <c r="V50"/>
  <c r="W49" l="1"/>
  <c r="V49"/>
  <c r="X49"/>
  <c r="Y49"/>
  <c r="U49"/>
  <c r="Z49"/>
  <c r="Z48" l="1"/>
  <c r="U48"/>
  <c r="Y48"/>
  <c r="X48"/>
  <c r="V48"/>
  <c r="W48"/>
  <c r="W47" l="1"/>
  <c r="W46"/>
  <c r="V46"/>
  <c r="V47"/>
  <c r="X46"/>
  <c r="X47"/>
  <c r="Y47"/>
  <c r="Y46"/>
  <c r="U47"/>
  <c r="U46"/>
  <c r="Z46"/>
  <c r="Z47"/>
</calcChain>
</file>

<file path=xl/comments1.xml><?xml version="1.0" encoding="utf-8"?>
<comments xmlns="http://schemas.openxmlformats.org/spreadsheetml/2006/main">
  <authors>
    <author>Rob Swiatek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Rob Swiatek:</t>
        </r>
        <r>
          <rPr>
            <sz val="9"/>
            <color indexed="81"/>
            <rFont val="Tahoma"/>
            <family val="2"/>
          </rPr>
          <t xml:space="preserve">
Made up.</t>
        </r>
      </text>
    </comment>
  </commentList>
</comments>
</file>

<file path=xl/comments2.xml><?xml version="1.0" encoding="utf-8"?>
<comments xmlns="http://schemas.openxmlformats.org/spreadsheetml/2006/main">
  <authors>
    <author>Rob Swiatek</author>
  </authors>
  <commentList>
    <comment ref="A5" authorId="0">
      <text>
        <r>
          <rPr>
            <b/>
            <sz val="9"/>
            <color indexed="81"/>
            <rFont val="Tahoma"/>
            <family val="2"/>
          </rPr>
          <t>Rob Swiatek:</t>
        </r>
        <r>
          <rPr>
            <sz val="9"/>
            <color indexed="81"/>
            <rFont val="Tahoma"/>
            <family val="2"/>
          </rPr>
          <t xml:space="preserve">
I made these up.</t>
        </r>
      </text>
    </comment>
  </commentList>
</comments>
</file>

<file path=xl/sharedStrings.xml><?xml version="1.0" encoding="utf-8"?>
<sst xmlns="http://schemas.openxmlformats.org/spreadsheetml/2006/main" count="160" uniqueCount="82">
  <si>
    <t>Devlopment</t>
  </si>
  <si>
    <t>Interval</t>
  </si>
  <si>
    <t>27 - 39</t>
  </si>
  <si>
    <t>39 - 51</t>
  </si>
  <si>
    <t>51 - 63</t>
  </si>
  <si>
    <t>63 - 75</t>
  </si>
  <si>
    <t>75 - 87</t>
  </si>
  <si>
    <t>87 - 99</t>
  </si>
  <si>
    <t>99 - 111</t>
  </si>
  <si>
    <t>111 - 123</t>
  </si>
  <si>
    <t>123 - 135</t>
  </si>
  <si>
    <t>135 - 147</t>
  </si>
  <si>
    <t>147 - 159</t>
  </si>
  <si>
    <t>159 - 171</t>
  </si>
  <si>
    <t>171 - 183</t>
  </si>
  <si>
    <t>Fitted</t>
  </si>
  <si>
    <t>"b"</t>
  </si>
  <si>
    <t>Retention</t>
  </si>
  <si>
    <r>
      <t xml:space="preserve">Based on </t>
    </r>
    <r>
      <rPr>
        <u/>
        <sz val="11"/>
        <color theme="1"/>
        <rFont val="Calibri"/>
        <family val="2"/>
        <scheme val="minor"/>
      </rPr>
      <t>Policy Year</t>
    </r>
  </si>
  <si>
    <t>OL&amp;T</t>
  </si>
  <si>
    <t>M&amp;C</t>
  </si>
  <si>
    <t>Products</t>
  </si>
  <si>
    <t>LOB</t>
  </si>
  <si>
    <t>99 to Ult</t>
  </si>
  <si>
    <t>LDF</t>
  </si>
  <si>
    <t>RAA</t>
  </si>
  <si>
    <t>LDF - 1</t>
  </si>
  <si>
    <t>Process to match subline tail LDF to RAA tail LDF</t>
  </si>
  <si>
    <t>Revised</t>
  </si>
  <si>
    <t>Revision</t>
  </si>
  <si>
    <t>Factor</t>
  </si>
  <si>
    <t>&lt;--- check average value</t>
  </si>
  <si>
    <t>Development</t>
  </si>
  <si>
    <t>Age</t>
  </si>
  <si>
    <t>(P&amp;G use 25,000 as base retention for conversion)</t>
  </si>
  <si>
    <t>Selected Outstanding Factor---------------------------:</t>
  </si>
  <si>
    <t>183-Ult</t>
  </si>
  <si>
    <t>Ult</t>
  </si>
  <si>
    <r>
      <t xml:space="preserve">Fitted </t>
    </r>
    <r>
      <rPr>
        <u/>
        <sz val="11"/>
        <color theme="1"/>
        <rFont val="Calibri"/>
        <family val="2"/>
        <scheme val="minor"/>
      </rPr>
      <t>Incurred</t>
    </r>
    <r>
      <rPr>
        <sz val="11"/>
        <color theme="1"/>
        <rFont val="Calibri"/>
        <family val="2"/>
        <scheme val="minor"/>
      </rPr>
      <t xml:space="preserve"> Loss + ALAE Age-to-Age Development Factors for OL&amp;T (Exhibit 5)</t>
    </r>
  </si>
  <si>
    <r>
      <t xml:space="preserve">Based on </t>
    </r>
    <r>
      <rPr>
        <u/>
        <sz val="11"/>
        <color theme="1"/>
        <rFont val="Calibri"/>
        <family val="2"/>
        <scheme val="minor"/>
      </rPr>
      <t>Accident Year</t>
    </r>
  </si>
  <si>
    <t>183 - Ult</t>
  </si>
  <si>
    <t>Interp</t>
  </si>
  <si>
    <t>Placeholder</t>
  </si>
  <si>
    <r>
      <t xml:space="preserve">Fitted </t>
    </r>
    <r>
      <rPr>
        <u/>
        <sz val="11"/>
        <color theme="1"/>
        <rFont val="Calibri"/>
        <family val="2"/>
        <scheme val="minor"/>
      </rPr>
      <t>Incurred</t>
    </r>
    <r>
      <rPr>
        <sz val="11"/>
        <color theme="1"/>
        <rFont val="Calibri"/>
        <family val="2"/>
        <scheme val="minor"/>
      </rPr>
      <t xml:space="preserve"> Loss + ALAE Age-to-Ult Development Factors for OL&amp;T</t>
    </r>
  </si>
  <si>
    <t>Ratio of Paid to Reported Excess Loss + ALAE (Exhibit 10)</t>
  </si>
  <si>
    <r>
      <t xml:space="preserve">Fitted </t>
    </r>
    <r>
      <rPr>
        <u/>
        <sz val="11"/>
        <color theme="1"/>
        <rFont val="Calibri"/>
        <family val="2"/>
        <scheme val="minor"/>
      </rPr>
      <t>Paid</t>
    </r>
    <r>
      <rPr>
        <sz val="11"/>
        <color theme="1"/>
        <rFont val="Calibri"/>
        <family val="2"/>
        <scheme val="minor"/>
      </rPr>
      <t xml:space="preserve"> Loss + ALAE Excess Development Factors for OL&amp;T (Exhibit 10)</t>
    </r>
  </si>
  <si>
    <r>
      <t xml:space="preserve">Fitted </t>
    </r>
    <r>
      <rPr>
        <u/>
        <sz val="11"/>
        <color theme="1"/>
        <rFont val="Calibri"/>
        <family val="2"/>
        <scheme val="minor"/>
      </rPr>
      <t>Paid</t>
    </r>
    <r>
      <rPr>
        <sz val="11"/>
        <color theme="1"/>
        <rFont val="Calibri"/>
        <family val="2"/>
        <scheme val="minor"/>
      </rPr>
      <t xml:space="preserve"> Loss + ALAE Age-to-Ult Development Factors for OL&amp;T</t>
    </r>
  </si>
  <si>
    <r>
      <t xml:space="preserve">Fitted </t>
    </r>
    <r>
      <rPr>
        <u/>
        <sz val="11"/>
        <color theme="1"/>
        <rFont val="Calibri"/>
        <family val="2"/>
        <scheme val="minor"/>
      </rPr>
      <t>Incurred</t>
    </r>
    <r>
      <rPr>
        <sz val="11"/>
        <color theme="1"/>
        <rFont val="Calibri"/>
        <family val="2"/>
        <scheme val="minor"/>
      </rPr>
      <t xml:space="preserve"> Loss + ALAE Age-to-Age Development Factors for OL&amp;T</t>
    </r>
  </si>
  <si>
    <t>189 - Ult</t>
  </si>
  <si>
    <r>
      <t xml:space="preserve">Fitted </t>
    </r>
    <r>
      <rPr>
        <u/>
        <sz val="11"/>
        <color theme="1"/>
        <rFont val="Calibri"/>
        <family val="2"/>
        <scheme val="minor"/>
      </rPr>
      <t>Paid</t>
    </r>
    <r>
      <rPr>
        <sz val="11"/>
        <color theme="1"/>
        <rFont val="Calibri"/>
        <family val="2"/>
        <scheme val="minor"/>
      </rPr>
      <t xml:space="preserve"> Loss + ALAE Age-to-Age Development Factors for OL&amp;T</t>
    </r>
  </si>
  <si>
    <t>f(50,000)</t>
  </si>
  <si>
    <t>f(100,000)</t>
  </si>
  <si>
    <t>f(250,000)</t>
  </si>
  <si>
    <t>f(500,000)</t>
  </si>
  <si>
    <t>f(1,000,000)</t>
  </si>
  <si>
    <t>OL&amp;T BI</t>
  </si>
  <si>
    <t>27 - Ult</t>
  </si>
  <si>
    <t>Layer</t>
  </si>
  <si>
    <t>Layer LDF</t>
  </si>
  <si>
    <t>27-Ult</t>
  </si>
  <si>
    <t>Using Pinto and Gogol</t>
  </si>
  <si>
    <t>f(0)</t>
  </si>
  <si>
    <t>Excess Ratio</t>
  </si>
  <si>
    <t>&lt;--- Calculates Basic Limits LDF (Levine 5.2)</t>
  </si>
  <si>
    <t>Ultimate</t>
  </si>
  <si>
    <t>Ult Excess Ratio</t>
  </si>
  <si>
    <t>XS</t>
  </si>
  <si>
    <t>48-Ult</t>
  </si>
  <si>
    <t>60-Ult</t>
  </si>
  <si>
    <t>Calculate the layer LDF for 250K to 1,000K for the period 48 to 60 months.</t>
  </si>
  <si>
    <t>Unlimited</t>
  </si>
  <si>
    <t>Dev. Factor</t>
  </si>
  <si>
    <t>Reported</t>
  </si>
  <si>
    <t>at age</t>
  </si>
  <si>
    <t>Answer:</t>
  </si>
  <si>
    <t>Calculate the layer LDF for 250K to 1,000K for 60 to ultimate.</t>
  </si>
  <si>
    <t>Calculate the layer LDF for 250K to 1,000K for 48 to ultimate.</t>
  </si>
  <si>
    <t>Exam 2001 #41</t>
  </si>
  <si>
    <t>Calculate the LDF limited to 500K for age 60 to ultimate.</t>
  </si>
  <si>
    <t>Ult XS of</t>
  </si>
  <si>
    <t>Limited</t>
  </si>
  <si>
    <t>Losses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</si>
</sst>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  <numFmt numFmtId="166" formatCode="_(* #,##0.00000_);_(* \(#,##0.00000\);_(* &quot;-&quot;??_);_(@_)"/>
    <numFmt numFmtId="167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43" fontId="0" fillId="0" borderId="0" xfId="1" applyNumberFormat="1" applyFont="1"/>
    <xf numFmtId="43" fontId="0" fillId="0" borderId="0" xfId="0" applyNumberFormat="1"/>
    <xf numFmtId="164" fontId="0" fillId="0" borderId="0" xfId="0" applyNumberFormat="1"/>
    <xf numFmtId="166" fontId="0" fillId="0" borderId="0" xfId="0" applyNumberFormat="1"/>
    <xf numFmtId="166" fontId="2" fillId="0" borderId="0" xfId="1" applyNumberFormat="1" applyFont="1"/>
    <xf numFmtId="0" fontId="0" fillId="0" borderId="1" xfId="0" applyBorder="1"/>
    <xf numFmtId="165" fontId="2" fillId="0" borderId="0" xfId="1" applyNumberFormat="1" applyFont="1"/>
    <xf numFmtId="167" fontId="0" fillId="0" borderId="0" xfId="0" applyNumberFormat="1"/>
    <xf numFmtId="167" fontId="0" fillId="0" borderId="0" xfId="0" applyNumberFormat="1" applyAlignment="1">
      <alignment horizontal="center"/>
    </xf>
    <xf numFmtId="166" fontId="2" fillId="0" borderId="0" xfId="0" applyNumberFormat="1" applyFont="1"/>
    <xf numFmtId="167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right"/>
    </xf>
    <xf numFmtId="167" fontId="3" fillId="0" borderId="1" xfId="0" applyNumberFormat="1" applyFont="1" applyBorder="1"/>
    <xf numFmtId="3" fontId="0" fillId="0" borderId="0" xfId="0" applyNumberFormat="1"/>
    <xf numFmtId="164" fontId="0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7" fontId="2" fillId="0" borderId="0" xfId="1" applyNumberFormat="1" applyFont="1"/>
    <xf numFmtId="164" fontId="0" fillId="0" borderId="1" xfId="1" applyNumberFormat="1" applyFont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A148"/>
  <sheetViews>
    <sheetView zoomScaleNormal="100" workbookViewId="0">
      <selection activeCell="L35" sqref="L35:O35"/>
    </sheetView>
  </sheetViews>
  <sheetFormatPr defaultRowHeight="15"/>
  <cols>
    <col min="1" max="1" width="13.28515625" bestFit="1" customWidth="1"/>
    <col min="2" max="2" width="11.28515625" customWidth="1"/>
    <col min="3" max="3" width="10.7109375" bestFit="1" customWidth="1"/>
    <col min="4" max="8" width="9" customWidth="1"/>
    <col min="9" max="9" width="10.5703125" customWidth="1"/>
    <col min="10" max="10" width="2" customWidth="1"/>
    <col min="11" max="11" width="13.42578125" bestFit="1" customWidth="1"/>
    <col min="12" max="14" width="9.42578125" bestFit="1" customWidth="1"/>
    <col min="15" max="15" width="10.140625" bestFit="1" customWidth="1"/>
    <col min="18" max="18" width="1.5703125" customWidth="1"/>
    <col min="19" max="19" width="12" bestFit="1" customWidth="1"/>
    <col min="20" max="20" width="11.5703125" bestFit="1" customWidth="1"/>
    <col min="21" max="25" width="10" bestFit="1" customWidth="1"/>
    <col min="26" max="26" width="10.85546875" customWidth="1"/>
    <col min="27" max="27" width="10.5703125" bestFit="1" customWidth="1"/>
  </cols>
  <sheetData>
    <row r="2" spans="1:27">
      <c r="A2" s="27" t="s">
        <v>38</v>
      </c>
      <c r="B2" s="27"/>
      <c r="C2" s="27"/>
      <c r="D2" s="27"/>
      <c r="E2" s="27"/>
      <c r="F2" s="27"/>
      <c r="G2" s="27"/>
      <c r="H2" s="27"/>
      <c r="I2" s="27"/>
      <c r="J2" s="1"/>
      <c r="K2" s="27" t="s">
        <v>44</v>
      </c>
      <c r="L2" s="27"/>
      <c r="M2" s="27"/>
      <c r="N2" s="27"/>
      <c r="O2" s="27"/>
      <c r="P2" s="27"/>
      <c r="Q2" s="27"/>
      <c r="S2" s="27" t="s">
        <v>45</v>
      </c>
      <c r="T2" s="27"/>
      <c r="U2" s="27"/>
      <c r="V2" s="27"/>
      <c r="W2" s="27"/>
      <c r="X2" s="27"/>
      <c r="Y2" s="27"/>
      <c r="Z2" s="27"/>
      <c r="AA2" s="27"/>
    </row>
    <row r="3" spans="1:27" ht="15.75" thickBot="1">
      <c r="A3" s="27" t="s">
        <v>18</v>
      </c>
      <c r="B3" s="27"/>
      <c r="C3" s="27"/>
      <c r="D3" s="27"/>
      <c r="E3" s="27"/>
      <c r="F3" s="27"/>
      <c r="G3" s="27"/>
      <c r="H3" s="27"/>
      <c r="I3" s="27"/>
      <c r="J3" s="1"/>
      <c r="K3" s="27" t="s">
        <v>34</v>
      </c>
      <c r="L3" s="27"/>
      <c r="M3" s="27"/>
      <c r="N3" s="27"/>
      <c r="O3" s="27"/>
      <c r="P3" s="27"/>
      <c r="Q3" s="27"/>
      <c r="S3" s="27" t="s">
        <v>18</v>
      </c>
      <c r="T3" s="27"/>
      <c r="U3" s="27"/>
      <c r="V3" s="27"/>
      <c r="W3" s="27"/>
      <c r="X3" s="27"/>
      <c r="Y3" s="27"/>
      <c r="Z3" s="27"/>
      <c r="AA3" s="27"/>
    </row>
    <row r="4" spans="1:27" ht="15.75" thickBot="1">
      <c r="A4" s="1" t="s">
        <v>32</v>
      </c>
      <c r="B4" s="1" t="s">
        <v>15</v>
      </c>
      <c r="C4" s="27" t="s">
        <v>17</v>
      </c>
      <c r="D4" s="27"/>
      <c r="E4" s="27"/>
      <c r="F4" s="27"/>
      <c r="G4" s="27"/>
      <c r="H4" s="27"/>
      <c r="I4" s="27"/>
      <c r="J4" s="1"/>
      <c r="K4" s="1" t="s">
        <v>32</v>
      </c>
      <c r="L4" s="28" t="s">
        <v>35</v>
      </c>
      <c r="M4" s="28"/>
      <c r="N4" s="28"/>
      <c r="O4" s="28"/>
      <c r="P4" s="29"/>
      <c r="Q4" s="13">
        <v>0.67</v>
      </c>
      <c r="S4" s="1" t="s">
        <v>0</v>
      </c>
      <c r="T4" s="27" t="s">
        <v>17</v>
      </c>
      <c r="U4" s="27"/>
      <c r="V4" s="27"/>
      <c r="W4" s="27"/>
      <c r="X4" s="27"/>
      <c r="Y4" s="27"/>
      <c r="Z4" s="27"/>
    </row>
    <row r="5" spans="1:27">
      <c r="A5" s="1" t="s">
        <v>1</v>
      </c>
      <c r="B5" s="1" t="s">
        <v>16</v>
      </c>
      <c r="C5" s="7">
        <v>10000</v>
      </c>
      <c r="D5" s="7">
        <v>25000</v>
      </c>
      <c r="E5" s="7">
        <v>50000</v>
      </c>
      <c r="F5" s="7">
        <v>100000</v>
      </c>
      <c r="G5" s="7">
        <v>250000</v>
      </c>
      <c r="H5" s="7">
        <v>500000</v>
      </c>
      <c r="I5" s="7">
        <v>1000000</v>
      </c>
      <c r="J5" s="7"/>
      <c r="K5" s="1" t="s">
        <v>33</v>
      </c>
      <c r="L5" s="7">
        <v>10000</v>
      </c>
      <c r="M5" s="7">
        <v>25000</v>
      </c>
      <c r="N5" s="7">
        <v>50000</v>
      </c>
      <c r="O5" s="7">
        <v>100000</v>
      </c>
      <c r="P5" s="7">
        <v>250000</v>
      </c>
      <c r="Q5" s="7">
        <v>500000</v>
      </c>
      <c r="S5" s="1" t="s">
        <v>1</v>
      </c>
      <c r="T5" s="7">
        <v>10000</v>
      </c>
      <c r="U5" s="7">
        <v>25000</v>
      </c>
      <c r="V5" s="7">
        <v>50000</v>
      </c>
      <c r="W5" s="7">
        <v>100000</v>
      </c>
      <c r="X5" s="7">
        <v>250000</v>
      </c>
      <c r="Y5" s="7">
        <v>500000</v>
      </c>
      <c r="Z5" s="7">
        <v>1000000</v>
      </c>
    </row>
    <row r="6" spans="1:27">
      <c r="A6" s="1" t="s">
        <v>2</v>
      </c>
      <c r="B6" s="12">
        <v>0.01</v>
      </c>
      <c r="C6" s="12">
        <v>1.3655600000000001</v>
      </c>
      <c r="D6" s="11">
        <f>$C6*(D$5/10000)^$B6</f>
        <v>1.3781300006468442</v>
      </c>
      <c r="E6" s="11">
        <f t="shared" ref="E6:I18" si="0">$C6*(E$5/10000)^$B6</f>
        <v>1.3877156528510093</v>
      </c>
      <c r="F6" s="11">
        <f t="shared" si="0"/>
        <v>1.3973679785389066</v>
      </c>
      <c r="G6" s="11">
        <f t="shared" si="0"/>
        <v>1.4102307721137868</v>
      </c>
      <c r="H6" s="11">
        <f t="shared" si="0"/>
        <v>1.4200397028407494</v>
      </c>
      <c r="I6" s="11">
        <f t="shared" si="0"/>
        <v>1.4299168600763865</v>
      </c>
      <c r="J6" s="11"/>
      <c r="K6" s="7">
        <v>27</v>
      </c>
      <c r="L6" s="14">
        <v>0.19370000000000001</v>
      </c>
      <c r="M6" s="14">
        <v>0.16159999999999999</v>
      </c>
      <c r="N6" s="14">
        <v>0.15179999999999999</v>
      </c>
      <c r="O6" s="14">
        <v>0.1585</v>
      </c>
      <c r="P6" s="14">
        <v>0.1852</v>
      </c>
      <c r="Q6" s="14">
        <v>0.22689999999999999</v>
      </c>
      <c r="S6" s="1" t="s">
        <v>2</v>
      </c>
      <c r="T6" s="6">
        <f>C6*($M7/$M6)</f>
        <v>2.7184446287128714</v>
      </c>
      <c r="U6" s="6">
        <f t="shared" ref="U6:U19" si="1">D6*($M7/$M6)</f>
        <v>2.7434679530203576</v>
      </c>
      <c r="V6" s="6">
        <f t="shared" ref="V6:V19" si="2">E6*($M7/$M6)</f>
        <v>2.7625502816965946</v>
      </c>
      <c r="W6" s="6">
        <f t="shared" ref="W6:W19" si="3">F6*($M7/$M6)</f>
        <v>2.7817653384651377</v>
      </c>
      <c r="X6" s="6">
        <f t="shared" ref="X6:X19" si="4">G6*($M7/$M6)</f>
        <v>2.8073715308725569</v>
      </c>
      <c r="Y6" s="6">
        <f t="shared" ref="Y6:Y19" si="5">H6*($M7/$M6)</f>
        <v>2.8268983440833484</v>
      </c>
      <c r="Z6" s="6">
        <f t="shared" ref="Z6:Z19" si="6">I6*($M7/$M6)</f>
        <v>2.846560977020876</v>
      </c>
    </row>
    <row r="7" spans="1:27">
      <c r="A7" s="1" t="s">
        <v>3</v>
      </c>
      <c r="B7" s="12">
        <v>3.986E-2</v>
      </c>
      <c r="C7" s="12">
        <v>1.1520600000000001</v>
      </c>
      <c r="D7" s="11">
        <f t="shared" ref="D7:D18" si="7">$C7*(D$5/10000)^$B7</f>
        <v>1.1949149279188145</v>
      </c>
      <c r="E7" s="11">
        <f t="shared" si="0"/>
        <v>1.2283893496410794</v>
      </c>
      <c r="F7" s="11">
        <f t="shared" si="0"/>
        <v>1.2628015259126089</v>
      </c>
      <c r="G7" s="11">
        <f t="shared" si="0"/>
        <v>1.3097758747909256</v>
      </c>
      <c r="H7" s="11">
        <f t="shared" si="0"/>
        <v>1.3464680182816451</v>
      </c>
      <c r="I7" s="11">
        <f t="shared" si="0"/>
        <v>1.3841880577810299</v>
      </c>
      <c r="J7" s="11"/>
      <c r="K7" s="7">
        <f>K6+12</f>
        <v>39</v>
      </c>
      <c r="L7" s="14">
        <v>0.35870000000000002</v>
      </c>
      <c r="M7" s="14">
        <v>0.32169999999999999</v>
      </c>
      <c r="N7" s="14">
        <v>0.308</v>
      </c>
      <c r="O7" s="14">
        <v>0.32100000000000001</v>
      </c>
      <c r="P7" s="14">
        <v>0.36159999999999998</v>
      </c>
      <c r="Q7" s="14">
        <v>0.31030000000000002</v>
      </c>
      <c r="S7" s="1" t="s">
        <v>3</v>
      </c>
      <c r="T7" s="6">
        <f t="shared" ref="T7:T19" si="8">C7*($M8/$M7)</f>
        <v>1.6595107367112218</v>
      </c>
      <c r="U7" s="6">
        <f t="shared" si="1"/>
        <v>1.7212420814348108</v>
      </c>
      <c r="V7" s="6">
        <f t="shared" si="2"/>
        <v>1.7694610650409579</v>
      </c>
      <c r="W7" s="6">
        <f t="shared" si="3"/>
        <v>1.8190308582775969</v>
      </c>
      <c r="X7" s="6">
        <f t="shared" si="4"/>
        <v>1.886696115567656</v>
      </c>
      <c r="Y7" s="6">
        <f t="shared" si="5"/>
        <v>1.939550138861406</v>
      </c>
      <c r="Z7" s="6">
        <f t="shared" si="6"/>
        <v>1.9938848180781139</v>
      </c>
    </row>
    <row r="8" spans="1:27">
      <c r="A8" s="1" t="s">
        <v>4</v>
      </c>
      <c r="B8" s="12">
        <v>5.0659999999999997E-2</v>
      </c>
      <c r="C8" s="12">
        <v>1.0802400000000001</v>
      </c>
      <c r="D8" s="11">
        <f t="shared" si="7"/>
        <v>1.1315660148304645</v>
      </c>
      <c r="E8" s="11">
        <f t="shared" si="0"/>
        <v>1.1720066477900697</v>
      </c>
      <c r="F8" s="11">
        <f t="shared" si="0"/>
        <v>1.2138925740624282</v>
      </c>
      <c r="G8" s="11">
        <f t="shared" si="0"/>
        <v>1.2715688943791343</v>
      </c>
      <c r="H8" s="11">
        <f t="shared" si="0"/>
        <v>1.3170130401615985</v>
      </c>
      <c r="I8" s="11">
        <f t="shared" si="0"/>
        <v>1.3640812980114676</v>
      </c>
      <c r="J8" s="11"/>
      <c r="K8" s="7">
        <f t="shared" ref="K8:K19" si="9">K7+12</f>
        <v>51</v>
      </c>
      <c r="L8" s="14">
        <v>0.50409999999999999</v>
      </c>
      <c r="M8" s="14">
        <v>0.46339999999999998</v>
      </c>
      <c r="N8" s="14">
        <v>0.44690000000000002</v>
      </c>
      <c r="O8" s="14">
        <v>0.45190000000000002</v>
      </c>
      <c r="P8" s="14">
        <v>0.4919</v>
      </c>
      <c r="Q8" s="14">
        <v>0.51060000000000005</v>
      </c>
      <c r="S8" s="1" t="s">
        <v>4</v>
      </c>
      <c r="T8" s="6">
        <f t="shared" si="8"/>
        <v>1.3902786706948644</v>
      </c>
      <c r="U8" s="6">
        <f t="shared" si="1"/>
        <v>1.4563357169721387</v>
      </c>
      <c r="V8" s="6">
        <f t="shared" si="2"/>
        <v>1.5083831781225672</v>
      </c>
      <c r="W8" s="6">
        <f t="shared" si="3"/>
        <v>1.5622907448658443</v>
      </c>
      <c r="X8" s="6">
        <f t="shared" si="4"/>
        <v>1.6365206918595507</v>
      </c>
      <c r="Y8" s="6">
        <f t="shared" si="5"/>
        <v>1.6950077193620574</v>
      </c>
      <c r="Z8" s="6">
        <f t="shared" si="6"/>
        <v>1.7555849938153634</v>
      </c>
    </row>
    <row r="9" spans="1:27">
      <c r="A9" s="1" t="s">
        <v>5</v>
      </c>
      <c r="B9" s="12">
        <v>3.8730000000000001E-2</v>
      </c>
      <c r="C9" s="12">
        <v>1.0509900000000001</v>
      </c>
      <c r="D9" s="11">
        <f t="shared" si="7"/>
        <v>1.0889571739529387</v>
      </c>
      <c r="E9" s="11">
        <f t="shared" si="0"/>
        <v>1.1185868051224614</v>
      </c>
      <c r="F9" s="11">
        <f t="shared" si="0"/>
        <v>1.149022634243787</v>
      </c>
      <c r="G9" s="11">
        <f t="shared" si="0"/>
        <v>1.1905312520519467</v>
      </c>
      <c r="H9" s="11">
        <f t="shared" si="0"/>
        <v>1.222924630540873</v>
      </c>
      <c r="I9" s="11">
        <f t="shared" si="0"/>
        <v>1.2561994062783959</v>
      </c>
      <c r="J9" s="11"/>
      <c r="K9" s="7">
        <f t="shared" si="9"/>
        <v>63</v>
      </c>
      <c r="L9" s="14">
        <v>0.63560000000000005</v>
      </c>
      <c r="M9" s="14">
        <v>0.59640000000000004</v>
      </c>
      <c r="N9" s="14">
        <v>0.57540000000000002</v>
      </c>
      <c r="O9" s="14">
        <v>0.58379999999999999</v>
      </c>
      <c r="P9" s="14">
        <v>0.56399999999999995</v>
      </c>
      <c r="Q9" s="14">
        <v>0.42049999999999998</v>
      </c>
      <c r="S9" s="1" t="s">
        <v>5</v>
      </c>
      <c r="T9" s="6">
        <f t="shared" si="8"/>
        <v>1.2856970022132796</v>
      </c>
      <c r="U9" s="6">
        <f t="shared" si="1"/>
        <v>1.3321430023976804</v>
      </c>
      <c r="V9" s="6">
        <f t="shared" si="2"/>
        <v>1.3683895204153023</v>
      </c>
      <c r="W9" s="6">
        <f t="shared" si="3"/>
        <v>1.4056222764464386</v>
      </c>
      <c r="X9" s="6">
        <f t="shared" si="4"/>
        <v>1.4564005954427826</v>
      </c>
      <c r="Y9" s="6">
        <f t="shared" si="5"/>
        <v>1.496028060608743</v>
      </c>
      <c r="Z9" s="6">
        <f t="shared" si="6"/>
        <v>1.5367337565859192</v>
      </c>
    </row>
    <row r="10" spans="1:27">
      <c r="A10" s="1" t="s">
        <v>6</v>
      </c>
      <c r="B10" s="12">
        <v>2.528E-2</v>
      </c>
      <c r="C10" s="12">
        <v>1.0358700000000001</v>
      </c>
      <c r="D10" s="11">
        <f t="shared" si="7"/>
        <v>1.060144779297354</v>
      </c>
      <c r="E10" s="11">
        <f t="shared" si="0"/>
        <v>1.0788851546424594</v>
      </c>
      <c r="F10" s="11">
        <f t="shared" si="0"/>
        <v>1.0979568070687085</v>
      </c>
      <c r="G10" s="11">
        <f t="shared" si="0"/>
        <v>1.1236865406932175</v>
      </c>
      <c r="H10" s="11">
        <f t="shared" si="0"/>
        <v>1.1435501555070271</v>
      </c>
      <c r="I10" s="11">
        <f t="shared" si="0"/>
        <v>1.16376490311382</v>
      </c>
      <c r="J10" s="11"/>
      <c r="K10" s="7">
        <f t="shared" si="9"/>
        <v>75</v>
      </c>
      <c r="L10" s="5"/>
      <c r="M10" s="5">
        <f>1-(1-M9)*$Q$4</f>
        <v>0.72958800000000001</v>
      </c>
      <c r="N10" s="5"/>
      <c r="O10" s="5"/>
      <c r="P10" s="5"/>
      <c r="Q10" s="5"/>
      <c r="S10" s="1" t="s">
        <v>6</v>
      </c>
      <c r="T10" s="6">
        <f t="shared" si="8"/>
        <v>1.162567333132124</v>
      </c>
      <c r="U10" s="6">
        <f t="shared" si="1"/>
        <v>1.18981116240616</v>
      </c>
      <c r="V10" s="6">
        <f t="shared" si="2"/>
        <v>1.2108436743882178</v>
      </c>
      <c r="W10" s="6">
        <f t="shared" si="3"/>
        <v>1.2322479819746979</v>
      </c>
      <c r="X10" s="6">
        <f t="shared" si="4"/>
        <v>1.2611247211427841</v>
      </c>
      <c r="Y10" s="6">
        <f t="shared" si="5"/>
        <v>1.2834178560925888</v>
      </c>
      <c r="Z10" s="6">
        <f t="shared" si="6"/>
        <v>1.3061050709121784</v>
      </c>
    </row>
    <row r="11" spans="1:27">
      <c r="A11" s="1" t="s">
        <v>7</v>
      </c>
      <c r="B11" s="12">
        <v>1.6160000000000001E-2</v>
      </c>
      <c r="C11" s="12">
        <v>1.02691</v>
      </c>
      <c r="D11" s="11">
        <f t="shared" si="7"/>
        <v>1.0422288567865616</v>
      </c>
      <c r="E11" s="11">
        <f t="shared" si="0"/>
        <v>1.0539687596574165</v>
      </c>
      <c r="F11" s="11">
        <f t="shared" si="0"/>
        <v>1.0658409034641461</v>
      </c>
      <c r="G11" s="11">
        <f t="shared" si="0"/>
        <v>1.0817405092304029</v>
      </c>
      <c r="H11" s="11">
        <f t="shared" si="0"/>
        <v>1.0939254803402891</v>
      </c>
      <c r="I11" s="11">
        <f t="shared" si="0"/>
        <v>1.1062477057359137</v>
      </c>
      <c r="J11" s="11"/>
      <c r="K11" s="7">
        <f t="shared" si="9"/>
        <v>87</v>
      </c>
      <c r="L11" s="5"/>
      <c r="M11" s="5">
        <f t="shared" ref="M11:M19" si="10">1-(1-M10)*$Q$4</f>
        <v>0.81882396000000002</v>
      </c>
      <c r="N11" s="5"/>
      <c r="O11" s="5"/>
      <c r="P11" s="5"/>
      <c r="Q11" s="5"/>
      <c r="S11" s="1" t="s">
        <v>7</v>
      </c>
      <c r="T11" s="6">
        <f t="shared" si="8"/>
        <v>1.1018919177103854</v>
      </c>
      <c r="U11" s="6">
        <f t="shared" si="1"/>
        <v>1.1183293119140403</v>
      </c>
      <c r="V11" s="6">
        <f t="shared" si="2"/>
        <v>1.1309264276185322</v>
      </c>
      <c r="W11" s="6">
        <f t="shared" si="3"/>
        <v>1.1436654400992079</v>
      </c>
      <c r="X11" s="6">
        <f t="shared" si="4"/>
        <v>1.1607259878479101</v>
      </c>
      <c r="Y11" s="6">
        <f t="shared" si="5"/>
        <v>1.1738006693521494</v>
      </c>
      <c r="Z11" s="6">
        <f t="shared" si="6"/>
        <v>1.1870226270423505</v>
      </c>
    </row>
    <row r="12" spans="1:27">
      <c r="A12" s="1" t="s">
        <v>8</v>
      </c>
      <c r="B12" s="12">
        <v>1.055E-2</v>
      </c>
      <c r="C12" s="12">
        <v>1.0210999999999999</v>
      </c>
      <c r="D12" s="11">
        <f t="shared" si="7"/>
        <v>1.0310187022681714</v>
      </c>
      <c r="E12" s="11">
        <f t="shared" si="0"/>
        <v>1.0385858700754913</v>
      </c>
      <c r="F12" s="11">
        <f t="shared" si="0"/>
        <v>1.0462085771552785</v>
      </c>
      <c r="G12" s="11">
        <f t="shared" si="0"/>
        <v>1.0563711776715947</v>
      </c>
      <c r="H12" s="11">
        <f t="shared" si="0"/>
        <v>1.0641244201207096</v>
      </c>
      <c r="I12" s="11">
        <f t="shared" si="0"/>
        <v>1.0719345675382157</v>
      </c>
      <c r="J12" s="11"/>
      <c r="K12" s="7">
        <f t="shared" si="9"/>
        <v>99</v>
      </c>
      <c r="L12" s="5"/>
      <c r="M12" s="5">
        <f t="shared" si="10"/>
        <v>0.87861205320000002</v>
      </c>
      <c r="N12" s="5"/>
      <c r="O12" s="5"/>
      <c r="P12" s="5"/>
      <c r="Q12" s="5"/>
      <c r="S12" s="1" t="s">
        <v>8</v>
      </c>
      <c r="T12" s="6">
        <f t="shared" si="8"/>
        <v>1.0676543883316809</v>
      </c>
      <c r="U12" s="6">
        <f t="shared" si="1"/>
        <v>1.0780253079312976</v>
      </c>
      <c r="V12" s="6">
        <f t="shared" si="2"/>
        <v>1.0859374809963525</v>
      </c>
      <c r="W12" s="6">
        <f t="shared" si="3"/>
        <v>1.0939077255019853</v>
      </c>
      <c r="X12" s="6">
        <f t="shared" si="4"/>
        <v>1.1045336632535343</v>
      </c>
      <c r="Y12" s="6">
        <f t="shared" si="5"/>
        <v>1.112640394547822</v>
      </c>
      <c r="Z12" s="6">
        <f t="shared" si="6"/>
        <v>1.1208066252439512</v>
      </c>
    </row>
    <row r="13" spans="1:27">
      <c r="A13" s="1" t="s">
        <v>9</v>
      </c>
      <c r="B13" s="12">
        <v>7.1199999999999996E-3</v>
      </c>
      <c r="C13" s="12">
        <v>1.0170999999999999</v>
      </c>
      <c r="D13" s="11">
        <f t="shared" si="7"/>
        <v>1.02375724251962</v>
      </c>
      <c r="E13" s="11">
        <f t="shared" si="0"/>
        <v>1.0288221853695692</v>
      </c>
      <c r="F13" s="11">
        <f t="shared" si="0"/>
        <v>1.0339121865487859</v>
      </c>
      <c r="G13" s="11">
        <f t="shared" si="0"/>
        <v>1.0406794701687307</v>
      </c>
      <c r="H13" s="11">
        <f t="shared" si="0"/>
        <v>1.0458281341513633</v>
      </c>
      <c r="I13" s="11">
        <f t="shared" si="0"/>
        <v>1.0510022706657078</v>
      </c>
      <c r="J13" s="11"/>
      <c r="K13" s="7">
        <f t="shared" si="9"/>
        <v>111</v>
      </c>
      <c r="L13" s="5"/>
      <c r="M13" s="5">
        <f t="shared" si="10"/>
        <v>0.91867007564400005</v>
      </c>
      <c r="N13" s="5"/>
      <c r="O13" s="5"/>
      <c r="P13" s="5"/>
      <c r="Q13" s="5"/>
      <c r="S13" s="1" t="s">
        <v>9</v>
      </c>
      <c r="T13" s="6">
        <f t="shared" si="8"/>
        <v>1.0468144976464862</v>
      </c>
      <c r="U13" s="6">
        <f t="shared" si="1"/>
        <v>1.0536662309901956</v>
      </c>
      <c r="V13" s="6">
        <f t="shared" si="2"/>
        <v>1.0588791457528322</v>
      </c>
      <c r="W13" s="6">
        <f t="shared" si="3"/>
        <v>1.0641178509218832</v>
      </c>
      <c r="X13" s="6">
        <f t="shared" si="4"/>
        <v>1.0710828402081323</v>
      </c>
      <c r="Y13" s="6">
        <f t="shared" si="5"/>
        <v>1.0763819220098529</v>
      </c>
      <c r="Z13" s="6">
        <f t="shared" si="6"/>
        <v>1.0817072205213245</v>
      </c>
    </row>
    <row r="14" spans="1:27">
      <c r="A14" s="1" t="s">
        <v>10</v>
      </c>
      <c r="B14" s="12">
        <v>4.9699999999999996E-3</v>
      </c>
      <c r="C14" s="12">
        <v>1.0142</v>
      </c>
      <c r="D14" s="11">
        <f t="shared" si="7"/>
        <v>1.0188291637640674</v>
      </c>
      <c r="E14" s="11">
        <f t="shared" si="0"/>
        <v>1.0223450231066571</v>
      </c>
      <c r="F14" s="11">
        <f t="shared" si="0"/>
        <v>1.0258730152653817</v>
      </c>
      <c r="G14" s="11">
        <f t="shared" si="0"/>
        <v>1.0305554587566073</v>
      </c>
      <c r="H14" s="11">
        <f t="shared" si="0"/>
        <v>1.0341117841608978</v>
      </c>
      <c r="I14" s="11">
        <f t="shared" si="0"/>
        <v>1.0376803820249321</v>
      </c>
      <c r="J14" s="11"/>
      <c r="K14" s="7">
        <f t="shared" si="9"/>
        <v>123</v>
      </c>
      <c r="L14" s="5"/>
      <c r="M14" s="5">
        <f t="shared" si="10"/>
        <v>0.94550895068148</v>
      </c>
      <c r="N14" s="5"/>
      <c r="O14" s="5"/>
      <c r="P14" s="5"/>
      <c r="Q14" s="5"/>
      <c r="S14" s="1" t="s">
        <v>10</v>
      </c>
      <c r="T14" s="6">
        <f t="shared" si="8"/>
        <v>1.0334884385907437</v>
      </c>
      <c r="U14" s="6">
        <f t="shared" si="1"/>
        <v>1.0382056415393799</v>
      </c>
      <c r="V14" s="6">
        <f t="shared" si="2"/>
        <v>1.0417883668226353</v>
      </c>
      <c r="W14" s="6">
        <f t="shared" si="3"/>
        <v>1.0453834556685047</v>
      </c>
      <c r="X14" s="6">
        <f t="shared" si="4"/>
        <v>1.05015495163827</v>
      </c>
      <c r="Y14" s="6">
        <f t="shared" si="5"/>
        <v>1.0537789125820689</v>
      </c>
      <c r="Z14" s="6">
        <f t="shared" si="6"/>
        <v>1.0574153793878853</v>
      </c>
    </row>
    <row r="15" spans="1:27">
      <c r="A15" s="1" t="s">
        <v>11</v>
      </c>
      <c r="B15" s="12">
        <v>3.5699999999999998E-3</v>
      </c>
      <c r="C15" s="12">
        <v>1.01203</v>
      </c>
      <c r="D15" s="11">
        <f t="shared" si="7"/>
        <v>1.0153459304517143</v>
      </c>
      <c r="E15" s="11">
        <f t="shared" si="0"/>
        <v>1.0178615511476052</v>
      </c>
      <c r="F15" s="11">
        <f t="shared" si="0"/>
        <v>1.0203834045443876</v>
      </c>
      <c r="G15" s="11">
        <f t="shared" si="0"/>
        <v>1.0237267050429424</v>
      </c>
      <c r="H15" s="11">
        <f t="shared" si="0"/>
        <v>1.0262630899428125</v>
      </c>
      <c r="I15" s="11">
        <f t="shared" si="0"/>
        <v>1.0288057589889581</v>
      </c>
      <c r="J15" s="11"/>
      <c r="K15" s="7">
        <f t="shared" si="9"/>
        <v>135</v>
      </c>
      <c r="L15" s="5"/>
      <c r="M15" s="5">
        <f t="shared" si="10"/>
        <v>0.96349099695659157</v>
      </c>
      <c r="N15" s="5"/>
      <c r="O15" s="5"/>
      <c r="P15" s="5"/>
      <c r="Q15" s="5"/>
      <c r="S15" s="1" t="s">
        <v>11</v>
      </c>
      <c r="T15" s="6">
        <f t="shared" si="8"/>
        <v>1.0246849268587055</v>
      </c>
      <c r="U15" s="6">
        <f t="shared" si="1"/>
        <v>1.0280423213552949</v>
      </c>
      <c r="V15" s="6">
        <f t="shared" si="2"/>
        <v>1.0305893986245194</v>
      </c>
      <c r="W15" s="6">
        <f t="shared" si="3"/>
        <v>1.0331427865314295</v>
      </c>
      <c r="X15" s="6">
        <f t="shared" si="4"/>
        <v>1.0365278933235487</v>
      </c>
      <c r="Y15" s="6">
        <f t="shared" si="5"/>
        <v>1.0390959944426943</v>
      </c>
      <c r="Z15" s="6">
        <f t="shared" si="6"/>
        <v>1.0416704582882084</v>
      </c>
    </row>
    <row r="16" spans="1:27">
      <c r="A16" s="1" t="s">
        <v>12</v>
      </c>
      <c r="B16" s="12">
        <v>2.63E-3</v>
      </c>
      <c r="C16" s="12">
        <v>1.0103500000000001</v>
      </c>
      <c r="D16" s="11">
        <f t="shared" si="7"/>
        <v>1.0127877226033264</v>
      </c>
      <c r="E16" s="11">
        <f t="shared" si="0"/>
        <v>1.0146356953076474</v>
      </c>
      <c r="F16" s="11">
        <f t="shared" si="0"/>
        <v>1.0164870398963617</v>
      </c>
      <c r="G16" s="11">
        <f t="shared" si="0"/>
        <v>1.0189395696465906</v>
      </c>
      <c r="H16" s="11">
        <f t="shared" si="0"/>
        <v>1.020798767255364</v>
      </c>
      <c r="I16" s="11">
        <f t="shared" si="0"/>
        <v>1.0226613572299375</v>
      </c>
      <c r="J16" s="11"/>
      <c r="K16" s="7">
        <f t="shared" si="9"/>
        <v>147</v>
      </c>
      <c r="L16" s="5"/>
      <c r="M16" s="5">
        <f t="shared" si="10"/>
        <v>0.97553896796091633</v>
      </c>
      <c r="N16" s="5"/>
      <c r="O16" s="5"/>
      <c r="P16" s="5"/>
      <c r="Q16" s="5"/>
      <c r="S16" s="1" t="s">
        <v>12</v>
      </c>
      <c r="T16" s="6">
        <f t="shared" si="8"/>
        <v>1.0187101860055618</v>
      </c>
      <c r="U16" s="6">
        <f t="shared" si="1"/>
        <v>1.0211680796529756</v>
      </c>
      <c r="V16" s="6">
        <f t="shared" si="2"/>
        <v>1.0230313434896185</v>
      </c>
      <c r="W16" s="6">
        <f t="shared" si="3"/>
        <v>1.024898007111462</v>
      </c>
      <c r="X16" s="6">
        <f t="shared" si="4"/>
        <v>1.0273708304281739</v>
      </c>
      <c r="Y16" s="6">
        <f t="shared" si="5"/>
        <v>1.0292454120502401</v>
      </c>
      <c r="Z16" s="6">
        <f t="shared" si="6"/>
        <v>1.031123414108388</v>
      </c>
    </row>
    <row r="17" spans="1:27">
      <c r="A17" s="1" t="s">
        <v>13</v>
      </c>
      <c r="B17" s="12">
        <v>1.99E-3</v>
      </c>
      <c r="C17" s="12">
        <v>1.00902</v>
      </c>
      <c r="D17" s="11">
        <f t="shared" si="7"/>
        <v>1.0108615442345346</v>
      </c>
      <c r="E17" s="11">
        <f t="shared" si="0"/>
        <v>1.0122568512310008</v>
      </c>
      <c r="F17" s="11">
        <f t="shared" si="0"/>
        <v>1.0136540841901525</v>
      </c>
      <c r="G17" s="11">
        <f t="shared" si="0"/>
        <v>1.0155040860083056</v>
      </c>
      <c r="H17" s="11">
        <f t="shared" si="0"/>
        <v>1.0169058011731855</v>
      </c>
      <c r="I17" s="11">
        <f t="shared" si="0"/>
        <v>1.0183094511460398</v>
      </c>
      <c r="J17" s="11"/>
      <c r="K17" s="7">
        <f t="shared" si="9"/>
        <v>159</v>
      </c>
      <c r="L17" s="5"/>
      <c r="M17" s="5">
        <f t="shared" si="10"/>
        <v>0.98361110853381395</v>
      </c>
      <c r="N17" s="5"/>
      <c r="O17" s="5"/>
      <c r="P17" s="5"/>
      <c r="Q17" s="5"/>
      <c r="S17" s="1" t="s">
        <v>13</v>
      </c>
      <c r="T17" s="6">
        <f t="shared" si="8"/>
        <v>1.0145680436432993</v>
      </c>
      <c r="U17" s="6">
        <f t="shared" si="1"/>
        <v>1.0164197135123945</v>
      </c>
      <c r="V17" s="6">
        <f t="shared" si="2"/>
        <v>1.0178226925313303</v>
      </c>
      <c r="W17" s="6">
        <f t="shared" si="3"/>
        <v>1.0192276081027565</v>
      </c>
      <c r="X17" s="6">
        <f t="shared" si="4"/>
        <v>1.0210877820590507</v>
      </c>
      <c r="Y17" s="6">
        <f t="shared" si="5"/>
        <v>1.0224972044813787</v>
      </c>
      <c r="Z17" s="6">
        <f t="shared" si="6"/>
        <v>1.0239085723501213</v>
      </c>
    </row>
    <row r="18" spans="1:27">
      <c r="A18" s="1" t="s">
        <v>14</v>
      </c>
      <c r="B18" s="12">
        <v>1.5299999999999999E-3</v>
      </c>
      <c r="C18" s="12">
        <v>1.0079499999999999</v>
      </c>
      <c r="D18" s="11">
        <f t="shared" si="7"/>
        <v>1.0093640610941581</v>
      </c>
      <c r="E18" s="11">
        <f t="shared" si="0"/>
        <v>1.0104350748221917</v>
      </c>
      <c r="F18" s="11">
        <f t="shared" si="0"/>
        <v>1.0115072249790422</v>
      </c>
      <c r="G18" s="11">
        <f t="shared" si="0"/>
        <v>1.0129262765324947</v>
      </c>
      <c r="H18" s="11">
        <f t="shared" si="0"/>
        <v>1.0140010700480042</v>
      </c>
      <c r="I18" s="11">
        <f t="shared" si="0"/>
        <v>1.0150770040029788</v>
      </c>
      <c r="J18" s="11"/>
      <c r="K18" s="7">
        <f t="shared" si="9"/>
        <v>171</v>
      </c>
      <c r="L18" s="5"/>
      <c r="M18" s="5">
        <f t="shared" si="10"/>
        <v>0.98901944271765529</v>
      </c>
      <c r="N18" s="5"/>
      <c r="O18" s="5"/>
      <c r="P18" s="5"/>
      <c r="Q18" s="5"/>
      <c r="S18" s="1" t="s">
        <v>14</v>
      </c>
      <c r="T18" s="6">
        <f t="shared" si="8"/>
        <v>1.0116429419558908</v>
      </c>
      <c r="U18" s="6">
        <f t="shared" si="1"/>
        <v>1.0130621839077729</v>
      </c>
      <c r="V18" s="6">
        <f t="shared" si="2"/>
        <v>1.0141371216315718</v>
      </c>
      <c r="W18" s="6">
        <f t="shared" si="3"/>
        <v>1.0152131999478522</v>
      </c>
      <c r="X18" s="6">
        <f t="shared" si="4"/>
        <v>1.0166374506431464</v>
      </c>
      <c r="Y18" s="6">
        <f t="shared" si="5"/>
        <v>1.0177161820028617</v>
      </c>
      <c r="Z18" s="6">
        <f t="shared" si="6"/>
        <v>1.018796057980401</v>
      </c>
    </row>
    <row r="19" spans="1:27">
      <c r="A19" s="1" t="s">
        <v>40</v>
      </c>
      <c r="B19" s="12"/>
      <c r="C19" s="12">
        <v>1.04</v>
      </c>
      <c r="D19" s="17">
        <v>1.05</v>
      </c>
      <c r="E19" s="17">
        <v>1.06</v>
      </c>
      <c r="F19" s="17">
        <v>1.07</v>
      </c>
      <c r="G19" s="17">
        <v>1.08</v>
      </c>
      <c r="H19" s="17">
        <v>1.0900000000000001</v>
      </c>
      <c r="I19" s="17">
        <v>1.1000000000000001</v>
      </c>
      <c r="J19" s="11"/>
      <c r="K19" s="7">
        <f t="shared" si="9"/>
        <v>183</v>
      </c>
      <c r="L19" s="5"/>
      <c r="M19" s="5">
        <f t="shared" si="10"/>
        <v>0.99264302662082904</v>
      </c>
      <c r="N19" s="5"/>
      <c r="O19" s="5"/>
      <c r="P19" s="5"/>
      <c r="Q19" s="5"/>
      <c r="S19" s="1" t="s">
        <v>36</v>
      </c>
      <c r="T19" s="6">
        <f t="shared" si="8"/>
        <v>1.047707959567685</v>
      </c>
      <c r="U19" s="6">
        <f t="shared" si="1"/>
        <v>1.057782074563528</v>
      </c>
      <c r="V19" s="6">
        <f t="shared" si="2"/>
        <v>1.0678561895593712</v>
      </c>
      <c r="W19" s="6">
        <f t="shared" si="3"/>
        <v>1.0779303045552144</v>
      </c>
      <c r="X19" s="6">
        <f t="shared" si="4"/>
        <v>1.0880044195510574</v>
      </c>
      <c r="Y19" s="6">
        <f t="shared" si="5"/>
        <v>1.0980785345469006</v>
      </c>
      <c r="Z19" s="6">
        <f t="shared" si="6"/>
        <v>1.1081526495427438</v>
      </c>
    </row>
    <row r="20" spans="1:27">
      <c r="A20" s="1"/>
      <c r="B20" s="12"/>
      <c r="C20" s="12"/>
      <c r="D20" s="11"/>
      <c r="E20" s="11"/>
      <c r="F20" s="11"/>
      <c r="G20" s="11"/>
      <c r="H20" s="11"/>
      <c r="I20" s="11"/>
      <c r="J20" s="11"/>
      <c r="K20" s="19" t="s">
        <v>37</v>
      </c>
      <c r="L20" s="5"/>
      <c r="M20" s="14">
        <v>1</v>
      </c>
      <c r="N20" s="5"/>
      <c r="O20" s="5"/>
      <c r="P20" s="5"/>
      <c r="Q20" s="5"/>
      <c r="S20" s="1"/>
      <c r="T20" s="6"/>
      <c r="U20" s="6"/>
      <c r="V20" s="6"/>
      <c r="W20" s="6"/>
      <c r="X20" s="6"/>
      <c r="Y20" s="6"/>
      <c r="Z20" s="6"/>
    </row>
    <row r="21" spans="1:27">
      <c r="A21" s="1"/>
      <c r="B21" s="12"/>
      <c r="C21" s="12"/>
      <c r="D21" s="11"/>
      <c r="E21" s="11"/>
      <c r="F21" s="11"/>
      <c r="G21" s="11"/>
      <c r="H21" s="11"/>
      <c r="I21" s="11"/>
      <c r="J21" s="11"/>
      <c r="K21" s="18"/>
      <c r="L21" s="5"/>
      <c r="M21" s="14"/>
      <c r="N21" s="5"/>
      <c r="O21" s="5"/>
      <c r="P21" s="5"/>
      <c r="Q21" s="5"/>
      <c r="S21" s="1"/>
      <c r="T21" s="6"/>
      <c r="U21" s="6"/>
      <c r="V21" s="6"/>
      <c r="W21" s="6"/>
      <c r="X21" s="6"/>
      <c r="Y21" s="6"/>
      <c r="Z21" s="6"/>
    </row>
    <row r="22" spans="1:27">
      <c r="A22" s="27" t="s">
        <v>43</v>
      </c>
      <c r="B22" s="27"/>
      <c r="C22" s="27"/>
      <c r="D22" s="27"/>
      <c r="E22" s="27"/>
      <c r="F22" s="27"/>
      <c r="G22" s="27"/>
      <c r="H22" s="27"/>
      <c r="I22" s="27"/>
      <c r="J22" s="11"/>
      <c r="K22" s="18"/>
      <c r="L22" s="5"/>
      <c r="M22" s="14"/>
      <c r="N22" s="5"/>
      <c r="O22" s="5"/>
      <c r="P22" s="5"/>
      <c r="Q22" s="5"/>
      <c r="S22" s="27" t="s">
        <v>46</v>
      </c>
      <c r="T22" s="27"/>
      <c r="U22" s="27"/>
      <c r="V22" s="27"/>
      <c r="W22" s="27"/>
      <c r="X22" s="27"/>
      <c r="Y22" s="27"/>
      <c r="Z22" s="27"/>
      <c r="AA22" s="27"/>
    </row>
    <row r="23" spans="1:27">
      <c r="A23" s="27" t="s">
        <v>18</v>
      </c>
      <c r="B23" s="27"/>
      <c r="C23" s="27"/>
      <c r="D23" s="27"/>
      <c r="E23" s="27"/>
      <c r="F23" s="27"/>
      <c r="G23" s="27"/>
      <c r="H23" s="27"/>
      <c r="I23" s="27"/>
      <c r="S23" s="27" t="s">
        <v>18</v>
      </c>
      <c r="T23" s="27"/>
      <c r="U23" s="27"/>
      <c r="V23" s="27"/>
      <c r="W23" s="27"/>
      <c r="X23" s="27"/>
      <c r="Y23" s="27"/>
      <c r="Z23" s="27"/>
      <c r="AA23" s="27"/>
    </row>
    <row r="24" spans="1:27">
      <c r="A24" s="1" t="s">
        <v>32</v>
      </c>
      <c r="B24" s="1"/>
      <c r="C24" s="27" t="s">
        <v>17</v>
      </c>
      <c r="D24" s="27"/>
      <c r="E24" s="27"/>
      <c r="F24" s="27"/>
      <c r="G24" s="27"/>
      <c r="H24" s="27"/>
      <c r="I24" s="27"/>
      <c r="S24" s="1" t="s">
        <v>32</v>
      </c>
      <c r="T24" s="1"/>
      <c r="U24" s="27" t="s">
        <v>17</v>
      </c>
      <c r="V24" s="27"/>
      <c r="W24" s="27"/>
      <c r="X24" s="27"/>
      <c r="Y24" s="27"/>
      <c r="Z24" s="27"/>
      <c r="AA24" s="27"/>
    </row>
    <row r="25" spans="1:27">
      <c r="A25" s="1" t="s">
        <v>1</v>
      </c>
      <c r="B25" s="1"/>
      <c r="C25" s="7">
        <v>10000</v>
      </c>
      <c r="D25" s="7">
        <v>25000</v>
      </c>
      <c r="E25" s="7">
        <v>50000</v>
      </c>
      <c r="F25" s="7">
        <v>100000</v>
      </c>
      <c r="G25" s="7">
        <v>250000</v>
      </c>
      <c r="H25" s="7">
        <v>500000</v>
      </c>
      <c r="I25" s="7">
        <v>1000000</v>
      </c>
      <c r="S25" s="1" t="s">
        <v>1</v>
      </c>
      <c r="T25" s="7">
        <v>10000</v>
      </c>
      <c r="U25" s="7">
        <v>25000</v>
      </c>
      <c r="V25" s="7">
        <v>50000</v>
      </c>
      <c r="W25" s="7">
        <v>100000</v>
      </c>
      <c r="X25" s="7">
        <v>250000</v>
      </c>
      <c r="Y25" s="7">
        <v>500000</v>
      </c>
      <c r="Z25" s="7">
        <v>1000000</v>
      </c>
    </row>
    <row r="26" spans="1:27">
      <c r="A26" s="16" t="str">
        <f>K6&amp;" - Ult"</f>
        <v>27 - Ult</v>
      </c>
      <c r="B26" s="15"/>
      <c r="C26" s="6">
        <f t="shared" ref="C26:C38" si="11">C27*C6</f>
        <v>2.1643885821033897</v>
      </c>
      <c r="D26" s="6">
        <f t="shared" ref="D26:D38" si="12">D27*D6</f>
        <v>2.6562705839099161</v>
      </c>
      <c r="E26" s="6">
        <f t="shared" ref="E26:E38" si="13">E27*E6</f>
        <v>3.1083027997291333</v>
      </c>
      <c r="F26" s="6">
        <f t="shared" ref="F26:F38" si="14">F27*F6</f>
        <v>3.6369361160500073</v>
      </c>
      <c r="G26" s="6">
        <f t="shared" ref="G26:G38" si="15">G27*G6</f>
        <v>4.4622794991346151</v>
      </c>
      <c r="H26" s="6">
        <f t="shared" ref="H26:H38" si="16">H27*H6</f>
        <v>5.2202818560542363</v>
      </c>
      <c r="I26" s="6">
        <f t="shared" ref="I26:I38" si="17">I27*I6</f>
        <v>6.1065311957584072</v>
      </c>
      <c r="S26" s="16" t="str">
        <f>K6&amp;" - Ult"</f>
        <v>27 - Ult</v>
      </c>
      <c r="T26" s="6">
        <f t="shared" ref="T26:T37" si="18">T27*T6</f>
        <v>13.393493701134837</v>
      </c>
      <c r="U26" s="6">
        <f t="shared" ref="U26:U38" si="19">U27*U6</f>
        <v>16.437317969739581</v>
      </c>
      <c r="V26" s="6">
        <f t="shared" ref="V26:V38" si="20">V27*V6</f>
        <v>19.23454702802681</v>
      </c>
      <c r="W26" s="6">
        <f t="shared" ref="W26:W38" si="21">W27*W6</f>
        <v>22.505792797339154</v>
      </c>
      <c r="X26" s="6">
        <f t="shared" ref="X26:X38" si="22">X27*X6</f>
        <v>27.613115712466669</v>
      </c>
      <c r="Y26" s="6">
        <f t="shared" ref="Y26:Y38" si="23">Y27*Y6</f>
        <v>32.303724356771276</v>
      </c>
      <c r="Z26" s="6">
        <f t="shared" ref="Z26:Z38" si="24">Z27*Z6</f>
        <v>37.787940567811908</v>
      </c>
    </row>
    <row r="27" spans="1:27">
      <c r="A27" s="16" t="str">
        <f t="shared" ref="A27:A39" si="25">K7&amp;" - Ult"</f>
        <v>39 - Ult</v>
      </c>
      <c r="B27" s="15"/>
      <c r="C27" s="6">
        <f t="shared" si="11"/>
        <v>1.5849824116870659</v>
      </c>
      <c r="D27" s="6">
        <f t="shared" si="12"/>
        <v>1.9274455839892892</v>
      </c>
      <c r="E27" s="6">
        <f t="shared" si="13"/>
        <v>2.2398701011574258</v>
      </c>
      <c r="F27" s="6">
        <f t="shared" si="14"/>
        <v>2.602704636077894</v>
      </c>
      <c r="G27" s="6">
        <f t="shared" si="15"/>
        <v>3.1642193514513446</v>
      </c>
      <c r="H27" s="6">
        <f t="shared" si="16"/>
        <v>3.6761520439261028</v>
      </c>
      <c r="I27" s="6">
        <f t="shared" si="17"/>
        <v>4.2705498244367819</v>
      </c>
      <c r="S27" s="16" t="str">
        <f t="shared" ref="S27:S39" si="26">K7&amp;" - Ult"</f>
        <v>39 - Ult</v>
      </c>
      <c r="T27" s="6">
        <f t="shared" si="18"/>
        <v>4.9268959020424798</v>
      </c>
      <c r="U27" s="6">
        <f t="shared" si="19"/>
        <v>5.9914379359318906</v>
      </c>
      <c r="V27" s="6">
        <f t="shared" si="20"/>
        <v>6.9626052258546007</v>
      </c>
      <c r="W27" s="6">
        <f t="shared" si="21"/>
        <v>8.0904713586505874</v>
      </c>
      <c r="X27" s="6">
        <f t="shared" si="22"/>
        <v>9.8359320840887268</v>
      </c>
      <c r="Y27" s="6">
        <f t="shared" si="23"/>
        <v>11.427267777202685</v>
      </c>
      <c r="Z27" s="6">
        <f t="shared" si="24"/>
        <v>13.274945055756232</v>
      </c>
    </row>
    <row r="28" spans="1:27">
      <c r="A28" s="16" t="str">
        <f t="shared" si="25"/>
        <v>51 - Ult</v>
      </c>
      <c r="B28" s="15"/>
      <c r="C28" s="6">
        <f t="shared" si="11"/>
        <v>1.3757811326554743</v>
      </c>
      <c r="D28" s="6">
        <f t="shared" si="12"/>
        <v>1.6130400072466453</v>
      </c>
      <c r="E28" s="6">
        <f t="shared" si="13"/>
        <v>1.8234203201223529</v>
      </c>
      <c r="F28" s="6">
        <f t="shared" si="14"/>
        <v>2.061055979637779</v>
      </c>
      <c r="G28" s="6">
        <f t="shared" si="15"/>
        <v>2.4158479418903913</v>
      </c>
      <c r="H28" s="6">
        <f t="shared" si="16"/>
        <v>2.7302186119634593</v>
      </c>
      <c r="I28" s="6">
        <f t="shared" si="17"/>
        <v>3.0852381657466639</v>
      </c>
      <c r="S28" s="16" t="str">
        <f t="shared" si="26"/>
        <v>51 - Ult</v>
      </c>
      <c r="T28" s="6">
        <f t="shared" si="18"/>
        <v>2.9688846194550584</v>
      </c>
      <c r="U28" s="6">
        <f t="shared" si="19"/>
        <v>3.4808804644942715</v>
      </c>
      <c r="V28" s="6">
        <f t="shared" si="20"/>
        <v>3.9348733710020554</v>
      </c>
      <c r="W28" s="6">
        <f t="shared" si="21"/>
        <v>4.4476823039226998</v>
      </c>
      <c r="X28" s="6">
        <f t="shared" si="22"/>
        <v>5.2133101896642007</v>
      </c>
      <c r="Y28" s="6">
        <f t="shared" si="23"/>
        <v>5.8917104271977987</v>
      </c>
      <c r="Z28" s="6">
        <f t="shared" si="24"/>
        <v>6.6578294470148087</v>
      </c>
    </row>
    <row r="29" spans="1:27">
      <c r="A29" s="16" t="str">
        <f t="shared" si="25"/>
        <v>63 - Ult</v>
      </c>
      <c r="B29" s="15"/>
      <c r="C29" s="6">
        <f t="shared" si="11"/>
        <v>1.2735883994811099</v>
      </c>
      <c r="D29" s="6">
        <f t="shared" si="12"/>
        <v>1.4254935073216362</v>
      </c>
      <c r="E29" s="6">
        <f t="shared" si="13"/>
        <v>1.5558105609388699</v>
      </c>
      <c r="F29" s="6">
        <f t="shared" si="14"/>
        <v>1.6978899316767568</v>
      </c>
      <c r="G29" s="6">
        <f t="shared" si="15"/>
        <v>1.8998954382805746</v>
      </c>
      <c r="H29" s="6">
        <f t="shared" si="16"/>
        <v>2.0730384048653456</v>
      </c>
      <c r="I29" s="6">
        <f t="shared" si="17"/>
        <v>2.2617700061164001</v>
      </c>
      <c r="S29" s="16" t="str">
        <f t="shared" si="26"/>
        <v>63 - Ult</v>
      </c>
      <c r="T29" s="6">
        <f t="shared" si="18"/>
        <v>2.1354600930266758</v>
      </c>
      <c r="U29" s="6">
        <f t="shared" si="19"/>
        <v>2.3901634931616971</v>
      </c>
      <c r="V29" s="6">
        <f t="shared" si="20"/>
        <v>2.608669619280465</v>
      </c>
      <c r="W29" s="6">
        <f t="shared" si="21"/>
        <v>2.8468979404372181</v>
      </c>
      <c r="X29" s="6">
        <f t="shared" si="22"/>
        <v>3.1856060333342957</v>
      </c>
      <c r="Y29" s="6">
        <f t="shared" si="23"/>
        <v>3.4759195252604727</v>
      </c>
      <c r="Z29" s="6">
        <f t="shared" si="24"/>
        <v>3.79237090227431</v>
      </c>
    </row>
    <row r="30" spans="1:27">
      <c r="A30" s="16" t="str">
        <f t="shared" si="25"/>
        <v>75 - Ult</v>
      </c>
      <c r="B30" s="15"/>
      <c r="C30" s="6">
        <f t="shared" si="11"/>
        <v>1.2117987797040026</v>
      </c>
      <c r="D30" s="6">
        <f t="shared" si="12"/>
        <v>1.3090445991985737</v>
      </c>
      <c r="E30" s="6">
        <f t="shared" si="13"/>
        <v>1.390871547754885</v>
      </c>
      <c r="F30" s="6">
        <f t="shared" si="14"/>
        <v>1.4776818846516449</v>
      </c>
      <c r="G30" s="6">
        <f t="shared" si="15"/>
        <v>1.5958383578809876</v>
      </c>
      <c r="H30" s="6">
        <f t="shared" si="16"/>
        <v>1.6951481334941187</v>
      </c>
      <c r="I30" s="6">
        <f t="shared" si="17"/>
        <v>1.8004864473046502</v>
      </c>
      <c r="S30" s="16" t="str">
        <f t="shared" si="26"/>
        <v>75 - Ult</v>
      </c>
      <c r="T30" s="6">
        <f t="shared" si="18"/>
        <v>1.6609357331864045</v>
      </c>
      <c r="U30" s="6">
        <f t="shared" si="19"/>
        <v>1.7942244104872529</v>
      </c>
      <c r="V30" s="6">
        <f t="shared" si="20"/>
        <v>1.9063794192816834</v>
      </c>
      <c r="W30" s="6">
        <f t="shared" si="21"/>
        <v>2.0253648424201676</v>
      </c>
      <c r="X30" s="6">
        <f t="shared" si="22"/>
        <v>2.1873144266092468</v>
      </c>
      <c r="Y30" s="6">
        <f t="shared" si="23"/>
        <v>2.3234320376625153</v>
      </c>
      <c r="Z30" s="6">
        <f t="shared" si="24"/>
        <v>2.4678125836837355</v>
      </c>
    </row>
    <row r="31" spans="1:27">
      <c r="A31" s="16" t="str">
        <f t="shared" si="25"/>
        <v>87 - Ult</v>
      </c>
      <c r="B31" s="15"/>
      <c r="C31" s="6">
        <f t="shared" si="11"/>
        <v>1.1698367359842476</v>
      </c>
      <c r="D31" s="6">
        <f t="shared" si="12"/>
        <v>1.2347790837268344</v>
      </c>
      <c r="E31" s="6">
        <f t="shared" si="13"/>
        <v>1.2891747947128045</v>
      </c>
      <c r="F31" s="6">
        <f t="shared" si="14"/>
        <v>1.3458470088606809</v>
      </c>
      <c r="G31" s="6">
        <f t="shared" si="15"/>
        <v>1.4201810737151779</v>
      </c>
      <c r="H31" s="6">
        <f t="shared" si="16"/>
        <v>1.4823557369396922</v>
      </c>
      <c r="I31" s="6">
        <f t="shared" si="17"/>
        <v>1.5471221399504234</v>
      </c>
      <c r="S31" s="16" t="str">
        <f t="shared" si="26"/>
        <v>87 - Ult</v>
      </c>
      <c r="T31" s="6">
        <f t="shared" si="18"/>
        <v>1.4286791705316579</v>
      </c>
      <c r="U31" s="6">
        <f t="shared" si="19"/>
        <v>1.5079909040849688</v>
      </c>
      <c r="V31" s="6">
        <f t="shared" si="20"/>
        <v>1.5744224127403457</v>
      </c>
      <c r="W31" s="6">
        <f t="shared" si="21"/>
        <v>1.6436341321285726</v>
      </c>
      <c r="X31" s="6">
        <f t="shared" si="22"/>
        <v>1.7344156291117536</v>
      </c>
      <c r="Y31" s="6">
        <f t="shared" si="23"/>
        <v>1.8103472899592394</v>
      </c>
      <c r="Z31" s="6">
        <f t="shared" si="24"/>
        <v>1.8894441485938229</v>
      </c>
    </row>
    <row r="32" spans="1:27">
      <c r="A32" s="16" t="str">
        <f t="shared" si="25"/>
        <v>99 - Ult</v>
      </c>
      <c r="B32" s="15"/>
      <c r="C32" s="6">
        <f t="shared" si="11"/>
        <v>1.1391813654402505</v>
      </c>
      <c r="D32" s="6">
        <f t="shared" si="12"/>
        <v>1.1847485086278946</v>
      </c>
      <c r="E32" s="6">
        <f t="shared" si="13"/>
        <v>1.2231622454652638</v>
      </c>
      <c r="F32" s="6">
        <f t="shared" si="14"/>
        <v>1.2627091008484213</v>
      </c>
      <c r="G32" s="6">
        <f t="shared" si="15"/>
        <v>1.312866682533278</v>
      </c>
      <c r="H32" s="6">
        <f t="shared" si="16"/>
        <v>1.3550792659830664</v>
      </c>
      <c r="I32" s="6">
        <f t="shared" si="17"/>
        <v>1.3985313885204624</v>
      </c>
      <c r="S32" s="16" t="str">
        <f t="shared" si="26"/>
        <v>99 - Ult</v>
      </c>
      <c r="T32" s="6">
        <f t="shared" si="18"/>
        <v>1.2965692438331899</v>
      </c>
      <c r="U32" s="6">
        <f t="shared" si="19"/>
        <v>1.3484318867615264</v>
      </c>
      <c r="V32" s="6">
        <f t="shared" si="20"/>
        <v>1.3921528176290943</v>
      </c>
      <c r="W32" s="6">
        <f t="shared" si="21"/>
        <v>1.4371634172892334</v>
      </c>
      <c r="X32" s="6">
        <f t="shared" si="22"/>
        <v>1.4942507079793357</v>
      </c>
      <c r="Y32" s="6">
        <f t="shared" si="23"/>
        <v>1.5422953293751454</v>
      </c>
      <c r="Z32" s="6">
        <f t="shared" si="24"/>
        <v>1.5917507430348348</v>
      </c>
    </row>
    <row r="33" spans="1:27">
      <c r="A33" s="16" t="str">
        <f t="shared" si="25"/>
        <v>111 - Ult</v>
      </c>
      <c r="B33" s="15"/>
      <c r="C33" s="6">
        <f t="shared" si="11"/>
        <v>1.1156413333074631</v>
      </c>
      <c r="D33" s="6">
        <f t="shared" si="12"/>
        <v>1.1491047698955683</v>
      </c>
      <c r="E33" s="6">
        <f t="shared" si="13"/>
        <v>1.1777189356296136</v>
      </c>
      <c r="F33" s="6">
        <f t="shared" si="14"/>
        <v>1.2069382037392815</v>
      </c>
      <c r="G33" s="6">
        <f t="shared" si="15"/>
        <v>1.2428081249121534</v>
      </c>
      <c r="H33" s="6">
        <f t="shared" si="16"/>
        <v>1.2734218295914608</v>
      </c>
      <c r="I33" s="6">
        <f t="shared" si="17"/>
        <v>1.3046798105711832</v>
      </c>
      <c r="S33" s="16" t="str">
        <f t="shared" si="26"/>
        <v>111 - Ult</v>
      </c>
      <c r="T33" s="6">
        <f t="shared" si="18"/>
        <v>1.2144091365176815</v>
      </c>
      <c r="U33" s="6">
        <f t="shared" si="19"/>
        <v>1.2508350934257118</v>
      </c>
      <c r="V33" s="6">
        <f t="shared" si="20"/>
        <v>1.2819824732007481</v>
      </c>
      <c r="W33" s="6">
        <f t="shared" si="21"/>
        <v>1.3137885251059278</v>
      </c>
      <c r="X33" s="6">
        <f t="shared" si="22"/>
        <v>1.3528340128428895</v>
      </c>
      <c r="Y33" s="6">
        <f t="shared" si="23"/>
        <v>1.3861579508821764</v>
      </c>
      <c r="Z33" s="6">
        <f t="shared" si="24"/>
        <v>1.4201832030466266</v>
      </c>
    </row>
    <row r="34" spans="1:27">
      <c r="A34" s="16" t="str">
        <f t="shared" si="25"/>
        <v>123 - Ult</v>
      </c>
      <c r="B34" s="15"/>
      <c r="C34" s="6">
        <f t="shared" si="11"/>
        <v>1.0968846065357027</v>
      </c>
      <c r="D34" s="6">
        <f t="shared" si="12"/>
        <v>1.1224387209876525</v>
      </c>
      <c r="E34" s="6">
        <f t="shared" si="13"/>
        <v>1.1447254466101529</v>
      </c>
      <c r="F34" s="6">
        <f t="shared" si="14"/>
        <v>1.1673507861127539</v>
      </c>
      <c r="G34" s="6">
        <f t="shared" si="15"/>
        <v>1.1942275797087172</v>
      </c>
      <c r="H34" s="6">
        <f t="shared" si="16"/>
        <v>1.21762055160696</v>
      </c>
      <c r="I34" s="6">
        <f t="shared" si="17"/>
        <v>1.2413672615043878</v>
      </c>
      <c r="S34" s="16" t="str">
        <f t="shared" si="26"/>
        <v>123 - Ult</v>
      </c>
      <c r="T34" s="6">
        <f t="shared" si="18"/>
        <v>1.1600996539959965</v>
      </c>
      <c r="U34" s="6">
        <f t="shared" si="19"/>
        <v>1.1871264890497859</v>
      </c>
      <c r="V34" s="6">
        <f t="shared" si="20"/>
        <v>1.2106976309268005</v>
      </c>
      <c r="W34" s="6">
        <f t="shared" si="21"/>
        <v>1.2346269014919222</v>
      </c>
      <c r="X34" s="6">
        <f t="shared" si="22"/>
        <v>1.2630526436031853</v>
      </c>
      <c r="Y34" s="6">
        <f t="shared" si="23"/>
        <v>1.2877937863299491</v>
      </c>
      <c r="Z34" s="6">
        <f t="shared" si="24"/>
        <v>1.3129090534887757</v>
      </c>
    </row>
    <row r="35" spans="1:27">
      <c r="A35" s="16" t="str">
        <f t="shared" si="25"/>
        <v>135 - Ult</v>
      </c>
      <c r="B35" s="15"/>
      <c r="C35" s="6">
        <f t="shared" si="11"/>
        <v>1.0815269242118939</v>
      </c>
      <c r="D35" s="6">
        <f t="shared" si="12"/>
        <v>1.1016947304892601</v>
      </c>
      <c r="E35" s="6">
        <f t="shared" si="13"/>
        <v>1.1197055991250502</v>
      </c>
      <c r="F35" s="6">
        <f t="shared" si="14"/>
        <v>1.1379096328123746</v>
      </c>
      <c r="G35" s="6">
        <f t="shared" si="15"/>
        <v>1.158819323658316</v>
      </c>
      <c r="H35" s="6">
        <f t="shared" si="16"/>
        <v>1.1774554455879889</v>
      </c>
      <c r="I35" s="6">
        <f t="shared" si="17"/>
        <v>1.1962905756028466</v>
      </c>
      <c r="S35" s="16" t="str">
        <f t="shared" si="26"/>
        <v>135 - Ult</v>
      </c>
      <c r="T35" s="6">
        <f t="shared" si="18"/>
        <v>1.1225085938821906</v>
      </c>
      <c r="U35" s="6">
        <f t="shared" si="19"/>
        <v>1.143440607093597</v>
      </c>
      <c r="V35" s="6">
        <f t="shared" si="20"/>
        <v>1.1621339510819495</v>
      </c>
      <c r="W35" s="6">
        <f t="shared" si="21"/>
        <v>1.1810277796126012</v>
      </c>
      <c r="X35" s="6">
        <f t="shared" si="22"/>
        <v>1.202729789192337</v>
      </c>
      <c r="Y35" s="6">
        <f t="shared" si="23"/>
        <v>1.2220720788333814</v>
      </c>
      <c r="Z35" s="6">
        <f t="shared" si="24"/>
        <v>1.2416209174570452</v>
      </c>
    </row>
    <row r="36" spans="1:27">
      <c r="A36" s="16" t="str">
        <f t="shared" si="25"/>
        <v>147 - Ult</v>
      </c>
      <c r="B36" s="15"/>
      <c r="C36" s="6">
        <f t="shared" si="11"/>
        <v>1.0686708143156762</v>
      </c>
      <c r="D36" s="6">
        <f t="shared" si="12"/>
        <v>1.0850437249491218</v>
      </c>
      <c r="E36" s="6">
        <f t="shared" si="13"/>
        <v>1.1000568769520955</v>
      </c>
      <c r="F36" s="6">
        <f t="shared" si="14"/>
        <v>1.1151784983414776</v>
      </c>
      <c r="G36" s="6">
        <f t="shared" si="15"/>
        <v>1.1319616045472867</v>
      </c>
      <c r="H36" s="6">
        <f t="shared" si="16"/>
        <v>1.1473231933671135</v>
      </c>
      <c r="I36" s="6">
        <f t="shared" si="17"/>
        <v>1.1627953723533599</v>
      </c>
      <c r="S36" s="16" t="str">
        <f t="shared" si="26"/>
        <v>147 - Ult</v>
      </c>
      <c r="T36" s="6">
        <f t="shared" si="18"/>
        <v>1.0954670693979809</v>
      </c>
      <c r="U36" s="6">
        <f t="shared" si="19"/>
        <v>1.1122505205682287</v>
      </c>
      <c r="V36" s="6">
        <f t="shared" si="20"/>
        <v>1.1276401180072264</v>
      </c>
      <c r="W36" s="6">
        <f t="shared" si="21"/>
        <v>1.1431409046349401</v>
      </c>
      <c r="X36" s="6">
        <f t="shared" si="22"/>
        <v>1.1603448367760509</v>
      </c>
      <c r="Y36" s="6">
        <f t="shared" si="23"/>
        <v>1.1760916078680719</v>
      </c>
      <c r="Z36" s="6">
        <f t="shared" si="24"/>
        <v>1.1919517421060575</v>
      </c>
    </row>
    <row r="37" spans="1:27">
      <c r="A37" s="16" t="str">
        <f t="shared" si="25"/>
        <v>159 - Ult</v>
      </c>
      <c r="B37" s="15"/>
      <c r="C37" s="6">
        <f t="shared" si="11"/>
        <v>1.0577233773600001</v>
      </c>
      <c r="D37" s="6">
        <f t="shared" si="12"/>
        <v>1.0713436791671058</v>
      </c>
      <c r="E37" s="6">
        <f t="shared" si="13"/>
        <v>1.0841890168456449</v>
      </c>
      <c r="F37" s="6">
        <f t="shared" si="14"/>
        <v>1.0970907198730033</v>
      </c>
      <c r="G37" s="6">
        <f t="shared" si="15"/>
        <v>1.1109212344554413</v>
      </c>
      <c r="H37" s="6">
        <f t="shared" si="16"/>
        <v>1.1239464918751201</v>
      </c>
      <c r="I37" s="6">
        <f t="shared" si="17"/>
        <v>1.1370287574989639</v>
      </c>
      <c r="S37" s="16" t="str">
        <f t="shared" si="26"/>
        <v>159 - Ult</v>
      </c>
      <c r="T37" s="6">
        <f t="shared" si="18"/>
        <v>1.0753471246747699</v>
      </c>
      <c r="U37" s="6">
        <f t="shared" si="19"/>
        <v>1.0891943674406721</v>
      </c>
      <c r="V37" s="6">
        <f t="shared" si="20"/>
        <v>1.1022537336547102</v>
      </c>
      <c r="W37" s="6">
        <f t="shared" si="21"/>
        <v>1.1153704043748998</v>
      </c>
      <c r="X37" s="6">
        <f t="shared" si="22"/>
        <v>1.1294313624735266</v>
      </c>
      <c r="Y37" s="6">
        <f t="shared" si="23"/>
        <v>1.1426736462446954</v>
      </c>
      <c r="Z37" s="6">
        <f t="shared" si="24"/>
        <v>1.1559738880885928</v>
      </c>
    </row>
    <row r="38" spans="1:27">
      <c r="A38" s="16" t="str">
        <f t="shared" si="25"/>
        <v>171 - Ult</v>
      </c>
      <c r="B38" s="15"/>
      <c r="C38" s="6">
        <f t="shared" si="11"/>
        <v>1.048268</v>
      </c>
      <c r="D38" s="6">
        <f t="shared" si="12"/>
        <v>1.059832264148866</v>
      </c>
      <c r="E38" s="6">
        <f t="shared" si="13"/>
        <v>1.0710611793115232</v>
      </c>
      <c r="F38" s="6">
        <f t="shared" si="14"/>
        <v>1.0823127307275753</v>
      </c>
      <c r="G38" s="6">
        <f t="shared" si="15"/>
        <v>1.0939603786550942</v>
      </c>
      <c r="H38" s="6">
        <f t="shared" si="16"/>
        <v>1.1052611663523246</v>
      </c>
      <c r="I38" s="6">
        <f t="shared" si="17"/>
        <v>1.1165847044032768</v>
      </c>
      <c r="S38" s="16" t="str">
        <f t="shared" si="26"/>
        <v>171 - Ult</v>
      </c>
      <c r="T38" s="6">
        <f>T39*T18</f>
        <v>1.0599063625276564</v>
      </c>
      <c r="U38" s="6">
        <f t="shared" si="19"/>
        <v>1.0715990185558224</v>
      </c>
      <c r="V38" s="6">
        <f t="shared" si="20"/>
        <v>1.0829526023961988</v>
      </c>
      <c r="W38" s="6">
        <f t="shared" si="21"/>
        <v>1.0943290738082621</v>
      </c>
      <c r="X38" s="6">
        <f t="shared" si="22"/>
        <v>1.1061060393808633</v>
      </c>
      <c r="Y38" s="6">
        <f t="shared" si="23"/>
        <v>1.1175322937183692</v>
      </c>
      <c r="Z38" s="6">
        <f t="shared" si="24"/>
        <v>1.1289815509946841</v>
      </c>
    </row>
    <row r="39" spans="1:27">
      <c r="A39" s="16" t="str">
        <f t="shared" si="25"/>
        <v>183 - Ult</v>
      </c>
      <c r="B39" s="15"/>
      <c r="C39" s="6">
        <f>C19</f>
        <v>1.04</v>
      </c>
      <c r="D39" s="6">
        <f t="shared" ref="D39:I39" si="27">D19</f>
        <v>1.05</v>
      </c>
      <c r="E39" s="6">
        <f t="shared" si="27"/>
        <v>1.06</v>
      </c>
      <c r="F39" s="6">
        <f t="shared" si="27"/>
        <v>1.07</v>
      </c>
      <c r="G39" s="6">
        <f t="shared" si="27"/>
        <v>1.08</v>
      </c>
      <c r="H39" s="6">
        <f t="shared" si="27"/>
        <v>1.0900000000000001</v>
      </c>
      <c r="I39" s="6">
        <f t="shared" si="27"/>
        <v>1.1000000000000001</v>
      </c>
      <c r="S39" s="16" t="str">
        <f t="shared" si="26"/>
        <v>183 - Ult</v>
      </c>
      <c r="T39" s="6">
        <f>T19</f>
        <v>1.047707959567685</v>
      </c>
      <c r="U39" s="6">
        <f t="shared" ref="U39:Z39" si="28">U19</f>
        <v>1.057782074563528</v>
      </c>
      <c r="V39" s="6">
        <f t="shared" si="28"/>
        <v>1.0678561895593712</v>
      </c>
      <c r="W39" s="6">
        <f t="shared" si="28"/>
        <v>1.0779303045552144</v>
      </c>
      <c r="X39" s="6">
        <f t="shared" si="28"/>
        <v>1.0880044195510574</v>
      </c>
      <c r="Y39" s="6">
        <f t="shared" si="28"/>
        <v>1.0980785345469006</v>
      </c>
      <c r="Z39" s="6">
        <f t="shared" si="28"/>
        <v>1.1081526495427438</v>
      </c>
    </row>
    <row r="40" spans="1:27">
      <c r="A40" s="16"/>
      <c r="B40" s="15"/>
      <c r="S40" s="16"/>
      <c r="T40" s="15"/>
    </row>
    <row r="41" spans="1:27">
      <c r="A41" s="16"/>
      <c r="S41" s="16"/>
    </row>
    <row r="42" spans="1:27">
      <c r="A42" s="27" t="s">
        <v>43</v>
      </c>
      <c r="B42" s="27"/>
      <c r="C42" s="27"/>
      <c r="D42" s="27"/>
      <c r="E42" s="27"/>
      <c r="F42" s="27"/>
      <c r="G42" s="27"/>
      <c r="H42" s="27"/>
      <c r="I42" s="27"/>
      <c r="S42" s="27" t="s">
        <v>46</v>
      </c>
      <c r="T42" s="27"/>
      <c r="U42" s="27"/>
      <c r="V42" s="27"/>
      <c r="W42" s="27"/>
      <c r="X42" s="27"/>
      <c r="Y42" s="27"/>
      <c r="Z42" s="27"/>
      <c r="AA42" s="27"/>
    </row>
    <row r="43" spans="1:27">
      <c r="A43" s="27" t="s">
        <v>39</v>
      </c>
      <c r="B43" s="27"/>
      <c r="C43" s="27"/>
      <c r="D43" s="27"/>
      <c r="E43" s="27"/>
      <c r="F43" s="27"/>
      <c r="G43" s="27"/>
      <c r="H43" s="27"/>
      <c r="I43" s="27"/>
      <c r="S43" s="27" t="s">
        <v>39</v>
      </c>
      <c r="T43" s="27"/>
      <c r="U43" s="27"/>
      <c r="V43" s="27"/>
      <c r="W43" s="27"/>
      <c r="X43" s="27"/>
      <c r="Y43" s="27"/>
      <c r="Z43" s="27"/>
      <c r="AA43" s="27"/>
    </row>
    <row r="44" spans="1:27">
      <c r="A44" s="1" t="s">
        <v>32</v>
      </c>
      <c r="B44" s="1" t="s">
        <v>41</v>
      </c>
      <c r="C44" s="27" t="s">
        <v>17</v>
      </c>
      <c r="D44" s="27"/>
      <c r="E44" s="27"/>
      <c r="F44" s="27"/>
      <c r="G44" s="27"/>
      <c r="H44" s="27"/>
      <c r="I44" s="27"/>
      <c r="S44" s="1" t="s">
        <v>32</v>
      </c>
      <c r="T44" s="1" t="s">
        <v>41</v>
      </c>
      <c r="U44" s="27" t="s">
        <v>17</v>
      </c>
      <c r="V44" s="27"/>
      <c r="W44" s="27"/>
      <c r="X44" s="27"/>
      <c r="Y44" s="27"/>
      <c r="Z44" s="27"/>
      <c r="AA44" s="27"/>
    </row>
    <row r="45" spans="1:27" ht="15.75" thickBot="1">
      <c r="A45" s="1" t="s">
        <v>1</v>
      </c>
      <c r="B45" s="1" t="s">
        <v>42</v>
      </c>
      <c r="C45" s="7">
        <v>10000</v>
      </c>
      <c r="D45" s="7">
        <v>25000</v>
      </c>
      <c r="E45" s="7">
        <v>50000</v>
      </c>
      <c r="F45" s="7">
        <v>100000</v>
      </c>
      <c r="G45" s="7">
        <v>250000</v>
      </c>
      <c r="H45" s="7">
        <v>500000</v>
      </c>
      <c r="I45" s="7">
        <v>1000000</v>
      </c>
      <c r="S45" s="1" t="s">
        <v>1</v>
      </c>
      <c r="T45" s="1" t="s">
        <v>42</v>
      </c>
      <c r="U45" s="7">
        <v>10000</v>
      </c>
      <c r="V45" s="7">
        <v>25000</v>
      </c>
      <c r="W45" s="7">
        <v>50000</v>
      </c>
      <c r="X45" s="7">
        <v>100000</v>
      </c>
      <c r="Y45" s="7">
        <v>250000</v>
      </c>
      <c r="Z45" s="7">
        <v>500000</v>
      </c>
      <c r="AA45" s="7">
        <v>1000000</v>
      </c>
    </row>
    <row r="46" spans="1:27" ht="15.75" thickBot="1">
      <c r="A46" s="16" t="str">
        <f>K6-12+6&amp;" - Ult"</f>
        <v>21 - Ult</v>
      </c>
      <c r="B46" s="20">
        <f>K6-12+6</f>
        <v>21</v>
      </c>
      <c r="C46" s="6">
        <f>1/(0*($K6-$B46)/$K6+(1/C26)*($B46/$K6))</f>
        <v>2.7827853198472154</v>
      </c>
      <c r="D46" s="6">
        <f t="shared" ref="D46:I46" si="29">1/(0*($K6-$B46)/$K6+(1/D26)*($B46/$K6))</f>
        <v>3.4152050364556068</v>
      </c>
      <c r="E46" s="6">
        <f t="shared" si="29"/>
        <v>3.9963893139374571</v>
      </c>
      <c r="F46" s="6">
        <f t="shared" si="29"/>
        <v>4.6760607206357232</v>
      </c>
      <c r="G46" s="6">
        <f t="shared" si="29"/>
        <v>5.7372164988873617</v>
      </c>
      <c r="H46" s="6">
        <f t="shared" si="29"/>
        <v>6.711790957784018</v>
      </c>
      <c r="I46" s="6">
        <f t="shared" si="29"/>
        <v>7.8512543945465234</v>
      </c>
      <c r="S46" s="16" t="str">
        <f>K6-12+6&amp;" - Ult"</f>
        <v>21 - Ult</v>
      </c>
      <c r="T46" s="20">
        <f>K6-12+6</f>
        <v>21</v>
      </c>
      <c r="U46" s="6">
        <f t="shared" ref="U46:AA46" si="30">1/(0*($K6-$B46)/$K6+(1/T26)*($B46/$K6))</f>
        <v>17.22020618717336</v>
      </c>
      <c r="V46" s="6">
        <f t="shared" si="30"/>
        <v>21.13369453252232</v>
      </c>
      <c r="W46" s="6">
        <f t="shared" si="30"/>
        <v>24.73013189317733</v>
      </c>
      <c r="X46" s="6">
        <f t="shared" si="30"/>
        <v>28.936019310864626</v>
      </c>
      <c r="Y46" s="6">
        <f t="shared" si="30"/>
        <v>35.502577344600006</v>
      </c>
      <c r="Z46" s="6">
        <f t="shared" si="30"/>
        <v>41.533359887277356</v>
      </c>
      <c r="AA46" s="6">
        <f t="shared" si="30"/>
        <v>48.584495015758165</v>
      </c>
    </row>
    <row r="47" spans="1:27">
      <c r="A47" s="16" t="str">
        <f t="shared" ref="A47:A59" si="31">K7-12+6&amp;" - Ult"</f>
        <v>33 - Ult</v>
      </c>
      <c r="B47" s="15">
        <f>B46+12</f>
        <v>33</v>
      </c>
      <c r="C47" s="6">
        <f>1/((1/C26)*($K7-$B47)/$K7+(1/C27)*($B47/$K7))</f>
        <v>1.65306310306372</v>
      </c>
      <c r="D47" s="6">
        <f t="shared" ref="D47:I47" si="32">1/((1/D26)*($K7-$B47)/$K7+(1/D27)*($B47/$K7))</f>
        <v>2.0123930443208287</v>
      </c>
      <c r="E47" s="6">
        <f t="shared" si="32"/>
        <v>2.3404712164682304</v>
      </c>
      <c r="F47" s="6">
        <f t="shared" si="32"/>
        <v>2.7217799496717876</v>
      </c>
      <c r="G47" s="6">
        <f t="shared" si="32"/>
        <v>3.3124628683102473</v>
      </c>
      <c r="H47" s="6">
        <f t="shared" si="32"/>
        <v>3.851417826003996</v>
      </c>
      <c r="I47" s="6">
        <f t="shared" si="32"/>
        <v>4.477665005349742</v>
      </c>
      <c r="S47" s="16" t="str">
        <f t="shared" ref="S47:S59" si="33">K7-12+6&amp;" - Ult"</f>
        <v>33 - Ult</v>
      </c>
      <c r="T47" s="15">
        <f>T46+12</f>
        <v>33</v>
      </c>
      <c r="U47" s="6">
        <f t="shared" ref="U47:AA59" si="34">1/((1/T26)*($K7-$B47)/$K7+(1/T27)*($B47/$K7))</f>
        <v>5.4576689797191618</v>
      </c>
      <c r="V47" s="6">
        <f t="shared" si="34"/>
        <v>6.6406909757007986</v>
      </c>
      <c r="W47" s="6">
        <f t="shared" si="34"/>
        <v>7.7204119248116907</v>
      </c>
      <c r="X47" s="6">
        <f t="shared" si="34"/>
        <v>8.9748626762458628</v>
      </c>
      <c r="Y47" s="6">
        <f t="shared" si="34"/>
        <v>10.917233545630999</v>
      </c>
      <c r="Z47" s="6">
        <f t="shared" si="34"/>
        <v>12.688842054947589</v>
      </c>
      <c r="AA47" s="6">
        <f t="shared" si="34"/>
        <v>14.746659144763433</v>
      </c>
    </row>
    <row r="48" spans="1:27">
      <c r="A48" s="16" t="str">
        <f t="shared" si="31"/>
        <v>45 - Ult</v>
      </c>
      <c r="B48" s="15">
        <f t="shared" ref="B48:B60" si="35">B47+12</f>
        <v>45</v>
      </c>
      <c r="C48" s="6">
        <f t="shared" ref="C48:I59" si="36">1/((1/C27)*($K8-$B48)/$K8+(1/C28)*($B48/$K8))</f>
        <v>1.3974814971645575</v>
      </c>
      <c r="D48" s="6">
        <f t="shared" si="36"/>
        <v>1.6446009321042974</v>
      </c>
      <c r="E48" s="6">
        <f t="shared" si="36"/>
        <v>1.8641970789775817</v>
      </c>
      <c r="F48" s="6">
        <f t="shared" si="36"/>
        <v>2.1127843784958151</v>
      </c>
      <c r="G48" s="6">
        <f t="shared" si="36"/>
        <v>2.4849922963483775</v>
      </c>
      <c r="H48" s="6">
        <f t="shared" si="36"/>
        <v>2.8154492798888358</v>
      </c>
      <c r="I48" s="6">
        <f t="shared" si="36"/>
        <v>3.1893826973607853</v>
      </c>
      <c r="S48" s="16" t="str">
        <f t="shared" si="33"/>
        <v>45 - Ult</v>
      </c>
      <c r="T48" s="15">
        <f t="shared" ref="T48:T60" si="37">T47+12</f>
        <v>45</v>
      </c>
      <c r="U48" s="6">
        <f t="shared" si="34"/>
        <v>3.1145013941504551</v>
      </c>
      <c r="V48" s="6">
        <f t="shared" si="34"/>
        <v>3.6613751445844485</v>
      </c>
      <c r="W48" s="6">
        <f t="shared" si="34"/>
        <v>4.1470337499646579</v>
      </c>
      <c r="X48" s="6">
        <f t="shared" si="34"/>
        <v>4.6964602775118838</v>
      </c>
      <c r="Y48" s="6">
        <f t="shared" si="34"/>
        <v>5.5184292988230297</v>
      </c>
      <c r="Z48" s="6">
        <f t="shared" si="34"/>
        <v>6.247772079111364</v>
      </c>
      <c r="AA48" s="6">
        <f t="shared" si="34"/>
        <v>7.0725880746525593</v>
      </c>
    </row>
    <row r="49" spans="1:27">
      <c r="A49" s="16" t="str">
        <f t="shared" si="31"/>
        <v>57 - Ult</v>
      </c>
      <c r="B49" s="15">
        <f t="shared" si="35"/>
        <v>57</v>
      </c>
      <c r="C49" s="6">
        <f t="shared" si="36"/>
        <v>1.2826622933262606</v>
      </c>
      <c r="D49" s="6">
        <f t="shared" si="36"/>
        <v>1.4414550784662696</v>
      </c>
      <c r="E49" s="6">
        <f t="shared" si="36"/>
        <v>1.5778649837473704</v>
      </c>
      <c r="F49" s="6">
        <f t="shared" si="36"/>
        <v>1.7268690765361829</v>
      </c>
      <c r="G49" s="6">
        <f t="shared" si="36"/>
        <v>1.9393416363582334</v>
      </c>
      <c r="H49" s="6">
        <f t="shared" si="36"/>
        <v>2.1216765413957894</v>
      </c>
      <c r="I49" s="6">
        <f t="shared" si="36"/>
        <v>2.3207628845800068</v>
      </c>
      <c r="S49" s="16" t="str">
        <f t="shared" si="33"/>
        <v>57 - Ult</v>
      </c>
      <c r="T49" s="15">
        <f t="shared" si="37"/>
        <v>57</v>
      </c>
      <c r="U49" s="6">
        <f t="shared" si="34"/>
        <v>2.1941203697516078</v>
      </c>
      <c r="V49" s="6">
        <f t="shared" si="34"/>
        <v>2.4636857751123915</v>
      </c>
      <c r="W49" s="6">
        <f t="shared" si="34"/>
        <v>2.6951820054224092</v>
      </c>
      <c r="X49" s="6">
        <f t="shared" si="34"/>
        <v>2.9479463185016672</v>
      </c>
      <c r="Y49" s="6">
        <f t="shared" si="34"/>
        <v>3.3081485306721139</v>
      </c>
      <c r="Z49" s="6">
        <f t="shared" si="34"/>
        <v>3.617172590209667</v>
      </c>
      <c r="AA49" s="6">
        <f t="shared" si="34"/>
        <v>3.9544621588653697</v>
      </c>
    </row>
    <row r="50" spans="1:27">
      <c r="A50" s="16" t="str">
        <f t="shared" si="31"/>
        <v>69 - Ult</v>
      </c>
      <c r="B50" s="15">
        <f t="shared" si="35"/>
        <v>69</v>
      </c>
      <c r="C50" s="6">
        <f t="shared" si="36"/>
        <v>1.2165204518676374</v>
      </c>
      <c r="D50" s="6">
        <f t="shared" si="36"/>
        <v>1.3176557685792836</v>
      </c>
      <c r="E50" s="6">
        <f t="shared" si="36"/>
        <v>1.4027686920266731</v>
      </c>
      <c r="F50" s="6">
        <f t="shared" si="36"/>
        <v>1.4931744807327192</v>
      </c>
      <c r="G50" s="6">
        <f t="shared" si="36"/>
        <v>1.6165350304160526</v>
      </c>
      <c r="H50" s="6">
        <f t="shared" si="36"/>
        <v>1.7202343968854972</v>
      </c>
      <c r="I50" s="6">
        <f t="shared" si="36"/>
        <v>1.830350153351737</v>
      </c>
      <c r="S50" s="16" t="str">
        <f t="shared" si="33"/>
        <v>69 - Ult</v>
      </c>
      <c r="T50" s="15">
        <f t="shared" si="37"/>
        <v>69</v>
      </c>
      <c r="U50" s="6">
        <f t="shared" si="34"/>
        <v>1.6909964783724036</v>
      </c>
      <c r="V50" s="6">
        <f t="shared" si="34"/>
        <v>1.830741081035288</v>
      </c>
      <c r="W50" s="6">
        <f t="shared" si="34"/>
        <v>1.9483410636428888</v>
      </c>
      <c r="X50" s="6">
        <f t="shared" si="34"/>
        <v>2.0732267447759942</v>
      </c>
      <c r="Y50" s="6">
        <f t="shared" si="34"/>
        <v>2.2435606218907931</v>
      </c>
      <c r="Z50" s="6">
        <f t="shared" si="34"/>
        <v>2.3867404895494864</v>
      </c>
      <c r="AA50" s="6">
        <f t="shared" si="34"/>
        <v>2.5387491322132258</v>
      </c>
    </row>
    <row r="51" spans="1:27">
      <c r="A51" s="16" t="str">
        <f t="shared" si="31"/>
        <v>81 - Ult</v>
      </c>
      <c r="B51" s="15">
        <f t="shared" si="35"/>
        <v>81</v>
      </c>
      <c r="C51" s="6">
        <f t="shared" si="36"/>
        <v>1.1726371469305286</v>
      </c>
      <c r="D51" s="6">
        <f t="shared" si="36"/>
        <v>1.2396292493521466</v>
      </c>
      <c r="E51" s="6">
        <f t="shared" si="36"/>
        <v>1.2957084974061059</v>
      </c>
      <c r="F51" s="6">
        <f t="shared" si="36"/>
        <v>1.3541791667517464</v>
      </c>
      <c r="G51" s="6">
        <f t="shared" si="36"/>
        <v>1.4310443885700221</v>
      </c>
      <c r="H51" s="6">
        <f t="shared" si="36"/>
        <v>1.4953009456188879</v>
      </c>
      <c r="I51" s="6">
        <f t="shared" si="36"/>
        <v>1.5622838264189813</v>
      </c>
      <c r="S51" s="16" t="str">
        <f t="shared" si="33"/>
        <v>81 - Ult</v>
      </c>
      <c r="T51" s="15">
        <f t="shared" si="37"/>
        <v>81</v>
      </c>
      <c r="U51" s="6">
        <f t="shared" si="34"/>
        <v>1.4425911984857802</v>
      </c>
      <c r="V51" s="6">
        <f t="shared" si="34"/>
        <v>1.5247665426823238</v>
      </c>
      <c r="W51" s="6">
        <f t="shared" si="34"/>
        <v>1.593559363662985</v>
      </c>
      <c r="X51" s="6">
        <f t="shared" si="34"/>
        <v>1.6652799037662469</v>
      </c>
      <c r="Y51" s="6">
        <f t="shared" si="34"/>
        <v>1.7595415198735405</v>
      </c>
      <c r="Z51" s="6">
        <f t="shared" si="34"/>
        <v>1.8383447142997169</v>
      </c>
      <c r="AA51" s="6">
        <f t="shared" si="34"/>
        <v>1.9204851235705771</v>
      </c>
    </row>
    <row r="52" spans="1:27">
      <c r="A52" s="16" t="str">
        <f t="shared" si="31"/>
        <v>93 - Ult</v>
      </c>
      <c r="B52" s="15">
        <f t="shared" si="35"/>
        <v>93</v>
      </c>
      <c r="C52" s="6">
        <f t="shared" si="36"/>
        <v>1.1409934586171855</v>
      </c>
      <c r="D52" s="6">
        <f t="shared" si="36"/>
        <v>1.1876649700349937</v>
      </c>
      <c r="E52" s="6">
        <f t="shared" si="36"/>
        <v>1.2269699626620441</v>
      </c>
      <c r="F52" s="6">
        <f t="shared" si="36"/>
        <v>1.2674542706015079</v>
      </c>
      <c r="G52" s="6">
        <f t="shared" si="36"/>
        <v>1.3189067863611637</v>
      </c>
      <c r="H52" s="6">
        <f t="shared" si="36"/>
        <v>1.3621675690590027</v>
      </c>
      <c r="I52" s="6">
        <f t="shared" si="36"/>
        <v>1.4067196326458491</v>
      </c>
      <c r="S52" s="16" t="str">
        <f t="shared" si="33"/>
        <v>93 - Ult</v>
      </c>
      <c r="T52" s="15">
        <f t="shared" si="37"/>
        <v>93</v>
      </c>
      <c r="U52" s="6">
        <f t="shared" si="34"/>
        <v>1.3038764817257293</v>
      </c>
      <c r="V52" s="6">
        <f t="shared" si="34"/>
        <v>1.3571347398930935</v>
      </c>
      <c r="W52" s="6">
        <f t="shared" si="34"/>
        <v>1.4019896171067707</v>
      </c>
      <c r="X52" s="6">
        <f t="shared" si="34"/>
        <v>1.4481888224272486</v>
      </c>
      <c r="Y52" s="6">
        <f t="shared" si="34"/>
        <v>1.5068967889680098</v>
      </c>
      <c r="Z52" s="6">
        <f t="shared" si="34"/>
        <v>1.5562607983883701</v>
      </c>
      <c r="AA52" s="6">
        <f t="shared" si="34"/>
        <v>1.6070966730524836</v>
      </c>
    </row>
    <row r="53" spans="1:27">
      <c r="A53" s="16" t="str">
        <f t="shared" si="31"/>
        <v>105 - Ult</v>
      </c>
      <c r="B53" s="15">
        <f t="shared" si="35"/>
        <v>105</v>
      </c>
      <c r="C53" s="6">
        <f t="shared" si="36"/>
        <v>1.1168888673712327</v>
      </c>
      <c r="D53" s="6">
        <f t="shared" si="36"/>
        <v>1.1509765370544092</v>
      </c>
      <c r="E53" s="6">
        <f t="shared" si="36"/>
        <v>1.1800888292880827</v>
      </c>
      <c r="F53" s="6">
        <f t="shared" si="36"/>
        <v>1.209826592975177</v>
      </c>
      <c r="G53" s="6">
        <f t="shared" si="36"/>
        <v>1.2464033612761438</v>
      </c>
      <c r="H53" s="6">
        <f t="shared" si="36"/>
        <v>1.2775833166133286</v>
      </c>
      <c r="I53" s="6">
        <f t="shared" si="36"/>
        <v>1.3094296596020434</v>
      </c>
      <c r="S53" s="16" t="str">
        <f t="shared" si="33"/>
        <v>105 - Ult</v>
      </c>
      <c r="T53" s="15">
        <f t="shared" si="37"/>
        <v>105</v>
      </c>
      <c r="U53" s="6">
        <f t="shared" si="34"/>
        <v>1.2185831005757026</v>
      </c>
      <c r="V53" s="6">
        <f t="shared" si="34"/>
        <v>1.2557479863263201</v>
      </c>
      <c r="W53" s="6">
        <f t="shared" si="34"/>
        <v>1.2874899148415488</v>
      </c>
      <c r="X53" s="6">
        <f t="shared" si="34"/>
        <v>1.3199133591882379</v>
      </c>
      <c r="Y53" s="6">
        <f t="shared" si="34"/>
        <v>1.359790298750295</v>
      </c>
      <c r="Z53" s="6">
        <f t="shared" si="34"/>
        <v>1.3937851210446734</v>
      </c>
      <c r="AA53" s="6">
        <f t="shared" si="34"/>
        <v>1.4285060212782139</v>
      </c>
    </row>
    <row r="54" spans="1:27">
      <c r="A54" s="16" t="str">
        <f t="shared" si="31"/>
        <v>117 - Ult</v>
      </c>
      <c r="B54" s="15">
        <f t="shared" si="35"/>
        <v>117</v>
      </c>
      <c r="C54" s="6">
        <f t="shared" si="36"/>
        <v>1.0977849243789672</v>
      </c>
      <c r="D54" s="6">
        <f t="shared" si="36"/>
        <v>1.1237107579219952</v>
      </c>
      <c r="E54" s="6">
        <f t="shared" si="36"/>
        <v>1.1462919378231815</v>
      </c>
      <c r="F54" s="6">
        <f t="shared" si="36"/>
        <v>1.1692215332196547</v>
      </c>
      <c r="G54" s="6">
        <f t="shared" si="36"/>
        <v>1.1965090795248672</v>
      </c>
      <c r="H54" s="6">
        <f t="shared" si="36"/>
        <v>1.2202288620913573</v>
      </c>
      <c r="I54" s="6">
        <f t="shared" si="36"/>
        <v>1.2443127786666963</v>
      </c>
      <c r="S54" s="16" t="str">
        <f t="shared" si="33"/>
        <v>117 - Ult</v>
      </c>
      <c r="T54" s="15">
        <f t="shared" si="37"/>
        <v>117</v>
      </c>
      <c r="U54" s="6">
        <f t="shared" si="34"/>
        <v>1.1626359534411557</v>
      </c>
      <c r="V54" s="6">
        <f t="shared" si="34"/>
        <v>1.1900832861860242</v>
      </c>
      <c r="W54" s="6">
        <f t="shared" si="34"/>
        <v>1.2139905157320785</v>
      </c>
      <c r="X54" s="6">
        <f t="shared" si="34"/>
        <v>1.2382664664889449</v>
      </c>
      <c r="Y54" s="6">
        <f t="shared" si="34"/>
        <v>1.2671548503065777</v>
      </c>
      <c r="Z54" s="6">
        <f t="shared" si="34"/>
        <v>1.2922670303550801</v>
      </c>
      <c r="AA54" s="6">
        <f t="shared" si="34"/>
        <v>1.3177645614585094</v>
      </c>
    </row>
    <row r="55" spans="1:27">
      <c r="A55" s="16" t="str">
        <f t="shared" si="31"/>
        <v>129 - Ult</v>
      </c>
      <c r="B55" s="15">
        <f t="shared" si="35"/>
        <v>129</v>
      </c>
      <c r="C55" s="6">
        <f t="shared" si="36"/>
        <v>1.0822003502279431</v>
      </c>
      <c r="D55" s="6">
        <f t="shared" si="36"/>
        <v>1.1026003907013819</v>
      </c>
      <c r="E55" s="6">
        <f t="shared" si="36"/>
        <v>1.1207943455302978</v>
      </c>
      <c r="F55" s="6">
        <f t="shared" si="36"/>
        <v>1.1391865589378816</v>
      </c>
      <c r="G55" s="6">
        <f t="shared" si="36"/>
        <v>1.1603483794159779</v>
      </c>
      <c r="H55" s="6">
        <f t="shared" si="36"/>
        <v>1.1791842110812552</v>
      </c>
      <c r="I55" s="6">
        <f t="shared" si="36"/>
        <v>1.1982243567253101</v>
      </c>
      <c r="S55" s="16" t="str">
        <f t="shared" si="33"/>
        <v>129 - Ult</v>
      </c>
      <c r="T55" s="15">
        <f t="shared" si="37"/>
        <v>129</v>
      </c>
      <c r="U55" s="6">
        <f t="shared" si="34"/>
        <v>1.1241275024868094</v>
      </c>
      <c r="V55" s="6">
        <f t="shared" si="34"/>
        <v>1.1453138154803053</v>
      </c>
      <c r="W55" s="6">
        <f t="shared" si="34"/>
        <v>1.1642094595057995</v>
      </c>
      <c r="X55" s="6">
        <f t="shared" si="34"/>
        <v>1.183310949901113</v>
      </c>
      <c r="Y55" s="6">
        <f t="shared" si="34"/>
        <v>1.2052881913639502</v>
      </c>
      <c r="Z55" s="6">
        <f t="shared" si="34"/>
        <v>1.224850275584153</v>
      </c>
      <c r="AA55" s="6">
        <f t="shared" si="34"/>
        <v>1.2446244921819853</v>
      </c>
    </row>
    <row r="56" spans="1:27">
      <c r="A56" s="16" t="str">
        <f t="shared" si="31"/>
        <v>141 - Ult</v>
      </c>
      <c r="B56" s="15">
        <f t="shared" si="35"/>
        <v>141</v>
      </c>
      <c r="C56" s="6">
        <f t="shared" si="36"/>
        <v>1.0691895676114209</v>
      </c>
      <c r="D56" s="6">
        <f t="shared" si="36"/>
        <v>1.0857134990443491</v>
      </c>
      <c r="E56" s="6">
        <f t="shared" si="36"/>
        <v>1.1008453569717791</v>
      </c>
      <c r="F56" s="6">
        <f t="shared" si="36"/>
        <v>1.1160885077639773</v>
      </c>
      <c r="G56" s="6">
        <f t="shared" si="36"/>
        <v>1.1330334447536115</v>
      </c>
      <c r="H56" s="6">
        <f t="shared" si="36"/>
        <v>1.1485228602519055</v>
      </c>
      <c r="I56" s="6">
        <f t="shared" si="36"/>
        <v>1.1641257647463241</v>
      </c>
      <c r="S56" s="16" t="str">
        <f t="shared" si="33"/>
        <v>141 - Ult</v>
      </c>
      <c r="T56" s="15">
        <f t="shared" si="37"/>
        <v>141</v>
      </c>
      <c r="U56" s="6">
        <f t="shared" si="34"/>
        <v>1.0965452759853935</v>
      </c>
      <c r="V56" s="6">
        <f t="shared" si="34"/>
        <v>1.1134902396858226</v>
      </c>
      <c r="W56" s="6">
        <f t="shared" si="34"/>
        <v>1.1290078977389719</v>
      </c>
      <c r="X56" s="6">
        <f t="shared" si="34"/>
        <v>1.1446396621638326</v>
      </c>
      <c r="Y56" s="6">
        <f t="shared" si="34"/>
        <v>1.1620162727986281</v>
      </c>
      <c r="Z56" s="6">
        <f t="shared" si="34"/>
        <v>1.1779005268884029</v>
      </c>
      <c r="AA56" s="6">
        <f t="shared" si="34"/>
        <v>1.1939011387367828</v>
      </c>
    </row>
    <row r="57" spans="1:27">
      <c r="A57" s="16" t="str">
        <f t="shared" si="31"/>
        <v>153 - Ult</v>
      </c>
      <c r="B57" s="15">
        <f t="shared" si="35"/>
        <v>153</v>
      </c>
      <c r="C57" s="6">
        <f t="shared" si="36"/>
        <v>1.0581324144110185</v>
      </c>
      <c r="D57" s="6">
        <f t="shared" si="36"/>
        <v>1.0718543777948859</v>
      </c>
      <c r="E57" s="6">
        <f t="shared" si="36"/>
        <v>1.0847794881726815</v>
      </c>
      <c r="F57" s="6">
        <f t="shared" si="36"/>
        <v>1.0977626179634774</v>
      </c>
      <c r="G57" s="6">
        <f t="shared" si="36"/>
        <v>1.1117009995683624</v>
      </c>
      <c r="H57" s="6">
        <f t="shared" si="36"/>
        <v>1.1248113229052916</v>
      </c>
      <c r="I57" s="6">
        <f t="shared" si="36"/>
        <v>1.1379803323452864</v>
      </c>
      <c r="S57" s="16" t="str">
        <f t="shared" si="33"/>
        <v>153 - Ult</v>
      </c>
      <c r="T57" s="15">
        <f t="shared" si="37"/>
        <v>153</v>
      </c>
      <c r="U57" s="6">
        <f t="shared" si="34"/>
        <v>1.0760929401055102</v>
      </c>
      <c r="V57" s="6">
        <f t="shared" si="34"/>
        <v>1.0900470425728273</v>
      </c>
      <c r="W57" s="6">
        <f t="shared" si="34"/>
        <v>1.10319093983794</v>
      </c>
      <c r="X57" s="6">
        <f t="shared" si="34"/>
        <v>1.11639382812431</v>
      </c>
      <c r="Y57" s="6">
        <f t="shared" si="34"/>
        <v>1.1305679726696227</v>
      </c>
      <c r="Z57" s="6">
        <f t="shared" si="34"/>
        <v>1.1439001843947607</v>
      </c>
      <c r="AA57" s="6">
        <f t="shared" si="34"/>
        <v>1.1572920649499954</v>
      </c>
    </row>
    <row r="58" spans="1:27">
      <c r="A58" s="16" t="str">
        <f t="shared" si="31"/>
        <v>165 - Ult</v>
      </c>
      <c r="B58" s="15">
        <f t="shared" si="35"/>
        <v>165</v>
      </c>
      <c r="C58" s="6">
        <f t="shared" si="36"/>
        <v>1.0485969049991217</v>
      </c>
      <c r="D58" s="6">
        <f t="shared" si="36"/>
        <v>1.0602319842067003</v>
      </c>
      <c r="E58" s="6">
        <f t="shared" si="36"/>
        <v>1.0715164211420798</v>
      </c>
      <c r="F58" s="6">
        <f t="shared" si="36"/>
        <v>1.082824513922231</v>
      </c>
      <c r="G58" s="6">
        <f t="shared" si="36"/>
        <v>1.0945467246182057</v>
      </c>
      <c r="H58" s="6">
        <f t="shared" si="36"/>
        <v>1.105906268506087</v>
      </c>
      <c r="I58" s="6">
        <f t="shared" si="36"/>
        <v>1.1172895864386436</v>
      </c>
      <c r="S58" s="16" t="str">
        <f t="shared" si="33"/>
        <v>165 - Ult</v>
      </c>
      <c r="T58" s="15">
        <f t="shared" si="37"/>
        <v>165</v>
      </c>
      <c r="U58" s="6">
        <f t="shared" si="34"/>
        <v>1.0604406334708363</v>
      </c>
      <c r="V58" s="6">
        <f t="shared" si="34"/>
        <v>1.0722067702538478</v>
      </c>
      <c r="W58" s="6">
        <f t="shared" si="34"/>
        <v>1.0836183853790109</v>
      </c>
      <c r="X58" s="6">
        <f t="shared" si="34"/>
        <v>1.0950539181050893</v>
      </c>
      <c r="Y58" s="6">
        <f t="shared" si="34"/>
        <v>1.106908150524911</v>
      </c>
      <c r="Z58" s="6">
        <f t="shared" si="34"/>
        <v>1.1183957036828245</v>
      </c>
      <c r="AA58" s="6">
        <f t="shared" si="34"/>
        <v>1.1299072939525971</v>
      </c>
    </row>
    <row r="59" spans="1:27">
      <c r="A59" s="16" t="str">
        <f t="shared" si="31"/>
        <v>177 - Ult</v>
      </c>
      <c r="B59" s="15">
        <f t="shared" si="35"/>
        <v>177</v>
      </c>
      <c r="C59" s="6">
        <f t="shared" si="36"/>
        <v>1.0402690134303361</v>
      </c>
      <c r="D59" s="6">
        <f t="shared" si="36"/>
        <v>1.0503194758103016</v>
      </c>
      <c r="E59" s="6">
        <f t="shared" si="36"/>
        <v>1.0603590378686667</v>
      </c>
      <c r="F59" s="6">
        <f t="shared" si="36"/>
        <v>1.0703992524342245</v>
      </c>
      <c r="G59" s="6">
        <f t="shared" si="36"/>
        <v>1.080452065401462</v>
      </c>
      <c r="H59" s="6">
        <f t="shared" si="36"/>
        <v>1.090493680677016</v>
      </c>
      <c r="I59" s="6">
        <f t="shared" si="36"/>
        <v>1.1005359452836803</v>
      </c>
      <c r="S59" s="16" t="str">
        <f t="shared" si="33"/>
        <v>177 - Ult</v>
      </c>
      <c r="T59" s="15">
        <f t="shared" si="37"/>
        <v>177</v>
      </c>
      <c r="U59" s="6">
        <f t="shared" si="34"/>
        <v>1.0481034534673799</v>
      </c>
      <c r="V59" s="6">
        <f t="shared" si="34"/>
        <v>1.0582294371791319</v>
      </c>
      <c r="W59" s="6">
        <f t="shared" si="34"/>
        <v>1.0683444772593695</v>
      </c>
      <c r="X59" s="6">
        <f t="shared" si="34"/>
        <v>1.0784601724295897</v>
      </c>
      <c r="Y59" s="6">
        <f t="shared" si="34"/>
        <v>1.0885885160258069</v>
      </c>
      <c r="Z59" s="6">
        <f t="shared" si="34"/>
        <v>1.0987056174480367</v>
      </c>
      <c r="AA59" s="6">
        <f t="shared" si="34"/>
        <v>1.1088233707708335</v>
      </c>
    </row>
    <row r="60" spans="1:27">
      <c r="A60" s="16" t="s">
        <v>40</v>
      </c>
      <c r="B60" s="15">
        <f t="shared" si="35"/>
        <v>189</v>
      </c>
      <c r="C60" s="6">
        <f>1/((1/C39)*(99999999-$B60)/99999999+(1)*($B60/99999999))</f>
        <v>1.0399999213760054</v>
      </c>
      <c r="D60" s="6">
        <f t="shared" ref="D60:I60" si="38">1/((1/D39)*(99999999-$B60)/99999999+(1)*($B60/99999999))</f>
        <v>1.0499999007750083</v>
      </c>
      <c r="E60" s="6">
        <f t="shared" si="38"/>
        <v>1.0599998797960124</v>
      </c>
      <c r="F60" s="6">
        <f t="shared" si="38"/>
        <v>1.0699998584390173</v>
      </c>
      <c r="G60" s="6">
        <f t="shared" si="38"/>
        <v>1.0799998367040231</v>
      </c>
      <c r="H60" s="6">
        <f t="shared" si="38"/>
        <v>1.0899998145910297</v>
      </c>
      <c r="I60" s="6">
        <f t="shared" si="38"/>
        <v>1.0999997921000373</v>
      </c>
      <c r="S60" s="16" t="s">
        <v>40</v>
      </c>
      <c r="T60" s="15">
        <f t="shared" si="37"/>
        <v>189</v>
      </c>
      <c r="U60" s="6">
        <f t="shared" ref="U60:AA60" si="39">1/((1/T39)*(99999999-$B60)/99999999+(1)*($B60/99999999))</f>
        <v>1.0477078650979157</v>
      </c>
      <c r="V60" s="6">
        <f t="shared" si="39"/>
        <v>1.0577819590451469</v>
      </c>
      <c r="W60" s="6">
        <f t="shared" si="39"/>
        <v>1.067856052608755</v>
      </c>
      <c r="X60" s="6">
        <f t="shared" si="39"/>
        <v>1.0779301457887402</v>
      </c>
      <c r="Y60" s="6">
        <f t="shared" si="39"/>
        <v>1.0880042385851025</v>
      </c>
      <c r="Z60" s="6">
        <f t="shared" si="39"/>
        <v>1.0980783309978421</v>
      </c>
      <c r="AA60" s="6">
        <f t="shared" si="39"/>
        <v>1.1081524230269586</v>
      </c>
    </row>
    <row r="61" spans="1:27">
      <c r="A61" s="16"/>
    </row>
    <row r="62" spans="1:27">
      <c r="A62" s="16"/>
    </row>
    <row r="63" spans="1:27">
      <c r="A63" s="27" t="s">
        <v>47</v>
      </c>
      <c r="B63" s="27"/>
      <c r="C63" s="27"/>
      <c r="D63" s="27"/>
      <c r="E63" s="27"/>
      <c r="F63" s="27"/>
      <c r="G63" s="27"/>
      <c r="H63" s="27"/>
      <c r="I63" s="27"/>
      <c r="S63" s="27" t="s">
        <v>49</v>
      </c>
      <c r="T63" s="27"/>
      <c r="U63" s="27"/>
      <c r="V63" s="27"/>
      <c r="W63" s="27"/>
      <c r="X63" s="27"/>
      <c r="Y63" s="27"/>
      <c r="Z63" s="27"/>
      <c r="AA63" s="27"/>
    </row>
    <row r="64" spans="1:27">
      <c r="A64" s="27" t="s">
        <v>39</v>
      </c>
      <c r="B64" s="27"/>
      <c r="C64" s="27"/>
      <c r="D64" s="27"/>
      <c r="E64" s="27"/>
      <c r="F64" s="27"/>
      <c r="G64" s="27"/>
      <c r="H64" s="27"/>
      <c r="I64" s="27"/>
      <c r="S64" s="27" t="s">
        <v>39</v>
      </c>
      <c r="T64" s="27"/>
      <c r="U64" s="27"/>
      <c r="V64" s="27"/>
      <c r="W64" s="27"/>
      <c r="X64" s="27"/>
      <c r="Y64" s="27"/>
      <c r="Z64" s="27"/>
      <c r="AA64" s="27"/>
    </row>
    <row r="65" spans="1:27">
      <c r="A65" s="1" t="s">
        <v>32</v>
      </c>
      <c r="B65" s="1"/>
      <c r="C65" s="27" t="s">
        <v>17</v>
      </c>
      <c r="D65" s="27"/>
      <c r="E65" s="27"/>
      <c r="F65" s="27"/>
      <c r="G65" s="27"/>
      <c r="H65" s="27"/>
      <c r="I65" s="27"/>
      <c r="S65" s="1" t="s">
        <v>32</v>
      </c>
      <c r="T65" s="1"/>
      <c r="U65" s="27" t="s">
        <v>17</v>
      </c>
      <c r="V65" s="27"/>
      <c r="W65" s="27"/>
      <c r="X65" s="27"/>
      <c r="Y65" s="27"/>
      <c r="Z65" s="27"/>
      <c r="AA65" s="27"/>
    </row>
    <row r="66" spans="1:27">
      <c r="A66" s="1" t="s">
        <v>1</v>
      </c>
      <c r="B66" s="1"/>
      <c r="C66" s="7">
        <v>10000</v>
      </c>
      <c r="D66" s="7">
        <v>25000</v>
      </c>
      <c r="E66" s="7">
        <v>50000</v>
      </c>
      <c r="F66" s="7">
        <v>100000</v>
      </c>
      <c r="G66" s="7">
        <v>250000</v>
      </c>
      <c r="H66" s="7">
        <v>500000</v>
      </c>
      <c r="I66" s="7">
        <v>1000000</v>
      </c>
      <c r="S66" s="1" t="s">
        <v>1</v>
      </c>
      <c r="T66" s="1"/>
      <c r="U66" s="7">
        <v>10000</v>
      </c>
      <c r="V66" s="7">
        <v>25000</v>
      </c>
      <c r="W66" s="7">
        <v>50000</v>
      </c>
      <c r="X66" s="7">
        <v>100000</v>
      </c>
      <c r="Y66" s="7">
        <v>250000</v>
      </c>
      <c r="Z66" s="7">
        <v>500000</v>
      </c>
      <c r="AA66" s="7">
        <v>1000000</v>
      </c>
    </row>
    <row r="67" spans="1:27">
      <c r="A67" s="16" t="str">
        <f>B46&amp;" - "&amp;B47</f>
        <v>21 - 33</v>
      </c>
      <c r="B67" s="15"/>
      <c r="C67" s="6">
        <f>C46/C47</f>
        <v>1.6834114285714286</v>
      </c>
      <c r="D67" s="6">
        <f t="shared" ref="D67:I67" si="40">D46/D47</f>
        <v>1.6970864842201934</v>
      </c>
      <c r="E67" s="6">
        <f t="shared" si="40"/>
        <v>1.7075148311236257</v>
      </c>
      <c r="F67" s="6">
        <f t="shared" si="40"/>
        <v>1.7180157129159532</v>
      </c>
      <c r="G67" s="6">
        <f t="shared" si="40"/>
        <v>1.7320093015303835</v>
      </c>
      <c r="H67" s="6">
        <f t="shared" si="40"/>
        <v>1.7426805558377385</v>
      </c>
      <c r="I67" s="6">
        <f t="shared" si="40"/>
        <v>1.7534260345885961</v>
      </c>
      <c r="S67" s="16" t="str">
        <f>T46&amp;" - "&amp;T47</f>
        <v>21 - 33</v>
      </c>
      <c r="T67" s="15"/>
      <c r="U67" s="6">
        <f>U46/U47</f>
        <v>3.1552309696986183</v>
      </c>
      <c r="V67" s="6">
        <f t="shared" ref="V67:AA67" si="41">V46/V47</f>
        <v>3.1824541466924772</v>
      </c>
      <c r="W67" s="6">
        <f t="shared" si="41"/>
        <v>3.2032140427248672</v>
      </c>
      <c r="X67" s="6">
        <f t="shared" si="41"/>
        <v>3.2241183352532818</v>
      </c>
      <c r="Y67" s="6">
        <f t="shared" si="41"/>
        <v>3.2519756214987163</v>
      </c>
      <c r="Z67" s="6">
        <f t="shared" si="41"/>
        <v>3.2732190776291374</v>
      </c>
      <c r="AA67" s="6">
        <f t="shared" si="41"/>
        <v>3.2946102936820516</v>
      </c>
    </row>
    <row r="68" spans="1:27">
      <c r="A68" s="16" t="str">
        <f t="shared" ref="A68:A80" si="42">B47&amp;" - "&amp;B48</f>
        <v>33 - 45</v>
      </c>
      <c r="B68" s="15"/>
      <c r="C68" s="6">
        <f t="shared" ref="C68:I80" si="43">C47/C48</f>
        <v>1.1828872914723585</v>
      </c>
      <c r="D68" s="6">
        <f t="shared" si="43"/>
        <v>1.2236360840109306</v>
      </c>
      <c r="E68" s="6">
        <f t="shared" si="43"/>
        <v>1.2554848641603178</v>
      </c>
      <c r="F68" s="6">
        <f t="shared" si="43"/>
        <v>1.2882431247478001</v>
      </c>
      <c r="G68" s="6">
        <f t="shared" si="43"/>
        <v>1.332987177939269</v>
      </c>
      <c r="H68" s="6">
        <f t="shared" si="43"/>
        <v>1.3679585185622893</v>
      </c>
      <c r="I68" s="6">
        <f t="shared" si="43"/>
        <v>1.4039284182029992</v>
      </c>
      <c r="S68" s="16" t="str">
        <f t="shared" ref="S68:S80" si="44">T47&amp;" - "&amp;T48</f>
        <v>33 - 45</v>
      </c>
      <c r="T68" s="15"/>
      <c r="U68" s="6">
        <f t="shared" ref="U68:AA68" si="45">U47/U48</f>
        <v>1.7523411580324093</v>
      </c>
      <c r="V68" s="6">
        <f t="shared" si="45"/>
        <v>1.81371498780262</v>
      </c>
      <c r="W68" s="6">
        <f t="shared" si="45"/>
        <v>1.8616708689379453</v>
      </c>
      <c r="X68" s="6">
        <f t="shared" si="45"/>
        <v>1.9109844746734692</v>
      </c>
      <c r="Y68" s="6">
        <f t="shared" si="45"/>
        <v>1.9783226266864427</v>
      </c>
      <c r="Z68" s="6">
        <f t="shared" si="45"/>
        <v>2.0309386921093244</v>
      </c>
      <c r="AA68" s="6">
        <f t="shared" si="45"/>
        <v>2.0850442566581768</v>
      </c>
    </row>
    <row r="69" spans="1:27">
      <c r="A69" s="16" t="str">
        <f t="shared" si="42"/>
        <v>45 - 57</v>
      </c>
      <c r="B69" s="15"/>
      <c r="C69" s="6">
        <f t="shared" si="43"/>
        <v>1.0895163165204944</v>
      </c>
      <c r="D69" s="6">
        <f t="shared" si="43"/>
        <v>1.1409311026564755</v>
      </c>
      <c r="E69" s="6">
        <f t="shared" si="43"/>
        <v>1.1814680585345037</v>
      </c>
      <c r="F69" s="6">
        <f t="shared" si="43"/>
        <v>1.2234768733792576</v>
      </c>
      <c r="G69" s="6">
        <f t="shared" si="43"/>
        <v>1.2813587094508974</v>
      </c>
      <c r="H69" s="6">
        <f t="shared" si="43"/>
        <v>1.3269926989137719</v>
      </c>
      <c r="I69" s="6">
        <f t="shared" si="43"/>
        <v>1.3742820167248471</v>
      </c>
      <c r="S69" s="16" t="str">
        <f t="shared" si="44"/>
        <v>45 - 57</v>
      </c>
      <c r="T69" s="15"/>
      <c r="U69" s="6">
        <f t="shared" ref="U69:AA69" si="46">U48/U49</f>
        <v>1.4194760857641744</v>
      </c>
      <c r="V69" s="6">
        <f t="shared" si="46"/>
        <v>1.4861372264153367</v>
      </c>
      <c r="W69" s="6">
        <f t="shared" si="46"/>
        <v>1.5386841191508711</v>
      </c>
      <c r="X69" s="6">
        <f t="shared" si="46"/>
        <v>1.5931295112249269</v>
      </c>
      <c r="Y69" s="6">
        <f t="shared" si="46"/>
        <v>1.6681322642130143</v>
      </c>
      <c r="Z69" s="6">
        <f t="shared" si="46"/>
        <v>1.7272529643793457</v>
      </c>
      <c r="AA69" s="6">
        <f t="shared" si="46"/>
        <v>1.788508219454515</v>
      </c>
    </row>
    <row r="70" spans="1:27">
      <c r="A70" s="16" t="str">
        <f t="shared" si="42"/>
        <v>57 - 69</v>
      </c>
      <c r="B70" s="15"/>
      <c r="C70" s="6">
        <f t="shared" si="43"/>
        <v>1.0543696913250249</v>
      </c>
      <c r="D70" s="6">
        <f t="shared" si="43"/>
        <v>1.0939542123512793</v>
      </c>
      <c r="E70" s="6">
        <f t="shared" si="43"/>
        <v>1.1248219273184121</v>
      </c>
      <c r="F70" s="6">
        <f t="shared" si="43"/>
        <v>1.1565085653545237</v>
      </c>
      <c r="G70" s="6">
        <f t="shared" si="43"/>
        <v>1.1996904489345332</v>
      </c>
      <c r="H70" s="6">
        <f t="shared" si="43"/>
        <v>1.2333647933311342</v>
      </c>
      <c r="I70" s="6">
        <f t="shared" si="43"/>
        <v>1.2679338324037213</v>
      </c>
      <c r="S70" s="16" t="str">
        <f t="shared" si="44"/>
        <v>57 - 69</v>
      </c>
      <c r="T70" s="15"/>
      <c r="U70" s="6">
        <f t="shared" ref="U70:AA70" si="47">U49/U50</f>
        <v>1.297531010746672</v>
      </c>
      <c r="V70" s="6">
        <f t="shared" si="47"/>
        <v>1.3457314093367982</v>
      </c>
      <c r="W70" s="6">
        <f t="shared" si="47"/>
        <v>1.3833214603520818</v>
      </c>
      <c r="X70" s="6">
        <f t="shared" si="47"/>
        <v>1.4219121598396049</v>
      </c>
      <c r="Y70" s="6">
        <f t="shared" si="47"/>
        <v>1.4745081984386603</v>
      </c>
      <c r="Z70" s="6">
        <f t="shared" si="47"/>
        <v>1.5155282302570035</v>
      </c>
      <c r="AA70" s="6">
        <f t="shared" si="47"/>
        <v>1.5576419539405046</v>
      </c>
    </row>
    <row r="71" spans="1:27">
      <c r="A71" s="16" t="str">
        <f t="shared" si="42"/>
        <v>69 - 81</v>
      </c>
      <c r="B71" s="15"/>
      <c r="C71" s="6">
        <f t="shared" si="43"/>
        <v>1.0374227484196428</v>
      </c>
      <c r="D71" s="6">
        <f t="shared" si="43"/>
        <v>1.062943431891362</v>
      </c>
      <c r="E71" s="6">
        <f t="shared" si="43"/>
        <v>1.0826267596723278</v>
      </c>
      <c r="F71" s="6">
        <f t="shared" si="43"/>
        <v>1.1026417459326148</v>
      </c>
      <c r="G71" s="6">
        <f t="shared" si="43"/>
        <v>1.1296190693507298</v>
      </c>
      <c r="H71" s="6">
        <f t="shared" si="43"/>
        <v>1.1504268768943444</v>
      </c>
      <c r="I71" s="6">
        <f t="shared" si="43"/>
        <v>1.1715861883734717</v>
      </c>
      <c r="S71" s="16" t="str">
        <f t="shared" si="44"/>
        <v>69 - 81</v>
      </c>
      <c r="T71" s="15"/>
      <c r="U71" s="6">
        <f t="shared" ref="U71:AA71" si="48">U50/U51</f>
        <v>1.1721938135678096</v>
      </c>
      <c r="V71" s="6">
        <f t="shared" si="48"/>
        <v>1.200669761427676</v>
      </c>
      <c r="W71" s="6">
        <f t="shared" si="48"/>
        <v>1.222634755924245</v>
      </c>
      <c r="X71" s="6">
        <f t="shared" si="48"/>
        <v>1.2449719354008431</v>
      </c>
      <c r="Y71" s="6">
        <f t="shared" si="48"/>
        <v>1.2750825124331475</v>
      </c>
      <c r="Z71" s="6">
        <f t="shared" si="48"/>
        <v>1.298309544985784</v>
      </c>
      <c r="AA71" s="6">
        <f t="shared" si="48"/>
        <v>1.3219311626289345</v>
      </c>
    </row>
    <row r="72" spans="1:27">
      <c r="A72" s="16" t="str">
        <f t="shared" si="42"/>
        <v>81 - 93</v>
      </c>
      <c r="B72" s="15"/>
      <c r="C72" s="6">
        <f t="shared" si="43"/>
        <v>1.0277334528733348</v>
      </c>
      <c r="D72" s="6">
        <f t="shared" si="43"/>
        <v>1.0437533148052871</v>
      </c>
      <c r="E72" s="6">
        <f t="shared" si="43"/>
        <v>1.0560229971685096</v>
      </c>
      <c r="F72" s="6">
        <f t="shared" si="43"/>
        <v>1.0684244774441296</v>
      </c>
      <c r="G72" s="6">
        <f t="shared" si="43"/>
        <v>1.085023144446958</v>
      </c>
      <c r="H72" s="6">
        <f t="shared" si="43"/>
        <v>1.0977364162706171</v>
      </c>
      <c r="I72" s="6">
        <f t="shared" si="43"/>
        <v>1.1105864951074416</v>
      </c>
      <c r="S72" s="16" t="str">
        <f t="shared" si="44"/>
        <v>81 - 93</v>
      </c>
      <c r="T72" s="15"/>
      <c r="U72" s="6">
        <f t="shared" ref="U72:AA72" si="49">U51/U52</f>
        <v>1.1063863937299159</v>
      </c>
      <c r="V72" s="6">
        <f t="shared" si="49"/>
        <v>1.1235189092591022</v>
      </c>
      <c r="W72" s="6">
        <f t="shared" si="49"/>
        <v>1.1366413447137711</v>
      </c>
      <c r="X72" s="6">
        <f t="shared" si="49"/>
        <v>1.1499052319538974</v>
      </c>
      <c r="Y72" s="6">
        <f t="shared" si="49"/>
        <v>1.1676589483467896</v>
      </c>
      <c r="Z72" s="6">
        <f t="shared" si="49"/>
        <v>1.1812574834523024</v>
      </c>
      <c r="AA72" s="6">
        <f t="shared" si="49"/>
        <v>1.1950028618520194</v>
      </c>
    </row>
    <row r="73" spans="1:27">
      <c r="A73" s="16" t="str">
        <f t="shared" si="42"/>
        <v>93 - 105</v>
      </c>
      <c r="B73" s="15"/>
      <c r="C73" s="6">
        <f t="shared" si="43"/>
        <v>1.021581906624861</v>
      </c>
      <c r="D73" s="6">
        <f t="shared" si="43"/>
        <v>1.0318759173618586</v>
      </c>
      <c r="E73" s="6">
        <f t="shared" si="43"/>
        <v>1.0397267834509065</v>
      </c>
      <c r="F73" s="6">
        <f t="shared" si="43"/>
        <v>1.0476330062183659</v>
      </c>
      <c r="G73" s="6">
        <f t="shared" si="43"/>
        <v>1.0581701135744583</v>
      </c>
      <c r="H73" s="6">
        <f t="shared" si="43"/>
        <v>1.0662064472396944</v>
      </c>
      <c r="I73" s="6">
        <f t="shared" si="43"/>
        <v>1.0742995030931053</v>
      </c>
      <c r="S73" s="16" t="str">
        <f t="shared" si="44"/>
        <v>93 - 105</v>
      </c>
      <c r="T73" s="15"/>
      <c r="U73" s="6">
        <f t="shared" ref="U73:AA73" si="50">U52/U53</f>
        <v>1.0699938979210617</v>
      </c>
      <c r="V73" s="6">
        <f t="shared" si="50"/>
        <v>1.0807381374851968</v>
      </c>
      <c r="W73" s="6">
        <f t="shared" si="50"/>
        <v>1.088932504204752</v>
      </c>
      <c r="X73" s="6">
        <f t="shared" si="50"/>
        <v>1.0971847601556981</v>
      </c>
      <c r="Y73" s="6">
        <f t="shared" si="50"/>
        <v>1.1081832179218456</v>
      </c>
      <c r="Z73" s="6">
        <f t="shared" si="50"/>
        <v>1.1165715395368243</v>
      </c>
      <c r="AA73" s="6">
        <f t="shared" si="50"/>
        <v>1.1250191802583152</v>
      </c>
    </row>
    <row r="74" spans="1:27">
      <c r="A74" s="16" t="str">
        <f t="shared" si="42"/>
        <v>105 - 117</v>
      </c>
      <c r="B74" s="15"/>
      <c r="C74" s="6">
        <f t="shared" si="43"/>
        <v>1.0174022639298612</v>
      </c>
      <c r="D74" s="6">
        <f t="shared" si="43"/>
        <v>1.0242640545533575</v>
      </c>
      <c r="E74" s="6">
        <f t="shared" si="43"/>
        <v>1.0294836684702517</v>
      </c>
      <c r="F74" s="6">
        <f t="shared" si="43"/>
        <v>1.0347282859593847</v>
      </c>
      <c r="G74" s="6">
        <f t="shared" si="43"/>
        <v>1.0416998772554986</v>
      </c>
      <c r="H74" s="6">
        <f t="shared" si="43"/>
        <v>1.0470030305820428</v>
      </c>
      <c r="I74" s="6">
        <f t="shared" si="43"/>
        <v>1.0523316018703279</v>
      </c>
      <c r="S74" s="16" t="str">
        <f t="shared" si="44"/>
        <v>105 - 117</v>
      </c>
      <c r="T74" s="15"/>
      <c r="U74" s="6">
        <f t="shared" ref="U74:AA74" si="51">U53/U54</f>
        <v>1.0481209504737534</v>
      </c>
      <c r="V74" s="6">
        <f t="shared" si="51"/>
        <v>1.0551765585673738</v>
      </c>
      <c r="W74" s="6">
        <f t="shared" si="51"/>
        <v>1.0605436353554605</v>
      </c>
      <c r="X74" s="6">
        <f t="shared" si="51"/>
        <v>1.06593644817888</v>
      </c>
      <c r="Y74" s="6">
        <f t="shared" si="51"/>
        <v>1.0731050734811969</v>
      </c>
      <c r="Z74" s="6">
        <f t="shared" si="51"/>
        <v>1.0785581372154167</v>
      </c>
      <c r="AA74" s="6">
        <f t="shared" si="51"/>
        <v>1.0840373637739471</v>
      </c>
    </row>
    <row r="75" spans="1:27">
      <c r="A75" s="16" t="str">
        <f t="shared" si="42"/>
        <v>117 - 129</v>
      </c>
      <c r="B75" s="15"/>
      <c r="C75" s="6">
        <f t="shared" si="43"/>
        <v>1.0144008215740659</v>
      </c>
      <c r="D75" s="6">
        <f t="shared" si="43"/>
        <v>1.0191459819882565</v>
      </c>
      <c r="E75" s="6">
        <f t="shared" si="43"/>
        <v>1.0227495725639297</v>
      </c>
      <c r="F75" s="6">
        <f t="shared" si="43"/>
        <v>1.0263652814774924</v>
      </c>
      <c r="G75" s="6">
        <f t="shared" si="43"/>
        <v>1.0311636580447414</v>
      </c>
      <c r="H75" s="6">
        <f t="shared" si="43"/>
        <v>1.0348076667109256</v>
      </c>
      <c r="I75" s="6">
        <f t="shared" si="43"/>
        <v>1.0384639334718113</v>
      </c>
      <c r="S75" s="16" t="str">
        <f t="shared" si="44"/>
        <v>117 - 129</v>
      </c>
      <c r="T75" s="15"/>
      <c r="U75" s="6">
        <f t="shared" ref="U75:AA75" si="52">U54/U55</f>
        <v>1.0342563017710691</v>
      </c>
      <c r="V75" s="6">
        <f t="shared" si="52"/>
        <v>1.03908926103973</v>
      </c>
      <c r="W75" s="6">
        <f t="shared" si="52"/>
        <v>1.0427595359407325</v>
      </c>
      <c r="X75" s="6">
        <f t="shared" si="52"/>
        <v>1.0464421601037532</v>
      </c>
      <c r="Y75" s="6">
        <f t="shared" si="52"/>
        <v>1.0513293495994653</v>
      </c>
      <c r="Z75" s="6">
        <f t="shared" si="52"/>
        <v>1.0550408128363076</v>
      </c>
      <c r="AA75" s="6">
        <f t="shared" si="52"/>
        <v>1.0587647677961891</v>
      </c>
    </row>
    <row r="76" spans="1:27">
      <c r="A76" s="16" t="str">
        <f t="shared" si="42"/>
        <v>129 - 141</v>
      </c>
      <c r="B76" s="15"/>
      <c r="C76" s="6">
        <f t="shared" si="43"/>
        <v>1.0121688267550051</v>
      </c>
      <c r="D76" s="6">
        <f t="shared" si="43"/>
        <v>1.015553727269576</v>
      </c>
      <c r="E76" s="6">
        <f t="shared" si="43"/>
        <v>1.0181215176429455</v>
      </c>
      <c r="F76" s="6">
        <f t="shared" si="43"/>
        <v>1.020695537148913</v>
      </c>
      <c r="G76" s="6">
        <f t="shared" si="43"/>
        <v>1.0241077920416606</v>
      </c>
      <c r="H76" s="6">
        <f t="shared" si="43"/>
        <v>1.0266963348231699</v>
      </c>
      <c r="I76" s="6">
        <f t="shared" si="43"/>
        <v>1.0292911582335922</v>
      </c>
      <c r="S76" s="16" t="str">
        <f t="shared" si="44"/>
        <v>129 - 141</v>
      </c>
      <c r="T76" s="15"/>
      <c r="U76" s="6">
        <f t="shared" ref="U76:AA76" si="53">U55/U56</f>
        <v>1.0251537506981911</v>
      </c>
      <c r="V76" s="6">
        <f t="shared" si="53"/>
        <v>1.028580022222253</v>
      </c>
      <c r="W76" s="6">
        <f t="shared" si="53"/>
        <v>1.0311791988677179</v>
      </c>
      <c r="X76" s="6">
        <f t="shared" si="53"/>
        <v>1.0337846826521597</v>
      </c>
      <c r="Y76" s="6">
        <f t="shared" si="53"/>
        <v>1.03723865110865</v>
      </c>
      <c r="Z76" s="6">
        <f t="shared" si="53"/>
        <v>1.0398588400497408</v>
      </c>
      <c r="AA76" s="6">
        <f t="shared" si="53"/>
        <v>1.0424853882783551</v>
      </c>
    </row>
    <row r="77" spans="1:27">
      <c r="A77" s="16" t="str">
        <f t="shared" si="42"/>
        <v>141 - 153</v>
      </c>
      <c r="B77" s="15"/>
      <c r="C77" s="6">
        <f t="shared" si="43"/>
        <v>1.0104496876287048</v>
      </c>
      <c r="D77" s="6">
        <f t="shared" si="43"/>
        <v>1.0129300411852358</v>
      </c>
      <c r="E77" s="6">
        <f t="shared" si="43"/>
        <v>1.0148102623383493</v>
      </c>
      <c r="F77" s="6">
        <f t="shared" si="43"/>
        <v>1.0166938548467768</v>
      </c>
      <c r="G77" s="6">
        <f t="shared" si="43"/>
        <v>1.0191890132270562</v>
      </c>
      <c r="H77" s="6">
        <f t="shared" si="43"/>
        <v>1.0210804575520889</v>
      </c>
      <c r="I77" s="6">
        <f t="shared" si="43"/>
        <v>1.0229752937356607</v>
      </c>
      <c r="S77" s="16" t="str">
        <f t="shared" si="44"/>
        <v>141 - 153</v>
      </c>
      <c r="T77" s="15"/>
      <c r="U77" s="6">
        <f t="shared" ref="U77:AA77" si="54">U56/U57</f>
        <v>1.0190061054372106</v>
      </c>
      <c r="V77" s="6">
        <f t="shared" si="54"/>
        <v>1.0215065920986883</v>
      </c>
      <c r="W77" s="6">
        <f t="shared" si="54"/>
        <v>1.0234020757139506</v>
      </c>
      <c r="X77" s="6">
        <f t="shared" si="54"/>
        <v>1.0253009586115138</v>
      </c>
      <c r="Y77" s="6">
        <f t="shared" si="54"/>
        <v>1.0278163727340923</v>
      </c>
      <c r="Z77" s="6">
        <f t="shared" si="54"/>
        <v>1.0297231724913409</v>
      </c>
      <c r="AA77" s="6">
        <f t="shared" si="54"/>
        <v>1.0316333922054233</v>
      </c>
    </row>
    <row r="78" spans="1:27">
      <c r="A78" s="16" t="str">
        <f t="shared" si="42"/>
        <v>153 - 165</v>
      </c>
      <c r="B78" s="15"/>
      <c r="C78" s="6">
        <f t="shared" si="43"/>
        <v>1.0090935891250841</v>
      </c>
      <c r="D78" s="6">
        <f t="shared" si="43"/>
        <v>1.0109621231591894</v>
      </c>
      <c r="E78" s="6">
        <f t="shared" si="43"/>
        <v>1.0123778476642151</v>
      </c>
      <c r="F78" s="6">
        <f t="shared" si="43"/>
        <v>1.0137954985772692</v>
      </c>
      <c r="G78" s="6">
        <f t="shared" si="43"/>
        <v>1.0156724921507032</v>
      </c>
      <c r="H78" s="6">
        <f t="shared" si="43"/>
        <v>1.017094626314708</v>
      </c>
      <c r="I78" s="6">
        <f t="shared" si="43"/>
        <v>1.0185186957417141</v>
      </c>
      <c r="S78" s="16" t="str">
        <f t="shared" si="44"/>
        <v>153 - 165</v>
      </c>
      <c r="T78" s="15"/>
      <c r="U78" s="6">
        <f t="shared" ref="U78:AA78" si="55">U57/U58</f>
        <v>1.0147601913210773</v>
      </c>
      <c r="V78" s="6">
        <f t="shared" si="55"/>
        <v>1.016638835730123</v>
      </c>
      <c r="W78" s="6">
        <f t="shared" si="55"/>
        <v>1.0180622207255032</v>
      </c>
      <c r="X78" s="6">
        <f t="shared" si="55"/>
        <v>1.0194875427286245</v>
      </c>
      <c r="Y78" s="6">
        <f t="shared" si="55"/>
        <v>1.0213746932240872</v>
      </c>
      <c r="Z78" s="6">
        <f t="shared" si="55"/>
        <v>1.0228045231468175</v>
      </c>
      <c r="AA78" s="6">
        <f t="shared" si="55"/>
        <v>1.0242362989813101</v>
      </c>
    </row>
    <row r="79" spans="1:27">
      <c r="A79" s="16" t="str">
        <f t="shared" si="42"/>
        <v>165 - 177</v>
      </c>
      <c r="B79" s="15"/>
      <c r="C79" s="6">
        <f t="shared" si="43"/>
        <v>1.0080055172856914</v>
      </c>
      <c r="D79" s="6">
        <f t="shared" si="43"/>
        <v>1.0094376126737548</v>
      </c>
      <c r="E79" s="6">
        <f t="shared" si="43"/>
        <v>1.0105222692266946</v>
      </c>
      <c r="F79" s="6">
        <f t="shared" si="43"/>
        <v>1.0116080625614694</v>
      </c>
      <c r="G79" s="6">
        <f t="shared" si="43"/>
        <v>1.0130451499590651</v>
      </c>
      <c r="H79" s="6">
        <f t="shared" si="43"/>
        <v>1.0141335874770978</v>
      </c>
      <c r="I79" s="6">
        <f t="shared" si="43"/>
        <v>1.0152231657918678</v>
      </c>
      <c r="S79" s="16" t="str">
        <f t="shared" si="44"/>
        <v>165 - 177</v>
      </c>
      <c r="T79" s="15"/>
      <c r="U79" s="6">
        <f t="shared" ref="U79:AA79" si="56">U58/U59</f>
        <v>1.0117709563522972</v>
      </c>
      <c r="V79" s="6">
        <f t="shared" si="56"/>
        <v>1.0132082255356405</v>
      </c>
      <c r="W79" s="6">
        <f t="shared" si="56"/>
        <v>1.0142968007461635</v>
      </c>
      <c r="X79" s="6">
        <f t="shared" si="56"/>
        <v>1.0153865169059666</v>
      </c>
      <c r="Y79" s="6">
        <f t="shared" si="56"/>
        <v>1.0168287963995661</v>
      </c>
      <c r="Z79" s="6">
        <f t="shared" si="56"/>
        <v>1.0179211664363035</v>
      </c>
      <c r="AA79" s="6">
        <f t="shared" si="56"/>
        <v>1.0190146814520211</v>
      </c>
    </row>
    <row r="80" spans="1:27">
      <c r="A80" s="16" t="str">
        <f t="shared" si="42"/>
        <v>177 - 189</v>
      </c>
      <c r="B80" s="15"/>
      <c r="C80" s="6">
        <f t="shared" si="43"/>
        <v>1.0002587423794942</v>
      </c>
      <c r="D80" s="6">
        <f t="shared" si="43"/>
        <v>1.0003043572052317</v>
      </c>
      <c r="E80" s="6">
        <f t="shared" si="43"/>
        <v>1.0003388284088517</v>
      </c>
      <c r="F80" s="6">
        <f t="shared" si="43"/>
        <v>1.0003732654654645</v>
      </c>
      <c r="G80" s="6">
        <f t="shared" si="43"/>
        <v>1.0004187303387184</v>
      </c>
      <c r="H80" s="6">
        <f t="shared" si="43"/>
        <v>1.0004530882293514</v>
      </c>
      <c r="I80" s="6">
        <f t="shared" si="43"/>
        <v>1.0004874120772509</v>
      </c>
      <c r="S80" s="16" t="str">
        <f t="shared" si="44"/>
        <v>177 - 189</v>
      </c>
      <c r="T80" s="15"/>
      <c r="U80" s="6">
        <f t="shared" ref="U80:AA80" si="57">U59/U60</f>
        <v>1.0003775750690076</v>
      </c>
      <c r="V80" s="6">
        <f t="shared" si="57"/>
        <v>1.0004230343788325</v>
      </c>
      <c r="W80" s="6">
        <f t="shared" si="57"/>
        <v>1.0004573880996612</v>
      </c>
      <c r="X80" s="6">
        <f t="shared" si="57"/>
        <v>1.0004917077817335</v>
      </c>
      <c r="Y80" s="6">
        <f t="shared" si="57"/>
        <v>1.0005370176144388</v>
      </c>
      <c r="Z80" s="6">
        <f t="shared" si="57"/>
        <v>1.0005712583815625</v>
      </c>
      <c r="AA80" s="6">
        <f t="shared" si="57"/>
        <v>1.0006054652139298</v>
      </c>
    </row>
    <row r="81" spans="1:27">
      <c r="A81" s="16" t="s">
        <v>48</v>
      </c>
      <c r="B81" s="15"/>
      <c r="C81" s="6">
        <f>C60</f>
        <v>1.0399999213760054</v>
      </c>
      <c r="D81" s="6">
        <f t="shared" ref="D81:I81" si="58">D60</f>
        <v>1.0499999007750083</v>
      </c>
      <c r="E81" s="6">
        <f t="shared" si="58"/>
        <v>1.0599998797960124</v>
      </c>
      <c r="F81" s="6">
        <f t="shared" si="58"/>
        <v>1.0699998584390173</v>
      </c>
      <c r="G81" s="6">
        <f t="shared" si="58"/>
        <v>1.0799998367040231</v>
      </c>
      <c r="H81" s="6">
        <f t="shared" si="58"/>
        <v>1.0899998145910297</v>
      </c>
      <c r="I81" s="6">
        <f t="shared" si="58"/>
        <v>1.0999997921000373</v>
      </c>
      <c r="S81" s="16" t="s">
        <v>48</v>
      </c>
      <c r="T81" s="15"/>
      <c r="U81" s="6">
        <f>U60</f>
        <v>1.0477078650979157</v>
      </c>
      <c r="V81" s="6">
        <f t="shared" ref="V81:AA81" si="59">V60</f>
        <v>1.0577819590451469</v>
      </c>
      <c r="W81" s="6">
        <f t="shared" si="59"/>
        <v>1.067856052608755</v>
      </c>
      <c r="X81" s="6">
        <f t="shared" si="59"/>
        <v>1.0779301457887402</v>
      </c>
      <c r="Y81" s="6">
        <f t="shared" si="59"/>
        <v>1.0880042385851025</v>
      </c>
      <c r="Z81" s="6">
        <f t="shared" si="59"/>
        <v>1.0980783309978421</v>
      </c>
      <c r="AA81" s="6">
        <f t="shared" si="59"/>
        <v>1.1081524230269586</v>
      </c>
    </row>
    <row r="82" spans="1:27">
      <c r="A82" s="16"/>
    </row>
    <row r="83" spans="1:27">
      <c r="A83" s="16"/>
    </row>
    <row r="84" spans="1:27">
      <c r="A84" s="16"/>
    </row>
    <row r="85" spans="1:27">
      <c r="A85" s="15"/>
    </row>
    <row r="86" spans="1:27">
      <c r="A86" s="15"/>
    </row>
    <row r="87" spans="1:27">
      <c r="A87" s="15"/>
    </row>
    <row r="88" spans="1:27">
      <c r="A88" s="15"/>
    </row>
    <row r="89" spans="1:27">
      <c r="A89" s="15"/>
    </row>
    <row r="90" spans="1:27">
      <c r="A90" s="15"/>
    </row>
    <row r="91" spans="1:27">
      <c r="A91" s="15"/>
    </row>
    <row r="92" spans="1:27">
      <c r="A92" s="15"/>
    </row>
    <row r="93" spans="1:27">
      <c r="A93" s="15"/>
    </row>
    <row r="94" spans="1:27">
      <c r="A94" s="15"/>
    </row>
    <row r="95" spans="1:27">
      <c r="A95" s="15"/>
    </row>
    <row r="96" spans="1:27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</sheetData>
  <mergeCells count="27">
    <mergeCell ref="A63:I63"/>
    <mergeCell ref="A64:I64"/>
    <mergeCell ref="C65:I65"/>
    <mergeCell ref="S63:AA63"/>
    <mergeCell ref="S64:AA64"/>
    <mergeCell ref="U65:AA65"/>
    <mergeCell ref="A42:I42"/>
    <mergeCell ref="A43:I43"/>
    <mergeCell ref="C44:I44"/>
    <mergeCell ref="S22:AA22"/>
    <mergeCell ref="S23:AA23"/>
    <mergeCell ref="U24:AA24"/>
    <mergeCell ref="S42:AA42"/>
    <mergeCell ref="S43:AA43"/>
    <mergeCell ref="U44:AA44"/>
    <mergeCell ref="S2:AA2"/>
    <mergeCell ref="S3:AA3"/>
    <mergeCell ref="T4:Z4"/>
    <mergeCell ref="C24:I24"/>
    <mergeCell ref="A22:I22"/>
    <mergeCell ref="A23:I23"/>
    <mergeCell ref="C4:I4"/>
    <mergeCell ref="A2:I2"/>
    <mergeCell ref="A3:I3"/>
    <mergeCell ref="L4:P4"/>
    <mergeCell ref="K2:Q2"/>
    <mergeCell ref="K3:Q3"/>
  </mergeCells>
  <pageMargins left="0.7" right="0.7" top="0.75" bottom="0.75" header="0.3" footer="0.3"/>
  <pageSetup scale="85" orientation="portrait" verticalDpi="0" r:id="rId1"/>
  <rowBreaks count="1" manualBreakCount="1">
    <brk id="41" max="16383" man="1"/>
  </rowBreaks>
  <colBreaks count="2" manualBreakCount="2">
    <brk id="9" max="1048575" man="1"/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27</v>
      </c>
    </row>
    <row r="4" spans="1:6">
      <c r="A4" s="1"/>
      <c r="B4" s="1" t="s">
        <v>24</v>
      </c>
      <c r="D4" s="1" t="s">
        <v>29</v>
      </c>
      <c r="E4" s="1" t="s">
        <v>28</v>
      </c>
    </row>
    <row r="5" spans="1:6">
      <c r="A5" s="1" t="s">
        <v>22</v>
      </c>
      <c r="B5" s="1" t="s">
        <v>23</v>
      </c>
      <c r="C5" s="1" t="s">
        <v>26</v>
      </c>
      <c r="D5" s="1" t="s">
        <v>30</v>
      </c>
      <c r="E5" s="1" t="s">
        <v>24</v>
      </c>
    </row>
    <row r="6" spans="1:6">
      <c r="A6" t="s">
        <v>19</v>
      </c>
      <c r="B6" s="4">
        <v>1.05</v>
      </c>
      <c r="C6" s="10">
        <f>B6-1</f>
        <v>5.0000000000000044E-2</v>
      </c>
      <c r="D6" s="9"/>
      <c r="E6" s="4">
        <f>1+$D$10*C6</f>
        <v>1.0857142857142859</v>
      </c>
    </row>
    <row r="7" spans="1:6">
      <c r="A7" t="s">
        <v>20</v>
      </c>
      <c r="B7" s="4">
        <v>1.0249999999999999</v>
      </c>
      <c r="C7" s="10">
        <f t="shared" ref="C7:C10" si="0">B7-1</f>
        <v>2.4999999999999911E-2</v>
      </c>
      <c r="D7" s="9"/>
      <c r="E7" s="4">
        <f t="shared" ref="E7:E8" si="1">1+$D$10*C7</f>
        <v>1.0428571428571427</v>
      </c>
    </row>
    <row r="8" spans="1:6">
      <c r="A8" t="s">
        <v>21</v>
      </c>
      <c r="B8" s="4">
        <v>1.03</v>
      </c>
      <c r="C8" s="10">
        <f t="shared" si="0"/>
        <v>3.0000000000000027E-2</v>
      </c>
      <c r="E8" s="4">
        <f t="shared" si="1"/>
        <v>1.0514285714285716</v>
      </c>
    </row>
    <row r="10" spans="1:6">
      <c r="A10" t="s">
        <v>25</v>
      </c>
      <c r="B10" s="4">
        <v>1.06</v>
      </c>
      <c r="C10" s="10">
        <f t="shared" si="0"/>
        <v>6.0000000000000053E-2</v>
      </c>
      <c r="D10" s="9">
        <f t="shared" ref="D10" si="2">($C$10*COUNT($C$6:$C$8))/($C$6+$C$7+$C$8)</f>
        <v>1.7142857142857162</v>
      </c>
      <c r="E10" s="10">
        <f>AVERAGE(E6:E8)</f>
        <v>1.06</v>
      </c>
      <c r="F10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selection activeCell="D27" sqref="D27"/>
    </sheetView>
  </sheetViews>
  <sheetFormatPr defaultRowHeight="15"/>
  <cols>
    <col min="1" max="1" width="11.42578125" bestFit="1" customWidth="1"/>
    <col min="2" max="2" width="14.85546875" bestFit="1" customWidth="1"/>
    <col min="4" max="4" width="10.85546875" bestFit="1" customWidth="1"/>
  </cols>
  <sheetData>
    <row r="1" spans="1:4">
      <c r="A1" s="30" t="s">
        <v>60</v>
      </c>
      <c r="B1" s="30"/>
      <c r="C1" s="30"/>
    </row>
    <row r="2" spans="1:4">
      <c r="A2" s="1"/>
      <c r="B2" s="1" t="s">
        <v>55</v>
      </c>
      <c r="C2" s="1" t="s">
        <v>24</v>
      </c>
    </row>
    <row r="3" spans="1:4">
      <c r="A3" s="1"/>
      <c r="B3" s="1" t="s">
        <v>65</v>
      </c>
      <c r="C3" s="1" t="s">
        <v>56</v>
      </c>
      <c r="D3" s="1"/>
    </row>
    <row r="4" spans="1:4">
      <c r="A4" s="2" t="s">
        <v>61</v>
      </c>
      <c r="B4" s="22">
        <v>1</v>
      </c>
      <c r="C4" s="22">
        <v>2.8</v>
      </c>
      <c r="D4" s="1"/>
    </row>
    <row r="5" spans="1:4">
      <c r="A5" s="2" t="s">
        <v>50</v>
      </c>
      <c r="B5" s="4">
        <v>0.48399999999999999</v>
      </c>
      <c r="C5" s="4">
        <v>3.15</v>
      </c>
    </row>
    <row r="6" spans="1:4">
      <c r="A6" s="2" t="s">
        <v>51</v>
      </c>
      <c r="B6" s="4">
        <v>0.372</v>
      </c>
      <c r="C6" s="4">
        <v>3.6680000000000001</v>
      </c>
    </row>
    <row r="7" spans="1:4">
      <c r="A7" s="2" t="s">
        <v>52</v>
      </c>
      <c r="B7" s="4">
        <v>0.24</v>
      </c>
      <c r="C7" s="4">
        <v>4.4850000000000003</v>
      </c>
    </row>
    <row r="8" spans="1:4">
      <c r="A8" s="2" t="s">
        <v>53</v>
      </c>
      <c r="B8" s="4">
        <v>0.14399999999999999</v>
      </c>
      <c r="C8" s="4">
        <v>5.2229999999999999</v>
      </c>
    </row>
    <row r="9" spans="1:4">
      <c r="A9" s="2" t="s">
        <v>54</v>
      </c>
      <c r="B9" s="4">
        <v>7.5999999999999998E-2</v>
      </c>
      <c r="C9" s="4">
        <v>6.0810000000000004</v>
      </c>
    </row>
    <row r="11" spans="1:4">
      <c r="C11" s="1" t="s">
        <v>58</v>
      </c>
    </row>
    <row r="12" spans="1:4">
      <c r="A12" s="27" t="s">
        <v>57</v>
      </c>
      <c r="B12" s="27"/>
      <c r="C12" s="1" t="s">
        <v>59</v>
      </c>
    </row>
    <row r="13" spans="1:4">
      <c r="A13" s="7">
        <v>50000</v>
      </c>
      <c r="B13" s="7">
        <v>1000000</v>
      </c>
      <c r="C13" s="4">
        <f>(B5-B9)/(B5/C5-B9/C9)</f>
        <v>2.8904836297305572</v>
      </c>
    </row>
    <row r="14" spans="1:4">
      <c r="A14" s="7">
        <v>50000</v>
      </c>
      <c r="B14" s="7">
        <v>500000</v>
      </c>
      <c r="C14" s="4">
        <f>(B5-B8)/(B5/C5-B8/C8)</f>
        <v>2.6966912721782239</v>
      </c>
    </row>
    <row r="15" spans="1:4">
      <c r="A15" s="7">
        <v>50000</v>
      </c>
      <c r="B15" s="7">
        <v>250000</v>
      </c>
      <c r="C15" s="4">
        <f>(B5-B7)/(B5/C5-B7/C7)</f>
        <v>2.4366109673862333</v>
      </c>
    </row>
    <row r="16" spans="1:4">
      <c r="A16" s="7">
        <v>50000</v>
      </c>
      <c r="B16" s="7">
        <v>100000</v>
      </c>
      <c r="C16" s="4">
        <f>(B5-B6)/(B5/C5-B6/C6)</f>
        <v>2.144233088985803</v>
      </c>
    </row>
    <row r="18" spans="1:4">
      <c r="A18" s="7">
        <v>0</v>
      </c>
      <c r="B18" s="7">
        <v>50000</v>
      </c>
      <c r="C18" s="4">
        <f>(B4-B5)/(B4/C4-B5/C5)</f>
        <v>2.5357254290171607</v>
      </c>
      <c r="D18" t="s">
        <v>63</v>
      </c>
    </row>
    <row r="20" spans="1:4">
      <c r="A20" s="7"/>
      <c r="C20" s="4"/>
    </row>
  </sheetData>
  <mergeCells count="2">
    <mergeCell ref="A12:B12"/>
    <mergeCell ref="A1:C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tabSelected="1" view="pageBreakPreview" zoomScale="60" zoomScaleNormal="100" workbookViewId="0">
      <selection activeCell="E21" sqref="E21"/>
    </sheetView>
  </sheetViews>
  <sheetFormatPr defaultRowHeight="15"/>
  <cols>
    <col min="1" max="1" width="10.42578125" bestFit="1" customWidth="1"/>
    <col min="2" max="2" width="11.85546875" bestFit="1" customWidth="1"/>
    <col min="3" max="3" width="9.28515625" bestFit="1" customWidth="1"/>
    <col min="4" max="4" width="10.5703125" customWidth="1"/>
    <col min="5" max="5" width="9.28515625" bestFit="1" customWidth="1"/>
  </cols>
  <sheetData>
    <row r="1" spans="1:5">
      <c r="A1" t="s">
        <v>77</v>
      </c>
    </row>
    <row r="2" spans="1:5">
      <c r="C2" s="1" t="s">
        <v>66</v>
      </c>
      <c r="D2" s="1" t="s">
        <v>66</v>
      </c>
    </row>
    <row r="3" spans="1:5">
      <c r="B3" s="1" t="s">
        <v>64</v>
      </c>
      <c r="C3" s="1" t="s">
        <v>24</v>
      </c>
      <c r="D3" s="1" t="s">
        <v>24</v>
      </c>
    </row>
    <row r="4" spans="1:5">
      <c r="A4" s="1" t="s">
        <v>17</v>
      </c>
      <c r="B4" s="1" t="s">
        <v>62</v>
      </c>
      <c r="C4" s="1" t="s">
        <v>67</v>
      </c>
      <c r="D4" s="1" t="s">
        <v>68</v>
      </c>
    </row>
    <row r="5" spans="1:5">
      <c r="A5" s="1" t="s">
        <v>70</v>
      </c>
      <c r="B5" s="1">
        <v>1</v>
      </c>
      <c r="C5" s="22">
        <v>5.5</v>
      </c>
      <c r="D5" s="22">
        <v>4.2</v>
      </c>
    </row>
    <row r="6" spans="1:5">
      <c r="A6" s="21">
        <v>250000</v>
      </c>
      <c r="B6" s="4">
        <v>0.25</v>
      </c>
      <c r="C6" s="4">
        <v>6.25</v>
      </c>
      <c r="D6" s="4">
        <v>5</v>
      </c>
    </row>
    <row r="7" spans="1:5">
      <c r="A7" s="21">
        <v>500000</v>
      </c>
      <c r="B7" s="4">
        <v>0.17499999999999999</v>
      </c>
      <c r="C7" s="4">
        <v>9.75</v>
      </c>
      <c r="D7" s="4">
        <v>7.5</v>
      </c>
    </row>
    <row r="8" spans="1:5">
      <c r="A8" s="21">
        <v>1000000</v>
      </c>
      <c r="B8" s="4">
        <v>0.1</v>
      </c>
      <c r="C8" s="4">
        <v>14</v>
      </c>
      <c r="D8" s="4">
        <v>10</v>
      </c>
    </row>
    <row r="12" spans="1:5">
      <c r="A12" t="s">
        <v>69</v>
      </c>
    </row>
    <row r="14" spans="1:5">
      <c r="C14" s="1" t="s">
        <v>66</v>
      </c>
    </row>
    <row r="15" spans="1:5">
      <c r="C15" s="1" t="s">
        <v>72</v>
      </c>
    </row>
    <row r="16" spans="1:5">
      <c r="C16" s="1" t="s">
        <v>73</v>
      </c>
      <c r="D16" s="1" t="s">
        <v>66</v>
      </c>
      <c r="E16" s="1" t="s">
        <v>79</v>
      </c>
    </row>
    <row r="17" spans="1:5">
      <c r="B17" s="1" t="s">
        <v>17</v>
      </c>
      <c r="C17" s="1">
        <v>48</v>
      </c>
      <c r="D17" s="1" t="s">
        <v>71</v>
      </c>
      <c r="E17" s="1" t="s">
        <v>17</v>
      </c>
    </row>
    <row r="18" spans="1:5">
      <c r="B18" s="1" t="s">
        <v>70</v>
      </c>
      <c r="E18" s="24">
        <v>100</v>
      </c>
    </row>
    <row r="19" spans="1:5">
      <c r="B19" s="23">
        <v>250000</v>
      </c>
      <c r="C19" s="3">
        <f>E19/D19</f>
        <v>4</v>
      </c>
      <c r="D19" s="10">
        <f>C6</f>
        <v>6.25</v>
      </c>
      <c r="E19" s="8">
        <f>$E$18*B6</f>
        <v>25</v>
      </c>
    </row>
    <row r="20" spans="1:5">
      <c r="B20" s="23">
        <v>1000000</v>
      </c>
      <c r="C20" s="3">
        <f>E20/D20</f>
        <v>0.7142857142857143</v>
      </c>
      <c r="D20" s="10">
        <f>C8</f>
        <v>14</v>
      </c>
      <c r="E20" s="8">
        <f>$E$18*B8</f>
        <v>10</v>
      </c>
    </row>
    <row r="21" spans="1:5">
      <c r="B21" s="23"/>
      <c r="C21" s="3"/>
      <c r="D21" s="10"/>
      <c r="E21" s="8"/>
    </row>
    <row r="22" spans="1:5">
      <c r="C22" s="1" t="s">
        <v>66</v>
      </c>
    </row>
    <row r="23" spans="1:5">
      <c r="C23" s="1" t="s">
        <v>72</v>
      </c>
    </row>
    <row r="24" spans="1:5">
      <c r="C24" s="1" t="s">
        <v>73</v>
      </c>
      <c r="D24" s="1" t="s">
        <v>66</v>
      </c>
      <c r="E24" s="1" t="s">
        <v>79</v>
      </c>
    </row>
    <row r="25" spans="1:5">
      <c r="B25" s="1" t="s">
        <v>17</v>
      </c>
      <c r="C25" s="1">
        <v>60</v>
      </c>
      <c r="D25" s="1" t="s">
        <v>71</v>
      </c>
      <c r="E25" s="1" t="s">
        <v>17</v>
      </c>
    </row>
    <row r="26" spans="1:5">
      <c r="B26" s="1" t="s">
        <v>70</v>
      </c>
      <c r="E26" s="24">
        <v>100</v>
      </c>
    </row>
    <row r="27" spans="1:5">
      <c r="B27" s="23">
        <v>250000</v>
      </c>
      <c r="C27" s="3">
        <f>E27/D27</f>
        <v>5</v>
      </c>
      <c r="D27" s="10">
        <f>D6</f>
        <v>5</v>
      </c>
      <c r="E27" s="8">
        <f>E19</f>
        <v>25</v>
      </c>
    </row>
    <row r="28" spans="1:5">
      <c r="B28" s="23">
        <v>1000000</v>
      </c>
      <c r="C28" s="3">
        <f>E28/D28</f>
        <v>1</v>
      </c>
      <c r="D28" s="10">
        <f>D8</f>
        <v>10</v>
      </c>
      <c r="E28" s="8">
        <f>E20</f>
        <v>10</v>
      </c>
    </row>
    <row r="29" spans="1:5" ht="15.75" thickBot="1"/>
    <row r="30" spans="1:5" ht="15.75" thickBot="1">
      <c r="B30" t="s">
        <v>74</v>
      </c>
      <c r="C30" s="25">
        <f>(C27-C28)/(C19-C20)</f>
        <v>1.2173913043478262</v>
      </c>
    </row>
    <row r="32" spans="1:5">
      <c r="A32" t="s">
        <v>75</v>
      </c>
    </row>
    <row r="33" spans="1:7" ht="15.75" thickBot="1"/>
    <row r="34" spans="1:7" ht="15.75" thickBot="1">
      <c r="B34" t="s">
        <v>74</v>
      </c>
      <c r="C34" s="26">
        <f>(E27-E28)/(C27-C28)</f>
        <v>3.75</v>
      </c>
    </row>
    <row r="36" spans="1:7">
      <c r="A36" t="s">
        <v>76</v>
      </c>
    </row>
    <row r="37" spans="1:7" ht="15.75" thickBot="1"/>
    <row r="38" spans="1:7" ht="15.75" thickBot="1">
      <c r="B38" t="s">
        <v>74</v>
      </c>
      <c r="C38" s="26">
        <f>(E19-E20)/(C19-C20)</f>
        <v>4.5652173913043477</v>
      </c>
    </row>
    <row r="40" spans="1:7">
      <c r="A40" t="s">
        <v>78</v>
      </c>
    </row>
    <row r="42" spans="1:7">
      <c r="C42" s="1" t="s">
        <v>80</v>
      </c>
    </row>
    <row r="43" spans="1:7">
      <c r="C43" s="1" t="s">
        <v>72</v>
      </c>
      <c r="E43" s="1" t="s">
        <v>64</v>
      </c>
      <c r="F43" s="1"/>
    </row>
    <row r="44" spans="1:7">
      <c r="C44" s="1" t="s">
        <v>73</v>
      </c>
      <c r="D44" s="1" t="s">
        <v>80</v>
      </c>
      <c r="E44" s="1" t="s">
        <v>80</v>
      </c>
      <c r="F44" s="1"/>
    </row>
    <row r="45" spans="1:7">
      <c r="B45" s="1" t="s">
        <v>17</v>
      </c>
      <c r="C45" s="1">
        <v>60</v>
      </c>
      <c r="D45" s="1" t="s">
        <v>71</v>
      </c>
      <c r="E45" s="1" t="s">
        <v>81</v>
      </c>
      <c r="F45" s="1"/>
      <c r="G45" s="1"/>
    </row>
    <row r="46" spans="1:7">
      <c r="B46" s="1" t="s">
        <v>70</v>
      </c>
      <c r="C46" s="3"/>
      <c r="D46" s="10"/>
      <c r="E46" s="24">
        <v>100</v>
      </c>
      <c r="F46" s="9"/>
      <c r="G46" s="15"/>
    </row>
    <row r="47" spans="1:7">
      <c r="B47" s="23">
        <v>500000</v>
      </c>
      <c r="C47" s="3">
        <f>(1-B7/D7)*E47</f>
        <v>80.575000000000003</v>
      </c>
      <c r="D47" s="10">
        <f>E47/C47</f>
        <v>1.0238907849829351</v>
      </c>
      <c r="E47" s="8">
        <f>E46*(1-B7)</f>
        <v>82.5</v>
      </c>
      <c r="G47" s="9"/>
    </row>
    <row r="48" spans="1:7">
      <c r="B48" s="23"/>
      <c r="C48" s="3"/>
      <c r="D48" s="10"/>
      <c r="E48" s="8"/>
    </row>
    <row r="49" spans="2:3">
      <c r="B49" t="s">
        <v>74</v>
      </c>
      <c r="C49" s="10">
        <f>D47</f>
        <v>1.0238907849829351</v>
      </c>
    </row>
  </sheetData>
  <pageMargins left="0.7" right="0.7" top="0.75" bottom="0.75" header="0.3" footer="0.3"/>
  <pageSetup scale="9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Exhibits</vt:lpstr>
      <vt:lpstr>Tail Factor</vt:lpstr>
      <vt:lpstr>Layer Dev</vt:lpstr>
      <vt:lpstr>Non-Formula Method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antisyst3m</dc:creator>
  <cp:lastModifiedBy>Rob Swiatek</cp:lastModifiedBy>
  <cp:lastPrinted>2009-08-24T13:49:24Z</cp:lastPrinted>
  <dcterms:created xsi:type="dcterms:W3CDTF">2009-08-24T12:03:54Z</dcterms:created>
  <dcterms:modified xsi:type="dcterms:W3CDTF">2011-01-10T22:02:34Z</dcterms:modified>
</cp:coreProperties>
</file>