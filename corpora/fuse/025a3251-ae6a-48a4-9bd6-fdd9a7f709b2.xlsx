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105" windowWidth="19320" windowHeight="6690" tabRatio="783"/>
  </bookViews>
  <sheets>
    <sheet name="Instructions and Summary" sheetId="1" r:id="rId1"/>
    <sheet name="a. Personnel" sheetId="2" r:id="rId2"/>
    <sheet name="b. Fringe" sheetId="3" r:id="rId3"/>
    <sheet name="c. Travel" sheetId="4" r:id="rId4"/>
    <sheet name="d. Equipment" sheetId="5" r:id="rId5"/>
    <sheet name="e. Supplies" sheetId="6" r:id="rId6"/>
    <sheet name="f. Contractual" sheetId="7" r:id="rId7"/>
    <sheet name="g. Construction" sheetId="8" r:id="rId8"/>
    <sheet name="h. Other" sheetId="9" r:id="rId9"/>
    <sheet name="i. Indirect" sheetId="10" r:id="rId10"/>
    <sheet name="Cost Share" sheetId="11" r:id="rId11"/>
    <sheet name="SF-424A" sheetId="12" state="hidden" r:id="rId12"/>
  </sheets>
  <definedNames>
    <definedName name="_xlnm.Print_Area" localSheetId="1">'a. Personnel'!$A$1:$N$70</definedName>
    <definedName name="_xlnm.Print_Area" localSheetId="2">'b. Fringe'!$A$1:$K$25</definedName>
    <definedName name="_xlnm.Print_Area" localSheetId="10">'Cost Share'!$A$1:$G$25</definedName>
    <definedName name="_xlnm.Print_Area" localSheetId="6">'f. Contractual'!$A$1:$F$41</definedName>
    <definedName name="_xlnm.Print_Area" localSheetId="7">'g. Construction'!$A$1:$D$36</definedName>
    <definedName name="_xlnm.Print_Area" localSheetId="8">'h. Other'!$A$1:$D$36</definedName>
    <definedName name="_xlnm.Print_Area" localSheetId="9">'i. Indirect'!$A$1:$G$35</definedName>
    <definedName name="_xlnm.Print_Titles" localSheetId="1">'a. Personnel'!$6:$7</definedName>
    <definedName name="_xlnm.Print_Titles" localSheetId="3">'c. Travel'!$5:$5</definedName>
    <definedName name="_xlnm.Print_Titles" localSheetId="10">'Cost Share'!$6:$6</definedName>
    <definedName name="_xlnm.Print_Titles" localSheetId="4">'d. Equipment'!$5:$5</definedName>
    <definedName name="_xlnm.Print_Titles" localSheetId="5">'e. Supplies'!$5:$5</definedName>
    <definedName name="_xlnm.Print_Titles" localSheetId="6">'f. Contractual'!$7:$7</definedName>
    <definedName name="_xlnm.Print_Titles" localSheetId="7">'g. Construction'!$8:$8</definedName>
    <definedName name="_xlnm.Print_Titles" localSheetId="8">'h. Other'!$5:$5</definedName>
    <definedName name="Text156" localSheetId="10">'Cost Share'!#REF!</definedName>
    <definedName name="Text157" localSheetId="10">'Cost Share'!#REF!</definedName>
    <definedName name="Text158" localSheetId="10">'Cost Share'!#REF!</definedName>
    <definedName name="Z_5BEC5FDE_32D0_42EF_8D2A_06DCBD4F05CC_.wvu.Cols" localSheetId="9" hidden="1">'i. Indirect'!$I:$J</definedName>
    <definedName name="Z_5BEC5FDE_32D0_42EF_8D2A_06DCBD4F05CC_.wvu.PrintArea" localSheetId="1" hidden="1">'a. Personnel'!$A$1:$N$70</definedName>
    <definedName name="Z_5BEC5FDE_32D0_42EF_8D2A_06DCBD4F05CC_.wvu.PrintArea" localSheetId="2" hidden="1">'b. Fringe'!$A$1:$K$25</definedName>
    <definedName name="Z_5BEC5FDE_32D0_42EF_8D2A_06DCBD4F05CC_.wvu.PrintArea" localSheetId="10" hidden="1">'Cost Share'!$A$1:$G$25</definedName>
    <definedName name="Z_5BEC5FDE_32D0_42EF_8D2A_06DCBD4F05CC_.wvu.PrintArea" localSheetId="6" hidden="1">'f. Contractual'!$A$1:$F$41</definedName>
    <definedName name="Z_5BEC5FDE_32D0_42EF_8D2A_06DCBD4F05CC_.wvu.PrintArea" localSheetId="7" hidden="1">'g. Construction'!$A$1:$D$36</definedName>
    <definedName name="Z_5BEC5FDE_32D0_42EF_8D2A_06DCBD4F05CC_.wvu.PrintArea" localSheetId="8" hidden="1">'h. Other'!$A$1:$D$36</definedName>
    <definedName name="Z_5BEC5FDE_32D0_42EF_8D2A_06DCBD4F05CC_.wvu.PrintArea" localSheetId="9" hidden="1">'i. Indirect'!$A$1:$G$35</definedName>
    <definedName name="Z_5BEC5FDE_32D0_42EF_8D2A_06DCBD4F05CC_.wvu.PrintTitles" localSheetId="1" hidden="1">'a. Personnel'!$6:$7</definedName>
    <definedName name="Z_5BEC5FDE_32D0_42EF_8D2A_06DCBD4F05CC_.wvu.PrintTitles" localSheetId="3" hidden="1">'c. Travel'!$5:$5</definedName>
    <definedName name="Z_5BEC5FDE_32D0_42EF_8D2A_06DCBD4F05CC_.wvu.PrintTitles" localSheetId="10" hidden="1">'Cost Share'!$6:$6</definedName>
    <definedName name="Z_5BEC5FDE_32D0_42EF_8D2A_06DCBD4F05CC_.wvu.PrintTitles" localSheetId="4" hidden="1">'d. Equipment'!$5:$5</definedName>
    <definedName name="Z_5BEC5FDE_32D0_42EF_8D2A_06DCBD4F05CC_.wvu.PrintTitles" localSheetId="5" hidden="1">'e. Supplies'!$5:$5</definedName>
    <definedName name="Z_5BEC5FDE_32D0_42EF_8D2A_06DCBD4F05CC_.wvu.PrintTitles" localSheetId="6" hidden="1">'f. Contractual'!$7:$7</definedName>
    <definedName name="Z_5BEC5FDE_32D0_42EF_8D2A_06DCBD4F05CC_.wvu.PrintTitles" localSheetId="7" hidden="1">'g. Construction'!$8:$8</definedName>
    <definedName name="Z_5BEC5FDE_32D0_42EF_8D2A_06DCBD4F05CC_.wvu.PrintTitles" localSheetId="8" hidden="1">'h. Other'!$5:$5</definedName>
    <definedName name="Z_6588CF8C_0BB8_4786_9A46_0A2D10254132_.wvu.Cols" localSheetId="9" hidden="1">'i. Indirect'!$I:$J</definedName>
    <definedName name="Z_6588CF8C_0BB8_4786_9A46_0A2D10254132_.wvu.PrintArea" localSheetId="1" hidden="1">'a. Personnel'!$A$1:$N$70</definedName>
    <definedName name="Z_6588CF8C_0BB8_4786_9A46_0A2D10254132_.wvu.PrintArea" localSheetId="2" hidden="1">'b. Fringe'!$A$1:$K$25</definedName>
    <definedName name="Z_6588CF8C_0BB8_4786_9A46_0A2D10254132_.wvu.PrintArea" localSheetId="10" hidden="1">'Cost Share'!$A$1:$G$25</definedName>
    <definedName name="Z_6588CF8C_0BB8_4786_9A46_0A2D10254132_.wvu.PrintArea" localSheetId="6" hidden="1">'f. Contractual'!$A$1:$F$41</definedName>
    <definedName name="Z_6588CF8C_0BB8_4786_9A46_0A2D10254132_.wvu.PrintArea" localSheetId="7" hidden="1">'g. Construction'!$A$1:$D$36</definedName>
    <definedName name="Z_6588CF8C_0BB8_4786_9A46_0A2D10254132_.wvu.PrintArea" localSheetId="8" hidden="1">'h. Other'!$A$1:$D$36</definedName>
    <definedName name="Z_6588CF8C_0BB8_4786_9A46_0A2D10254132_.wvu.PrintArea" localSheetId="9" hidden="1">'i. Indirect'!$A$1:$G$35</definedName>
    <definedName name="Z_6588CF8C_0BB8_4786_9A46_0A2D10254132_.wvu.PrintTitles" localSheetId="1" hidden="1">'a. Personnel'!$6:$7</definedName>
    <definedName name="Z_6588CF8C_0BB8_4786_9A46_0A2D10254132_.wvu.PrintTitles" localSheetId="3" hidden="1">'c. Travel'!$5:$5</definedName>
    <definedName name="Z_6588CF8C_0BB8_4786_9A46_0A2D10254132_.wvu.PrintTitles" localSheetId="10" hidden="1">'Cost Share'!$6:$6</definedName>
    <definedName name="Z_6588CF8C_0BB8_4786_9A46_0A2D10254132_.wvu.PrintTitles" localSheetId="4" hidden="1">'d. Equipment'!$5:$5</definedName>
    <definedName name="Z_6588CF8C_0BB8_4786_9A46_0A2D10254132_.wvu.PrintTitles" localSheetId="5" hidden="1">'e. Supplies'!$5:$5</definedName>
    <definedName name="Z_6588CF8C_0BB8_4786_9A46_0A2D10254132_.wvu.PrintTitles" localSheetId="6" hidden="1">'f. Contractual'!$7:$7</definedName>
    <definedName name="Z_6588CF8C_0BB8_4786_9A46_0A2D10254132_.wvu.PrintTitles" localSheetId="7" hidden="1">'g. Construction'!$8:$8</definedName>
    <definedName name="Z_6588CF8C_0BB8_4786_9A46_0A2D10254132_.wvu.PrintTitles" localSheetId="8" hidden="1">'h. Other'!$5:$5</definedName>
    <definedName name="Z_712CE29F_EFCA_4968_A7C5_599F87319D6A_.wvu.Cols" localSheetId="9" hidden="1">'i. Indirect'!$I:$J</definedName>
    <definedName name="Z_712CE29F_EFCA_4968_A7C5_599F87319D6A_.wvu.PrintArea" localSheetId="1" hidden="1">'a. Personnel'!$A$1:$N$70</definedName>
    <definedName name="Z_712CE29F_EFCA_4968_A7C5_599F87319D6A_.wvu.PrintArea" localSheetId="2" hidden="1">'b. Fringe'!$A$1:$K$25</definedName>
    <definedName name="Z_712CE29F_EFCA_4968_A7C5_599F87319D6A_.wvu.PrintArea" localSheetId="10" hidden="1">'Cost Share'!$A$1:$G$25</definedName>
    <definedName name="Z_712CE29F_EFCA_4968_A7C5_599F87319D6A_.wvu.PrintArea" localSheetId="6" hidden="1">'f. Contractual'!$A$1:$F$41</definedName>
    <definedName name="Z_712CE29F_EFCA_4968_A7C5_599F87319D6A_.wvu.PrintArea" localSheetId="7" hidden="1">'g. Construction'!$A$1:$D$36</definedName>
    <definedName name="Z_712CE29F_EFCA_4968_A7C5_599F87319D6A_.wvu.PrintArea" localSheetId="8" hidden="1">'h. Other'!$A$1:$D$36</definedName>
    <definedName name="Z_712CE29F_EFCA_4968_A7C5_599F87319D6A_.wvu.PrintArea" localSheetId="9" hidden="1">'i. Indirect'!$A$1:$G$35</definedName>
    <definedName name="Z_712CE29F_EFCA_4968_A7C5_599F87319D6A_.wvu.PrintTitles" localSheetId="1" hidden="1">'a. Personnel'!$6:$7</definedName>
    <definedName name="Z_712CE29F_EFCA_4968_A7C5_599F87319D6A_.wvu.PrintTitles" localSheetId="3" hidden="1">'c. Travel'!$5:$5</definedName>
    <definedName name="Z_712CE29F_EFCA_4968_A7C5_599F87319D6A_.wvu.PrintTitles" localSheetId="10" hidden="1">'Cost Share'!$6:$6</definedName>
    <definedName name="Z_712CE29F_EFCA_4968_A7C5_599F87319D6A_.wvu.PrintTitles" localSheetId="4" hidden="1">'d. Equipment'!$5:$5</definedName>
    <definedName name="Z_712CE29F_EFCA_4968_A7C5_599F87319D6A_.wvu.PrintTitles" localSheetId="5" hidden="1">'e. Supplies'!$5:$5</definedName>
    <definedName name="Z_712CE29F_EFCA_4968_A7C5_599F87319D6A_.wvu.PrintTitles" localSheetId="6" hidden="1">'f. Contractual'!$7:$7</definedName>
    <definedName name="Z_712CE29F_EFCA_4968_A7C5_599F87319D6A_.wvu.PrintTitles" localSheetId="7" hidden="1">'g. Construction'!$8:$8</definedName>
    <definedName name="Z_712CE29F_EFCA_4968_A7C5_599F87319D6A_.wvu.PrintTitles" localSheetId="8" hidden="1">'h. Other'!$5:$5</definedName>
    <definedName name="Z_D5CEF8EB_A9A7_4458_BF65_8F18E34CBA87_.wvu.Cols" localSheetId="9" hidden="1">'i. Indirect'!$I:$J</definedName>
    <definedName name="Z_D5CEF8EB_A9A7_4458_BF65_8F18E34CBA87_.wvu.PrintArea" localSheetId="1" hidden="1">'a. Personnel'!$A$1:$N$70</definedName>
    <definedName name="Z_D5CEF8EB_A9A7_4458_BF65_8F18E34CBA87_.wvu.PrintArea" localSheetId="2" hidden="1">'b. Fringe'!$A$1:$K$25</definedName>
    <definedName name="Z_D5CEF8EB_A9A7_4458_BF65_8F18E34CBA87_.wvu.PrintArea" localSheetId="10" hidden="1">'Cost Share'!$A$1:$G$25</definedName>
    <definedName name="Z_D5CEF8EB_A9A7_4458_BF65_8F18E34CBA87_.wvu.PrintArea" localSheetId="6" hidden="1">'f. Contractual'!$A$1:$F$41</definedName>
    <definedName name="Z_D5CEF8EB_A9A7_4458_BF65_8F18E34CBA87_.wvu.PrintArea" localSheetId="7" hidden="1">'g. Construction'!$A$1:$D$36</definedName>
    <definedName name="Z_D5CEF8EB_A9A7_4458_BF65_8F18E34CBA87_.wvu.PrintArea" localSheetId="8" hidden="1">'h. Other'!$A$1:$D$36</definedName>
    <definedName name="Z_D5CEF8EB_A9A7_4458_BF65_8F18E34CBA87_.wvu.PrintArea" localSheetId="9" hidden="1">'i. Indirect'!$A$1:$G$35</definedName>
    <definedName name="Z_D5CEF8EB_A9A7_4458_BF65_8F18E34CBA87_.wvu.PrintTitles" localSheetId="1" hidden="1">'a. Personnel'!$6:$7</definedName>
    <definedName name="Z_D5CEF8EB_A9A7_4458_BF65_8F18E34CBA87_.wvu.PrintTitles" localSheetId="3" hidden="1">'c. Travel'!$5:$5</definedName>
    <definedName name="Z_D5CEF8EB_A9A7_4458_BF65_8F18E34CBA87_.wvu.PrintTitles" localSheetId="10" hidden="1">'Cost Share'!$6:$6</definedName>
    <definedName name="Z_D5CEF8EB_A9A7_4458_BF65_8F18E34CBA87_.wvu.PrintTitles" localSheetId="4" hidden="1">'d. Equipment'!$5:$5</definedName>
    <definedName name="Z_D5CEF8EB_A9A7_4458_BF65_8F18E34CBA87_.wvu.PrintTitles" localSheetId="5" hidden="1">'e. Supplies'!$5:$5</definedName>
    <definedName name="Z_D5CEF8EB_A9A7_4458_BF65_8F18E34CBA87_.wvu.PrintTitles" localSheetId="6" hidden="1">'f. Contractual'!$7:$7</definedName>
    <definedName name="Z_D5CEF8EB_A9A7_4458_BF65_8F18E34CBA87_.wvu.PrintTitles" localSheetId="7" hidden="1">'g. Construction'!$8:$8</definedName>
    <definedName name="Z_D5CEF8EB_A9A7_4458_BF65_8F18E34CBA87_.wvu.PrintTitles" localSheetId="8" hidden="1">'h. Other'!$5:$5</definedName>
    <definedName name="Z_D7FF18E2_A72D_4088_BD59_9D74A43C39A8_.wvu.Cols" localSheetId="9" hidden="1">'i. Indirect'!$I:$J</definedName>
    <definedName name="Z_D7FF18E2_A72D_4088_BD59_9D74A43C39A8_.wvu.PrintArea" localSheetId="1" hidden="1">'a. Personnel'!$A$1:$N$70</definedName>
    <definedName name="Z_D7FF18E2_A72D_4088_BD59_9D74A43C39A8_.wvu.PrintArea" localSheetId="2" hidden="1">'b. Fringe'!$A$1:$K$25</definedName>
    <definedName name="Z_D7FF18E2_A72D_4088_BD59_9D74A43C39A8_.wvu.PrintArea" localSheetId="10" hidden="1">'Cost Share'!$A$1:$G$25</definedName>
    <definedName name="Z_D7FF18E2_A72D_4088_BD59_9D74A43C39A8_.wvu.PrintArea" localSheetId="6" hidden="1">'f. Contractual'!$A$1:$F$41</definedName>
    <definedName name="Z_D7FF18E2_A72D_4088_BD59_9D74A43C39A8_.wvu.PrintArea" localSheetId="7" hidden="1">'g. Construction'!$A$1:$D$36</definedName>
    <definedName name="Z_D7FF18E2_A72D_4088_BD59_9D74A43C39A8_.wvu.PrintArea" localSheetId="8" hidden="1">'h. Other'!$A$1:$D$36</definedName>
    <definedName name="Z_D7FF18E2_A72D_4088_BD59_9D74A43C39A8_.wvu.PrintArea" localSheetId="9" hidden="1">'i. Indirect'!$A$1:$G$35</definedName>
    <definedName name="Z_D7FF18E2_A72D_4088_BD59_9D74A43C39A8_.wvu.PrintTitles" localSheetId="1" hidden="1">'a. Personnel'!$6:$7</definedName>
    <definedName name="Z_D7FF18E2_A72D_4088_BD59_9D74A43C39A8_.wvu.PrintTitles" localSheetId="3" hidden="1">'c. Travel'!$5:$5</definedName>
    <definedName name="Z_D7FF18E2_A72D_4088_BD59_9D74A43C39A8_.wvu.PrintTitles" localSheetId="10" hidden="1">'Cost Share'!$6:$6</definedName>
    <definedName name="Z_D7FF18E2_A72D_4088_BD59_9D74A43C39A8_.wvu.PrintTitles" localSheetId="4" hidden="1">'d. Equipment'!$5:$5</definedName>
    <definedName name="Z_D7FF18E2_A72D_4088_BD59_9D74A43C39A8_.wvu.PrintTitles" localSheetId="5" hidden="1">'e. Supplies'!$5:$5</definedName>
    <definedName name="Z_D7FF18E2_A72D_4088_BD59_9D74A43C39A8_.wvu.PrintTitles" localSheetId="6" hidden="1">'f. Contractual'!$7:$7</definedName>
    <definedName name="Z_D7FF18E2_A72D_4088_BD59_9D74A43C39A8_.wvu.PrintTitles" localSheetId="7" hidden="1">'g. Construction'!$8:$8</definedName>
    <definedName name="Z_D7FF18E2_A72D_4088_BD59_9D74A43C39A8_.wvu.PrintTitles" localSheetId="8" hidden="1">'h. Other'!$5:$5</definedName>
  </definedNames>
  <calcPr calcId="125725" fullCalcOnLoad="1"/>
  <customWorkbookViews>
    <customWorkbookView name="nkiyota - Personal View" guid="{D5CEF8EB-A9A7-4458-BF65-8F18E34CBA87}" mergeInterval="0" personalView="1" maximized="1" xWindow="1" yWindow="1" windowWidth="1676" windowHeight="754" tabRatio="783" activeSheetId="10"/>
    <customWorkbookView name="nblackst - Personal View" guid="{6588CF8C-0BB8-4786-9A46-0A2D10254132}" mergeInterval="0" personalView="1" maximized="1" xWindow="1" yWindow="1" windowWidth="1276" windowHeight="697" tabRatio="783" activeSheetId="1" showComments="commIndAndComment"/>
    <customWorkbookView name="mwise - Personal View" guid="{712CE29F-EFCA-4968-A7C5-599F87319D6A}" mergeInterval="0" personalView="1" maximized="1" xWindow="1" yWindow="1" windowWidth="1020" windowHeight="506" tabRatio="783" activeSheetId="1"/>
    <customWorkbookView name="Todd Wilson - Personal View" guid="{5BEC5FDE-32D0-42EF-8D2A-06DCBD4F05CC}" mergeInterval="0" personalView="1" maximized="1" xWindow="1" yWindow="1" windowWidth="1680" windowHeight="787" tabRatio="783" activeSheetId="11" showComments="commIndAndComment"/>
    <customWorkbookView name="utrujill - Personal View" guid="{D7FF18E2-A72D-4088-BD59-9D74A43C39A8}" mergeInterval="0" personalView="1" maximized="1" xWindow="1" yWindow="1" windowWidth="1244" windowHeight="748" tabRatio="783" activeSheetId="3"/>
  </customWorkbookViews>
</workbook>
</file>

<file path=xl/calcChain.xml><?xml version="1.0" encoding="utf-8"?>
<calcChain xmlns="http://schemas.openxmlformats.org/spreadsheetml/2006/main">
  <c r="G8" i="12"/>
  <c r="G9"/>
  <c r="G10"/>
  <c r="H11"/>
  <c r="D12"/>
  <c r="E12"/>
  <c r="G12"/>
  <c r="G24"/>
  <c r="G26"/>
  <c r="H28"/>
  <c r="H36"/>
  <c r="H37"/>
  <c r="H38"/>
  <c r="H39"/>
  <c r="E40"/>
  <c r="F40"/>
  <c r="G40"/>
  <c r="H40"/>
  <c r="D43"/>
  <c r="D44"/>
  <c r="D45"/>
  <c r="E45"/>
  <c r="F45"/>
  <c r="G45"/>
  <c r="H45"/>
  <c r="E53"/>
  <c r="F53"/>
  <c r="G53"/>
  <c r="H53"/>
  <c r="E1" i="11"/>
  <c r="G7"/>
  <c r="G8"/>
  <c r="G9"/>
  <c r="G10"/>
  <c r="G11"/>
  <c r="G12"/>
  <c r="G13"/>
  <c r="G14"/>
  <c r="G15"/>
  <c r="G16"/>
  <c r="G17"/>
  <c r="D18"/>
  <c r="E18"/>
  <c r="F18"/>
  <c r="G18"/>
  <c r="F1" i="10"/>
  <c r="E12"/>
  <c r="C13"/>
  <c r="E13"/>
  <c r="D14"/>
  <c r="E14"/>
  <c r="C15"/>
  <c r="D15"/>
  <c r="E15"/>
  <c r="B16"/>
  <c r="C16"/>
  <c r="D16"/>
  <c r="E16"/>
  <c r="D1" i="9"/>
  <c r="B14"/>
  <c r="B22"/>
  <c r="B30"/>
  <c r="B31"/>
  <c r="D1" i="8"/>
  <c r="B16"/>
  <c r="B23"/>
  <c r="B30"/>
  <c r="B31"/>
  <c r="D1" i="7"/>
  <c r="F8"/>
  <c r="G8"/>
  <c r="F9"/>
  <c r="G9"/>
  <c r="F10"/>
  <c r="G10"/>
  <c r="F11"/>
  <c r="G11"/>
  <c r="F12"/>
  <c r="G12"/>
  <c r="F13"/>
  <c r="G13"/>
  <c r="F14"/>
  <c r="G14"/>
  <c r="F15"/>
  <c r="G15"/>
  <c r="F16"/>
  <c r="G16"/>
  <c r="C17"/>
  <c r="D17"/>
  <c r="E17"/>
  <c r="F17"/>
  <c r="F20"/>
  <c r="F21"/>
  <c r="F22"/>
  <c r="F23"/>
  <c r="F24"/>
  <c r="F25"/>
  <c r="F26"/>
  <c r="F27"/>
  <c r="C28"/>
  <c r="D28"/>
  <c r="E28"/>
  <c r="F28"/>
  <c r="F31"/>
  <c r="F32"/>
  <c r="F33"/>
  <c r="C34"/>
  <c r="D34"/>
  <c r="E34"/>
  <c r="F34"/>
  <c r="C36"/>
  <c r="D36"/>
  <c r="E36"/>
  <c r="F36"/>
  <c r="F1" i="6"/>
  <c r="D8"/>
  <c r="D9"/>
  <c r="D10"/>
  <c r="D11"/>
  <c r="D12"/>
  <c r="D13"/>
  <c r="D14"/>
  <c r="D15"/>
  <c r="D16"/>
  <c r="D17"/>
  <c r="D18"/>
  <c r="D20"/>
  <c r="D21"/>
  <c r="D22"/>
  <c r="D23"/>
  <c r="D24"/>
  <c r="D25"/>
  <c r="D26"/>
  <c r="D27"/>
  <c r="D28"/>
  <c r="D29"/>
  <c r="D30"/>
  <c r="D31"/>
  <c r="D33"/>
  <c r="D34"/>
  <c r="D35"/>
  <c r="D36"/>
  <c r="D37"/>
  <c r="D38"/>
  <c r="D39"/>
  <c r="D40"/>
  <c r="D41"/>
  <c r="D42"/>
  <c r="D43"/>
  <c r="D44"/>
  <c r="D45"/>
  <c r="F1" i="5"/>
  <c r="D7"/>
  <c r="D8"/>
  <c r="D9"/>
  <c r="D10"/>
  <c r="D11"/>
  <c r="D12"/>
  <c r="D13"/>
  <c r="D14"/>
  <c r="D15"/>
  <c r="D16"/>
  <c r="D17"/>
  <c r="D19"/>
  <c r="D20"/>
  <c r="D21"/>
  <c r="D22"/>
  <c r="D23"/>
  <c r="D24"/>
  <c r="D25"/>
  <c r="D26"/>
  <c r="D27"/>
  <c r="D28"/>
  <c r="D30"/>
  <c r="D31"/>
  <c r="D32"/>
  <c r="D33"/>
  <c r="D34"/>
  <c r="D35"/>
  <c r="D36"/>
  <c r="D37"/>
  <c r="D38"/>
  <c r="D39"/>
  <c r="D40"/>
  <c r="D41"/>
  <c r="D42"/>
  <c r="H1" i="4"/>
  <c r="G8"/>
  <c r="G9"/>
  <c r="G10"/>
  <c r="G11"/>
  <c r="G12"/>
  <c r="G13"/>
  <c r="G14"/>
  <c r="G15"/>
  <c r="G16"/>
  <c r="G17"/>
  <c r="G19"/>
  <c r="G20"/>
  <c r="G21"/>
  <c r="G22"/>
  <c r="G23"/>
  <c r="G24"/>
  <c r="G27"/>
  <c r="G28"/>
  <c r="G29"/>
  <c r="G30"/>
  <c r="G31"/>
  <c r="G32"/>
  <c r="G33"/>
  <c r="G34"/>
  <c r="G36"/>
  <c r="G37"/>
  <c r="G38"/>
  <c r="G39"/>
  <c r="G40"/>
  <c r="G41"/>
  <c r="G44"/>
  <c r="G45"/>
  <c r="G46"/>
  <c r="G47"/>
  <c r="G48"/>
  <c r="G49"/>
  <c r="G50"/>
  <c r="G51"/>
  <c r="G53"/>
  <c r="G54"/>
  <c r="G55"/>
  <c r="G56"/>
  <c r="G57"/>
  <c r="G58"/>
  <c r="G59"/>
  <c r="K1" i="3"/>
  <c r="N1"/>
  <c r="D6"/>
  <c r="G6"/>
  <c r="J6"/>
  <c r="K6"/>
  <c r="D7"/>
  <c r="G7"/>
  <c r="J7"/>
  <c r="K7"/>
  <c r="D8"/>
  <c r="G8"/>
  <c r="J8"/>
  <c r="K8"/>
  <c r="D9"/>
  <c r="G9"/>
  <c r="J9"/>
  <c r="K9"/>
  <c r="B10"/>
  <c r="D10"/>
  <c r="E10"/>
  <c r="G10"/>
  <c r="H10"/>
  <c r="J10"/>
  <c r="K10"/>
  <c r="L1" i="2"/>
  <c r="C8"/>
  <c r="E8"/>
  <c r="F8"/>
  <c r="H8"/>
  <c r="I8"/>
  <c r="K8"/>
  <c r="L8"/>
  <c r="M8"/>
  <c r="E9"/>
  <c r="H9"/>
  <c r="K9"/>
  <c r="L9"/>
  <c r="M9"/>
  <c r="E10"/>
  <c r="H10"/>
  <c r="K10"/>
  <c r="L10"/>
  <c r="M10"/>
  <c r="E11"/>
  <c r="H11"/>
  <c r="K11"/>
  <c r="L11"/>
  <c r="M11"/>
  <c r="E12"/>
  <c r="H12"/>
  <c r="K12"/>
  <c r="L12"/>
  <c r="M12"/>
  <c r="E13"/>
  <c r="H13"/>
  <c r="K13"/>
  <c r="L13"/>
  <c r="M13"/>
  <c r="E14"/>
  <c r="H14"/>
  <c r="K14"/>
  <c r="L14"/>
  <c r="M14"/>
  <c r="E15"/>
  <c r="H15"/>
  <c r="K15"/>
  <c r="L15"/>
  <c r="M15"/>
  <c r="E16"/>
  <c r="H16"/>
  <c r="K16"/>
  <c r="L16"/>
  <c r="M16"/>
  <c r="E18"/>
  <c r="H18"/>
  <c r="K18"/>
  <c r="L18"/>
  <c r="M18"/>
  <c r="E19"/>
  <c r="H19"/>
  <c r="K19"/>
  <c r="L19"/>
  <c r="M19"/>
  <c r="E21"/>
  <c r="H21"/>
  <c r="K21"/>
  <c r="L21"/>
  <c r="M21"/>
  <c r="C65"/>
  <c r="E65"/>
  <c r="F65"/>
  <c r="H65"/>
  <c r="I65"/>
  <c r="K65"/>
  <c r="L65"/>
  <c r="M65"/>
  <c r="B12" i="1"/>
  <c r="E12" s="1"/>
  <c r="C12"/>
  <c r="E16" i="12" s="1"/>
  <c r="D12" i="1"/>
  <c r="B13"/>
  <c r="D17" i="12"/>
  <c r="C13" i="1"/>
  <c r="E17" i="12" s="1"/>
  <c r="H17" s="1"/>
  <c r="D13" i="1"/>
  <c r="F17" i="12"/>
  <c r="E13" i="1"/>
  <c r="B14"/>
  <c r="D18" i="12"/>
  <c r="C14" i="1"/>
  <c r="E18" i="12" s="1"/>
  <c r="H18" s="1"/>
  <c r="D14" i="1"/>
  <c r="F18" i="12"/>
  <c r="E14" i="1"/>
  <c r="B15"/>
  <c r="D19" i="12" s="1"/>
  <c r="H19" s="1"/>
  <c r="C15" i="1"/>
  <c r="E19" i="12"/>
  <c r="D15" i="1"/>
  <c r="F19" i="12" s="1"/>
  <c r="B16" i="1"/>
  <c r="E16" s="1"/>
  <c r="C16"/>
  <c r="E20" i="12"/>
  <c r="D16" i="1"/>
  <c r="F20" i="12" s="1"/>
  <c r="B18" i="1"/>
  <c r="E18" s="1"/>
  <c r="C18"/>
  <c r="C21" s="1"/>
  <c r="D18"/>
  <c r="D21" s="1"/>
  <c r="F21" i="12" s="1"/>
  <c r="B19" i="1"/>
  <c r="E19" s="1"/>
  <c r="C19"/>
  <c r="D19"/>
  <c r="B20"/>
  <c r="E20" s="1"/>
  <c r="C20"/>
  <c r="D20"/>
  <c r="B21"/>
  <c r="D21" i="12"/>
  <c r="B22" i="1"/>
  <c r="D22" i="12"/>
  <c r="C22" i="1"/>
  <c r="E22" s="1"/>
  <c r="D22"/>
  <c r="F22" i="12"/>
  <c r="B23" i="1"/>
  <c r="D23" i="12" s="1"/>
  <c r="H23" s="1"/>
  <c r="C23" i="1"/>
  <c r="E23" i="12"/>
  <c r="D23" i="1"/>
  <c r="F23" i="12" s="1"/>
  <c r="B25" i="1"/>
  <c r="E25" s="1"/>
  <c r="C25"/>
  <c r="E25" i="12"/>
  <c r="D25" i="1"/>
  <c r="F25" i="12" s="1"/>
  <c r="E21" l="1"/>
  <c r="H21" s="1"/>
  <c r="E21" i="1"/>
  <c r="E24" i="12"/>
  <c r="E26" s="1"/>
  <c r="F9" s="1"/>
  <c r="H9" s="1"/>
  <c r="D24" i="1"/>
  <c r="D26" s="1"/>
  <c r="E23"/>
  <c r="E15"/>
  <c r="D25" i="12"/>
  <c r="H25" s="1"/>
  <c r="C24" i="1"/>
  <c r="C26" s="1"/>
  <c r="E22" i="12"/>
  <c r="H22" s="1"/>
  <c r="D20"/>
  <c r="H20" s="1"/>
  <c r="F16"/>
  <c r="F24" s="1"/>
  <c r="F26" s="1"/>
  <c r="F10" s="1"/>
  <c r="H10" s="1"/>
  <c r="D16"/>
  <c r="B24" i="1"/>
  <c r="B26" s="1"/>
  <c r="D24" i="12" l="1"/>
  <c r="H16"/>
  <c r="F15" i="1"/>
  <c r="E24"/>
  <c r="E26" s="1"/>
  <c r="F13" l="1"/>
  <c r="C20" i="11"/>
  <c r="G20" s="1"/>
  <c r="F16" i="1"/>
  <c r="F18"/>
  <c r="F20"/>
  <c r="F25"/>
  <c r="F12"/>
  <c r="F24" s="1"/>
  <c r="F26" s="1"/>
  <c r="F14"/>
  <c r="F22"/>
  <c r="F19"/>
  <c r="H24" i="12"/>
  <c r="H26" s="1"/>
  <c r="D26"/>
  <c r="F8" s="1"/>
  <c r="F23" i="1"/>
  <c r="F21"/>
  <c r="H8" i="12" l="1"/>
  <c r="H12" s="1"/>
  <c r="F12"/>
</calcChain>
</file>

<file path=xl/sharedStrings.xml><?xml version="1.0" encoding="utf-8"?>
<sst xmlns="http://schemas.openxmlformats.org/spreadsheetml/2006/main" count="383" uniqueCount="261">
  <si>
    <t>Partner to develop optimal fresnel lens for Gen 2 product - Task 2.4</t>
  </si>
  <si>
    <r>
      <t>PLEASE READ!!!</t>
    </r>
    <r>
      <rPr>
        <b/>
        <sz val="11"/>
        <rFont val="Arial"/>
        <family val="2"/>
      </rPr>
      <t xml:space="preserve">
Construction, for the purpose of budgeting, is defined as all types of work done on a particular building, including erecting, altering, or remodeling.  Construction conducted by the award recipient is entered on this page.  Any construction work that is performed by a vendor or subrecipient to the award recipient should be entered under f. Contractual.
List all proposed construction below, providing a basis of cost such as engineering estimates, prior construction, etc., and briefly justify its need as it applies to the Statement of Project Objectives.
</t>
    </r>
    <r>
      <rPr>
        <b/>
        <sz val="11"/>
        <color indexed="10"/>
        <rFont val="Arial"/>
        <family val="2"/>
      </rPr>
      <t>Add rows as needed.  If rows are added, formulas/calculations may need to be adjusted by the preparer.</t>
    </r>
  </si>
  <si>
    <t xml:space="preserve">Example Only!!! - Build wind turbine platform </t>
  </si>
  <si>
    <t>Engineering estimate</t>
  </si>
  <si>
    <t>Site must be prepared for construction of platform.</t>
  </si>
  <si>
    <r>
      <t>Funds from other Federal sources MAY NOT be counted as cost share.</t>
    </r>
    <r>
      <rPr>
        <b/>
        <sz val="11"/>
        <rFont val="Arial"/>
        <family val="2"/>
      </rPr>
      <t xml:space="preserve"> This prohibition includes FFRDC sub-recipients.  Non-Federal sources include private, state or local Government, or any source not originally derived from Federal funds.  Documentation of cost sharing commitments must be provided, if not already provided with the original application and they have not changed since its submission.
Fee or profit will not be paid to the award recipients or subrecipients of financial assistance awards.  Additionally, foregone fee or profit by the applicant shall not be considered cost sharing under any resulting award.  Reimbursement of actual costs will only include those costs that are allowable and allocable to the project as determined in accordance with the applicable cost principles prescribed in 10 CFR 600.127, 10 CFR 600.222 or 10 CFR 600.317.  Also see 10 CFR 600.318 relative to profit or fee.
</t>
    </r>
    <r>
      <rPr>
        <b/>
        <sz val="11"/>
        <color indexed="10"/>
        <rFont val="Arial"/>
        <family val="2"/>
      </rPr>
      <t>Add rows as needed.  If rows are added, formulas/calculations may need to be adjusted by the preparer.</t>
    </r>
  </si>
  <si>
    <r>
      <t xml:space="preserve">SUMMARY OF BUDGET CATEGORY COSTS PROPOSED
</t>
    </r>
    <r>
      <rPr>
        <b/>
        <sz val="11"/>
        <color indexed="10"/>
        <rFont val="Arial"/>
        <family val="2"/>
      </rPr>
      <t>(Note: The values in this summary table are from entries made in each budget category sheet.)</t>
    </r>
  </si>
  <si>
    <t>Product or Service, Purpose/Need and Basis of Cost
(Provide additional support at bottom of page as needed)</t>
  </si>
  <si>
    <t>Vendor for developing custom robotics to perform lens inspection,  alignment, and placement (Task 4 ).  Required for expanding CPV module mfg. capacity.  Cost is from competitive quotes.</t>
  </si>
  <si>
    <t>Electrical engineers</t>
  </si>
  <si>
    <t>Applicant Name:</t>
  </si>
  <si>
    <t>Budget Information - Non Construction Programs</t>
  </si>
  <si>
    <t>OMB Approval No. 0348-0044</t>
  </si>
  <si>
    <t>Section A - Budget Summary</t>
  </si>
  <si>
    <t>Grant Program Function or Activity</t>
  </si>
  <si>
    <t>Catalog of Federal Domestic Assistance Number</t>
  </si>
  <si>
    <t>Estimated Unobligated Funds</t>
  </si>
  <si>
    <t>New or Revised Budget</t>
  </si>
  <si>
    <t xml:space="preserve">Federal </t>
  </si>
  <si>
    <t xml:space="preserve">Non-Federal </t>
  </si>
  <si>
    <t>Federal</t>
  </si>
  <si>
    <t>Non-Federal</t>
  </si>
  <si>
    <t>(a)</t>
  </si>
  <si>
    <t>(b)</t>
  </si>
  <si>
    <t>(c )</t>
  </si>
  <si>
    <t>(d)</t>
  </si>
  <si>
    <t>(e)</t>
  </si>
  <si>
    <t>(f)</t>
  </si>
  <si>
    <t>(g)</t>
  </si>
  <si>
    <t>1.</t>
  </si>
  <si>
    <t>2.</t>
  </si>
  <si>
    <t>3.</t>
  </si>
  <si>
    <t>4.</t>
  </si>
  <si>
    <t>5.</t>
  </si>
  <si>
    <t>Section B - Budget Categories</t>
  </si>
  <si>
    <t>6.</t>
  </si>
  <si>
    <t>Object Class Categories</t>
  </si>
  <si>
    <t>Grant Program, Function or Activity</t>
  </si>
  <si>
    <t>Total (5)</t>
  </si>
  <si>
    <t>(4)</t>
  </si>
  <si>
    <t>a.  Personnel</t>
  </si>
  <si>
    <t>b.  Fringe Benefits</t>
  </si>
  <si>
    <t>c.  Travel</t>
  </si>
  <si>
    <t>d.  Equipment</t>
  </si>
  <si>
    <t>e.  Supplies</t>
  </si>
  <si>
    <t>f.  Contractual</t>
  </si>
  <si>
    <t>g.  Construction</t>
  </si>
  <si>
    <t>h.  Other</t>
  </si>
  <si>
    <t>i.  Total Direct Charges (sum of 6a-6h)</t>
  </si>
  <si>
    <t>j.  Indirect Charges</t>
  </si>
  <si>
    <r>
      <t xml:space="preserve">k.  </t>
    </r>
    <r>
      <rPr>
        <b/>
        <sz val="9"/>
        <rFont val="Arial Narrow"/>
        <family val="2"/>
      </rPr>
      <t>Totals</t>
    </r>
    <r>
      <rPr>
        <sz val="9"/>
        <rFont val="Arial Narrow"/>
        <family val="2"/>
      </rPr>
      <t xml:space="preserve"> (sum of 6i-6j)</t>
    </r>
  </si>
  <si>
    <t>7.</t>
  </si>
  <si>
    <t>Program Income</t>
  </si>
  <si>
    <r>
      <t>SF-424A</t>
    </r>
    <r>
      <rPr>
        <sz val="9"/>
        <rFont val="Arial Narrow"/>
        <family val="2"/>
      </rPr>
      <t xml:space="preserve"> (Rev. 4-92) </t>
    </r>
  </si>
  <si>
    <t>Previous Edition Usable</t>
  </si>
  <si>
    <t>Prescribed by OMB Circular A-102</t>
  </si>
  <si>
    <t>Authorized for Local Reproduction</t>
  </si>
  <si>
    <t>Section C - Non-Federal Resources</t>
  </si>
  <si>
    <t>(a) Grant Program</t>
  </si>
  <si>
    <t>(b) Applicant</t>
  </si>
  <si>
    <t>(c ) State</t>
  </si>
  <si>
    <t>(d) Other Sources</t>
  </si>
  <si>
    <r>
      <t xml:space="preserve">(e) </t>
    </r>
    <r>
      <rPr>
        <b/>
        <sz val="9"/>
        <rFont val="Arial Narrow"/>
        <family val="2"/>
      </rPr>
      <t>Totals</t>
    </r>
  </si>
  <si>
    <t>8.</t>
  </si>
  <si>
    <t>9.</t>
  </si>
  <si>
    <t>10.</t>
  </si>
  <si>
    <t>11.</t>
  </si>
  <si>
    <t>12.</t>
  </si>
  <si>
    <r>
      <t>Total</t>
    </r>
    <r>
      <rPr>
        <sz val="9"/>
        <rFont val="Arial Narrow"/>
        <family val="2"/>
      </rPr>
      <t xml:space="preserve"> (sum of lines 8 - 11)</t>
    </r>
  </si>
  <si>
    <t>Section D - Forecasted Cash Needs</t>
  </si>
  <si>
    <t>Total for 1st Year</t>
  </si>
  <si>
    <t>1st Quarter</t>
  </si>
  <si>
    <t>2nd Quarter</t>
  </si>
  <si>
    <t>3rd Quarter</t>
  </si>
  <si>
    <t>4th quarter</t>
  </si>
  <si>
    <t>13.</t>
  </si>
  <si>
    <t>14.</t>
  </si>
  <si>
    <t>15.</t>
  </si>
  <si>
    <r>
      <t>Total</t>
    </r>
    <r>
      <rPr>
        <sz val="9"/>
        <rFont val="Arial Narrow"/>
        <family val="2"/>
      </rPr>
      <t xml:space="preserve"> (sum of lines 13 and 14)</t>
    </r>
  </si>
  <si>
    <t>Section E - Budget Estimates of Federal Funds Needed for Balance of the Project</t>
  </si>
  <si>
    <t>Future Funding Periods (Years)</t>
  </si>
  <si>
    <t>16.</t>
  </si>
  <si>
    <t>17.</t>
  </si>
  <si>
    <t>18.</t>
  </si>
  <si>
    <t>19.</t>
  </si>
  <si>
    <t>20.</t>
  </si>
  <si>
    <r>
      <t>Total</t>
    </r>
    <r>
      <rPr>
        <sz val="9"/>
        <rFont val="Arial Narrow"/>
        <family val="2"/>
      </rPr>
      <t xml:space="preserve"> (sum of lines 16-19)</t>
    </r>
  </si>
  <si>
    <t>Section F - Other Budget Information</t>
  </si>
  <si>
    <t>21. Direct Charges</t>
  </si>
  <si>
    <t>22. Indirect Charges</t>
  </si>
  <si>
    <t>23.  Remarks</t>
  </si>
  <si>
    <t xml:space="preserve">              </t>
  </si>
  <si>
    <t>Budget period 1</t>
  </si>
  <si>
    <t>Budget period 2</t>
  </si>
  <si>
    <t>Budget period 3</t>
  </si>
  <si>
    <t>Vendor 
Name/Organization</t>
  </si>
  <si>
    <t>AdditionalExplanations/Comments (as necessary)</t>
  </si>
  <si>
    <t xml:space="preserve">Cost Share Item </t>
  </si>
  <si>
    <t>a. Personnel</t>
  </si>
  <si>
    <t>b. Fringe Benefits</t>
  </si>
  <si>
    <t>c. Travel</t>
  </si>
  <si>
    <t>d. Equipment</t>
  </si>
  <si>
    <t>e. Supplies</t>
  </si>
  <si>
    <t>g. Construction</t>
  </si>
  <si>
    <t>h. Other Direct Costs</t>
  </si>
  <si>
    <t>i. Indirect Charges</t>
  </si>
  <si>
    <t>Budget Period 1</t>
  </si>
  <si>
    <t>Budget Period 3</t>
  </si>
  <si>
    <t>Budget Period 1 Costs</t>
  </si>
  <si>
    <t>Budget Period 2 Costs</t>
  </si>
  <si>
    <t>Budget Period 3 Costs</t>
  </si>
  <si>
    <t xml:space="preserve"> Total Costs</t>
  </si>
  <si>
    <t>Project Costs %</t>
  </si>
  <si>
    <t>Budget Period 2</t>
  </si>
  <si>
    <t>Budget Period 1 Total</t>
  </si>
  <si>
    <t>Budget Period 2 Total</t>
  </si>
  <si>
    <t>Budget Period 3 Total</t>
  </si>
  <si>
    <t>Equipment Item</t>
  </si>
  <si>
    <t>Qty</t>
  </si>
  <si>
    <t xml:space="preserve">Unit Cost         </t>
  </si>
  <si>
    <t xml:space="preserve">Total Cost             </t>
  </si>
  <si>
    <t>Basis of Cost</t>
  </si>
  <si>
    <t>Justification of need</t>
  </si>
  <si>
    <t>General Category of Supplies</t>
  </si>
  <si>
    <t>Purpose</t>
  </si>
  <si>
    <t>Budget Period 2
Costs</t>
  </si>
  <si>
    <t>Budget Period 3
Costs</t>
  </si>
  <si>
    <t>Budget Period 1
Costs</t>
  </si>
  <si>
    <t>Sub-Recipient
Name/Organization</t>
  </si>
  <si>
    <t>CATEGORY</t>
  </si>
  <si>
    <t>Total Project Costs</t>
  </si>
  <si>
    <t>Rate Basis</t>
  </si>
  <si>
    <t>Pay Rate
($/Hr)</t>
  </si>
  <si>
    <t>Time 
(Hours)</t>
  </si>
  <si>
    <t>Actual Salary</t>
  </si>
  <si>
    <t>Total Personnel Costs</t>
  </si>
  <si>
    <t>Purpose of travel</t>
  </si>
  <si>
    <t>No. of Travelers</t>
  </si>
  <si>
    <t>No. of Days</t>
  </si>
  <si>
    <t>Cost per Traveler</t>
  </si>
  <si>
    <t>Cost per Trip</t>
  </si>
  <si>
    <t>Basis for Estimating Costs</t>
  </si>
  <si>
    <t>Domestic Travel</t>
  </si>
  <si>
    <t>International Travel</t>
  </si>
  <si>
    <t>Domestic Travel subtotal</t>
  </si>
  <si>
    <t>Project Total</t>
  </si>
  <si>
    <t>International Travel subtotal</t>
  </si>
  <si>
    <t>Date of Submission:</t>
  </si>
  <si>
    <t>General description</t>
  </si>
  <si>
    <t xml:space="preserve"> Cost             </t>
  </si>
  <si>
    <t xml:space="preserve">Organization/Source                 </t>
  </si>
  <si>
    <t>Budget Period 1
Cost Share</t>
  </si>
  <si>
    <t>Budget Period 2
Cost Share</t>
  </si>
  <si>
    <t>Budget Period 3
Cost Share</t>
  </si>
  <si>
    <t>Total Project Cost Share</t>
  </si>
  <si>
    <t xml:space="preserve"> </t>
  </si>
  <si>
    <t>FFRDC
Name/Organization</t>
  </si>
  <si>
    <t>Total Contractual</t>
  </si>
  <si>
    <t>f. Contractual</t>
  </si>
  <si>
    <t>Cost Share</t>
  </si>
  <si>
    <t xml:space="preserve">Type 
(cash or other) </t>
  </si>
  <si>
    <t>Project Total Dollars</t>
  </si>
  <si>
    <t>Project Total Hours</t>
  </si>
  <si>
    <t>Task # and Title</t>
  </si>
  <si>
    <t>Position Title</t>
  </si>
  <si>
    <t>2.   (Task 2 Title)</t>
  </si>
  <si>
    <t>3.   (Task 3 Title)</t>
  </si>
  <si>
    <t>etc.</t>
  </si>
  <si>
    <t>Total Budget Period 1</t>
  </si>
  <si>
    <t>Total Budget Period 2</t>
  </si>
  <si>
    <t>Total Budget Period 3</t>
  </si>
  <si>
    <t>Purpose/Tasks in SOPO</t>
  </si>
  <si>
    <t>Instructions and Summary</t>
  </si>
  <si>
    <t>1.   (Task 1 Title)</t>
  </si>
  <si>
    <t>EXAMPLE</t>
  </si>
  <si>
    <t>ONLY!!!</t>
  </si>
  <si>
    <t>1.  Generation 2A Receiver Design</t>
  </si>
  <si>
    <t xml:space="preserve">Sr. Engineer    </t>
  </si>
  <si>
    <t xml:space="preserve">Technician         </t>
  </si>
  <si>
    <t>Total</t>
  </si>
  <si>
    <t>PROJECT TOTAL</t>
  </si>
  <si>
    <t>Award Recipient:</t>
  </si>
  <si>
    <t xml:space="preserve">Form submitted by: </t>
  </si>
  <si>
    <r>
      <t xml:space="preserve">Comments
</t>
    </r>
    <r>
      <rPr>
        <sz val="10"/>
        <color indexed="10"/>
        <rFont val="Arial"/>
        <family val="2"/>
      </rPr>
      <t>(Add comments as needed)</t>
    </r>
  </si>
  <si>
    <t>General Description</t>
  </si>
  <si>
    <t xml:space="preserve">Cost             </t>
  </si>
  <si>
    <t>Overall description of construction actiivities:</t>
  </si>
  <si>
    <t>Award Number:</t>
  </si>
  <si>
    <t>Catalog price</t>
  </si>
  <si>
    <t>For Alpha prototype - Task 2.4</t>
  </si>
  <si>
    <t>Internet prices</t>
  </si>
  <si>
    <t>Vendor Quote</t>
  </si>
  <si>
    <t>Reliability testing of PV modules- Task 4.3</t>
  </si>
  <si>
    <t>Sub-total</t>
  </si>
  <si>
    <t>Established UCD costs</t>
  </si>
  <si>
    <t xml:space="preserve">Support of graduate students working on project </t>
  </si>
  <si>
    <t>Totals</t>
  </si>
  <si>
    <t>Cash</t>
  </si>
  <si>
    <t>(May be award recipient or sub-recipient)</t>
  </si>
  <si>
    <t>Additional Explanations/Comments (as necessary)</t>
  </si>
  <si>
    <t>Cost Share Percent of Award:</t>
  </si>
  <si>
    <t xml:space="preserve">Total Project Cost:  </t>
  </si>
  <si>
    <t>Project partner ABC Company will provide 40 PV modules for product development at 50% off the of the retail price of $680</t>
  </si>
  <si>
    <t>Sub-recipient</t>
  </si>
  <si>
    <t>Vendor</t>
  </si>
  <si>
    <t xml:space="preserve">Total Contractual </t>
  </si>
  <si>
    <t>FFRDC</t>
  </si>
  <si>
    <t>Labor Type</t>
  </si>
  <si>
    <t>Rate</t>
  </si>
  <si>
    <t>Total:</t>
  </si>
  <si>
    <t>Personnel Costs</t>
  </si>
  <si>
    <t>Total Project Fringe Benefit Costs</t>
  </si>
  <si>
    <t xml:space="preserve">Please use this box (or an attachment) to further explain how your total fringe benefits costs were calculated.  Your calculations should identify all rates used, along with the base they were applied to (and how the base was derived), and a total for each (along with grand total).  </t>
  </si>
  <si>
    <r>
      <t>EXAMPLE ONLY!!!</t>
    </r>
    <r>
      <rPr>
        <sz val="10"/>
        <color indexed="10"/>
        <rFont val="Arial"/>
        <family val="2"/>
      </rPr>
      <t xml:space="preserve">   Visit to PV cell mfr. to set up vendor agreement</t>
    </r>
  </si>
  <si>
    <r>
      <t xml:space="preserve">EXAMPLE ONLY!!!   </t>
    </r>
    <r>
      <rPr>
        <sz val="10"/>
        <color indexed="10"/>
        <rFont val="Arial"/>
        <family val="2"/>
      </rPr>
      <t>Thermal shock chamber</t>
    </r>
  </si>
  <si>
    <r>
      <t xml:space="preserve">EXAMPLE ONLY!!! </t>
    </r>
    <r>
      <rPr>
        <sz val="10"/>
        <color indexed="10"/>
        <rFont val="Arial"/>
        <family val="2"/>
      </rPr>
      <t xml:space="preserve"> Wireless DAS components</t>
    </r>
  </si>
  <si>
    <r>
      <t>EXAMPLE ONLY!!!</t>
    </r>
    <r>
      <rPr>
        <sz val="10"/>
        <color indexed="10"/>
        <rFont val="Arial"/>
        <family val="2"/>
      </rPr>
      <t xml:space="preserve">  XYZ Corp.</t>
    </r>
  </si>
  <si>
    <t>Three days of excavation for platform site
EXAMPLE ONLY!!!</t>
  </si>
  <si>
    <r>
      <t xml:space="preserve">EXAMPLE ONLY!!! </t>
    </r>
    <r>
      <rPr>
        <sz val="10"/>
        <color indexed="10"/>
        <rFont val="Arial"/>
        <family val="2"/>
      </rPr>
      <t xml:space="preserve"> Grad student tuition</t>
    </r>
  </si>
  <si>
    <r>
      <t xml:space="preserve">ABC Company
</t>
    </r>
    <r>
      <rPr>
        <b/>
        <sz val="10"/>
        <color indexed="10"/>
        <rFont val="Arial"/>
        <family val="2"/>
      </rPr>
      <t>EXAMPLE ONLY!!!</t>
    </r>
  </si>
  <si>
    <r>
      <t xml:space="preserve">EXAMPLE ONLY:
</t>
    </r>
    <r>
      <rPr>
        <sz val="11"/>
        <color indexed="10"/>
        <rFont val="Arial"/>
        <family val="2"/>
      </rPr>
      <t>Sr. Engineer</t>
    </r>
  </si>
  <si>
    <r>
      <t>EXAMPLE ONLY!!!</t>
    </r>
    <r>
      <rPr>
        <sz val="10"/>
        <color indexed="10"/>
        <rFont val="Arial"/>
        <family val="2"/>
      </rPr>
      <t xml:space="preserve">  ABC Corp.</t>
    </r>
  </si>
  <si>
    <t xml:space="preserve">*IMPORTANT:  Please use this box (or an attachment) to further explain how your total indirect costs were calculated.  If the total indirect costs are a cumulative amount of more than one calculation or rate application, the explanation and calculations should identify all rates used, along with the base they were applied to (and how the base was derived), and a total for each (along with grand total).  </t>
  </si>
  <si>
    <t>Total Direct Costs</t>
  </si>
  <si>
    <r>
      <t>PLEASE READ!!!</t>
    </r>
    <r>
      <rPr>
        <b/>
        <sz val="11"/>
        <color indexed="10"/>
        <rFont val="Arial"/>
        <family val="2"/>
      </rPr>
      <t xml:space="preserve">
</t>
    </r>
    <r>
      <rPr>
        <b/>
        <sz val="11"/>
        <rFont val="Arial"/>
        <family val="2"/>
      </rPr>
      <t xml:space="preserve">
Provide travel detail as requested below, identifying total Foreign and Domestic Travel as separate items.  Purpose of travel are items such as professional conference, DOE sponsored meeting, project management meeting, etc.  The Basis for Estimating Costs are items such as past trips, current quotations, Federal Travel Regulations, etc.   
</t>
    </r>
    <r>
      <rPr>
        <b/>
        <sz val="11"/>
        <color indexed="10"/>
        <rFont val="Arial"/>
        <family val="2"/>
      </rPr>
      <t>All listed travel must be necessary for performance of the Statement of Project Objectives.</t>
    </r>
    <r>
      <rPr>
        <b/>
        <sz val="11"/>
        <rFont val="Arial"/>
        <family val="2"/>
      </rPr>
      <t xml:space="preserve">
</t>
    </r>
    <r>
      <rPr>
        <b/>
        <sz val="11"/>
        <color indexed="10"/>
        <rFont val="Arial"/>
        <family val="2"/>
      </rPr>
      <t>Add rows as needed.  If rows are added, formulas/calculations may need to be adjusted by the preparer.</t>
    </r>
    <r>
      <rPr>
        <b/>
        <sz val="11"/>
        <rFont val="Arial"/>
        <family val="2"/>
      </rPr>
      <t xml:space="preserve"> </t>
    </r>
  </si>
  <si>
    <r>
      <rPr>
        <b/>
        <sz val="12"/>
        <color indexed="10"/>
        <rFont val="Arial"/>
        <family val="2"/>
      </rPr>
      <t>Please Read!!!</t>
    </r>
    <r>
      <rPr>
        <b/>
        <sz val="14"/>
        <color indexed="10"/>
        <rFont val="Arial"/>
        <family val="2"/>
      </rPr>
      <t xml:space="preserve">
</t>
    </r>
    <r>
      <rPr>
        <b/>
        <sz val="11"/>
        <rFont val="Arial"/>
        <family val="2"/>
      </rPr>
      <t xml:space="preserve">
Fill out the table below by labor type (add additional rows if necessary).  If all employees receive the same fringe benefits, you can show "Total Personnel" in the Labor Type column instead of listing out all personnel separately.  If necessary, you can use the box below to provide additional explanation regarding your fringe rate calculation.  
</t>
    </r>
    <r>
      <rPr>
        <b/>
        <sz val="11"/>
        <color indexed="10"/>
        <rFont val="Arial"/>
        <family val="2"/>
      </rPr>
      <t xml:space="preserve">The rates and how they are applied should not be averaged to get one fringe cost percentage. </t>
    </r>
    <r>
      <rPr>
        <b/>
        <sz val="11"/>
        <rFont val="Arial"/>
        <family val="2"/>
      </rPr>
      <t xml:space="preserve"> 
</t>
    </r>
    <r>
      <rPr>
        <b/>
        <sz val="11"/>
        <color indexed="10"/>
        <rFont val="Arial"/>
        <family val="2"/>
      </rPr>
      <t>The fringe benefit rate should be applied to both the Federal Share and Recipient Cost Share.
Add rows as needed.  If rows are added, formulas/calculations may need to be adjusted by the preparer.  Please enter formulas as shown in the example.</t>
    </r>
  </si>
  <si>
    <t>Total Personnel</t>
  </si>
  <si>
    <r>
      <t>Vendors (includes contractors and consultants):</t>
    </r>
    <r>
      <rPr>
        <b/>
        <sz val="11"/>
        <rFont val="Arial"/>
        <family val="2"/>
      </rPr>
      <t xml:space="preserve">
</t>
    </r>
    <r>
      <rPr>
        <sz val="11"/>
        <rFont val="Arial"/>
        <family val="2"/>
      </rPr>
      <t xml:space="preserve">List all vendors, contractors and consultants supplying commercial supplies or services used to support the project.  The support to justify vendor  costs (in any amount) should provide the purpose for the products or services and a basis of the estimated costs that is considered sufficient for DOE evaluation. </t>
    </r>
    <r>
      <rPr>
        <sz val="11"/>
        <color indexed="30"/>
        <rFont val="Arial"/>
        <family val="2"/>
      </rPr>
      <t xml:space="preserve"> </t>
    </r>
    <r>
      <rPr>
        <sz val="11"/>
        <rFont val="Arial"/>
        <family val="2"/>
      </rPr>
      <t xml:space="preserve">
</t>
    </r>
    <r>
      <rPr>
        <b/>
        <u/>
        <sz val="11"/>
        <rFont val="Arial"/>
        <family val="2"/>
      </rPr>
      <t>Federal Research and Development Centers (FFRDCs):</t>
    </r>
    <r>
      <rPr>
        <b/>
        <sz val="11"/>
        <rFont val="Arial"/>
        <family val="2"/>
      </rPr>
      <t xml:space="preserve">
</t>
    </r>
    <r>
      <rPr>
        <sz val="11"/>
        <rFont val="Arial"/>
        <family val="2"/>
      </rPr>
      <t xml:space="preserve">For FFRDC partners, the award recipient will provide a Field Work Proposal (if not already provided with the original application), along with the FFRDC labor mix and hours, by category and FFRDC major purchases greater than $25,000, including Quantity, Unit Cost, Basis of Cost, and Justification.   The award recipient may allow the FFRDC to provide this information directly to DOE.
</t>
    </r>
    <r>
      <rPr>
        <b/>
        <sz val="11"/>
        <color indexed="10"/>
        <rFont val="Arial"/>
        <family val="2"/>
      </rPr>
      <t xml:space="preserve">Add rows as needed.  If rows are added, formulas/calculations may need to be adjusted by the preparer. </t>
    </r>
  </si>
  <si>
    <t xml:space="preserve">Detailed Budget Justification </t>
  </si>
  <si>
    <t>Detailed Budget Justification</t>
  </si>
  <si>
    <r>
      <t>PLEASE READ!!!</t>
    </r>
    <r>
      <rPr>
        <b/>
        <sz val="11"/>
        <rFont val="Arial"/>
        <family val="2"/>
      </rPr>
      <t xml:space="preserve">
List costs solely for employees of the entity completing this form (award prime recipient or sub-recipient with costs over $100,000).  All other personnel costs (for prime's subrecipients or other contractual efforts of the entity preparing this budget) must be included under f. Contractual.  This includes all consultants and FFRDCs.
Identify positions to be supported.  Key personnel should be identified by title.  All other personnel should be identified either by title or a group category.  State the amounts of time (e.g., hours or % of time) to be expended, the base pay rate (or composite base pay rate for group category), total direct personnel compensation, and identify the rate basis (e.g., actual salary, labor distribution report, technical estimate, state civil service rates, etc.).
</t>
    </r>
    <r>
      <rPr>
        <b/>
        <sz val="11"/>
        <color indexed="10"/>
        <rFont val="Arial"/>
        <family val="2"/>
      </rPr>
      <t xml:space="preserve">Add rows as needed.  Formulas/calculations will need to be entered by the preparer of this form.  Please enter formulas as shown in the example.
</t>
    </r>
    <r>
      <rPr>
        <b/>
        <sz val="11"/>
        <rFont val="Arial"/>
        <family val="2"/>
      </rPr>
      <t xml:space="preserve">
 Include a brief narrative explanation of the costs in the "Additional Explanations/Comments" section to justify the costs.</t>
    </r>
  </si>
  <si>
    <t>Additional Explanation/Comments (as necessary)</t>
  </si>
  <si>
    <t xml:space="preserve">A federally approved fringe benefit rate agreement, or a proposed rate supported and agreed upon by DOE for estimating purposes is required if reimbursement for fringe benefits is requested.  Please check (X) one of the options below and provide the requested information.  Calculate the fringe rate and the Total should calculate automatically (if adding rows, ensure the formulas are updated). </t>
  </si>
  <si>
    <t>Depart From</t>
  </si>
  <si>
    <t>Destination</t>
  </si>
  <si>
    <t xml:space="preserve">
______ A fringe benefit rate has been negotiated with, or approved by, a federal government agency.  A  copy of the latest rate agreement is included with this application, 
              and will be provided electronically to the Contracting Officer for this project.
______ There is not a current, federally approved rate agreement negotiated and available*.  
*When this option is checked, the entity preparing this form shall submit a rate proposal in the format provided at the following website, or a format that provides the same level of information; and the rate proposal must support the rates being proposed for use in performance of the proposed project.  Go to https://www.eere-pmc.energy.gov/forms.aspx and select Sample Rate Proposal.
</t>
  </si>
  <si>
    <r>
      <t>PLEASE READ!!!</t>
    </r>
    <r>
      <rPr>
        <b/>
        <sz val="11"/>
        <rFont val="Arial"/>
        <family val="2"/>
      </rPr>
      <t xml:space="preserve">
Equipment is generally defined as an item with an acquisition cost greater than $5,000 and a useful life expectancy of more than one year.  Further definitions can be found at 10 CFR 600 found on the PMC Recipient Resources Forms page at 
https://www.eere-pmc.energy.gov/Forms.aspx#regs .
List all proposed equipment below, providing a basis of cost such as vendor quotes, catalog prices, prior invoices, etc.; and briefly justify its need as it applies to the Statement of Project Objectives.  If it is existing equipment, and the value of its contribution to the project budget is being shown as cost share, provide logical support for the estimated value shown.  If it is new equipment which will retain a useful life upon completion of the project, provide logical support for the estimated value shown.
</t>
    </r>
    <r>
      <rPr>
        <b/>
        <sz val="11"/>
        <color indexed="10"/>
        <rFont val="Arial"/>
        <family val="2"/>
      </rPr>
      <t xml:space="preserve">
For equipment over $50,000 in price, also include a copy of the associated vendor quote or catalog price list.
Add rows as needed.  If rows are added, formulas/calculations may need to be adjusted by the preparer. </t>
    </r>
  </si>
  <si>
    <r>
      <t>PLEASE READ!!!</t>
    </r>
    <r>
      <rPr>
        <b/>
        <sz val="11"/>
        <rFont val="Arial"/>
        <family val="2"/>
      </rPr>
      <t xml:space="preserve">
Supplies are generally defined as an item with an acquisition cost of $5,000 or less and a useful life expectancy of less than one year.  Supplies are generally consumed during the project performance. Further definitions can be found at 10 CFR 600 found on the PMC Recipient Resources Forms page at https://www.eere-pmc.energy.gov/Forms.aspx#regs.
List all proposed supplies below, providing a bases of costs such as vendor quotes, catalog prices, prior invoices, etc.; and briefly justify the need for the Supplies as they apply to the Statement of Project Objectives.  Note that Supply items must be direct costs to the project at this budget category, and not duplicative of supply costs included in the indirect pool that is the basis of the indirect rate applied for this project.
</t>
    </r>
    <r>
      <rPr>
        <b/>
        <sz val="11"/>
        <color indexed="10"/>
        <rFont val="Arial"/>
        <family val="2"/>
      </rPr>
      <t xml:space="preserve">Add rows as needed.  If rows are added, formulas/calculations may need to be adjusted by the preparer. </t>
    </r>
    <r>
      <rPr>
        <b/>
        <sz val="11"/>
        <rFont val="Arial"/>
        <family val="2"/>
      </rPr>
      <t xml:space="preserve">
</t>
    </r>
  </si>
  <si>
    <r>
      <t>PLEASE READ!!!</t>
    </r>
    <r>
      <rPr>
        <b/>
        <sz val="11"/>
        <rFont val="Arial"/>
        <family val="2"/>
      </rPr>
      <t xml:space="preserve">
</t>
    </r>
    <r>
      <rPr>
        <sz val="11"/>
        <rFont val="Arial"/>
        <family val="2"/>
      </rPr>
      <t xml:space="preserve">The entity completing this form must provide all costs related to sub-recipients, vendors, contractors, consultants and FFRDC partners in the applicable boxes below.  
</t>
    </r>
    <r>
      <rPr>
        <b/>
        <sz val="11"/>
        <rFont val="Arial"/>
        <family val="2"/>
      </rPr>
      <t xml:space="preserve">
</t>
    </r>
    <r>
      <rPr>
        <b/>
        <u/>
        <sz val="11"/>
        <rFont val="Arial"/>
        <family val="2"/>
      </rPr>
      <t xml:space="preserve">Sub-recipients (partners, sub-awardees): </t>
    </r>
    <r>
      <rPr>
        <b/>
        <sz val="11"/>
        <rFont val="Arial"/>
        <family val="2"/>
      </rPr>
      <t xml:space="preserve">
</t>
    </r>
    <r>
      <rPr>
        <b/>
        <sz val="11"/>
        <color indexed="10"/>
        <rFont val="Arial"/>
        <family val="2"/>
      </rPr>
      <t>For each sub-recipient with total project costs of $</t>
    </r>
    <r>
      <rPr>
        <b/>
        <sz val="11"/>
        <color indexed="10"/>
        <rFont val="Arial"/>
        <family val="2"/>
      </rPr>
      <t>100</t>
    </r>
    <r>
      <rPr>
        <b/>
        <sz val="11"/>
        <color indexed="10"/>
        <rFont val="Arial"/>
        <family val="2"/>
      </rPr>
      <t xml:space="preserve">,000 or more, a separate budget form and justification must be submitted.  These sub-recipient forms may be completed by either the sub-recipients themselves or by the preparer of this form.  The budget totals on the sub-recipient's forms must match the sub-recipeint entries below. </t>
    </r>
    <r>
      <rPr>
        <b/>
        <sz val="11"/>
        <rFont val="Arial"/>
        <family val="2"/>
      </rPr>
      <t xml:space="preserve">
</t>
    </r>
    <r>
      <rPr>
        <sz val="11"/>
        <rFont val="Arial"/>
        <family val="2"/>
      </rPr>
      <t xml:space="preserve">The preparer of this form need only provide further support of the completed sub-recipient budget forms as they deem necessary.  The support to justify the budgets of sub-recipients with estimated costs less than $100,000 may be in any format, and at a minimum should provide what Statement of Project Objectives task(s) are being performed, the purpose/need for the effort, and a basis of the estimated costs that is considered sufficient for DOE evaluation.
</t>
    </r>
  </si>
  <si>
    <r>
      <t>PLEASE READ!!!</t>
    </r>
    <r>
      <rPr>
        <b/>
        <sz val="11"/>
        <rFont val="Arial"/>
        <family val="2"/>
      </rPr>
      <t xml:space="preserve">
Other direct costs are direct cost items required for the project which do not fit clearly into other categories.  These direct costs must not be included in the indirect costs (for which the indirect rate is being applied for this project).  Examples are:  equipment costs less than $5000, meetings within the scope of work, printing costs, etc. which can be directly charged to the project and are not duplicated in indirect costs (overhead costs).
Basis of cost are items such as vendor quotes, prior purchases of similar or like items, published price list, etc.
</t>
    </r>
    <r>
      <rPr>
        <b/>
        <sz val="11"/>
        <color indexed="10"/>
        <rFont val="Arial"/>
        <family val="2"/>
      </rPr>
      <t>Add rows as needed.  If rows are added, formulas/calculations may need to be adjusted by the preparer.</t>
    </r>
  </si>
  <si>
    <t>i. Indirect Costs</t>
  </si>
  <si>
    <r>
      <rPr>
        <b/>
        <sz val="14"/>
        <color indexed="10"/>
        <rFont val="Arial"/>
        <family val="2"/>
      </rPr>
      <t xml:space="preserve">Please Read!!!
</t>
    </r>
    <r>
      <rPr>
        <b/>
        <sz val="11"/>
        <rFont val="Arial"/>
        <family val="2"/>
      </rPr>
      <t xml:space="preserve">
Fill out the table below to indicate how your indirect costs are calculated.  If necessary, you can use the box below to provide additional explanation regarding your indirect rate calculation.  
</t>
    </r>
    <r>
      <rPr>
        <b/>
        <sz val="11"/>
        <color indexed="10"/>
        <rFont val="Arial"/>
        <family val="2"/>
      </rPr>
      <t xml:space="preserve">The rates and how they are applied should not be averaged to get one indirect cost percentage. </t>
    </r>
    <r>
      <rPr>
        <b/>
        <sz val="11"/>
        <rFont val="Arial"/>
        <family val="2"/>
      </rPr>
      <t xml:space="preserve"> 
</t>
    </r>
    <r>
      <rPr>
        <b/>
        <sz val="11"/>
        <color indexed="10"/>
        <rFont val="Arial"/>
        <family val="2"/>
      </rPr>
      <t>The indirect rate should be applied to both the Federal Share and Recipient Cost Share.
Add rows as needed.  If rows are added, formulas/calculations may need to be adjusted by the preparer.  Please enter formulas as shown in the example.</t>
    </r>
  </si>
  <si>
    <t>Provide ONLY Applicable Rates:</t>
  </si>
  <si>
    <t>Overhead Rate</t>
  </si>
  <si>
    <t>General &amp; Administrative (G&amp;A)</t>
  </si>
  <si>
    <t>OTHER Indirect Rate</t>
  </si>
  <si>
    <t>Indirect Costs (As Applicable):</t>
  </si>
  <si>
    <t>Overhead Costs</t>
  </si>
  <si>
    <t>G&amp;A Costs</t>
  </si>
  <si>
    <t xml:space="preserve"> OTHER Indirect Costs</t>
  </si>
  <si>
    <t>Total indirect costs requested:</t>
  </si>
  <si>
    <t xml:space="preserve">Explanation of BASE </t>
  </si>
  <si>
    <t>A federally approved indirect rate agreement, or rate proposed (supported and agreed upon by DOE for estimating purposes) is required if reimbursement of indirect costs is requested.  Please check (X) one of the options below and provide the requested information if it has not already been provided as requested, or has changed.  Calculate the indirect rate dollars and the totals should calculate automatically.</t>
  </si>
  <si>
    <t xml:space="preserve">
______ An  indirect rate has been approved or negotiated with a federal government agency.  A  copy of the latest rate agreement is included with this application, and will be provided electronically to the Contracting Officer for this project.
______ There is not a current, federally approved rate agreement negotiated and available*.  
*When this option is checked, the entity preparing this form shall submit an indirect rate proposal in the format provided at the following website, or a format that provides the same level of information and which will support the rates being proposed for use in performance of the proposed project.  Go to https://www.eere-pmc.energy.gov/forms.aspx and select Sample Rate Proposal. </t>
  </si>
  <si>
    <r>
      <t>PLEASE READ!!!</t>
    </r>
    <r>
      <rPr>
        <b/>
        <sz val="11"/>
        <rFont val="Arial"/>
        <family val="2"/>
      </rPr>
      <t xml:space="preserve">
A detailed presentation of the cash or cash value of all cost share proposed for the project must be provided in the table below.  Identify the source &amp; amount of each item of cost share proposed by the award recipient and each sub-recipient or vendor.  </t>
    </r>
    <r>
      <rPr>
        <b/>
        <sz val="11"/>
        <color indexed="10"/>
        <rFont val="Arial"/>
        <family val="2"/>
      </rPr>
      <t>Letters of commitment must be submitted for all third party cost share (other than award recipient).</t>
    </r>
    <r>
      <rPr>
        <b/>
        <sz val="11"/>
        <rFont val="Arial"/>
        <family val="2"/>
      </rPr>
      <t xml:space="preserve">
Note that “cost-share" is not limited to cash investment.  Other items that may be assigned value in a budget if incurred as part of the project budget and are necessary to the performance of the project.  Items that may be considered as cost share include: contribution of services or property; donated, purchased or existing equipment; donated, purchased or existing supplies; and/or unrecovered personnel, fringe benefits and indirect costs, etc. For each cost share contribution identified as other than cash, identify the item and describe how the value of the cost share contribution was calculated.</t>
    </r>
  </si>
  <si>
    <t xml:space="preserve">Please read the instructions on each page (worksheet) before starting.  
If you have any questions, please ask your DOE contact.  It will save you time!  </t>
  </si>
  <si>
    <t>FCCM Rate, if applicable</t>
  </si>
  <si>
    <t>FCCM Costs, if applicable</t>
  </si>
  <si>
    <t>OMB Number: 1910-5162</t>
  </si>
  <si>
    <t>Expiration Date: 01/31/2015</t>
  </si>
  <si>
    <r>
      <rPr>
        <b/>
        <sz val="12"/>
        <rFont val="Arial"/>
        <family val="2"/>
      </rPr>
      <t>On this form, provide detailed support for the estimated project costs identified for each Category line item within each worksheet (budget items under different tabs).</t>
    </r>
    <r>
      <rPr>
        <b/>
        <sz val="11"/>
        <rFont val="Arial"/>
        <family val="2"/>
      </rPr>
      <t xml:space="preserve">  
</t>
    </r>
    <r>
      <rPr>
        <b/>
        <sz val="10"/>
        <rFont val="Arial"/>
        <family val="2"/>
      </rPr>
      <t xml:space="preserve">
●  The dollar amounts on this page must match the amounts on the associated application.
</t>
    </r>
    <r>
      <rPr>
        <b/>
        <sz val="10"/>
        <color indexed="10"/>
        <rFont val="Arial"/>
        <family val="2"/>
      </rPr>
      <t xml:space="preserve">
● The award recipient and each sub-recipient with estimated costs of $100</t>
    </r>
    <r>
      <rPr>
        <b/>
        <sz val="11"/>
        <color indexed="10"/>
        <rFont val="Arial"/>
        <family val="2"/>
      </rPr>
      <t>,000 or more must complete this form and ensure it matches the application.</t>
    </r>
    <r>
      <rPr>
        <b/>
        <sz val="10"/>
        <rFont val="Arial"/>
        <family val="2"/>
      </rPr>
      <t xml:space="preserve">
</t>
    </r>
    <r>
      <rPr>
        <b/>
        <sz val="10"/>
        <color indexed="10"/>
        <rFont val="Arial"/>
        <family val="2"/>
      </rPr>
      <t xml:space="preserve">●   The total budget presented on this form and on the application  </t>
    </r>
    <r>
      <rPr>
        <b/>
        <u/>
        <sz val="10"/>
        <color indexed="10"/>
        <rFont val="Arial"/>
        <family val="2"/>
      </rPr>
      <t>must include both Federal (DOE), and Non-Federal (cost share) portions</t>
    </r>
    <r>
      <rPr>
        <b/>
        <sz val="10"/>
        <color indexed="10"/>
        <rFont val="Arial"/>
        <family val="2"/>
      </rPr>
      <t xml:space="preserve">, thereby reflecting TOTAL PROJECT COSTS proposed.
</t>
    </r>
    <r>
      <rPr>
        <b/>
        <sz val="10"/>
        <rFont val="Arial"/>
        <family val="2"/>
      </rPr>
      <t xml:space="preserve">
●  For costs in each Object Class Category, complete the corresponding worksheet on this form (tab at the bottom of the page).  Include a brief narrative explanation of the costs in the "Additional Explanations/Comments" section to justify the costs.  
●  All costs incurred by the preparer's sub-recipients, vendors, contractors, consultants and Federal Research and Development Centers (FFRDCs), should be entered only in section f. Contractual.  All other sections are for the costs of the preparer only. </t>
    </r>
    <r>
      <rPr>
        <b/>
        <sz val="11"/>
        <rFont val="Arial"/>
        <family val="2"/>
      </rPr>
      <t xml:space="preserve">
</t>
    </r>
    <r>
      <rPr>
        <b/>
        <sz val="9"/>
        <rFont val="Arial"/>
        <family val="2"/>
      </rPr>
      <t xml:space="preserve">BURDEN DISCLOSURE STATEMENT
</t>
    </r>
    <r>
      <rPr>
        <sz val="9"/>
        <rFont val="Arial"/>
        <family val="2"/>
      </rPr>
      <t>Public reporting burden for this collection of information is estimated to average  3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Office of Information Resources Management Policy, Plans, and Oversight, AD-241-2 - GTN, Paperwork Reduction Project (1910-5162), U.S. Department of Energy 1000 Independence Avenue, S.W., Washington, DC 20585; and to the Office of Management and Budget, Paperwork Reduction Project (1910-5162), Washington, DC 20503.</t>
    </r>
  </si>
</sst>
</file>

<file path=xl/styles.xml><?xml version="1.0" encoding="utf-8"?>
<styleSheet xmlns="http://schemas.openxmlformats.org/spreadsheetml/2006/main">
  <numFmts count="5">
    <numFmt numFmtId="6" formatCode="&quot;$&quot;#,##0_);[Red]\(&quot;$&quot;#,##0\)"/>
    <numFmt numFmtId="44" formatCode="_(&quot;$&quot;* #,##0.00_);_(&quot;$&quot;* \(#,##0.00\);_(&quot;$&quot;* &quot;-&quot;??_);_(@_)"/>
    <numFmt numFmtId="168" formatCode="&quot;$&quot;#,##0.00"/>
    <numFmt numFmtId="169" formatCode="&quot;$&quot;#,##0"/>
    <numFmt numFmtId="170" formatCode="0.0%"/>
  </numFmts>
  <fonts count="51">
    <font>
      <sz val="10"/>
      <name val="Arial"/>
    </font>
    <font>
      <sz val="10"/>
      <name val="Arial"/>
    </font>
    <font>
      <sz val="8"/>
      <name val="Arial"/>
      <family val="2"/>
    </font>
    <font>
      <b/>
      <sz val="10"/>
      <name val="Arial"/>
      <family val="2"/>
    </font>
    <font>
      <b/>
      <sz val="11"/>
      <name val="Arial"/>
      <family val="2"/>
    </font>
    <font>
      <sz val="10"/>
      <name val="Arial"/>
      <family val="2"/>
    </font>
    <font>
      <i/>
      <sz val="10"/>
      <name val="Arial"/>
      <family val="2"/>
    </font>
    <font>
      <sz val="11"/>
      <name val="Arial"/>
      <family val="2"/>
    </font>
    <font>
      <b/>
      <sz val="11"/>
      <color indexed="10"/>
      <name val="Arial"/>
      <family val="2"/>
    </font>
    <font>
      <sz val="14"/>
      <name val="Arial"/>
      <family val="2"/>
    </font>
    <font>
      <b/>
      <sz val="14"/>
      <color indexed="18"/>
      <name val="Arial"/>
      <family val="2"/>
    </font>
    <font>
      <sz val="14"/>
      <color indexed="18"/>
      <name val="Arial"/>
      <family val="2"/>
    </font>
    <font>
      <sz val="10"/>
      <color indexed="20"/>
      <name val="Arial"/>
      <family val="2"/>
    </font>
    <font>
      <sz val="10"/>
      <color indexed="10"/>
      <name val="Arial"/>
      <family val="2"/>
    </font>
    <font>
      <b/>
      <sz val="14"/>
      <color indexed="18"/>
      <name val="Arial"/>
      <family val="2"/>
    </font>
    <font>
      <sz val="14"/>
      <color indexed="18"/>
      <name val="Arial"/>
      <family val="2"/>
    </font>
    <font>
      <sz val="14"/>
      <name val="Arial"/>
      <family val="2"/>
    </font>
    <font>
      <b/>
      <sz val="10"/>
      <color indexed="10"/>
      <name val="Arial"/>
      <family val="2"/>
    </font>
    <font>
      <b/>
      <sz val="12"/>
      <name val="Arial"/>
      <family val="2"/>
    </font>
    <font>
      <i/>
      <sz val="11"/>
      <name val="Arial"/>
      <family val="2"/>
    </font>
    <font>
      <b/>
      <sz val="10"/>
      <color indexed="8"/>
      <name val="Arial"/>
      <family val="2"/>
    </font>
    <font>
      <b/>
      <u/>
      <sz val="11"/>
      <name val="Arial"/>
      <family val="2"/>
    </font>
    <font>
      <sz val="14"/>
      <color indexed="10"/>
      <name val="Arial"/>
      <family val="2"/>
    </font>
    <font>
      <sz val="10"/>
      <name val="Arial Narrow"/>
      <family val="2"/>
    </font>
    <font>
      <sz val="9"/>
      <name val="Arial Narrow"/>
      <family val="2"/>
    </font>
    <font>
      <b/>
      <sz val="14"/>
      <name val="Arial Narrow"/>
      <family val="2"/>
    </font>
    <font>
      <sz val="8"/>
      <name val="Arial Narrow"/>
      <family val="2"/>
    </font>
    <font>
      <b/>
      <sz val="9"/>
      <name val="Arial Narrow"/>
      <family val="2"/>
    </font>
    <font>
      <sz val="11"/>
      <name val="Arial Narrow"/>
      <family val="2"/>
    </font>
    <font>
      <sz val="7"/>
      <name val="Courier"/>
      <family val="3"/>
    </font>
    <font>
      <sz val="7"/>
      <name val="Arial"/>
      <family val="2"/>
    </font>
    <font>
      <sz val="8"/>
      <name val="Courier"/>
      <family val="3"/>
    </font>
    <font>
      <sz val="7"/>
      <name val="Arial Narrow"/>
      <family val="2"/>
    </font>
    <font>
      <i/>
      <sz val="9"/>
      <name val="Arial"/>
      <family val="2"/>
    </font>
    <font>
      <b/>
      <sz val="14"/>
      <name val="Arial"/>
      <family val="2"/>
    </font>
    <font>
      <b/>
      <sz val="12"/>
      <color indexed="10"/>
      <name val="Arial"/>
      <family val="2"/>
    </font>
    <font>
      <sz val="11"/>
      <color indexed="10"/>
      <name val="Arial"/>
      <family val="2"/>
    </font>
    <font>
      <b/>
      <sz val="11"/>
      <color indexed="10"/>
      <name val="Arial"/>
      <family val="2"/>
    </font>
    <font>
      <b/>
      <sz val="14"/>
      <color indexed="10"/>
      <name val="Arial"/>
      <family val="2"/>
    </font>
    <font>
      <b/>
      <sz val="10"/>
      <color indexed="10"/>
      <name val="Arial"/>
      <family val="2"/>
    </font>
    <font>
      <sz val="10"/>
      <color indexed="10"/>
      <name val="Arial"/>
      <family val="2"/>
    </font>
    <font>
      <sz val="11"/>
      <color indexed="30"/>
      <name val="Arial"/>
      <family val="2"/>
    </font>
    <font>
      <b/>
      <sz val="11"/>
      <color indexed="10"/>
      <name val="Arial"/>
      <family val="2"/>
    </font>
    <font>
      <b/>
      <sz val="9"/>
      <name val="Arial"/>
      <family val="2"/>
    </font>
    <font>
      <sz val="9"/>
      <name val="Arial"/>
      <family val="2"/>
    </font>
    <font>
      <b/>
      <u/>
      <sz val="10"/>
      <color indexed="10"/>
      <name val="Arial"/>
      <family val="2"/>
    </font>
    <font>
      <sz val="11"/>
      <color theme="1"/>
      <name val="Calibri"/>
      <family val="2"/>
      <scheme val="minor"/>
    </font>
    <font>
      <b/>
      <sz val="11"/>
      <color rgb="FFFF0000"/>
      <name val="Arial"/>
      <family val="2"/>
    </font>
    <font>
      <b/>
      <sz val="10"/>
      <color rgb="FFFF0000"/>
      <name val="Arial"/>
      <family val="2"/>
    </font>
    <font>
      <sz val="10"/>
      <color rgb="FFFF0000"/>
      <name val="Arial"/>
      <family val="2"/>
    </font>
    <font>
      <sz val="11"/>
      <color rgb="FFFF0000"/>
      <name val="Arial"/>
      <family val="2"/>
    </font>
  </fonts>
  <fills count="16">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6"/>
        <bgColor indexed="64"/>
      </patternFill>
    </fill>
    <fill>
      <patternFill patternType="solid">
        <fgColor indexed="22"/>
        <bgColor indexed="64"/>
      </patternFill>
    </fill>
    <fill>
      <patternFill patternType="solid">
        <fgColor indexed="47"/>
        <bgColor indexed="64"/>
      </patternFill>
    </fill>
    <fill>
      <patternFill patternType="solid">
        <fgColor indexed="26"/>
        <bgColor indexed="64"/>
      </patternFill>
    </fill>
    <fill>
      <patternFill patternType="solid">
        <fgColor indexed="43"/>
        <bgColor indexed="64"/>
      </patternFill>
    </fill>
    <fill>
      <patternFill patternType="solid">
        <fgColor theme="9" tint="0.59999389629810485"/>
        <bgColor indexed="64"/>
      </patternFill>
    </fill>
    <fill>
      <patternFill patternType="solid">
        <fgColor rgb="FFE8FFD1"/>
        <bgColor indexed="64"/>
      </patternFill>
    </fill>
    <fill>
      <patternFill patternType="solid">
        <fgColor rgb="FFCCFFFF"/>
        <bgColor indexed="64"/>
      </patternFill>
    </fill>
    <fill>
      <patternFill patternType="solid">
        <fgColor rgb="FFFFE5FF"/>
        <bgColor indexed="64"/>
      </patternFill>
    </fill>
    <fill>
      <patternFill patternType="solid">
        <fgColor theme="1" tint="0.499984740745262"/>
        <bgColor indexed="64"/>
      </patternFill>
    </fill>
    <fill>
      <patternFill patternType="solid">
        <fgColor rgb="FFFFFFCC"/>
        <bgColor indexed="64"/>
      </patternFill>
    </fill>
    <fill>
      <patternFill patternType="solid">
        <fgColor theme="1" tint="0.34998626667073579"/>
        <bgColor indexed="64"/>
      </patternFill>
    </fill>
  </fills>
  <borders count="96">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10"/>
      </left>
      <right style="thin">
        <color indexed="64"/>
      </right>
      <top/>
      <bottom style="thin">
        <color indexed="64"/>
      </bottom>
      <diagonal/>
    </border>
    <border>
      <left style="thin">
        <color indexed="64"/>
      </left>
      <right style="medium">
        <color indexed="10"/>
      </right>
      <top/>
      <bottom style="thin">
        <color indexed="64"/>
      </bottom>
      <diagonal/>
    </border>
    <border>
      <left style="medium">
        <color indexed="10"/>
      </left>
      <right style="thin">
        <color indexed="64"/>
      </right>
      <top style="thin">
        <color indexed="64"/>
      </top>
      <bottom style="thin">
        <color indexed="64"/>
      </bottom>
      <diagonal/>
    </border>
    <border>
      <left style="medium">
        <color indexed="10"/>
      </left>
      <right style="thin">
        <color indexed="64"/>
      </right>
      <top style="thin">
        <color indexed="64"/>
      </top>
      <bottom style="medium">
        <color indexed="10"/>
      </bottom>
      <diagonal/>
    </border>
    <border>
      <left/>
      <right style="thin">
        <color indexed="64"/>
      </right>
      <top style="thin">
        <color indexed="64"/>
      </top>
      <bottom style="medium">
        <color indexed="10"/>
      </bottom>
      <diagonal/>
    </border>
    <border>
      <left style="thin">
        <color indexed="64"/>
      </left>
      <right style="thin">
        <color indexed="64"/>
      </right>
      <top style="thin">
        <color indexed="64"/>
      </top>
      <bottom style="medium">
        <color indexed="10"/>
      </bottom>
      <diagonal/>
    </border>
    <border>
      <left style="thin">
        <color indexed="64"/>
      </left>
      <right style="thin">
        <color indexed="64"/>
      </right>
      <top/>
      <bottom style="medium">
        <color indexed="10"/>
      </bottom>
      <diagonal/>
    </border>
    <border>
      <left style="thin">
        <color indexed="64"/>
      </left>
      <right/>
      <top style="thin">
        <color indexed="64"/>
      </top>
      <bottom style="medium">
        <color indexed="10"/>
      </bottom>
      <diagonal/>
    </border>
    <border>
      <left style="thin">
        <color indexed="64"/>
      </left>
      <right/>
      <top/>
      <bottom style="medium">
        <color indexed="10"/>
      </bottom>
      <diagonal/>
    </border>
    <border>
      <left style="thin">
        <color indexed="64"/>
      </left>
      <right style="medium">
        <color indexed="10"/>
      </right>
      <top/>
      <bottom style="medium">
        <color indexed="10"/>
      </bottom>
      <diagonal/>
    </border>
    <border>
      <left style="medium">
        <color indexed="10"/>
      </left>
      <right style="thin">
        <color indexed="64"/>
      </right>
      <top style="medium">
        <color indexed="10"/>
      </top>
      <bottom style="medium">
        <color indexed="10"/>
      </bottom>
      <diagonal/>
    </border>
    <border>
      <left style="thin">
        <color indexed="64"/>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right style="thin">
        <color indexed="64"/>
      </right>
      <top style="medium">
        <color indexed="10"/>
      </top>
      <bottom style="medium">
        <color indexed="10"/>
      </bottom>
      <diagonal/>
    </border>
    <border>
      <left/>
      <right/>
      <top style="medium">
        <color indexed="10"/>
      </top>
      <bottom style="medium">
        <color indexed="10"/>
      </bottom>
      <diagonal/>
    </border>
    <border>
      <left style="thin">
        <color indexed="64"/>
      </left>
      <right/>
      <top style="medium">
        <color indexed="10"/>
      </top>
      <bottom style="medium">
        <color indexed="10"/>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10"/>
      </top>
      <bottom style="thin">
        <color indexed="64"/>
      </bottom>
      <diagonal/>
    </border>
    <border>
      <left/>
      <right style="thin">
        <color indexed="64"/>
      </right>
      <top style="medium">
        <color indexed="10"/>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medium">
        <color indexed="64"/>
      </right>
      <top style="medium">
        <color rgb="FFFF0000"/>
      </top>
      <bottom style="medium">
        <color indexed="64"/>
      </bottom>
      <diagonal/>
    </border>
    <border>
      <left style="medium">
        <color indexed="64"/>
      </left>
      <right style="medium">
        <color indexed="64"/>
      </right>
      <top style="medium">
        <color indexed="64"/>
      </top>
      <bottom style="medium">
        <color rgb="FFFF0000"/>
      </bottom>
      <diagonal/>
    </border>
  </borders>
  <cellStyleXfs count="5">
    <xf numFmtId="0" fontId="0" fillId="0" borderId="0"/>
    <xf numFmtId="44" fontId="1" fillId="0" borderId="0" applyFont="0" applyFill="0" applyBorder="0" applyAlignment="0" applyProtection="0"/>
    <xf numFmtId="0" fontId="5" fillId="0" borderId="0"/>
    <xf numFmtId="0" fontId="46" fillId="0" borderId="0"/>
    <xf numFmtId="9" fontId="1" fillId="0" borderId="0" applyFont="0" applyFill="0" applyBorder="0" applyAlignment="0" applyProtection="0"/>
  </cellStyleXfs>
  <cellXfs count="878">
    <xf numFmtId="0" fontId="0" fillId="0" borderId="0" xfId="0"/>
    <xf numFmtId="0" fontId="0" fillId="0" borderId="0" xfId="0" applyAlignment="1">
      <alignment wrapText="1"/>
    </xf>
    <xf numFmtId="49" fontId="0" fillId="0" borderId="0" xfId="0" applyNumberFormat="1" applyAlignment="1">
      <alignment horizontal="left" wrapText="1"/>
    </xf>
    <xf numFmtId="0" fontId="5" fillId="0" borderId="0" xfId="0" applyFont="1" applyAlignment="1">
      <alignment wrapText="1"/>
    </xf>
    <xf numFmtId="0" fontId="7" fillId="0" borderId="0" xfId="0" applyFont="1" applyBorder="1" applyAlignment="1">
      <alignment wrapText="1"/>
    </xf>
    <xf numFmtId="49" fontId="5" fillId="0" borderId="0" xfId="0" applyNumberFormat="1" applyFont="1" applyAlignment="1">
      <alignment horizontal="left" vertical="top" wrapText="1"/>
    </xf>
    <xf numFmtId="49" fontId="5" fillId="0" borderId="0" xfId="0" applyNumberFormat="1" applyFont="1" applyAlignment="1">
      <alignment horizontal="center" vertical="top" wrapText="1"/>
    </xf>
    <xf numFmtId="168" fontId="5" fillId="0" borderId="0" xfId="0" applyNumberFormat="1" applyFont="1" applyAlignment="1">
      <alignment horizontal="center" vertical="top" wrapText="1"/>
    </xf>
    <xf numFmtId="1" fontId="5" fillId="0" borderId="0" xfId="0" applyNumberFormat="1" applyFont="1" applyAlignment="1">
      <alignment horizontal="center" vertical="top" wrapText="1"/>
    </xf>
    <xf numFmtId="0" fontId="4" fillId="0" borderId="0" xfId="0" applyFont="1" applyBorder="1" applyAlignment="1">
      <alignment horizontal="right" vertical="top" wrapText="1"/>
    </xf>
    <xf numFmtId="0" fontId="7" fillId="0" borderId="0" xfId="0" applyFont="1" applyBorder="1" applyAlignment="1">
      <alignment horizontal="left" vertical="top" wrapText="1"/>
    </xf>
    <xf numFmtId="0" fontId="9" fillId="0" borderId="0" xfId="0" applyFont="1" applyAlignment="1">
      <alignment vertical="center" wrapText="1"/>
    </xf>
    <xf numFmtId="49" fontId="3" fillId="0" borderId="0" xfId="0" applyNumberFormat="1" applyFont="1" applyAlignment="1">
      <alignment horizontal="left" wrapText="1"/>
    </xf>
    <xf numFmtId="49" fontId="5" fillId="0" borderId="0" xfId="0" applyNumberFormat="1" applyFont="1" applyAlignment="1" applyProtection="1">
      <alignment horizontal="left" vertical="top" wrapText="1"/>
    </xf>
    <xf numFmtId="49" fontId="5" fillId="0" borderId="0" xfId="0" applyNumberFormat="1" applyFont="1" applyAlignment="1" applyProtection="1">
      <alignment horizontal="center" vertical="top" wrapText="1"/>
    </xf>
    <xf numFmtId="168" fontId="5" fillId="0" borderId="0" xfId="0" applyNumberFormat="1" applyFont="1" applyAlignment="1" applyProtection="1">
      <alignment horizontal="center" vertical="top" wrapText="1"/>
    </xf>
    <xf numFmtId="1" fontId="5" fillId="0" borderId="0" xfId="0" applyNumberFormat="1" applyFont="1" applyAlignment="1" applyProtection="1">
      <alignment horizontal="center" vertical="top" wrapText="1"/>
    </xf>
    <xf numFmtId="0" fontId="4" fillId="0" borderId="1" xfId="0" applyFont="1" applyFill="1" applyBorder="1" applyAlignment="1" applyProtection="1">
      <alignment horizontal="center" vertical="top" wrapText="1"/>
    </xf>
    <xf numFmtId="168" fontId="4" fillId="0" borderId="1" xfId="0" applyNumberFormat="1" applyFont="1" applyFill="1" applyBorder="1" applyAlignment="1" applyProtection="1">
      <alignment horizontal="center" vertical="top" wrapText="1"/>
    </xf>
    <xf numFmtId="1" fontId="4" fillId="0" borderId="1" xfId="0" applyNumberFormat="1" applyFont="1" applyFill="1" applyBorder="1" applyAlignment="1" applyProtection="1">
      <alignment horizontal="center" vertical="top" wrapText="1"/>
    </xf>
    <xf numFmtId="0" fontId="4" fillId="0" borderId="2" xfId="0" applyFont="1" applyFill="1" applyBorder="1" applyAlignment="1" applyProtection="1">
      <alignment horizontal="center" vertical="top" wrapText="1"/>
    </xf>
    <xf numFmtId="0" fontId="7" fillId="0" borderId="0" xfId="0" applyNumberFormat="1" applyFont="1" applyBorder="1" applyAlignment="1">
      <alignment horizontal="center" vertical="top" wrapText="1"/>
    </xf>
    <xf numFmtId="0" fontId="4" fillId="0" borderId="0" xfId="0" applyFont="1" applyBorder="1" applyAlignment="1">
      <alignment vertical="top" wrapText="1"/>
    </xf>
    <xf numFmtId="0" fontId="4" fillId="0" borderId="0" xfId="0" applyFont="1" applyBorder="1" applyAlignment="1">
      <alignment horizontal="right" wrapText="1"/>
    </xf>
    <xf numFmtId="169" fontId="5"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pplyProtection="1">
      <alignment horizontal="center" vertical="top" wrapText="1"/>
    </xf>
    <xf numFmtId="0" fontId="5" fillId="2" borderId="3" xfId="0" applyFont="1" applyFill="1" applyBorder="1" applyAlignment="1" applyProtection="1">
      <alignment horizontal="center" vertical="top" wrapText="1"/>
      <protection locked="0"/>
    </xf>
    <xf numFmtId="0" fontId="5" fillId="2" borderId="4" xfId="0" applyFont="1" applyFill="1" applyBorder="1" applyAlignment="1" applyProtection="1">
      <alignment horizontal="center" vertical="top" wrapText="1"/>
      <protection locked="0"/>
    </xf>
    <xf numFmtId="0" fontId="3" fillId="0" borderId="2" xfId="0" applyFont="1" applyBorder="1" applyAlignment="1" applyProtection="1">
      <alignment horizontal="center" vertical="top" wrapText="1"/>
    </xf>
    <xf numFmtId="0" fontId="3" fillId="0" borderId="0" xfId="0" applyFont="1" applyAlignment="1">
      <alignment vertical="top" wrapText="1"/>
    </xf>
    <xf numFmtId="0" fontId="11" fillId="0" borderId="0" xfId="0" applyFont="1" applyAlignment="1">
      <alignment vertical="center" wrapText="1"/>
    </xf>
    <xf numFmtId="0" fontId="3" fillId="0" borderId="0" xfId="0" applyFont="1" applyAlignment="1" applyProtection="1">
      <alignment vertical="top" wrapText="1"/>
    </xf>
    <xf numFmtId="0" fontId="11" fillId="0" borderId="0" xfId="0" applyFont="1" applyAlignment="1" applyProtection="1">
      <alignment vertical="center" wrapText="1"/>
    </xf>
    <xf numFmtId="0" fontId="9" fillId="0" borderId="0" xfId="0" applyFont="1" applyAlignment="1" applyProtection="1">
      <alignment vertical="center" wrapText="1"/>
    </xf>
    <xf numFmtId="0" fontId="5" fillId="0" borderId="0" xfId="0" applyFont="1" applyAlignment="1" applyProtection="1">
      <alignment vertical="top" wrapText="1"/>
    </xf>
    <xf numFmtId="0" fontId="6" fillId="0" borderId="0" xfId="0" applyFont="1" applyAlignment="1" applyProtection="1">
      <alignment vertical="top" wrapText="1"/>
    </xf>
    <xf numFmtId="1" fontId="5" fillId="0" borderId="5" xfId="0" applyNumberFormat="1" applyFont="1" applyBorder="1" applyAlignment="1" applyProtection="1">
      <alignment horizontal="center" vertical="top" wrapText="1"/>
      <protection locked="0"/>
    </xf>
    <xf numFmtId="0" fontId="7" fillId="0" borderId="0" xfId="0" applyFont="1" applyAlignment="1" applyProtection="1">
      <alignment vertical="top" wrapText="1"/>
    </xf>
    <xf numFmtId="0" fontId="7" fillId="0" borderId="0" xfId="0" applyFont="1" applyAlignment="1">
      <alignment wrapText="1"/>
    </xf>
    <xf numFmtId="0" fontId="4" fillId="0" borderId="6" xfId="0" applyFont="1" applyFill="1" applyBorder="1" applyAlignment="1" applyProtection="1">
      <alignment horizontal="center" vertical="top" wrapText="1"/>
    </xf>
    <xf numFmtId="0" fontId="3" fillId="3" borderId="7" xfId="0" applyFont="1" applyFill="1" applyBorder="1" applyAlignment="1" applyProtection="1">
      <alignment horizontal="center" vertical="top" wrapText="1"/>
      <protection locked="0"/>
    </xf>
    <xf numFmtId="0" fontId="5" fillId="3" borderId="8" xfId="0" applyFont="1" applyFill="1" applyBorder="1" applyAlignment="1" applyProtection="1">
      <alignment horizontal="center" vertical="top" wrapText="1"/>
      <protection locked="0"/>
    </xf>
    <xf numFmtId="168" fontId="5" fillId="3" borderId="8" xfId="0" applyNumberFormat="1" applyFont="1" applyFill="1" applyBorder="1" applyAlignment="1" applyProtection="1">
      <alignment horizontal="center" vertical="top" wrapText="1"/>
      <protection locked="0"/>
    </xf>
    <xf numFmtId="1" fontId="5" fillId="3" borderId="8" xfId="0" applyNumberFormat="1" applyFont="1" applyFill="1" applyBorder="1" applyAlignment="1" applyProtection="1">
      <alignment horizontal="center" vertical="top" wrapText="1"/>
      <protection locked="0"/>
    </xf>
    <xf numFmtId="0" fontId="5" fillId="3" borderId="9" xfId="0" applyFont="1" applyFill="1" applyBorder="1" applyAlignment="1" applyProtection="1">
      <alignment vertical="top" wrapText="1"/>
      <protection locked="0"/>
    </xf>
    <xf numFmtId="0" fontId="5" fillId="3" borderId="5" xfId="0" applyFont="1" applyFill="1" applyBorder="1" applyAlignment="1" applyProtection="1">
      <alignment horizontal="center" vertical="top" wrapText="1"/>
      <protection locked="0"/>
    </xf>
    <xf numFmtId="168" fontId="5" fillId="3" borderId="5" xfId="0" applyNumberFormat="1" applyFont="1" applyFill="1" applyBorder="1" applyAlignment="1" applyProtection="1">
      <alignment horizontal="center" vertical="top" wrapText="1"/>
      <protection locked="0"/>
    </xf>
    <xf numFmtId="1" fontId="5" fillId="3" borderId="5" xfId="0" applyNumberFormat="1" applyFont="1" applyFill="1" applyBorder="1" applyAlignment="1" applyProtection="1">
      <alignment horizontal="center" vertical="top" wrapText="1"/>
      <protection locked="0"/>
    </xf>
    <xf numFmtId="0" fontId="3" fillId="2" borderId="7" xfId="0" applyFont="1" applyFill="1" applyBorder="1" applyAlignment="1" applyProtection="1">
      <alignment horizontal="center" vertical="top" wrapText="1"/>
      <protection locked="0"/>
    </xf>
    <xf numFmtId="0" fontId="5" fillId="2" borderId="8" xfId="0" applyFont="1" applyFill="1" applyBorder="1" applyAlignment="1" applyProtection="1">
      <alignment horizontal="center" vertical="top" wrapText="1"/>
      <protection locked="0"/>
    </xf>
    <xf numFmtId="168" fontId="5" fillId="2" borderId="8" xfId="0" applyNumberFormat="1" applyFont="1" applyFill="1" applyBorder="1" applyAlignment="1" applyProtection="1">
      <alignment horizontal="center" vertical="top" wrapText="1"/>
      <protection locked="0"/>
    </xf>
    <xf numFmtId="1" fontId="5" fillId="2" borderId="8" xfId="0" applyNumberFormat="1" applyFont="1" applyFill="1" applyBorder="1" applyAlignment="1" applyProtection="1">
      <alignment horizontal="center" vertical="top" wrapText="1"/>
      <protection locked="0"/>
    </xf>
    <xf numFmtId="0" fontId="5" fillId="2" borderId="9" xfId="0" applyFont="1" applyFill="1" applyBorder="1" applyAlignment="1" applyProtection="1">
      <alignment vertical="top" wrapText="1"/>
      <protection locked="0"/>
    </xf>
    <xf numFmtId="0" fontId="5" fillId="2" borderId="5" xfId="0" applyFont="1" applyFill="1" applyBorder="1" applyAlignment="1" applyProtection="1">
      <alignment horizontal="center" vertical="top" wrapText="1"/>
      <protection locked="0"/>
    </xf>
    <xf numFmtId="168" fontId="5" fillId="2" borderId="5" xfId="0" applyNumberFormat="1" applyFont="1" applyFill="1" applyBorder="1" applyAlignment="1" applyProtection="1">
      <alignment horizontal="center" vertical="top" wrapText="1"/>
      <protection locked="0"/>
    </xf>
    <xf numFmtId="1" fontId="5" fillId="2" borderId="5" xfId="0" applyNumberFormat="1" applyFont="1" applyFill="1" applyBorder="1" applyAlignment="1" applyProtection="1">
      <alignment horizontal="center" vertical="top" wrapText="1"/>
      <protection locked="0"/>
    </xf>
    <xf numFmtId="0" fontId="3" fillId="0" borderId="1" xfId="0" applyFont="1" applyBorder="1" applyAlignment="1" applyProtection="1">
      <alignment horizontal="center" vertical="top" wrapText="1"/>
    </xf>
    <xf numFmtId="0" fontId="15" fillId="0" borderId="0" xfId="0" applyFont="1" applyAlignment="1" applyProtection="1">
      <alignment vertical="center" wrapText="1"/>
    </xf>
    <xf numFmtId="0" fontId="16" fillId="0" borderId="0" xfId="0" applyFont="1" applyAlignment="1" applyProtection="1">
      <alignment vertical="center" wrapText="1"/>
    </xf>
    <xf numFmtId="0" fontId="5" fillId="3" borderId="10" xfId="0" applyFont="1" applyFill="1" applyBorder="1" applyAlignment="1" applyProtection="1">
      <alignment vertical="top" wrapText="1"/>
      <protection locked="0"/>
    </xf>
    <xf numFmtId="0" fontId="5" fillId="3" borderId="11" xfId="0" applyFont="1" applyFill="1" applyBorder="1" applyAlignment="1" applyProtection="1">
      <alignment horizontal="center" vertical="top" wrapText="1"/>
      <protection locked="0"/>
    </xf>
    <xf numFmtId="168" fontId="5" fillId="3" borderId="11" xfId="0" applyNumberFormat="1" applyFont="1" applyFill="1" applyBorder="1" applyAlignment="1" applyProtection="1">
      <alignment horizontal="center" vertical="top" wrapText="1"/>
      <protection locked="0"/>
    </xf>
    <xf numFmtId="1" fontId="5" fillId="3" borderId="11" xfId="0" applyNumberFormat="1" applyFont="1" applyFill="1" applyBorder="1" applyAlignment="1" applyProtection="1">
      <alignment horizontal="center" vertical="top" wrapText="1"/>
      <protection locked="0"/>
    </xf>
    <xf numFmtId="0" fontId="5" fillId="2" borderId="10" xfId="0" applyFont="1" applyFill="1" applyBorder="1" applyAlignment="1" applyProtection="1">
      <alignment vertical="top" wrapText="1"/>
      <protection locked="0"/>
    </xf>
    <xf numFmtId="0" fontId="5" fillId="2" borderId="11" xfId="0" applyFont="1" applyFill="1" applyBorder="1" applyAlignment="1" applyProtection="1">
      <alignment horizontal="center" vertical="top" wrapText="1"/>
      <protection locked="0"/>
    </xf>
    <xf numFmtId="168" fontId="5" fillId="2" borderId="11" xfId="0" applyNumberFormat="1" applyFont="1" applyFill="1" applyBorder="1" applyAlignment="1" applyProtection="1">
      <alignment horizontal="center" vertical="top" wrapText="1"/>
      <protection locked="0"/>
    </xf>
    <xf numFmtId="1" fontId="5" fillId="2" borderId="11" xfId="0" applyNumberFormat="1" applyFont="1" applyFill="1" applyBorder="1" applyAlignment="1" applyProtection="1">
      <alignment horizontal="center" vertical="top" wrapText="1"/>
      <protection locked="0"/>
    </xf>
    <xf numFmtId="0" fontId="5" fillId="2" borderId="12" xfId="0" applyFont="1" applyFill="1" applyBorder="1" applyAlignment="1" applyProtection="1">
      <alignment horizontal="center" vertical="top" wrapText="1"/>
      <protection locked="0"/>
    </xf>
    <xf numFmtId="0" fontId="5" fillId="0" borderId="9" xfId="0" applyFont="1" applyBorder="1" applyAlignment="1" applyProtection="1">
      <alignment horizontal="left" vertical="top" wrapText="1"/>
      <protection locked="0"/>
    </xf>
    <xf numFmtId="0" fontId="5" fillId="0" borderId="0" xfId="0" applyFont="1" applyAlignment="1" applyProtection="1">
      <alignment horizontal="left" vertical="top" wrapText="1"/>
    </xf>
    <xf numFmtId="0" fontId="5" fillId="0" borderId="0" xfId="0" applyFont="1" applyAlignment="1">
      <alignment horizontal="left" vertical="top" wrapText="1"/>
    </xf>
    <xf numFmtId="49" fontId="3" fillId="0" borderId="0" xfId="0" applyNumberFormat="1" applyFont="1" applyAlignment="1" applyProtection="1">
      <alignment horizontal="left" vertical="top" wrapText="1"/>
    </xf>
    <xf numFmtId="169" fontId="5" fillId="0" borderId="0" xfId="0" applyNumberFormat="1" applyFont="1" applyAlignment="1" applyProtection="1">
      <alignment horizontal="center" vertical="top" wrapText="1"/>
    </xf>
    <xf numFmtId="169" fontId="4" fillId="0" borderId="1" xfId="0" applyNumberFormat="1" applyFont="1" applyFill="1" applyBorder="1" applyAlignment="1" applyProtection="1">
      <alignment horizontal="center" vertical="top" wrapText="1"/>
    </xf>
    <xf numFmtId="0" fontId="4" fillId="0" borderId="13" xfId="0" applyFont="1" applyFill="1" applyBorder="1" applyAlignment="1" applyProtection="1">
      <alignment horizontal="left" vertical="top" wrapText="1"/>
    </xf>
    <xf numFmtId="1" fontId="4" fillId="0" borderId="14" xfId="0" applyNumberFormat="1" applyFont="1" applyFill="1" applyBorder="1" applyAlignment="1" applyProtection="1">
      <alignment horizontal="center" vertical="top" wrapText="1"/>
    </xf>
    <xf numFmtId="0" fontId="4" fillId="3" borderId="14" xfId="0" applyFont="1" applyFill="1" applyBorder="1" applyAlignment="1" applyProtection="1">
      <alignment horizontal="center" vertical="top" wrapText="1"/>
    </xf>
    <xf numFmtId="0" fontId="4" fillId="2" borderId="14" xfId="0" applyFont="1" applyFill="1" applyBorder="1" applyAlignment="1" applyProtection="1">
      <alignment horizontal="center" vertical="top" wrapText="1"/>
    </xf>
    <xf numFmtId="0" fontId="4" fillId="0" borderId="15" xfId="0" applyFont="1" applyFill="1" applyBorder="1" applyAlignment="1" applyProtection="1">
      <alignment horizontal="center" vertical="top" wrapText="1"/>
    </xf>
    <xf numFmtId="0" fontId="5" fillId="4" borderId="10" xfId="0" applyFont="1" applyFill="1" applyBorder="1" applyAlignment="1" applyProtection="1">
      <alignment vertical="top" wrapText="1"/>
      <protection locked="0"/>
    </xf>
    <xf numFmtId="0" fontId="5" fillId="4" borderId="11" xfId="0" applyFont="1" applyFill="1" applyBorder="1" applyAlignment="1" applyProtection="1">
      <alignment horizontal="center" vertical="top" wrapText="1"/>
      <protection locked="0"/>
    </xf>
    <xf numFmtId="168" fontId="5" fillId="4" borderId="11" xfId="0" applyNumberFormat="1" applyFont="1" applyFill="1" applyBorder="1" applyAlignment="1" applyProtection="1">
      <alignment horizontal="center" vertical="top" wrapText="1"/>
      <protection locked="0"/>
    </xf>
    <xf numFmtId="169" fontId="5" fillId="4" borderId="11" xfId="0" applyNumberFormat="1" applyFont="1" applyFill="1" applyBorder="1" applyAlignment="1" applyProtection="1">
      <alignment horizontal="center" vertical="top" wrapText="1"/>
      <protection locked="0"/>
    </xf>
    <xf numFmtId="1" fontId="5" fillId="4" borderId="11" xfId="0" applyNumberFormat="1" applyFont="1" applyFill="1" applyBorder="1" applyAlignment="1" applyProtection="1">
      <alignment horizontal="center" vertical="top" wrapText="1"/>
      <protection locked="0"/>
    </xf>
    <xf numFmtId="0" fontId="5" fillId="4" borderId="9" xfId="0" applyFont="1" applyFill="1" applyBorder="1" applyAlignment="1" applyProtection="1">
      <alignment vertical="top" wrapText="1"/>
      <protection locked="0"/>
    </xf>
    <xf numFmtId="0" fontId="5" fillId="4" borderId="5" xfId="0" applyFont="1" applyFill="1" applyBorder="1" applyAlignment="1" applyProtection="1">
      <alignment horizontal="center" vertical="top" wrapText="1"/>
      <protection locked="0"/>
    </xf>
    <xf numFmtId="168" fontId="5" fillId="4" borderId="5" xfId="0" applyNumberFormat="1" applyFont="1" applyFill="1" applyBorder="1" applyAlignment="1" applyProtection="1">
      <alignment horizontal="center" vertical="top" wrapText="1"/>
      <protection locked="0"/>
    </xf>
    <xf numFmtId="1" fontId="5" fillId="4" borderId="5" xfId="0" applyNumberFormat="1" applyFont="1" applyFill="1" applyBorder="1" applyAlignment="1" applyProtection="1">
      <alignment horizontal="center" vertical="top" wrapText="1"/>
      <protection locked="0"/>
    </xf>
    <xf numFmtId="0" fontId="4" fillId="4" borderId="14" xfId="0" applyFont="1" applyFill="1" applyBorder="1" applyAlignment="1" applyProtection="1">
      <alignment horizontal="center" vertical="top" wrapText="1"/>
    </xf>
    <xf numFmtId="168" fontId="18" fillId="0" borderId="0" xfId="0" applyNumberFormat="1" applyFont="1" applyAlignment="1" applyProtection="1">
      <alignment horizontal="right" vertical="top" wrapText="1"/>
    </xf>
    <xf numFmtId="169" fontId="18" fillId="0" borderId="0" xfId="0" applyNumberFormat="1" applyFont="1" applyAlignment="1" applyProtection="1">
      <alignment horizontal="center" vertical="top" wrapText="1"/>
    </xf>
    <xf numFmtId="0" fontId="18" fillId="0" borderId="0" xfId="0" applyFont="1" applyAlignment="1" applyProtection="1">
      <alignment horizontal="right" vertical="top" wrapText="1"/>
    </xf>
    <xf numFmtId="1" fontId="5" fillId="0" borderId="5" xfId="0" applyNumberFormat="1" applyFont="1" applyBorder="1" applyAlignment="1" applyProtection="1">
      <alignment horizontal="left" vertical="top" wrapText="1"/>
      <protection locked="0"/>
    </xf>
    <xf numFmtId="168" fontId="18" fillId="0" borderId="0" xfId="0" applyNumberFormat="1" applyFont="1" applyBorder="1" applyAlignment="1" applyProtection="1">
      <alignment horizontal="right" vertical="top" wrapText="1"/>
    </xf>
    <xf numFmtId="169" fontId="18" fillId="0" borderId="0" xfId="0" applyNumberFormat="1" applyFont="1" applyAlignment="1" applyProtection="1">
      <alignment horizontal="left" vertical="top" wrapText="1"/>
    </xf>
    <xf numFmtId="0" fontId="3" fillId="0" borderId="6" xfId="0" applyFont="1" applyBorder="1" applyAlignment="1" applyProtection="1">
      <alignment horizontal="center" vertical="top" wrapText="1"/>
    </xf>
    <xf numFmtId="0" fontId="3" fillId="4" borderId="1" xfId="0" applyFont="1" applyFill="1" applyBorder="1" applyAlignment="1" applyProtection="1">
      <alignment horizontal="center" vertical="top" wrapText="1"/>
    </xf>
    <xf numFmtId="0" fontId="3" fillId="3" borderId="1" xfId="0" applyFont="1" applyFill="1" applyBorder="1" applyAlignment="1" applyProtection="1">
      <alignment horizontal="center" vertical="top" wrapText="1"/>
    </xf>
    <xf numFmtId="0" fontId="3" fillId="2" borderId="1" xfId="0" applyFont="1" applyFill="1" applyBorder="1" applyAlignment="1" applyProtection="1">
      <alignment horizontal="center" vertical="top" wrapText="1"/>
    </xf>
    <xf numFmtId="0" fontId="3" fillId="0" borderId="10" xfId="0" applyFont="1" applyBorder="1" applyAlignment="1" applyProtection="1">
      <alignment horizontal="left" vertical="top" wrapText="1"/>
    </xf>
    <xf numFmtId="0" fontId="3" fillId="0" borderId="9" xfId="0" applyFont="1" applyBorder="1" applyAlignment="1" applyProtection="1">
      <alignment horizontal="left" vertical="top" wrapText="1"/>
    </xf>
    <xf numFmtId="0" fontId="3" fillId="0" borderId="16" xfId="0" applyFont="1" applyBorder="1" applyAlignment="1" applyProtection="1">
      <alignment horizontal="left" vertical="top" wrapText="1"/>
    </xf>
    <xf numFmtId="0" fontId="3" fillId="0" borderId="9" xfId="0" applyFont="1" applyFill="1" applyBorder="1" applyAlignment="1" applyProtection="1">
      <alignment horizontal="left" vertical="top" wrapText="1"/>
    </xf>
    <xf numFmtId="0" fontId="3" fillId="0" borderId="17" xfId="0" applyFont="1" applyBorder="1" applyAlignment="1" applyProtection="1">
      <alignment horizontal="left" vertical="top" wrapText="1"/>
    </xf>
    <xf numFmtId="0" fontId="5" fillId="0" borderId="12" xfId="0" applyFont="1" applyBorder="1" applyAlignment="1" applyProtection="1">
      <alignment vertical="top" wrapText="1"/>
      <protection locked="0"/>
    </xf>
    <xf numFmtId="0" fontId="5" fillId="0" borderId="4" xfId="0" applyFont="1" applyBorder="1" applyAlignment="1" applyProtection="1">
      <alignment vertical="top" wrapText="1"/>
      <protection locked="0"/>
    </xf>
    <xf numFmtId="0" fontId="5" fillId="0" borderId="4" xfId="0" applyFont="1" applyFill="1" applyBorder="1" applyAlignment="1" applyProtection="1">
      <alignment vertical="top" wrapText="1"/>
      <protection locked="0"/>
    </xf>
    <xf numFmtId="0" fontId="5" fillId="0" borderId="18" xfId="0" applyFont="1" applyFill="1" applyBorder="1" applyAlignment="1" applyProtection="1">
      <alignment vertical="top" wrapText="1"/>
      <protection locked="0"/>
    </xf>
    <xf numFmtId="0" fontId="4" fillId="0" borderId="13" xfId="0" applyFont="1" applyBorder="1" applyAlignment="1" applyProtection="1">
      <alignment horizontal="center" vertical="top" wrapText="1"/>
    </xf>
    <xf numFmtId="0" fontId="5" fillId="0" borderId="0" xfId="0" applyFont="1" applyAlignment="1" applyProtection="1">
      <alignment vertical="top" wrapText="1"/>
      <protection locked="0"/>
    </xf>
    <xf numFmtId="0" fontId="5" fillId="0" borderId="5" xfId="0" applyFont="1" applyBorder="1" applyAlignment="1" applyProtection="1">
      <alignment vertical="top" wrapText="1"/>
      <protection locked="0"/>
    </xf>
    <xf numFmtId="0" fontId="5" fillId="0" borderId="19" xfId="0" applyFont="1" applyBorder="1" applyAlignment="1" applyProtection="1">
      <alignment vertical="top" wrapText="1"/>
      <protection locked="0"/>
    </xf>
    <xf numFmtId="0" fontId="5" fillId="0" borderId="20"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5" fillId="0" borderId="16" xfId="0" applyFont="1" applyBorder="1" applyAlignment="1" applyProtection="1">
      <alignment vertical="top"/>
      <protection locked="0"/>
    </xf>
    <xf numFmtId="168" fontId="5" fillId="4" borderId="19" xfId="0" applyNumberFormat="1" applyFont="1" applyFill="1" applyBorder="1" applyAlignment="1" applyProtection="1">
      <alignment horizontal="center" vertical="top" wrapText="1"/>
      <protection locked="0"/>
    </xf>
    <xf numFmtId="1" fontId="5" fillId="3" borderId="19" xfId="0" applyNumberFormat="1" applyFont="1" applyFill="1" applyBorder="1" applyAlignment="1" applyProtection="1">
      <alignment horizontal="center" vertical="top" wrapText="1"/>
      <protection locked="0"/>
    </xf>
    <xf numFmtId="168" fontId="5" fillId="3" borderId="19" xfId="0" applyNumberFormat="1" applyFont="1" applyFill="1" applyBorder="1" applyAlignment="1" applyProtection="1">
      <alignment horizontal="center" vertical="top" wrapText="1"/>
      <protection locked="0"/>
    </xf>
    <xf numFmtId="1" fontId="5" fillId="2" borderId="19" xfId="0" applyNumberFormat="1" applyFont="1" applyFill="1" applyBorder="1" applyAlignment="1" applyProtection="1">
      <alignment horizontal="center" vertical="top" wrapText="1"/>
      <protection locked="0"/>
    </xf>
    <xf numFmtId="168" fontId="5" fillId="2" borderId="19" xfId="0" applyNumberFormat="1" applyFont="1" applyFill="1" applyBorder="1" applyAlignment="1" applyProtection="1">
      <alignment horizontal="center" vertical="top" wrapText="1"/>
      <protection locked="0"/>
    </xf>
    <xf numFmtId="0" fontId="3" fillId="0" borderId="6" xfId="0" applyFont="1" applyBorder="1" applyAlignment="1" applyProtection="1">
      <alignment horizontal="left" vertical="top" wrapText="1"/>
      <protection locked="0"/>
    </xf>
    <xf numFmtId="1" fontId="3" fillId="0" borderId="1" xfId="0" applyNumberFormat="1" applyFont="1" applyBorder="1" applyAlignment="1" applyProtection="1">
      <alignment horizontal="center" vertical="top" wrapText="1"/>
      <protection locked="0"/>
    </xf>
    <xf numFmtId="0" fontId="3" fillId="0" borderId="2" xfId="0" applyFont="1" applyBorder="1" applyAlignment="1" applyProtection="1">
      <alignment horizontal="center" vertical="top" wrapText="1"/>
      <protection locked="0"/>
    </xf>
    <xf numFmtId="0" fontId="3" fillId="0" borderId="0" xfId="0" applyFont="1" applyAlignment="1" applyProtection="1">
      <alignment horizontal="left" vertical="top" wrapText="1" indent="1"/>
    </xf>
    <xf numFmtId="0" fontId="3" fillId="4" borderId="13" xfId="0" applyFont="1" applyFill="1" applyBorder="1" applyAlignment="1" applyProtection="1">
      <alignment horizontal="center" vertical="top" wrapText="1"/>
    </xf>
    <xf numFmtId="168" fontId="5" fillId="4" borderId="14" xfId="0" applyNumberFormat="1" applyFont="1" applyFill="1" applyBorder="1" applyAlignment="1" applyProtection="1">
      <alignment horizontal="center" vertical="top" wrapText="1"/>
    </xf>
    <xf numFmtId="1" fontId="5" fillId="4" borderId="14" xfId="0" applyNumberFormat="1" applyFont="1" applyFill="1" applyBorder="1" applyAlignment="1" applyProtection="1">
      <alignment horizontal="center" vertical="top" wrapText="1"/>
    </xf>
    <xf numFmtId="0" fontId="5" fillId="4" borderId="17" xfId="0" applyFont="1" applyFill="1" applyBorder="1" applyAlignment="1" applyProtection="1">
      <alignment horizontal="right" vertical="top" wrapText="1"/>
      <protection locked="0"/>
    </xf>
    <xf numFmtId="168" fontId="5" fillId="4" borderId="21" xfId="0" applyNumberFormat="1" applyFont="1" applyFill="1" applyBorder="1" applyAlignment="1" applyProtection="1">
      <alignment horizontal="center" vertical="top" wrapText="1"/>
      <protection locked="0"/>
    </xf>
    <xf numFmtId="1" fontId="5" fillId="4" borderId="21" xfId="0" applyNumberFormat="1" applyFont="1" applyFill="1" applyBorder="1" applyAlignment="1" applyProtection="1">
      <alignment horizontal="center" vertical="top" wrapText="1"/>
      <protection locked="0"/>
    </xf>
    <xf numFmtId="0" fontId="3" fillId="4" borderId="10" xfId="0" applyFont="1" applyFill="1" applyBorder="1" applyAlignment="1" applyProtection="1">
      <alignment horizontal="center" vertical="top" wrapText="1"/>
      <protection locked="0"/>
    </xf>
    <xf numFmtId="0" fontId="5" fillId="4" borderId="16" xfId="0" applyFont="1" applyFill="1" applyBorder="1" applyAlignment="1" applyProtection="1">
      <alignment horizontal="right" vertical="top" wrapText="1"/>
      <protection locked="0"/>
    </xf>
    <xf numFmtId="1" fontId="5" fillId="4" borderId="19" xfId="0" applyNumberFormat="1" applyFont="1" applyFill="1" applyBorder="1" applyAlignment="1" applyProtection="1">
      <alignment horizontal="center" vertical="top" wrapText="1"/>
      <protection locked="0"/>
    </xf>
    <xf numFmtId="0" fontId="3" fillId="4" borderId="6" xfId="0" applyFont="1" applyFill="1" applyBorder="1" applyAlignment="1" applyProtection="1">
      <alignment horizontal="right" vertical="top" wrapText="1"/>
      <protection locked="0"/>
    </xf>
    <xf numFmtId="0" fontId="5" fillId="4" borderId="1" xfId="0" applyFont="1" applyFill="1" applyBorder="1" applyAlignment="1" applyProtection="1">
      <alignment horizontal="center" vertical="top" wrapText="1"/>
      <protection locked="0"/>
    </xf>
    <xf numFmtId="168" fontId="5" fillId="4" borderId="1" xfId="0" applyNumberFormat="1" applyFont="1" applyFill="1" applyBorder="1" applyAlignment="1" applyProtection="1">
      <alignment horizontal="center" vertical="top" wrapText="1"/>
      <protection locked="0"/>
    </xf>
    <xf numFmtId="1" fontId="5" fillId="4" borderId="1" xfId="0" applyNumberFormat="1" applyFont="1" applyFill="1" applyBorder="1" applyAlignment="1" applyProtection="1">
      <alignment horizontal="center" vertical="top" wrapText="1"/>
      <protection locked="0"/>
    </xf>
    <xf numFmtId="0" fontId="5" fillId="4" borderId="2" xfId="0" applyFont="1" applyFill="1" applyBorder="1" applyAlignment="1" applyProtection="1">
      <alignment horizontal="center" vertical="top" wrapText="1"/>
      <protection locked="0"/>
    </xf>
    <xf numFmtId="0" fontId="5" fillId="3" borderId="17" xfId="0" applyFont="1" applyFill="1" applyBorder="1" applyAlignment="1" applyProtection="1">
      <alignment horizontal="right" vertical="top" wrapText="1"/>
      <protection locked="0"/>
    </xf>
    <xf numFmtId="168" fontId="5" fillId="3" borderId="21" xfId="0" applyNumberFormat="1" applyFont="1" applyFill="1" applyBorder="1" applyAlignment="1" applyProtection="1">
      <alignment horizontal="center" vertical="top" wrapText="1"/>
      <protection locked="0"/>
    </xf>
    <xf numFmtId="1" fontId="5" fillId="3" borderId="21" xfId="0" applyNumberFormat="1" applyFont="1" applyFill="1" applyBorder="1" applyAlignment="1" applyProtection="1">
      <alignment horizontal="center" vertical="top" wrapText="1"/>
      <protection locked="0"/>
    </xf>
    <xf numFmtId="0" fontId="3" fillId="3" borderId="10" xfId="0" applyFont="1" applyFill="1" applyBorder="1" applyAlignment="1" applyProtection="1">
      <alignment horizontal="center" vertical="top" wrapText="1"/>
      <protection locked="0"/>
    </xf>
    <xf numFmtId="0" fontId="5" fillId="3" borderId="16" xfId="0" applyFont="1" applyFill="1" applyBorder="1" applyAlignment="1" applyProtection="1">
      <alignment horizontal="right" vertical="top" wrapText="1"/>
      <protection locked="0"/>
    </xf>
    <xf numFmtId="0" fontId="3" fillId="3" borderId="6" xfId="0" applyFont="1" applyFill="1" applyBorder="1" applyAlignment="1" applyProtection="1">
      <alignment horizontal="right" vertical="top" wrapText="1"/>
      <protection locked="0"/>
    </xf>
    <xf numFmtId="0" fontId="5" fillId="3" borderId="1" xfId="0" applyFont="1" applyFill="1" applyBorder="1" applyAlignment="1" applyProtection="1">
      <alignment horizontal="center" vertical="top" wrapText="1"/>
      <protection locked="0"/>
    </xf>
    <xf numFmtId="168" fontId="5" fillId="3" borderId="1" xfId="0" applyNumberFormat="1" applyFont="1" applyFill="1" applyBorder="1" applyAlignment="1" applyProtection="1">
      <alignment horizontal="center" vertical="top" wrapText="1"/>
      <protection locked="0"/>
    </xf>
    <xf numFmtId="1" fontId="5" fillId="3" borderId="1" xfId="0" applyNumberFormat="1" applyFont="1" applyFill="1" applyBorder="1" applyAlignment="1" applyProtection="1">
      <alignment horizontal="center" vertical="top" wrapText="1"/>
      <protection locked="0"/>
    </xf>
    <xf numFmtId="0" fontId="5" fillId="3" borderId="2" xfId="0" applyFont="1" applyFill="1" applyBorder="1" applyAlignment="1" applyProtection="1">
      <alignment horizontal="center" vertical="top" wrapText="1"/>
      <protection locked="0"/>
    </xf>
    <xf numFmtId="0" fontId="5" fillId="2" borderId="17" xfId="0" applyFont="1" applyFill="1" applyBorder="1" applyAlignment="1" applyProtection="1">
      <alignment horizontal="right" vertical="top" wrapText="1"/>
      <protection locked="0"/>
    </xf>
    <xf numFmtId="168" fontId="5" fillId="2" borderId="21" xfId="0" applyNumberFormat="1" applyFont="1" applyFill="1" applyBorder="1" applyAlignment="1" applyProtection="1">
      <alignment horizontal="center" vertical="top" wrapText="1"/>
      <protection locked="0"/>
    </xf>
    <xf numFmtId="1" fontId="5" fillId="2" borderId="21" xfId="0" applyNumberFormat="1" applyFont="1" applyFill="1" applyBorder="1" applyAlignment="1" applyProtection="1">
      <alignment horizontal="center" vertical="top" wrapText="1"/>
      <protection locked="0"/>
    </xf>
    <xf numFmtId="0" fontId="3" fillId="2" borderId="10" xfId="0" applyFont="1" applyFill="1" applyBorder="1" applyAlignment="1" applyProtection="1">
      <alignment horizontal="center" vertical="top" wrapText="1"/>
      <protection locked="0"/>
    </xf>
    <xf numFmtId="0" fontId="5" fillId="2" borderId="16" xfId="0" applyFont="1" applyFill="1" applyBorder="1" applyAlignment="1" applyProtection="1">
      <alignment horizontal="right" vertical="top" wrapText="1"/>
      <protection locked="0"/>
    </xf>
    <xf numFmtId="0" fontId="3" fillId="2" borderId="13" xfId="0" applyFont="1" applyFill="1" applyBorder="1" applyAlignment="1" applyProtection="1">
      <alignment horizontal="right" vertical="top" wrapText="1"/>
      <protection locked="0"/>
    </xf>
    <xf numFmtId="0" fontId="5" fillId="2" borderId="14" xfId="0" applyFont="1" applyFill="1" applyBorder="1" applyAlignment="1" applyProtection="1">
      <alignment horizontal="center" vertical="top" wrapText="1"/>
      <protection locked="0"/>
    </xf>
    <xf numFmtId="168" fontId="5" fillId="2" borderId="14" xfId="0" applyNumberFormat="1" applyFont="1" applyFill="1" applyBorder="1" applyAlignment="1" applyProtection="1">
      <alignment horizontal="center" vertical="top" wrapText="1"/>
      <protection locked="0"/>
    </xf>
    <xf numFmtId="1" fontId="5" fillId="2" borderId="14" xfId="0" applyNumberFormat="1" applyFont="1" applyFill="1" applyBorder="1" applyAlignment="1" applyProtection="1">
      <alignment horizontal="center" vertical="top" wrapText="1"/>
      <protection locked="0"/>
    </xf>
    <xf numFmtId="0" fontId="5" fillId="2" borderId="15" xfId="0" applyFont="1" applyFill="1" applyBorder="1" applyAlignment="1" applyProtection="1">
      <alignment horizontal="center" vertical="top" wrapText="1"/>
      <protection locked="0"/>
    </xf>
    <xf numFmtId="0" fontId="3" fillId="0" borderId="6" xfId="0" applyFont="1" applyBorder="1" applyAlignment="1" applyProtection="1">
      <alignment horizontal="right" vertical="top" wrapText="1"/>
      <protection locked="0"/>
    </xf>
    <xf numFmtId="0" fontId="3" fillId="0" borderId="1" xfId="0" applyFont="1" applyBorder="1" applyAlignment="1" applyProtection="1">
      <alignment horizontal="center" vertical="top" wrapText="1"/>
      <protection locked="0"/>
    </xf>
    <xf numFmtId="168" fontId="3" fillId="0" borderId="1" xfId="0" applyNumberFormat="1" applyFont="1" applyBorder="1" applyAlignment="1" applyProtection="1">
      <alignment horizontal="center" vertical="top" wrapText="1"/>
      <protection locked="0"/>
    </xf>
    <xf numFmtId="0" fontId="3" fillId="0" borderId="0" xfId="0" applyFont="1" applyFill="1" applyAlignment="1" applyProtection="1">
      <alignment vertical="top" wrapText="1"/>
    </xf>
    <xf numFmtId="0" fontId="7" fillId="0" borderId="0" xfId="0" applyFont="1" applyBorder="1" applyAlignment="1" applyProtection="1">
      <alignment horizontal="left" vertical="top" wrapText="1"/>
    </xf>
    <xf numFmtId="0" fontId="4" fillId="0" borderId="22" xfId="0" applyFont="1" applyBorder="1" applyAlignment="1" applyProtection="1">
      <alignment horizontal="center" vertical="top" wrapText="1"/>
    </xf>
    <xf numFmtId="0" fontId="4" fillId="2" borderId="23" xfId="0" applyFont="1" applyFill="1" applyBorder="1" applyAlignment="1" applyProtection="1">
      <alignment horizontal="center" vertical="top" wrapText="1"/>
    </xf>
    <xf numFmtId="169" fontId="4" fillId="0" borderId="15" xfId="0" applyNumberFormat="1" applyFont="1" applyBorder="1" applyAlignment="1" applyProtection="1">
      <alignment horizontal="center" vertical="top" wrapText="1"/>
    </xf>
    <xf numFmtId="0" fontId="4" fillId="0" borderId="6" xfId="0" applyFont="1" applyBorder="1" applyAlignment="1" applyProtection="1">
      <alignment horizontal="center" vertical="top" wrapText="1"/>
    </xf>
    <xf numFmtId="0" fontId="4" fillId="0" borderId="24" xfId="0" applyFont="1" applyBorder="1" applyAlignment="1" applyProtection="1">
      <alignment horizontal="center" vertical="top" wrapText="1"/>
    </xf>
    <xf numFmtId="0" fontId="4" fillId="4" borderId="1" xfId="0" applyFont="1" applyFill="1" applyBorder="1" applyAlignment="1" applyProtection="1">
      <alignment horizontal="center" vertical="top" wrapText="1"/>
    </xf>
    <xf numFmtId="0" fontId="4" fillId="3" borderId="1" xfId="0" applyFont="1" applyFill="1" applyBorder="1" applyAlignment="1" applyProtection="1">
      <alignment horizontal="center" vertical="top" wrapText="1"/>
    </xf>
    <xf numFmtId="0" fontId="4" fillId="2" borderId="25" xfId="0" applyFont="1" applyFill="1" applyBorder="1" applyAlignment="1" applyProtection="1">
      <alignment horizontal="center" vertical="top" wrapText="1"/>
    </xf>
    <xf numFmtId="169" fontId="4" fillId="0" borderId="2" xfId="0" applyNumberFormat="1" applyFont="1" applyBorder="1" applyAlignment="1" applyProtection="1">
      <alignment horizontal="center" vertical="top" wrapText="1"/>
    </xf>
    <xf numFmtId="0" fontId="20" fillId="0" borderId="0" xfId="0" applyFont="1" applyFill="1" applyBorder="1" applyAlignment="1" applyProtection="1">
      <alignment horizontal="right" vertical="top" wrapText="1"/>
    </xf>
    <xf numFmtId="0" fontId="20" fillId="0" borderId="0" xfId="0" applyFont="1" applyFill="1" applyAlignment="1" applyProtection="1">
      <alignment vertical="top" wrapText="1"/>
    </xf>
    <xf numFmtId="0" fontId="5" fillId="0" borderId="10" xfId="0" applyFont="1" applyBorder="1" applyAlignment="1" applyProtection="1">
      <alignment vertical="top" wrapText="1"/>
      <protection locked="0"/>
    </xf>
    <xf numFmtId="0" fontId="5" fillId="0" borderId="26" xfId="0" applyFont="1" applyBorder="1" applyAlignment="1" applyProtection="1">
      <alignment vertical="top" wrapText="1"/>
      <protection locked="0"/>
    </xf>
    <xf numFmtId="169" fontId="5" fillId="4" borderId="11" xfId="0" applyNumberFormat="1" applyFont="1" applyFill="1" applyBorder="1" applyAlignment="1" applyProtection="1">
      <alignment horizontal="right" vertical="top" wrapText="1"/>
      <protection locked="0"/>
    </xf>
    <xf numFmtId="169" fontId="5" fillId="3" borderId="27" xfId="0" applyNumberFormat="1" applyFont="1" applyFill="1" applyBorder="1" applyAlignment="1" applyProtection="1">
      <alignment horizontal="right" vertical="top" wrapText="1"/>
      <protection locked="0"/>
    </xf>
    <xf numFmtId="169" fontId="5" fillId="2" borderId="27" xfId="0" applyNumberFormat="1" applyFont="1" applyFill="1" applyBorder="1" applyAlignment="1" applyProtection="1">
      <alignment horizontal="right" vertical="top" wrapText="1"/>
      <protection locked="0"/>
    </xf>
    <xf numFmtId="0" fontId="5" fillId="0" borderId="9" xfId="0" applyFont="1" applyBorder="1" applyAlignment="1" applyProtection="1">
      <alignment vertical="top" wrapText="1"/>
      <protection locked="0"/>
    </xf>
    <xf numFmtId="169" fontId="5" fillId="3" borderId="28" xfId="0" applyNumberFormat="1" applyFont="1" applyFill="1" applyBorder="1" applyAlignment="1" applyProtection="1">
      <alignment horizontal="right" vertical="top" wrapText="1"/>
      <protection locked="0"/>
    </xf>
    <xf numFmtId="169" fontId="5" fillId="2" borderId="28" xfId="0" applyNumberFormat="1" applyFont="1" applyFill="1" applyBorder="1" applyAlignment="1" applyProtection="1">
      <alignment horizontal="right" vertical="top" wrapText="1"/>
      <protection locked="0"/>
    </xf>
    <xf numFmtId="49" fontId="10" fillId="0" borderId="0" xfId="0" applyNumberFormat="1" applyFont="1" applyAlignment="1" applyProtection="1">
      <alignment horizontal="center" vertical="center" wrapText="1"/>
    </xf>
    <xf numFmtId="0" fontId="5" fillId="0" borderId="0" xfId="0" applyFont="1" applyAlignment="1" applyProtection="1">
      <alignment wrapText="1"/>
    </xf>
    <xf numFmtId="0" fontId="0" fillId="0" borderId="0" xfId="0" applyAlignment="1" applyProtection="1">
      <alignment wrapText="1"/>
    </xf>
    <xf numFmtId="49" fontId="17" fillId="0" borderId="0" xfId="0" applyNumberFormat="1" applyFont="1" applyAlignment="1" applyProtection="1">
      <alignment horizontal="left" vertical="top" wrapText="1"/>
    </xf>
    <xf numFmtId="0" fontId="22" fillId="0" borderId="0" xfId="0" applyFont="1" applyAlignment="1" applyProtection="1">
      <alignment vertical="center" wrapText="1"/>
    </xf>
    <xf numFmtId="0" fontId="13" fillId="0" borderId="0" xfId="0" applyFont="1" applyAlignment="1" applyProtection="1">
      <alignment vertical="top" wrapText="1"/>
    </xf>
    <xf numFmtId="0" fontId="13" fillId="0" borderId="0" xfId="0" applyFont="1" applyAlignment="1" applyProtection="1">
      <alignment horizontal="center" vertical="top" wrapText="1"/>
    </xf>
    <xf numFmtId="0" fontId="17" fillId="0" borderId="0" xfId="0" applyFont="1" applyAlignment="1" applyProtection="1">
      <alignment vertical="top" wrapText="1"/>
    </xf>
    <xf numFmtId="0" fontId="17" fillId="0" borderId="0" xfId="0" applyFont="1" applyFill="1" applyAlignment="1" applyProtection="1">
      <alignment vertical="top" wrapText="1"/>
    </xf>
    <xf numFmtId="169" fontId="24" fillId="0" borderId="5" xfId="0" applyNumberFormat="1" applyFont="1" applyBorder="1" applyAlignment="1" applyProtection="1">
      <alignment horizontal="right" vertical="center"/>
      <protection locked="0"/>
    </xf>
    <xf numFmtId="169" fontId="24" fillId="0" borderId="28" xfId="0" applyNumberFormat="1" applyFont="1" applyBorder="1" applyAlignment="1" applyProtection="1">
      <alignment horizontal="right" vertical="center"/>
      <protection locked="0"/>
    </xf>
    <xf numFmtId="0" fontId="0" fillId="0" borderId="0" xfId="0" applyAlignment="1" applyProtection="1">
      <alignment vertical="center"/>
    </xf>
    <xf numFmtId="0" fontId="23" fillId="0" borderId="0" xfId="0" applyFont="1" applyBorder="1" applyAlignment="1" applyProtection="1">
      <alignment horizontal="right" vertical="center"/>
    </xf>
    <xf numFmtId="0" fontId="24" fillId="0" borderId="0" xfId="0" applyFont="1" applyAlignment="1" applyProtection="1">
      <alignment vertical="center"/>
    </xf>
    <xf numFmtId="0" fontId="0" fillId="0" borderId="0" xfId="0" applyAlignment="1" applyProtection="1">
      <alignment horizontal="center" vertical="center"/>
    </xf>
    <xf numFmtId="0" fontId="26" fillId="0" borderId="0" xfId="0" applyFont="1" applyAlignment="1" applyProtection="1">
      <alignment horizontal="right" vertical="center"/>
    </xf>
    <xf numFmtId="0" fontId="24" fillId="0" borderId="28" xfId="0" applyFont="1" applyBorder="1" applyAlignment="1" applyProtection="1">
      <alignment horizontal="center" vertical="center"/>
    </xf>
    <xf numFmtId="0" fontId="24" fillId="5" borderId="29" xfId="0" applyFont="1" applyFill="1" applyBorder="1" applyAlignment="1" applyProtection="1">
      <alignment horizontal="center" vertical="center"/>
    </xf>
    <xf numFmtId="0" fontId="24" fillId="0" borderId="29" xfId="0" applyFont="1" applyBorder="1" applyAlignment="1" applyProtection="1">
      <alignment horizontal="center" vertical="center"/>
    </xf>
    <xf numFmtId="0" fontId="24" fillId="0" borderId="0" xfId="0" applyFont="1" applyAlignment="1" applyProtection="1">
      <alignment horizontal="center" vertical="center"/>
    </xf>
    <xf numFmtId="0" fontId="24" fillId="0" borderId="30" xfId="0" applyFont="1" applyBorder="1" applyAlignment="1" applyProtection="1">
      <alignment horizontal="center" vertical="top"/>
    </xf>
    <xf numFmtId="0" fontId="24" fillId="0" borderId="29" xfId="0" applyFont="1" applyBorder="1" applyAlignment="1" applyProtection="1">
      <alignment horizontal="center" vertical="top"/>
    </xf>
    <xf numFmtId="0" fontId="24" fillId="5" borderId="29" xfId="0" applyFont="1" applyFill="1" applyBorder="1" applyAlignment="1" applyProtection="1">
      <alignment horizontal="center" vertical="top"/>
    </xf>
    <xf numFmtId="0" fontId="28" fillId="0" borderId="20" xfId="0" applyFont="1" applyBorder="1" applyAlignment="1" applyProtection="1">
      <alignment horizontal="left" vertical="center"/>
    </xf>
    <xf numFmtId="0" fontId="28" fillId="0" borderId="5" xfId="0" applyFont="1" applyBorder="1" applyAlignment="1" applyProtection="1">
      <alignment horizontal="center" vertical="center"/>
    </xf>
    <xf numFmtId="169" fontId="28" fillId="5" borderId="5" xfId="0" applyNumberFormat="1" applyFont="1" applyFill="1" applyBorder="1" applyAlignment="1" applyProtection="1">
      <alignment horizontal="right" vertical="center"/>
    </xf>
    <xf numFmtId="169" fontId="28" fillId="0" borderId="5" xfId="0" applyNumberFormat="1" applyFont="1" applyBorder="1" applyAlignment="1" applyProtection="1">
      <alignment horizontal="right" vertical="center"/>
    </xf>
    <xf numFmtId="0" fontId="28" fillId="0" borderId="0" xfId="0" applyFont="1" applyAlignment="1" applyProtection="1">
      <alignment vertical="center"/>
    </xf>
    <xf numFmtId="0" fontId="28" fillId="0" borderId="26" xfId="0" applyFont="1" applyBorder="1" applyAlignment="1" applyProtection="1">
      <alignment horizontal="left" vertical="center"/>
    </xf>
    <xf numFmtId="0" fontId="28" fillId="0" borderId="11" xfId="0" applyFont="1" applyBorder="1" applyAlignment="1" applyProtection="1">
      <alignment horizontal="center" vertical="center"/>
    </xf>
    <xf numFmtId="169" fontId="28" fillId="5" borderId="11" xfId="0" applyNumberFormat="1" applyFont="1" applyFill="1" applyBorder="1" applyAlignment="1" applyProtection="1">
      <alignment horizontal="right" vertical="center"/>
    </xf>
    <xf numFmtId="169" fontId="28" fillId="0" borderId="11" xfId="0" applyNumberFormat="1" applyFont="1" applyBorder="1" applyAlignment="1" applyProtection="1">
      <alignment horizontal="right" vertical="center"/>
    </xf>
    <xf numFmtId="0" fontId="24" fillId="0" borderId="26" xfId="0" applyFont="1" applyBorder="1" applyAlignment="1" applyProtection="1">
      <alignment horizontal="center" vertical="center"/>
    </xf>
    <xf numFmtId="0" fontId="28" fillId="0" borderId="20" xfId="0" applyFont="1" applyBorder="1" applyAlignment="1" applyProtection="1">
      <alignment horizontal="center" vertical="center"/>
    </xf>
    <xf numFmtId="49" fontId="24" fillId="0" borderId="28" xfId="0" applyNumberFormat="1" applyFont="1" applyBorder="1" applyAlignment="1" applyProtection="1">
      <alignment horizontal="left" vertical="center"/>
    </xf>
    <xf numFmtId="0" fontId="24" fillId="0" borderId="0" xfId="0" applyFont="1" applyBorder="1" applyAlignment="1" applyProtection="1">
      <alignment vertical="center"/>
    </xf>
    <xf numFmtId="169" fontId="28" fillId="0" borderId="31" xfId="0" applyNumberFormat="1" applyFont="1" applyBorder="1" applyAlignment="1" applyProtection="1">
      <alignment horizontal="right" vertical="center"/>
    </xf>
    <xf numFmtId="169" fontId="28" fillId="0" borderId="28" xfId="0" applyNumberFormat="1" applyFont="1" applyBorder="1" applyAlignment="1" applyProtection="1">
      <alignment horizontal="right" vertical="center"/>
    </xf>
    <xf numFmtId="49" fontId="24" fillId="0" borderId="32" xfId="0" applyNumberFormat="1" applyFont="1" applyBorder="1" applyAlignment="1" applyProtection="1">
      <alignment vertical="center"/>
    </xf>
    <xf numFmtId="49" fontId="24" fillId="0" borderId="0" xfId="0" applyNumberFormat="1" applyFont="1" applyBorder="1" applyAlignment="1" applyProtection="1">
      <alignment vertical="center"/>
    </xf>
    <xf numFmtId="169" fontId="28" fillId="0" borderId="0" xfId="0" applyNumberFormat="1" applyFont="1" applyBorder="1" applyAlignment="1" applyProtection="1">
      <alignment horizontal="right" vertical="center"/>
    </xf>
    <xf numFmtId="0" fontId="27" fillId="0" borderId="0" xfId="0" applyFont="1" applyAlignment="1" applyProtection="1">
      <alignment horizontal="right" vertical="center" wrapText="1"/>
    </xf>
    <xf numFmtId="0" fontId="29" fillId="0" borderId="0" xfId="0" applyFont="1" applyAlignment="1" applyProtection="1">
      <alignment horizontal="center" vertical="center"/>
    </xf>
    <xf numFmtId="0" fontId="24" fillId="0" borderId="0" xfId="0" applyFont="1" applyAlignment="1" applyProtection="1">
      <alignment horizontal="right" vertical="center"/>
    </xf>
    <xf numFmtId="0" fontId="0" fillId="0" borderId="0" xfId="0" applyAlignment="1" applyProtection="1"/>
    <xf numFmtId="0" fontId="31" fillId="0" borderId="0" xfId="0" applyFont="1" applyAlignment="1" applyProtection="1">
      <alignment horizontal="left" vertical="center"/>
    </xf>
    <xf numFmtId="0" fontId="24" fillId="0" borderId="31" xfId="0" applyFont="1" applyBorder="1" applyAlignment="1" applyProtection="1">
      <alignment horizontal="center" vertical="center"/>
    </xf>
    <xf numFmtId="169" fontId="24" fillId="0" borderId="5" xfId="0" applyNumberFormat="1" applyFont="1" applyBorder="1" applyAlignment="1" applyProtection="1">
      <alignment horizontal="right" vertical="center"/>
    </xf>
    <xf numFmtId="169" fontId="24" fillId="0" borderId="28" xfId="0" applyNumberFormat="1" applyFont="1" applyBorder="1" applyAlignment="1" applyProtection="1">
      <alignment horizontal="right" vertical="center"/>
    </xf>
    <xf numFmtId="49" fontId="24" fillId="0" borderId="33" xfId="0" applyNumberFormat="1" applyFont="1" applyBorder="1" applyAlignment="1" applyProtection="1">
      <alignment vertical="center"/>
    </xf>
    <xf numFmtId="169" fontId="24" fillId="0" borderId="11" xfId="0" applyNumberFormat="1" applyFont="1" applyBorder="1" applyAlignment="1" applyProtection="1">
      <alignment horizontal="right" vertical="center"/>
    </xf>
    <xf numFmtId="169" fontId="24" fillId="0" borderId="27" xfId="0" applyNumberFormat="1" applyFont="1" applyBorder="1" applyAlignment="1" applyProtection="1">
      <alignment horizontal="right" vertical="center"/>
    </xf>
    <xf numFmtId="0" fontId="24" fillId="0" borderId="34" xfId="0" applyFont="1" applyBorder="1" applyAlignment="1" applyProtection="1">
      <alignment vertical="top"/>
    </xf>
    <xf numFmtId="0" fontId="24" fillId="0" borderId="35" xfId="0" applyFont="1" applyBorder="1" applyAlignment="1" applyProtection="1">
      <alignment vertical="top"/>
    </xf>
    <xf numFmtId="0" fontId="32" fillId="0" borderId="0" xfId="0" applyFont="1" applyAlignment="1" applyProtection="1">
      <alignment horizontal="center" vertical="center"/>
    </xf>
    <xf numFmtId="49" fontId="3" fillId="0" borderId="0" xfId="0" applyNumberFormat="1" applyFont="1" applyAlignment="1">
      <alignment horizontal="left" vertical="top" wrapText="1"/>
    </xf>
    <xf numFmtId="0" fontId="7" fillId="0" borderId="33" xfId="0" applyFont="1" applyBorder="1" applyAlignment="1" applyProtection="1">
      <alignment horizontal="left" wrapText="1" indent="1"/>
      <protection locked="0"/>
    </xf>
    <xf numFmtId="0" fontId="3" fillId="0" borderId="36" xfId="0" applyFont="1" applyBorder="1" applyAlignment="1" applyProtection="1">
      <alignment horizontal="left" vertical="top" wrapText="1" indent="2"/>
    </xf>
    <xf numFmtId="0" fontId="3" fillId="0" borderId="36" xfId="0" applyFont="1" applyBorder="1" applyAlignment="1" applyProtection="1">
      <alignment horizontal="right" vertical="top" wrapText="1"/>
    </xf>
    <xf numFmtId="169" fontId="5" fillId="4" borderId="5" xfId="0" applyNumberFormat="1" applyFont="1" applyFill="1" applyBorder="1" applyAlignment="1" applyProtection="1">
      <alignment horizontal="right" vertical="top" wrapText="1"/>
    </xf>
    <xf numFmtId="169" fontId="5" fillId="3" borderId="5" xfId="0" applyNumberFormat="1" applyFont="1" applyFill="1" applyBorder="1" applyAlignment="1" applyProtection="1">
      <alignment horizontal="right" vertical="top" wrapText="1"/>
    </xf>
    <xf numFmtId="169" fontId="5" fillId="2" borderId="5" xfId="0" applyNumberFormat="1" applyFont="1" applyFill="1" applyBorder="1" applyAlignment="1" applyProtection="1">
      <alignment horizontal="right" vertical="top" wrapText="1"/>
    </xf>
    <xf numFmtId="169" fontId="5" fillId="0" borderId="11" xfId="0" applyNumberFormat="1" applyFont="1" applyBorder="1" applyAlignment="1" applyProtection="1">
      <alignment horizontal="right" vertical="top" wrapText="1"/>
    </xf>
    <xf numFmtId="169" fontId="5" fillId="4" borderId="11" xfId="0" applyNumberFormat="1" applyFont="1" applyFill="1" applyBorder="1" applyAlignment="1" applyProtection="1">
      <alignment horizontal="right" vertical="top" wrapText="1"/>
    </xf>
    <xf numFmtId="169" fontId="5" fillId="3" borderId="11" xfId="0" applyNumberFormat="1" applyFont="1" applyFill="1" applyBorder="1" applyAlignment="1" applyProtection="1">
      <alignment horizontal="right" vertical="top" wrapText="1"/>
    </xf>
    <xf numFmtId="169" fontId="5" fillId="2" borderId="11" xfId="0" applyNumberFormat="1" applyFont="1" applyFill="1" applyBorder="1" applyAlignment="1" applyProtection="1">
      <alignment horizontal="right" vertical="top" wrapText="1"/>
    </xf>
    <xf numFmtId="170" fontId="5" fillId="0" borderId="11" xfId="0" applyNumberFormat="1" applyFont="1" applyBorder="1" applyAlignment="1" applyProtection="1">
      <alignment horizontal="right" vertical="top" wrapText="1"/>
    </xf>
    <xf numFmtId="170" fontId="33" fillId="0" borderId="11" xfId="0" applyNumberFormat="1" applyFont="1" applyBorder="1" applyAlignment="1" applyProtection="1">
      <alignment horizontal="right" vertical="top" wrapText="1"/>
    </xf>
    <xf numFmtId="49" fontId="3" fillId="0" borderId="0" xfId="0" applyNumberFormat="1" applyFont="1" applyAlignment="1" applyProtection="1">
      <alignment horizontal="right" vertical="top" wrapText="1"/>
    </xf>
    <xf numFmtId="0" fontId="7" fillId="0" borderId="0" xfId="0" applyFont="1" applyBorder="1" applyAlignment="1" applyProtection="1">
      <alignment horizontal="right" vertical="top" wrapText="1"/>
    </xf>
    <xf numFmtId="169" fontId="3" fillId="0" borderId="12" xfId="0" applyNumberFormat="1" applyFont="1" applyBorder="1" applyAlignment="1" applyProtection="1">
      <alignment horizontal="right" vertical="top" wrapText="1"/>
      <protection locked="0"/>
    </xf>
    <xf numFmtId="169" fontId="5" fillId="0" borderId="0" xfId="0" applyNumberFormat="1" applyFont="1" applyAlignment="1" applyProtection="1">
      <alignment horizontal="right" vertical="top" wrapText="1"/>
    </xf>
    <xf numFmtId="1" fontId="5" fillId="0" borderId="0" xfId="0" applyNumberFormat="1" applyFont="1" applyAlignment="1" applyProtection="1">
      <alignment horizontal="right" vertical="top" wrapText="1"/>
    </xf>
    <xf numFmtId="169" fontId="20" fillId="0" borderId="0" xfId="0" applyNumberFormat="1" applyFont="1" applyFill="1" applyBorder="1" applyAlignment="1" applyProtection="1">
      <alignment horizontal="right" vertical="top" wrapText="1"/>
    </xf>
    <xf numFmtId="169" fontId="5" fillId="0" borderId="0" xfId="0" applyNumberFormat="1" applyFont="1" applyFill="1" applyAlignment="1" applyProtection="1">
      <alignment horizontal="right" vertical="top" wrapText="1"/>
    </xf>
    <xf numFmtId="1" fontId="5" fillId="0" borderId="0" xfId="0" applyNumberFormat="1" applyFont="1" applyFill="1" applyAlignment="1" applyProtection="1">
      <alignment horizontal="right" vertical="top" wrapText="1"/>
    </xf>
    <xf numFmtId="0" fontId="5" fillId="0" borderId="0" xfId="0" applyFont="1" applyAlignment="1" applyProtection="1">
      <alignment horizontal="right" vertical="top" wrapText="1"/>
    </xf>
    <xf numFmtId="0" fontId="5" fillId="0" borderId="10" xfId="0" applyFont="1" applyBorder="1" applyAlignment="1" applyProtection="1">
      <alignment horizontal="left" vertical="top"/>
      <protection locked="0"/>
    </xf>
    <xf numFmtId="0" fontId="5" fillId="0" borderId="10" xfId="0" applyFont="1" applyBorder="1" applyAlignment="1" applyProtection="1">
      <alignment horizontal="center" vertical="top"/>
      <protection locked="0"/>
    </xf>
    <xf numFmtId="0" fontId="5" fillId="0" borderId="9" xfId="0" applyFont="1" applyBorder="1" applyAlignment="1" applyProtection="1">
      <alignment horizontal="left" vertical="top"/>
      <protection locked="0"/>
    </xf>
    <xf numFmtId="1" fontId="4" fillId="0" borderId="0" xfId="0" applyNumberFormat="1" applyFont="1" applyBorder="1" applyAlignment="1">
      <alignment horizontal="left" vertical="top" wrapText="1"/>
    </xf>
    <xf numFmtId="0" fontId="4" fillId="0" borderId="0" xfId="0" applyFont="1" applyBorder="1" applyAlignment="1">
      <alignment horizontal="left" vertical="top" wrapText="1"/>
    </xf>
    <xf numFmtId="1" fontId="3" fillId="0" borderId="0" xfId="0" applyNumberFormat="1" applyFont="1" applyAlignment="1">
      <alignment horizontal="center" vertical="top" wrapText="1"/>
    </xf>
    <xf numFmtId="169" fontId="3" fillId="0" borderId="0" xfId="0" applyNumberFormat="1" applyFont="1" applyAlignment="1">
      <alignment horizontal="center" vertical="top" wrapText="1"/>
    </xf>
    <xf numFmtId="0" fontId="3" fillId="0" borderId="1" xfId="0" applyFont="1" applyBorder="1" applyAlignment="1" applyProtection="1">
      <alignment horizontal="right" vertical="top" wrapText="1"/>
      <protection locked="0"/>
    </xf>
    <xf numFmtId="0" fontId="3" fillId="4" borderId="11" xfId="0" applyFont="1" applyFill="1" applyBorder="1" applyAlignment="1" applyProtection="1">
      <alignment horizontal="right" vertical="top" wrapText="1"/>
      <protection locked="0"/>
    </xf>
    <xf numFmtId="168" fontId="3" fillId="4" borderId="11" xfId="0" applyNumberFormat="1" applyFont="1" applyFill="1" applyBorder="1" applyAlignment="1" applyProtection="1">
      <alignment horizontal="right" vertical="top" wrapText="1"/>
      <protection locked="0"/>
    </xf>
    <xf numFmtId="169" fontId="3" fillId="4" borderId="11" xfId="0" applyNumberFormat="1" applyFont="1" applyFill="1" applyBorder="1" applyAlignment="1" applyProtection="1">
      <alignment horizontal="right" vertical="top" wrapText="1"/>
      <protection locked="0"/>
    </xf>
    <xf numFmtId="1" fontId="3" fillId="3" borderId="27" xfId="0" applyNumberFormat="1" applyFont="1" applyFill="1" applyBorder="1" applyAlignment="1" applyProtection="1">
      <alignment horizontal="right" vertical="top" wrapText="1"/>
      <protection locked="0"/>
    </xf>
    <xf numFmtId="168" fontId="3" fillId="3" borderId="27" xfId="0" applyNumberFormat="1" applyFont="1" applyFill="1" applyBorder="1" applyAlignment="1" applyProtection="1">
      <alignment horizontal="right" vertical="top" wrapText="1"/>
      <protection locked="0"/>
    </xf>
    <xf numFmtId="169" fontId="3" fillId="3" borderId="11" xfId="0" applyNumberFormat="1" applyFont="1" applyFill="1" applyBorder="1" applyAlignment="1" applyProtection="1">
      <alignment horizontal="right" vertical="top" wrapText="1"/>
      <protection locked="0"/>
    </xf>
    <xf numFmtId="1" fontId="3" fillId="2" borderId="27" xfId="0" applyNumberFormat="1" applyFont="1" applyFill="1" applyBorder="1" applyAlignment="1" applyProtection="1">
      <alignment horizontal="right" vertical="top" wrapText="1"/>
      <protection locked="0"/>
    </xf>
    <xf numFmtId="168" fontId="3" fillId="2" borderId="27" xfId="0" applyNumberFormat="1" applyFont="1" applyFill="1" applyBorder="1" applyAlignment="1" applyProtection="1">
      <alignment horizontal="right" vertical="top" wrapText="1"/>
      <protection locked="0"/>
    </xf>
    <xf numFmtId="169" fontId="3" fillId="2" borderId="11" xfId="0" applyNumberFormat="1" applyFont="1" applyFill="1" applyBorder="1" applyAlignment="1" applyProtection="1">
      <alignment horizontal="right" vertical="top" wrapText="1"/>
      <protection locked="0"/>
    </xf>
    <xf numFmtId="1" fontId="3" fillId="0" borderId="27" xfId="0" applyNumberFormat="1" applyFont="1" applyBorder="1" applyAlignment="1" applyProtection="1">
      <alignment horizontal="right" vertical="top" wrapText="1"/>
      <protection locked="0"/>
    </xf>
    <xf numFmtId="169" fontId="3" fillId="0" borderId="27" xfId="0" applyNumberFormat="1" applyFont="1" applyBorder="1" applyAlignment="1" applyProtection="1">
      <alignment horizontal="right" vertical="top" wrapText="1"/>
      <protection locked="0"/>
    </xf>
    <xf numFmtId="0" fontId="5" fillId="4" borderId="5" xfId="0" applyFont="1" applyFill="1" applyBorder="1" applyAlignment="1" applyProtection="1">
      <alignment horizontal="right" vertical="top" wrapText="1"/>
      <protection locked="0"/>
    </xf>
    <xf numFmtId="168" fontId="5" fillId="4" borderId="5" xfId="0" applyNumberFormat="1" applyFont="1" applyFill="1" applyBorder="1" applyAlignment="1" applyProtection="1">
      <alignment horizontal="right" vertical="top" wrapText="1"/>
      <protection locked="0"/>
    </xf>
    <xf numFmtId="1" fontId="5" fillId="3" borderId="28" xfId="0" applyNumberFormat="1" applyFont="1" applyFill="1" applyBorder="1" applyAlignment="1" applyProtection="1">
      <alignment horizontal="right" vertical="top" wrapText="1"/>
      <protection locked="0"/>
    </xf>
    <xf numFmtId="168" fontId="5" fillId="3" borderId="28" xfId="0" applyNumberFormat="1" applyFont="1" applyFill="1" applyBorder="1" applyAlignment="1" applyProtection="1">
      <alignment horizontal="right" vertical="top" wrapText="1"/>
      <protection locked="0"/>
    </xf>
    <xf numFmtId="169" fontId="5" fillId="3" borderId="11" xfId="0" applyNumberFormat="1" applyFont="1" applyFill="1" applyBorder="1" applyAlignment="1" applyProtection="1">
      <alignment horizontal="right" vertical="top" wrapText="1"/>
      <protection locked="0"/>
    </xf>
    <xf numFmtId="1" fontId="5" fillId="2" borderId="28" xfId="0" applyNumberFormat="1" applyFont="1" applyFill="1" applyBorder="1" applyAlignment="1" applyProtection="1">
      <alignment horizontal="right" vertical="top" wrapText="1"/>
      <protection locked="0"/>
    </xf>
    <xf numFmtId="168" fontId="5" fillId="2" borderId="27" xfId="0" applyNumberFormat="1" applyFont="1" applyFill="1" applyBorder="1" applyAlignment="1" applyProtection="1">
      <alignment horizontal="right" vertical="top" wrapText="1"/>
      <protection locked="0"/>
    </xf>
    <xf numFmtId="169" fontId="5" fillId="2" borderId="11" xfId="0" applyNumberFormat="1" applyFont="1" applyFill="1" applyBorder="1" applyAlignment="1" applyProtection="1">
      <alignment horizontal="right" vertical="top" wrapText="1"/>
      <protection locked="0"/>
    </xf>
    <xf numFmtId="0" fontId="3" fillId="4" borderId="5" xfId="0" applyFont="1" applyFill="1" applyBorder="1" applyAlignment="1" applyProtection="1">
      <alignment horizontal="right" vertical="top" wrapText="1"/>
      <protection locked="0"/>
    </xf>
    <xf numFmtId="168" fontId="3" fillId="4" borderId="5" xfId="0" applyNumberFormat="1" applyFont="1" applyFill="1" applyBorder="1" applyAlignment="1" applyProtection="1">
      <alignment horizontal="right" vertical="top" wrapText="1"/>
      <protection locked="0"/>
    </xf>
    <xf numFmtId="169" fontId="5" fillId="4" borderId="5" xfId="0" applyNumberFormat="1" applyFont="1" applyFill="1" applyBorder="1" applyAlignment="1" applyProtection="1">
      <alignment horizontal="right" vertical="top" wrapText="1"/>
      <protection locked="0"/>
    </xf>
    <xf numFmtId="1" fontId="5" fillId="3" borderId="5" xfId="0" applyNumberFormat="1" applyFont="1" applyFill="1" applyBorder="1" applyAlignment="1" applyProtection="1">
      <alignment horizontal="right" vertical="top" wrapText="1"/>
      <protection locked="0"/>
    </xf>
    <xf numFmtId="168" fontId="5" fillId="3" borderId="5" xfId="0" applyNumberFormat="1" applyFont="1" applyFill="1" applyBorder="1" applyAlignment="1" applyProtection="1">
      <alignment horizontal="right" vertical="top" wrapText="1"/>
      <protection locked="0"/>
    </xf>
    <xf numFmtId="169" fontId="5" fillId="3" borderId="5" xfId="0" applyNumberFormat="1" applyFont="1" applyFill="1" applyBorder="1" applyAlignment="1" applyProtection="1">
      <alignment horizontal="right" vertical="top" wrapText="1"/>
      <protection locked="0"/>
    </xf>
    <xf numFmtId="1" fontId="5" fillId="2" borderId="5" xfId="0" applyNumberFormat="1" applyFont="1" applyFill="1" applyBorder="1" applyAlignment="1" applyProtection="1">
      <alignment horizontal="right" vertical="top" wrapText="1"/>
      <protection locked="0"/>
    </xf>
    <xf numFmtId="168" fontId="5" fillId="2" borderId="5" xfId="0" applyNumberFormat="1" applyFont="1" applyFill="1" applyBorder="1" applyAlignment="1" applyProtection="1">
      <alignment horizontal="right" vertical="top" wrapText="1"/>
      <protection locked="0"/>
    </xf>
    <xf numFmtId="169" fontId="5" fillId="2" borderId="5" xfId="0" applyNumberFormat="1" applyFont="1" applyFill="1" applyBorder="1" applyAlignment="1" applyProtection="1">
      <alignment horizontal="right" vertical="top" wrapText="1"/>
      <protection locked="0"/>
    </xf>
    <xf numFmtId="0" fontId="5" fillId="4" borderId="19" xfId="0" applyFont="1" applyFill="1" applyBorder="1" applyAlignment="1" applyProtection="1">
      <alignment horizontal="right" vertical="top" wrapText="1"/>
      <protection locked="0"/>
    </xf>
    <xf numFmtId="168" fontId="5" fillId="4" borderId="19" xfId="0" applyNumberFormat="1" applyFont="1" applyFill="1" applyBorder="1" applyAlignment="1" applyProtection="1">
      <alignment horizontal="right" vertical="top" wrapText="1"/>
      <protection locked="0"/>
    </xf>
    <xf numFmtId="169" fontId="5" fillId="4" borderId="19" xfId="0" applyNumberFormat="1" applyFont="1" applyFill="1" applyBorder="1" applyAlignment="1" applyProtection="1">
      <alignment horizontal="right" vertical="top" wrapText="1"/>
      <protection locked="0"/>
    </xf>
    <xf numFmtId="1" fontId="5" fillId="3" borderId="19" xfId="0" applyNumberFormat="1" applyFont="1" applyFill="1" applyBorder="1" applyAlignment="1" applyProtection="1">
      <alignment horizontal="right" vertical="top" wrapText="1"/>
      <protection locked="0"/>
    </xf>
    <xf numFmtId="168" fontId="5" fillId="3" borderId="19" xfId="0" applyNumberFormat="1" applyFont="1" applyFill="1" applyBorder="1" applyAlignment="1" applyProtection="1">
      <alignment horizontal="right" vertical="top" wrapText="1"/>
      <protection locked="0"/>
    </xf>
    <xf numFmtId="169" fontId="5" fillId="3" borderId="19" xfId="0" applyNumberFormat="1" applyFont="1" applyFill="1" applyBorder="1" applyAlignment="1" applyProtection="1">
      <alignment horizontal="right" vertical="top" wrapText="1"/>
      <protection locked="0"/>
    </xf>
    <xf numFmtId="1" fontId="5" fillId="2" borderId="19" xfId="0" applyNumberFormat="1" applyFont="1" applyFill="1" applyBorder="1" applyAlignment="1" applyProtection="1">
      <alignment horizontal="right" vertical="top" wrapText="1"/>
      <protection locked="0"/>
    </xf>
    <xf numFmtId="168" fontId="5" fillId="2" borderId="19" xfId="0" applyNumberFormat="1" applyFont="1" applyFill="1" applyBorder="1" applyAlignment="1" applyProtection="1">
      <alignment horizontal="right" vertical="top" wrapText="1"/>
      <protection locked="0"/>
    </xf>
    <xf numFmtId="169" fontId="5" fillId="2" borderId="19" xfId="0" applyNumberFormat="1" applyFont="1" applyFill="1" applyBorder="1" applyAlignment="1" applyProtection="1">
      <alignment horizontal="right" vertical="top" wrapText="1"/>
      <protection locked="0"/>
    </xf>
    <xf numFmtId="0" fontId="3" fillId="4" borderId="1" xfId="0" applyFont="1" applyFill="1" applyBorder="1" applyAlignment="1" applyProtection="1">
      <alignment horizontal="right" vertical="top" wrapText="1"/>
      <protection locked="0"/>
    </xf>
    <xf numFmtId="169" fontId="3" fillId="4" borderId="1" xfId="0" applyNumberFormat="1" applyFont="1" applyFill="1" applyBorder="1" applyAlignment="1" applyProtection="1">
      <alignment horizontal="right" vertical="top" wrapText="1"/>
      <protection locked="0"/>
    </xf>
    <xf numFmtId="1" fontId="3" fillId="3" borderId="1" xfId="0" applyNumberFormat="1" applyFont="1" applyFill="1" applyBorder="1" applyAlignment="1" applyProtection="1">
      <alignment horizontal="right" vertical="top" wrapText="1"/>
      <protection locked="0"/>
    </xf>
    <xf numFmtId="168" fontId="3" fillId="3" borderId="1" xfId="0" applyNumberFormat="1" applyFont="1" applyFill="1" applyBorder="1" applyAlignment="1" applyProtection="1">
      <alignment horizontal="right" vertical="top" wrapText="1"/>
      <protection locked="0"/>
    </xf>
    <xf numFmtId="169" fontId="3" fillId="3" borderId="1" xfId="0" applyNumberFormat="1" applyFont="1" applyFill="1" applyBorder="1" applyAlignment="1" applyProtection="1">
      <alignment horizontal="right" vertical="top" wrapText="1"/>
      <protection locked="0"/>
    </xf>
    <xf numFmtId="1" fontId="3" fillId="2" borderId="1" xfId="0" applyNumberFormat="1" applyFont="1" applyFill="1" applyBorder="1" applyAlignment="1" applyProtection="1">
      <alignment horizontal="right" vertical="top" wrapText="1"/>
      <protection locked="0"/>
    </xf>
    <xf numFmtId="168" fontId="3" fillId="2" borderId="1" xfId="0" applyNumberFormat="1" applyFont="1" applyFill="1" applyBorder="1" applyAlignment="1" applyProtection="1">
      <alignment horizontal="right" vertical="top" wrapText="1"/>
      <protection locked="0"/>
    </xf>
    <xf numFmtId="169" fontId="3" fillId="2" borderId="1" xfId="0" applyNumberFormat="1" applyFont="1" applyFill="1" applyBorder="1" applyAlignment="1" applyProtection="1">
      <alignment horizontal="right" vertical="top" wrapText="1"/>
      <protection locked="0"/>
    </xf>
    <xf numFmtId="1" fontId="3" fillId="0" borderId="1" xfId="0" applyNumberFormat="1" applyFont="1" applyBorder="1" applyAlignment="1" applyProtection="1">
      <alignment horizontal="right" vertical="top" wrapText="1"/>
      <protection locked="0"/>
    </xf>
    <xf numFmtId="169" fontId="3" fillId="0" borderId="1" xfId="0" applyNumberFormat="1" applyFont="1" applyBorder="1" applyAlignment="1" applyProtection="1">
      <alignment horizontal="right" vertical="top" wrapText="1"/>
      <protection locked="0"/>
    </xf>
    <xf numFmtId="0" fontId="3" fillId="0" borderId="2" xfId="0" applyFont="1" applyBorder="1" applyAlignment="1" applyProtection="1">
      <alignment horizontal="right" vertical="top" wrapText="1"/>
      <protection locked="0"/>
    </xf>
    <xf numFmtId="0" fontId="3" fillId="0" borderId="0" xfId="0" applyNumberFormat="1" applyFont="1" applyAlignment="1">
      <alignment horizontal="right" vertical="top" wrapText="1"/>
    </xf>
    <xf numFmtId="0" fontId="17" fillId="0" borderId="0" xfId="0" applyFont="1" applyAlignment="1" applyProtection="1">
      <alignment horizontal="center" vertical="top" wrapText="1"/>
    </xf>
    <xf numFmtId="0" fontId="5" fillId="0" borderId="10" xfId="0" applyFont="1" applyBorder="1" applyAlignment="1" applyProtection="1">
      <alignment horizontal="left" vertical="top" wrapText="1"/>
      <protection locked="0"/>
    </xf>
    <xf numFmtId="1" fontId="5" fillId="0" borderId="11" xfId="0" applyNumberFormat="1" applyFont="1" applyBorder="1" applyAlignment="1" applyProtection="1">
      <alignment horizontal="center" vertical="top" wrapText="1"/>
      <protection locked="0"/>
    </xf>
    <xf numFmtId="1" fontId="5" fillId="0" borderId="11" xfId="0" applyNumberFormat="1" applyFont="1" applyBorder="1" applyAlignment="1" applyProtection="1">
      <alignment horizontal="left" vertical="top" wrapText="1"/>
      <protection locked="0"/>
    </xf>
    <xf numFmtId="170" fontId="18" fillId="0" borderId="0" xfId="0" applyNumberFormat="1" applyFont="1" applyAlignment="1" applyProtection="1">
      <alignment horizontal="center" vertical="top" wrapText="1"/>
    </xf>
    <xf numFmtId="169" fontId="5" fillId="4" borderId="27" xfId="0" applyNumberFormat="1" applyFont="1" applyFill="1" applyBorder="1" applyAlignment="1" applyProtection="1">
      <alignment horizontal="right" vertical="top" wrapText="1"/>
      <protection locked="0"/>
    </xf>
    <xf numFmtId="169" fontId="5" fillId="4" borderId="28" xfId="0" applyNumberFormat="1" applyFont="1" applyFill="1" applyBorder="1" applyAlignment="1" applyProtection="1">
      <alignment horizontal="right" vertical="top" wrapText="1"/>
      <protection locked="0"/>
    </xf>
    <xf numFmtId="169" fontId="3" fillId="0" borderId="4" xfId="0" applyNumberFormat="1" applyFont="1" applyBorder="1" applyAlignment="1" applyProtection="1">
      <alignment horizontal="right" vertical="top" wrapText="1"/>
      <protection locked="0"/>
    </xf>
    <xf numFmtId="169" fontId="3" fillId="0" borderId="37" xfId="0" applyNumberFormat="1" applyFont="1" applyBorder="1" applyAlignment="1" applyProtection="1">
      <alignment horizontal="right" vertical="top" wrapText="1"/>
      <protection locked="0"/>
    </xf>
    <xf numFmtId="0" fontId="5" fillId="3" borderId="10" xfId="0" applyFont="1" applyFill="1" applyBorder="1" applyAlignment="1" applyProtection="1">
      <alignment horizontal="left" vertical="top" wrapText="1"/>
      <protection locked="0"/>
    </xf>
    <xf numFmtId="0" fontId="5" fillId="3" borderId="9" xfId="0" applyFont="1" applyFill="1" applyBorder="1" applyAlignment="1" applyProtection="1">
      <alignment horizontal="left" vertical="top" wrapText="1"/>
      <protection locked="0"/>
    </xf>
    <xf numFmtId="0" fontId="3" fillId="2" borderId="7" xfId="0" applyFont="1" applyFill="1" applyBorder="1" applyAlignment="1" applyProtection="1">
      <alignment horizontal="left" vertical="top" wrapText="1"/>
      <protection locked="0"/>
    </xf>
    <xf numFmtId="0" fontId="5" fillId="2" borderId="10" xfId="0" applyFont="1" applyFill="1" applyBorder="1" applyAlignment="1" applyProtection="1">
      <alignment horizontal="left" vertical="top" wrapText="1"/>
      <protection locked="0"/>
    </xf>
    <xf numFmtId="0" fontId="5" fillId="2" borderId="9" xfId="0" applyFont="1" applyFill="1" applyBorder="1" applyAlignment="1" applyProtection="1">
      <alignment horizontal="left" vertical="top" wrapText="1"/>
      <protection locked="0"/>
    </xf>
    <xf numFmtId="0" fontId="5" fillId="4" borderId="10" xfId="0" applyFont="1" applyFill="1" applyBorder="1" applyAlignment="1" applyProtection="1">
      <alignment horizontal="left" vertical="top" wrapText="1"/>
      <protection locked="0"/>
    </xf>
    <xf numFmtId="0" fontId="5" fillId="4" borderId="9" xfId="0" applyFont="1" applyFill="1" applyBorder="1" applyAlignment="1" applyProtection="1">
      <alignment horizontal="left" vertical="top" wrapText="1"/>
      <protection locked="0"/>
    </xf>
    <xf numFmtId="0" fontId="5" fillId="3" borderId="7" xfId="0"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0" fontId="5" fillId="2" borderId="3" xfId="0" applyFont="1" applyFill="1" applyBorder="1" applyAlignment="1" applyProtection="1">
      <alignment horizontal="left" vertical="top" wrapText="1"/>
      <protection locked="0"/>
    </xf>
    <xf numFmtId="0" fontId="5" fillId="2" borderId="12" xfId="0" applyFont="1" applyFill="1" applyBorder="1" applyAlignment="1" applyProtection="1">
      <alignment horizontal="left" vertical="top" wrapText="1"/>
      <protection locked="0"/>
    </xf>
    <xf numFmtId="0" fontId="5" fillId="2" borderId="4" xfId="0" applyFont="1" applyFill="1" applyBorder="1" applyAlignment="1" applyProtection="1">
      <alignment horizontal="left" vertical="top" wrapText="1"/>
      <protection locked="0"/>
    </xf>
    <xf numFmtId="0" fontId="5" fillId="3" borderId="3" xfId="0" applyFont="1" applyFill="1" applyBorder="1" applyAlignment="1" applyProtection="1">
      <alignment horizontal="left" vertical="top" wrapText="1"/>
      <protection locked="0"/>
    </xf>
    <xf numFmtId="0" fontId="5" fillId="3" borderId="12" xfId="0" applyFont="1" applyFill="1" applyBorder="1" applyAlignment="1" applyProtection="1">
      <alignment horizontal="left" vertical="top" wrapText="1"/>
      <protection locked="0"/>
    </xf>
    <xf numFmtId="0" fontId="5" fillId="3" borderId="4" xfId="0" applyFont="1" applyFill="1" applyBorder="1" applyAlignment="1" applyProtection="1">
      <alignment horizontal="left" vertical="top" wrapText="1"/>
      <protection locked="0"/>
    </xf>
    <xf numFmtId="0" fontId="5" fillId="4" borderId="12" xfId="0" applyFont="1" applyFill="1" applyBorder="1" applyAlignment="1" applyProtection="1">
      <alignment horizontal="left" vertical="top" wrapText="1"/>
      <protection locked="0"/>
    </xf>
    <xf numFmtId="0" fontId="5" fillId="4" borderId="4" xfId="0" applyFont="1" applyFill="1" applyBorder="1" applyAlignment="1" applyProtection="1">
      <alignment horizontal="left" vertical="top" wrapText="1"/>
      <protection locked="0"/>
    </xf>
    <xf numFmtId="169" fontId="5" fillId="4" borderId="21" xfId="0" applyNumberFormat="1" applyFont="1" applyFill="1" applyBorder="1" applyAlignment="1" applyProtection="1">
      <alignment horizontal="right" vertical="top" wrapText="1"/>
      <protection locked="0"/>
    </xf>
    <xf numFmtId="169" fontId="5" fillId="3" borderId="8" xfId="0" applyNumberFormat="1" applyFont="1" applyFill="1" applyBorder="1" applyAlignment="1" applyProtection="1">
      <alignment horizontal="right" vertical="top" wrapText="1"/>
      <protection locked="0"/>
    </xf>
    <xf numFmtId="169" fontId="5" fillId="2" borderId="8" xfId="0" applyNumberFormat="1" applyFont="1" applyFill="1" applyBorder="1" applyAlignment="1" applyProtection="1">
      <alignment horizontal="right" vertical="top" wrapText="1"/>
      <protection locked="0"/>
    </xf>
    <xf numFmtId="168" fontId="5" fillId="0" borderId="0" xfId="0" applyNumberFormat="1" applyFont="1" applyAlignment="1" applyProtection="1">
      <alignment horizontal="right" vertical="top" wrapText="1"/>
    </xf>
    <xf numFmtId="168" fontId="5" fillId="4" borderId="11" xfId="0" applyNumberFormat="1" applyFont="1" applyFill="1" applyBorder="1" applyAlignment="1" applyProtection="1">
      <alignment horizontal="right" vertical="top" wrapText="1"/>
      <protection locked="0"/>
    </xf>
    <xf numFmtId="168" fontId="5" fillId="3" borderId="8" xfId="0" applyNumberFormat="1" applyFont="1" applyFill="1" applyBorder="1" applyAlignment="1" applyProtection="1">
      <alignment horizontal="right" vertical="top" wrapText="1"/>
      <protection locked="0"/>
    </xf>
    <xf numFmtId="168" fontId="5" fillId="3" borderId="11" xfId="0" applyNumberFormat="1" applyFont="1" applyFill="1" applyBorder="1" applyAlignment="1" applyProtection="1">
      <alignment horizontal="right" vertical="top" wrapText="1"/>
      <protection locked="0"/>
    </xf>
    <xf numFmtId="168" fontId="5" fillId="2" borderId="8" xfId="0" applyNumberFormat="1" applyFont="1" applyFill="1" applyBorder="1" applyAlignment="1" applyProtection="1">
      <alignment horizontal="right" vertical="top" wrapText="1"/>
      <protection locked="0"/>
    </xf>
    <xf numFmtId="168" fontId="5" fillId="2" borderId="11" xfId="0" applyNumberFormat="1" applyFont="1" applyFill="1" applyBorder="1" applyAlignment="1" applyProtection="1">
      <alignment horizontal="right" vertical="top" wrapText="1"/>
      <protection locked="0"/>
    </xf>
    <xf numFmtId="0" fontId="3" fillId="3" borderId="7" xfId="0" applyFont="1" applyFill="1" applyBorder="1" applyAlignment="1" applyProtection="1">
      <alignment vertical="top" wrapText="1"/>
      <protection locked="0"/>
    </xf>
    <xf numFmtId="0" fontId="3" fillId="0" borderId="12" xfId="0" applyFont="1" applyBorder="1" applyAlignment="1" applyProtection="1">
      <alignment horizontal="left" vertical="top" wrapText="1"/>
      <protection locked="0"/>
    </xf>
    <xf numFmtId="0" fontId="5" fillId="0" borderId="4" xfId="0" applyFont="1" applyBorder="1" applyAlignment="1" applyProtection="1">
      <alignment horizontal="left" vertical="top" wrapText="1"/>
      <protection locked="0"/>
    </xf>
    <xf numFmtId="0" fontId="3" fillId="0" borderId="4" xfId="0" applyFont="1" applyBorder="1" applyAlignment="1" applyProtection="1">
      <alignment horizontal="left" vertical="top" wrapText="1"/>
      <protection locked="0"/>
    </xf>
    <xf numFmtId="0" fontId="5" fillId="0" borderId="37" xfId="0" applyFont="1" applyBorder="1" applyAlignment="1" applyProtection="1">
      <alignment horizontal="left" vertical="top" wrapText="1"/>
      <protection locked="0"/>
    </xf>
    <xf numFmtId="169" fontId="5" fillId="4" borderId="14" xfId="0" applyNumberFormat="1" applyFont="1" applyFill="1" applyBorder="1" applyAlignment="1" applyProtection="1">
      <alignment horizontal="right" vertical="top" wrapText="1"/>
    </xf>
    <xf numFmtId="169" fontId="5" fillId="4" borderId="1" xfId="0" applyNumberFormat="1" applyFont="1" applyFill="1" applyBorder="1" applyAlignment="1" applyProtection="1">
      <alignment horizontal="right" vertical="top" wrapText="1"/>
      <protection locked="0"/>
    </xf>
    <xf numFmtId="169" fontId="5" fillId="3" borderId="21" xfId="0" applyNumberFormat="1" applyFont="1" applyFill="1" applyBorder="1" applyAlignment="1" applyProtection="1">
      <alignment horizontal="right" vertical="top" wrapText="1"/>
      <protection locked="0"/>
    </xf>
    <xf numFmtId="169" fontId="5" fillId="3" borderId="1" xfId="0" applyNumberFormat="1" applyFont="1" applyFill="1" applyBorder="1" applyAlignment="1" applyProtection="1">
      <alignment horizontal="right" vertical="top" wrapText="1"/>
      <protection locked="0"/>
    </xf>
    <xf numFmtId="169" fontId="5" fillId="2" borderId="21" xfId="0" applyNumberFormat="1" applyFont="1" applyFill="1" applyBorder="1" applyAlignment="1" applyProtection="1">
      <alignment horizontal="right" vertical="top" wrapText="1"/>
      <protection locked="0"/>
    </xf>
    <xf numFmtId="169" fontId="5" fillId="2" borderId="14" xfId="0" applyNumberFormat="1" applyFont="1" applyFill="1" applyBorder="1" applyAlignment="1" applyProtection="1">
      <alignment horizontal="right" vertical="top" wrapText="1"/>
      <protection locked="0"/>
    </xf>
    <xf numFmtId="169" fontId="3" fillId="2" borderId="14" xfId="0" applyNumberFormat="1" applyFont="1" applyFill="1" applyBorder="1" applyAlignment="1" applyProtection="1">
      <alignment horizontal="right" vertical="top" wrapText="1"/>
      <protection locked="0"/>
    </xf>
    <xf numFmtId="169" fontId="5" fillId="0" borderId="0" xfId="0" applyNumberFormat="1" applyFont="1" applyAlignment="1">
      <alignment horizontal="right" vertical="top" wrapText="1"/>
    </xf>
    <xf numFmtId="0" fontId="5" fillId="4" borderId="15" xfId="0" applyFont="1" applyFill="1" applyBorder="1" applyAlignment="1" applyProtection="1">
      <alignment horizontal="left" vertical="top" wrapText="1"/>
    </xf>
    <xf numFmtId="0" fontId="5" fillId="4" borderId="18" xfId="0" applyFont="1" applyFill="1" applyBorder="1" applyAlignment="1" applyProtection="1">
      <alignment horizontal="left" vertical="top" wrapText="1"/>
      <protection locked="0"/>
    </xf>
    <xf numFmtId="0" fontId="5" fillId="4" borderId="37" xfId="0" applyFont="1" applyFill="1" applyBorder="1" applyAlignment="1" applyProtection="1">
      <alignment horizontal="left" vertical="top" wrapText="1"/>
      <protection locked="0"/>
    </xf>
    <xf numFmtId="0" fontId="5" fillId="4" borderId="2" xfId="0" applyFont="1" applyFill="1" applyBorder="1" applyAlignment="1" applyProtection="1">
      <alignment horizontal="left" vertical="top" wrapText="1"/>
      <protection locked="0"/>
    </xf>
    <xf numFmtId="0" fontId="5" fillId="3" borderId="18" xfId="0" applyFont="1" applyFill="1" applyBorder="1" applyAlignment="1" applyProtection="1">
      <alignment horizontal="left" vertical="top" wrapText="1"/>
      <protection locked="0"/>
    </xf>
    <xf numFmtId="0" fontId="5" fillId="3" borderId="37" xfId="0" applyFont="1" applyFill="1" applyBorder="1" applyAlignment="1" applyProtection="1">
      <alignment horizontal="left" vertical="top" wrapText="1"/>
      <protection locked="0"/>
    </xf>
    <xf numFmtId="0" fontId="5" fillId="3" borderId="2" xfId="0" applyFont="1" applyFill="1" applyBorder="1" applyAlignment="1" applyProtection="1">
      <alignment horizontal="left" vertical="top" wrapText="1"/>
      <protection locked="0"/>
    </xf>
    <xf numFmtId="0" fontId="5" fillId="2" borderId="18" xfId="0" applyFont="1" applyFill="1" applyBorder="1" applyAlignment="1" applyProtection="1">
      <alignment horizontal="left" vertical="top" wrapText="1"/>
      <protection locked="0"/>
    </xf>
    <xf numFmtId="0" fontId="5" fillId="2" borderId="37" xfId="0" applyFont="1" applyFill="1" applyBorder="1" applyAlignment="1" applyProtection="1">
      <alignment horizontal="left" vertical="top" wrapText="1"/>
      <protection locked="0"/>
    </xf>
    <xf numFmtId="0" fontId="5" fillId="2" borderId="15" xfId="0" applyFont="1" applyFill="1" applyBorder="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49" fontId="3" fillId="0" borderId="0" xfId="0" applyNumberFormat="1" applyFont="1" applyAlignment="1" applyProtection="1">
      <alignment vertical="top" wrapText="1"/>
    </xf>
    <xf numFmtId="1" fontId="5" fillId="0" borderId="0" xfId="0" applyNumberFormat="1" applyFont="1" applyAlignment="1" applyProtection="1">
      <alignment vertical="top" wrapText="1"/>
    </xf>
    <xf numFmtId="1" fontId="5" fillId="4" borderId="5" xfId="0" applyNumberFormat="1" applyFont="1" applyFill="1" applyBorder="1" applyAlignment="1" applyProtection="1">
      <alignment vertical="top" wrapText="1"/>
      <protection locked="0"/>
    </xf>
    <xf numFmtId="1" fontId="5" fillId="3" borderId="5" xfId="0" applyNumberFormat="1" applyFont="1" applyFill="1" applyBorder="1" applyAlignment="1" applyProtection="1">
      <alignment vertical="top" wrapText="1"/>
      <protection locked="0"/>
    </xf>
    <xf numFmtId="1" fontId="5" fillId="2" borderId="5" xfId="0" applyNumberFormat="1" applyFont="1" applyFill="1" applyBorder="1" applyAlignment="1" applyProtection="1">
      <alignment vertical="top" wrapText="1"/>
      <protection locked="0"/>
    </xf>
    <xf numFmtId="169" fontId="3" fillId="0" borderId="0" xfId="0" applyNumberFormat="1" applyFont="1" applyAlignment="1" applyProtection="1">
      <alignment horizontal="right" vertical="top" wrapText="1"/>
    </xf>
    <xf numFmtId="170" fontId="3" fillId="0" borderId="11" xfId="0" applyNumberFormat="1" applyFont="1" applyBorder="1" applyAlignment="1" applyProtection="1">
      <alignment horizontal="right" vertical="top" wrapText="1"/>
    </xf>
    <xf numFmtId="0" fontId="4" fillId="0" borderId="0" xfId="0" applyFont="1" applyBorder="1" applyAlignment="1" applyProtection="1">
      <alignment horizontal="right" vertical="top" wrapText="1"/>
    </xf>
    <xf numFmtId="169" fontId="3" fillId="0" borderId="0" xfId="0" applyNumberFormat="1" applyFont="1" applyFill="1" applyAlignment="1" applyProtection="1">
      <alignment horizontal="right" vertical="top" wrapText="1"/>
    </xf>
    <xf numFmtId="0" fontId="3" fillId="0" borderId="0" xfId="0" applyFont="1" applyAlignment="1" applyProtection="1">
      <alignment horizontal="right" vertical="top" wrapText="1"/>
    </xf>
    <xf numFmtId="0" fontId="12" fillId="0" borderId="0" xfId="0" applyFont="1" applyAlignment="1" applyProtection="1">
      <alignment vertical="top" wrapText="1"/>
      <protection locked="0"/>
    </xf>
    <xf numFmtId="1" fontId="5" fillId="0" borderId="0" xfId="0" applyNumberFormat="1" applyFont="1" applyAlignment="1" applyProtection="1">
      <alignment horizontal="left" vertical="top" wrapText="1"/>
    </xf>
    <xf numFmtId="1" fontId="5" fillId="4" borderId="11" xfId="0" applyNumberFormat="1" applyFont="1" applyFill="1" applyBorder="1" applyAlignment="1" applyProtection="1">
      <alignment horizontal="left" vertical="top" wrapText="1"/>
      <protection locked="0"/>
    </xf>
    <xf numFmtId="1" fontId="5" fillId="4" borderId="5" xfId="0" applyNumberFormat="1" applyFont="1" applyFill="1" applyBorder="1" applyAlignment="1" applyProtection="1">
      <alignment horizontal="left" vertical="top" wrapText="1"/>
      <protection locked="0"/>
    </xf>
    <xf numFmtId="1" fontId="5" fillId="3" borderId="8" xfId="0" applyNumberFormat="1" applyFont="1" applyFill="1" applyBorder="1" applyAlignment="1" applyProtection="1">
      <alignment horizontal="left" vertical="top" wrapText="1"/>
      <protection locked="0"/>
    </xf>
    <xf numFmtId="1" fontId="5" fillId="3" borderId="5" xfId="0" applyNumberFormat="1" applyFont="1" applyFill="1" applyBorder="1" applyAlignment="1" applyProtection="1">
      <alignment horizontal="left" vertical="top" wrapText="1"/>
      <protection locked="0"/>
    </xf>
    <xf numFmtId="1" fontId="5" fillId="2" borderId="8" xfId="0" applyNumberFormat="1" applyFont="1" applyFill="1" applyBorder="1" applyAlignment="1" applyProtection="1">
      <alignment horizontal="left" vertical="top" wrapText="1"/>
      <protection locked="0"/>
    </xf>
    <xf numFmtId="1" fontId="5" fillId="2" borderId="11" xfId="0" applyNumberFormat="1" applyFont="1" applyFill="1" applyBorder="1" applyAlignment="1" applyProtection="1">
      <alignment horizontal="left" vertical="top" wrapText="1"/>
      <protection locked="0"/>
    </xf>
    <xf numFmtId="1" fontId="5" fillId="2" borderId="5" xfId="0" applyNumberFormat="1" applyFont="1" applyFill="1" applyBorder="1" applyAlignment="1" applyProtection="1">
      <alignment horizontal="left" vertical="top" wrapText="1"/>
      <protection locked="0"/>
    </xf>
    <xf numFmtId="0" fontId="24" fillId="0" borderId="38" xfId="0" applyFont="1" applyBorder="1" applyAlignment="1" applyProtection="1">
      <alignment vertical="center"/>
    </xf>
    <xf numFmtId="0" fontId="24" fillId="0" borderId="39" xfId="0" applyFont="1" applyBorder="1" applyAlignment="1" applyProtection="1">
      <alignment horizontal="center" vertical="center"/>
    </xf>
    <xf numFmtId="0" fontId="0" fillId="0" borderId="38" xfId="0" applyBorder="1" applyAlignment="1" applyProtection="1">
      <alignment horizontal="center" vertical="center"/>
    </xf>
    <xf numFmtId="0" fontId="24" fillId="0" borderId="39" xfId="0" applyFont="1" applyBorder="1" applyAlignment="1" applyProtection="1">
      <alignment horizontal="center" vertical="top"/>
    </xf>
    <xf numFmtId="2" fontId="24" fillId="0" borderId="40" xfId="0" applyNumberFormat="1" applyFont="1" applyBorder="1" applyAlignment="1" applyProtection="1">
      <alignment horizontal="right" vertical="center"/>
    </xf>
    <xf numFmtId="169" fontId="28" fillId="0" borderId="41" xfId="0" applyNumberFormat="1" applyFont="1" applyBorder="1" applyAlignment="1" applyProtection="1">
      <alignment horizontal="right" vertical="center"/>
    </xf>
    <xf numFmtId="2" fontId="24" fillId="0" borderId="42" xfId="0" applyNumberFormat="1" applyFont="1" applyBorder="1" applyAlignment="1" applyProtection="1">
      <alignment horizontal="right" vertical="center"/>
    </xf>
    <xf numFmtId="169" fontId="28" fillId="0" borderId="43" xfId="0" applyNumberFormat="1" applyFont="1" applyBorder="1" applyAlignment="1" applyProtection="1">
      <alignment horizontal="right" vertical="center"/>
    </xf>
    <xf numFmtId="169" fontId="28" fillId="0" borderId="37" xfId="0" applyNumberFormat="1" applyFont="1" applyBorder="1" applyAlignment="1" applyProtection="1">
      <alignment horizontal="right" vertical="center"/>
    </xf>
    <xf numFmtId="0" fontId="24" fillId="0" borderId="40" xfId="0" applyFont="1" applyBorder="1" applyAlignment="1" applyProtection="1">
      <alignment vertical="center"/>
    </xf>
    <xf numFmtId="169" fontId="28" fillId="0" borderId="4" xfId="0" applyNumberFormat="1" applyFont="1" applyBorder="1" applyAlignment="1" applyProtection="1">
      <alignment horizontal="right" vertical="center"/>
    </xf>
    <xf numFmtId="169" fontId="28" fillId="0" borderId="44" xfId="0" applyNumberFormat="1" applyFont="1" applyBorder="1" applyAlignment="1" applyProtection="1">
      <alignment horizontal="right" vertical="center"/>
    </xf>
    <xf numFmtId="49" fontId="24" fillId="0" borderId="45" xfId="0" applyNumberFormat="1" applyFont="1" applyBorder="1" applyAlignment="1" applyProtection="1">
      <alignment vertical="center"/>
    </xf>
    <xf numFmtId="169" fontId="28" fillId="0" borderId="46" xfId="0" applyNumberFormat="1" applyFont="1" applyBorder="1" applyAlignment="1" applyProtection="1">
      <alignment horizontal="right" vertical="center"/>
    </xf>
    <xf numFmtId="169" fontId="28" fillId="0" borderId="18" xfId="0" applyNumberFormat="1" applyFont="1" applyBorder="1" applyAlignment="1" applyProtection="1">
      <alignment horizontal="right" vertical="center"/>
    </xf>
    <xf numFmtId="169" fontId="3" fillId="4" borderId="25" xfId="0" applyNumberFormat="1" applyFont="1" applyFill="1" applyBorder="1" applyAlignment="1" applyProtection="1">
      <alignment horizontal="right" vertical="top" wrapText="1"/>
      <protection locked="0"/>
    </xf>
    <xf numFmtId="169" fontId="3" fillId="3" borderId="25" xfId="0" applyNumberFormat="1" applyFont="1" applyFill="1" applyBorder="1" applyAlignment="1" applyProtection="1">
      <alignment horizontal="right" vertical="top" wrapText="1"/>
      <protection locked="0"/>
    </xf>
    <xf numFmtId="169" fontId="3" fillId="2" borderId="25" xfId="0" applyNumberFormat="1" applyFont="1" applyFill="1" applyBorder="1" applyAlignment="1" applyProtection="1">
      <alignment horizontal="right" vertical="top" wrapText="1"/>
      <protection locked="0"/>
    </xf>
    <xf numFmtId="169" fontId="3" fillId="0" borderId="47" xfId="0" applyNumberFormat="1" applyFont="1" applyBorder="1" applyAlignment="1" applyProtection="1">
      <alignment horizontal="right" vertical="top" wrapText="1"/>
      <protection locked="0"/>
    </xf>
    <xf numFmtId="1" fontId="5" fillId="4" borderId="1" xfId="0" applyNumberFormat="1" applyFont="1" applyFill="1" applyBorder="1" applyAlignment="1" applyProtection="1">
      <alignment horizontal="left" vertical="top" wrapText="1"/>
      <protection locked="0"/>
    </xf>
    <xf numFmtId="1" fontId="5" fillId="3" borderId="1" xfId="0" applyNumberFormat="1" applyFont="1" applyFill="1" applyBorder="1" applyAlignment="1" applyProtection="1">
      <alignment horizontal="left" vertical="top" wrapText="1"/>
      <protection locked="0"/>
    </xf>
    <xf numFmtId="0" fontId="3" fillId="2" borderId="6" xfId="0" applyFont="1" applyFill="1" applyBorder="1" applyAlignment="1" applyProtection="1">
      <alignment horizontal="right" vertical="top" wrapText="1"/>
      <protection locked="0"/>
    </xf>
    <xf numFmtId="169" fontId="5" fillId="2" borderId="1" xfId="0" applyNumberFormat="1" applyFont="1" applyFill="1" applyBorder="1" applyAlignment="1" applyProtection="1">
      <alignment horizontal="right" vertical="top" wrapText="1"/>
      <protection locked="0"/>
    </xf>
    <xf numFmtId="1" fontId="5" fillId="2" borderId="1" xfId="0" applyNumberFormat="1" applyFont="1" applyFill="1" applyBorder="1" applyAlignment="1" applyProtection="1">
      <alignment horizontal="left" vertical="top" wrapText="1"/>
      <protection locked="0"/>
    </xf>
    <xf numFmtId="0" fontId="5" fillId="2" borderId="2" xfId="0" applyFont="1" applyFill="1" applyBorder="1" applyAlignment="1" applyProtection="1">
      <alignment horizontal="left" vertical="top" wrapText="1"/>
      <protection locked="0"/>
    </xf>
    <xf numFmtId="169" fontId="3" fillId="0" borderId="48" xfId="0" applyNumberFormat="1" applyFont="1" applyBorder="1" applyAlignment="1" applyProtection="1">
      <alignment horizontal="right" vertical="top" wrapText="1"/>
      <protection locked="0"/>
    </xf>
    <xf numFmtId="1" fontId="3" fillId="0" borderId="48" xfId="0" applyNumberFormat="1" applyFont="1" applyBorder="1" applyAlignment="1" applyProtection="1">
      <alignment horizontal="left" vertical="top" wrapText="1"/>
      <protection locked="0"/>
    </xf>
    <xf numFmtId="0" fontId="3" fillId="0" borderId="49" xfId="0" applyFont="1" applyBorder="1" applyAlignment="1" applyProtection="1">
      <alignment horizontal="left" vertical="top" wrapText="1"/>
      <protection locked="0"/>
    </xf>
    <xf numFmtId="0" fontId="3" fillId="0" borderId="17" xfId="0" applyFont="1" applyBorder="1" applyAlignment="1" applyProtection="1">
      <alignment horizontal="right" vertical="top" wrapText="1"/>
      <protection locked="0"/>
    </xf>
    <xf numFmtId="0" fontId="3" fillId="0" borderId="50" xfId="0" applyFont="1" applyBorder="1" applyAlignment="1" applyProtection="1">
      <alignment horizontal="right" vertical="top" wrapText="1"/>
      <protection locked="0"/>
    </xf>
    <xf numFmtId="169" fontId="3" fillId="4" borderId="21" xfId="0" applyNumberFormat="1" applyFont="1" applyFill="1" applyBorder="1" applyAlignment="1" applyProtection="1">
      <alignment horizontal="right" vertical="top" wrapText="1"/>
      <protection locked="0"/>
    </xf>
    <xf numFmtId="169" fontId="3" fillId="3" borderId="21" xfId="0" applyNumberFormat="1" applyFont="1" applyFill="1" applyBorder="1" applyAlignment="1" applyProtection="1">
      <alignment horizontal="right" vertical="top" wrapText="1"/>
      <protection locked="0"/>
    </xf>
    <xf numFmtId="169" fontId="3" fillId="2" borderId="21" xfId="0" applyNumberFormat="1" applyFont="1" applyFill="1" applyBorder="1" applyAlignment="1" applyProtection="1">
      <alignment horizontal="right" vertical="top" wrapText="1"/>
      <protection locked="0"/>
    </xf>
    <xf numFmtId="169" fontId="3" fillId="0" borderId="18" xfId="0" applyNumberFormat="1" applyFont="1" applyBorder="1" applyAlignment="1" applyProtection="1">
      <alignment horizontal="right" vertical="top" wrapText="1"/>
      <protection locked="0"/>
    </xf>
    <xf numFmtId="169" fontId="5" fillId="0" borderId="0" xfId="0" applyNumberFormat="1" applyFont="1" applyAlignment="1" applyProtection="1">
      <alignment horizontal="right" vertical="top" wrapText="1"/>
      <protection locked="0"/>
    </xf>
    <xf numFmtId="1" fontId="5" fillId="0" borderId="0" xfId="0" applyNumberFormat="1" applyFont="1" applyAlignment="1" applyProtection="1">
      <alignment horizontal="right" vertical="top" wrapText="1"/>
      <protection locked="0"/>
    </xf>
    <xf numFmtId="169" fontId="3" fillId="0" borderId="0" xfId="0" applyNumberFormat="1" applyFont="1" applyAlignment="1" applyProtection="1">
      <alignment horizontal="right" vertical="top" wrapText="1"/>
      <protection locked="0"/>
    </xf>
    <xf numFmtId="0" fontId="3" fillId="0" borderId="24" xfId="0" applyFont="1" applyBorder="1" applyAlignment="1" applyProtection="1">
      <alignment horizontal="right" vertical="top" wrapText="1"/>
      <protection locked="0"/>
    </xf>
    <xf numFmtId="168" fontId="5" fillId="4" borderId="1" xfId="0" applyNumberFormat="1" applyFont="1" applyFill="1" applyBorder="1" applyAlignment="1" applyProtection="1">
      <alignment horizontal="right" vertical="top" wrapText="1"/>
      <protection locked="0"/>
    </xf>
    <xf numFmtId="168" fontId="5" fillId="3" borderId="1" xfId="0" applyNumberFormat="1" applyFont="1" applyFill="1" applyBorder="1" applyAlignment="1" applyProtection="1">
      <alignment horizontal="right" vertical="top" wrapText="1"/>
      <protection locked="0"/>
    </xf>
    <xf numFmtId="168" fontId="5" fillId="2" borderId="14" xfId="0" applyNumberFormat="1" applyFont="1" applyFill="1" applyBorder="1" applyAlignment="1" applyProtection="1">
      <alignment horizontal="right" vertical="top" wrapText="1"/>
      <protection locked="0"/>
    </xf>
    <xf numFmtId="168" fontId="3" fillId="0" borderId="1" xfId="0" applyNumberFormat="1" applyFont="1" applyBorder="1" applyAlignment="1" applyProtection="1">
      <alignment horizontal="right" vertical="top" wrapText="1"/>
      <protection locked="0"/>
    </xf>
    <xf numFmtId="169" fontId="5" fillId="4" borderId="51" xfId="0" applyNumberFormat="1" applyFont="1" applyFill="1" applyBorder="1" applyAlignment="1" applyProtection="1">
      <alignment horizontal="right" vertical="top" wrapText="1"/>
      <protection locked="0"/>
    </xf>
    <xf numFmtId="0" fontId="5" fillId="0" borderId="1" xfId="0" applyFont="1" applyBorder="1" applyAlignment="1" applyProtection="1">
      <alignment horizontal="center" vertical="top" wrapText="1"/>
      <protection locked="0"/>
    </xf>
    <xf numFmtId="169" fontId="5" fillId="0" borderId="1" xfId="0" applyNumberFormat="1" applyFont="1" applyBorder="1" applyAlignment="1" applyProtection="1">
      <alignment horizontal="right" vertical="top" wrapText="1"/>
      <protection locked="0"/>
    </xf>
    <xf numFmtId="1" fontId="5" fillId="0" borderId="1" xfId="0" applyNumberFormat="1" applyFont="1" applyBorder="1" applyAlignment="1" applyProtection="1">
      <alignment horizontal="center" vertical="top" wrapText="1"/>
      <protection locked="0"/>
    </xf>
    <xf numFmtId="0" fontId="5" fillId="0" borderId="2" xfId="0" applyFont="1" applyBorder="1" applyAlignment="1" applyProtection="1">
      <alignment horizontal="center" vertical="top" wrapText="1"/>
      <protection locked="0"/>
    </xf>
    <xf numFmtId="49" fontId="0" fillId="0" borderId="0" xfId="0" applyNumberFormat="1" applyAlignment="1" applyProtection="1">
      <alignment horizontal="left" wrapText="1"/>
    </xf>
    <xf numFmtId="49" fontId="5" fillId="0" borderId="0" xfId="0" applyNumberFormat="1" applyFont="1" applyAlignment="1" applyProtection="1">
      <alignment horizontal="left" wrapText="1"/>
    </xf>
    <xf numFmtId="0" fontId="3" fillId="0" borderId="0" xfId="0" applyFont="1" applyAlignment="1" applyProtection="1">
      <alignment horizontal="center" vertical="top" wrapText="1"/>
    </xf>
    <xf numFmtId="49" fontId="3" fillId="0" borderId="0" xfId="0" applyNumberFormat="1" applyFont="1" applyAlignment="1" applyProtection="1">
      <alignment horizontal="right" wrapText="1"/>
    </xf>
    <xf numFmtId="1" fontId="5" fillId="4" borderId="1" xfId="0" applyNumberFormat="1" applyFont="1" applyFill="1" applyBorder="1" applyAlignment="1" applyProtection="1">
      <alignment vertical="top" wrapText="1"/>
      <protection locked="0"/>
    </xf>
    <xf numFmtId="1" fontId="5" fillId="3" borderId="1" xfId="0" applyNumberFormat="1" applyFont="1" applyFill="1" applyBorder="1" applyAlignment="1" applyProtection="1">
      <alignment vertical="top" wrapText="1"/>
      <protection locked="0"/>
    </xf>
    <xf numFmtId="1" fontId="5" fillId="2" borderId="14" xfId="0" applyNumberFormat="1" applyFont="1" applyFill="1" applyBorder="1" applyAlignment="1" applyProtection="1">
      <alignment vertical="top" wrapText="1"/>
      <protection locked="0"/>
    </xf>
    <xf numFmtId="1" fontId="3" fillId="0" borderId="1" xfId="0" applyNumberFormat="1" applyFont="1" applyBorder="1" applyAlignment="1" applyProtection="1">
      <alignment vertical="top" wrapText="1"/>
      <protection locked="0"/>
    </xf>
    <xf numFmtId="0" fontId="4" fillId="4" borderId="51" xfId="0" applyFont="1" applyFill="1" applyBorder="1" applyAlignment="1" applyProtection="1">
      <alignment horizontal="center" vertical="top" wrapText="1"/>
    </xf>
    <xf numFmtId="168" fontId="4" fillId="4" borderId="51" xfId="0" applyNumberFormat="1" applyFont="1" applyFill="1" applyBorder="1" applyAlignment="1" applyProtection="1">
      <alignment horizontal="center" vertical="top" wrapText="1"/>
    </xf>
    <xf numFmtId="169" fontId="4" fillId="4" borderId="51" xfId="0" applyNumberFormat="1" applyFont="1" applyFill="1" applyBorder="1" applyAlignment="1" applyProtection="1">
      <alignment horizontal="center" vertical="top" wrapText="1"/>
    </xf>
    <xf numFmtId="1" fontId="4" fillId="3" borderId="51" xfId="0" applyNumberFormat="1" applyFont="1" applyFill="1" applyBorder="1" applyAlignment="1" applyProtection="1">
      <alignment horizontal="center" vertical="top" wrapText="1"/>
    </xf>
    <xf numFmtId="168" fontId="4" fillId="3" borderId="51" xfId="0" applyNumberFormat="1" applyFont="1" applyFill="1" applyBorder="1" applyAlignment="1" applyProtection="1">
      <alignment horizontal="center" vertical="top" wrapText="1"/>
    </xf>
    <xf numFmtId="169" fontId="4" fillId="3" borderId="51" xfId="0" applyNumberFormat="1" applyFont="1" applyFill="1" applyBorder="1" applyAlignment="1" applyProtection="1">
      <alignment horizontal="center" vertical="top" wrapText="1"/>
    </xf>
    <xf numFmtId="1" fontId="4" fillId="2" borderId="51" xfId="0" applyNumberFormat="1" applyFont="1" applyFill="1" applyBorder="1" applyAlignment="1" applyProtection="1">
      <alignment horizontal="center" vertical="top" wrapText="1"/>
    </xf>
    <xf numFmtId="168" fontId="4" fillId="2" borderId="51" xfId="0" applyNumberFormat="1" applyFont="1" applyFill="1" applyBorder="1" applyAlignment="1" applyProtection="1">
      <alignment horizontal="center" vertical="top" wrapText="1"/>
    </xf>
    <xf numFmtId="169" fontId="4" fillId="2" borderId="51" xfId="0" applyNumberFormat="1" applyFont="1" applyFill="1" applyBorder="1" applyAlignment="1" applyProtection="1">
      <alignment horizontal="center" vertical="top" wrapText="1"/>
    </xf>
    <xf numFmtId="1" fontId="3" fillId="0" borderId="5" xfId="0" applyNumberFormat="1" applyFont="1" applyBorder="1" applyAlignment="1" applyProtection="1">
      <alignment horizontal="right" vertical="top" wrapText="1"/>
      <protection locked="0"/>
    </xf>
    <xf numFmtId="169" fontId="3" fillId="0" borderId="5" xfId="0" applyNumberFormat="1" applyFont="1" applyBorder="1" applyAlignment="1" applyProtection="1">
      <alignment horizontal="right" vertical="top" wrapText="1"/>
      <protection locked="0"/>
    </xf>
    <xf numFmtId="169" fontId="3" fillId="4" borderId="5" xfId="0" applyNumberFormat="1" applyFont="1" applyFill="1" applyBorder="1" applyAlignment="1" applyProtection="1">
      <alignment horizontal="right" vertical="top" wrapText="1"/>
      <protection locked="0"/>
    </xf>
    <xf numFmtId="1" fontId="3" fillId="3" borderId="5" xfId="0" applyNumberFormat="1" applyFont="1" applyFill="1" applyBorder="1" applyAlignment="1" applyProtection="1">
      <alignment horizontal="right" vertical="top" wrapText="1"/>
      <protection locked="0"/>
    </xf>
    <xf numFmtId="168" fontId="3" fillId="3" borderId="5" xfId="0" applyNumberFormat="1" applyFont="1" applyFill="1" applyBorder="1" applyAlignment="1" applyProtection="1">
      <alignment horizontal="right" vertical="top" wrapText="1"/>
      <protection locked="0"/>
    </xf>
    <xf numFmtId="169" fontId="3" fillId="3" borderId="5" xfId="0" applyNumberFormat="1" applyFont="1" applyFill="1" applyBorder="1" applyAlignment="1" applyProtection="1">
      <alignment horizontal="right" vertical="top" wrapText="1"/>
      <protection locked="0"/>
    </xf>
    <xf numFmtId="1" fontId="3" fillId="2" borderId="5" xfId="0" applyNumberFormat="1" applyFont="1" applyFill="1" applyBorder="1" applyAlignment="1" applyProtection="1">
      <alignment horizontal="right" vertical="top" wrapText="1"/>
      <protection locked="0"/>
    </xf>
    <xf numFmtId="168" fontId="3" fillId="2" borderId="5" xfId="0" applyNumberFormat="1" applyFont="1" applyFill="1" applyBorder="1" applyAlignment="1" applyProtection="1">
      <alignment horizontal="right" vertical="top" wrapText="1"/>
      <protection locked="0"/>
    </xf>
    <xf numFmtId="169" fontId="3" fillId="2" borderId="5" xfId="0" applyNumberFormat="1" applyFont="1" applyFill="1" applyBorder="1" applyAlignment="1" applyProtection="1">
      <alignment horizontal="right" vertical="top" wrapText="1"/>
      <protection locked="0"/>
    </xf>
    <xf numFmtId="169" fontId="3" fillId="0" borderId="2" xfId="0" applyNumberFormat="1" applyFont="1" applyFill="1" applyBorder="1" applyAlignment="1" applyProtection="1">
      <alignment horizontal="right" vertical="top" wrapText="1"/>
      <protection locked="0"/>
    </xf>
    <xf numFmtId="49" fontId="10" fillId="0" borderId="0" xfId="0" applyNumberFormat="1" applyFont="1" applyAlignment="1">
      <alignment horizontal="center" vertical="center" wrapText="1"/>
    </xf>
    <xf numFmtId="0" fontId="5" fillId="0" borderId="0" xfId="0" applyFont="1" applyBorder="1" applyAlignment="1" applyProtection="1">
      <alignment vertical="top" wrapText="1"/>
      <protection locked="0"/>
    </xf>
    <xf numFmtId="49" fontId="4" fillId="0" borderId="0" xfId="0" applyNumberFormat="1" applyFont="1" applyFill="1" applyBorder="1" applyAlignment="1" applyProtection="1">
      <alignment vertical="top" wrapText="1"/>
    </xf>
    <xf numFmtId="0" fontId="47" fillId="0" borderId="0" xfId="0" applyNumberFormat="1" applyFont="1" applyFill="1" applyBorder="1" applyAlignment="1">
      <alignment horizontal="left" vertical="center" wrapText="1" indent="1"/>
    </xf>
    <xf numFmtId="0" fontId="48" fillId="0" borderId="52" xfId="0" applyFont="1" applyBorder="1" applyAlignment="1" applyProtection="1">
      <alignment horizontal="left" vertical="top"/>
    </xf>
    <xf numFmtId="0" fontId="48" fillId="0" borderId="26" xfId="0" applyFont="1" applyBorder="1" applyAlignment="1" applyProtection="1">
      <alignment horizontal="left" vertical="top" wrapText="1"/>
    </xf>
    <xf numFmtId="0" fontId="48" fillId="4" borderId="11" xfId="0" applyFont="1" applyFill="1" applyBorder="1" applyAlignment="1" applyProtection="1">
      <alignment horizontal="right" vertical="top" wrapText="1"/>
    </xf>
    <xf numFmtId="168" fontId="48" fillId="4" borderId="11" xfId="0" applyNumberFormat="1" applyFont="1" applyFill="1" applyBorder="1" applyAlignment="1" applyProtection="1">
      <alignment horizontal="right" vertical="top" wrapText="1"/>
    </xf>
    <xf numFmtId="169" fontId="48" fillId="4" borderId="11" xfId="0" applyNumberFormat="1" applyFont="1" applyFill="1" applyBorder="1" applyAlignment="1" applyProtection="1">
      <alignment horizontal="right" vertical="top" wrapText="1"/>
    </xf>
    <xf numFmtId="1" fontId="48" fillId="3" borderId="27" xfId="0" applyNumberFormat="1" applyFont="1" applyFill="1" applyBorder="1" applyAlignment="1" applyProtection="1">
      <alignment horizontal="right" vertical="top" wrapText="1"/>
    </xf>
    <xf numFmtId="168" fontId="48" fillId="3" borderId="27" xfId="0" applyNumberFormat="1" applyFont="1" applyFill="1" applyBorder="1" applyAlignment="1" applyProtection="1">
      <alignment horizontal="right" vertical="top" wrapText="1"/>
    </xf>
    <xf numFmtId="169" fontId="48" fillId="3" borderId="11" xfId="0" applyNumberFormat="1" applyFont="1" applyFill="1" applyBorder="1" applyAlignment="1" applyProtection="1">
      <alignment horizontal="right" vertical="top" wrapText="1"/>
    </xf>
    <xf numFmtId="1" fontId="48" fillId="2" borderId="27" xfId="0" applyNumberFormat="1" applyFont="1" applyFill="1" applyBorder="1" applyAlignment="1" applyProtection="1">
      <alignment horizontal="right" vertical="top" wrapText="1"/>
    </xf>
    <xf numFmtId="168" fontId="48" fillId="2" borderId="27" xfId="0" applyNumberFormat="1" applyFont="1" applyFill="1" applyBorder="1" applyAlignment="1" applyProtection="1">
      <alignment horizontal="right" vertical="top" wrapText="1"/>
    </xf>
    <xf numFmtId="169" fontId="48" fillId="2" borderId="11" xfId="0" applyNumberFormat="1" applyFont="1" applyFill="1" applyBorder="1" applyAlignment="1" applyProtection="1">
      <alignment horizontal="right" vertical="top" wrapText="1"/>
    </xf>
    <xf numFmtId="1" fontId="48" fillId="0" borderId="27" xfId="0" applyNumberFormat="1" applyFont="1" applyBorder="1" applyAlignment="1" applyProtection="1">
      <alignment horizontal="right" vertical="top" wrapText="1"/>
    </xf>
    <xf numFmtId="169" fontId="48" fillId="0" borderId="27" xfId="0" applyNumberFormat="1" applyFont="1" applyBorder="1" applyAlignment="1" applyProtection="1">
      <alignment horizontal="right" vertical="top" wrapText="1"/>
    </xf>
    <xf numFmtId="0" fontId="48" fillId="0" borderId="53" xfId="0" applyFont="1" applyBorder="1" applyAlignment="1" applyProtection="1">
      <alignment horizontal="left" vertical="top" wrapText="1"/>
    </xf>
    <xf numFmtId="0" fontId="48" fillId="0" borderId="54" xfId="0" applyFont="1" applyBorder="1" applyAlignment="1" applyProtection="1">
      <alignment horizontal="left" vertical="top"/>
    </xf>
    <xf numFmtId="0" fontId="49" fillId="0" borderId="20" xfId="0" applyFont="1" applyBorder="1" applyAlignment="1" applyProtection="1">
      <alignment horizontal="left" vertical="top" wrapText="1"/>
    </xf>
    <xf numFmtId="0" fontId="49" fillId="4" borderId="5" xfId="0" applyFont="1" applyFill="1" applyBorder="1" applyAlignment="1" applyProtection="1">
      <alignment horizontal="right" vertical="top" wrapText="1"/>
    </xf>
    <xf numFmtId="168" fontId="49" fillId="4" borderId="5" xfId="0" applyNumberFormat="1" applyFont="1" applyFill="1" applyBorder="1" applyAlignment="1" applyProtection="1">
      <alignment horizontal="right" vertical="top" wrapText="1"/>
    </xf>
    <xf numFmtId="169" fontId="49" fillId="4" borderId="11" xfId="0" applyNumberFormat="1" applyFont="1" applyFill="1" applyBorder="1" applyAlignment="1" applyProtection="1">
      <alignment horizontal="right" vertical="top" wrapText="1"/>
    </xf>
    <xf numFmtId="1" fontId="49" fillId="3" borderId="28" xfId="0" applyNumberFormat="1" applyFont="1" applyFill="1" applyBorder="1" applyAlignment="1" applyProtection="1">
      <alignment horizontal="right" vertical="top" wrapText="1"/>
    </xf>
    <xf numFmtId="168" fontId="49" fillId="3" borderId="27" xfId="0" applyNumberFormat="1" applyFont="1" applyFill="1" applyBorder="1" applyAlignment="1" applyProtection="1">
      <alignment horizontal="right" vertical="top" wrapText="1"/>
    </xf>
    <xf numFmtId="169" fontId="49" fillId="3" borderId="11" xfId="0" applyNumberFormat="1" applyFont="1" applyFill="1" applyBorder="1" applyAlignment="1" applyProtection="1">
      <alignment horizontal="right" vertical="top" wrapText="1"/>
    </xf>
    <xf numFmtId="1" fontId="49" fillId="2" borderId="28" xfId="0" applyNumberFormat="1" applyFont="1" applyFill="1" applyBorder="1" applyAlignment="1" applyProtection="1">
      <alignment horizontal="right" vertical="top" wrapText="1"/>
    </xf>
    <xf numFmtId="168" fontId="49" fillId="2" borderId="27" xfId="0" applyNumberFormat="1" applyFont="1" applyFill="1" applyBorder="1" applyAlignment="1" applyProtection="1">
      <alignment horizontal="right" vertical="top" wrapText="1"/>
    </xf>
    <xf numFmtId="169" fontId="49" fillId="2" borderId="11" xfId="0" applyNumberFormat="1" applyFont="1" applyFill="1" applyBorder="1" applyAlignment="1" applyProtection="1">
      <alignment horizontal="right" vertical="top" wrapText="1"/>
    </xf>
    <xf numFmtId="1" fontId="48" fillId="0" borderId="28" xfId="0" applyNumberFormat="1" applyFont="1" applyFill="1" applyBorder="1" applyAlignment="1" applyProtection="1">
      <alignment horizontal="right" vertical="top" wrapText="1"/>
    </xf>
    <xf numFmtId="0" fontId="49" fillId="0" borderId="53" xfId="0" applyFont="1" applyBorder="1" applyAlignment="1" applyProtection="1">
      <alignment horizontal="left" vertical="top" wrapText="1"/>
    </xf>
    <xf numFmtId="0" fontId="48" fillId="0" borderId="55" xfId="0" applyFont="1" applyBorder="1" applyAlignment="1" applyProtection="1">
      <alignment horizontal="left" vertical="top"/>
    </xf>
    <xf numFmtId="0" fontId="49" fillId="0" borderId="56" xfId="0" applyFont="1" applyBorder="1" applyAlignment="1" applyProtection="1">
      <alignment horizontal="left" vertical="top" wrapText="1"/>
    </xf>
    <xf numFmtId="0" fontId="49" fillId="4" borderId="57" xfId="0" applyFont="1" applyFill="1" applyBorder="1" applyAlignment="1" applyProtection="1">
      <alignment horizontal="right" vertical="top" wrapText="1"/>
    </xf>
    <xf numFmtId="168" fontId="49" fillId="4" borderId="57" xfId="0" applyNumberFormat="1" applyFont="1" applyFill="1" applyBorder="1" applyAlignment="1" applyProtection="1">
      <alignment horizontal="right" vertical="top" wrapText="1"/>
    </xf>
    <xf numFmtId="169" fontId="49" fillId="4" borderId="58" xfId="0" applyNumberFormat="1" applyFont="1" applyFill="1" applyBorder="1" applyAlignment="1" applyProtection="1">
      <alignment horizontal="right" vertical="top" wrapText="1"/>
    </xf>
    <xf numFmtId="1" fontId="49" fillId="3" borderId="59" xfId="0" applyNumberFormat="1" applyFont="1" applyFill="1" applyBorder="1" applyAlignment="1" applyProtection="1">
      <alignment horizontal="right" vertical="top" wrapText="1"/>
    </xf>
    <xf numFmtId="168" fontId="49" fillId="3" borderId="60" xfId="0" applyNumberFormat="1" applyFont="1" applyFill="1" applyBorder="1" applyAlignment="1" applyProtection="1">
      <alignment horizontal="right" vertical="top" wrapText="1"/>
    </xf>
    <xf numFmtId="169" fontId="49" fillId="3" borderId="58" xfId="0" applyNumberFormat="1" applyFont="1" applyFill="1" applyBorder="1" applyAlignment="1" applyProtection="1">
      <alignment horizontal="right" vertical="top" wrapText="1"/>
    </xf>
    <xf numFmtId="1" fontId="49" fillId="2" borderId="59" xfId="0" applyNumberFormat="1" applyFont="1" applyFill="1" applyBorder="1" applyAlignment="1" applyProtection="1">
      <alignment horizontal="right" vertical="top" wrapText="1"/>
    </xf>
    <xf numFmtId="168" fontId="49" fillId="2" borderId="60" xfId="0" applyNumberFormat="1" applyFont="1" applyFill="1" applyBorder="1" applyAlignment="1" applyProtection="1">
      <alignment horizontal="right" vertical="top" wrapText="1"/>
    </xf>
    <xf numFmtId="169" fontId="49" fillId="2" borderId="58" xfId="0" applyNumberFormat="1" applyFont="1" applyFill="1" applyBorder="1" applyAlignment="1" applyProtection="1">
      <alignment horizontal="right" vertical="top" wrapText="1"/>
    </xf>
    <xf numFmtId="1" fontId="48" fillId="0" borderId="59" xfId="0" applyNumberFormat="1" applyFont="1" applyFill="1" applyBorder="1" applyAlignment="1" applyProtection="1">
      <alignment horizontal="right" vertical="top" wrapText="1"/>
    </xf>
    <xf numFmtId="169" fontId="48" fillId="0" borderId="60" xfId="0" applyNumberFormat="1" applyFont="1" applyBorder="1" applyAlignment="1" applyProtection="1">
      <alignment horizontal="right" vertical="top" wrapText="1"/>
    </xf>
    <xf numFmtId="0" fontId="49" fillId="0" borderId="61" xfId="0" applyFont="1" applyBorder="1" applyAlignment="1" applyProtection="1">
      <alignment horizontal="left" vertical="top" wrapText="1"/>
    </xf>
    <xf numFmtId="0" fontId="19" fillId="0" borderId="0" xfId="0" applyFont="1" applyFill="1" applyBorder="1" applyAlignment="1">
      <alignment vertical="top" wrapText="1"/>
    </xf>
    <xf numFmtId="0" fontId="3" fillId="0" borderId="0" xfId="0" applyFont="1" applyFill="1" applyBorder="1" applyAlignment="1">
      <alignment vertical="top" wrapText="1"/>
    </xf>
    <xf numFmtId="0" fontId="3" fillId="0" borderId="0" xfId="0" applyFont="1" applyFill="1" applyBorder="1" applyAlignment="1">
      <alignment wrapText="1"/>
    </xf>
    <xf numFmtId="0" fontId="5" fillId="0" borderId="0" xfId="0" applyFont="1" applyFill="1" applyBorder="1" applyAlignment="1">
      <alignment wrapText="1"/>
    </xf>
    <xf numFmtId="0" fontId="4" fillId="0" borderId="0" xfId="0" applyFont="1" applyFill="1" applyBorder="1" applyAlignment="1">
      <alignment horizontal="left" vertical="top" wrapText="1" indent="1"/>
    </xf>
    <xf numFmtId="0" fontId="3" fillId="0" borderId="0" xfId="0" applyFont="1" applyBorder="1" applyAlignment="1">
      <alignment vertical="top" wrapText="1"/>
    </xf>
    <xf numFmtId="0" fontId="5" fillId="0" borderId="0" xfId="0" applyFont="1" applyBorder="1" applyAlignment="1">
      <alignment wrapText="1"/>
    </xf>
    <xf numFmtId="0" fontId="49" fillId="4" borderId="9" xfId="0" applyFont="1" applyFill="1" applyBorder="1" applyAlignment="1" applyProtection="1">
      <alignment horizontal="left" vertical="top" wrapText="1"/>
      <protection locked="0"/>
    </xf>
    <xf numFmtId="0" fontId="48" fillId="4" borderId="62" xfId="0" applyFont="1" applyFill="1" applyBorder="1" applyAlignment="1" applyProtection="1">
      <alignment horizontal="left" vertical="top" wrapText="1"/>
    </xf>
    <xf numFmtId="0" fontId="49" fillId="4" borderId="63" xfId="0" applyFont="1" applyFill="1" applyBorder="1" applyAlignment="1" applyProtection="1">
      <alignment horizontal="center" vertical="top" wrapText="1"/>
    </xf>
    <xf numFmtId="168" fontId="49" fillId="4" borderId="63" xfId="0" applyNumberFormat="1" applyFont="1" applyFill="1" applyBorder="1" applyAlignment="1" applyProtection="1">
      <alignment horizontal="center" vertical="top" wrapText="1"/>
    </xf>
    <xf numFmtId="1" fontId="49" fillId="4" borderId="63" xfId="0" applyNumberFormat="1" applyFont="1" applyFill="1" applyBorder="1" applyAlignment="1" applyProtection="1">
      <alignment horizontal="center" vertical="top" wrapText="1"/>
    </xf>
    <xf numFmtId="169" fontId="49" fillId="4" borderId="63" xfId="0" applyNumberFormat="1" applyFont="1" applyFill="1" applyBorder="1" applyAlignment="1" applyProtection="1">
      <alignment horizontal="right" vertical="top" wrapText="1"/>
    </xf>
    <xf numFmtId="0" fontId="49" fillId="4" borderId="64" xfId="0" applyFont="1" applyFill="1" applyBorder="1" applyAlignment="1" applyProtection="1">
      <alignment horizontal="left" vertical="top" wrapText="1"/>
    </xf>
    <xf numFmtId="168" fontId="49" fillId="4" borderId="63" xfId="0" applyNumberFormat="1" applyFont="1" applyFill="1" applyBorder="1" applyAlignment="1" applyProtection="1">
      <alignment horizontal="right" vertical="top" wrapText="1"/>
    </xf>
    <xf numFmtId="0" fontId="48" fillId="0" borderId="62" xfId="0" applyFont="1" applyBorder="1" applyAlignment="1" applyProtection="1">
      <alignment vertical="top" wrapText="1"/>
    </xf>
    <xf numFmtId="0" fontId="49" fillId="0" borderId="65" xfId="0" applyFont="1" applyBorder="1" applyAlignment="1" applyProtection="1">
      <alignment vertical="top" wrapText="1"/>
    </xf>
    <xf numFmtId="169" fontId="49" fillId="3" borderId="66" xfId="0" applyNumberFormat="1" applyFont="1" applyFill="1" applyBorder="1" applyAlignment="1" applyProtection="1">
      <alignment horizontal="right" vertical="top" wrapText="1"/>
    </xf>
    <xf numFmtId="169" fontId="49" fillId="2" borderId="67" xfId="0" applyNumberFormat="1" applyFont="1" applyFill="1" applyBorder="1" applyAlignment="1" applyProtection="1">
      <alignment horizontal="right" vertical="top" wrapText="1"/>
    </xf>
    <xf numFmtId="169" fontId="48" fillId="0" borderId="64" xfId="0" applyNumberFormat="1" applyFont="1" applyBorder="1" applyAlignment="1" applyProtection="1">
      <alignment horizontal="right" vertical="top" wrapText="1"/>
    </xf>
    <xf numFmtId="0" fontId="49" fillId="4" borderId="62" xfId="0" applyFont="1" applyFill="1" applyBorder="1" applyAlignment="1" applyProtection="1">
      <alignment vertical="top" wrapText="1"/>
    </xf>
    <xf numFmtId="1" fontId="49" fillId="4" borderId="63" xfId="0" applyNumberFormat="1" applyFont="1" applyFill="1" applyBorder="1" applyAlignment="1" applyProtection="1">
      <alignment vertical="top" wrapText="1"/>
    </xf>
    <xf numFmtId="1" fontId="49" fillId="4" borderId="63" xfId="0" applyNumberFormat="1" applyFont="1" applyFill="1" applyBorder="1" applyAlignment="1" applyProtection="1">
      <alignment horizontal="left" vertical="top" wrapText="1"/>
    </xf>
    <xf numFmtId="0" fontId="49" fillId="0" borderId="62" xfId="0" applyFont="1" applyBorder="1" applyAlignment="1" applyProtection="1">
      <alignment horizontal="left" vertical="top" wrapText="1"/>
    </xf>
    <xf numFmtId="1" fontId="49" fillId="0" borderId="63" xfId="0" applyNumberFormat="1" applyFont="1" applyBorder="1" applyAlignment="1" applyProtection="1">
      <alignment horizontal="center" vertical="top" wrapText="1"/>
    </xf>
    <xf numFmtId="1" fontId="49" fillId="0" borderId="63" xfId="0" applyNumberFormat="1" applyFont="1" applyBorder="1" applyAlignment="1" applyProtection="1">
      <alignment horizontal="left" vertical="top" wrapText="1"/>
    </xf>
    <xf numFmtId="169" fontId="49" fillId="4" borderId="67" xfId="0" applyNumberFormat="1" applyFont="1" applyFill="1" applyBorder="1" applyAlignment="1" applyProtection="1">
      <alignment horizontal="right" vertical="top" wrapText="1"/>
    </xf>
    <xf numFmtId="169" fontId="49" fillId="3" borderId="67" xfId="0" applyNumberFormat="1" applyFont="1" applyFill="1" applyBorder="1" applyAlignment="1" applyProtection="1">
      <alignment horizontal="right" vertical="top" wrapText="1"/>
    </xf>
    <xf numFmtId="0" fontId="5" fillId="0" borderId="0" xfId="0" applyFont="1" applyBorder="1" applyAlignment="1" applyProtection="1">
      <alignment wrapText="1"/>
    </xf>
    <xf numFmtId="0" fontId="3" fillId="0" borderId="0" xfId="0" applyFont="1" applyFill="1" applyBorder="1" applyAlignment="1" applyProtection="1">
      <alignment horizontal="left" vertical="top" wrapText="1"/>
      <protection locked="0"/>
    </xf>
    <xf numFmtId="49" fontId="4" fillId="0" borderId="0" xfId="0" applyNumberFormat="1" applyFont="1" applyFill="1" applyBorder="1" applyAlignment="1" applyProtection="1">
      <alignment horizontal="center" vertical="top" wrapText="1"/>
    </xf>
    <xf numFmtId="0" fontId="5" fillId="0" borderId="0" xfId="0" applyFont="1" applyFill="1" applyBorder="1" applyAlignment="1" applyProtection="1">
      <alignment wrapText="1"/>
    </xf>
    <xf numFmtId="0" fontId="4" fillId="0" borderId="0" xfId="0" applyFont="1" applyFill="1" applyBorder="1" applyAlignment="1">
      <alignment horizontal="center" wrapText="1"/>
    </xf>
    <xf numFmtId="9" fontId="50" fillId="0" borderId="0" xfId="0" applyNumberFormat="1" applyFont="1" applyFill="1" applyBorder="1" applyAlignment="1">
      <alignment horizontal="center" wrapText="1"/>
    </xf>
    <xf numFmtId="169" fontId="50" fillId="0" borderId="0" xfId="0" applyNumberFormat="1" applyFont="1" applyFill="1" applyBorder="1" applyAlignment="1">
      <alignment horizontal="center" wrapText="1"/>
    </xf>
    <xf numFmtId="0" fontId="7" fillId="0" borderId="0" xfId="0" applyFont="1" applyFill="1" applyBorder="1" applyAlignment="1">
      <alignment horizontal="center" wrapText="1"/>
    </xf>
    <xf numFmtId="169" fontId="7" fillId="0" borderId="0" xfId="0" applyNumberFormat="1" applyFont="1" applyFill="1" applyBorder="1" applyAlignment="1">
      <alignment horizontal="center" wrapText="1"/>
    </xf>
    <xf numFmtId="0" fontId="4" fillId="0" borderId="0" xfId="0" applyNumberFormat="1" applyFont="1" applyFill="1" applyBorder="1" applyAlignment="1">
      <alignment horizontal="left" vertical="center" wrapText="1" indent="1"/>
    </xf>
    <xf numFmtId="0" fontId="11" fillId="0" borderId="0" xfId="0" applyFont="1" applyFill="1" applyBorder="1" applyAlignment="1" applyProtection="1">
      <alignment vertical="center" wrapText="1"/>
    </xf>
    <xf numFmtId="0" fontId="4" fillId="0" borderId="0" xfId="0" applyFont="1" applyFill="1" applyBorder="1" applyAlignment="1" applyProtection="1">
      <alignment horizontal="left" vertical="top" wrapText="1" indent="1"/>
    </xf>
    <xf numFmtId="0" fontId="5" fillId="0" borderId="0" xfId="0" applyFont="1" applyFill="1" applyBorder="1" applyAlignment="1">
      <alignment vertical="top" wrapText="1"/>
    </xf>
    <xf numFmtId="0" fontId="4" fillId="0" borderId="17" xfId="0" applyFont="1" applyBorder="1" applyAlignment="1" applyProtection="1">
      <alignment horizontal="right" wrapText="1"/>
    </xf>
    <xf numFmtId="168" fontId="5" fillId="0" borderId="0" xfId="0" applyNumberFormat="1" applyFont="1" applyFill="1" applyBorder="1" applyAlignment="1" applyProtection="1">
      <alignment horizontal="center" vertical="top" wrapText="1"/>
    </xf>
    <xf numFmtId="169" fontId="7" fillId="0" borderId="0" xfId="0" applyNumberFormat="1" applyFont="1" applyFill="1" applyBorder="1" applyAlignment="1" applyProtection="1">
      <alignment horizontal="center" vertical="top" wrapText="1"/>
    </xf>
    <xf numFmtId="169" fontId="4" fillId="0" borderId="0" xfId="0" applyNumberFormat="1" applyFont="1" applyFill="1" applyBorder="1" applyAlignment="1" applyProtection="1">
      <alignment horizontal="center" wrapText="1"/>
    </xf>
    <xf numFmtId="9" fontId="47" fillId="0" borderId="31" xfId="2" applyNumberFormat="1" applyFont="1" applyBorder="1" applyAlignment="1" applyProtection="1">
      <alignment horizontal="left" wrapText="1"/>
    </xf>
    <xf numFmtId="49" fontId="4" fillId="0" borderId="68" xfId="2" applyNumberFormat="1" applyFont="1" applyBorder="1" applyAlignment="1">
      <alignment horizontal="right" vertical="top" wrapText="1"/>
    </xf>
    <xf numFmtId="0" fontId="4" fillId="9" borderId="47" xfId="2" applyFont="1" applyFill="1" applyBorder="1" applyAlignment="1">
      <alignment horizontal="center" wrapText="1"/>
    </xf>
    <xf numFmtId="0" fontId="7" fillId="9" borderId="47" xfId="2" applyFont="1" applyFill="1" applyBorder="1" applyAlignment="1">
      <alignment wrapText="1"/>
    </xf>
    <xf numFmtId="6" fontId="7" fillId="0" borderId="69" xfId="2" applyNumberFormat="1" applyFont="1" applyBorder="1" applyAlignment="1" applyProtection="1">
      <alignment horizontal="center" wrapText="1"/>
    </xf>
    <xf numFmtId="6" fontId="7" fillId="0" borderId="47" xfId="2" applyNumberFormat="1" applyFont="1" applyBorder="1" applyAlignment="1" applyProtection="1">
      <alignment horizontal="center" wrapText="1"/>
    </xf>
    <xf numFmtId="169" fontId="50" fillId="9" borderId="70" xfId="2" applyNumberFormat="1" applyFont="1" applyFill="1" applyBorder="1" applyAlignment="1">
      <alignment horizontal="center" wrapText="1"/>
    </xf>
    <xf numFmtId="169" fontId="7" fillId="9" borderId="94" xfId="2" applyNumberFormat="1" applyFont="1" applyFill="1" applyBorder="1" applyAlignment="1">
      <alignment horizontal="center" wrapText="1"/>
    </xf>
    <xf numFmtId="6" fontId="7" fillId="0" borderId="94" xfId="2" applyNumberFormat="1" applyFont="1" applyBorder="1" applyAlignment="1" applyProtection="1">
      <alignment horizontal="left" wrapText="1"/>
    </xf>
    <xf numFmtId="0" fontId="4" fillId="10" borderId="69" xfId="2" applyFont="1" applyFill="1" applyBorder="1" applyAlignment="1">
      <alignment horizontal="center" wrapText="1"/>
    </xf>
    <xf numFmtId="0" fontId="4" fillId="10" borderId="71" xfId="2" applyFont="1" applyFill="1" applyBorder="1" applyAlignment="1">
      <alignment horizontal="center" wrapText="1"/>
    </xf>
    <xf numFmtId="169" fontId="50" fillId="10" borderId="95" xfId="2" applyNumberFormat="1" applyFont="1" applyFill="1" applyBorder="1" applyAlignment="1">
      <alignment horizontal="center" wrapText="1"/>
    </xf>
    <xf numFmtId="9" fontId="50" fillId="10" borderId="38" xfId="2" applyNumberFormat="1" applyFont="1" applyFill="1" applyBorder="1" applyAlignment="1">
      <alignment horizontal="center" wrapText="1"/>
    </xf>
    <xf numFmtId="169" fontId="50" fillId="10" borderId="38" xfId="2" applyNumberFormat="1" applyFont="1" applyFill="1" applyBorder="1" applyAlignment="1">
      <alignment horizontal="center" wrapText="1"/>
    </xf>
    <xf numFmtId="169" fontId="7" fillId="10" borderId="94" xfId="2" applyNumberFormat="1" applyFont="1" applyFill="1" applyBorder="1" applyAlignment="1">
      <alignment horizontal="center" wrapText="1"/>
    </xf>
    <xf numFmtId="169" fontId="5" fillId="10" borderId="71" xfId="2" applyNumberFormat="1" applyFont="1" applyFill="1" applyBorder="1" applyAlignment="1">
      <alignment horizontal="center" vertical="top" wrapText="1"/>
    </xf>
    <xf numFmtId="169" fontId="5" fillId="10" borderId="68" xfId="2" applyNumberFormat="1" applyFont="1" applyFill="1" applyBorder="1" applyAlignment="1">
      <alignment horizontal="center" vertical="top" wrapText="1"/>
    </xf>
    <xf numFmtId="0" fontId="4" fillId="11" borderId="38" xfId="2" applyFont="1" applyFill="1" applyBorder="1" applyAlignment="1">
      <alignment horizontal="center" wrapText="1"/>
    </xf>
    <xf numFmtId="0" fontId="4" fillId="11" borderId="71" xfId="2" applyFont="1" applyFill="1" applyBorder="1" applyAlignment="1">
      <alignment horizontal="center" wrapText="1"/>
    </xf>
    <xf numFmtId="169" fontId="50" fillId="11" borderId="95" xfId="2" applyNumberFormat="1" applyFont="1" applyFill="1" applyBorder="1" applyAlignment="1">
      <alignment horizontal="center" wrapText="1"/>
    </xf>
    <xf numFmtId="9" fontId="50" fillId="11" borderId="95" xfId="2" applyNumberFormat="1" applyFont="1" applyFill="1" applyBorder="1" applyAlignment="1">
      <alignment horizontal="center" wrapText="1"/>
    </xf>
    <xf numFmtId="169" fontId="7" fillId="11" borderId="71" xfId="2" applyNumberFormat="1" applyFont="1" applyFill="1" applyBorder="1" applyAlignment="1">
      <alignment horizontal="center" wrapText="1"/>
    </xf>
    <xf numFmtId="169" fontId="5" fillId="11" borderId="69" xfId="2" applyNumberFormat="1" applyFont="1" applyFill="1" applyBorder="1" applyAlignment="1">
      <alignment horizontal="center" vertical="top" wrapText="1"/>
    </xf>
    <xf numFmtId="169" fontId="5" fillId="11" borderId="71" xfId="2" applyNumberFormat="1" applyFont="1" applyFill="1" applyBorder="1" applyAlignment="1">
      <alignment horizontal="center" vertical="top" wrapText="1"/>
    </xf>
    <xf numFmtId="49" fontId="4" fillId="12" borderId="69" xfId="2" applyNumberFormat="1" applyFont="1" applyFill="1" applyBorder="1" applyAlignment="1" applyProtection="1">
      <alignment horizontal="center" vertical="top" wrapText="1"/>
    </xf>
    <xf numFmtId="49" fontId="4" fillId="12" borderId="0" xfId="2" applyNumberFormat="1" applyFont="1" applyFill="1" applyBorder="1" applyAlignment="1" applyProtection="1">
      <alignment horizontal="center" wrapText="1"/>
    </xf>
    <xf numFmtId="49" fontId="4" fillId="12" borderId="69" xfId="2" applyNumberFormat="1" applyFont="1" applyFill="1" applyBorder="1" applyAlignment="1" applyProtection="1">
      <alignment horizontal="center" wrapText="1"/>
    </xf>
    <xf numFmtId="6" fontId="50" fillId="12" borderId="72" xfId="2" applyNumberFormat="1" applyFont="1" applyFill="1" applyBorder="1" applyAlignment="1" applyProtection="1">
      <alignment horizontal="center" wrapText="1"/>
    </xf>
    <xf numFmtId="9" fontId="50" fillId="12" borderId="95" xfId="2" applyNumberFormat="1" applyFont="1" applyFill="1" applyBorder="1" applyAlignment="1" applyProtection="1">
      <alignment horizontal="center" wrapText="1"/>
    </xf>
    <xf numFmtId="169" fontId="50" fillId="12" borderId="95" xfId="2" applyNumberFormat="1" applyFont="1" applyFill="1" applyBorder="1" applyAlignment="1" applyProtection="1">
      <alignment horizontal="center" wrapText="1"/>
    </xf>
    <xf numFmtId="169" fontId="7" fillId="12" borderId="69" xfId="2" applyNumberFormat="1" applyFont="1" applyFill="1" applyBorder="1" applyAlignment="1" applyProtection="1">
      <alignment horizontal="center" wrapText="1"/>
    </xf>
    <xf numFmtId="169" fontId="5" fillId="12" borderId="69" xfId="2" applyNumberFormat="1" applyFont="1" applyFill="1" applyBorder="1" applyAlignment="1">
      <alignment horizontal="center" vertical="top" wrapText="1"/>
    </xf>
    <xf numFmtId="0" fontId="7" fillId="13" borderId="0" xfId="0" applyFont="1" applyFill="1" applyAlignment="1">
      <alignment wrapText="1"/>
    </xf>
    <xf numFmtId="49" fontId="4" fillId="0" borderId="73" xfId="2" applyNumberFormat="1" applyFont="1" applyFill="1" applyBorder="1" applyAlignment="1" applyProtection="1">
      <alignment horizontal="center" vertical="top" wrapText="1"/>
    </xf>
    <xf numFmtId="3" fontId="7" fillId="12" borderId="94" xfId="2" applyNumberFormat="1" applyFont="1" applyFill="1" applyBorder="1" applyAlignment="1" applyProtection="1">
      <alignment horizontal="center" wrapText="1"/>
    </xf>
    <xf numFmtId="3" fontId="7" fillId="12" borderId="69" xfId="2" applyNumberFormat="1" applyFont="1" applyFill="1" applyBorder="1" applyAlignment="1" applyProtection="1">
      <alignment horizontal="center" wrapText="1"/>
    </xf>
    <xf numFmtId="3" fontId="7" fillId="12" borderId="47" xfId="2" applyNumberFormat="1" applyFont="1" applyFill="1" applyBorder="1" applyAlignment="1" applyProtection="1">
      <alignment horizontal="center" wrapText="1"/>
    </xf>
    <xf numFmtId="3" fontId="7" fillId="11" borderId="69" xfId="2" applyNumberFormat="1" applyFont="1" applyFill="1" applyBorder="1" applyAlignment="1">
      <alignment horizontal="center" wrapText="1"/>
    </xf>
    <xf numFmtId="3" fontId="7" fillId="11" borderId="47" xfId="2" applyNumberFormat="1" applyFont="1" applyFill="1" applyBorder="1" applyAlignment="1">
      <alignment horizontal="center" wrapText="1"/>
    </xf>
    <xf numFmtId="3" fontId="7" fillId="10" borderId="69" xfId="2" applyNumberFormat="1" applyFont="1" applyFill="1" applyBorder="1" applyAlignment="1">
      <alignment horizontal="center" wrapText="1"/>
    </xf>
    <xf numFmtId="3" fontId="7" fillId="10" borderId="47" xfId="2" applyNumberFormat="1" applyFont="1" applyFill="1" applyBorder="1" applyAlignment="1">
      <alignment horizontal="center" wrapText="1"/>
    </xf>
    <xf numFmtId="9" fontId="5" fillId="12" borderId="71" xfId="2" applyNumberFormat="1" applyFont="1" applyFill="1" applyBorder="1" applyAlignment="1">
      <alignment horizontal="center" vertical="top" wrapText="1"/>
    </xf>
    <xf numFmtId="9" fontId="5" fillId="11" borderId="68" xfId="2" applyNumberFormat="1" applyFont="1" applyFill="1" applyBorder="1" applyAlignment="1">
      <alignment horizontal="center" vertical="top" wrapText="1"/>
    </xf>
    <xf numFmtId="9" fontId="5" fillId="10" borderId="69" xfId="2" applyNumberFormat="1" applyFont="1" applyFill="1" applyBorder="1" applyAlignment="1">
      <alignment horizontal="center" vertical="top" wrapText="1"/>
    </xf>
    <xf numFmtId="169" fontId="5" fillId="12" borderId="71" xfId="2" applyNumberFormat="1" applyFont="1" applyFill="1" applyBorder="1" applyAlignment="1">
      <alignment horizontal="center" vertical="top" wrapText="1"/>
    </xf>
    <xf numFmtId="10" fontId="7" fillId="12" borderId="69" xfId="2" applyNumberFormat="1" applyFont="1" applyFill="1" applyBorder="1" applyAlignment="1" applyProtection="1">
      <alignment horizontal="center" wrapText="1"/>
    </xf>
    <xf numFmtId="10" fontId="7" fillId="12" borderId="47" xfId="2" applyNumberFormat="1" applyFont="1" applyFill="1" applyBorder="1" applyAlignment="1" applyProtection="1">
      <alignment horizontal="center" wrapText="1"/>
    </xf>
    <xf numFmtId="10" fontId="7" fillId="11" borderId="69" xfId="2" applyNumberFormat="1" applyFont="1" applyFill="1" applyBorder="1" applyAlignment="1">
      <alignment horizontal="center" wrapText="1"/>
    </xf>
    <xf numFmtId="10" fontId="7" fillId="11" borderId="47" xfId="2" applyNumberFormat="1" applyFont="1" applyFill="1" applyBorder="1" applyAlignment="1">
      <alignment horizontal="center" wrapText="1"/>
    </xf>
    <xf numFmtId="10" fontId="7" fillId="10" borderId="94" xfId="2" applyNumberFormat="1" applyFont="1" applyFill="1" applyBorder="1" applyAlignment="1">
      <alignment horizontal="center" wrapText="1"/>
    </xf>
    <xf numFmtId="10" fontId="7" fillId="10" borderId="69" xfId="2" applyNumberFormat="1" applyFont="1" applyFill="1" applyBorder="1" applyAlignment="1">
      <alignment horizontal="center" wrapText="1"/>
    </xf>
    <xf numFmtId="10" fontId="7" fillId="10" borderId="47" xfId="2" applyNumberFormat="1" applyFont="1" applyFill="1" applyBorder="1" applyAlignment="1">
      <alignment horizontal="center" wrapText="1"/>
    </xf>
    <xf numFmtId="169" fontId="5" fillId="4" borderId="21" xfId="0" applyNumberFormat="1" applyFont="1" applyFill="1" applyBorder="1" applyAlignment="1" applyProtection="1">
      <alignment horizontal="right" vertical="top" wrapText="1"/>
    </xf>
    <xf numFmtId="169" fontId="5" fillId="0" borderId="5" xfId="0" applyNumberFormat="1" applyFont="1" applyFill="1" applyBorder="1" applyAlignment="1" applyProtection="1">
      <alignment horizontal="right" vertical="top" wrapText="1"/>
    </xf>
    <xf numFmtId="169" fontId="5" fillId="0" borderId="21" xfId="0" applyNumberFormat="1" applyFont="1" applyFill="1" applyBorder="1" applyAlignment="1" applyProtection="1">
      <alignment horizontal="right" vertical="top" wrapText="1"/>
    </xf>
    <xf numFmtId="169" fontId="3" fillId="0" borderId="21" xfId="0" applyNumberFormat="1" applyFont="1" applyFill="1" applyBorder="1" applyAlignment="1" applyProtection="1">
      <alignment horizontal="right" vertical="top" wrapText="1"/>
    </xf>
    <xf numFmtId="169" fontId="5" fillId="3" borderId="21" xfId="0" applyNumberFormat="1" applyFont="1" applyFill="1" applyBorder="1" applyAlignment="1" applyProtection="1">
      <alignment horizontal="right" vertical="top" wrapText="1"/>
    </xf>
    <xf numFmtId="169" fontId="5" fillId="2" borderId="21" xfId="0" applyNumberFormat="1" applyFont="1" applyFill="1" applyBorder="1" applyAlignment="1" applyProtection="1">
      <alignment horizontal="right" vertical="top" wrapText="1"/>
    </xf>
    <xf numFmtId="49" fontId="3" fillId="0" borderId="0" xfId="0" applyNumberFormat="1" applyFont="1" applyAlignment="1">
      <alignment horizontal="left"/>
    </xf>
    <xf numFmtId="49" fontId="3" fillId="0" borderId="0" xfId="0" applyNumberFormat="1" applyFont="1" applyAlignment="1">
      <alignment horizontal="right" vertical="top" wrapText="1"/>
    </xf>
    <xf numFmtId="0" fontId="4" fillId="14" borderId="74" xfId="0" applyNumberFormat="1" applyFont="1" applyFill="1" applyBorder="1" applyAlignment="1" applyProtection="1">
      <alignment horizontal="left" vertical="center" wrapText="1"/>
      <protection locked="0"/>
    </xf>
    <xf numFmtId="0" fontId="4" fillId="14" borderId="75" xfId="0" applyNumberFormat="1" applyFont="1" applyFill="1" applyBorder="1" applyAlignment="1" applyProtection="1">
      <alignment horizontal="left" vertical="center" wrapText="1"/>
      <protection locked="0"/>
    </xf>
    <xf numFmtId="49" fontId="7" fillId="0" borderId="7" xfId="0" applyNumberFormat="1" applyFont="1" applyBorder="1" applyAlignment="1" applyProtection="1">
      <alignment horizontal="left" vertical="top" wrapText="1"/>
    </xf>
    <xf numFmtId="49" fontId="4" fillId="4" borderId="8" xfId="0" applyNumberFormat="1" applyFont="1" applyFill="1" applyBorder="1" applyAlignment="1" applyProtection="1">
      <alignment horizontal="center" vertical="top" wrapText="1"/>
    </xf>
    <xf numFmtId="49" fontId="4" fillId="3" borderId="8" xfId="0" applyNumberFormat="1" applyFont="1" applyFill="1" applyBorder="1" applyAlignment="1" applyProtection="1">
      <alignment horizontal="center" vertical="top" wrapText="1"/>
    </xf>
    <xf numFmtId="49" fontId="4" fillId="2" borderId="3" xfId="0" applyNumberFormat="1" applyFont="1" applyFill="1" applyBorder="1" applyAlignment="1" applyProtection="1">
      <alignment horizontal="center" vertical="top" wrapText="1"/>
    </xf>
    <xf numFmtId="49" fontId="4" fillId="0" borderId="76" xfId="0" applyNumberFormat="1" applyFont="1" applyBorder="1" applyAlignment="1" applyProtection="1">
      <alignment horizontal="center" vertical="top" wrapText="1"/>
    </xf>
    <xf numFmtId="0" fontId="4" fillId="0" borderId="40" xfId="0" applyFont="1" applyBorder="1" applyAlignment="1" applyProtection="1">
      <alignment horizontal="right" wrapText="1"/>
    </xf>
    <xf numFmtId="0" fontId="7" fillId="13" borderId="0" xfId="0" applyFont="1" applyFill="1" applyAlignment="1" applyProtection="1">
      <alignment wrapText="1"/>
    </xf>
    <xf numFmtId="170" fontId="4" fillId="13" borderId="77" xfId="4" applyNumberFormat="1" applyFont="1" applyFill="1" applyBorder="1" applyAlignment="1" applyProtection="1">
      <alignment horizontal="center" vertical="top" wrapText="1"/>
    </xf>
    <xf numFmtId="0" fontId="7" fillId="0" borderId="40" xfId="0" applyFont="1" applyBorder="1" applyAlignment="1" applyProtection="1">
      <alignment horizontal="right" wrapText="1"/>
    </xf>
    <xf numFmtId="170" fontId="7" fillId="4" borderId="5" xfId="0" applyNumberFormat="1" applyFont="1" applyFill="1" applyBorder="1" applyAlignment="1" applyProtection="1">
      <alignment horizontal="center" wrapText="1"/>
      <protection locked="0"/>
    </xf>
    <xf numFmtId="170" fontId="7" fillId="3" borderId="5" xfId="0" applyNumberFormat="1" applyFont="1" applyFill="1" applyBorder="1" applyAlignment="1" applyProtection="1">
      <alignment horizontal="center" wrapText="1"/>
      <protection locked="0"/>
    </xf>
    <xf numFmtId="170" fontId="7" fillId="2" borderId="28" xfId="0" applyNumberFormat="1" applyFont="1" applyFill="1" applyBorder="1" applyAlignment="1" applyProtection="1">
      <alignment horizontal="center" wrapText="1"/>
      <protection locked="0"/>
    </xf>
    <xf numFmtId="170" fontId="4" fillId="13" borderId="77" xfId="4" applyNumberFormat="1" applyFont="1" applyFill="1" applyBorder="1" applyAlignment="1" applyProtection="1">
      <alignment horizontal="center" wrapText="1"/>
    </xf>
    <xf numFmtId="169" fontId="4" fillId="13" borderId="77" xfId="1" applyNumberFormat="1" applyFont="1" applyFill="1" applyBorder="1" applyAlignment="1" applyProtection="1">
      <alignment horizontal="center" wrapText="1"/>
    </xf>
    <xf numFmtId="0" fontId="7" fillId="0" borderId="45" xfId="0" applyFont="1" applyBorder="1" applyAlignment="1" applyProtection="1">
      <alignment horizontal="right" wrapText="1"/>
    </xf>
    <xf numFmtId="170" fontId="7" fillId="4" borderId="21" xfId="0" applyNumberFormat="1" applyFont="1" applyFill="1" applyBorder="1" applyAlignment="1" applyProtection="1">
      <alignment horizontal="center" wrapText="1"/>
      <protection locked="0"/>
    </xf>
    <xf numFmtId="170" fontId="7" fillId="3" borderId="21" xfId="0" applyNumberFormat="1" applyFont="1" applyFill="1" applyBorder="1" applyAlignment="1" applyProtection="1">
      <alignment horizontal="center" wrapText="1"/>
      <protection locked="0"/>
    </xf>
    <xf numFmtId="170" fontId="7" fillId="2" borderId="46" xfId="0" applyNumberFormat="1" applyFont="1" applyFill="1" applyBorder="1" applyAlignment="1" applyProtection="1">
      <alignment horizontal="center" wrapText="1"/>
      <protection locked="0"/>
    </xf>
    <xf numFmtId="169" fontId="4" fillId="13" borderId="78" xfId="1" applyNumberFormat="1" applyFont="1" applyFill="1" applyBorder="1" applyAlignment="1" applyProtection="1">
      <alignment horizontal="center" wrapText="1"/>
    </xf>
    <xf numFmtId="0" fontId="4" fillId="0" borderId="42" xfId="0" applyFont="1" applyBorder="1" applyAlignment="1" applyProtection="1">
      <alignment horizontal="right" wrapText="1"/>
    </xf>
    <xf numFmtId="44" fontId="7" fillId="15" borderId="29" xfId="1" applyFont="1" applyFill="1" applyBorder="1" applyAlignment="1" applyProtection="1">
      <alignment horizontal="center" wrapText="1"/>
      <protection locked="0"/>
    </xf>
    <xf numFmtId="44" fontId="7" fillId="15" borderId="31" xfId="1" applyFont="1" applyFill="1" applyBorder="1" applyAlignment="1" applyProtection="1">
      <alignment horizontal="center" wrapText="1"/>
      <protection locked="0"/>
    </xf>
    <xf numFmtId="169" fontId="4" fillId="15" borderId="79" xfId="1" applyNumberFormat="1" applyFont="1" applyFill="1" applyBorder="1" applyAlignment="1" applyProtection="1">
      <alignment horizontal="center" wrapText="1"/>
    </xf>
    <xf numFmtId="169" fontId="7" fillId="4" borderId="19" xfId="1" applyNumberFormat="1" applyFont="1" applyFill="1" applyBorder="1" applyAlignment="1" applyProtection="1">
      <alignment horizontal="center" wrapText="1"/>
      <protection locked="0"/>
    </xf>
    <xf numFmtId="169" fontId="7" fillId="3" borderId="19" xfId="1" applyNumberFormat="1" applyFont="1" applyFill="1" applyBorder="1" applyAlignment="1" applyProtection="1">
      <alignment horizontal="center" wrapText="1"/>
      <protection locked="0"/>
    </xf>
    <xf numFmtId="169" fontId="7" fillId="2" borderId="28" xfId="1" applyNumberFormat="1" applyFont="1" applyFill="1" applyBorder="1" applyAlignment="1" applyProtection="1">
      <alignment horizontal="center" wrapText="1"/>
      <protection locked="0"/>
    </xf>
    <xf numFmtId="169" fontId="4" fillId="0" borderId="77" xfId="1" applyNumberFormat="1" applyFont="1" applyBorder="1" applyAlignment="1" applyProtection="1">
      <alignment horizontal="center" wrapText="1"/>
    </xf>
    <xf numFmtId="169" fontId="4" fillId="0" borderId="21" xfId="1" applyNumberFormat="1" applyFont="1" applyFill="1" applyBorder="1" applyAlignment="1" applyProtection="1">
      <alignment horizontal="center" wrapText="1"/>
      <protection locked="0"/>
    </xf>
    <xf numFmtId="169" fontId="4" fillId="0" borderId="78" xfId="1" applyNumberFormat="1" applyFont="1" applyBorder="1" applyAlignment="1" applyProtection="1">
      <alignment horizontal="center" wrapText="1"/>
    </xf>
    <xf numFmtId="0" fontId="4" fillId="0" borderId="0" xfId="0" applyNumberFormat="1" applyFont="1" applyFill="1" applyBorder="1" applyAlignment="1" applyProtection="1">
      <alignment horizontal="left" vertical="center" wrapText="1"/>
      <protection locked="0"/>
    </xf>
    <xf numFmtId="0" fontId="5" fillId="0" borderId="0" xfId="0" applyFont="1" applyAlignment="1" applyProtection="1">
      <alignment wrapText="1"/>
      <protection locked="0"/>
    </xf>
    <xf numFmtId="49" fontId="4" fillId="0" borderId="68" xfId="0" applyNumberFormat="1" applyFont="1" applyFill="1" applyBorder="1" applyAlignment="1" applyProtection="1">
      <alignment horizontal="center" vertical="top" wrapText="1"/>
    </xf>
    <xf numFmtId="0" fontId="4" fillId="0" borderId="68" xfId="0" applyFont="1" applyFill="1" applyBorder="1" applyAlignment="1">
      <alignment horizontal="center" wrapText="1"/>
    </xf>
    <xf numFmtId="49" fontId="44" fillId="0" borderId="0" xfId="0" applyNumberFormat="1" applyFont="1" applyAlignment="1">
      <alignment horizontal="right" wrapText="1"/>
    </xf>
    <xf numFmtId="49" fontId="10" fillId="0" borderId="0" xfId="0" applyNumberFormat="1" applyFont="1" applyAlignment="1">
      <alignment horizontal="center" vertical="center" wrapText="1"/>
    </xf>
    <xf numFmtId="0" fontId="7" fillId="0" borderId="33" xfId="0" applyFont="1" applyBorder="1" applyAlignment="1" applyProtection="1">
      <alignment horizontal="left" wrapText="1" indent="1"/>
      <protection locked="0"/>
    </xf>
    <xf numFmtId="0" fontId="4" fillId="0" borderId="0" xfId="0" applyFont="1" applyBorder="1" applyAlignment="1">
      <alignment horizontal="right" wrapText="1"/>
    </xf>
    <xf numFmtId="0" fontId="4" fillId="0" borderId="0" xfId="0" applyFont="1" applyBorder="1" applyAlignment="1" applyProtection="1">
      <alignment horizontal="center" vertical="top" wrapText="1"/>
    </xf>
    <xf numFmtId="0" fontId="4" fillId="0" borderId="68" xfId="0" applyFont="1" applyBorder="1" applyAlignment="1" applyProtection="1">
      <alignment vertical="top" wrapText="1"/>
    </xf>
    <xf numFmtId="0" fontId="5" fillId="0" borderId="80" xfId="0" applyFont="1" applyBorder="1" applyAlignment="1" applyProtection="1">
      <alignment vertical="top" wrapText="1"/>
      <protection locked="0"/>
    </xf>
    <xf numFmtId="0" fontId="5" fillId="0" borderId="74" xfId="0" applyFont="1" applyBorder="1" applyAlignment="1" applyProtection="1">
      <alignment vertical="top" wrapText="1"/>
      <protection locked="0"/>
    </xf>
    <xf numFmtId="0" fontId="5" fillId="0" borderId="75" xfId="0" applyFont="1" applyBorder="1" applyAlignment="1" applyProtection="1">
      <alignment vertical="top" wrapText="1"/>
      <protection locked="0"/>
    </xf>
    <xf numFmtId="0" fontId="5" fillId="0" borderId="38" xfId="0" applyFont="1" applyBorder="1" applyAlignment="1" applyProtection="1">
      <alignment vertical="top" wrapText="1"/>
      <protection locked="0"/>
    </xf>
    <xf numFmtId="0" fontId="5" fillId="0" borderId="0" xfId="0" applyFont="1" applyBorder="1" applyAlignment="1" applyProtection="1">
      <alignment vertical="top" wrapText="1"/>
      <protection locked="0"/>
    </xf>
    <xf numFmtId="0" fontId="5" fillId="0" borderId="39" xfId="0" applyFont="1" applyBorder="1" applyAlignment="1" applyProtection="1">
      <alignment vertical="top" wrapText="1"/>
      <protection locked="0"/>
    </xf>
    <xf numFmtId="0" fontId="5" fillId="0" borderId="71" xfId="0" applyFont="1" applyBorder="1" applyAlignment="1" applyProtection="1">
      <alignment vertical="top" wrapText="1"/>
      <protection locked="0"/>
    </xf>
    <xf numFmtId="0" fontId="5" fillId="0" borderId="68" xfId="0" applyFont="1" applyBorder="1" applyAlignment="1" applyProtection="1">
      <alignment vertical="top" wrapText="1"/>
      <protection locked="0"/>
    </xf>
    <xf numFmtId="0" fontId="5" fillId="0" borderId="81" xfId="0" applyFont="1" applyBorder="1" applyAlignment="1" applyProtection="1">
      <alignment vertical="top" wrapText="1"/>
      <protection locked="0"/>
    </xf>
    <xf numFmtId="0" fontId="7" fillId="0" borderId="32" xfId="0" applyFont="1" applyBorder="1" applyAlignment="1" applyProtection="1">
      <alignment horizontal="left" wrapText="1" indent="1"/>
      <protection locked="0"/>
    </xf>
    <xf numFmtId="0" fontId="38" fillId="7" borderId="82" xfId="0" applyNumberFormat="1" applyFont="1" applyFill="1" applyBorder="1" applyAlignment="1" applyProtection="1">
      <alignment horizontal="center" vertical="top" wrapText="1"/>
    </xf>
    <xf numFmtId="0" fontId="34" fillId="7" borderId="48" xfId="0" applyNumberFormat="1" applyFont="1" applyFill="1" applyBorder="1" applyAlignment="1" applyProtection="1">
      <alignment horizontal="center" vertical="top" wrapText="1"/>
    </xf>
    <xf numFmtId="0" fontId="34" fillId="7" borderId="49" xfId="0" applyNumberFormat="1" applyFont="1" applyFill="1" applyBorder="1" applyAlignment="1" applyProtection="1">
      <alignment horizontal="center" vertical="top" wrapText="1"/>
    </xf>
    <xf numFmtId="0" fontId="34" fillId="7" borderId="82" xfId="0" applyNumberFormat="1" applyFont="1" applyFill="1" applyBorder="1" applyAlignment="1" applyProtection="1">
      <alignment horizontal="left" vertical="top" wrapText="1" indent="1" readingOrder="1"/>
    </xf>
    <xf numFmtId="0" fontId="34" fillId="7" borderId="48" xfId="0" applyNumberFormat="1" applyFont="1" applyFill="1" applyBorder="1" applyAlignment="1" applyProtection="1">
      <alignment horizontal="left" vertical="top" wrapText="1" indent="1" readingOrder="1"/>
    </xf>
    <xf numFmtId="0" fontId="34" fillId="7" borderId="49" xfId="0" applyNumberFormat="1" applyFont="1" applyFill="1" applyBorder="1" applyAlignment="1" applyProtection="1">
      <alignment horizontal="left" vertical="top" wrapText="1" indent="1" readingOrder="1"/>
    </xf>
    <xf numFmtId="49" fontId="10" fillId="0" borderId="68" xfId="0" applyNumberFormat="1" applyFont="1" applyBorder="1" applyAlignment="1">
      <alignment horizontal="center" vertical="center" wrapText="1"/>
    </xf>
    <xf numFmtId="1" fontId="4" fillId="0" borderId="14" xfId="0" applyNumberFormat="1" applyFont="1" applyBorder="1" applyAlignment="1" applyProtection="1">
      <alignment horizontal="center" vertical="top" wrapText="1"/>
    </xf>
    <xf numFmtId="1" fontId="4" fillId="0" borderId="51" xfId="0" applyNumberFormat="1" applyFont="1" applyBorder="1" applyAlignment="1" applyProtection="1">
      <alignment horizontal="center" vertical="top" wrapText="1"/>
    </xf>
    <xf numFmtId="0" fontId="3" fillId="0" borderId="0" xfId="0" applyNumberFormat="1" applyFont="1" applyAlignment="1">
      <alignment horizontal="right" vertical="top" wrapText="1"/>
    </xf>
    <xf numFmtId="0" fontId="4" fillId="4" borderId="8" xfId="0" applyFont="1" applyFill="1" applyBorder="1" applyAlignment="1" applyProtection="1">
      <alignment horizontal="center" vertical="top" wrapText="1"/>
    </xf>
    <xf numFmtId="0" fontId="4" fillId="3" borderId="8" xfId="0" applyFont="1" applyFill="1" applyBorder="1" applyAlignment="1" applyProtection="1">
      <alignment horizontal="center" vertical="top" wrapText="1"/>
    </xf>
    <xf numFmtId="0" fontId="4" fillId="2" borderId="8" xfId="0" applyFont="1" applyFill="1" applyBorder="1" applyAlignment="1" applyProtection="1">
      <alignment horizontal="center" vertical="top" wrapText="1"/>
    </xf>
    <xf numFmtId="49" fontId="3" fillId="0" borderId="0" xfId="0" applyNumberFormat="1" applyFont="1" applyAlignment="1">
      <alignment horizontal="left" vertical="top" wrapText="1"/>
    </xf>
    <xf numFmtId="0" fontId="4" fillId="0" borderId="13" xfId="0" applyFont="1" applyBorder="1" applyAlignment="1" applyProtection="1">
      <alignment horizontal="center" vertical="top" wrapText="1"/>
    </xf>
    <xf numFmtId="0" fontId="4" fillId="0" borderId="83" xfId="0" applyFont="1" applyBorder="1" applyAlignment="1" applyProtection="1">
      <alignment horizontal="center" vertical="top" wrapText="1"/>
    </xf>
    <xf numFmtId="0" fontId="35" fillId="8" borderId="80" xfId="0" applyFont="1" applyFill="1" applyBorder="1" applyAlignment="1">
      <alignment horizontal="left" vertical="top" wrapText="1" indent="1"/>
    </xf>
    <xf numFmtId="0" fontId="4" fillId="8" borderId="74" xfId="0" applyFont="1" applyFill="1" applyBorder="1" applyAlignment="1">
      <alignment horizontal="left" vertical="top" wrapText="1" indent="1"/>
    </xf>
    <xf numFmtId="0" fontId="4" fillId="8" borderId="75" xfId="0" applyFont="1" applyFill="1" applyBorder="1" applyAlignment="1">
      <alignment horizontal="left" vertical="top" wrapText="1" indent="1"/>
    </xf>
    <xf numFmtId="0" fontId="4" fillId="8" borderId="71" xfId="0" applyFont="1" applyFill="1" applyBorder="1" applyAlignment="1">
      <alignment horizontal="left" vertical="top" wrapText="1" indent="1"/>
    </xf>
    <xf numFmtId="0" fontId="4" fillId="8" borderId="68" xfId="0" applyFont="1" applyFill="1" applyBorder="1" applyAlignment="1">
      <alignment horizontal="left" vertical="top" wrapText="1" indent="1"/>
    </xf>
    <xf numFmtId="0" fontId="4" fillId="8" borderId="81" xfId="0" applyFont="1" applyFill="1" applyBorder="1" applyAlignment="1">
      <alignment horizontal="left" vertical="top" wrapText="1" indent="1"/>
    </xf>
    <xf numFmtId="0" fontId="3" fillId="0" borderId="68" xfId="0" applyFont="1" applyBorder="1" applyAlignment="1">
      <alignment vertical="top" wrapText="1"/>
    </xf>
    <xf numFmtId="169" fontId="4" fillId="0" borderId="13" xfId="0" applyNumberFormat="1" applyFont="1" applyBorder="1" applyAlignment="1" applyProtection="1">
      <alignment horizontal="center" vertical="top" wrapText="1"/>
    </xf>
    <xf numFmtId="169" fontId="4" fillId="0" borderId="83" xfId="0" applyNumberFormat="1" applyFont="1" applyBorder="1" applyAlignment="1" applyProtection="1">
      <alignment horizontal="center" vertical="top" wrapText="1"/>
    </xf>
    <xf numFmtId="0" fontId="4" fillId="0" borderId="15" xfId="0" applyFont="1" applyBorder="1" applyAlignment="1" applyProtection="1">
      <alignment horizontal="center" vertical="top" wrapText="1"/>
    </xf>
    <xf numFmtId="0" fontId="4" fillId="0" borderId="73" xfId="0" applyFont="1" applyBorder="1" applyAlignment="1" applyProtection="1">
      <alignment horizontal="center" vertical="top" wrapText="1"/>
    </xf>
    <xf numFmtId="169" fontId="4" fillId="0" borderId="14" xfId="0" applyNumberFormat="1" applyFont="1" applyBorder="1" applyAlignment="1" applyProtection="1">
      <alignment horizontal="center" vertical="top" wrapText="1"/>
    </xf>
    <xf numFmtId="169" fontId="4" fillId="0" borderId="51" xfId="0" applyNumberFormat="1" applyFont="1" applyBorder="1" applyAlignment="1" applyProtection="1">
      <alignment horizontal="center" vertical="top" wrapText="1"/>
    </xf>
    <xf numFmtId="0" fontId="3" fillId="0" borderId="84" xfId="0" applyFont="1" applyBorder="1" applyAlignment="1" applyProtection="1">
      <alignment horizontal="left" vertical="top"/>
      <protection locked="0"/>
    </xf>
    <xf numFmtId="0" fontId="3" fillId="0" borderId="85" xfId="0" applyFont="1" applyBorder="1" applyAlignment="1" applyProtection="1">
      <alignment horizontal="left" vertical="top"/>
      <protection locked="0"/>
    </xf>
    <xf numFmtId="0" fontId="3" fillId="0" borderId="40" xfId="0" applyFont="1" applyBorder="1" applyAlignment="1" applyProtection="1">
      <alignment horizontal="left" vertical="top"/>
      <protection locked="0"/>
    </xf>
    <xf numFmtId="0" fontId="3" fillId="0" borderId="20" xfId="0" applyFont="1" applyBorder="1" applyAlignment="1" applyProtection="1">
      <alignment horizontal="left" vertical="top"/>
      <protection locked="0"/>
    </xf>
    <xf numFmtId="0" fontId="4" fillId="14" borderId="82" xfId="0" applyNumberFormat="1" applyFont="1" applyFill="1" applyBorder="1" applyAlignment="1">
      <alignment horizontal="left" vertical="center" wrapText="1" indent="1"/>
    </xf>
    <xf numFmtId="0" fontId="4" fillId="14" borderId="48" xfId="0" applyNumberFormat="1" applyFont="1" applyFill="1" applyBorder="1" applyAlignment="1">
      <alignment horizontal="left" vertical="center" wrapText="1" indent="1"/>
    </xf>
    <xf numFmtId="0" fontId="4" fillId="14" borderId="49" xfId="0" applyNumberFormat="1" applyFont="1" applyFill="1" applyBorder="1" applyAlignment="1">
      <alignment horizontal="left" vertical="center" wrapText="1" indent="1"/>
    </xf>
    <xf numFmtId="0" fontId="3" fillId="6" borderId="80" xfId="0" applyFont="1" applyFill="1" applyBorder="1" applyAlignment="1" applyProtection="1">
      <alignment horizontal="left" vertical="top" wrapText="1"/>
      <protection locked="0"/>
    </xf>
    <xf numFmtId="0" fontId="3" fillId="6" borderId="74" xfId="0" applyFont="1" applyFill="1" applyBorder="1" applyAlignment="1" applyProtection="1">
      <alignment horizontal="left" vertical="top" wrapText="1"/>
      <protection locked="0"/>
    </xf>
    <xf numFmtId="0" fontId="3" fillId="6" borderId="75" xfId="0" applyFont="1" applyFill="1" applyBorder="1" applyAlignment="1" applyProtection="1">
      <alignment horizontal="left" vertical="top" wrapText="1"/>
      <protection locked="0"/>
    </xf>
    <xf numFmtId="0" fontId="3" fillId="6" borderId="38" xfId="0" applyFont="1" applyFill="1" applyBorder="1" applyAlignment="1" applyProtection="1">
      <alignment horizontal="left" vertical="top" wrapText="1"/>
      <protection locked="0"/>
    </xf>
    <xf numFmtId="0" fontId="3" fillId="6" borderId="0" xfId="0" applyFont="1" applyFill="1" applyBorder="1" applyAlignment="1" applyProtection="1">
      <alignment horizontal="left" vertical="top" wrapText="1"/>
      <protection locked="0"/>
    </xf>
    <xf numFmtId="0" fontId="3" fillId="6" borderId="39" xfId="0" applyFont="1" applyFill="1" applyBorder="1" applyAlignment="1" applyProtection="1">
      <alignment horizontal="left" vertical="top" wrapText="1"/>
      <protection locked="0"/>
    </xf>
    <xf numFmtId="0" fontId="3" fillId="6" borderId="71" xfId="0" applyFont="1" applyFill="1" applyBorder="1" applyAlignment="1" applyProtection="1">
      <alignment horizontal="left" vertical="top" wrapText="1"/>
      <protection locked="0"/>
    </xf>
    <xf numFmtId="0" fontId="3" fillId="6" borderId="68" xfId="0" applyFont="1" applyFill="1" applyBorder="1" applyAlignment="1" applyProtection="1">
      <alignment horizontal="left" vertical="top" wrapText="1"/>
      <protection locked="0"/>
    </xf>
    <xf numFmtId="0" fontId="3" fillId="6" borderId="81" xfId="0" applyFont="1" applyFill="1" applyBorder="1" applyAlignment="1" applyProtection="1">
      <alignment horizontal="left" vertical="top" wrapText="1"/>
      <protection locked="0"/>
    </xf>
    <xf numFmtId="0" fontId="4" fillId="7" borderId="80" xfId="0" applyFont="1" applyFill="1" applyBorder="1" applyAlignment="1">
      <alignment horizontal="left" wrapText="1" indent="1"/>
    </xf>
    <xf numFmtId="0" fontId="4" fillId="7" borderId="74" xfId="0" applyFont="1" applyFill="1" applyBorder="1" applyAlignment="1">
      <alignment horizontal="left" wrapText="1" indent="1"/>
    </xf>
    <xf numFmtId="0" fontId="4" fillId="7" borderId="75" xfId="0" applyFont="1" applyFill="1" applyBorder="1" applyAlignment="1">
      <alignment horizontal="left" wrapText="1" indent="1"/>
    </xf>
    <xf numFmtId="0" fontId="4" fillId="7" borderId="71" xfId="0" applyFont="1" applyFill="1" applyBorder="1" applyAlignment="1">
      <alignment horizontal="left" wrapText="1" indent="1"/>
    </xf>
    <xf numFmtId="0" fontId="4" fillId="7" borderId="68" xfId="0" applyFont="1" applyFill="1" applyBorder="1" applyAlignment="1">
      <alignment horizontal="left" wrapText="1" indent="1"/>
    </xf>
    <xf numFmtId="0" fontId="4" fillId="7" borderId="81" xfId="0" applyFont="1" applyFill="1" applyBorder="1" applyAlignment="1">
      <alignment horizontal="left" wrapText="1" indent="1"/>
    </xf>
    <xf numFmtId="49" fontId="4" fillId="3" borderId="82" xfId="2" applyNumberFormat="1" applyFont="1" applyFill="1" applyBorder="1" applyAlignment="1" applyProtection="1">
      <alignment horizontal="center" vertical="top" wrapText="1"/>
    </xf>
    <xf numFmtId="49" fontId="4" fillId="3" borderId="48" xfId="2" applyNumberFormat="1" applyFont="1" applyFill="1" applyBorder="1" applyAlignment="1" applyProtection="1">
      <alignment horizontal="center" vertical="top" wrapText="1"/>
    </xf>
    <xf numFmtId="49" fontId="4" fillId="2" borderId="47" xfId="2" applyNumberFormat="1" applyFont="1" applyFill="1" applyBorder="1" applyAlignment="1" applyProtection="1">
      <alignment horizontal="center" vertical="top" wrapText="1"/>
    </xf>
    <xf numFmtId="49" fontId="4" fillId="4" borderId="25" xfId="2" applyNumberFormat="1" applyFont="1" applyFill="1" applyBorder="1" applyAlignment="1" applyProtection="1">
      <alignment horizontal="center" vertical="top" wrapText="1"/>
    </xf>
    <xf numFmtId="49" fontId="4" fillId="4" borderId="48" xfId="2" applyNumberFormat="1" applyFont="1" applyFill="1" applyBorder="1" applyAlignment="1" applyProtection="1">
      <alignment horizontal="center" vertical="top" wrapText="1"/>
    </xf>
    <xf numFmtId="49" fontId="4" fillId="4" borderId="49" xfId="2" applyNumberFormat="1" applyFont="1" applyFill="1" applyBorder="1" applyAlignment="1" applyProtection="1">
      <alignment horizontal="center" vertical="top" wrapText="1"/>
    </xf>
    <xf numFmtId="0" fontId="10" fillId="0" borderId="68" xfId="0" applyFont="1" applyBorder="1" applyAlignment="1" applyProtection="1">
      <alignment horizontal="center" vertical="center" wrapText="1"/>
    </xf>
    <xf numFmtId="49" fontId="3" fillId="0" borderId="0" xfId="0" applyNumberFormat="1" applyFont="1" applyAlignment="1" applyProtection="1">
      <alignment horizontal="left" vertical="top" wrapText="1"/>
    </xf>
    <xf numFmtId="0" fontId="4" fillId="2" borderId="82" xfId="0" applyFont="1" applyFill="1" applyBorder="1" applyAlignment="1" applyProtection="1">
      <alignment horizontal="center" vertical="top" wrapText="1"/>
      <protection locked="0"/>
    </xf>
    <xf numFmtId="0" fontId="4" fillId="2" borderId="48" xfId="0" applyFont="1" applyFill="1" applyBorder="1" applyAlignment="1" applyProtection="1">
      <alignment horizontal="center" vertical="top" wrapText="1"/>
      <protection locked="0"/>
    </xf>
    <xf numFmtId="0" fontId="4" fillId="2" borderId="49" xfId="0" applyFont="1" applyFill="1" applyBorder="1" applyAlignment="1" applyProtection="1">
      <alignment horizontal="center" vertical="top" wrapText="1"/>
      <protection locked="0"/>
    </xf>
    <xf numFmtId="0" fontId="4" fillId="4" borderId="82" xfId="0" applyFont="1" applyFill="1" applyBorder="1" applyAlignment="1" applyProtection="1">
      <alignment horizontal="center" vertical="top" wrapText="1"/>
    </xf>
    <xf numFmtId="0" fontId="4" fillId="4" borderId="48" xfId="0" applyFont="1" applyFill="1" applyBorder="1" applyAlignment="1" applyProtection="1">
      <alignment horizontal="center" vertical="top" wrapText="1"/>
    </xf>
    <xf numFmtId="0" fontId="4" fillId="4" borderId="49" xfId="0" applyFont="1" applyFill="1" applyBorder="1" applyAlignment="1" applyProtection="1">
      <alignment horizontal="center" vertical="top" wrapText="1"/>
    </xf>
    <xf numFmtId="0" fontId="4" fillId="3" borderId="82" xfId="0" applyFont="1" applyFill="1" applyBorder="1" applyAlignment="1" applyProtection="1">
      <alignment horizontal="center" vertical="top" wrapText="1"/>
      <protection locked="0"/>
    </xf>
    <xf numFmtId="0" fontId="4" fillId="3" borderId="48" xfId="0" applyFont="1" applyFill="1" applyBorder="1" applyAlignment="1" applyProtection="1">
      <alignment horizontal="center" vertical="top" wrapText="1"/>
      <protection locked="0"/>
    </xf>
    <xf numFmtId="0" fontId="4" fillId="3" borderId="49" xfId="0" applyFont="1" applyFill="1" applyBorder="1" applyAlignment="1" applyProtection="1">
      <alignment horizontal="center" vertical="top" wrapText="1"/>
      <protection locked="0"/>
    </xf>
    <xf numFmtId="0" fontId="35" fillId="7" borderId="82" xfId="0" applyFont="1" applyFill="1" applyBorder="1" applyAlignment="1" applyProtection="1">
      <alignment horizontal="left" vertical="top" wrapText="1" indent="1"/>
    </xf>
    <xf numFmtId="0" fontId="8" fillId="7" borderId="48" xfId="0" applyFont="1" applyFill="1" applyBorder="1" applyAlignment="1" applyProtection="1">
      <alignment horizontal="left" vertical="top" wrapText="1" indent="1"/>
    </xf>
    <xf numFmtId="0" fontId="8" fillId="7" borderId="49" xfId="0" applyFont="1" applyFill="1" applyBorder="1" applyAlignment="1" applyProtection="1">
      <alignment horizontal="left" vertical="top" wrapText="1" indent="1"/>
    </xf>
    <xf numFmtId="0" fontId="14" fillId="0" borderId="68" xfId="0" applyFont="1" applyBorder="1" applyAlignment="1" applyProtection="1">
      <alignment horizontal="center" vertical="center" wrapText="1"/>
    </xf>
    <xf numFmtId="0" fontId="4" fillId="7" borderId="48" xfId="0" applyFont="1" applyFill="1" applyBorder="1" applyAlignment="1" applyProtection="1">
      <alignment horizontal="left" vertical="top" wrapText="1" indent="1"/>
    </xf>
    <xf numFmtId="0" fontId="4" fillId="7" borderId="49" xfId="0" applyFont="1" applyFill="1" applyBorder="1" applyAlignment="1" applyProtection="1">
      <alignment horizontal="left" vertical="top" wrapText="1" indent="1"/>
    </xf>
    <xf numFmtId="0" fontId="4" fillId="4" borderId="80" xfId="0" applyFont="1" applyFill="1" applyBorder="1" applyAlignment="1" applyProtection="1">
      <alignment horizontal="center" vertical="top" wrapText="1"/>
    </xf>
    <xf numFmtId="0" fontId="4" fillId="4" borderId="74" xfId="0" applyFont="1" applyFill="1" applyBorder="1" applyAlignment="1" applyProtection="1">
      <alignment horizontal="center" vertical="top" wrapText="1"/>
    </xf>
    <xf numFmtId="0" fontId="4" fillId="4" borderId="75" xfId="0" applyFont="1" applyFill="1" applyBorder="1" applyAlignment="1" applyProtection="1">
      <alignment horizontal="center" vertical="top" wrapText="1"/>
    </xf>
    <xf numFmtId="0" fontId="3" fillId="0" borderId="68" xfId="0" applyFont="1" applyBorder="1" applyAlignment="1" applyProtection="1">
      <alignment vertical="top" wrapText="1"/>
    </xf>
    <xf numFmtId="0" fontId="35" fillId="7" borderId="80" xfId="0" applyFont="1" applyFill="1" applyBorder="1" applyAlignment="1" applyProtection="1">
      <alignment horizontal="left" vertical="top" wrapText="1" indent="1"/>
    </xf>
    <xf numFmtId="0" fontId="4" fillId="7" borderId="74" xfId="0" applyFont="1" applyFill="1" applyBorder="1" applyAlignment="1" applyProtection="1">
      <alignment horizontal="left" vertical="top" wrapText="1" indent="1"/>
    </xf>
    <xf numFmtId="0" fontId="4" fillId="7" borderId="75" xfId="0" applyFont="1" applyFill="1" applyBorder="1" applyAlignment="1" applyProtection="1">
      <alignment horizontal="left" vertical="top" wrapText="1" indent="1"/>
    </xf>
    <xf numFmtId="0" fontId="10" fillId="0" borderId="0" xfId="0" applyFont="1" applyBorder="1" applyAlignment="1" applyProtection="1">
      <alignment horizontal="center" vertical="center" wrapText="1"/>
    </xf>
    <xf numFmtId="0" fontId="21" fillId="7" borderId="71" xfId="0" applyFont="1" applyFill="1" applyBorder="1" applyAlignment="1" applyProtection="1">
      <alignment horizontal="left" vertical="top" wrapText="1" indent="1"/>
    </xf>
    <xf numFmtId="0" fontId="4" fillId="7" borderId="68" xfId="0" applyFont="1" applyFill="1" applyBorder="1" applyAlignment="1" applyProtection="1">
      <alignment horizontal="left" vertical="top" wrapText="1" indent="1"/>
    </xf>
    <xf numFmtId="0" fontId="4" fillId="7" borderId="81" xfId="0" applyFont="1" applyFill="1" applyBorder="1" applyAlignment="1" applyProtection="1">
      <alignment horizontal="left" vertical="top" wrapText="1" indent="1"/>
    </xf>
    <xf numFmtId="49" fontId="10" fillId="0" borderId="68" xfId="0" applyNumberFormat="1" applyFont="1" applyBorder="1" applyAlignment="1" applyProtection="1">
      <alignment horizontal="center" vertical="center" wrapText="1"/>
    </xf>
    <xf numFmtId="49" fontId="13" fillId="0" borderId="82" xfId="0" applyNumberFormat="1" applyFont="1" applyBorder="1" applyAlignment="1" applyProtection="1">
      <alignment horizontal="left" vertical="top" wrapText="1"/>
      <protection locked="0"/>
    </xf>
    <xf numFmtId="49" fontId="5" fillId="0" borderId="48" xfId="0" applyNumberFormat="1" applyFont="1" applyBorder="1" applyAlignment="1" applyProtection="1">
      <alignment horizontal="left" vertical="top" wrapText="1"/>
      <protection locked="0"/>
    </xf>
    <xf numFmtId="49" fontId="5" fillId="0" borderId="49" xfId="0" applyNumberFormat="1" applyFont="1" applyBorder="1" applyAlignment="1" applyProtection="1">
      <alignment horizontal="left" vertical="top" wrapText="1"/>
      <protection locked="0"/>
    </xf>
    <xf numFmtId="49" fontId="4" fillId="0" borderId="68" xfId="0" applyNumberFormat="1" applyFont="1" applyBorder="1" applyAlignment="1" applyProtection="1">
      <alignment horizontal="left" wrapText="1"/>
    </xf>
    <xf numFmtId="0" fontId="8" fillId="7" borderId="82" xfId="0" applyFont="1" applyFill="1" applyBorder="1" applyAlignment="1" applyProtection="1">
      <alignment horizontal="left" vertical="top" wrapText="1" indent="1"/>
    </xf>
    <xf numFmtId="0" fontId="3" fillId="0" borderId="48" xfId="0" applyFont="1" applyBorder="1" applyAlignment="1" applyProtection="1">
      <alignment horizontal="left" indent="1"/>
    </xf>
    <xf numFmtId="0" fontId="3" fillId="0" borderId="49" xfId="0" applyFont="1" applyBorder="1" applyAlignment="1" applyProtection="1">
      <alignment horizontal="left" indent="1"/>
    </xf>
    <xf numFmtId="0" fontId="4" fillId="7" borderId="82" xfId="0" applyFont="1" applyFill="1" applyBorder="1" applyAlignment="1" applyProtection="1">
      <alignment horizontal="left" vertical="top" wrapText="1" indent="1"/>
    </xf>
    <xf numFmtId="0" fontId="5" fillId="0" borderId="80" xfId="0" applyFont="1" applyBorder="1" applyAlignment="1">
      <alignment vertical="top" wrapText="1"/>
    </xf>
    <xf numFmtId="0" fontId="5" fillId="0" borderId="74" xfId="0" applyFont="1" applyBorder="1" applyAlignment="1">
      <alignment vertical="top" wrapText="1"/>
    </xf>
    <xf numFmtId="0" fontId="5" fillId="0" borderId="75" xfId="0" applyFont="1" applyBorder="1" applyAlignment="1">
      <alignment vertical="top" wrapText="1"/>
    </xf>
    <xf numFmtId="0" fontId="5" fillId="0" borderId="38" xfId="0" applyFont="1" applyBorder="1" applyAlignment="1">
      <alignment vertical="top" wrapText="1"/>
    </xf>
    <xf numFmtId="0" fontId="5" fillId="0" borderId="0" xfId="0" applyFont="1" applyBorder="1" applyAlignment="1">
      <alignment vertical="top" wrapText="1"/>
    </xf>
    <xf numFmtId="0" fontId="5" fillId="0" borderId="39" xfId="0" applyFont="1" applyBorder="1" applyAlignment="1">
      <alignment vertical="top" wrapText="1"/>
    </xf>
    <xf numFmtId="0" fontId="5" fillId="0" borderId="71" xfId="0" applyFont="1" applyBorder="1" applyAlignment="1">
      <alignment vertical="top" wrapText="1"/>
    </xf>
    <xf numFmtId="0" fontId="5" fillId="0" borderId="68" xfId="0" applyFont="1" applyBorder="1" applyAlignment="1">
      <alignment vertical="top" wrapText="1"/>
    </xf>
    <xf numFmtId="0" fontId="5" fillId="0" borderId="81" xfId="0" applyFont="1" applyBorder="1" applyAlignment="1">
      <alignment vertical="top" wrapText="1"/>
    </xf>
    <xf numFmtId="0" fontId="4" fillId="0" borderId="0" xfId="0" applyFont="1" applyAlignment="1" applyProtection="1">
      <alignment vertical="top" wrapText="1"/>
    </xf>
    <xf numFmtId="0" fontId="4" fillId="14" borderId="82" xfId="0" applyNumberFormat="1" applyFont="1" applyFill="1" applyBorder="1" applyAlignment="1" applyProtection="1">
      <alignment horizontal="left" vertical="center" wrapText="1"/>
      <protection locked="0"/>
    </xf>
    <xf numFmtId="0" fontId="0" fillId="0" borderId="48" xfId="0" applyBorder="1" applyAlignment="1">
      <alignment horizontal="left" vertical="center" wrapText="1"/>
    </xf>
    <xf numFmtId="0" fontId="0" fillId="0" borderId="49" xfId="0" applyBorder="1" applyAlignment="1">
      <alignment horizontal="left" vertical="center" wrapText="1"/>
    </xf>
    <xf numFmtId="49" fontId="4" fillId="0" borderId="80" xfId="0" applyNumberFormat="1" applyFont="1" applyBorder="1" applyAlignment="1" applyProtection="1">
      <alignment horizontal="center" vertical="top" wrapText="1"/>
    </xf>
    <xf numFmtId="0" fontId="0" fillId="0" borderId="75" xfId="0" applyBorder="1" applyAlignment="1">
      <alignment horizontal="center" vertical="top" wrapText="1"/>
    </xf>
    <xf numFmtId="170" fontId="4" fillId="13" borderId="40" xfId="4" applyNumberFormat="1" applyFont="1" applyFill="1" applyBorder="1" applyAlignment="1" applyProtection="1">
      <alignment horizontal="center" vertical="top" wrapText="1"/>
    </xf>
    <xf numFmtId="0" fontId="0" fillId="0" borderId="41" xfId="0" applyBorder="1" applyAlignment="1">
      <alignment horizontal="center" vertical="top" wrapText="1"/>
    </xf>
    <xf numFmtId="170" fontId="4" fillId="0" borderId="40" xfId="4" applyNumberFormat="1" applyFont="1" applyFill="1" applyBorder="1" applyAlignment="1" applyProtection="1">
      <alignment horizontal="center" wrapText="1"/>
    </xf>
    <xf numFmtId="0" fontId="0" fillId="0" borderId="41" xfId="0" applyBorder="1" applyAlignment="1">
      <alignment horizontal="center" wrapText="1"/>
    </xf>
    <xf numFmtId="169" fontId="4" fillId="13" borderId="40" xfId="1" applyNumberFormat="1" applyFont="1" applyFill="1" applyBorder="1" applyAlignment="1" applyProtection="1">
      <alignment horizontal="center" wrapText="1"/>
    </xf>
    <xf numFmtId="169" fontId="4" fillId="13" borderId="45" xfId="1" applyNumberFormat="1" applyFont="1" applyFill="1" applyBorder="1" applyAlignment="1" applyProtection="1">
      <alignment horizontal="center" wrapText="1"/>
    </xf>
    <xf numFmtId="0" fontId="0" fillId="0" borderId="86" xfId="0" applyBorder="1" applyAlignment="1">
      <alignment horizontal="center" wrapText="1"/>
    </xf>
    <xf numFmtId="49" fontId="3" fillId="0" borderId="0" xfId="0" applyNumberFormat="1" applyFont="1" applyAlignment="1" applyProtection="1">
      <alignment horizontal="right" vertical="top" wrapText="1"/>
    </xf>
    <xf numFmtId="0" fontId="0" fillId="0" borderId="0" xfId="0" applyAlignment="1">
      <alignment vertical="top" wrapText="1"/>
    </xf>
    <xf numFmtId="169" fontId="4" fillId="0" borderId="40" xfId="1" applyNumberFormat="1" applyFont="1" applyFill="1" applyBorder="1" applyAlignment="1" applyProtection="1">
      <alignment horizontal="center" wrapText="1"/>
    </xf>
    <xf numFmtId="169" fontId="4" fillId="0" borderId="45" xfId="1" applyNumberFormat="1" applyFont="1" applyFill="1" applyBorder="1" applyAlignment="1" applyProtection="1">
      <alignment horizontal="center" wrapText="1"/>
    </xf>
    <xf numFmtId="169" fontId="4" fillId="15" borderId="87" xfId="1" applyNumberFormat="1" applyFont="1" applyFill="1" applyBorder="1" applyAlignment="1" applyProtection="1">
      <alignment horizontal="center" wrapText="1"/>
    </xf>
    <xf numFmtId="0" fontId="0" fillId="0" borderId="88" xfId="0" applyBorder="1" applyAlignment="1">
      <alignment horizontal="center" wrapText="1"/>
    </xf>
    <xf numFmtId="170" fontId="4" fillId="13" borderId="40" xfId="4" applyNumberFormat="1" applyFont="1" applyFill="1" applyBorder="1" applyAlignment="1" applyProtection="1">
      <alignment horizontal="center" wrapText="1"/>
    </xf>
    <xf numFmtId="0" fontId="8" fillId="7" borderId="71" xfId="0" applyFont="1" applyFill="1" applyBorder="1" applyAlignment="1" applyProtection="1">
      <alignment horizontal="left" vertical="top" wrapText="1" indent="1"/>
    </xf>
    <xf numFmtId="168" fontId="18" fillId="0" borderId="0" xfId="0" applyNumberFormat="1" applyFont="1" applyAlignment="1" applyProtection="1">
      <alignment horizontal="right" vertical="top" wrapText="1"/>
    </xf>
    <xf numFmtId="168" fontId="18" fillId="0" borderId="0" xfId="0" applyNumberFormat="1" applyFont="1" applyBorder="1" applyAlignment="1" applyProtection="1">
      <alignment horizontal="right" vertical="top" wrapText="1"/>
    </xf>
    <xf numFmtId="0" fontId="18" fillId="0" borderId="0" xfId="0" applyFont="1" applyAlignment="1" applyProtection="1">
      <alignment horizontal="right" vertical="top" wrapText="1"/>
    </xf>
    <xf numFmtId="0" fontId="29" fillId="0" borderId="0" xfId="0" applyFont="1" applyAlignment="1" applyProtection="1">
      <alignment horizontal="center" vertical="center"/>
    </xf>
    <xf numFmtId="0" fontId="32" fillId="0" borderId="0" xfId="0" applyFont="1" applyAlignment="1" applyProtection="1">
      <alignment horizontal="center" vertical="center"/>
    </xf>
    <xf numFmtId="0" fontId="24" fillId="0" borderId="0" xfId="0" applyFont="1" applyAlignment="1" applyProtection="1">
      <alignment vertical="top"/>
    </xf>
    <xf numFmtId="0" fontId="23" fillId="0" borderId="33" xfId="0" applyFont="1" applyBorder="1" applyAlignment="1" applyProtection="1">
      <alignment horizontal="left" vertical="center"/>
      <protection locked="0"/>
    </xf>
    <xf numFmtId="0" fontId="1" fillId="0" borderId="33" xfId="0" applyFont="1" applyBorder="1" applyAlignment="1" applyProtection="1">
      <alignment horizontal="left" vertical="center"/>
      <protection locked="0"/>
    </xf>
    <xf numFmtId="0" fontId="24" fillId="0" borderId="0" xfId="0" applyFont="1" applyBorder="1" applyAlignment="1" applyProtection="1">
      <alignment vertical="top"/>
    </xf>
    <xf numFmtId="0" fontId="0" fillId="0" borderId="0" xfId="0" applyAlignment="1" applyProtection="1">
      <alignment vertical="top"/>
    </xf>
    <xf numFmtId="0" fontId="24" fillId="0" borderId="33" xfId="0" applyFont="1" applyBorder="1" applyAlignment="1" applyProtection="1">
      <alignment vertical="top"/>
    </xf>
    <xf numFmtId="0" fontId="0" fillId="0" borderId="33" xfId="0" applyBorder="1" applyAlignment="1" applyProtection="1">
      <alignment vertical="top"/>
    </xf>
    <xf numFmtId="0" fontId="24" fillId="0" borderId="0" xfId="0" applyFont="1" applyAlignment="1" applyProtection="1">
      <alignment vertical="center"/>
    </xf>
    <xf numFmtId="0" fontId="0" fillId="0" borderId="33" xfId="0" applyBorder="1" applyAlignment="1" applyProtection="1">
      <alignment horizontal="left" vertical="top"/>
    </xf>
    <xf numFmtId="0" fontId="0" fillId="0" borderId="26" xfId="0" applyBorder="1" applyAlignment="1" applyProtection="1">
      <alignment horizontal="left" vertical="top"/>
    </xf>
    <xf numFmtId="0" fontId="24" fillId="0" borderId="27" xfId="0" applyFont="1" applyBorder="1" applyAlignment="1" applyProtection="1">
      <alignment horizontal="left" vertical="top"/>
    </xf>
    <xf numFmtId="0" fontId="24" fillId="0" borderId="34" xfId="0" applyFont="1" applyBorder="1" applyAlignment="1" applyProtection="1">
      <alignment vertical="top"/>
    </xf>
    <xf numFmtId="0" fontId="27" fillId="0" borderId="0" xfId="0" applyFont="1" applyAlignment="1" applyProtection="1">
      <alignment vertical="center"/>
    </xf>
    <xf numFmtId="0" fontId="0" fillId="0" borderId="0" xfId="0" applyAlignment="1" applyProtection="1">
      <alignment vertical="center"/>
    </xf>
    <xf numFmtId="0" fontId="24" fillId="5" borderId="0" xfId="0" applyFont="1" applyFill="1" applyAlignment="1" applyProtection="1">
      <alignment vertical="center"/>
    </xf>
    <xf numFmtId="0" fontId="24" fillId="0" borderId="34" xfId="0" applyFont="1" applyBorder="1" applyAlignment="1" applyProtection="1">
      <alignment horizontal="left" vertical="top"/>
    </xf>
    <xf numFmtId="0" fontId="24" fillId="0" borderId="92" xfId="0" applyFont="1" applyBorder="1" applyAlignment="1" applyProtection="1">
      <alignment horizontal="left" vertical="top"/>
    </xf>
    <xf numFmtId="0" fontId="24" fillId="0" borderId="32" xfId="0" applyFont="1" applyBorder="1" applyAlignment="1" applyProtection="1">
      <alignment horizontal="left" vertical="center"/>
      <protection locked="0"/>
    </xf>
    <xf numFmtId="0" fontId="24" fillId="0" borderId="20" xfId="0" applyFont="1" applyBorder="1" applyAlignment="1" applyProtection="1">
      <alignment horizontal="left" vertical="center"/>
      <protection locked="0"/>
    </xf>
    <xf numFmtId="0" fontId="27" fillId="0" borderId="32" xfId="0" applyFont="1" applyBorder="1" applyAlignment="1" applyProtection="1">
      <alignment vertical="center"/>
    </xf>
    <xf numFmtId="0" fontId="24" fillId="0" borderId="32" xfId="0" applyFont="1" applyBorder="1" applyAlignment="1" applyProtection="1">
      <alignment vertical="center"/>
    </xf>
    <xf numFmtId="0" fontId="24" fillId="5" borderId="32" xfId="0" applyFont="1" applyFill="1" applyBorder="1" applyAlignment="1" applyProtection="1">
      <alignment vertical="center"/>
    </xf>
    <xf numFmtId="0" fontId="24" fillId="0" borderId="34" xfId="0" applyFont="1" applyBorder="1" applyAlignment="1" applyProtection="1">
      <alignment horizontal="center"/>
    </xf>
    <xf numFmtId="0" fontId="0" fillId="0" borderId="34" xfId="0" applyBorder="1" applyAlignment="1" applyProtection="1"/>
    <xf numFmtId="0" fontId="0" fillId="0" borderId="33" xfId="0" applyBorder="1" applyAlignment="1" applyProtection="1"/>
    <xf numFmtId="0" fontId="27" fillId="0" borderId="28" xfId="0" applyFont="1" applyBorder="1" applyAlignment="1" applyProtection="1">
      <alignment horizontal="center" vertical="center"/>
    </xf>
    <xf numFmtId="0" fontId="24" fillId="0" borderId="32" xfId="0" applyFont="1" applyBorder="1" applyAlignment="1" applyProtection="1">
      <alignment horizontal="center" vertical="center"/>
    </xf>
    <xf numFmtId="0" fontId="0" fillId="0" borderId="32" xfId="0" applyBorder="1" applyAlignment="1" applyProtection="1">
      <alignment vertical="center"/>
    </xf>
    <xf numFmtId="0" fontId="27" fillId="0" borderId="33" xfId="0" applyFont="1" applyBorder="1" applyAlignment="1" applyProtection="1">
      <alignment vertical="center"/>
    </xf>
    <xf numFmtId="0" fontId="24" fillId="0" borderId="33" xfId="0" applyFont="1" applyBorder="1" applyAlignment="1" applyProtection="1">
      <alignment vertical="center"/>
    </xf>
    <xf numFmtId="0" fontId="0" fillId="5" borderId="32" xfId="0" applyFill="1" applyBorder="1" applyAlignment="1" applyProtection="1">
      <alignment vertical="center"/>
    </xf>
    <xf numFmtId="0" fontId="24" fillId="0" borderId="26" xfId="0" applyFont="1" applyBorder="1" applyAlignment="1" applyProtection="1">
      <alignment vertical="center"/>
    </xf>
    <xf numFmtId="0" fontId="28" fillId="0" borderId="32" xfId="0" applyFont="1" applyBorder="1" applyAlignment="1" applyProtection="1">
      <alignment horizontal="left" vertical="center"/>
    </xf>
    <xf numFmtId="0" fontId="28" fillId="0" borderId="20" xfId="0" applyFont="1" applyBorder="1" applyAlignment="1" applyProtection="1">
      <alignment horizontal="left" vertical="center"/>
    </xf>
    <xf numFmtId="0" fontId="24" fillId="0" borderId="32" xfId="0" applyFont="1" applyBorder="1" applyAlignment="1" applyProtection="1">
      <alignment horizontal="left" vertical="center"/>
    </xf>
    <xf numFmtId="0" fontId="30" fillId="0" borderId="0" xfId="0" applyFont="1" applyAlignment="1" applyProtection="1">
      <alignment horizontal="center"/>
    </xf>
    <xf numFmtId="0" fontId="0" fillId="0" borderId="0" xfId="0" applyAlignment="1" applyProtection="1"/>
    <xf numFmtId="0" fontId="24" fillId="0" borderId="0" xfId="0" applyFont="1" applyAlignment="1" applyProtection="1">
      <alignment horizontal="center" vertical="center"/>
    </xf>
    <xf numFmtId="0" fontId="24" fillId="0" borderId="93" xfId="0" applyFont="1" applyBorder="1" applyAlignment="1" applyProtection="1">
      <alignment vertical="center"/>
    </xf>
    <xf numFmtId="0" fontId="0" fillId="0" borderId="0" xfId="0" applyAlignment="1" applyProtection="1">
      <alignment horizontal="center"/>
    </xf>
    <xf numFmtId="0" fontId="24" fillId="0" borderId="0" xfId="0" applyFont="1" applyAlignment="1" applyProtection="1">
      <alignment horizontal="right" vertical="center"/>
    </xf>
    <xf numFmtId="0" fontId="0" fillId="0" borderId="0" xfId="0" applyAlignment="1" applyProtection="1">
      <alignment horizontal="right" vertical="center"/>
    </xf>
    <xf numFmtId="0" fontId="24" fillId="0" borderId="20" xfId="0" applyFont="1" applyBorder="1" applyAlignment="1" applyProtection="1">
      <alignment vertical="center"/>
    </xf>
    <xf numFmtId="0" fontId="24" fillId="0" borderId="0" xfId="0" applyFont="1" applyBorder="1" applyAlignment="1" applyProtection="1">
      <alignment vertical="center"/>
    </xf>
    <xf numFmtId="0" fontId="24" fillId="5" borderId="40" xfId="0" applyFont="1" applyFill="1" applyBorder="1" applyAlignment="1" applyProtection="1">
      <alignment vertical="center"/>
    </xf>
    <xf numFmtId="0" fontId="24" fillId="5" borderId="41" xfId="0" applyFont="1" applyFill="1" applyBorder="1" applyAlignment="1" applyProtection="1">
      <alignment vertical="center"/>
    </xf>
    <xf numFmtId="0" fontId="27" fillId="0" borderId="90" xfId="0" applyFont="1" applyBorder="1" applyAlignment="1" applyProtection="1">
      <alignment horizontal="center" vertical="center"/>
    </xf>
    <xf numFmtId="0" fontId="27" fillId="0" borderId="34" xfId="0" applyFont="1" applyBorder="1" applyAlignment="1" applyProtection="1">
      <alignment horizontal="center" vertical="center"/>
    </xf>
    <xf numFmtId="0" fontId="24" fillId="5" borderId="34" xfId="0" applyFont="1" applyFill="1" applyBorder="1" applyAlignment="1" applyProtection="1">
      <alignment vertical="center"/>
    </xf>
    <xf numFmtId="0" fontId="0" fillId="5" borderId="91" xfId="0" applyFill="1" applyBorder="1" applyAlignment="1" applyProtection="1">
      <alignment vertical="center"/>
    </xf>
    <xf numFmtId="49" fontId="24" fillId="0" borderId="90" xfId="0" applyNumberFormat="1" applyFont="1" applyBorder="1" applyAlignment="1" applyProtection="1">
      <alignment horizontal="right" vertical="center"/>
    </xf>
    <xf numFmtId="49" fontId="24" fillId="0" borderId="42" xfId="0" applyNumberFormat="1" applyFont="1" applyBorder="1" applyAlignment="1" applyProtection="1">
      <alignment horizontal="right" vertical="center"/>
    </xf>
    <xf numFmtId="0" fontId="24" fillId="0" borderId="34" xfId="0" applyFont="1" applyBorder="1" applyAlignment="1" applyProtection="1">
      <alignment vertical="center"/>
    </xf>
    <xf numFmtId="0" fontId="24" fillId="0" borderId="92" xfId="0" applyFont="1" applyBorder="1" applyAlignment="1" applyProtection="1">
      <alignment vertical="center"/>
    </xf>
    <xf numFmtId="0" fontId="0" fillId="0" borderId="33" xfId="0" applyBorder="1" applyAlignment="1" applyProtection="1">
      <alignment vertical="center"/>
    </xf>
    <xf numFmtId="0" fontId="0" fillId="0" borderId="26" xfId="0" applyBorder="1" applyAlignment="1" applyProtection="1">
      <alignment vertical="center"/>
    </xf>
    <xf numFmtId="0" fontId="27" fillId="0" borderId="32" xfId="0" applyFont="1" applyBorder="1" applyAlignment="1" applyProtection="1">
      <alignment horizontal="center" vertical="center"/>
    </xf>
    <xf numFmtId="0" fontId="24" fillId="0" borderId="37" xfId="0" applyFont="1" applyBorder="1" applyAlignment="1" applyProtection="1">
      <alignment horizontal="center" vertical="center"/>
    </xf>
    <xf numFmtId="0" fontId="24" fillId="0" borderId="12" xfId="0" applyFont="1" applyBorder="1" applyAlignment="1" applyProtection="1">
      <alignment horizontal="center" vertical="center"/>
    </xf>
    <xf numFmtId="0" fontId="24" fillId="5" borderId="27" xfId="0" applyFont="1" applyFill="1" applyBorder="1" applyAlignment="1" applyProtection="1">
      <alignment horizontal="center" vertical="center"/>
    </xf>
    <xf numFmtId="0" fontId="24" fillId="5" borderId="33" xfId="0" applyFont="1" applyFill="1" applyBorder="1" applyAlignment="1" applyProtection="1">
      <alignment horizontal="center" vertical="center"/>
    </xf>
    <xf numFmtId="0" fontId="23" fillId="0" borderId="0" xfId="0" applyFont="1" applyAlignment="1" applyProtection="1">
      <alignment horizontal="right" vertical="center"/>
    </xf>
    <xf numFmtId="0" fontId="25" fillId="0" borderId="0" xfId="0" applyFont="1" applyAlignment="1" applyProtection="1">
      <alignment horizontal="center" vertical="center"/>
    </xf>
    <xf numFmtId="0" fontId="0" fillId="0" borderId="0" xfId="0" applyAlignment="1" applyProtection="1">
      <alignment horizontal="center" vertical="center"/>
    </xf>
    <xf numFmtId="0" fontId="26" fillId="0" borderId="0" xfId="0" applyFont="1" applyAlignment="1" applyProtection="1">
      <alignment horizontal="right" vertical="center"/>
    </xf>
    <xf numFmtId="0" fontId="27" fillId="0" borderId="87" xfId="0" applyFont="1" applyBorder="1" applyAlignment="1" applyProtection="1">
      <alignment vertical="center"/>
    </xf>
    <xf numFmtId="0" fontId="27" fillId="0" borderId="89" xfId="0" applyFont="1" applyBorder="1" applyAlignment="1" applyProtection="1">
      <alignment vertical="center"/>
    </xf>
    <xf numFmtId="0" fontId="24" fillId="5" borderId="89" xfId="0" applyFont="1" applyFill="1" applyBorder="1" applyAlignment="1" applyProtection="1">
      <alignment vertical="center"/>
    </xf>
    <xf numFmtId="0" fontId="24" fillId="5" borderId="74" xfId="0" applyFont="1" applyFill="1" applyBorder="1" applyAlignment="1" applyProtection="1">
      <alignment vertical="center"/>
    </xf>
    <xf numFmtId="0" fontId="24" fillId="5" borderId="75" xfId="0" applyFont="1" applyFill="1" applyBorder="1" applyAlignment="1" applyProtection="1">
      <alignment vertical="center"/>
    </xf>
    <xf numFmtId="0" fontId="24" fillId="0" borderId="28" xfId="0" applyFont="1" applyBorder="1" applyAlignment="1" applyProtection="1">
      <alignment horizontal="center" vertical="center"/>
    </xf>
    <xf numFmtId="0" fontId="0" fillId="0" borderId="41" xfId="0" applyBorder="1" applyAlignment="1" applyProtection="1">
      <alignment horizontal="center" vertical="center"/>
    </xf>
    <xf numFmtId="0" fontId="24" fillId="0" borderId="38" xfId="0" applyFont="1" applyBorder="1" applyAlignment="1" applyProtection="1">
      <alignment vertical="center"/>
    </xf>
    <xf numFmtId="0" fontId="0" fillId="0" borderId="38" xfId="0" applyBorder="1" applyAlignment="1" applyProtection="1">
      <alignment vertical="center"/>
    </xf>
    <xf numFmtId="0" fontId="24" fillId="0" borderId="30" xfId="0" applyFont="1" applyBorder="1" applyAlignment="1" applyProtection="1">
      <alignment horizontal="center" vertical="center" wrapText="1"/>
    </xf>
    <xf numFmtId="0" fontId="0" fillId="0" borderId="30" xfId="0" applyBorder="1" applyAlignment="1" applyProtection="1">
      <alignment vertical="center"/>
    </xf>
    <xf numFmtId="0" fontId="24" fillId="0" borderId="29" xfId="0" applyFont="1" applyBorder="1" applyAlignment="1" applyProtection="1">
      <alignment horizontal="center" vertical="center" wrapText="1"/>
    </xf>
    <xf numFmtId="0" fontId="0" fillId="0" borderId="29" xfId="0" applyBorder="1" applyAlignment="1" applyProtection="1">
      <alignment vertical="center"/>
    </xf>
  </cellXfs>
  <cellStyles count="5">
    <cellStyle name="Currency" xfId="1" builtinId="4"/>
    <cellStyle name="Normal" xfId="0" builtinId="0"/>
    <cellStyle name="Normal 2" xfId="2"/>
    <cellStyle name="Normal 3" xfId="3"/>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89FF89"/>
      <rgbColor rgb="000000FF"/>
      <rgbColor rgb="00FFFF79"/>
      <rgbColor rgb="00FF81FF"/>
      <rgbColor rgb="0089FFFF"/>
      <rgbColor rgb="00800000"/>
      <rgbColor rgb="00008000"/>
      <rgbColor rgb="00000080"/>
      <rgbColor rgb="00808000"/>
      <rgbColor rgb="00800080"/>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9BD7FF"/>
      <rgbColor rgb="00E1FFFF"/>
      <rgbColor rgb="00EFFFD9"/>
      <rgbColor rgb="00FFFFC5"/>
      <rgbColor rgb="00D1E8FF"/>
      <rgbColor rgb="00FFE1E1"/>
      <rgbColor rgb="00FBEFFF"/>
      <rgbColor rgb="00FFE4C9"/>
      <rgbColor rgb="003366FF"/>
      <rgbColor rgb="0033CCCC"/>
      <rgbColor rgb="0099CC00"/>
      <rgbColor rgb="00FED97E"/>
      <rgbColor rgb="00FF9900"/>
      <rgbColor rgb="00FF6600"/>
      <rgbColor rgb="00666699"/>
      <rgbColor rgb="00C0C0C0"/>
      <rgbColor rgb="00003366"/>
      <rgbColor rgb="00339966"/>
      <rgbColor rgb="00003300"/>
      <rgbColor rgb="00333300"/>
      <rgbColor rgb="00993300"/>
      <rgbColor rgb="00CA7EE2"/>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65</xdr:row>
      <xdr:rowOff>0</xdr:rowOff>
    </xdr:from>
    <xdr:to>
      <xdr:col>7</xdr:col>
      <xdr:colOff>1266825</xdr:colOff>
      <xdr:row>103</xdr:row>
      <xdr:rowOff>28575</xdr:rowOff>
    </xdr:to>
    <xdr:pic>
      <xdr:nvPicPr>
        <xdr:cNvPr id="127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4163675"/>
          <a:ext cx="8582025" cy="6543675"/>
        </a:xfrm>
        <a:prstGeom prst="rect">
          <a:avLst/>
        </a:prstGeom>
        <a:noFill/>
        <a:ln w="9525">
          <a:noFill/>
          <a:miter lim="800000"/>
          <a:headEnd/>
          <a:tailEnd/>
        </a:ln>
      </xdr:spPr>
    </xdr:pic>
    <xdr:clientData/>
  </xdr:twoCellAnchor>
  <xdr:twoCellAnchor editAs="oneCell">
    <xdr:from>
      <xdr:col>0</xdr:col>
      <xdr:colOff>0</xdr:colOff>
      <xdr:row>105</xdr:row>
      <xdr:rowOff>0</xdr:rowOff>
    </xdr:from>
    <xdr:to>
      <xdr:col>7</xdr:col>
      <xdr:colOff>1266825</xdr:colOff>
      <xdr:row>144</xdr:row>
      <xdr:rowOff>85725</xdr:rowOff>
    </xdr:to>
    <xdr:pic>
      <xdr:nvPicPr>
        <xdr:cNvPr id="127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0" y="21021675"/>
          <a:ext cx="8582025" cy="6772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5" Type="http://schemas.openxmlformats.org/officeDocument/2006/relationships/printerSettings" Target="../printerSettings/printerSettings59.bin"/><Relationship Id="rId4" Type="http://schemas.openxmlformats.org/officeDocument/2006/relationships/printerSettings" Target="../printerSettings/printerSettings5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69.bin"/><Relationship Id="rId7" Type="http://schemas.openxmlformats.org/officeDocument/2006/relationships/drawing" Target="../drawings/drawing1.xml"/><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 Id="rId6" Type="http://schemas.openxmlformats.org/officeDocument/2006/relationships/printerSettings" Target="../printerSettings/printerSettings72.bin"/><Relationship Id="rId5" Type="http://schemas.openxmlformats.org/officeDocument/2006/relationships/printerSettings" Target="../printerSettings/printerSettings71.bin"/><Relationship Id="rId4"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dimension ref="A1:H87"/>
  <sheetViews>
    <sheetView tabSelected="1" zoomScale="90" workbookViewId="0">
      <selection activeCell="N8" sqref="N8"/>
    </sheetView>
  </sheetViews>
  <sheetFormatPr defaultRowHeight="12.75"/>
  <cols>
    <col min="1" max="1" width="24.140625" style="2" customWidth="1"/>
    <col min="2" max="4" width="17.42578125" style="2" customWidth="1"/>
    <col min="5" max="5" width="15.28515625" style="1" customWidth="1"/>
    <col min="6" max="6" width="13.42578125" style="1" customWidth="1"/>
    <col min="7" max="7" width="47.5703125" style="3" customWidth="1"/>
    <col min="8" max="21" width="9.28515625" style="1" customWidth="1"/>
    <col min="22" max="16384" width="9.140625" style="1"/>
  </cols>
  <sheetData>
    <row r="1" spans="1:8" s="3" customFormat="1" ht="15.75" customHeight="1">
      <c r="A1" s="618" t="s">
        <v>228</v>
      </c>
      <c r="B1" s="12"/>
      <c r="C1" s="12"/>
      <c r="D1" s="12"/>
      <c r="E1" s="12"/>
      <c r="F1" s="12"/>
      <c r="G1" s="655" t="s">
        <v>258</v>
      </c>
    </row>
    <row r="2" spans="1:8" s="3" customFormat="1" ht="15" customHeight="1">
      <c r="A2" s="618"/>
      <c r="B2" s="12"/>
      <c r="C2" s="12"/>
      <c r="D2" s="12"/>
      <c r="E2" s="12"/>
      <c r="F2" s="12"/>
      <c r="G2" s="655" t="s">
        <v>259</v>
      </c>
    </row>
    <row r="3" spans="1:8" s="11" customFormat="1" ht="18.75" customHeight="1">
      <c r="A3" s="656" t="s">
        <v>172</v>
      </c>
      <c r="B3" s="656"/>
      <c r="C3" s="656"/>
      <c r="D3" s="656"/>
      <c r="E3" s="656"/>
      <c r="F3" s="656"/>
      <c r="G3" s="656"/>
    </row>
    <row r="4" spans="1:8" s="4" customFormat="1" ht="16.5" customHeight="1">
      <c r="A4" s="23" t="s">
        <v>187</v>
      </c>
      <c r="B4" s="657"/>
      <c r="C4" s="657"/>
      <c r="D4" s="658" t="s">
        <v>147</v>
      </c>
      <c r="E4" s="658"/>
      <c r="F4" s="658"/>
      <c r="G4" s="240"/>
    </row>
    <row r="5" spans="1:8" s="4" customFormat="1" ht="15" customHeight="1">
      <c r="A5" s="23" t="s">
        <v>181</v>
      </c>
      <c r="B5" s="670"/>
      <c r="C5" s="670"/>
      <c r="D5" s="658" t="s">
        <v>182</v>
      </c>
      <c r="E5" s="658"/>
      <c r="F5" s="658"/>
      <c r="G5" s="240"/>
    </row>
    <row r="6" spans="1:8" s="4" customFormat="1" ht="15" customHeight="1" thickBot="1">
      <c r="A6" s="9"/>
      <c r="B6" s="22"/>
      <c r="C6" s="22"/>
      <c r="D6" s="9"/>
      <c r="E6" s="9"/>
      <c r="F6" s="9"/>
      <c r="G6" s="21" t="s">
        <v>198</v>
      </c>
    </row>
    <row r="7" spans="1:8" s="186" customFormat="1" ht="39" customHeight="1" thickBot="1">
      <c r="A7" s="671" t="s">
        <v>255</v>
      </c>
      <c r="B7" s="672"/>
      <c r="C7" s="672"/>
      <c r="D7" s="672"/>
      <c r="E7" s="672"/>
      <c r="F7" s="672"/>
      <c r="G7" s="673"/>
    </row>
    <row r="8" spans="1:8" s="186" customFormat="1" ht="273.75" customHeight="1" thickBot="1">
      <c r="A8" s="674" t="s">
        <v>260</v>
      </c>
      <c r="B8" s="675"/>
      <c r="C8" s="675"/>
      <c r="D8" s="675"/>
      <c r="E8" s="675"/>
      <c r="F8" s="675"/>
      <c r="G8" s="676"/>
    </row>
    <row r="9" spans="1:8" s="186" customFormat="1" ht="7.5" customHeight="1">
      <c r="A9" s="443"/>
      <c r="B9" s="443"/>
      <c r="C9" s="443"/>
      <c r="D9" s="443"/>
      <c r="E9" s="443"/>
      <c r="F9" s="443"/>
      <c r="G9" s="444"/>
    </row>
    <row r="10" spans="1:8" s="186" customFormat="1" ht="30.75" customHeight="1" thickBot="1">
      <c r="A10" s="659" t="s">
        <v>6</v>
      </c>
      <c r="B10" s="659"/>
      <c r="C10" s="659"/>
      <c r="D10" s="659"/>
      <c r="E10" s="659"/>
      <c r="F10" s="659"/>
      <c r="G10" s="659"/>
    </row>
    <row r="11" spans="1:8" s="445" customFormat="1" ht="26.25" thickBot="1">
      <c r="A11" s="97" t="s">
        <v>129</v>
      </c>
      <c r="B11" s="98" t="s">
        <v>108</v>
      </c>
      <c r="C11" s="99" t="s">
        <v>109</v>
      </c>
      <c r="D11" s="100" t="s">
        <v>110</v>
      </c>
      <c r="E11" s="58" t="s">
        <v>111</v>
      </c>
      <c r="F11" s="58" t="s">
        <v>112</v>
      </c>
      <c r="G11" s="30" t="s">
        <v>183</v>
      </c>
    </row>
    <row r="12" spans="1:8" s="186" customFormat="1" ht="15.75" customHeight="1">
      <c r="A12" s="101" t="s">
        <v>98</v>
      </c>
      <c r="B12" s="247">
        <f>'a. Personnel'!E65</f>
        <v>0</v>
      </c>
      <c r="C12" s="248">
        <f>'a. Personnel'!H65</f>
        <v>0</v>
      </c>
      <c r="D12" s="249">
        <f>'a. Personnel'!K65</f>
        <v>0</v>
      </c>
      <c r="E12" s="246">
        <f t="shared" ref="E12:E22" si="0">SUM(B12:D12)</f>
        <v>0</v>
      </c>
      <c r="F12" s="383" t="e">
        <f>E12/$E$26</f>
        <v>#DIV/0!</v>
      </c>
      <c r="G12" s="106"/>
      <c r="H12" s="185"/>
    </row>
    <row r="13" spans="1:8" s="186" customFormat="1" ht="15.75" customHeight="1">
      <c r="A13" s="102" t="s">
        <v>99</v>
      </c>
      <c r="B13" s="243">
        <f>'b. Fringe'!D10</f>
        <v>0</v>
      </c>
      <c r="C13" s="244">
        <f>'b. Fringe'!G10</f>
        <v>0</v>
      </c>
      <c r="D13" s="245">
        <f>'b. Fringe'!J10</f>
        <v>0</v>
      </c>
      <c r="E13" s="246">
        <f t="shared" si="0"/>
        <v>0</v>
      </c>
      <c r="F13" s="383" t="e">
        <f>E13/$E$26</f>
        <v>#DIV/0!</v>
      </c>
      <c r="G13" s="107"/>
      <c r="H13" s="185"/>
    </row>
    <row r="14" spans="1:8" s="186" customFormat="1" ht="15.75" customHeight="1">
      <c r="A14" s="102" t="s">
        <v>100</v>
      </c>
      <c r="B14" s="243">
        <f>'c. Travel'!G24</f>
        <v>0</v>
      </c>
      <c r="C14" s="244">
        <f>'c. Travel'!G41</f>
        <v>0</v>
      </c>
      <c r="D14" s="245">
        <f>'c. Travel'!G58</f>
        <v>0</v>
      </c>
      <c r="E14" s="246">
        <f t="shared" si="0"/>
        <v>0</v>
      </c>
      <c r="F14" s="383" t="e">
        <f>E14/$E$26</f>
        <v>#DIV/0!</v>
      </c>
      <c r="G14" s="107"/>
      <c r="H14" s="185"/>
    </row>
    <row r="15" spans="1:8" s="186" customFormat="1" ht="15.75" customHeight="1">
      <c r="A15" s="102" t="s">
        <v>101</v>
      </c>
      <c r="B15" s="243">
        <f>'d. Equipment'!D17</f>
        <v>0</v>
      </c>
      <c r="C15" s="244">
        <f>'d. Equipment'!D28</f>
        <v>0</v>
      </c>
      <c r="D15" s="245">
        <f>'d. Equipment'!D41</f>
        <v>0</v>
      </c>
      <c r="E15" s="246">
        <f t="shared" si="0"/>
        <v>0</v>
      </c>
      <c r="F15" s="383" t="e">
        <f>E15/$E$26</f>
        <v>#DIV/0!</v>
      </c>
      <c r="G15" s="107"/>
      <c r="H15" s="185"/>
    </row>
    <row r="16" spans="1:8" s="186" customFormat="1" ht="15.75" customHeight="1">
      <c r="A16" s="102" t="s">
        <v>102</v>
      </c>
      <c r="B16" s="243">
        <f>'e. Supplies'!D18</f>
        <v>0</v>
      </c>
      <c r="C16" s="244">
        <f>'e. Supplies'!D31</f>
        <v>0</v>
      </c>
      <c r="D16" s="245">
        <f>'e. Supplies'!D44</f>
        <v>0</v>
      </c>
      <c r="E16" s="246">
        <f t="shared" si="0"/>
        <v>0</v>
      </c>
      <c r="F16" s="383" t="e">
        <f>E16/$E$26</f>
        <v>#DIV/0!</v>
      </c>
      <c r="G16" s="107"/>
      <c r="H16" s="185"/>
    </row>
    <row r="17" spans="1:8" s="186" customFormat="1">
      <c r="A17" s="103" t="s">
        <v>158</v>
      </c>
      <c r="B17" s="243"/>
      <c r="C17" s="244"/>
      <c r="D17" s="245"/>
      <c r="E17" s="246"/>
      <c r="F17" s="250"/>
      <c r="G17" s="107"/>
      <c r="H17" s="185"/>
    </row>
    <row r="18" spans="1:8" s="186" customFormat="1">
      <c r="A18" s="241" t="s">
        <v>203</v>
      </c>
      <c r="B18" s="243">
        <f>'f. Contractual'!C17</f>
        <v>0</v>
      </c>
      <c r="C18" s="244">
        <f>'f. Contractual'!D17</f>
        <v>0</v>
      </c>
      <c r="D18" s="245">
        <f>'f. Contractual'!E17</f>
        <v>0</v>
      </c>
      <c r="E18" s="246">
        <f>SUM(B18:D18)</f>
        <v>0</v>
      </c>
      <c r="F18" s="251" t="e">
        <f t="shared" ref="F18:F23" si="1">E18/$E$26</f>
        <v>#DIV/0!</v>
      </c>
      <c r="G18" s="107"/>
      <c r="H18" s="185"/>
    </row>
    <row r="19" spans="1:8" s="186" customFormat="1">
      <c r="A19" s="241" t="s">
        <v>204</v>
      </c>
      <c r="B19" s="247">
        <f>'f. Contractual'!C28</f>
        <v>0</v>
      </c>
      <c r="C19" s="248">
        <f>'f. Contractual'!D28</f>
        <v>0</v>
      </c>
      <c r="D19" s="249">
        <f>'f. Contractual'!E28</f>
        <v>0</v>
      </c>
      <c r="E19" s="246">
        <f>SUM(B19:D19)</f>
        <v>0</v>
      </c>
      <c r="F19" s="251" t="e">
        <f t="shared" si="1"/>
        <v>#DIV/0!</v>
      </c>
      <c r="G19" s="107"/>
      <c r="H19" s="185"/>
    </row>
    <row r="20" spans="1:8" s="186" customFormat="1">
      <c r="A20" s="241" t="s">
        <v>206</v>
      </c>
      <c r="B20" s="247">
        <f>'f. Contractual'!C34</f>
        <v>0</v>
      </c>
      <c r="C20" s="248">
        <f>'f. Contractual'!D34</f>
        <v>0</v>
      </c>
      <c r="D20" s="249">
        <f>'f. Contractual'!E34</f>
        <v>0</v>
      </c>
      <c r="E20" s="246">
        <f t="shared" si="0"/>
        <v>0</v>
      </c>
      <c r="F20" s="251" t="e">
        <f t="shared" si="1"/>
        <v>#DIV/0!</v>
      </c>
      <c r="G20" s="107"/>
      <c r="H20" s="185"/>
    </row>
    <row r="21" spans="1:8" s="186" customFormat="1">
      <c r="A21" s="242" t="s">
        <v>205</v>
      </c>
      <c r="B21" s="247">
        <f>SUM(B18:B20)</f>
        <v>0</v>
      </c>
      <c r="C21" s="248">
        <f>SUM(C18:C20)</f>
        <v>0</v>
      </c>
      <c r="D21" s="249">
        <f>SUM(D18:D20)</f>
        <v>0</v>
      </c>
      <c r="E21" s="246">
        <f t="shared" si="0"/>
        <v>0</v>
      </c>
      <c r="F21" s="383" t="e">
        <f t="shared" si="1"/>
        <v>#DIV/0!</v>
      </c>
      <c r="G21" s="107"/>
      <c r="H21" s="185"/>
    </row>
    <row r="22" spans="1:8" s="186" customFormat="1" ht="15.75" customHeight="1">
      <c r="A22" s="104" t="s">
        <v>103</v>
      </c>
      <c r="B22" s="247">
        <f>'g. Construction'!B16</f>
        <v>0</v>
      </c>
      <c r="C22" s="248">
        <f>'g. Construction'!B23</f>
        <v>0</v>
      </c>
      <c r="D22" s="249">
        <f>'g. Construction'!B30</f>
        <v>0</v>
      </c>
      <c r="E22" s="246">
        <f t="shared" si="0"/>
        <v>0</v>
      </c>
      <c r="F22" s="383" t="e">
        <f t="shared" si="1"/>
        <v>#DIV/0!</v>
      </c>
      <c r="G22" s="108"/>
      <c r="H22" s="185"/>
    </row>
    <row r="23" spans="1:8" s="186" customFormat="1" ht="15.75" customHeight="1">
      <c r="A23" s="102" t="s">
        <v>104</v>
      </c>
      <c r="B23" s="243">
        <f>'h. Other'!B14</f>
        <v>0</v>
      </c>
      <c r="C23" s="244">
        <f>'h. Other'!B22</f>
        <v>0</v>
      </c>
      <c r="D23" s="245">
        <f>'h. Other'!B30</f>
        <v>0</v>
      </c>
      <c r="E23" s="246">
        <f>SUM(B23:D23)</f>
        <v>0</v>
      </c>
      <c r="F23" s="383" t="e">
        <f t="shared" si="1"/>
        <v>#DIV/0!</v>
      </c>
      <c r="G23" s="107"/>
      <c r="H23" s="185"/>
    </row>
    <row r="24" spans="1:8" s="186" customFormat="1" ht="15.75" customHeight="1">
      <c r="A24" s="102" t="s">
        <v>223</v>
      </c>
      <c r="B24" s="243">
        <f>B12+B13+B14+B15+B16+B21+B22+B23</f>
        <v>0</v>
      </c>
      <c r="C24" s="244">
        <f>C12+C13+C14+C15+C16+C21+C22+C23</f>
        <v>0</v>
      </c>
      <c r="D24" s="245">
        <f>D12+D13+D14+D15+D16+D21+D22+D23</f>
        <v>0</v>
      </c>
      <c r="E24" s="613">
        <f>E12+E13+E14+E15+E16+E21+E22+E23</f>
        <v>0</v>
      </c>
      <c r="F24" s="613" t="e">
        <f>F12+F13+F14+F15+F16+F21+F22+F23</f>
        <v>#DIV/0!</v>
      </c>
      <c r="G24" s="107"/>
      <c r="H24" s="185"/>
    </row>
    <row r="25" spans="1:8" s="186" customFormat="1" ht="15.75" customHeight="1">
      <c r="A25" s="102" t="s">
        <v>105</v>
      </c>
      <c r="B25" s="243">
        <f>'i. Indirect'!B16</f>
        <v>0</v>
      </c>
      <c r="C25" s="244">
        <f>'i. Indirect'!C16</f>
        <v>0</v>
      </c>
      <c r="D25" s="245">
        <f>'i. Indirect'!D16</f>
        <v>0</v>
      </c>
      <c r="E25" s="246">
        <f>SUM(B25:D25)</f>
        <v>0</v>
      </c>
      <c r="F25" s="383" t="e">
        <f>E25/$E$26</f>
        <v>#DIV/0!</v>
      </c>
      <c r="G25" s="107"/>
      <c r="H25" s="185"/>
    </row>
    <row r="26" spans="1:8" s="186" customFormat="1" ht="15.75" customHeight="1" thickBot="1">
      <c r="A26" s="105" t="s">
        <v>130</v>
      </c>
      <c r="B26" s="612">
        <f>B24+B25</f>
        <v>0</v>
      </c>
      <c r="C26" s="616">
        <f>C24+C25</f>
        <v>0</v>
      </c>
      <c r="D26" s="617">
        <f>D24+D25</f>
        <v>0</v>
      </c>
      <c r="E26" s="614">
        <f>E24+E25</f>
        <v>0</v>
      </c>
      <c r="F26" s="615" t="e">
        <f>F24+F25</f>
        <v>#DIV/0!</v>
      </c>
      <c r="G26" s="109"/>
      <c r="H26" s="185"/>
    </row>
    <row r="27" spans="1:8" s="186" customFormat="1" ht="7.5" customHeight="1">
      <c r="A27" s="443"/>
      <c r="B27" s="443"/>
      <c r="C27" s="443"/>
      <c r="D27" s="443"/>
      <c r="G27" s="185"/>
    </row>
    <row r="28" spans="1:8" s="186" customFormat="1" ht="15.75" thickBot="1">
      <c r="A28" s="660" t="s">
        <v>199</v>
      </c>
      <c r="B28" s="660"/>
      <c r="C28" s="660"/>
      <c r="D28" s="27"/>
      <c r="E28" s="16"/>
      <c r="F28" s="27"/>
      <c r="G28" s="185"/>
    </row>
    <row r="29" spans="1:8" s="186" customFormat="1" ht="10.5" customHeight="1">
      <c r="A29" s="661"/>
      <c r="B29" s="662"/>
      <c r="C29" s="662"/>
      <c r="D29" s="662"/>
      <c r="E29" s="662"/>
      <c r="F29" s="662"/>
      <c r="G29" s="663"/>
    </row>
    <row r="30" spans="1:8" s="186" customFormat="1" ht="10.5" customHeight="1">
      <c r="A30" s="664"/>
      <c r="B30" s="665"/>
      <c r="C30" s="665"/>
      <c r="D30" s="665"/>
      <c r="E30" s="665"/>
      <c r="F30" s="665"/>
      <c r="G30" s="666"/>
    </row>
    <row r="31" spans="1:8" s="186" customFormat="1" ht="10.5" customHeight="1" thickBot="1">
      <c r="A31" s="667"/>
      <c r="B31" s="668"/>
      <c r="C31" s="668"/>
      <c r="D31" s="668"/>
      <c r="E31" s="668"/>
      <c r="F31" s="668"/>
      <c r="G31" s="669"/>
    </row>
    <row r="32" spans="1:8" s="186" customFormat="1">
      <c r="A32" s="443"/>
      <c r="B32" s="443"/>
      <c r="C32" s="443"/>
      <c r="D32" s="443"/>
      <c r="G32" s="185"/>
    </row>
    <row r="33" spans="1:7" s="186" customFormat="1">
      <c r="A33" s="443"/>
      <c r="B33" s="443"/>
      <c r="C33" s="443"/>
      <c r="D33" s="443"/>
      <c r="G33" s="185"/>
    </row>
    <row r="34" spans="1:7" s="186" customFormat="1">
      <c r="A34" s="443"/>
      <c r="B34" s="443"/>
      <c r="C34" s="443"/>
      <c r="D34" s="443"/>
      <c r="G34" s="185"/>
    </row>
    <row r="35" spans="1:7" s="186" customFormat="1">
      <c r="A35" s="446"/>
      <c r="B35" s="446"/>
      <c r="C35" s="446"/>
      <c r="D35" s="446"/>
      <c r="G35" s="185"/>
    </row>
    <row r="36" spans="1:7" s="186" customFormat="1">
      <c r="A36" s="443"/>
      <c r="B36" s="443"/>
      <c r="C36" s="443"/>
      <c r="D36" s="443"/>
      <c r="G36" s="185"/>
    </row>
    <row r="37" spans="1:7" s="186" customFormat="1">
      <c r="A37" s="443"/>
      <c r="B37" s="443"/>
      <c r="C37" s="443"/>
      <c r="D37" s="443"/>
      <c r="G37" s="185"/>
    </row>
    <row r="38" spans="1:7" s="186" customFormat="1">
      <c r="A38" s="443"/>
      <c r="B38" s="443"/>
      <c r="C38" s="443"/>
      <c r="D38" s="443"/>
      <c r="G38" s="185"/>
    </row>
    <row r="39" spans="1:7" s="186" customFormat="1">
      <c r="A39" s="443"/>
      <c r="B39" s="443"/>
      <c r="C39" s="443"/>
      <c r="D39" s="443"/>
      <c r="G39" s="185"/>
    </row>
    <row r="40" spans="1:7" s="186" customFormat="1">
      <c r="A40" s="443"/>
      <c r="B40" s="443"/>
      <c r="C40" s="443"/>
      <c r="D40" s="443"/>
      <c r="G40" s="185"/>
    </row>
    <row r="41" spans="1:7" s="186" customFormat="1">
      <c r="A41" s="443"/>
      <c r="B41" s="443"/>
      <c r="C41" s="443"/>
      <c r="D41" s="443"/>
      <c r="G41" s="185"/>
    </row>
    <row r="42" spans="1:7" s="186" customFormat="1">
      <c r="A42" s="443"/>
      <c r="B42" s="443"/>
      <c r="C42" s="443"/>
      <c r="D42" s="443"/>
      <c r="G42" s="185"/>
    </row>
    <row r="43" spans="1:7" s="186" customFormat="1">
      <c r="A43" s="443"/>
      <c r="B43" s="443"/>
      <c r="C43" s="443"/>
      <c r="D43" s="443"/>
      <c r="G43" s="185"/>
    </row>
    <row r="44" spans="1:7" s="186" customFormat="1">
      <c r="A44" s="443"/>
      <c r="B44" s="443"/>
      <c r="C44" s="443"/>
      <c r="D44" s="443"/>
      <c r="G44" s="185"/>
    </row>
    <row r="45" spans="1:7" s="186" customFormat="1">
      <c r="A45" s="443"/>
      <c r="B45" s="443"/>
      <c r="C45" s="443"/>
      <c r="D45" s="443"/>
      <c r="G45" s="185"/>
    </row>
    <row r="46" spans="1:7" s="186" customFormat="1">
      <c r="A46" s="443"/>
      <c r="B46" s="443"/>
      <c r="C46" s="443"/>
      <c r="D46" s="443"/>
      <c r="G46" s="185"/>
    </row>
    <row r="47" spans="1:7" s="186" customFormat="1">
      <c r="A47" s="443"/>
      <c r="B47" s="443"/>
      <c r="C47" s="443"/>
      <c r="D47" s="443"/>
      <c r="G47" s="185"/>
    </row>
    <row r="48" spans="1:7" s="186" customFormat="1">
      <c r="A48" s="443"/>
      <c r="B48" s="443"/>
      <c r="C48" s="443"/>
      <c r="D48" s="443"/>
      <c r="G48" s="185"/>
    </row>
    <row r="49" spans="1:7" s="186" customFormat="1">
      <c r="A49" s="443"/>
      <c r="B49" s="443"/>
      <c r="C49" s="443"/>
      <c r="D49" s="443"/>
      <c r="G49" s="185"/>
    </row>
    <row r="50" spans="1:7" s="186" customFormat="1">
      <c r="A50" s="443"/>
      <c r="B50" s="443"/>
      <c r="C50" s="443"/>
      <c r="D50" s="443"/>
      <c r="G50" s="185"/>
    </row>
    <row r="51" spans="1:7" s="186" customFormat="1">
      <c r="A51" s="443"/>
      <c r="B51" s="443"/>
      <c r="C51" s="443"/>
      <c r="D51" s="443"/>
      <c r="G51" s="185"/>
    </row>
    <row r="52" spans="1:7" s="186" customFormat="1">
      <c r="A52" s="443"/>
      <c r="B52" s="443"/>
      <c r="C52" s="443"/>
      <c r="D52" s="443"/>
      <c r="G52" s="185"/>
    </row>
    <row r="53" spans="1:7" s="186" customFormat="1">
      <c r="A53" s="443"/>
      <c r="B53" s="443"/>
      <c r="C53" s="443"/>
      <c r="D53" s="443"/>
      <c r="G53" s="185"/>
    </row>
    <row r="54" spans="1:7" s="186" customFormat="1">
      <c r="A54" s="443"/>
      <c r="B54" s="443"/>
      <c r="C54" s="443"/>
      <c r="D54" s="443"/>
      <c r="G54" s="185"/>
    </row>
    <row r="55" spans="1:7" s="186" customFormat="1">
      <c r="A55" s="443"/>
      <c r="B55" s="443"/>
      <c r="C55" s="443"/>
      <c r="D55" s="443"/>
      <c r="G55" s="185"/>
    </row>
    <row r="56" spans="1:7" s="186" customFormat="1">
      <c r="A56" s="443"/>
      <c r="B56" s="443"/>
      <c r="C56" s="443"/>
      <c r="D56" s="443"/>
      <c r="G56" s="185"/>
    </row>
    <row r="57" spans="1:7" s="186" customFormat="1">
      <c r="A57" s="443"/>
      <c r="B57" s="443"/>
      <c r="C57" s="443"/>
      <c r="D57" s="443"/>
      <c r="G57" s="185"/>
    </row>
    <row r="58" spans="1:7" s="186" customFormat="1">
      <c r="A58" s="443"/>
      <c r="B58" s="443"/>
      <c r="C58" s="443"/>
      <c r="D58" s="443"/>
      <c r="G58" s="185"/>
    </row>
    <row r="59" spans="1:7" s="186" customFormat="1">
      <c r="A59" s="443"/>
      <c r="B59" s="443"/>
      <c r="C59" s="443"/>
      <c r="D59" s="443"/>
      <c r="G59" s="185"/>
    </row>
    <row r="60" spans="1:7" s="186" customFormat="1">
      <c r="A60" s="443"/>
      <c r="B60" s="443"/>
      <c r="C60" s="443"/>
      <c r="D60" s="443"/>
      <c r="G60" s="185"/>
    </row>
    <row r="61" spans="1:7" s="186" customFormat="1">
      <c r="A61" s="443"/>
      <c r="B61" s="443"/>
      <c r="C61" s="443"/>
      <c r="D61" s="443"/>
      <c r="G61" s="185"/>
    </row>
    <row r="62" spans="1:7" s="186" customFormat="1">
      <c r="A62" s="443"/>
      <c r="B62" s="443"/>
      <c r="C62" s="443"/>
      <c r="D62" s="443"/>
      <c r="G62" s="185"/>
    </row>
    <row r="63" spans="1:7" s="186" customFormat="1">
      <c r="A63" s="443"/>
      <c r="B63" s="443"/>
      <c r="C63" s="443"/>
      <c r="D63" s="443"/>
      <c r="G63" s="185"/>
    </row>
    <row r="64" spans="1:7" s="186" customFormat="1">
      <c r="A64" s="443"/>
      <c r="B64" s="443"/>
      <c r="C64" s="443"/>
      <c r="D64" s="443"/>
      <c r="G64" s="185"/>
    </row>
    <row r="65" spans="1:7" s="186" customFormat="1">
      <c r="A65" s="443"/>
      <c r="B65" s="443"/>
      <c r="C65" s="443"/>
      <c r="D65" s="443"/>
      <c r="G65" s="185"/>
    </row>
    <row r="66" spans="1:7" s="186" customFormat="1">
      <c r="A66" s="443"/>
      <c r="B66" s="443"/>
      <c r="C66" s="443"/>
      <c r="D66" s="443"/>
      <c r="G66" s="185"/>
    </row>
    <row r="67" spans="1:7" s="186" customFormat="1">
      <c r="A67" s="443"/>
      <c r="B67" s="443"/>
      <c r="C67" s="443"/>
      <c r="D67" s="443"/>
      <c r="G67" s="185"/>
    </row>
    <row r="68" spans="1:7" s="186" customFormat="1">
      <c r="A68" s="443"/>
      <c r="B68" s="443"/>
      <c r="C68" s="443"/>
      <c r="D68" s="443"/>
      <c r="G68" s="185"/>
    </row>
    <row r="69" spans="1:7" s="186" customFormat="1">
      <c r="A69" s="443"/>
      <c r="B69" s="443"/>
      <c r="C69" s="443"/>
      <c r="D69" s="443"/>
      <c r="G69" s="185"/>
    </row>
    <row r="70" spans="1:7" s="186" customFormat="1">
      <c r="A70" s="443"/>
      <c r="B70" s="443"/>
      <c r="C70" s="443"/>
      <c r="D70" s="443"/>
      <c r="G70" s="185"/>
    </row>
    <row r="71" spans="1:7" s="186" customFormat="1">
      <c r="A71" s="443"/>
      <c r="B71" s="443"/>
      <c r="C71" s="443"/>
      <c r="D71" s="443"/>
      <c r="G71" s="185"/>
    </row>
    <row r="72" spans="1:7" s="186" customFormat="1">
      <c r="A72" s="443"/>
      <c r="B72" s="443"/>
      <c r="C72" s="443"/>
      <c r="D72" s="443"/>
      <c r="G72" s="185"/>
    </row>
    <row r="73" spans="1:7" s="186" customFormat="1">
      <c r="A73" s="443"/>
      <c r="B73" s="443"/>
      <c r="C73" s="443"/>
      <c r="D73" s="443"/>
      <c r="G73" s="185"/>
    </row>
    <row r="74" spans="1:7" s="186" customFormat="1">
      <c r="A74" s="443"/>
      <c r="B74" s="443"/>
      <c r="C74" s="443"/>
      <c r="D74" s="443"/>
      <c r="G74" s="185"/>
    </row>
    <row r="75" spans="1:7" s="186" customFormat="1">
      <c r="A75" s="443"/>
      <c r="B75" s="443"/>
      <c r="C75" s="443"/>
      <c r="D75" s="443"/>
      <c r="G75" s="185"/>
    </row>
    <row r="76" spans="1:7" s="186" customFormat="1">
      <c r="A76" s="443"/>
      <c r="B76" s="443"/>
      <c r="C76" s="443"/>
      <c r="D76" s="443"/>
      <c r="G76" s="185"/>
    </row>
    <row r="77" spans="1:7" s="186" customFormat="1">
      <c r="A77" s="443"/>
      <c r="B77" s="443"/>
      <c r="C77" s="443"/>
      <c r="D77" s="443"/>
      <c r="G77" s="185"/>
    </row>
    <row r="78" spans="1:7" s="186" customFormat="1">
      <c r="A78" s="443"/>
      <c r="B78" s="443"/>
      <c r="C78" s="443"/>
      <c r="D78" s="443"/>
      <c r="G78" s="185"/>
    </row>
    <row r="79" spans="1:7" s="186" customFormat="1">
      <c r="A79" s="443"/>
      <c r="B79" s="443"/>
      <c r="C79" s="443"/>
      <c r="D79" s="443"/>
      <c r="G79" s="185"/>
    </row>
    <row r="80" spans="1:7" s="186" customFormat="1">
      <c r="A80" s="443"/>
      <c r="B80" s="443"/>
      <c r="C80" s="443"/>
      <c r="D80" s="443"/>
      <c r="G80" s="185"/>
    </row>
    <row r="81" spans="1:7" s="186" customFormat="1">
      <c r="A81" s="443"/>
      <c r="B81" s="443"/>
      <c r="C81" s="443"/>
      <c r="D81" s="443"/>
      <c r="G81" s="185"/>
    </row>
    <row r="82" spans="1:7" s="186" customFormat="1">
      <c r="A82" s="443"/>
      <c r="B82" s="443"/>
      <c r="C82" s="443"/>
      <c r="D82" s="443"/>
      <c r="G82" s="185"/>
    </row>
    <row r="83" spans="1:7" s="186" customFormat="1">
      <c r="A83" s="443"/>
      <c r="B83" s="443"/>
      <c r="C83" s="443"/>
      <c r="D83" s="443"/>
      <c r="G83" s="185"/>
    </row>
    <row r="84" spans="1:7" s="186" customFormat="1">
      <c r="A84" s="443"/>
      <c r="B84" s="443"/>
      <c r="C84" s="443"/>
      <c r="D84" s="443"/>
      <c r="G84" s="185"/>
    </row>
    <row r="85" spans="1:7" s="186" customFormat="1">
      <c r="A85" s="443"/>
      <c r="B85" s="443"/>
      <c r="C85" s="443"/>
      <c r="D85" s="443"/>
      <c r="G85" s="185"/>
    </row>
    <row r="86" spans="1:7" s="186" customFormat="1">
      <c r="A86" s="443"/>
      <c r="B86" s="443"/>
      <c r="C86" s="443"/>
      <c r="D86" s="443"/>
      <c r="G86" s="185"/>
    </row>
    <row r="87" spans="1:7" s="186" customFormat="1">
      <c r="A87" s="443"/>
      <c r="B87" s="443"/>
      <c r="C87" s="443"/>
      <c r="D87" s="443"/>
      <c r="G87" s="185"/>
    </row>
  </sheetData>
  <sheetProtection formatCells="0" formatColumns="0" formatRows="0" selectLockedCells="1"/>
  <customSheetViews>
    <customSheetView guid="{D5CEF8EB-A9A7-4458-BF65-8F18E34CBA87}" scale="90">
      <selection activeCell="A8" sqref="A8:G8"/>
      <pageMargins left="0.5" right="0.5" top="0.25" bottom="0.25" header="0.5" footer="0.5"/>
      <printOptions horizontalCentered="1"/>
      <pageSetup scale="85" fitToHeight="2" orientation="landscape" horizontalDpi="300" verticalDpi="300" r:id="rId1"/>
      <headerFooter alignWithMargins="0"/>
    </customSheetView>
    <customSheetView guid="{6588CF8C-0BB8-4786-9A46-0A2D10254132}" scale="90" topLeftCell="A10">
      <selection activeCell="C38" sqref="C38"/>
      <pageMargins left="0.5" right="0.5" top="0.25" bottom="0.25" header="0.5" footer="0.5"/>
      <printOptions horizontalCentered="1"/>
      <pageSetup scale="85" fitToHeight="2" orientation="landscape" horizontalDpi="300" verticalDpi="300" r:id="rId2"/>
      <headerFooter alignWithMargins="0"/>
    </customSheetView>
    <customSheetView guid="{712CE29F-EFCA-4968-A7C5-599F87319D6A}" scale="90">
      <selection activeCell="D24" sqref="D24"/>
      <pageMargins left="0.5" right="0.5" top="0.25" bottom="0.25" header="0.5" footer="0.5"/>
      <printOptions horizontalCentered="1"/>
      <pageSetup scale="85" fitToHeight="2" orientation="landscape" horizontalDpi="300" verticalDpi="300" r:id="rId3"/>
      <headerFooter alignWithMargins="0"/>
    </customSheetView>
    <customSheetView guid="{5BEC5FDE-32D0-42EF-8D2A-06DCBD4F05CC}" scale="90" topLeftCell="A7">
      <selection activeCell="M21" sqref="M21"/>
      <pageMargins left="0.5" right="0.5" top="0.25" bottom="0.25" header="0.5" footer="0.5"/>
      <printOptions horizontalCentered="1"/>
      <pageSetup scale="85" fitToHeight="2" orientation="landscape" horizontalDpi="300" verticalDpi="300" r:id="rId4"/>
      <headerFooter alignWithMargins="0"/>
    </customSheetView>
    <customSheetView guid="{D7FF18E2-A72D-4088-BD59-9D74A43C39A8}" scale="90" topLeftCell="A7">
      <selection activeCell="D14" sqref="D14"/>
      <pageMargins left="0.5" right="0.5" top="0.25" bottom="0.25" header="0.5" footer="0.5"/>
      <printOptions horizontalCentered="1"/>
      <pageSetup scale="85" fitToHeight="2" orientation="landscape" horizontalDpi="300" verticalDpi="300" r:id="rId5"/>
      <headerFooter alignWithMargins="0"/>
    </customSheetView>
  </customSheetViews>
  <mergeCells count="10">
    <mergeCell ref="A3:G3"/>
    <mergeCell ref="B4:C4"/>
    <mergeCell ref="D4:F4"/>
    <mergeCell ref="A10:G10"/>
    <mergeCell ref="A28:C28"/>
    <mergeCell ref="A29:G31"/>
    <mergeCell ref="B5:C5"/>
    <mergeCell ref="D5:F5"/>
    <mergeCell ref="A7:G7"/>
    <mergeCell ref="A8:G8"/>
  </mergeCells>
  <phoneticPr fontId="2" type="noConversion"/>
  <printOptions horizontalCentered="1"/>
  <pageMargins left="0.5" right="0.5" top="0.25" bottom="0.25" header="0.5" footer="0.5"/>
  <pageSetup scale="85" fitToHeight="2" orientation="landscape" horizontalDpi="300" verticalDpi="300" r:id="rId6"/>
  <headerFooter alignWithMargins="0"/>
</worksheet>
</file>

<file path=xl/worksheets/sheet2.xml><?xml version="1.0" encoding="utf-8"?>
<worksheet xmlns="http://schemas.openxmlformats.org/spreadsheetml/2006/main" xmlns:r="http://schemas.openxmlformats.org/officeDocument/2006/relationships">
  <sheetPr codeName="Sheet2">
    <pageSetUpPr fitToPage="1"/>
  </sheetPr>
  <dimension ref="A1:N70"/>
  <sheetViews>
    <sheetView zoomScale="85" workbookViewId="0">
      <selection activeCell="V14" sqref="V14"/>
    </sheetView>
  </sheetViews>
  <sheetFormatPr defaultRowHeight="12.75"/>
  <cols>
    <col min="1" max="1" width="10.85546875" style="26" customWidth="1"/>
    <col min="2" max="2" width="28" style="26" customWidth="1"/>
    <col min="3" max="3" width="8" style="25" customWidth="1"/>
    <col min="4" max="4" width="8.7109375" style="7" customWidth="1"/>
    <col min="5" max="5" width="11.42578125" style="24" customWidth="1"/>
    <col min="6" max="6" width="8" style="8" customWidth="1"/>
    <col min="7" max="7" width="8.7109375" style="7" customWidth="1"/>
    <col min="8" max="8" width="11.42578125" style="24" customWidth="1"/>
    <col min="9" max="9" width="8" style="8" customWidth="1"/>
    <col min="10" max="10" width="8.7109375" style="7" customWidth="1"/>
    <col min="11" max="11" width="11.42578125" style="24" customWidth="1"/>
    <col min="12" max="12" width="8.5703125" style="266" customWidth="1"/>
    <col min="13" max="13" width="11.42578125" style="267" customWidth="1"/>
    <col min="14" max="14" width="14.7109375" style="25" customWidth="1"/>
    <col min="15" max="16384" width="9.140625" style="26"/>
  </cols>
  <sheetData>
    <row r="1" spans="1:14" s="31" customFormat="1" ht="12.75" customHeight="1">
      <c r="A1" s="684" t="s">
        <v>229</v>
      </c>
      <c r="B1" s="684"/>
      <c r="C1" s="684"/>
      <c r="D1" s="684"/>
      <c r="E1" s="684"/>
      <c r="F1" s="684"/>
      <c r="G1" s="684"/>
      <c r="H1" s="684"/>
      <c r="I1" s="239"/>
      <c r="J1" s="239"/>
      <c r="K1" s="239"/>
      <c r="L1" s="680">
        <f>'Instructions and Summary'!G5</f>
        <v>0</v>
      </c>
      <c r="M1" s="680"/>
      <c r="N1" s="680"/>
    </row>
    <row r="2" spans="1:14" s="11" customFormat="1" ht="22.5" customHeight="1" thickBot="1">
      <c r="A2" s="677" t="s">
        <v>98</v>
      </c>
      <c r="B2" s="677"/>
      <c r="C2" s="677"/>
      <c r="D2" s="677"/>
      <c r="E2" s="677"/>
      <c r="F2" s="677"/>
      <c r="G2" s="677"/>
      <c r="H2" s="677"/>
      <c r="I2" s="677"/>
      <c r="J2" s="677"/>
      <c r="K2" s="677"/>
      <c r="L2" s="677"/>
      <c r="M2" s="677"/>
      <c r="N2" s="677"/>
    </row>
    <row r="3" spans="1:14" s="72" customFormat="1" ht="14.25" customHeight="1">
      <c r="A3" s="687" t="s">
        <v>230</v>
      </c>
      <c r="B3" s="688"/>
      <c r="C3" s="688"/>
      <c r="D3" s="688"/>
      <c r="E3" s="688"/>
      <c r="F3" s="688"/>
      <c r="G3" s="688"/>
      <c r="H3" s="688"/>
      <c r="I3" s="688"/>
      <c r="J3" s="688"/>
      <c r="K3" s="688"/>
      <c r="L3" s="688"/>
      <c r="M3" s="688"/>
      <c r="N3" s="689"/>
    </row>
    <row r="4" spans="1:14" ht="187.5" customHeight="1" thickBot="1">
      <c r="A4" s="690"/>
      <c r="B4" s="691"/>
      <c r="C4" s="691"/>
      <c r="D4" s="691"/>
      <c r="E4" s="691"/>
      <c r="F4" s="691"/>
      <c r="G4" s="691"/>
      <c r="H4" s="691"/>
      <c r="I4" s="691"/>
      <c r="J4" s="691"/>
      <c r="K4" s="691"/>
      <c r="L4" s="691"/>
      <c r="M4" s="691"/>
      <c r="N4" s="692"/>
    </row>
    <row r="5" spans="1:14" ht="12" customHeight="1" thickBot="1">
      <c r="A5" s="10"/>
      <c r="B5" s="10"/>
      <c r="C5" s="10"/>
      <c r="D5" s="10"/>
      <c r="E5" s="10"/>
      <c r="F5" s="10"/>
      <c r="G5" s="10"/>
      <c r="H5" s="10"/>
      <c r="I5" s="10"/>
      <c r="J5" s="10"/>
      <c r="K5" s="10"/>
      <c r="L5" s="264"/>
      <c r="M5" s="265"/>
      <c r="N5" s="10"/>
    </row>
    <row r="6" spans="1:14" ht="19.5" customHeight="1">
      <c r="A6" s="694" t="s">
        <v>163</v>
      </c>
      <c r="B6" s="685" t="s">
        <v>164</v>
      </c>
      <c r="C6" s="681" t="s">
        <v>106</v>
      </c>
      <c r="D6" s="681"/>
      <c r="E6" s="681"/>
      <c r="F6" s="682" t="s">
        <v>113</v>
      </c>
      <c r="G6" s="682"/>
      <c r="H6" s="682"/>
      <c r="I6" s="683" t="s">
        <v>107</v>
      </c>
      <c r="J6" s="683"/>
      <c r="K6" s="683"/>
      <c r="L6" s="678" t="s">
        <v>162</v>
      </c>
      <c r="M6" s="698" t="s">
        <v>161</v>
      </c>
      <c r="N6" s="696" t="s">
        <v>131</v>
      </c>
    </row>
    <row r="7" spans="1:14" s="31" customFormat="1" ht="45.75" thickBot="1">
      <c r="A7" s="695"/>
      <c r="B7" s="686"/>
      <c r="C7" s="451" t="s">
        <v>133</v>
      </c>
      <c r="D7" s="452" t="s">
        <v>132</v>
      </c>
      <c r="E7" s="453" t="s">
        <v>168</v>
      </c>
      <c r="F7" s="454" t="s">
        <v>133</v>
      </c>
      <c r="G7" s="455" t="s">
        <v>132</v>
      </c>
      <c r="H7" s="456" t="s">
        <v>169</v>
      </c>
      <c r="I7" s="457" t="s">
        <v>133</v>
      </c>
      <c r="J7" s="458" t="s">
        <v>132</v>
      </c>
      <c r="K7" s="459" t="s">
        <v>170</v>
      </c>
      <c r="L7" s="679"/>
      <c r="M7" s="699"/>
      <c r="N7" s="697"/>
    </row>
    <row r="8" spans="1:14" s="115" customFormat="1" ht="15.75" customHeight="1">
      <c r="A8" s="474" t="s">
        <v>176</v>
      </c>
      <c r="B8" s="475"/>
      <c r="C8" s="476">
        <f>SUM(C9:C11)</f>
        <v>10000</v>
      </c>
      <c r="D8" s="477"/>
      <c r="E8" s="478">
        <f>SUM(E9:E11)</f>
        <v>423000</v>
      </c>
      <c r="F8" s="479">
        <f>SUM(F9:F11)</f>
        <v>600</v>
      </c>
      <c r="G8" s="480"/>
      <c r="H8" s="481">
        <f>SUM(H9:H11)</f>
        <v>24000</v>
      </c>
      <c r="I8" s="482">
        <f>SUM(I9:I11)</f>
        <v>800</v>
      </c>
      <c r="J8" s="483"/>
      <c r="K8" s="484">
        <f>SUM(K9:K11)</f>
        <v>31000</v>
      </c>
      <c r="L8" s="485">
        <f>C8+F8+I8</f>
        <v>11400</v>
      </c>
      <c r="M8" s="486">
        <f>E8+H8+K8</f>
        <v>478000</v>
      </c>
      <c r="N8" s="487" t="s">
        <v>134</v>
      </c>
    </row>
    <row r="9" spans="1:14" s="111" customFormat="1" ht="15.75" customHeight="1">
      <c r="A9" s="488" t="s">
        <v>174</v>
      </c>
      <c r="B9" s="489" t="s">
        <v>177</v>
      </c>
      <c r="C9" s="490">
        <v>2000</v>
      </c>
      <c r="D9" s="491">
        <v>85</v>
      </c>
      <c r="E9" s="492">
        <f t="shared" ref="E9:E16" si="0">C9*D9</f>
        <v>170000</v>
      </c>
      <c r="F9" s="493">
        <v>200</v>
      </c>
      <c r="G9" s="494">
        <v>50</v>
      </c>
      <c r="H9" s="495">
        <f t="shared" ref="H9:H16" si="1">F9*G9</f>
        <v>10000</v>
      </c>
      <c r="I9" s="496">
        <v>200</v>
      </c>
      <c r="J9" s="497">
        <v>50</v>
      </c>
      <c r="K9" s="498">
        <f t="shared" ref="K9:K16" si="2">I9*J9</f>
        <v>10000</v>
      </c>
      <c r="L9" s="499">
        <f>C9+F9+I9</f>
        <v>2400</v>
      </c>
      <c r="M9" s="486">
        <f>E9+H9+K9</f>
        <v>190000</v>
      </c>
      <c r="N9" s="500" t="s">
        <v>134</v>
      </c>
    </row>
    <row r="10" spans="1:14" s="111" customFormat="1" ht="15.75" customHeight="1">
      <c r="A10" s="488" t="s">
        <v>175</v>
      </c>
      <c r="B10" s="489" t="s">
        <v>9</v>
      </c>
      <c r="C10" s="490">
        <v>6200</v>
      </c>
      <c r="D10" s="491">
        <v>35</v>
      </c>
      <c r="E10" s="492">
        <f t="shared" si="0"/>
        <v>217000</v>
      </c>
      <c r="F10" s="493">
        <v>400</v>
      </c>
      <c r="G10" s="494">
        <v>35</v>
      </c>
      <c r="H10" s="495">
        <f t="shared" si="1"/>
        <v>14000</v>
      </c>
      <c r="I10" s="496">
        <v>600</v>
      </c>
      <c r="J10" s="497">
        <v>35</v>
      </c>
      <c r="K10" s="498">
        <f t="shared" si="2"/>
        <v>21000</v>
      </c>
      <c r="L10" s="499">
        <f>C10+F10+I10</f>
        <v>7200</v>
      </c>
      <c r="M10" s="486">
        <f>E10+H10+K10</f>
        <v>252000</v>
      </c>
      <c r="N10" s="500" t="s">
        <v>134</v>
      </c>
    </row>
    <row r="11" spans="1:14" s="111" customFormat="1" ht="15.75" customHeight="1" thickBot="1">
      <c r="A11" s="501"/>
      <c r="B11" s="502" t="s">
        <v>178</v>
      </c>
      <c r="C11" s="503">
        <v>1800</v>
      </c>
      <c r="D11" s="504">
        <v>20</v>
      </c>
      <c r="E11" s="505">
        <f t="shared" si="0"/>
        <v>36000</v>
      </c>
      <c r="F11" s="506">
        <v>0</v>
      </c>
      <c r="G11" s="507">
        <v>0</v>
      </c>
      <c r="H11" s="508">
        <f t="shared" si="1"/>
        <v>0</v>
      </c>
      <c r="I11" s="509">
        <v>0</v>
      </c>
      <c r="J11" s="510">
        <v>0</v>
      </c>
      <c r="K11" s="511">
        <f t="shared" si="2"/>
        <v>0</v>
      </c>
      <c r="L11" s="512">
        <f>C11+F11+I11</f>
        <v>1800</v>
      </c>
      <c r="M11" s="513">
        <f>E11+H11+K11</f>
        <v>36000</v>
      </c>
      <c r="N11" s="514" t="s">
        <v>134</v>
      </c>
    </row>
    <row r="12" spans="1:14" s="115" customFormat="1" ht="15.75" customHeight="1">
      <c r="A12" s="700" t="s">
        <v>173</v>
      </c>
      <c r="B12" s="701"/>
      <c r="C12" s="269"/>
      <c r="D12" s="270"/>
      <c r="E12" s="271">
        <f t="shared" si="0"/>
        <v>0</v>
      </c>
      <c r="F12" s="272"/>
      <c r="G12" s="273"/>
      <c r="H12" s="274">
        <f t="shared" si="1"/>
        <v>0</v>
      </c>
      <c r="I12" s="275"/>
      <c r="J12" s="276"/>
      <c r="K12" s="277">
        <f t="shared" si="2"/>
        <v>0</v>
      </c>
      <c r="L12" s="278">
        <f>SUM(C12+F12+I12)</f>
        <v>0</v>
      </c>
      <c r="M12" s="279">
        <f>SUM(E12+H12+K12)</f>
        <v>0</v>
      </c>
      <c r="N12" s="354"/>
    </row>
    <row r="13" spans="1:14" s="111" customFormat="1" ht="15.75" customHeight="1">
      <c r="A13" s="261"/>
      <c r="B13" s="112"/>
      <c r="C13" s="280"/>
      <c r="D13" s="281"/>
      <c r="E13" s="271">
        <f t="shared" si="0"/>
        <v>0</v>
      </c>
      <c r="F13" s="282"/>
      <c r="G13" s="283"/>
      <c r="H13" s="274">
        <f t="shared" si="1"/>
        <v>0</v>
      </c>
      <c r="I13" s="285"/>
      <c r="J13" s="286"/>
      <c r="K13" s="277">
        <f t="shared" si="2"/>
        <v>0</v>
      </c>
      <c r="L13" s="278">
        <f>SUM(C13+F13+I13)</f>
        <v>0</v>
      </c>
      <c r="M13" s="279">
        <f t="shared" ref="M13:M19" si="3">SUM(E13+H13+K13)</f>
        <v>0</v>
      </c>
      <c r="N13" s="355"/>
    </row>
    <row r="14" spans="1:14" s="111" customFormat="1" ht="15.75" customHeight="1">
      <c r="A14" s="261"/>
      <c r="B14" s="112"/>
      <c r="C14" s="280"/>
      <c r="D14" s="281"/>
      <c r="E14" s="271">
        <f t="shared" si="0"/>
        <v>0</v>
      </c>
      <c r="F14" s="291"/>
      <c r="G14" s="292"/>
      <c r="H14" s="274">
        <f t="shared" si="1"/>
        <v>0</v>
      </c>
      <c r="I14" s="294"/>
      <c r="J14" s="295"/>
      <c r="K14" s="277">
        <f t="shared" si="2"/>
        <v>0</v>
      </c>
      <c r="L14" s="278">
        <f>SUM(C14+F14+I14)</f>
        <v>0</v>
      </c>
      <c r="M14" s="279">
        <f t="shared" si="3"/>
        <v>0</v>
      </c>
      <c r="N14" s="355"/>
    </row>
    <row r="15" spans="1:14" s="111" customFormat="1" ht="15.75" customHeight="1">
      <c r="A15" s="261"/>
      <c r="B15" s="112"/>
      <c r="C15" s="280"/>
      <c r="D15" s="281"/>
      <c r="E15" s="271">
        <f t="shared" si="0"/>
        <v>0</v>
      </c>
      <c r="F15" s="291"/>
      <c r="G15" s="292"/>
      <c r="H15" s="274">
        <f t="shared" si="1"/>
        <v>0</v>
      </c>
      <c r="I15" s="294"/>
      <c r="J15" s="295"/>
      <c r="K15" s="277">
        <f t="shared" si="2"/>
        <v>0</v>
      </c>
      <c r="L15" s="278">
        <f>SUM(C15+F15+I15)</f>
        <v>0</v>
      </c>
      <c r="M15" s="279">
        <f t="shared" si="3"/>
        <v>0</v>
      </c>
      <c r="N15" s="355"/>
    </row>
    <row r="16" spans="1:14" s="111" customFormat="1" ht="15.75" customHeight="1">
      <c r="A16" s="261"/>
      <c r="B16" s="112"/>
      <c r="C16" s="280"/>
      <c r="D16" s="281"/>
      <c r="E16" s="271">
        <f t="shared" si="0"/>
        <v>0</v>
      </c>
      <c r="F16" s="291"/>
      <c r="G16" s="292"/>
      <c r="H16" s="274">
        <f t="shared" si="1"/>
        <v>0</v>
      </c>
      <c r="I16" s="294"/>
      <c r="J16" s="295"/>
      <c r="K16" s="277">
        <f t="shared" si="2"/>
        <v>0</v>
      </c>
      <c r="L16" s="278">
        <f>SUM(C16+F16+I16)</f>
        <v>0</v>
      </c>
      <c r="M16" s="279">
        <f t="shared" si="3"/>
        <v>0</v>
      </c>
      <c r="N16" s="355"/>
    </row>
    <row r="17" spans="1:14" s="115" customFormat="1" ht="15.75" customHeight="1">
      <c r="A17" s="702" t="s">
        <v>165</v>
      </c>
      <c r="B17" s="703"/>
      <c r="C17" s="288"/>
      <c r="D17" s="289"/>
      <c r="E17" s="462"/>
      <c r="F17" s="463"/>
      <c r="G17" s="464"/>
      <c r="H17" s="465"/>
      <c r="I17" s="466"/>
      <c r="J17" s="467"/>
      <c r="K17" s="468"/>
      <c r="L17" s="460"/>
      <c r="M17" s="461"/>
      <c r="N17" s="356"/>
    </row>
    <row r="18" spans="1:14" s="111" customFormat="1" ht="15.75" customHeight="1">
      <c r="A18" s="261"/>
      <c r="B18" s="112"/>
      <c r="C18" s="280"/>
      <c r="D18" s="281"/>
      <c r="E18" s="462">
        <f>C18*D18</f>
        <v>0</v>
      </c>
      <c r="F18" s="291"/>
      <c r="G18" s="292"/>
      <c r="H18" s="465">
        <f>F18*G18</f>
        <v>0</v>
      </c>
      <c r="I18" s="294"/>
      <c r="J18" s="295"/>
      <c r="K18" s="468">
        <f>I18*J18</f>
        <v>0</v>
      </c>
      <c r="L18" s="460">
        <f>SUM(C18+F18+I18)</f>
        <v>0</v>
      </c>
      <c r="M18" s="461">
        <f t="shared" si="3"/>
        <v>0</v>
      </c>
      <c r="N18" s="355"/>
    </row>
    <row r="19" spans="1:14" s="111" customFormat="1" ht="15.75" customHeight="1">
      <c r="A19" s="261"/>
      <c r="B19" s="112"/>
      <c r="C19" s="280"/>
      <c r="D19" s="281"/>
      <c r="E19" s="462">
        <f>C19*D19</f>
        <v>0</v>
      </c>
      <c r="F19" s="291"/>
      <c r="G19" s="292"/>
      <c r="H19" s="465">
        <f>F19*G19</f>
        <v>0</v>
      </c>
      <c r="I19" s="294"/>
      <c r="J19" s="295"/>
      <c r="K19" s="468">
        <f>I19*J19</f>
        <v>0</v>
      </c>
      <c r="L19" s="460">
        <f>SUM(C19+F19+I19)</f>
        <v>0</v>
      </c>
      <c r="M19" s="461">
        <f t="shared" si="3"/>
        <v>0</v>
      </c>
      <c r="N19" s="355"/>
    </row>
    <row r="20" spans="1:14" s="115" customFormat="1" ht="15.75" customHeight="1">
      <c r="A20" s="702" t="s">
        <v>166</v>
      </c>
      <c r="B20" s="703"/>
      <c r="C20" s="288"/>
      <c r="D20" s="289"/>
      <c r="E20" s="462"/>
      <c r="F20" s="463"/>
      <c r="G20" s="464"/>
      <c r="H20" s="465"/>
      <c r="I20" s="466"/>
      <c r="J20" s="467"/>
      <c r="K20" s="468"/>
      <c r="L20" s="460"/>
      <c r="M20" s="461"/>
      <c r="N20" s="356"/>
    </row>
    <row r="21" spans="1:14" s="111" customFormat="1" ht="15.75" customHeight="1">
      <c r="A21" s="262" t="s">
        <v>167</v>
      </c>
      <c r="B21" s="112"/>
      <c r="C21" s="280"/>
      <c r="D21" s="281"/>
      <c r="E21" s="290">
        <f>C21*D21</f>
        <v>0</v>
      </c>
      <c r="F21" s="291"/>
      <c r="G21" s="292"/>
      <c r="H21" s="293">
        <f>F21*G21</f>
        <v>0</v>
      </c>
      <c r="I21" s="294"/>
      <c r="J21" s="295"/>
      <c r="K21" s="296">
        <f>I21*J21</f>
        <v>0</v>
      </c>
      <c r="L21" s="460">
        <f>SUM(C21+F21+I21)</f>
        <v>0</v>
      </c>
      <c r="M21" s="461">
        <f>SUM(E21+H21+K21)</f>
        <v>0</v>
      </c>
      <c r="N21" s="355"/>
    </row>
    <row r="22" spans="1:14" s="111" customFormat="1" ht="15.75" customHeight="1">
      <c r="A22" s="262"/>
      <c r="B22" s="112"/>
      <c r="C22" s="280"/>
      <c r="D22" s="281"/>
      <c r="E22" s="290"/>
      <c r="F22" s="291"/>
      <c r="G22" s="292"/>
      <c r="H22" s="293"/>
      <c r="I22" s="294"/>
      <c r="J22" s="295"/>
      <c r="K22" s="296"/>
      <c r="L22" s="460"/>
      <c r="M22" s="461"/>
      <c r="N22" s="355"/>
    </row>
    <row r="23" spans="1:14" s="111" customFormat="1" ht="15.75" customHeight="1">
      <c r="A23" s="262"/>
      <c r="B23" s="112"/>
      <c r="C23" s="280"/>
      <c r="D23" s="281"/>
      <c r="E23" s="290"/>
      <c r="F23" s="291"/>
      <c r="G23" s="292"/>
      <c r="H23" s="293"/>
      <c r="I23" s="294"/>
      <c r="J23" s="295"/>
      <c r="K23" s="296"/>
      <c r="L23" s="460"/>
      <c r="M23" s="461"/>
      <c r="N23" s="355"/>
    </row>
    <row r="24" spans="1:14" s="111" customFormat="1" ht="15.75" customHeight="1">
      <c r="A24" s="262"/>
      <c r="B24" s="112"/>
      <c r="C24" s="280"/>
      <c r="D24" s="281"/>
      <c r="E24" s="290"/>
      <c r="F24" s="291"/>
      <c r="G24" s="292"/>
      <c r="H24" s="293"/>
      <c r="I24" s="294"/>
      <c r="J24" s="295"/>
      <c r="K24" s="296"/>
      <c r="L24" s="460"/>
      <c r="M24" s="461"/>
      <c r="N24" s="355"/>
    </row>
    <row r="25" spans="1:14" s="111" customFormat="1" ht="15.75" customHeight="1">
      <c r="A25" s="262"/>
      <c r="B25" s="112"/>
      <c r="C25" s="280"/>
      <c r="D25" s="281"/>
      <c r="E25" s="290"/>
      <c r="F25" s="291"/>
      <c r="G25" s="292"/>
      <c r="H25" s="293"/>
      <c r="I25" s="294"/>
      <c r="J25" s="295"/>
      <c r="K25" s="296"/>
      <c r="L25" s="460"/>
      <c r="M25" s="461"/>
      <c r="N25" s="355"/>
    </row>
    <row r="26" spans="1:14" s="111" customFormat="1" ht="15.75" customHeight="1">
      <c r="A26" s="262"/>
      <c r="B26" s="112"/>
      <c r="C26" s="280"/>
      <c r="D26" s="281"/>
      <c r="E26" s="290"/>
      <c r="F26" s="291"/>
      <c r="G26" s="292"/>
      <c r="H26" s="293"/>
      <c r="I26" s="294"/>
      <c r="J26" s="295"/>
      <c r="K26" s="296"/>
      <c r="L26" s="460"/>
      <c r="M26" s="461"/>
      <c r="N26" s="355"/>
    </row>
    <row r="27" spans="1:14" s="111" customFormat="1" ht="15.75" customHeight="1">
      <c r="A27" s="262"/>
      <c r="B27" s="112"/>
      <c r="C27" s="280"/>
      <c r="D27" s="281"/>
      <c r="E27" s="290"/>
      <c r="F27" s="291"/>
      <c r="G27" s="292"/>
      <c r="H27" s="293"/>
      <c r="I27" s="294"/>
      <c r="J27" s="295"/>
      <c r="K27" s="296"/>
      <c r="L27" s="460"/>
      <c r="M27" s="461"/>
      <c r="N27" s="355"/>
    </row>
    <row r="28" spans="1:14" s="111" customFormat="1" ht="15.75" customHeight="1">
      <c r="A28" s="262"/>
      <c r="B28" s="112"/>
      <c r="C28" s="280"/>
      <c r="D28" s="281"/>
      <c r="E28" s="290"/>
      <c r="F28" s="291"/>
      <c r="G28" s="292"/>
      <c r="H28" s="293"/>
      <c r="I28" s="294"/>
      <c r="J28" s="295"/>
      <c r="K28" s="296"/>
      <c r="L28" s="460"/>
      <c r="M28" s="461"/>
      <c r="N28" s="355"/>
    </row>
    <row r="29" spans="1:14" s="111" customFormat="1" ht="15.75" customHeight="1">
      <c r="A29" s="262"/>
      <c r="B29" s="112"/>
      <c r="C29" s="280"/>
      <c r="D29" s="281"/>
      <c r="E29" s="290"/>
      <c r="F29" s="291"/>
      <c r="G29" s="292"/>
      <c r="H29" s="293"/>
      <c r="I29" s="294"/>
      <c r="J29" s="295"/>
      <c r="K29" s="296"/>
      <c r="L29" s="460"/>
      <c r="M29" s="461"/>
      <c r="N29" s="355"/>
    </row>
    <row r="30" spans="1:14" s="111" customFormat="1" ht="15.75" customHeight="1">
      <c r="A30" s="262"/>
      <c r="B30" s="112"/>
      <c r="C30" s="280"/>
      <c r="D30" s="281"/>
      <c r="E30" s="290"/>
      <c r="F30" s="291"/>
      <c r="G30" s="292"/>
      <c r="H30" s="293"/>
      <c r="I30" s="294"/>
      <c r="J30" s="295"/>
      <c r="K30" s="296"/>
      <c r="L30" s="460"/>
      <c r="M30" s="461"/>
      <c r="N30" s="355"/>
    </row>
    <row r="31" spans="1:14" s="111" customFormat="1" ht="15.75" customHeight="1">
      <c r="A31" s="262"/>
      <c r="B31" s="112"/>
      <c r="C31" s="280"/>
      <c r="D31" s="281"/>
      <c r="E31" s="290"/>
      <c r="F31" s="291"/>
      <c r="G31" s="292"/>
      <c r="H31" s="293"/>
      <c r="I31" s="294"/>
      <c r="J31" s="295"/>
      <c r="K31" s="296"/>
      <c r="L31" s="460"/>
      <c r="M31" s="461"/>
      <c r="N31" s="355"/>
    </row>
    <row r="32" spans="1:14" s="111" customFormat="1" ht="15.75" customHeight="1">
      <c r="A32" s="262"/>
      <c r="B32" s="112"/>
      <c r="C32" s="280"/>
      <c r="D32" s="281"/>
      <c r="E32" s="290"/>
      <c r="F32" s="291"/>
      <c r="G32" s="292"/>
      <c r="H32" s="293"/>
      <c r="I32" s="294"/>
      <c r="J32" s="295"/>
      <c r="K32" s="296"/>
      <c r="L32" s="460"/>
      <c r="M32" s="461"/>
      <c r="N32" s="355"/>
    </row>
    <row r="33" spans="1:14" s="111" customFormat="1" ht="15.75" customHeight="1">
      <c r="A33" s="262"/>
      <c r="B33" s="112"/>
      <c r="C33" s="280"/>
      <c r="D33" s="281"/>
      <c r="E33" s="290"/>
      <c r="F33" s="291"/>
      <c r="G33" s="292"/>
      <c r="H33" s="293"/>
      <c r="I33" s="294"/>
      <c r="J33" s="295"/>
      <c r="K33" s="296"/>
      <c r="L33" s="460"/>
      <c r="M33" s="461"/>
      <c r="N33" s="355"/>
    </row>
    <row r="34" spans="1:14" s="111" customFormat="1" ht="15.75" customHeight="1">
      <c r="A34" s="262"/>
      <c r="B34" s="112"/>
      <c r="C34" s="280"/>
      <c r="D34" s="281"/>
      <c r="E34" s="290"/>
      <c r="F34" s="291"/>
      <c r="G34" s="292"/>
      <c r="H34" s="293"/>
      <c r="I34" s="294"/>
      <c r="J34" s="295"/>
      <c r="K34" s="296"/>
      <c r="L34" s="460"/>
      <c r="M34" s="461"/>
      <c r="N34" s="355"/>
    </row>
    <row r="35" spans="1:14" s="111" customFormat="1" ht="15.75" customHeight="1">
      <c r="A35" s="262"/>
      <c r="B35" s="112"/>
      <c r="C35" s="280"/>
      <c r="D35" s="281"/>
      <c r="E35" s="290"/>
      <c r="F35" s="291"/>
      <c r="G35" s="292"/>
      <c r="H35" s="293"/>
      <c r="I35" s="294"/>
      <c r="J35" s="295"/>
      <c r="K35" s="296"/>
      <c r="L35" s="460"/>
      <c r="M35" s="461"/>
      <c r="N35" s="355"/>
    </row>
    <row r="36" spans="1:14" s="111" customFormat="1" ht="15.75" customHeight="1">
      <c r="A36" s="262"/>
      <c r="B36" s="112"/>
      <c r="C36" s="280"/>
      <c r="D36" s="281"/>
      <c r="E36" s="290"/>
      <c r="F36" s="291"/>
      <c r="G36" s="292"/>
      <c r="H36" s="293"/>
      <c r="I36" s="294"/>
      <c r="J36" s="295"/>
      <c r="K36" s="296"/>
      <c r="L36" s="460"/>
      <c r="M36" s="461"/>
      <c r="N36" s="355"/>
    </row>
    <row r="37" spans="1:14" s="111" customFormat="1" ht="15.75" customHeight="1">
      <c r="A37" s="262"/>
      <c r="B37" s="112"/>
      <c r="C37" s="280"/>
      <c r="D37" s="281"/>
      <c r="E37" s="290"/>
      <c r="F37" s="291"/>
      <c r="G37" s="292"/>
      <c r="H37" s="293"/>
      <c r="I37" s="294"/>
      <c r="J37" s="295"/>
      <c r="K37" s="296"/>
      <c r="L37" s="460"/>
      <c r="M37" s="461"/>
      <c r="N37" s="355"/>
    </row>
    <row r="38" spans="1:14" s="111" customFormat="1" ht="15.75" customHeight="1">
      <c r="A38" s="262"/>
      <c r="B38" s="112"/>
      <c r="C38" s="280"/>
      <c r="D38" s="281"/>
      <c r="E38" s="290"/>
      <c r="F38" s="291"/>
      <c r="G38" s="292"/>
      <c r="H38" s="293"/>
      <c r="I38" s="294"/>
      <c r="J38" s="295"/>
      <c r="K38" s="296"/>
      <c r="L38" s="460"/>
      <c r="M38" s="461"/>
      <c r="N38" s="355"/>
    </row>
    <row r="39" spans="1:14" s="111" customFormat="1" ht="15.75" customHeight="1">
      <c r="A39" s="262"/>
      <c r="B39" s="112"/>
      <c r="C39" s="280"/>
      <c r="D39" s="281"/>
      <c r="E39" s="290"/>
      <c r="F39" s="291"/>
      <c r="G39" s="292"/>
      <c r="H39" s="293"/>
      <c r="I39" s="294"/>
      <c r="J39" s="295"/>
      <c r="K39" s="296"/>
      <c r="L39" s="460"/>
      <c r="M39" s="461"/>
      <c r="N39" s="355"/>
    </row>
    <row r="40" spans="1:14" s="111" customFormat="1" ht="15.75" customHeight="1">
      <c r="A40" s="262"/>
      <c r="B40" s="112"/>
      <c r="C40" s="280"/>
      <c r="D40" s="281"/>
      <c r="E40" s="290"/>
      <c r="F40" s="291"/>
      <c r="G40" s="292"/>
      <c r="H40" s="293"/>
      <c r="I40" s="294"/>
      <c r="J40" s="295"/>
      <c r="K40" s="296"/>
      <c r="L40" s="460"/>
      <c r="M40" s="461"/>
      <c r="N40" s="355"/>
    </row>
    <row r="41" spans="1:14" s="111" customFormat="1" ht="15.75" customHeight="1">
      <c r="A41" s="262"/>
      <c r="B41" s="112"/>
      <c r="C41" s="280"/>
      <c r="D41" s="281"/>
      <c r="E41" s="290"/>
      <c r="F41" s="291"/>
      <c r="G41" s="292"/>
      <c r="H41" s="293"/>
      <c r="I41" s="294"/>
      <c r="J41" s="295"/>
      <c r="K41" s="296"/>
      <c r="L41" s="460"/>
      <c r="M41" s="461"/>
      <c r="N41" s="355"/>
    </row>
    <row r="42" spans="1:14" s="111" customFormat="1" ht="15.75" customHeight="1">
      <c r="A42" s="262"/>
      <c r="B42" s="112"/>
      <c r="C42" s="280"/>
      <c r="D42" s="281"/>
      <c r="E42" s="290"/>
      <c r="F42" s="291"/>
      <c r="G42" s="292"/>
      <c r="H42" s="293"/>
      <c r="I42" s="294"/>
      <c r="J42" s="295"/>
      <c r="K42" s="296"/>
      <c r="L42" s="460"/>
      <c r="M42" s="461"/>
      <c r="N42" s="355"/>
    </row>
    <row r="43" spans="1:14" s="111" customFormat="1" ht="15.75" customHeight="1">
      <c r="A43" s="262"/>
      <c r="B43" s="112"/>
      <c r="C43" s="280"/>
      <c r="D43" s="281"/>
      <c r="E43" s="290"/>
      <c r="F43" s="291"/>
      <c r="G43" s="292"/>
      <c r="H43" s="293"/>
      <c r="I43" s="294"/>
      <c r="J43" s="295"/>
      <c r="K43" s="296"/>
      <c r="L43" s="460"/>
      <c r="M43" s="461"/>
      <c r="N43" s="355"/>
    </row>
    <row r="44" spans="1:14" s="111" customFormat="1" ht="15.75" customHeight="1">
      <c r="A44" s="262"/>
      <c r="B44" s="112"/>
      <c r="C44" s="280"/>
      <c r="D44" s="281"/>
      <c r="E44" s="290"/>
      <c r="F44" s="291"/>
      <c r="G44" s="292"/>
      <c r="H44" s="293"/>
      <c r="I44" s="294"/>
      <c r="J44" s="295"/>
      <c r="K44" s="296"/>
      <c r="L44" s="460"/>
      <c r="M44" s="461"/>
      <c r="N44" s="355"/>
    </row>
    <row r="45" spans="1:14" s="111" customFormat="1" ht="15.75" customHeight="1">
      <c r="A45" s="262"/>
      <c r="B45" s="112"/>
      <c r="C45" s="280"/>
      <c r="D45" s="281"/>
      <c r="E45" s="290"/>
      <c r="F45" s="291"/>
      <c r="G45" s="292"/>
      <c r="H45" s="293"/>
      <c r="I45" s="294"/>
      <c r="J45" s="295"/>
      <c r="K45" s="296"/>
      <c r="L45" s="460"/>
      <c r="M45" s="461"/>
      <c r="N45" s="355"/>
    </row>
    <row r="46" spans="1:14" s="111" customFormat="1" ht="15.75" customHeight="1">
      <c r="A46" s="262"/>
      <c r="B46" s="112"/>
      <c r="C46" s="280"/>
      <c r="D46" s="281"/>
      <c r="E46" s="290"/>
      <c r="F46" s="291"/>
      <c r="G46" s="292"/>
      <c r="H46" s="293"/>
      <c r="I46" s="294"/>
      <c r="J46" s="295"/>
      <c r="K46" s="296"/>
      <c r="L46" s="460"/>
      <c r="M46" s="461"/>
      <c r="N46" s="355"/>
    </row>
    <row r="47" spans="1:14" s="111" customFormat="1" ht="15.75" customHeight="1">
      <c r="A47" s="262"/>
      <c r="B47" s="112"/>
      <c r="C47" s="280"/>
      <c r="D47" s="281"/>
      <c r="E47" s="290"/>
      <c r="F47" s="291"/>
      <c r="G47" s="292"/>
      <c r="H47" s="293"/>
      <c r="I47" s="294"/>
      <c r="J47" s="295"/>
      <c r="K47" s="296"/>
      <c r="L47" s="460"/>
      <c r="M47" s="461"/>
      <c r="N47" s="355"/>
    </row>
    <row r="48" spans="1:14" s="111" customFormat="1" ht="15.75" customHeight="1">
      <c r="A48" s="263"/>
      <c r="B48" s="112"/>
      <c r="C48" s="280"/>
      <c r="D48" s="281"/>
      <c r="E48" s="290"/>
      <c r="F48" s="291"/>
      <c r="G48" s="292"/>
      <c r="H48" s="293"/>
      <c r="I48" s="294"/>
      <c r="J48" s="295"/>
      <c r="K48" s="296"/>
      <c r="L48" s="460"/>
      <c r="M48" s="461"/>
      <c r="N48" s="355"/>
    </row>
    <row r="49" spans="1:14" s="111" customFormat="1" ht="15.75" customHeight="1">
      <c r="A49" s="263"/>
      <c r="B49" s="112"/>
      <c r="C49" s="280"/>
      <c r="D49" s="281"/>
      <c r="E49" s="290"/>
      <c r="F49" s="291"/>
      <c r="G49" s="292"/>
      <c r="H49" s="293"/>
      <c r="I49" s="294"/>
      <c r="J49" s="295"/>
      <c r="K49" s="296"/>
      <c r="L49" s="460"/>
      <c r="M49" s="461"/>
      <c r="N49" s="355"/>
    </row>
    <row r="50" spans="1:14" s="111" customFormat="1" ht="15.75" customHeight="1">
      <c r="A50" s="263"/>
      <c r="B50" s="112"/>
      <c r="C50" s="280"/>
      <c r="D50" s="281"/>
      <c r="E50" s="290"/>
      <c r="F50" s="291"/>
      <c r="G50" s="292"/>
      <c r="H50" s="293"/>
      <c r="I50" s="294"/>
      <c r="J50" s="295"/>
      <c r="K50" s="296"/>
      <c r="L50" s="460"/>
      <c r="M50" s="461"/>
      <c r="N50" s="355"/>
    </row>
    <row r="51" spans="1:14" s="111" customFormat="1" ht="15.75" customHeight="1">
      <c r="A51" s="263"/>
      <c r="B51" s="112"/>
      <c r="C51" s="280"/>
      <c r="D51" s="281"/>
      <c r="E51" s="290"/>
      <c r="F51" s="291"/>
      <c r="G51" s="292"/>
      <c r="H51" s="293"/>
      <c r="I51" s="294"/>
      <c r="J51" s="295"/>
      <c r="K51" s="296"/>
      <c r="L51" s="460"/>
      <c r="M51" s="461"/>
      <c r="N51" s="355"/>
    </row>
    <row r="52" spans="1:14" s="111" customFormat="1" ht="15.75" customHeight="1">
      <c r="A52" s="263"/>
      <c r="B52" s="112"/>
      <c r="C52" s="280"/>
      <c r="D52" s="281"/>
      <c r="E52" s="290"/>
      <c r="F52" s="291"/>
      <c r="G52" s="292"/>
      <c r="H52" s="293"/>
      <c r="I52" s="294"/>
      <c r="J52" s="295"/>
      <c r="K52" s="296"/>
      <c r="L52" s="460"/>
      <c r="M52" s="461"/>
      <c r="N52" s="355"/>
    </row>
    <row r="53" spans="1:14" s="111" customFormat="1" ht="15.75" customHeight="1">
      <c r="A53" s="263"/>
      <c r="B53" s="112"/>
      <c r="C53" s="280"/>
      <c r="D53" s="281"/>
      <c r="E53" s="290"/>
      <c r="F53" s="291"/>
      <c r="G53" s="292"/>
      <c r="H53" s="293"/>
      <c r="I53" s="294"/>
      <c r="J53" s="295"/>
      <c r="K53" s="296"/>
      <c r="L53" s="460"/>
      <c r="M53" s="461"/>
      <c r="N53" s="355"/>
    </row>
    <row r="54" spans="1:14" s="111" customFormat="1" ht="15.75" customHeight="1">
      <c r="A54" s="263"/>
      <c r="B54" s="112"/>
      <c r="C54" s="280"/>
      <c r="D54" s="281"/>
      <c r="E54" s="290"/>
      <c r="F54" s="291"/>
      <c r="G54" s="292"/>
      <c r="H54" s="293"/>
      <c r="I54" s="294"/>
      <c r="J54" s="295"/>
      <c r="K54" s="296"/>
      <c r="L54" s="460"/>
      <c r="M54" s="461"/>
      <c r="N54" s="355"/>
    </row>
    <row r="55" spans="1:14" s="111" customFormat="1" ht="15.75" customHeight="1">
      <c r="A55" s="263"/>
      <c r="B55" s="112"/>
      <c r="C55" s="280"/>
      <c r="D55" s="281"/>
      <c r="E55" s="290"/>
      <c r="F55" s="291"/>
      <c r="G55" s="292"/>
      <c r="H55" s="293"/>
      <c r="I55" s="294"/>
      <c r="J55" s="295"/>
      <c r="K55" s="296"/>
      <c r="L55" s="460"/>
      <c r="M55" s="461"/>
      <c r="N55" s="355"/>
    </row>
    <row r="56" spans="1:14" s="111" customFormat="1" ht="15.75" customHeight="1">
      <c r="A56" s="263"/>
      <c r="B56" s="112"/>
      <c r="C56" s="280"/>
      <c r="D56" s="281"/>
      <c r="E56" s="290"/>
      <c r="F56" s="291"/>
      <c r="G56" s="292"/>
      <c r="H56" s="293"/>
      <c r="I56" s="294"/>
      <c r="J56" s="295"/>
      <c r="K56" s="296"/>
      <c r="L56" s="460"/>
      <c r="M56" s="461"/>
      <c r="N56" s="355"/>
    </row>
    <row r="57" spans="1:14" s="111" customFormat="1" ht="15.75" customHeight="1">
      <c r="A57" s="263"/>
      <c r="B57" s="112"/>
      <c r="C57" s="280"/>
      <c r="D57" s="281"/>
      <c r="E57" s="290"/>
      <c r="F57" s="291"/>
      <c r="G57" s="292"/>
      <c r="H57" s="293"/>
      <c r="I57" s="294"/>
      <c r="J57" s="295"/>
      <c r="K57" s="296"/>
      <c r="L57" s="460"/>
      <c r="M57" s="461"/>
      <c r="N57" s="355"/>
    </row>
    <row r="58" spans="1:14" s="111" customFormat="1" ht="15.75" customHeight="1">
      <c r="A58" s="263"/>
      <c r="B58" s="112"/>
      <c r="C58" s="280"/>
      <c r="D58" s="281"/>
      <c r="E58" s="290"/>
      <c r="F58" s="291"/>
      <c r="G58" s="292"/>
      <c r="H58" s="293"/>
      <c r="I58" s="294"/>
      <c r="J58" s="295"/>
      <c r="K58" s="296"/>
      <c r="L58" s="460"/>
      <c r="M58" s="461"/>
      <c r="N58" s="355"/>
    </row>
    <row r="59" spans="1:14" s="111" customFormat="1" ht="15.75" customHeight="1">
      <c r="A59" s="263"/>
      <c r="B59" s="112"/>
      <c r="C59" s="280"/>
      <c r="D59" s="281"/>
      <c r="E59" s="290"/>
      <c r="F59" s="291"/>
      <c r="G59" s="292"/>
      <c r="H59" s="293"/>
      <c r="I59" s="294"/>
      <c r="J59" s="295"/>
      <c r="K59" s="296"/>
      <c r="L59" s="460"/>
      <c r="M59" s="461"/>
      <c r="N59" s="355"/>
    </row>
    <row r="60" spans="1:14" s="111" customFormat="1" ht="15.75" customHeight="1">
      <c r="A60" s="263"/>
      <c r="B60" s="112"/>
      <c r="C60" s="280"/>
      <c r="D60" s="281"/>
      <c r="E60" s="290"/>
      <c r="F60" s="291"/>
      <c r="G60" s="292"/>
      <c r="H60" s="293"/>
      <c r="I60" s="294"/>
      <c r="J60" s="295"/>
      <c r="K60" s="296"/>
      <c r="L60" s="460"/>
      <c r="M60" s="461"/>
      <c r="N60" s="355"/>
    </row>
    <row r="61" spans="1:14" s="111" customFormat="1" ht="15.75" customHeight="1">
      <c r="A61" s="263"/>
      <c r="B61" s="112"/>
      <c r="C61" s="280"/>
      <c r="D61" s="281"/>
      <c r="E61" s="290"/>
      <c r="F61" s="291"/>
      <c r="G61" s="292"/>
      <c r="H61" s="293"/>
      <c r="I61" s="294"/>
      <c r="J61" s="295"/>
      <c r="K61" s="296"/>
      <c r="L61" s="460"/>
      <c r="M61" s="461"/>
      <c r="N61" s="355"/>
    </row>
    <row r="62" spans="1:14" s="111" customFormat="1" ht="15.75" customHeight="1">
      <c r="A62" s="263"/>
      <c r="B62" s="112"/>
      <c r="C62" s="280"/>
      <c r="D62" s="281"/>
      <c r="E62" s="290"/>
      <c r="F62" s="291"/>
      <c r="G62" s="292"/>
      <c r="H62" s="293"/>
      <c r="I62" s="294"/>
      <c r="J62" s="295"/>
      <c r="K62" s="296"/>
      <c r="L62" s="460"/>
      <c r="M62" s="461"/>
      <c r="N62" s="355"/>
    </row>
    <row r="63" spans="1:14" s="111" customFormat="1" ht="15.75" customHeight="1">
      <c r="A63" s="263"/>
      <c r="B63" s="112"/>
      <c r="C63" s="280"/>
      <c r="D63" s="281"/>
      <c r="E63" s="290"/>
      <c r="F63" s="291"/>
      <c r="G63" s="292"/>
      <c r="H63" s="293"/>
      <c r="I63" s="294"/>
      <c r="J63" s="295"/>
      <c r="K63" s="296"/>
      <c r="L63" s="460"/>
      <c r="M63" s="461"/>
      <c r="N63" s="355"/>
    </row>
    <row r="64" spans="1:14" s="111" customFormat="1" ht="15.75" customHeight="1" thickBot="1">
      <c r="A64" s="116"/>
      <c r="B64" s="113"/>
      <c r="C64" s="297"/>
      <c r="D64" s="298"/>
      <c r="E64" s="299"/>
      <c r="F64" s="300"/>
      <c r="G64" s="301"/>
      <c r="H64" s="302"/>
      <c r="I64" s="303"/>
      <c r="J64" s="304"/>
      <c r="K64" s="305"/>
      <c r="L64" s="278"/>
      <c r="M64" s="279"/>
      <c r="N64" s="357"/>
    </row>
    <row r="65" spans="1:14" s="115" customFormat="1" ht="15.75" customHeight="1" thickBot="1">
      <c r="A65" s="160"/>
      <c r="B65" s="268" t="s">
        <v>135</v>
      </c>
      <c r="C65" s="306">
        <f>SUM(C12:C64)</f>
        <v>0</v>
      </c>
      <c r="D65" s="306"/>
      <c r="E65" s="307">
        <f>SUM(E12:E64)</f>
        <v>0</v>
      </c>
      <c r="F65" s="308">
        <f>SUM(F12:F64)</f>
        <v>0</v>
      </c>
      <c r="G65" s="309"/>
      <c r="H65" s="310">
        <f>SUM(H12:H64)</f>
        <v>0</v>
      </c>
      <c r="I65" s="311">
        <f>SUM(I12:I64)</f>
        <v>0</v>
      </c>
      <c r="J65" s="312"/>
      <c r="K65" s="313">
        <f>SUM(K12:K64)</f>
        <v>0</v>
      </c>
      <c r="L65" s="314">
        <f>J65+G65+D65</f>
        <v>0</v>
      </c>
      <c r="M65" s="315">
        <f>K65+H65+E65</f>
        <v>0</v>
      </c>
      <c r="N65" s="316"/>
    </row>
    <row r="67" spans="1:14" ht="14.25" customHeight="1" thickBot="1">
      <c r="A67" s="693" t="s">
        <v>199</v>
      </c>
      <c r="B67" s="693"/>
      <c r="C67" s="693"/>
      <c r="D67" s="693"/>
      <c r="E67" s="8"/>
      <c r="F67" s="25"/>
    </row>
    <row r="68" spans="1:14" ht="24.75" customHeight="1">
      <c r="A68" s="661"/>
      <c r="B68" s="662"/>
      <c r="C68" s="662"/>
      <c r="D68" s="662"/>
      <c r="E68" s="662"/>
      <c r="F68" s="662"/>
      <c r="G68" s="662"/>
      <c r="H68" s="662"/>
      <c r="I68" s="662"/>
      <c r="J68" s="662"/>
      <c r="K68" s="662"/>
      <c r="L68" s="662"/>
      <c r="M68" s="662"/>
      <c r="N68" s="663"/>
    </row>
    <row r="69" spans="1:14" ht="24.75" customHeight="1">
      <c r="A69" s="664"/>
      <c r="B69" s="665"/>
      <c r="C69" s="665"/>
      <c r="D69" s="665"/>
      <c r="E69" s="665"/>
      <c r="F69" s="665"/>
      <c r="G69" s="665"/>
      <c r="H69" s="665"/>
      <c r="I69" s="665"/>
      <c r="J69" s="665"/>
      <c r="K69" s="665"/>
      <c r="L69" s="665"/>
      <c r="M69" s="665"/>
      <c r="N69" s="666"/>
    </row>
    <row r="70" spans="1:14" ht="24.75" customHeight="1" thickBot="1">
      <c r="A70" s="667"/>
      <c r="B70" s="668"/>
      <c r="C70" s="668"/>
      <c r="D70" s="668"/>
      <c r="E70" s="668"/>
      <c r="F70" s="668"/>
      <c r="G70" s="668"/>
      <c r="H70" s="668"/>
      <c r="I70" s="668"/>
      <c r="J70" s="668"/>
      <c r="K70" s="668"/>
      <c r="L70" s="668"/>
      <c r="M70" s="668"/>
      <c r="N70" s="669"/>
    </row>
  </sheetData>
  <sheetProtection formatCells="0" formatColumns="0" formatRows="0" insertRows="0" deleteRows="0"/>
  <customSheetViews>
    <customSheetView guid="{D5CEF8EB-A9A7-4458-BF65-8F18E34CBA87}" scale="85" showPageBreaks="1" fitToPage="1" printArea="1">
      <selection activeCell="L1" sqref="L1:N1"/>
      <pageMargins left="0.5" right="0.5" top="0.25" bottom="0.5" header="0.5" footer="0.25"/>
      <printOptions horizontalCentered="1"/>
      <pageSetup scale="82" fitToHeight="3" orientation="landscape" r:id="rId1"/>
      <headerFooter alignWithMargins="0">
        <oddFooter>&amp;La. Personnel&amp;R Page &amp;P of &amp;N</oddFooter>
      </headerFooter>
    </customSheetView>
    <customSheetView guid="{6588CF8C-0BB8-4786-9A46-0A2D10254132}" scale="85" showPageBreaks="1" fitToPage="1" printArea="1">
      <selection activeCell="J11" sqref="J11"/>
      <pageMargins left="0.5" right="0.5" top="0.25" bottom="0.5" header="0.5" footer="0.25"/>
      <printOptions horizontalCentered="1"/>
      <pageSetup scale="82" fitToHeight="3" orientation="landscape" r:id="rId2"/>
      <headerFooter alignWithMargins="0">
        <oddFooter>&amp;La. Personnel&amp;R Page &amp;P of &amp;N</oddFooter>
      </headerFooter>
    </customSheetView>
    <customSheetView guid="{712CE29F-EFCA-4968-A7C5-599F87319D6A}" scale="85" fitToPage="1">
      <selection activeCell="D26" sqref="D26"/>
      <pageMargins left="0.5" right="0.5" top="0.25" bottom="0.5" header="0.5" footer="0.25"/>
      <printOptions horizontalCentered="1"/>
      <pageSetup scale="82" fitToHeight="3" orientation="landscape" r:id="rId3"/>
      <headerFooter alignWithMargins="0">
        <oddFooter>&amp;La. Personnel&amp;R Page &amp;P of &amp;N</oddFooter>
      </headerFooter>
    </customSheetView>
    <customSheetView guid="{5BEC5FDE-32D0-42EF-8D2A-06DCBD4F05CC}" scale="85" showPageBreaks="1" fitToPage="1" printArea="1" topLeftCell="A8">
      <selection activeCell="D26" sqref="D26"/>
      <pageMargins left="0.5" right="0.5" top="0.25" bottom="0.5" header="0.5" footer="0.25"/>
      <printOptions horizontalCentered="1"/>
      <pageSetup scale="82" fitToHeight="3" orientation="landscape" r:id="rId4"/>
      <headerFooter alignWithMargins="0">
        <oddFooter>&amp;La. Personnel&amp;R Page &amp;P of &amp;N</oddFooter>
      </headerFooter>
    </customSheetView>
    <customSheetView guid="{D7FF18E2-A72D-4088-BD59-9D74A43C39A8}" scale="85" showPageBreaks="1" fitToPage="1" printArea="1" topLeftCell="A8">
      <selection activeCell="D26" sqref="D26"/>
      <pageMargins left="0.5" right="0.5" top="0.25" bottom="0.5" header="0.5" footer="0.25"/>
      <printOptions horizontalCentered="1"/>
      <pageSetup scale="82" fitToHeight="3" orientation="landscape" r:id="rId5"/>
      <headerFooter alignWithMargins="0">
        <oddFooter>&amp;La. Personnel&amp;R Page &amp;P of &amp;N</oddFooter>
      </headerFooter>
    </customSheetView>
  </customSheetViews>
  <mergeCells count="17">
    <mergeCell ref="A68:N70"/>
    <mergeCell ref="B6:B7"/>
    <mergeCell ref="A3:N4"/>
    <mergeCell ref="A67:D67"/>
    <mergeCell ref="A6:A7"/>
    <mergeCell ref="N6:N7"/>
    <mergeCell ref="M6:M7"/>
    <mergeCell ref="A12:B12"/>
    <mergeCell ref="A17:B17"/>
    <mergeCell ref="A20:B20"/>
    <mergeCell ref="A2:N2"/>
    <mergeCell ref="L6:L7"/>
    <mergeCell ref="L1:N1"/>
    <mergeCell ref="C6:E6"/>
    <mergeCell ref="F6:H6"/>
    <mergeCell ref="I6:K6"/>
    <mergeCell ref="A1:H1"/>
  </mergeCells>
  <phoneticPr fontId="2" type="noConversion"/>
  <printOptions horizontalCentered="1"/>
  <pageMargins left="0.5" right="0.5" top="0.25" bottom="0.5" header="0.5" footer="0.25"/>
  <pageSetup scale="82" fitToHeight="3" orientation="landscape" r:id="rId6"/>
  <headerFooter alignWithMargins="0">
    <oddFooter>&amp;La. Personnel&amp;R Page &amp;P of &amp;N</oddFooter>
  </headerFooter>
</worksheet>
</file>

<file path=xl/worksheets/sheet3.xml><?xml version="1.0" encoding="utf-8"?>
<worksheet xmlns="http://schemas.openxmlformats.org/spreadsheetml/2006/main" xmlns:r="http://schemas.openxmlformats.org/officeDocument/2006/relationships">
  <sheetPr codeName="Sheet3">
    <pageSetUpPr fitToPage="1"/>
  </sheetPr>
  <dimension ref="A1:Q86"/>
  <sheetViews>
    <sheetView zoomScaleNormal="100" workbookViewId="0">
      <selection activeCell="M6" sqref="M6"/>
    </sheetView>
  </sheetViews>
  <sheetFormatPr defaultRowHeight="12.75"/>
  <cols>
    <col min="1" max="1" width="48" style="1" customWidth="1"/>
    <col min="2" max="2" width="18.140625" style="1" bestFit="1" customWidth="1"/>
    <col min="3" max="3" width="5.7109375" style="1" bestFit="1" customWidth="1"/>
    <col min="4" max="4" width="9" style="1" bestFit="1" customWidth="1"/>
    <col min="5" max="5" width="18.140625" style="1" bestFit="1" customWidth="1"/>
    <col min="6" max="6" width="5.7109375" style="1" bestFit="1" customWidth="1"/>
    <col min="7" max="7" width="7.85546875" style="1" bestFit="1" customWidth="1"/>
    <col min="8" max="8" width="18.140625" style="1" bestFit="1" customWidth="1"/>
    <col min="9" max="9" width="5.7109375" style="1" bestFit="1" customWidth="1"/>
    <col min="10" max="10" width="7.85546875" style="1" bestFit="1" customWidth="1"/>
    <col min="11" max="11" width="21.5703125" style="1" bestFit="1" customWidth="1"/>
    <col min="12" max="12" width="9.140625" style="1"/>
    <col min="13" max="13" width="31" style="1" bestFit="1" customWidth="1"/>
    <col min="14" max="14" width="34.5703125" style="1" customWidth="1"/>
    <col min="15" max="16384" width="9.140625" style="1"/>
  </cols>
  <sheetData>
    <row r="1" spans="1:17" s="3" customFormat="1" ht="12.75" customHeight="1">
      <c r="A1" s="684" t="s">
        <v>228</v>
      </c>
      <c r="B1" s="684"/>
      <c r="C1" s="684"/>
      <c r="D1" s="684"/>
      <c r="E1" s="684"/>
      <c r="F1" s="684"/>
      <c r="G1" s="684"/>
      <c r="H1" s="684"/>
      <c r="I1" s="684"/>
      <c r="J1" s="684"/>
      <c r="K1" s="619">
        <f>'Instructions and Summary'!$G$5</f>
        <v>0</v>
      </c>
      <c r="L1" s="239"/>
      <c r="M1" s="239"/>
      <c r="N1" s="317">
        <f>'Instructions and Summary'!G5</f>
        <v>0</v>
      </c>
    </row>
    <row r="2" spans="1:17" s="11" customFormat="1" ht="22.5" customHeight="1" thickBot="1">
      <c r="A2" s="677" t="s">
        <v>99</v>
      </c>
      <c r="B2" s="677"/>
      <c r="C2" s="677"/>
      <c r="D2" s="677"/>
      <c r="E2" s="677"/>
      <c r="F2" s="677"/>
      <c r="G2" s="677"/>
      <c r="H2" s="677"/>
      <c r="I2" s="677"/>
      <c r="J2" s="677"/>
      <c r="K2" s="677"/>
      <c r="L2" s="470"/>
      <c r="M2" s="470"/>
      <c r="N2" s="470"/>
      <c r="O2" s="32"/>
      <c r="P2" s="32"/>
      <c r="Q2" s="32"/>
    </row>
    <row r="3" spans="1:17" s="11" customFormat="1" ht="187.5" customHeight="1" thickBot="1">
      <c r="A3" s="704" t="s">
        <v>225</v>
      </c>
      <c r="B3" s="705"/>
      <c r="C3" s="705"/>
      <c r="D3" s="705"/>
      <c r="E3" s="705"/>
      <c r="F3" s="705"/>
      <c r="G3" s="705"/>
      <c r="H3" s="705"/>
      <c r="I3" s="705"/>
      <c r="J3" s="705"/>
      <c r="K3" s="706"/>
      <c r="L3" s="473"/>
      <c r="M3" s="473"/>
      <c r="N3" s="473"/>
    </row>
    <row r="4" spans="1:17" s="40" customFormat="1" ht="36" customHeight="1" thickBot="1">
      <c r="A4" s="593" t="s">
        <v>207</v>
      </c>
      <c r="B4" s="725" t="s">
        <v>106</v>
      </c>
      <c r="C4" s="726"/>
      <c r="D4" s="727"/>
      <c r="E4" s="722" t="s">
        <v>113</v>
      </c>
      <c r="F4" s="723"/>
      <c r="G4" s="723"/>
      <c r="H4" s="724" t="s">
        <v>107</v>
      </c>
      <c r="I4" s="724"/>
      <c r="J4" s="724"/>
      <c r="K4" s="562" t="s">
        <v>211</v>
      </c>
      <c r="L4" s="472"/>
    </row>
    <row r="5" spans="1:17" s="40" customFormat="1" ht="15.75" thickBot="1">
      <c r="A5" s="592"/>
      <c r="B5" s="584" t="s">
        <v>210</v>
      </c>
      <c r="C5" s="585" t="s">
        <v>208</v>
      </c>
      <c r="D5" s="586" t="s">
        <v>179</v>
      </c>
      <c r="E5" s="577" t="s">
        <v>210</v>
      </c>
      <c r="F5" s="578" t="s">
        <v>208</v>
      </c>
      <c r="G5" s="578" t="s">
        <v>179</v>
      </c>
      <c r="H5" s="569" t="s">
        <v>210</v>
      </c>
      <c r="I5" s="569" t="s">
        <v>208</v>
      </c>
      <c r="J5" s="570" t="s">
        <v>179</v>
      </c>
      <c r="K5" s="563"/>
    </row>
    <row r="6" spans="1:17" s="40" customFormat="1" ht="30" thickBot="1">
      <c r="A6" s="560" t="s">
        <v>220</v>
      </c>
      <c r="B6" s="587">
        <v>170000</v>
      </c>
      <c r="C6" s="588">
        <v>0.2</v>
      </c>
      <c r="D6" s="589">
        <f>B6*C6</f>
        <v>34000</v>
      </c>
      <c r="E6" s="579">
        <v>10000</v>
      </c>
      <c r="F6" s="580">
        <v>0.2</v>
      </c>
      <c r="G6" s="579">
        <f>E6*F6</f>
        <v>2000</v>
      </c>
      <c r="H6" s="571">
        <v>10000</v>
      </c>
      <c r="I6" s="572">
        <v>0.2</v>
      </c>
      <c r="J6" s="573">
        <f>H6*I6</f>
        <v>2000</v>
      </c>
      <c r="K6" s="566">
        <f>D6+G6+J6</f>
        <v>38000</v>
      </c>
    </row>
    <row r="7" spans="1:17" s="40" customFormat="1" ht="14.25" customHeight="1" thickBot="1">
      <c r="A7" s="568" t="s">
        <v>226</v>
      </c>
      <c r="B7" s="594"/>
      <c r="C7" s="605"/>
      <c r="D7" s="590">
        <f>C7*B7</f>
        <v>0</v>
      </c>
      <c r="E7" s="597"/>
      <c r="F7" s="607"/>
      <c r="G7" s="581">
        <f>E7*F7</f>
        <v>0</v>
      </c>
      <c r="H7" s="599"/>
      <c r="I7" s="609"/>
      <c r="J7" s="574">
        <f>H7*I7</f>
        <v>0</v>
      </c>
      <c r="K7" s="567">
        <f>SUM(D7+G7+J7)</f>
        <v>0</v>
      </c>
    </row>
    <row r="8" spans="1:17" s="40" customFormat="1" ht="14.25" customHeight="1" thickBot="1">
      <c r="A8" s="564"/>
      <c r="B8" s="595"/>
      <c r="C8" s="605"/>
      <c r="D8" s="590">
        <f>C8*B8</f>
        <v>0</v>
      </c>
      <c r="E8" s="597"/>
      <c r="F8" s="607"/>
      <c r="G8" s="581">
        <f>E8*F8</f>
        <v>0</v>
      </c>
      <c r="H8" s="599"/>
      <c r="I8" s="610"/>
      <c r="J8" s="574">
        <f>H8*I8</f>
        <v>0</v>
      </c>
      <c r="K8" s="567">
        <f>SUM(D8+G8+J8)</f>
        <v>0</v>
      </c>
    </row>
    <row r="9" spans="1:17" s="40" customFormat="1" ht="14.25" customHeight="1" thickBot="1">
      <c r="A9" s="565"/>
      <c r="B9" s="596"/>
      <c r="C9" s="606"/>
      <c r="D9" s="590">
        <f>C9*B9</f>
        <v>0</v>
      </c>
      <c r="E9" s="598"/>
      <c r="F9" s="608"/>
      <c r="G9" s="581">
        <f>E9*F9</f>
        <v>0</v>
      </c>
      <c r="H9" s="600"/>
      <c r="I9" s="611"/>
      <c r="J9" s="574">
        <f>H9*I9</f>
        <v>0</v>
      </c>
      <c r="K9" s="567">
        <f>SUM(D9+G9+J9)</f>
        <v>0</v>
      </c>
    </row>
    <row r="10" spans="1:17" s="3" customFormat="1" ht="15.75" thickBot="1">
      <c r="A10" s="561" t="s">
        <v>209</v>
      </c>
      <c r="B10" s="604">
        <f>SUM(B7:B9)</f>
        <v>0</v>
      </c>
      <c r="C10" s="601"/>
      <c r="D10" s="591">
        <f>SUM(D7:D9)</f>
        <v>0</v>
      </c>
      <c r="E10" s="582">
        <f>SUM(E7:E9)</f>
        <v>0</v>
      </c>
      <c r="F10" s="602"/>
      <c r="G10" s="583">
        <f>SUM(G7:G9)</f>
        <v>0</v>
      </c>
      <c r="H10" s="575">
        <f>SUM(H7:H9)</f>
        <v>0</v>
      </c>
      <c r="I10" s="603"/>
      <c r="J10" s="576">
        <f>SUM(J7:J9)</f>
        <v>0</v>
      </c>
      <c r="K10" s="567">
        <f>SUM(D10+G10+J10)</f>
        <v>0</v>
      </c>
    </row>
    <row r="11" spans="1:17" s="3" customFormat="1">
      <c r="A11" s="5"/>
      <c r="B11" s="6"/>
      <c r="C11" s="7"/>
      <c r="D11" s="7"/>
      <c r="E11" s="7"/>
      <c r="F11" s="7"/>
      <c r="G11" s="7"/>
      <c r="H11" s="7"/>
      <c r="I11" s="24"/>
      <c r="J11" s="8"/>
      <c r="K11" s="7"/>
      <c r="L11" s="24"/>
      <c r="M11" s="8"/>
      <c r="N11" s="7"/>
    </row>
    <row r="12" spans="1:17" s="3" customFormat="1" ht="14.25" customHeight="1" thickBot="1">
      <c r="A12" s="5"/>
      <c r="B12" s="6"/>
      <c r="C12" s="7"/>
      <c r="D12" s="7"/>
      <c r="E12" s="7"/>
      <c r="F12" s="7"/>
      <c r="G12" s="7"/>
      <c r="H12" s="7"/>
      <c r="I12" s="24"/>
      <c r="J12" s="8"/>
      <c r="K12" s="7"/>
      <c r="L12" s="24"/>
      <c r="M12" s="8"/>
      <c r="N12" s="7"/>
    </row>
    <row r="13" spans="1:17" s="3" customFormat="1" ht="48" customHeight="1">
      <c r="A13" s="716" t="s">
        <v>232</v>
      </c>
      <c r="B13" s="717"/>
      <c r="C13" s="717"/>
      <c r="D13" s="717"/>
      <c r="E13" s="717"/>
      <c r="F13" s="717"/>
      <c r="G13" s="717"/>
      <c r="H13" s="717"/>
      <c r="I13" s="717"/>
      <c r="J13" s="717"/>
      <c r="K13" s="718"/>
      <c r="L13" s="519"/>
      <c r="M13" s="519"/>
      <c r="N13" s="519"/>
    </row>
    <row r="14" spans="1:17" s="3" customFormat="1" ht="13.5" thickBot="1">
      <c r="A14" s="719"/>
      <c r="B14" s="720"/>
      <c r="C14" s="720"/>
      <c r="D14" s="720"/>
      <c r="E14" s="720"/>
      <c r="F14" s="720"/>
      <c r="G14" s="720"/>
      <c r="H14" s="720"/>
      <c r="I14" s="720"/>
      <c r="J14" s="720"/>
      <c r="K14" s="721"/>
    </row>
    <row r="15" spans="1:17" s="3" customFormat="1" ht="42.75" customHeight="1">
      <c r="A15" s="707" t="s">
        <v>235</v>
      </c>
      <c r="B15" s="708"/>
      <c r="C15" s="708"/>
      <c r="D15" s="708"/>
      <c r="E15" s="708"/>
      <c r="F15" s="708"/>
      <c r="G15" s="708"/>
      <c r="H15" s="708"/>
      <c r="I15" s="708"/>
      <c r="J15" s="708"/>
      <c r="K15" s="709"/>
      <c r="L15" s="517"/>
      <c r="M15" s="517"/>
      <c r="N15" s="517"/>
    </row>
    <row r="16" spans="1:17" s="3" customFormat="1" ht="30.75" customHeight="1">
      <c r="A16" s="710"/>
      <c r="B16" s="711"/>
      <c r="C16" s="711"/>
      <c r="D16" s="711"/>
      <c r="E16" s="711"/>
      <c r="F16" s="711"/>
      <c r="G16" s="711"/>
      <c r="H16" s="711"/>
      <c r="I16" s="711"/>
      <c r="J16" s="711"/>
      <c r="K16" s="712"/>
      <c r="L16" s="515"/>
      <c r="M16" s="515"/>
      <c r="N16" s="515"/>
    </row>
    <row r="17" spans="1:17" s="3" customFormat="1" ht="12.75" customHeight="1">
      <c r="A17" s="710"/>
      <c r="B17" s="711"/>
      <c r="C17" s="711"/>
      <c r="D17" s="711"/>
      <c r="E17" s="711"/>
      <c r="F17" s="711"/>
      <c r="G17" s="711"/>
      <c r="H17" s="711"/>
      <c r="I17" s="711"/>
      <c r="J17" s="711"/>
      <c r="K17" s="712"/>
      <c r="L17" s="516"/>
      <c r="M17" s="516"/>
      <c r="N17" s="516"/>
    </row>
    <row r="18" spans="1:17" s="3" customFormat="1" ht="58.5" customHeight="1">
      <c r="A18" s="710"/>
      <c r="B18" s="711"/>
      <c r="C18" s="711"/>
      <c r="D18" s="711"/>
      <c r="E18" s="711"/>
      <c r="F18" s="711"/>
      <c r="G18" s="711"/>
      <c r="H18" s="711"/>
      <c r="I18" s="711"/>
      <c r="J18" s="711"/>
      <c r="K18" s="712"/>
      <c r="L18" s="515"/>
      <c r="M18" s="515"/>
      <c r="N18" s="515"/>
    </row>
    <row r="19" spans="1:17" s="3" customFormat="1" ht="13.5" thickBot="1">
      <c r="A19" s="713"/>
      <c r="B19" s="714"/>
      <c r="C19" s="714"/>
      <c r="D19" s="714"/>
      <c r="E19" s="714"/>
      <c r="F19" s="714"/>
      <c r="G19" s="714"/>
      <c r="H19" s="714"/>
      <c r="I19" s="714"/>
      <c r="J19" s="714"/>
      <c r="K19" s="715"/>
      <c r="L19" s="518"/>
      <c r="M19" s="518"/>
      <c r="N19" s="518"/>
    </row>
    <row r="20" spans="1:17" s="3" customFormat="1"/>
    <row r="21" spans="1:17" s="3" customFormat="1"/>
    <row r="22" spans="1:17" s="3" customFormat="1" ht="15.75" customHeight="1" thickBot="1">
      <c r="A22" s="693" t="s">
        <v>231</v>
      </c>
      <c r="B22" s="693"/>
      <c r="C22" s="693"/>
      <c r="D22" s="693"/>
      <c r="E22" s="693"/>
      <c r="F22" s="693"/>
      <c r="G22" s="693"/>
      <c r="H22" s="693"/>
      <c r="I22" s="693"/>
      <c r="J22" s="693"/>
      <c r="K22" s="693"/>
      <c r="L22" s="520"/>
      <c r="M22" s="521"/>
      <c r="N22" s="521"/>
      <c r="O22" s="521"/>
      <c r="P22" s="521"/>
      <c r="Q22" s="521"/>
    </row>
    <row r="23" spans="1:17" s="3" customFormat="1" ht="38.25" customHeight="1">
      <c r="A23" s="661" t="s">
        <v>212</v>
      </c>
      <c r="B23" s="662"/>
      <c r="C23" s="662"/>
      <c r="D23" s="662"/>
      <c r="E23" s="662"/>
      <c r="F23" s="662"/>
      <c r="G23" s="662"/>
      <c r="H23" s="662"/>
      <c r="I23" s="662"/>
      <c r="J23" s="662"/>
      <c r="K23" s="663"/>
      <c r="L23" s="471"/>
      <c r="M23" s="471"/>
      <c r="N23" s="471"/>
      <c r="O23" s="521"/>
      <c r="P23" s="521"/>
      <c r="Q23" s="521"/>
    </row>
    <row r="24" spans="1:17" s="3" customFormat="1" ht="38.25" customHeight="1">
      <c r="A24" s="664"/>
      <c r="B24" s="665"/>
      <c r="C24" s="665"/>
      <c r="D24" s="665"/>
      <c r="E24" s="665"/>
      <c r="F24" s="665"/>
      <c r="G24" s="665"/>
      <c r="H24" s="665"/>
      <c r="I24" s="665"/>
      <c r="J24" s="665"/>
      <c r="K24" s="666"/>
      <c r="L24" s="471"/>
      <c r="M24" s="471"/>
      <c r="N24" s="471"/>
      <c r="O24" s="521"/>
      <c r="P24" s="521"/>
      <c r="Q24" s="521"/>
    </row>
    <row r="25" spans="1:17" s="3" customFormat="1" ht="102.75" customHeight="1" thickBot="1">
      <c r="A25" s="667"/>
      <c r="B25" s="668"/>
      <c r="C25" s="668"/>
      <c r="D25" s="668"/>
      <c r="E25" s="668"/>
      <c r="F25" s="668"/>
      <c r="G25" s="668"/>
      <c r="H25" s="668"/>
      <c r="I25" s="668"/>
      <c r="J25" s="668"/>
      <c r="K25" s="669"/>
      <c r="L25" s="471"/>
      <c r="M25" s="471"/>
      <c r="N25" s="471"/>
      <c r="O25" s="521"/>
      <c r="P25" s="521"/>
      <c r="Q25" s="521"/>
    </row>
    <row r="26" spans="1:17" s="3" customFormat="1">
      <c r="L26" s="521"/>
      <c r="M26" s="521"/>
      <c r="N26" s="521"/>
      <c r="O26" s="521"/>
      <c r="P26" s="521"/>
      <c r="Q26" s="521"/>
    </row>
    <row r="27" spans="1:17" s="3" customFormat="1"/>
    <row r="28" spans="1:17" s="3" customFormat="1"/>
    <row r="29" spans="1:17" s="3" customFormat="1"/>
    <row r="30" spans="1:17" s="3" customFormat="1"/>
    <row r="31" spans="1:17" s="3" customFormat="1"/>
    <row r="32" spans="1:17"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sheetData>
  <sheetProtection formatCells="0" formatColumns="0" formatRows="0" selectLockedCells="1"/>
  <customSheetViews>
    <customSheetView guid="{D5CEF8EB-A9A7-4458-BF65-8F18E34CBA87}" showPageBreaks="1" fitToPage="1" printArea="1">
      <selection activeCell="M18" sqref="M18"/>
      <pageMargins left="0.25" right="0.25" top="0.25" bottom="0.5" header="0.5" footer="0.25"/>
      <pageSetup scale="69" orientation="landscape" r:id="rId1"/>
      <headerFooter alignWithMargins="0">
        <oddFooter>&amp;Lb. Fringe Benefits</oddFooter>
      </headerFooter>
    </customSheetView>
    <customSheetView guid="{6588CF8C-0BB8-4786-9A46-0A2D10254132}" showPageBreaks="1" fitToPage="1" printArea="1">
      <selection activeCell="M10" sqref="M10"/>
      <pageMargins left="0.25" right="0.25" top="0.25" bottom="0.5" header="0.5" footer="0.25"/>
      <pageSetup scale="69" orientation="landscape" r:id="rId2"/>
      <headerFooter alignWithMargins="0">
        <oddFooter>&amp;Lb. Fringe Benefits</oddFooter>
      </headerFooter>
    </customSheetView>
    <customSheetView guid="{712CE29F-EFCA-4968-A7C5-599F87319D6A}" scale="90" fitToPage="1">
      <selection activeCell="K10" sqref="K10"/>
      <pageMargins left="0.25" right="0.25" top="0.25" bottom="0.5" header="0.5" footer="0.25"/>
      <pageSetup scale="69" orientation="landscape" r:id="rId3"/>
      <headerFooter alignWithMargins="0">
        <oddFooter>&amp;Lb. Fringe Benefits</oddFooter>
      </headerFooter>
    </customSheetView>
    <customSheetView guid="{5BEC5FDE-32D0-42EF-8D2A-06DCBD4F05CC}" scale="90" showPageBreaks="1" fitToPage="1" printArea="1" topLeftCell="A7">
      <selection activeCell="M3" sqref="M3"/>
      <pageMargins left="0.25" right="0.25" top="0.25" bottom="0.5" header="0.5" footer="0.25"/>
      <pageSetup scale="69" orientation="landscape" r:id="rId4"/>
      <headerFooter alignWithMargins="0">
        <oddFooter>&amp;Lb. Fringe Benefits</oddFooter>
      </headerFooter>
    </customSheetView>
    <customSheetView guid="{D7FF18E2-A72D-4088-BD59-9D74A43C39A8}" scale="90" showPageBreaks="1" fitToPage="1" printArea="1">
      <selection activeCell="F7" sqref="F7:F9"/>
      <pageMargins left="0.25" right="0.25" top="0.25" bottom="0.5" header="0.5" footer="0.25"/>
      <pageSetup scale="69" orientation="landscape" r:id="rId5"/>
      <headerFooter alignWithMargins="0">
        <oddFooter>&amp;Lb. Fringe Benefits</oddFooter>
      </headerFooter>
    </customSheetView>
  </customSheetViews>
  <mergeCells count="10">
    <mergeCell ref="A1:J1"/>
    <mergeCell ref="A2:K2"/>
    <mergeCell ref="A22:K22"/>
    <mergeCell ref="A23:K25"/>
    <mergeCell ref="A3:K3"/>
    <mergeCell ref="A15:K19"/>
    <mergeCell ref="A13:K14"/>
    <mergeCell ref="E4:G4"/>
    <mergeCell ref="H4:J4"/>
    <mergeCell ref="B4:D4"/>
  </mergeCells>
  <phoneticPr fontId="2" type="noConversion"/>
  <pageMargins left="0.25" right="0.25" top="0.25" bottom="0.5" header="0.5" footer="0.25"/>
  <pageSetup scale="69" orientation="landscape" r:id="rId6"/>
  <headerFooter alignWithMargins="0">
    <oddFooter>&amp;Lb. Fringe Benefits</oddFooter>
  </headerFooter>
</worksheet>
</file>

<file path=xl/worksheets/sheet4.xml><?xml version="1.0" encoding="utf-8"?>
<worksheet xmlns="http://schemas.openxmlformats.org/spreadsheetml/2006/main" xmlns:r="http://schemas.openxmlformats.org/officeDocument/2006/relationships">
  <sheetPr codeName="Sheet4"/>
  <dimension ref="A1:L180"/>
  <sheetViews>
    <sheetView zoomScale="90" workbookViewId="0">
      <selection activeCell="G41" sqref="G41"/>
    </sheetView>
  </sheetViews>
  <sheetFormatPr defaultRowHeight="12.75"/>
  <cols>
    <col min="1" max="1" width="58.7109375" style="26" customWidth="1"/>
    <col min="2" max="3" width="13.28515625" style="7" customWidth="1"/>
    <col min="4" max="4" width="8" style="8" customWidth="1"/>
    <col min="5" max="5" width="10.42578125" style="8" customWidth="1"/>
    <col min="6" max="7" width="9.42578125" style="365" customWidth="1"/>
    <col min="8" max="8" width="31.85546875" style="72" customWidth="1"/>
    <col min="9" max="16384" width="9.140625" style="26"/>
  </cols>
  <sheetData>
    <row r="1" spans="1:12" s="33" customFormat="1">
      <c r="A1" s="729" t="s">
        <v>228</v>
      </c>
      <c r="B1" s="729"/>
      <c r="C1" s="73"/>
      <c r="D1" s="73"/>
      <c r="E1" s="73"/>
      <c r="F1" s="252"/>
      <c r="G1" s="252"/>
      <c r="H1" s="317">
        <f>'Instructions and Summary'!G5</f>
        <v>0</v>
      </c>
      <c r="I1" s="317"/>
    </row>
    <row r="2" spans="1:12" s="35" customFormat="1" ht="22.5" customHeight="1" thickBot="1">
      <c r="A2" s="728" t="s">
        <v>100</v>
      </c>
      <c r="B2" s="728"/>
      <c r="C2" s="728"/>
      <c r="D2" s="728"/>
      <c r="E2" s="728"/>
      <c r="F2" s="728"/>
      <c r="G2" s="728"/>
      <c r="H2" s="728"/>
      <c r="I2" s="34"/>
      <c r="J2" s="34"/>
      <c r="K2" s="34"/>
      <c r="L2" s="34"/>
    </row>
    <row r="3" spans="1:12" s="36" customFormat="1" ht="145.5" customHeight="1" thickBot="1">
      <c r="A3" s="739" t="s">
        <v>224</v>
      </c>
      <c r="B3" s="740"/>
      <c r="C3" s="740"/>
      <c r="D3" s="740"/>
      <c r="E3" s="740"/>
      <c r="F3" s="740"/>
      <c r="G3" s="740"/>
      <c r="H3" s="741"/>
    </row>
    <row r="4" spans="1:12" s="36" customFormat="1" ht="13.5" thickBot="1">
      <c r="A4" s="13"/>
      <c r="B4" s="15"/>
      <c r="C4" s="15"/>
      <c r="D4" s="16"/>
      <c r="E4" s="16"/>
      <c r="F4" s="255"/>
      <c r="G4" s="255"/>
      <c r="H4" s="71"/>
    </row>
    <row r="5" spans="1:12" s="33" customFormat="1" ht="46.5" customHeight="1" thickBot="1">
      <c r="A5" s="41" t="s">
        <v>136</v>
      </c>
      <c r="B5" s="18" t="s">
        <v>233</v>
      </c>
      <c r="C5" s="18" t="s">
        <v>234</v>
      </c>
      <c r="D5" s="19" t="s">
        <v>138</v>
      </c>
      <c r="E5" s="19" t="s">
        <v>137</v>
      </c>
      <c r="F5" s="75" t="s">
        <v>139</v>
      </c>
      <c r="G5" s="75" t="s">
        <v>140</v>
      </c>
      <c r="H5" s="20" t="s">
        <v>141</v>
      </c>
    </row>
    <row r="6" spans="1:12" s="33" customFormat="1" ht="15.75" thickBot="1">
      <c r="A6" s="733" t="s">
        <v>106</v>
      </c>
      <c r="B6" s="734"/>
      <c r="C6" s="734"/>
      <c r="D6" s="734"/>
      <c r="E6" s="734"/>
      <c r="F6" s="734"/>
      <c r="G6" s="734"/>
      <c r="H6" s="735"/>
      <c r="I6" s="125"/>
    </row>
    <row r="7" spans="1:12" s="36" customFormat="1" ht="15.75" customHeight="1" thickBot="1">
      <c r="A7" s="126" t="s">
        <v>142</v>
      </c>
      <c r="B7" s="127"/>
      <c r="C7" s="127"/>
      <c r="D7" s="128"/>
      <c r="E7" s="128"/>
      <c r="F7" s="358"/>
      <c r="G7" s="358"/>
      <c r="H7" s="366"/>
    </row>
    <row r="8" spans="1:12" s="37" customFormat="1" ht="15.75" customHeight="1" thickBot="1">
      <c r="A8" s="523" t="s">
        <v>213</v>
      </c>
      <c r="B8" s="525"/>
      <c r="C8" s="525"/>
      <c r="D8" s="526">
        <v>2</v>
      </c>
      <c r="E8" s="526">
        <v>2</v>
      </c>
      <c r="F8" s="527">
        <v>650</v>
      </c>
      <c r="G8" s="527">
        <f t="shared" ref="G8:G16" si="0">F8*E8</f>
        <v>1300</v>
      </c>
      <c r="H8" s="528" t="s">
        <v>190</v>
      </c>
    </row>
    <row r="9" spans="1:12" s="36" customFormat="1" ht="15.75" customHeight="1">
      <c r="A9" s="332"/>
      <c r="B9" s="83"/>
      <c r="C9" s="83"/>
      <c r="D9" s="85"/>
      <c r="E9" s="85"/>
      <c r="F9" s="178"/>
      <c r="G9" s="178">
        <f t="shared" si="0"/>
        <v>0</v>
      </c>
      <c r="H9" s="342"/>
    </row>
    <row r="10" spans="1:12" s="36" customFormat="1" ht="15.75" customHeight="1">
      <c r="A10" s="333"/>
      <c r="B10" s="88"/>
      <c r="C10" s="88"/>
      <c r="D10" s="89"/>
      <c r="E10" s="89"/>
      <c r="F10" s="290"/>
      <c r="G10" s="178">
        <f t="shared" si="0"/>
        <v>0</v>
      </c>
      <c r="H10" s="343"/>
    </row>
    <row r="11" spans="1:12" s="36" customFormat="1" ht="15.75" customHeight="1">
      <c r="A11" s="522"/>
      <c r="B11" s="88"/>
      <c r="C11" s="88"/>
      <c r="D11" s="89"/>
      <c r="E11" s="89"/>
      <c r="F11" s="290"/>
      <c r="G11" s="178">
        <f t="shared" si="0"/>
        <v>0</v>
      </c>
      <c r="H11" s="343"/>
    </row>
    <row r="12" spans="1:12" s="36" customFormat="1" ht="15.75" customHeight="1">
      <c r="A12" s="333"/>
      <c r="B12" s="88"/>
      <c r="C12" s="88"/>
      <c r="D12" s="89"/>
      <c r="E12" s="89"/>
      <c r="F12" s="290"/>
      <c r="G12" s="178">
        <f t="shared" si="0"/>
        <v>0</v>
      </c>
      <c r="H12" s="343"/>
    </row>
    <row r="13" spans="1:12" s="36" customFormat="1" ht="15.75" customHeight="1">
      <c r="A13" s="333"/>
      <c r="B13" s="88"/>
      <c r="C13" s="88"/>
      <c r="D13" s="89"/>
      <c r="E13" s="89"/>
      <c r="F13" s="290"/>
      <c r="G13" s="178">
        <f t="shared" si="0"/>
        <v>0</v>
      </c>
      <c r="H13" s="343"/>
    </row>
    <row r="14" spans="1:12" s="36" customFormat="1" ht="15.75" customHeight="1">
      <c r="A14" s="333"/>
      <c r="B14" s="88"/>
      <c r="C14" s="88"/>
      <c r="D14" s="89"/>
      <c r="E14" s="89"/>
      <c r="F14" s="290"/>
      <c r="G14" s="178">
        <f t="shared" si="0"/>
        <v>0</v>
      </c>
      <c r="H14" s="343"/>
    </row>
    <row r="15" spans="1:12" s="36" customFormat="1" ht="15.75" customHeight="1">
      <c r="A15" s="333"/>
      <c r="B15" s="88"/>
      <c r="C15" s="88"/>
      <c r="D15" s="89"/>
      <c r="E15" s="89"/>
      <c r="F15" s="290"/>
      <c r="G15" s="178">
        <f t="shared" si="0"/>
        <v>0</v>
      </c>
      <c r="H15" s="343"/>
    </row>
    <row r="16" spans="1:12" s="36" customFormat="1" ht="15.75" customHeight="1">
      <c r="A16" s="333"/>
      <c r="B16" s="88"/>
      <c r="C16" s="88"/>
      <c r="D16" s="89"/>
      <c r="E16" s="89"/>
      <c r="F16" s="290"/>
      <c r="G16" s="178">
        <f t="shared" si="0"/>
        <v>0</v>
      </c>
      <c r="H16" s="343"/>
    </row>
    <row r="17" spans="1:8" s="36" customFormat="1" ht="15.75" customHeight="1" thickBot="1">
      <c r="A17" s="129" t="s">
        <v>144</v>
      </c>
      <c r="B17" s="130"/>
      <c r="C17" s="130"/>
      <c r="D17" s="131"/>
      <c r="E17" s="131"/>
      <c r="F17" s="344"/>
      <c r="G17" s="344">
        <f>SUM(G9:G16)</f>
        <v>0</v>
      </c>
      <c r="H17" s="367"/>
    </row>
    <row r="18" spans="1:8" s="36" customFormat="1" ht="15.75" customHeight="1">
      <c r="A18" s="132" t="s">
        <v>143</v>
      </c>
      <c r="B18" s="83"/>
      <c r="C18" s="83"/>
      <c r="D18" s="85"/>
      <c r="E18" s="85"/>
      <c r="F18" s="178"/>
      <c r="G18" s="178"/>
      <c r="H18" s="342"/>
    </row>
    <row r="19" spans="1:8" s="37" customFormat="1" ht="15.75" customHeight="1">
      <c r="A19" s="332"/>
      <c r="B19" s="88"/>
      <c r="C19" s="88"/>
      <c r="D19" s="89"/>
      <c r="E19" s="89"/>
      <c r="F19" s="290"/>
      <c r="G19" s="178">
        <f>F19*E19</f>
        <v>0</v>
      </c>
      <c r="H19" s="343"/>
    </row>
    <row r="20" spans="1:8" s="36" customFormat="1" ht="15.75" customHeight="1">
      <c r="A20" s="333"/>
      <c r="B20" s="88"/>
      <c r="C20" s="88"/>
      <c r="D20" s="89"/>
      <c r="E20" s="89"/>
      <c r="F20" s="290"/>
      <c r="G20" s="178">
        <f>F20*E20</f>
        <v>0</v>
      </c>
      <c r="H20" s="343"/>
    </row>
    <row r="21" spans="1:8" s="36" customFormat="1" ht="15.75" customHeight="1">
      <c r="A21" s="333"/>
      <c r="B21" s="88"/>
      <c r="C21" s="88"/>
      <c r="D21" s="89"/>
      <c r="E21" s="89"/>
      <c r="F21" s="290"/>
      <c r="G21" s="178">
        <f>F21*E21</f>
        <v>0</v>
      </c>
      <c r="H21" s="343"/>
    </row>
    <row r="22" spans="1:8" s="36" customFormat="1" ht="15.75" customHeight="1">
      <c r="A22" s="333"/>
      <c r="B22" s="88"/>
      <c r="C22" s="88"/>
      <c r="D22" s="89"/>
      <c r="E22" s="89"/>
      <c r="F22" s="290"/>
      <c r="G22" s="178">
        <f>F22*E22</f>
        <v>0</v>
      </c>
      <c r="H22" s="343"/>
    </row>
    <row r="23" spans="1:8" s="36" customFormat="1" ht="15.75" customHeight="1" thickBot="1">
      <c r="A23" s="133" t="s">
        <v>146</v>
      </c>
      <c r="B23" s="117"/>
      <c r="C23" s="117"/>
      <c r="D23" s="134"/>
      <c r="E23" s="134"/>
      <c r="F23" s="299"/>
      <c r="G23" s="299">
        <f>SUM(G19:G22)</f>
        <v>0</v>
      </c>
      <c r="H23" s="368"/>
    </row>
    <row r="24" spans="1:8" s="36" customFormat="1" ht="15.75" customHeight="1" thickBot="1">
      <c r="A24" s="135" t="s">
        <v>114</v>
      </c>
      <c r="B24" s="137"/>
      <c r="C24" s="137"/>
      <c r="D24" s="138"/>
      <c r="E24" s="138"/>
      <c r="F24" s="359"/>
      <c r="G24" s="307">
        <f>G17+G23</f>
        <v>0</v>
      </c>
      <c r="H24" s="369"/>
    </row>
    <row r="25" spans="1:8" s="33" customFormat="1" ht="15.75" thickBot="1">
      <c r="A25" s="736" t="s">
        <v>113</v>
      </c>
      <c r="B25" s="737"/>
      <c r="C25" s="737"/>
      <c r="D25" s="737"/>
      <c r="E25" s="737"/>
      <c r="F25" s="737"/>
      <c r="G25" s="737"/>
      <c r="H25" s="738"/>
    </row>
    <row r="26" spans="1:8" s="36" customFormat="1" ht="15.75" customHeight="1">
      <c r="A26" s="42" t="s">
        <v>142</v>
      </c>
      <c r="B26" s="44"/>
      <c r="C26" s="44"/>
      <c r="D26" s="45"/>
      <c r="E26" s="45"/>
      <c r="F26" s="345"/>
      <c r="G26" s="345"/>
      <c r="H26" s="339"/>
    </row>
    <row r="27" spans="1:8" s="37" customFormat="1" ht="15.75" customHeight="1">
      <c r="A27" s="327"/>
      <c r="B27" s="63"/>
      <c r="C27" s="63"/>
      <c r="D27" s="64"/>
      <c r="E27" s="64"/>
      <c r="F27" s="284"/>
      <c r="G27" s="284">
        <f t="shared" ref="G27:G33" si="1">F27*E27</f>
        <v>0</v>
      </c>
      <c r="H27" s="340"/>
    </row>
    <row r="28" spans="1:8" s="36" customFormat="1" ht="15.75" customHeight="1">
      <c r="A28" s="328"/>
      <c r="B28" s="48"/>
      <c r="C28" s="48"/>
      <c r="D28" s="49"/>
      <c r="E28" s="49"/>
      <c r="F28" s="293"/>
      <c r="G28" s="284">
        <f t="shared" si="1"/>
        <v>0</v>
      </c>
      <c r="H28" s="341"/>
    </row>
    <row r="29" spans="1:8" s="36" customFormat="1" ht="15.75" customHeight="1">
      <c r="A29" s="328"/>
      <c r="B29" s="48"/>
      <c r="C29" s="48"/>
      <c r="D29" s="49"/>
      <c r="E29" s="49"/>
      <c r="F29" s="293"/>
      <c r="G29" s="284">
        <f t="shared" si="1"/>
        <v>0</v>
      </c>
      <c r="H29" s="341"/>
    </row>
    <row r="30" spans="1:8" s="36" customFormat="1" ht="15.75" customHeight="1">
      <c r="A30" s="328"/>
      <c r="B30" s="48"/>
      <c r="C30" s="48"/>
      <c r="D30" s="49"/>
      <c r="E30" s="49"/>
      <c r="F30" s="293"/>
      <c r="G30" s="284">
        <f t="shared" si="1"/>
        <v>0</v>
      </c>
      <c r="H30" s="341"/>
    </row>
    <row r="31" spans="1:8" s="36" customFormat="1" ht="15.75" customHeight="1">
      <c r="A31" s="328"/>
      <c r="B31" s="48"/>
      <c r="C31" s="48"/>
      <c r="D31" s="49"/>
      <c r="E31" s="49"/>
      <c r="F31" s="293"/>
      <c r="G31" s="284">
        <f t="shared" si="1"/>
        <v>0</v>
      </c>
      <c r="H31" s="341"/>
    </row>
    <row r="32" spans="1:8" s="36" customFormat="1" ht="15.75" customHeight="1">
      <c r="A32" s="328"/>
      <c r="B32" s="48"/>
      <c r="C32" s="48"/>
      <c r="D32" s="49"/>
      <c r="E32" s="49"/>
      <c r="F32" s="293"/>
      <c r="G32" s="284">
        <f t="shared" si="1"/>
        <v>0</v>
      </c>
      <c r="H32" s="341"/>
    </row>
    <row r="33" spans="1:8" s="36" customFormat="1" ht="15.75" customHeight="1">
      <c r="A33" s="328"/>
      <c r="B33" s="48"/>
      <c r="C33" s="48"/>
      <c r="D33" s="49"/>
      <c r="E33" s="49"/>
      <c r="F33" s="293"/>
      <c r="G33" s="284">
        <f t="shared" si="1"/>
        <v>0</v>
      </c>
      <c r="H33" s="341"/>
    </row>
    <row r="34" spans="1:8" s="36" customFormat="1" ht="15.75" customHeight="1" thickBot="1">
      <c r="A34" s="140" t="s">
        <v>144</v>
      </c>
      <c r="B34" s="141"/>
      <c r="C34" s="141"/>
      <c r="D34" s="142"/>
      <c r="E34" s="142"/>
      <c r="F34" s="360"/>
      <c r="G34" s="360">
        <f>SUM(G27:G33)</f>
        <v>0</v>
      </c>
      <c r="H34" s="370"/>
    </row>
    <row r="35" spans="1:8" s="36" customFormat="1" ht="15.75" customHeight="1">
      <c r="A35" s="143" t="s">
        <v>143</v>
      </c>
      <c r="B35" s="63"/>
      <c r="C35" s="63"/>
      <c r="D35" s="64"/>
      <c r="E35" s="64"/>
      <c r="F35" s="284"/>
      <c r="G35" s="284"/>
      <c r="H35" s="340"/>
    </row>
    <row r="36" spans="1:8" s="36" customFormat="1" ht="15.75" customHeight="1">
      <c r="A36" s="328"/>
      <c r="B36" s="48"/>
      <c r="C36" s="48"/>
      <c r="D36" s="49"/>
      <c r="E36" s="49"/>
      <c r="F36" s="293"/>
      <c r="G36" s="284">
        <f>F36*E36</f>
        <v>0</v>
      </c>
      <c r="H36" s="341"/>
    </row>
    <row r="37" spans="1:8" s="36" customFormat="1" ht="15.75" customHeight="1">
      <c r="A37" s="328"/>
      <c r="B37" s="48"/>
      <c r="C37" s="48"/>
      <c r="D37" s="49"/>
      <c r="E37" s="49"/>
      <c r="F37" s="293"/>
      <c r="G37" s="284">
        <f>F37*E37</f>
        <v>0</v>
      </c>
      <c r="H37" s="341"/>
    </row>
    <row r="38" spans="1:8" s="36" customFormat="1" ht="15.75" customHeight="1">
      <c r="A38" s="328"/>
      <c r="B38" s="48"/>
      <c r="C38" s="48"/>
      <c r="D38" s="49"/>
      <c r="E38" s="49"/>
      <c r="F38" s="293"/>
      <c r="G38" s="284">
        <f>F38*E38</f>
        <v>0</v>
      </c>
      <c r="H38" s="341"/>
    </row>
    <row r="39" spans="1:8" s="36" customFormat="1" ht="15.75" customHeight="1">
      <c r="A39" s="328"/>
      <c r="B39" s="48"/>
      <c r="C39" s="48"/>
      <c r="D39" s="49"/>
      <c r="E39" s="49"/>
      <c r="F39" s="293"/>
      <c r="G39" s="284">
        <f>F39*E39</f>
        <v>0</v>
      </c>
      <c r="H39" s="341"/>
    </row>
    <row r="40" spans="1:8" s="36" customFormat="1" ht="15.75" customHeight="1" thickBot="1">
      <c r="A40" s="144" t="s">
        <v>146</v>
      </c>
      <c r="B40" s="119"/>
      <c r="C40" s="119"/>
      <c r="D40" s="118"/>
      <c r="E40" s="118"/>
      <c r="F40" s="302"/>
      <c r="G40" s="302">
        <f>SUM(G36:G39)</f>
        <v>0</v>
      </c>
      <c r="H40" s="371"/>
    </row>
    <row r="41" spans="1:8" s="36" customFormat="1" ht="15.75" customHeight="1" thickBot="1">
      <c r="A41" s="145" t="s">
        <v>115</v>
      </c>
      <c r="B41" s="147"/>
      <c r="C41" s="147"/>
      <c r="D41" s="148"/>
      <c r="E41" s="148"/>
      <c r="F41" s="361"/>
      <c r="G41" s="310">
        <f>G34+G40</f>
        <v>0</v>
      </c>
      <c r="H41" s="372"/>
    </row>
    <row r="42" spans="1:8" s="33" customFormat="1" ht="15.75" thickBot="1">
      <c r="A42" s="730" t="s">
        <v>107</v>
      </c>
      <c r="B42" s="731"/>
      <c r="C42" s="731"/>
      <c r="D42" s="731"/>
      <c r="E42" s="731"/>
      <c r="F42" s="731"/>
      <c r="G42" s="731"/>
      <c r="H42" s="732"/>
    </row>
    <row r="43" spans="1:8" s="36" customFormat="1" ht="15.75" customHeight="1">
      <c r="A43" s="50" t="s">
        <v>142</v>
      </c>
      <c r="B43" s="52"/>
      <c r="C43" s="52"/>
      <c r="D43" s="53"/>
      <c r="E43" s="53"/>
      <c r="F43" s="346"/>
      <c r="G43" s="346"/>
      <c r="H43" s="336"/>
    </row>
    <row r="44" spans="1:8" s="37" customFormat="1" ht="15.75" customHeight="1">
      <c r="A44" s="330"/>
      <c r="B44" s="67"/>
      <c r="C44" s="67"/>
      <c r="D44" s="68"/>
      <c r="E44" s="68"/>
      <c r="F44" s="287"/>
      <c r="G44" s="287">
        <f t="shared" ref="G44:G50" si="2">F44*E44</f>
        <v>0</v>
      </c>
      <c r="H44" s="337"/>
    </row>
    <row r="45" spans="1:8" s="37" customFormat="1" ht="15.75" customHeight="1">
      <c r="A45" s="330"/>
      <c r="B45" s="67"/>
      <c r="C45" s="67"/>
      <c r="D45" s="68"/>
      <c r="E45" s="68"/>
      <c r="F45" s="287"/>
      <c r="G45" s="287">
        <f t="shared" si="2"/>
        <v>0</v>
      </c>
      <c r="H45" s="337"/>
    </row>
    <row r="46" spans="1:8" s="36" customFormat="1" ht="15.75" customHeight="1">
      <c r="A46" s="331"/>
      <c r="B46" s="56"/>
      <c r="C46" s="56"/>
      <c r="D46" s="57"/>
      <c r="E46" s="57"/>
      <c r="F46" s="296"/>
      <c r="G46" s="287">
        <f t="shared" si="2"/>
        <v>0</v>
      </c>
      <c r="H46" s="338"/>
    </row>
    <row r="47" spans="1:8" s="36" customFormat="1" ht="15.75" customHeight="1">
      <c r="A47" s="331"/>
      <c r="B47" s="56"/>
      <c r="C47" s="56"/>
      <c r="D47" s="57"/>
      <c r="E47" s="57"/>
      <c r="F47" s="296"/>
      <c r="G47" s="287">
        <f t="shared" si="2"/>
        <v>0</v>
      </c>
      <c r="H47" s="338"/>
    </row>
    <row r="48" spans="1:8" s="36" customFormat="1" ht="15.75" customHeight="1">
      <c r="A48" s="331"/>
      <c r="B48" s="56"/>
      <c r="C48" s="56"/>
      <c r="D48" s="57"/>
      <c r="E48" s="57"/>
      <c r="F48" s="296"/>
      <c r="G48" s="287">
        <f t="shared" si="2"/>
        <v>0</v>
      </c>
      <c r="H48" s="338"/>
    </row>
    <row r="49" spans="1:8" s="36" customFormat="1" ht="15.75" customHeight="1">
      <c r="A49" s="331"/>
      <c r="B49" s="56"/>
      <c r="C49" s="56"/>
      <c r="D49" s="57"/>
      <c r="E49" s="57"/>
      <c r="F49" s="296"/>
      <c r="G49" s="287">
        <f t="shared" si="2"/>
        <v>0</v>
      </c>
      <c r="H49" s="338"/>
    </row>
    <row r="50" spans="1:8" s="36" customFormat="1" ht="15.75" customHeight="1">
      <c r="A50" s="331"/>
      <c r="B50" s="56"/>
      <c r="C50" s="56"/>
      <c r="D50" s="57"/>
      <c r="E50" s="57"/>
      <c r="F50" s="296"/>
      <c r="G50" s="287">
        <f t="shared" si="2"/>
        <v>0</v>
      </c>
      <c r="H50" s="338"/>
    </row>
    <row r="51" spans="1:8" s="36" customFormat="1" ht="15.75" customHeight="1" thickBot="1">
      <c r="A51" s="150" t="s">
        <v>144</v>
      </c>
      <c r="B51" s="151"/>
      <c r="C51" s="151"/>
      <c r="D51" s="152"/>
      <c r="E51" s="152"/>
      <c r="F51" s="362"/>
      <c r="G51" s="362">
        <f>SUM(G44:G50)</f>
        <v>0</v>
      </c>
      <c r="H51" s="373"/>
    </row>
    <row r="52" spans="1:8" s="36" customFormat="1" ht="15.75" customHeight="1">
      <c r="A52" s="153" t="s">
        <v>143</v>
      </c>
      <c r="B52" s="67"/>
      <c r="C52" s="67"/>
      <c r="D52" s="68"/>
      <c r="E52" s="68"/>
      <c r="F52" s="287"/>
      <c r="G52" s="287"/>
      <c r="H52" s="337"/>
    </row>
    <row r="53" spans="1:8" s="36" customFormat="1" ht="15.75" customHeight="1">
      <c r="A53" s="331"/>
      <c r="B53" s="56"/>
      <c r="C53" s="56"/>
      <c r="D53" s="57"/>
      <c r="E53" s="57"/>
      <c r="F53" s="296"/>
      <c r="G53" s="287">
        <f>F53*E53</f>
        <v>0</v>
      </c>
      <c r="H53" s="338"/>
    </row>
    <row r="54" spans="1:8" s="36" customFormat="1" ht="15.75" customHeight="1">
      <c r="A54" s="331"/>
      <c r="B54" s="56"/>
      <c r="C54" s="56"/>
      <c r="D54" s="57"/>
      <c r="E54" s="57"/>
      <c r="F54" s="296"/>
      <c r="G54" s="287">
        <f>F54*E54</f>
        <v>0</v>
      </c>
      <c r="H54" s="338"/>
    </row>
    <row r="55" spans="1:8" s="36" customFormat="1" ht="15.75" customHeight="1">
      <c r="A55" s="331"/>
      <c r="B55" s="56"/>
      <c r="C55" s="56"/>
      <c r="D55" s="57"/>
      <c r="E55" s="57"/>
      <c r="F55" s="296"/>
      <c r="G55" s="287">
        <f>F55*E55</f>
        <v>0</v>
      </c>
      <c r="H55" s="338"/>
    </row>
    <row r="56" spans="1:8" s="36" customFormat="1" ht="15.75" customHeight="1">
      <c r="A56" s="331"/>
      <c r="B56" s="56"/>
      <c r="C56" s="56"/>
      <c r="D56" s="57"/>
      <c r="E56" s="57"/>
      <c r="F56" s="296"/>
      <c r="G56" s="287">
        <f>F56*E56</f>
        <v>0</v>
      </c>
      <c r="H56" s="338"/>
    </row>
    <row r="57" spans="1:8" s="36" customFormat="1" ht="15.75" customHeight="1" thickBot="1">
      <c r="A57" s="154" t="s">
        <v>146</v>
      </c>
      <c r="B57" s="121"/>
      <c r="C57" s="121"/>
      <c r="D57" s="120"/>
      <c r="E57" s="120"/>
      <c r="F57" s="305"/>
      <c r="G57" s="305">
        <f>SUM(G53:G56)</f>
        <v>0</v>
      </c>
      <c r="H57" s="374"/>
    </row>
    <row r="58" spans="1:8" s="36" customFormat="1" ht="15.75" customHeight="1" thickBot="1">
      <c r="A58" s="155" t="s">
        <v>116</v>
      </c>
      <c r="B58" s="157"/>
      <c r="C58" s="157"/>
      <c r="D58" s="158"/>
      <c r="E58" s="158"/>
      <c r="F58" s="363"/>
      <c r="G58" s="364">
        <f>G51+G57</f>
        <v>0</v>
      </c>
      <c r="H58" s="375"/>
    </row>
    <row r="59" spans="1:8" s="33" customFormat="1" ht="18" customHeight="1" thickBot="1">
      <c r="A59" s="160" t="s">
        <v>180</v>
      </c>
      <c r="B59" s="162"/>
      <c r="C59" s="162"/>
      <c r="D59" s="123"/>
      <c r="E59" s="123"/>
      <c r="F59" s="315"/>
      <c r="G59" s="315">
        <f>G24+G41+G58</f>
        <v>0</v>
      </c>
      <c r="H59" s="376"/>
    </row>
    <row r="60" spans="1:8" s="36" customFormat="1">
      <c r="B60" s="15"/>
      <c r="C60" s="15"/>
      <c r="D60" s="16"/>
      <c r="E60" s="16"/>
      <c r="F60" s="255"/>
      <c r="G60" s="255"/>
      <c r="H60" s="71"/>
    </row>
    <row r="61" spans="1:8" s="36" customFormat="1" ht="13.5" thickBot="1">
      <c r="A61" s="33" t="s">
        <v>199</v>
      </c>
      <c r="B61" s="16"/>
      <c r="C61" s="27"/>
      <c r="D61" s="16"/>
      <c r="E61" s="16"/>
      <c r="F61" s="260"/>
      <c r="G61" s="255"/>
      <c r="H61" s="71"/>
    </row>
    <row r="62" spans="1:8" s="36" customFormat="1" ht="11.25" customHeight="1">
      <c r="A62" s="661"/>
      <c r="B62" s="662"/>
      <c r="C62" s="662"/>
      <c r="D62" s="662"/>
      <c r="E62" s="662"/>
      <c r="F62" s="662"/>
      <c r="G62" s="662"/>
      <c r="H62" s="663"/>
    </row>
    <row r="63" spans="1:8" s="36" customFormat="1" ht="11.25" customHeight="1">
      <c r="A63" s="664"/>
      <c r="B63" s="665"/>
      <c r="C63" s="665"/>
      <c r="D63" s="665"/>
      <c r="E63" s="665"/>
      <c r="F63" s="665"/>
      <c r="G63" s="665"/>
      <c r="H63" s="666"/>
    </row>
    <row r="64" spans="1:8" s="36" customFormat="1" ht="11.25" customHeight="1" thickBot="1">
      <c r="A64" s="667"/>
      <c r="B64" s="668"/>
      <c r="C64" s="668"/>
      <c r="D64" s="668"/>
      <c r="E64" s="668"/>
      <c r="F64" s="668"/>
      <c r="G64" s="668"/>
      <c r="H64" s="669"/>
    </row>
    <row r="65" spans="2:8" s="36" customFormat="1">
      <c r="B65" s="15"/>
      <c r="C65" s="15"/>
      <c r="D65" s="16"/>
      <c r="E65" s="16"/>
      <c r="F65" s="255"/>
      <c r="G65" s="255"/>
      <c r="H65" s="71"/>
    </row>
    <row r="66" spans="2:8" s="36" customFormat="1">
      <c r="B66" s="15"/>
      <c r="C66" s="15"/>
      <c r="D66" s="16"/>
      <c r="E66" s="16"/>
      <c r="F66" s="255"/>
      <c r="G66" s="255"/>
      <c r="H66" s="71"/>
    </row>
    <row r="67" spans="2:8" s="36" customFormat="1">
      <c r="B67" s="15"/>
      <c r="C67" s="15"/>
      <c r="D67" s="16"/>
      <c r="E67" s="16"/>
      <c r="F67" s="255"/>
      <c r="G67" s="255"/>
      <c r="H67" s="71"/>
    </row>
    <row r="68" spans="2:8" s="36" customFormat="1">
      <c r="B68" s="15"/>
      <c r="C68" s="15"/>
      <c r="D68" s="16"/>
      <c r="E68" s="16"/>
      <c r="F68" s="255"/>
      <c r="G68" s="255"/>
      <c r="H68" s="71"/>
    </row>
    <row r="69" spans="2:8" s="36" customFormat="1">
      <c r="B69" s="15"/>
      <c r="C69" s="15"/>
      <c r="D69" s="16"/>
      <c r="E69" s="16"/>
      <c r="F69" s="255"/>
      <c r="G69" s="255"/>
      <c r="H69" s="71"/>
    </row>
    <row r="70" spans="2:8" s="36" customFormat="1">
      <c r="B70" s="15"/>
      <c r="C70" s="15"/>
      <c r="D70" s="16"/>
      <c r="E70" s="16"/>
      <c r="F70" s="255"/>
      <c r="G70" s="255"/>
      <c r="H70" s="71"/>
    </row>
    <row r="71" spans="2:8" s="36" customFormat="1">
      <c r="B71" s="15"/>
      <c r="C71" s="15"/>
      <c r="D71" s="16"/>
      <c r="E71" s="16"/>
      <c r="F71" s="255"/>
      <c r="G71" s="255"/>
      <c r="H71" s="71"/>
    </row>
    <row r="72" spans="2:8" s="36" customFormat="1">
      <c r="B72" s="15"/>
      <c r="C72" s="15"/>
      <c r="D72" s="16"/>
      <c r="E72" s="16"/>
      <c r="F72" s="255"/>
      <c r="G72" s="255"/>
      <c r="H72" s="71"/>
    </row>
    <row r="73" spans="2:8" s="36" customFormat="1">
      <c r="B73" s="15"/>
      <c r="C73" s="15"/>
      <c r="D73" s="16"/>
      <c r="E73" s="16"/>
      <c r="F73" s="255"/>
      <c r="G73" s="255"/>
      <c r="H73" s="71"/>
    </row>
    <row r="74" spans="2:8" s="36" customFormat="1">
      <c r="B74" s="15"/>
      <c r="C74" s="15"/>
      <c r="D74" s="16"/>
      <c r="E74" s="16"/>
      <c r="F74" s="255"/>
      <c r="G74" s="255"/>
      <c r="H74" s="71"/>
    </row>
    <row r="75" spans="2:8" s="36" customFormat="1">
      <c r="B75" s="15"/>
      <c r="C75" s="15"/>
      <c r="D75" s="16"/>
      <c r="E75" s="16"/>
      <c r="F75" s="255"/>
      <c r="G75" s="255"/>
      <c r="H75" s="71"/>
    </row>
    <row r="76" spans="2:8" s="36" customFormat="1">
      <c r="B76" s="15"/>
      <c r="C76" s="15"/>
      <c r="D76" s="16"/>
      <c r="E76" s="16"/>
      <c r="F76" s="255"/>
      <c r="G76" s="255"/>
      <c r="H76" s="71"/>
    </row>
    <row r="77" spans="2:8" s="36" customFormat="1">
      <c r="B77" s="15"/>
      <c r="C77" s="15"/>
      <c r="D77" s="16"/>
      <c r="E77" s="16"/>
      <c r="F77" s="255"/>
      <c r="G77" s="255"/>
      <c r="H77" s="71"/>
    </row>
    <row r="78" spans="2:8" s="36" customFormat="1">
      <c r="B78" s="15"/>
      <c r="C78" s="15"/>
      <c r="D78" s="16"/>
      <c r="E78" s="16"/>
      <c r="F78" s="255"/>
      <c r="G78" s="255"/>
      <c r="H78" s="71"/>
    </row>
    <row r="79" spans="2:8" s="36" customFormat="1">
      <c r="B79" s="15"/>
      <c r="C79" s="15"/>
      <c r="D79" s="16"/>
      <c r="E79" s="16"/>
      <c r="F79" s="255"/>
      <c r="G79" s="255"/>
      <c r="H79" s="71"/>
    </row>
    <row r="80" spans="2:8" s="36" customFormat="1">
      <c r="B80" s="15"/>
      <c r="C80" s="15"/>
      <c r="D80" s="16"/>
      <c r="E80" s="16"/>
      <c r="F80" s="255"/>
      <c r="G80" s="255"/>
      <c r="H80" s="71"/>
    </row>
    <row r="81" spans="2:8" s="36" customFormat="1">
      <c r="B81" s="15"/>
      <c r="C81" s="15"/>
      <c r="D81" s="16"/>
      <c r="E81" s="16"/>
      <c r="F81" s="255"/>
      <c r="G81" s="255"/>
      <c r="H81" s="71"/>
    </row>
    <row r="82" spans="2:8" s="36" customFormat="1">
      <c r="B82" s="15"/>
      <c r="C82" s="15"/>
      <c r="D82" s="16"/>
      <c r="E82" s="16"/>
      <c r="F82" s="255"/>
      <c r="G82" s="255"/>
      <c r="H82" s="71"/>
    </row>
    <row r="83" spans="2:8" s="36" customFormat="1">
      <c r="B83" s="15"/>
      <c r="C83" s="15"/>
      <c r="D83" s="16"/>
      <c r="E83" s="16"/>
      <c r="F83" s="255"/>
      <c r="G83" s="255"/>
      <c r="H83" s="71"/>
    </row>
    <row r="84" spans="2:8" s="36" customFormat="1">
      <c r="B84" s="15"/>
      <c r="C84" s="15"/>
      <c r="D84" s="16"/>
      <c r="E84" s="16"/>
      <c r="F84" s="255"/>
      <c r="G84" s="255"/>
      <c r="H84" s="71"/>
    </row>
    <row r="85" spans="2:8" s="36" customFormat="1">
      <c r="B85" s="15"/>
      <c r="C85" s="15"/>
      <c r="D85" s="16"/>
      <c r="E85" s="16"/>
      <c r="F85" s="255"/>
      <c r="G85" s="255"/>
      <c r="H85" s="71"/>
    </row>
    <row r="86" spans="2:8" s="36" customFormat="1">
      <c r="B86" s="15"/>
      <c r="C86" s="15"/>
      <c r="D86" s="16"/>
      <c r="E86" s="16"/>
      <c r="F86" s="255"/>
      <c r="G86" s="255"/>
      <c r="H86" s="71"/>
    </row>
    <row r="87" spans="2:8" s="36" customFormat="1">
      <c r="B87" s="15"/>
      <c r="C87" s="15"/>
      <c r="D87" s="16"/>
      <c r="E87" s="16"/>
      <c r="F87" s="255"/>
      <c r="G87" s="255"/>
      <c r="H87" s="71"/>
    </row>
    <row r="88" spans="2:8" s="36" customFormat="1">
      <c r="B88" s="15"/>
      <c r="C88" s="15"/>
      <c r="D88" s="16"/>
      <c r="E88" s="16"/>
      <c r="F88" s="255"/>
      <c r="G88" s="255"/>
      <c r="H88" s="71"/>
    </row>
    <row r="89" spans="2:8" s="36" customFormat="1">
      <c r="B89" s="15"/>
      <c r="C89" s="15"/>
      <c r="D89" s="16"/>
      <c r="E89" s="16"/>
      <c r="F89" s="255"/>
      <c r="G89" s="255"/>
      <c r="H89" s="71"/>
    </row>
    <row r="90" spans="2:8" s="36" customFormat="1">
      <c r="B90" s="15"/>
      <c r="C90" s="15"/>
      <c r="D90" s="16"/>
      <c r="E90" s="16"/>
      <c r="F90" s="255"/>
      <c r="G90" s="255"/>
      <c r="H90" s="71"/>
    </row>
    <row r="91" spans="2:8" s="36" customFormat="1">
      <c r="B91" s="15"/>
      <c r="C91" s="15"/>
      <c r="D91" s="16"/>
      <c r="E91" s="16"/>
      <c r="F91" s="255"/>
      <c r="G91" s="255"/>
      <c r="H91" s="71"/>
    </row>
    <row r="92" spans="2:8" s="36" customFormat="1">
      <c r="B92" s="15"/>
      <c r="C92" s="15"/>
      <c r="D92" s="16"/>
      <c r="E92" s="16"/>
      <c r="F92" s="255"/>
      <c r="G92" s="255"/>
      <c r="H92" s="71"/>
    </row>
    <row r="93" spans="2:8" s="36" customFormat="1">
      <c r="B93" s="15"/>
      <c r="C93" s="15"/>
      <c r="D93" s="16"/>
      <c r="E93" s="16"/>
      <c r="F93" s="255"/>
      <c r="G93" s="255"/>
      <c r="H93" s="71"/>
    </row>
    <row r="94" spans="2:8" s="36" customFormat="1">
      <c r="B94" s="15"/>
      <c r="C94" s="15"/>
      <c r="D94" s="16"/>
      <c r="E94" s="16"/>
      <c r="F94" s="255"/>
      <c r="G94" s="255"/>
      <c r="H94" s="71"/>
    </row>
    <row r="95" spans="2:8" s="36" customFormat="1">
      <c r="B95" s="15"/>
      <c r="C95" s="15"/>
      <c r="D95" s="16"/>
      <c r="E95" s="16"/>
      <c r="F95" s="255"/>
      <c r="G95" s="255"/>
      <c r="H95" s="71"/>
    </row>
    <row r="96" spans="2:8" s="36" customFormat="1">
      <c r="B96" s="15"/>
      <c r="C96" s="15"/>
      <c r="D96" s="16"/>
      <c r="E96" s="16"/>
      <c r="F96" s="255"/>
      <c r="G96" s="255"/>
      <c r="H96" s="71"/>
    </row>
    <row r="97" spans="2:8" s="36" customFormat="1">
      <c r="B97" s="15"/>
      <c r="C97" s="15"/>
      <c r="D97" s="16"/>
      <c r="E97" s="16"/>
      <c r="F97" s="255"/>
      <c r="G97" s="255"/>
      <c r="H97" s="71"/>
    </row>
    <row r="98" spans="2:8" s="36" customFormat="1">
      <c r="B98" s="15"/>
      <c r="C98" s="15"/>
      <c r="D98" s="16"/>
      <c r="E98" s="16"/>
      <c r="F98" s="255"/>
      <c r="G98" s="255"/>
      <c r="H98" s="71"/>
    </row>
    <row r="99" spans="2:8" s="36" customFormat="1">
      <c r="B99" s="15"/>
      <c r="C99" s="15"/>
      <c r="D99" s="16"/>
      <c r="E99" s="16"/>
      <c r="F99" s="255"/>
      <c r="G99" s="255"/>
      <c r="H99" s="71"/>
    </row>
    <row r="100" spans="2:8" s="36" customFormat="1">
      <c r="B100" s="15"/>
      <c r="C100" s="15"/>
      <c r="D100" s="16"/>
      <c r="E100" s="16"/>
      <c r="F100" s="255"/>
      <c r="G100" s="255"/>
      <c r="H100" s="71"/>
    </row>
    <row r="101" spans="2:8" s="36" customFormat="1">
      <c r="B101" s="15"/>
      <c r="C101" s="15"/>
      <c r="D101" s="16"/>
      <c r="E101" s="16"/>
      <c r="F101" s="255"/>
      <c r="G101" s="255"/>
      <c r="H101" s="71"/>
    </row>
    <row r="102" spans="2:8" s="36" customFormat="1">
      <c r="B102" s="15"/>
      <c r="C102" s="15"/>
      <c r="D102" s="16"/>
      <c r="E102" s="16"/>
      <c r="F102" s="255"/>
      <c r="G102" s="255"/>
      <c r="H102" s="71"/>
    </row>
    <row r="103" spans="2:8" s="36" customFormat="1">
      <c r="B103" s="15"/>
      <c r="C103" s="15"/>
      <c r="D103" s="16"/>
      <c r="E103" s="16"/>
      <c r="F103" s="255"/>
      <c r="G103" s="255"/>
      <c r="H103" s="71"/>
    </row>
    <row r="104" spans="2:8" s="36" customFormat="1">
      <c r="B104" s="15"/>
      <c r="C104" s="15"/>
      <c r="D104" s="16"/>
      <c r="E104" s="16"/>
      <c r="F104" s="255"/>
      <c r="G104" s="255"/>
      <c r="H104" s="71"/>
    </row>
    <row r="105" spans="2:8" s="36" customFormat="1">
      <c r="B105" s="15"/>
      <c r="C105" s="15"/>
      <c r="D105" s="16"/>
      <c r="E105" s="16"/>
      <c r="F105" s="255"/>
      <c r="G105" s="255"/>
      <c r="H105" s="71"/>
    </row>
    <row r="106" spans="2:8" s="36" customFormat="1">
      <c r="B106" s="15"/>
      <c r="C106" s="15"/>
      <c r="D106" s="16"/>
      <c r="E106" s="16"/>
      <c r="F106" s="255"/>
      <c r="G106" s="255"/>
      <c r="H106" s="71"/>
    </row>
    <row r="107" spans="2:8" s="36" customFormat="1">
      <c r="B107" s="15"/>
      <c r="C107" s="15"/>
      <c r="D107" s="16"/>
      <c r="E107" s="16"/>
      <c r="F107" s="255"/>
      <c r="G107" s="255"/>
      <c r="H107" s="71"/>
    </row>
    <row r="108" spans="2:8" s="36" customFormat="1">
      <c r="B108" s="15"/>
      <c r="C108" s="15"/>
      <c r="D108" s="16"/>
      <c r="E108" s="16"/>
      <c r="F108" s="255"/>
      <c r="G108" s="255"/>
      <c r="H108" s="71"/>
    </row>
    <row r="109" spans="2:8" s="36" customFormat="1">
      <c r="B109" s="15"/>
      <c r="C109" s="15"/>
      <c r="D109" s="16"/>
      <c r="E109" s="16"/>
      <c r="F109" s="255"/>
      <c r="G109" s="255"/>
      <c r="H109" s="71"/>
    </row>
    <row r="110" spans="2:8" s="36" customFormat="1">
      <c r="B110" s="15"/>
      <c r="C110" s="15"/>
      <c r="D110" s="16"/>
      <c r="E110" s="16"/>
      <c r="F110" s="255"/>
      <c r="G110" s="255"/>
      <c r="H110" s="71"/>
    </row>
    <row r="111" spans="2:8" s="36" customFormat="1">
      <c r="B111" s="15"/>
      <c r="C111" s="15"/>
      <c r="D111" s="16"/>
      <c r="E111" s="16"/>
      <c r="F111" s="255"/>
      <c r="G111" s="255"/>
      <c r="H111" s="71"/>
    </row>
    <row r="112" spans="2:8" s="36" customFormat="1">
      <c r="B112" s="15"/>
      <c r="C112" s="15"/>
      <c r="D112" s="16"/>
      <c r="E112" s="16"/>
      <c r="F112" s="255"/>
      <c r="G112" s="255"/>
      <c r="H112" s="71"/>
    </row>
    <row r="113" spans="2:8" s="36" customFormat="1">
      <c r="B113" s="15"/>
      <c r="C113" s="15"/>
      <c r="D113" s="16"/>
      <c r="E113" s="16"/>
      <c r="F113" s="255"/>
      <c r="G113" s="255"/>
      <c r="H113" s="71"/>
    </row>
    <row r="114" spans="2:8" s="36" customFormat="1">
      <c r="B114" s="15"/>
      <c r="C114" s="15"/>
      <c r="D114" s="16"/>
      <c r="E114" s="16"/>
      <c r="F114" s="255"/>
      <c r="G114" s="255"/>
      <c r="H114" s="71"/>
    </row>
    <row r="115" spans="2:8" s="36" customFormat="1">
      <c r="B115" s="15"/>
      <c r="C115" s="15"/>
      <c r="D115" s="16"/>
      <c r="E115" s="16"/>
      <c r="F115" s="255"/>
      <c r="G115" s="255"/>
      <c r="H115" s="71"/>
    </row>
    <row r="116" spans="2:8" s="36" customFormat="1">
      <c r="B116" s="15"/>
      <c r="C116" s="15"/>
      <c r="D116" s="16"/>
      <c r="E116" s="16"/>
      <c r="F116" s="255"/>
      <c r="G116" s="255"/>
      <c r="H116" s="71"/>
    </row>
    <row r="117" spans="2:8" s="36" customFormat="1">
      <c r="B117" s="15"/>
      <c r="C117" s="15"/>
      <c r="D117" s="16"/>
      <c r="E117" s="16"/>
      <c r="F117" s="255"/>
      <c r="G117" s="255"/>
      <c r="H117" s="71"/>
    </row>
    <row r="118" spans="2:8" s="36" customFormat="1">
      <c r="B118" s="15"/>
      <c r="C118" s="15"/>
      <c r="D118" s="16"/>
      <c r="E118" s="16"/>
      <c r="F118" s="255"/>
      <c r="G118" s="255"/>
      <c r="H118" s="71"/>
    </row>
    <row r="119" spans="2:8" s="36" customFormat="1">
      <c r="B119" s="15"/>
      <c r="C119" s="15"/>
      <c r="D119" s="16"/>
      <c r="E119" s="16"/>
      <c r="F119" s="255"/>
      <c r="G119" s="255"/>
      <c r="H119" s="71"/>
    </row>
    <row r="120" spans="2:8" s="36" customFormat="1">
      <c r="B120" s="15"/>
      <c r="C120" s="15"/>
      <c r="D120" s="16"/>
      <c r="E120" s="16"/>
      <c r="F120" s="255"/>
      <c r="G120" s="255"/>
      <c r="H120" s="71"/>
    </row>
    <row r="121" spans="2:8" s="36" customFormat="1">
      <c r="B121" s="15"/>
      <c r="C121" s="15"/>
      <c r="D121" s="16"/>
      <c r="E121" s="16"/>
      <c r="F121" s="255"/>
      <c r="G121" s="255"/>
      <c r="H121" s="71"/>
    </row>
    <row r="122" spans="2:8" s="36" customFormat="1">
      <c r="B122" s="15"/>
      <c r="C122" s="15"/>
      <c r="D122" s="16"/>
      <c r="E122" s="16"/>
      <c r="F122" s="255"/>
      <c r="G122" s="255"/>
      <c r="H122" s="71"/>
    </row>
    <row r="123" spans="2:8" s="36" customFormat="1">
      <c r="B123" s="15"/>
      <c r="C123" s="15"/>
      <c r="D123" s="16"/>
      <c r="E123" s="16"/>
      <c r="F123" s="255"/>
      <c r="G123" s="255"/>
      <c r="H123" s="71"/>
    </row>
    <row r="124" spans="2:8" s="36" customFormat="1">
      <c r="B124" s="15"/>
      <c r="C124" s="15"/>
      <c r="D124" s="16"/>
      <c r="E124" s="16"/>
      <c r="F124" s="255"/>
      <c r="G124" s="255"/>
      <c r="H124" s="71"/>
    </row>
    <row r="125" spans="2:8" s="36" customFormat="1">
      <c r="B125" s="15"/>
      <c r="C125" s="15"/>
      <c r="D125" s="16"/>
      <c r="E125" s="16"/>
      <c r="F125" s="255"/>
      <c r="G125" s="255"/>
      <c r="H125" s="71"/>
    </row>
    <row r="126" spans="2:8" s="36" customFormat="1">
      <c r="B126" s="15"/>
      <c r="C126" s="15"/>
      <c r="D126" s="16"/>
      <c r="E126" s="16"/>
      <c r="F126" s="255"/>
      <c r="G126" s="255"/>
      <c r="H126" s="71"/>
    </row>
    <row r="127" spans="2:8" s="36" customFormat="1">
      <c r="B127" s="15"/>
      <c r="C127" s="15"/>
      <c r="D127" s="16"/>
      <c r="E127" s="16"/>
      <c r="F127" s="255"/>
      <c r="G127" s="255"/>
      <c r="H127" s="71"/>
    </row>
    <row r="128" spans="2:8" s="36" customFormat="1">
      <c r="B128" s="15"/>
      <c r="C128" s="15"/>
      <c r="D128" s="16"/>
      <c r="E128" s="16"/>
      <c r="F128" s="255"/>
      <c r="G128" s="255"/>
      <c r="H128" s="71"/>
    </row>
    <row r="129" spans="2:8" s="36" customFormat="1">
      <c r="B129" s="15"/>
      <c r="C129" s="15"/>
      <c r="D129" s="16"/>
      <c r="E129" s="16"/>
      <c r="F129" s="255"/>
      <c r="G129" s="255"/>
      <c r="H129" s="71"/>
    </row>
    <row r="130" spans="2:8" s="36" customFormat="1">
      <c r="B130" s="15"/>
      <c r="C130" s="15"/>
      <c r="D130" s="16"/>
      <c r="E130" s="16"/>
      <c r="F130" s="255"/>
      <c r="G130" s="255"/>
      <c r="H130" s="71"/>
    </row>
    <row r="131" spans="2:8" s="36" customFormat="1">
      <c r="B131" s="15"/>
      <c r="C131" s="15"/>
      <c r="D131" s="16"/>
      <c r="E131" s="16"/>
      <c r="F131" s="255"/>
      <c r="G131" s="255"/>
      <c r="H131" s="71"/>
    </row>
    <row r="132" spans="2:8" s="36" customFormat="1">
      <c r="B132" s="15"/>
      <c r="C132" s="15"/>
      <c r="D132" s="16"/>
      <c r="E132" s="16"/>
      <c r="F132" s="255"/>
      <c r="G132" s="255"/>
      <c r="H132" s="71"/>
    </row>
    <row r="133" spans="2:8" s="36" customFormat="1">
      <c r="B133" s="15"/>
      <c r="C133" s="15"/>
      <c r="D133" s="16"/>
      <c r="E133" s="16"/>
      <c r="F133" s="255"/>
      <c r="G133" s="255"/>
      <c r="H133" s="71"/>
    </row>
    <row r="134" spans="2:8" s="36" customFormat="1">
      <c r="B134" s="15"/>
      <c r="C134" s="15"/>
      <c r="D134" s="16"/>
      <c r="E134" s="16"/>
      <c r="F134" s="255"/>
      <c r="G134" s="255"/>
      <c r="H134" s="71"/>
    </row>
    <row r="135" spans="2:8" s="36" customFormat="1">
      <c r="B135" s="15"/>
      <c r="C135" s="15"/>
      <c r="D135" s="16"/>
      <c r="E135" s="16"/>
      <c r="F135" s="255"/>
      <c r="G135" s="255"/>
      <c r="H135" s="71"/>
    </row>
    <row r="136" spans="2:8" s="36" customFormat="1">
      <c r="B136" s="15"/>
      <c r="C136" s="15"/>
      <c r="D136" s="16"/>
      <c r="E136" s="16"/>
      <c r="F136" s="255"/>
      <c r="G136" s="255"/>
      <c r="H136" s="71"/>
    </row>
    <row r="137" spans="2:8" s="36" customFormat="1">
      <c r="B137" s="15"/>
      <c r="C137" s="15"/>
      <c r="D137" s="16"/>
      <c r="E137" s="16"/>
      <c r="F137" s="255"/>
      <c r="G137" s="255"/>
      <c r="H137" s="71"/>
    </row>
    <row r="138" spans="2:8" s="36" customFormat="1">
      <c r="B138" s="15"/>
      <c r="C138" s="15"/>
      <c r="D138" s="16"/>
      <c r="E138" s="16"/>
      <c r="F138" s="255"/>
      <c r="G138" s="255"/>
      <c r="H138" s="71"/>
    </row>
    <row r="139" spans="2:8" s="36" customFormat="1">
      <c r="B139" s="15"/>
      <c r="C139" s="15"/>
      <c r="D139" s="16"/>
      <c r="E139" s="16"/>
      <c r="F139" s="255"/>
      <c r="G139" s="255"/>
      <c r="H139" s="71"/>
    </row>
    <row r="140" spans="2:8" s="36" customFormat="1">
      <c r="B140" s="15"/>
      <c r="C140" s="15"/>
      <c r="D140" s="16"/>
      <c r="E140" s="16"/>
      <c r="F140" s="255"/>
      <c r="G140" s="255"/>
      <c r="H140" s="71"/>
    </row>
    <row r="141" spans="2:8" s="36" customFormat="1">
      <c r="B141" s="15"/>
      <c r="C141" s="15"/>
      <c r="D141" s="16"/>
      <c r="E141" s="16"/>
      <c r="F141" s="255"/>
      <c r="G141" s="255"/>
      <c r="H141" s="71"/>
    </row>
    <row r="142" spans="2:8" s="36" customFormat="1">
      <c r="B142" s="15"/>
      <c r="C142" s="15"/>
      <c r="D142" s="16"/>
      <c r="E142" s="16"/>
      <c r="F142" s="255"/>
      <c r="G142" s="255"/>
      <c r="H142" s="71"/>
    </row>
    <row r="143" spans="2:8" s="36" customFormat="1">
      <c r="B143" s="15"/>
      <c r="C143" s="15"/>
      <c r="D143" s="16"/>
      <c r="E143" s="16"/>
      <c r="F143" s="255"/>
      <c r="G143" s="255"/>
      <c r="H143" s="71"/>
    </row>
    <row r="144" spans="2:8" s="36" customFormat="1">
      <c r="B144" s="15"/>
      <c r="C144" s="15"/>
      <c r="D144" s="16"/>
      <c r="E144" s="16"/>
      <c r="F144" s="255"/>
      <c r="G144" s="255"/>
      <c r="H144" s="71"/>
    </row>
    <row r="145" spans="2:8" s="36" customFormat="1">
      <c r="B145" s="15"/>
      <c r="C145" s="15"/>
      <c r="D145" s="16"/>
      <c r="E145" s="16"/>
      <c r="F145" s="255"/>
      <c r="G145" s="255"/>
      <c r="H145" s="71"/>
    </row>
    <row r="146" spans="2:8" s="36" customFormat="1">
      <c r="B146" s="15"/>
      <c r="C146" s="15"/>
      <c r="D146" s="16"/>
      <c r="E146" s="16"/>
      <c r="F146" s="255"/>
      <c r="G146" s="255"/>
      <c r="H146" s="71"/>
    </row>
    <row r="147" spans="2:8" s="36" customFormat="1">
      <c r="B147" s="15"/>
      <c r="C147" s="15"/>
      <c r="D147" s="16"/>
      <c r="E147" s="16"/>
      <c r="F147" s="255"/>
      <c r="G147" s="255"/>
      <c r="H147" s="71"/>
    </row>
    <row r="148" spans="2:8" s="36" customFormat="1">
      <c r="B148" s="15"/>
      <c r="C148" s="15"/>
      <c r="D148" s="16"/>
      <c r="E148" s="16"/>
      <c r="F148" s="255"/>
      <c r="G148" s="255"/>
      <c r="H148" s="71"/>
    </row>
    <row r="149" spans="2:8" s="36" customFormat="1">
      <c r="B149" s="15"/>
      <c r="C149" s="15"/>
      <c r="D149" s="16"/>
      <c r="E149" s="16"/>
      <c r="F149" s="255"/>
      <c r="G149" s="255"/>
      <c r="H149" s="71"/>
    </row>
    <row r="150" spans="2:8" s="36" customFormat="1">
      <c r="B150" s="15"/>
      <c r="C150" s="15"/>
      <c r="D150" s="16"/>
      <c r="E150" s="16"/>
      <c r="F150" s="255"/>
      <c r="G150" s="255"/>
      <c r="H150" s="71"/>
    </row>
    <row r="151" spans="2:8" s="36" customFormat="1">
      <c r="B151" s="15"/>
      <c r="C151" s="15"/>
      <c r="D151" s="16"/>
      <c r="E151" s="16"/>
      <c r="F151" s="255"/>
      <c r="G151" s="255"/>
      <c r="H151" s="71"/>
    </row>
    <row r="152" spans="2:8" s="36" customFormat="1">
      <c r="B152" s="15"/>
      <c r="C152" s="15"/>
      <c r="D152" s="16"/>
      <c r="E152" s="16"/>
      <c r="F152" s="255"/>
      <c r="G152" s="255"/>
      <c r="H152" s="71"/>
    </row>
    <row r="153" spans="2:8" s="36" customFormat="1">
      <c r="B153" s="15"/>
      <c r="C153" s="15"/>
      <c r="D153" s="16"/>
      <c r="E153" s="16"/>
      <c r="F153" s="255"/>
      <c r="G153" s="255"/>
      <c r="H153" s="71"/>
    </row>
    <row r="154" spans="2:8" s="36" customFormat="1">
      <c r="B154" s="15"/>
      <c r="C154" s="15"/>
      <c r="D154" s="16"/>
      <c r="E154" s="16"/>
      <c r="F154" s="255"/>
      <c r="G154" s="255"/>
      <c r="H154" s="71"/>
    </row>
    <row r="155" spans="2:8" s="36" customFormat="1">
      <c r="B155" s="15"/>
      <c r="C155" s="15"/>
      <c r="D155" s="16"/>
      <c r="E155" s="16"/>
      <c r="F155" s="255"/>
      <c r="G155" s="255"/>
      <c r="H155" s="71"/>
    </row>
    <row r="156" spans="2:8" s="36" customFormat="1">
      <c r="B156" s="15"/>
      <c r="C156" s="15"/>
      <c r="D156" s="16"/>
      <c r="E156" s="16"/>
      <c r="F156" s="255"/>
      <c r="G156" s="255"/>
      <c r="H156" s="71"/>
    </row>
    <row r="157" spans="2:8" s="36" customFormat="1">
      <c r="B157" s="15"/>
      <c r="C157" s="15"/>
      <c r="D157" s="16"/>
      <c r="E157" s="16"/>
      <c r="F157" s="255"/>
      <c r="G157" s="255"/>
      <c r="H157" s="71"/>
    </row>
    <row r="158" spans="2:8" s="36" customFormat="1">
      <c r="B158" s="15"/>
      <c r="C158" s="15"/>
      <c r="D158" s="16"/>
      <c r="E158" s="16"/>
      <c r="F158" s="255"/>
      <c r="G158" s="255"/>
      <c r="H158" s="71"/>
    </row>
    <row r="159" spans="2:8" s="36" customFormat="1">
      <c r="B159" s="15"/>
      <c r="C159" s="15"/>
      <c r="D159" s="16"/>
      <c r="E159" s="16"/>
      <c r="F159" s="255"/>
      <c r="G159" s="255"/>
      <c r="H159" s="71"/>
    </row>
    <row r="160" spans="2:8" s="36" customFormat="1">
      <c r="B160" s="15"/>
      <c r="C160" s="15"/>
      <c r="D160" s="16"/>
      <c r="E160" s="16"/>
      <c r="F160" s="255"/>
      <c r="G160" s="255"/>
      <c r="H160" s="71"/>
    </row>
    <row r="161" spans="2:8" s="36" customFormat="1">
      <c r="B161" s="15"/>
      <c r="C161" s="15"/>
      <c r="D161" s="16"/>
      <c r="E161" s="16"/>
      <c r="F161" s="255"/>
      <c r="G161" s="255"/>
      <c r="H161" s="71"/>
    </row>
    <row r="162" spans="2:8" s="36" customFormat="1">
      <c r="B162" s="15"/>
      <c r="C162" s="15"/>
      <c r="D162" s="16"/>
      <c r="E162" s="16"/>
      <c r="F162" s="255"/>
      <c r="G162" s="255"/>
      <c r="H162" s="71"/>
    </row>
    <row r="163" spans="2:8" s="36" customFormat="1">
      <c r="B163" s="15"/>
      <c r="C163" s="15"/>
      <c r="D163" s="16"/>
      <c r="E163" s="16"/>
      <c r="F163" s="255"/>
      <c r="G163" s="255"/>
      <c r="H163" s="71"/>
    </row>
    <row r="164" spans="2:8" s="36" customFormat="1">
      <c r="B164" s="15"/>
      <c r="C164" s="15"/>
      <c r="D164" s="16"/>
      <c r="E164" s="16"/>
      <c r="F164" s="255"/>
      <c r="G164" s="255"/>
      <c r="H164" s="71"/>
    </row>
    <row r="165" spans="2:8" s="36" customFormat="1">
      <c r="B165" s="15"/>
      <c r="C165" s="15"/>
      <c r="D165" s="16"/>
      <c r="E165" s="16"/>
      <c r="F165" s="255"/>
      <c r="G165" s="255"/>
      <c r="H165" s="71"/>
    </row>
    <row r="166" spans="2:8" s="36" customFormat="1">
      <c r="B166" s="15"/>
      <c r="C166" s="15"/>
      <c r="D166" s="16"/>
      <c r="E166" s="16"/>
      <c r="F166" s="255"/>
      <c r="G166" s="255"/>
      <c r="H166" s="71"/>
    </row>
    <row r="167" spans="2:8" s="36" customFormat="1">
      <c r="B167" s="15"/>
      <c r="C167" s="15"/>
      <c r="D167" s="16"/>
      <c r="E167" s="16"/>
      <c r="F167" s="255"/>
      <c r="G167" s="255"/>
      <c r="H167" s="71"/>
    </row>
    <row r="168" spans="2:8" s="36" customFormat="1">
      <c r="B168" s="15"/>
      <c r="C168" s="15"/>
      <c r="D168" s="16"/>
      <c r="E168" s="16"/>
      <c r="F168" s="255"/>
      <c r="G168" s="255"/>
      <c r="H168" s="71"/>
    </row>
    <row r="169" spans="2:8" s="36" customFormat="1">
      <c r="B169" s="15"/>
      <c r="C169" s="15"/>
      <c r="D169" s="16"/>
      <c r="E169" s="16"/>
      <c r="F169" s="255"/>
      <c r="G169" s="255"/>
      <c r="H169" s="71"/>
    </row>
    <row r="170" spans="2:8" s="36" customFormat="1">
      <c r="B170" s="15"/>
      <c r="C170" s="15"/>
      <c r="D170" s="16"/>
      <c r="E170" s="16"/>
      <c r="F170" s="255"/>
      <c r="G170" s="255"/>
      <c r="H170" s="71"/>
    </row>
    <row r="171" spans="2:8" s="36" customFormat="1">
      <c r="B171" s="15"/>
      <c r="C171" s="15"/>
      <c r="D171" s="16"/>
      <c r="E171" s="16"/>
      <c r="F171" s="255"/>
      <c r="G171" s="255"/>
      <c r="H171" s="71"/>
    </row>
    <row r="172" spans="2:8" s="36" customFormat="1">
      <c r="B172" s="15"/>
      <c r="C172" s="15"/>
      <c r="D172" s="16"/>
      <c r="E172" s="16"/>
      <c r="F172" s="255"/>
      <c r="G172" s="255"/>
      <c r="H172" s="71"/>
    </row>
    <row r="173" spans="2:8" s="36" customFormat="1">
      <c r="B173" s="15"/>
      <c r="C173" s="15"/>
      <c r="D173" s="16"/>
      <c r="E173" s="16"/>
      <c r="F173" s="255"/>
      <c r="G173" s="255"/>
      <c r="H173" s="71"/>
    </row>
    <row r="174" spans="2:8" s="36" customFormat="1">
      <c r="B174" s="15"/>
      <c r="C174" s="15"/>
      <c r="D174" s="16"/>
      <c r="E174" s="16"/>
      <c r="F174" s="255"/>
      <c r="G174" s="255"/>
      <c r="H174" s="71"/>
    </row>
    <row r="175" spans="2:8" s="36" customFormat="1">
      <c r="B175" s="15"/>
      <c r="C175" s="15"/>
      <c r="D175" s="16"/>
      <c r="E175" s="16"/>
      <c r="F175" s="255"/>
      <c r="G175" s="255"/>
      <c r="H175" s="71"/>
    </row>
    <row r="176" spans="2:8" s="36" customFormat="1">
      <c r="B176" s="15"/>
      <c r="C176" s="15"/>
      <c r="D176" s="16"/>
      <c r="E176" s="16"/>
      <c r="F176" s="255"/>
      <c r="G176" s="255"/>
      <c r="H176" s="71"/>
    </row>
    <row r="177" spans="2:8" s="36" customFormat="1">
      <c r="B177" s="15"/>
      <c r="C177" s="15"/>
      <c r="D177" s="16"/>
      <c r="E177" s="16"/>
      <c r="F177" s="255"/>
      <c r="G177" s="255"/>
      <c r="H177" s="71"/>
    </row>
    <row r="178" spans="2:8" s="36" customFormat="1">
      <c r="B178" s="15"/>
      <c r="C178" s="15"/>
      <c r="D178" s="16"/>
      <c r="E178" s="16"/>
      <c r="F178" s="255"/>
      <c r="G178" s="255"/>
      <c r="H178" s="71"/>
    </row>
    <row r="179" spans="2:8" s="36" customFormat="1">
      <c r="B179" s="15"/>
      <c r="C179" s="15"/>
      <c r="D179" s="16"/>
      <c r="E179" s="16"/>
      <c r="F179" s="255"/>
      <c r="G179" s="255"/>
      <c r="H179" s="71"/>
    </row>
    <row r="180" spans="2:8" s="36" customFormat="1">
      <c r="B180" s="15"/>
      <c r="C180" s="15"/>
      <c r="D180" s="16"/>
      <c r="E180" s="16"/>
      <c r="F180" s="255"/>
      <c r="G180" s="255"/>
      <c r="H180" s="71"/>
    </row>
  </sheetData>
  <sheetProtection formatCells="0" formatColumns="0" formatRows="0" insertRows="0" deleteRows="0" selectLockedCells="1"/>
  <customSheetViews>
    <customSheetView guid="{D5CEF8EB-A9A7-4458-BF65-8F18E34CBA87}" scale="90" showPageBreaks="1">
      <selection activeCell="G41" sqref="G41"/>
      <rowBreaks count="2" manualBreakCount="2">
        <brk id="24" max="16383" man="1"/>
        <brk id="65" max="16383" man="1"/>
      </rowBreaks>
      <pageMargins left="0.5" right="0.5" top="0.25" bottom="0.5" header="0.5" footer="0.25"/>
      <printOptions horizontalCentered="1"/>
      <pageSetup scale="84" fitToHeight="7" orientation="landscape" r:id="rId1"/>
      <headerFooter alignWithMargins="0">
        <oddFooter>&amp;Lc. Travel&amp;RPage &amp;P of &amp;N</oddFooter>
      </headerFooter>
    </customSheetView>
    <customSheetView guid="{6588CF8C-0BB8-4786-9A46-0A2D10254132}" scale="90" showPageBreaks="1">
      <selection activeCell="F11" sqref="F11"/>
      <rowBreaks count="2" manualBreakCount="2">
        <brk id="24" max="16383" man="1"/>
        <brk id="65" max="16383" man="1"/>
      </rowBreaks>
      <pageMargins left="0.5" right="0.5" top="0.25" bottom="0.5" header="0.5" footer="0.25"/>
      <printOptions horizontalCentered="1"/>
      <pageSetup scale="84" fitToHeight="7" orientation="landscape" r:id="rId2"/>
      <headerFooter alignWithMargins="0">
        <oddFooter>&amp;Lc. Travel&amp;RPage &amp;P of &amp;N</oddFooter>
      </headerFooter>
    </customSheetView>
    <customSheetView guid="{712CE29F-EFCA-4968-A7C5-599F87319D6A}" scale="90" topLeftCell="A25">
      <selection activeCell="G1" sqref="G1"/>
      <rowBreaks count="2" manualBreakCount="2">
        <brk id="24" max="16383" man="1"/>
        <brk id="65" max="16383" man="1"/>
      </rowBreaks>
      <pageMargins left="0.5" right="0.5" top="0.25" bottom="0.5" header="0.5" footer="0.25"/>
      <printOptions horizontalCentered="1"/>
      <pageSetup scale="84" fitToHeight="7" orientation="landscape" r:id="rId3"/>
      <headerFooter alignWithMargins="0">
        <oddFooter>&amp;Lc. Travel&amp;RPage &amp;P of &amp;N</oddFooter>
      </headerFooter>
    </customSheetView>
    <customSheetView guid="{5BEC5FDE-32D0-42EF-8D2A-06DCBD4F05CC}" scale="90" showPageBreaks="1">
      <selection activeCell="B11" sqref="B11"/>
      <rowBreaks count="1" manualBreakCount="1">
        <brk id="24" max="16383" man="1"/>
      </rowBreaks>
      <pageMargins left="0.5" right="0.5" top="0.25" bottom="0.5" header="0.5" footer="0.25"/>
      <printOptions horizontalCentered="1"/>
      <pageSetup scale="84" fitToHeight="7" orientation="landscape" r:id="rId4"/>
      <headerFooter alignWithMargins="0">
        <oddFooter>&amp;Lc. Travel&amp;RPage &amp;P of &amp;N</oddFooter>
      </headerFooter>
    </customSheetView>
    <customSheetView guid="{D7FF18E2-A72D-4088-BD59-9D74A43C39A8}" scale="90" showPageBreaks="1" topLeftCell="A4">
      <selection activeCell="G9" sqref="G9"/>
      <rowBreaks count="2" manualBreakCount="2">
        <brk id="24" max="16383" man="1"/>
        <brk id="65" max="16383" man="1"/>
      </rowBreaks>
      <pageMargins left="0.5" right="0.5" top="0.25" bottom="0.5" header="0.5" footer="0.25"/>
      <printOptions horizontalCentered="1"/>
      <pageSetup scale="84" fitToHeight="7" orientation="landscape" r:id="rId5"/>
      <headerFooter alignWithMargins="0">
        <oddFooter>&amp;Lc. Travel&amp;RPage &amp;P of &amp;N</oddFooter>
      </headerFooter>
    </customSheetView>
  </customSheetViews>
  <mergeCells count="7">
    <mergeCell ref="A2:H2"/>
    <mergeCell ref="A1:B1"/>
    <mergeCell ref="A62:H64"/>
    <mergeCell ref="A42:H42"/>
    <mergeCell ref="A6:H6"/>
    <mergeCell ref="A25:H25"/>
    <mergeCell ref="A3:H3"/>
  </mergeCells>
  <phoneticPr fontId="2" type="noConversion"/>
  <printOptions horizontalCentered="1"/>
  <pageMargins left="0.5" right="0.5" top="0.25" bottom="0.5" header="0.5" footer="0.25"/>
  <pageSetup scale="84" fitToHeight="7" orientation="landscape" r:id="rId6"/>
  <headerFooter alignWithMargins="0">
    <oddFooter>&amp;Lc. Travel&amp;RPage &amp;P of &amp;N</oddFooter>
  </headerFooter>
  <rowBreaks count="2" manualBreakCount="2">
    <brk id="24" max="16383" man="1"/>
    <brk id="65" max="16383" man="1"/>
  </rowBreaks>
</worksheet>
</file>

<file path=xl/worksheets/sheet5.xml><?xml version="1.0" encoding="utf-8"?>
<worksheet xmlns="http://schemas.openxmlformats.org/spreadsheetml/2006/main" xmlns:r="http://schemas.openxmlformats.org/officeDocument/2006/relationships">
  <sheetPr codeName="Sheet5">
    <pageSetUpPr fitToPage="1"/>
  </sheetPr>
  <dimension ref="A1:L47"/>
  <sheetViews>
    <sheetView zoomScale="90" workbookViewId="0">
      <selection activeCell="H38" sqref="H38"/>
    </sheetView>
  </sheetViews>
  <sheetFormatPr defaultRowHeight="12.75"/>
  <cols>
    <col min="1" max="1" width="40.7109375" style="36" customWidth="1"/>
    <col min="2" max="2" width="6.7109375" style="27" customWidth="1"/>
    <col min="3" max="3" width="10.42578125" style="255" customWidth="1"/>
    <col min="4" max="4" width="12.140625" style="255" customWidth="1"/>
    <col min="5" max="5" width="29.28515625" style="16" customWidth="1"/>
    <col min="6" max="6" width="51.140625" style="27" customWidth="1"/>
    <col min="7" max="16384" width="9.140625" style="36"/>
  </cols>
  <sheetData>
    <row r="1" spans="1:12" s="33" customFormat="1" ht="12.75" customHeight="1">
      <c r="A1" s="729" t="s">
        <v>229</v>
      </c>
      <c r="B1" s="729"/>
      <c r="C1" s="729"/>
      <c r="D1" s="729"/>
      <c r="E1" s="73"/>
      <c r="F1" s="317">
        <f>'Instructions and Summary'!G5</f>
        <v>0</v>
      </c>
      <c r="G1" s="73"/>
      <c r="H1" s="73"/>
      <c r="I1" s="73"/>
    </row>
    <row r="2" spans="1:12" s="60" customFormat="1" ht="22.5" customHeight="1" thickBot="1">
      <c r="A2" s="742" t="s">
        <v>101</v>
      </c>
      <c r="B2" s="742"/>
      <c r="C2" s="742"/>
      <c r="D2" s="742"/>
      <c r="E2" s="742"/>
      <c r="F2" s="742"/>
      <c r="G2" s="59"/>
      <c r="H2" s="59"/>
      <c r="I2" s="59"/>
      <c r="J2" s="59"/>
      <c r="K2" s="59"/>
      <c r="L2" s="59"/>
    </row>
    <row r="3" spans="1:12" ht="221.25" customHeight="1" thickBot="1">
      <c r="A3" s="739" t="s">
        <v>236</v>
      </c>
      <c r="B3" s="743"/>
      <c r="C3" s="743"/>
      <c r="D3" s="743"/>
      <c r="E3" s="743"/>
      <c r="F3" s="744"/>
    </row>
    <row r="4" spans="1:12" ht="13.5" thickBot="1">
      <c r="A4" s="13"/>
      <c r="B4" s="14"/>
    </row>
    <row r="5" spans="1:12" s="163" customFormat="1" ht="23.25" customHeight="1" thickBot="1">
      <c r="A5" s="41" t="s">
        <v>117</v>
      </c>
      <c r="B5" s="17" t="s">
        <v>118</v>
      </c>
      <c r="C5" s="75" t="s">
        <v>119</v>
      </c>
      <c r="D5" s="75" t="s">
        <v>120</v>
      </c>
      <c r="E5" s="19" t="s">
        <v>121</v>
      </c>
      <c r="F5" s="20" t="s">
        <v>122</v>
      </c>
    </row>
    <row r="6" spans="1:12" s="33" customFormat="1" ht="15.75" thickBot="1">
      <c r="A6" s="745" t="s">
        <v>106</v>
      </c>
      <c r="B6" s="746"/>
      <c r="C6" s="746"/>
      <c r="D6" s="746"/>
      <c r="E6" s="746"/>
      <c r="F6" s="747"/>
    </row>
    <row r="7" spans="1:12" ht="15.75" customHeight="1" thickBot="1">
      <c r="A7" s="523" t="s">
        <v>214</v>
      </c>
      <c r="B7" s="524">
        <v>2</v>
      </c>
      <c r="C7" s="527">
        <v>20000</v>
      </c>
      <c r="D7" s="527">
        <f>B7*C7</f>
        <v>40000</v>
      </c>
      <c r="E7" s="526" t="s">
        <v>191</v>
      </c>
      <c r="F7" s="528" t="s">
        <v>192</v>
      </c>
    </row>
    <row r="8" spans="1:12" ht="15.75" customHeight="1">
      <c r="A8" s="332"/>
      <c r="B8" s="82"/>
      <c r="C8" s="178"/>
      <c r="D8" s="178">
        <f t="shared" ref="D8:D16" si="0">B8*C8</f>
        <v>0</v>
      </c>
      <c r="E8" s="84"/>
      <c r="F8" s="342"/>
    </row>
    <row r="9" spans="1:12" ht="15.75" customHeight="1">
      <c r="A9" s="333"/>
      <c r="B9" s="87"/>
      <c r="C9" s="290"/>
      <c r="D9" s="290">
        <f t="shared" si="0"/>
        <v>0</v>
      </c>
      <c r="E9" s="89"/>
      <c r="F9" s="343"/>
    </row>
    <row r="10" spans="1:12" ht="15.75" customHeight="1">
      <c r="A10" s="333"/>
      <c r="B10" s="87"/>
      <c r="C10" s="290"/>
      <c r="D10" s="290">
        <f t="shared" si="0"/>
        <v>0</v>
      </c>
      <c r="E10" s="89"/>
      <c r="F10" s="343"/>
    </row>
    <row r="11" spans="1:12" ht="15.75" customHeight="1">
      <c r="A11" s="333"/>
      <c r="B11" s="87"/>
      <c r="C11" s="290"/>
      <c r="D11" s="290">
        <f t="shared" si="0"/>
        <v>0</v>
      </c>
      <c r="E11" s="89"/>
      <c r="F11" s="343"/>
    </row>
    <row r="12" spans="1:12" ht="15.75" customHeight="1">
      <c r="A12" s="333"/>
      <c r="B12" s="87"/>
      <c r="C12" s="290"/>
      <c r="D12" s="290">
        <f t="shared" si="0"/>
        <v>0</v>
      </c>
      <c r="E12" s="89"/>
      <c r="F12" s="343"/>
    </row>
    <row r="13" spans="1:12" ht="15.75" customHeight="1">
      <c r="A13" s="333"/>
      <c r="B13" s="87"/>
      <c r="C13" s="290"/>
      <c r="D13" s="290">
        <f t="shared" si="0"/>
        <v>0</v>
      </c>
      <c r="E13" s="89"/>
      <c r="F13" s="343"/>
    </row>
    <row r="14" spans="1:12" ht="15.75" customHeight="1">
      <c r="A14" s="333"/>
      <c r="B14" s="87"/>
      <c r="C14" s="290"/>
      <c r="D14" s="290">
        <f t="shared" si="0"/>
        <v>0</v>
      </c>
      <c r="E14" s="89"/>
      <c r="F14" s="343"/>
    </row>
    <row r="15" spans="1:12" ht="15.75" customHeight="1">
      <c r="A15" s="333"/>
      <c r="B15" s="87"/>
      <c r="C15" s="290"/>
      <c r="D15" s="290">
        <f t="shared" si="0"/>
        <v>0</v>
      </c>
      <c r="E15" s="89"/>
      <c r="F15" s="343"/>
    </row>
    <row r="16" spans="1:12" ht="15.75" customHeight="1" thickBot="1">
      <c r="A16" s="333"/>
      <c r="B16" s="87"/>
      <c r="C16" s="290"/>
      <c r="D16" s="344">
        <f t="shared" si="0"/>
        <v>0</v>
      </c>
      <c r="E16" s="89"/>
      <c r="F16" s="343"/>
    </row>
    <row r="17" spans="1:6" ht="15.75" customHeight="1" thickBot="1">
      <c r="A17" s="135" t="s">
        <v>114</v>
      </c>
      <c r="B17" s="136"/>
      <c r="C17" s="359"/>
      <c r="D17" s="438">
        <f>SUM(D8:D16)</f>
        <v>0</v>
      </c>
      <c r="E17" s="138"/>
      <c r="F17" s="139"/>
    </row>
    <row r="18" spans="1:6" s="33" customFormat="1" ht="15.75" thickBot="1">
      <c r="A18" s="736" t="s">
        <v>113</v>
      </c>
      <c r="B18" s="737"/>
      <c r="C18" s="737"/>
      <c r="D18" s="737"/>
      <c r="E18" s="737"/>
      <c r="F18" s="738"/>
    </row>
    <row r="19" spans="1:6" ht="15.75" customHeight="1">
      <c r="A19" s="334"/>
      <c r="B19" s="43"/>
      <c r="C19" s="345"/>
      <c r="D19" s="345">
        <f>B19*C19</f>
        <v>0</v>
      </c>
      <c r="E19" s="45"/>
      <c r="F19" s="339"/>
    </row>
    <row r="20" spans="1:6" ht="15.75" customHeight="1">
      <c r="A20" s="327"/>
      <c r="B20" s="62"/>
      <c r="C20" s="284"/>
      <c r="D20" s="284">
        <f t="shared" ref="D20:D27" si="1">B20*C20</f>
        <v>0</v>
      </c>
      <c r="E20" s="64"/>
      <c r="F20" s="340"/>
    </row>
    <row r="21" spans="1:6" ht="15.75" customHeight="1">
      <c r="A21" s="328"/>
      <c r="B21" s="47"/>
      <c r="C21" s="293"/>
      <c r="D21" s="293">
        <f t="shared" si="1"/>
        <v>0</v>
      </c>
      <c r="E21" s="49"/>
      <c r="F21" s="341"/>
    </row>
    <row r="22" spans="1:6" ht="15.75" customHeight="1">
      <c r="A22" s="328"/>
      <c r="B22" s="47"/>
      <c r="C22" s="293"/>
      <c r="D22" s="293">
        <f t="shared" si="1"/>
        <v>0</v>
      </c>
      <c r="E22" s="49"/>
      <c r="F22" s="341"/>
    </row>
    <row r="23" spans="1:6" ht="15.75" customHeight="1">
      <c r="A23" s="328"/>
      <c r="B23" s="47"/>
      <c r="C23" s="293"/>
      <c r="D23" s="293">
        <f t="shared" si="1"/>
        <v>0</v>
      </c>
      <c r="E23" s="49"/>
      <c r="F23" s="341"/>
    </row>
    <row r="24" spans="1:6" ht="15.75" customHeight="1">
      <c r="A24" s="328"/>
      <c r="B24" s="47"/>
      <c r="C24" s="293"/>
      <c r="D24" s="293">
        <f t="shared" si="1"/>
        <v>0</v>
      </c>
      <c r="E24" s="49"/>
      <c r="F24" s="341"/>
    </row>
    <row r="25" spans="1:6" ht="15.75" customHeight="1">
      <c r="A25" s="328"/>
      <c r="B25" s="47"/>
      <c r="C25" s="293"/>
      <c r="D25" s="293">
        <f t="shared" si="1"/>
        <v>0</v>
      </c>
      <c r="E25" s="49"/>
      <c r="F25" s="341"/>
    </row>
    <row r="26" spans="1:6" ht="15.75" customHeight="1">
      <c r="A26" s="328"/>
      <c r="B26" s="47"/>
      <c r="C26" s="293"/>
      <c r="D26" s="293">
        <f t="shared" si="1"/>
        <v>0</v>
      </c>
      <c r="E26" s="49"/>
      <c r="F26" s="341"/>
    </row>
    <row r="27" spans="1:6" ht="15.75" customHeight="1" thickBot="1">
      <c r="A27" s="328"/>
      <c r="B27" s="47"/>
      <c r="C27" s="293"/>
      <c r="D27" s="293">
        <f t="shared" si="1"/>
        <v>0</v>
      </c>
      <c r="E27" s="49"/>
      <c r="F27" s="341"/>
    </row>
    <row r="28" spans="1:6" ht="15.75" customHeight="1" thickBot="1">
      <c r="A28" s="145" t="s">
        <v>115</v>
      </c>
      <c r="B28" s="146"/>
      <c r="C28" s="361"/>
      <c r="D28" s="361">
        <f>SUM(D19:D27)</f>
        <v>0</v>
      </c>
      <c r="E28" s="148"/>
      <c r="F28" s="149"/>
    </row>
    <row r="29" spans="1:6" s="33" customFormat="1" ht="15.75" thickBot="1">
      <c r="A29" s="730" t="s">
        <v>107</v>
      </c>
      <c r="B29" s="731"/>
      <c r="C29" s="731"/>
      <c r="D29" s="731"/>
      <c r="E29" s="731"/>
      <c r="F29" s="732"/>
    </row>
    <row r="30" spans="1:6" ht="15.75" customHeight="1">
      <c r="A30" s="335"/>
      <c r="B30" s="51"/>
      <c r="C30" s="346"/>
      <c r="D30" s="346">
        <f>B30*C30</f>
        <v>0</v>
      </c>
      <c r="E30" s="53"/>
      <c r="F30" s="336"/>
    </row>
    <row r="31" spans="1:6" ht="15.75" customHeight="1">
      <c r="A31" s="330"/>
      <c r="B31" s="66"/>
      <c r="C31" s="287"/>
      <c r="D31" s="287">
        <f t="shared" ref="D31:D40" si="2">B31*C31</f>
        <v>0</v>
      </c>
      <c r="E31" s="68"/>
      <c r="F31" s="337"/>
    </row>
    <row r="32" spans="1:6" ht="15.75" customHeight="1">
      <c r="A32" s="331"/>
      <c r="B32" s="55"/>
      <c r="C32" s="296"/>
      <c r="D32" s="296">
        <f t="shared" si="2"/>
        <v>0</v>
      </c>
      <c r="E32" s="57"/>
      <c r="F32" s="338"/>
    </row>
    <row r="33" spans="1:6" ht="15.75" customHeight="1">
      <c r="A33" s="331"/>
      <c r="B33" s="55"/>
      <c r="C33" s="296"/>
      <c r="D33" s="296">
        <f t="shared" si="2"/>
        <v>0</v>
      </c>
      <c r="E33" s="57"/>
      <c r="F33" s="338"/>
    </row>
    <row r="34" spans="1:6" ht="15.75" customHeight="1">
      <c r="A34" s="331"/>
      <c r="B34" s="55"/>
      <c r="C34" s="296"/>
      <c r="D34" s="296">
        <f t="shared" si="2"/>
        <v>0</v>
      </c>
      <c r="E34" s="57"/>
      <c r="F34" s="338"/>
    </row>
    <row r="35" spans="1:6" ht="15.75" customHeight="1">
      <c r="A35" s="331"/>
      <c r="B35" s="55"/>
      <c r="C35" s="296"/>
      <c r="D35" s="296">
        <f t="shared" si="2"/>
        <v>0</v>
      </c>
      <c r="E35" s="57"/>
      <c r="F35" s="338"/>
    </row>
    <row r="36" spans="1:6" ht="15.75" customHeight="1">
      <c r="A36" s="331"/>
      <c r="B36" s="55"/>
      <c r="C36" s="296"/>
      <c r="D36" s="296">
        <f t="shared" si="2"/>
        <v>0</v>
      </c>
      <c r="E36" s="57"/>
      <c r="F36" s="338"/>
    </row>
    <row r="37" spans="1:6" ht="15.75" customHeight="1">
      <c r="A37" s="331"/>
      <c r="B37" s="55"/>
      <c r="C37" s="296"/>
      <c r="D37" s="296">
        <f t="shared" si="2"/>
        <v>0</v>
      </c>
      <c r="E37" s="57"/>
      <c r="F37" s="338"/>
    </row>
    <row r="38" spans="1:6" ht="15.75" customHeight="1">
      <c r="A38" s="331"/>
      <c r="B38" s="55"/>
      <c r="C38" s="296"/>
      <c r="D38" s="296">
        <f t="shared" si="2"/>
        <v>0</v>
      </c>
      <c r="E38" s="57"/>
      <c r="F38" s="338"/>
    </row>
    <row r="39" spans="1:6" ht="15.75" customHeight="1">
      <c r="A39" s="331"/>
      <c r="B39" s="55"/>
      <c r="C39" s="296"/>
      <c r="D39" s="296">
        <f t="shared" si="2"/>
        <v>0</v>
      </c>
      <c r="E39" s="57"/>
      <c r="F39" s="338"/>
    </row>
    <row r="40" spans="1:6" ht="15.75" customHeight="1" thickBot="1">
      <c r="A40" s="331"/>
      <c r="B40" s="55"/>
      <c r="C40" s="296"/>
      <c r="D40" s="296">
        <f t="shared" si="2"/>
        <v>0</v>
      </c>
      <c r="E40" s="57"/>
      <c r="F40" s="338"/>
    </row>
    <row r="41" spans="1:6" ht="15.75" customHeight="1" thickBot="1">
      <c r="A41" s="155" t="s">
        <v>116</v>
      </c>
      <c r="B41" s="156"/>
      <c r="C41" s="363"/>
      <c r="D41" s="363">
        <f>SUM(D30:D40)</f>
        <v>0</v>
      </c>
      <c r="E41" s="158"/>
      <c r="F41" s="159"/>
    </row>
    <row r="42" spans="1:6" ht="13.5" thickBot="1">
      <c r="A42" s="160" t="s">
        <v>180</v>
      </c>
      <c r="B42" s="439"/>
      <c r="C42" s="440"/>
      <c r="D42" s="315">
        <f>D17+D28+D41</f>
        <v>0</v>
      </c>
      <c r="E42" s="441"/>
      <c r="F42" s="442"/>
    </row>
    <row r="44" spans="1:6" ht="13.5" thickBot="1">
      <c r="A44" s="748" t="s">
        <v>199</v>
      </c>
      <c r="B44" s="748"/>
      <c r="C44" s="748"/>
      <c r="D44" s="748"/>
    </row>
    <row r="45" spans="1:6">
      <c r="A45" s="661"/>
      <c r="B45" s="662"/>
      <c r="C45" s="662"/>
      <c r="D45" s="662"/>
      <c r="E45" s="662"/>
      <c r="F45" s="663"/>
    </row>
    <row r="46" spans="1:6">
      <c r="A46" s="664"/>
      <c r="B46" s="665"/>
      <c r="C46" s="665"/>
      <c r="D46" s="665"/>
      <c r="E46" s="665"/>
      <c r="F46" s="666"/>
    </row>
    <row r="47" spans="1:6" ht="13.5" thickBot="1">
      <c r="A47" s="667"/>
      <c r="B47" s="668"/>
      <c r="C47" s="668"/>
      <c r="D47" s="668"/>
      <c r="E47" s="668"/>
      <c r="F47" s="669"/>
    </row>
  </sheetData>
  <sheetProtection formatCells="0" formatColumns="0" formatRows="0" insertRows="0" deleteRows="0" selectLockedCells="1"/>
  <customSheetViews>
    <customSheetView guid="{D5CEF8EB-A9A7-4458-BF65-8F18E34CBA87}" scale="90" showPageBreaks="1" fitToPage="1">
      <selection activeCell="H38" sqref="H38"/>
      <pageMargins left="0.5" right="0.5" top="0.25" bottom="0.5" header="0.5" footer="0.25"/>
      <printOptions horizontalCentered="1"/>
      <pageSetup scale="86" fitToHeight="4" orientation="landscape" r:id="rId1"/>
      <headerFooter alignWithMargins="0">
        <oddFooter>&amp;Ld. Equipment&amp;RPage &amp;P of &amp;N</oddFooter>
      </headerFooter>
    </customSheetView>
    <customSheetView guid="{6588CF8C-0BB8-4786-9A46-0A2D10254132}" scale="90" showPageBreaks="1" fitToPage="1" topLeftCell="A4">
      <selection activeCell="I5" sqref="I5"/>
      <pageMargins left="0.5" right="0.5" top="0.25" bottom="0.5" header="0.5" footer="0.25"/>
      <printOptions horizontalCentered="1"/>
      <pageSetup scale="86" fitToHeight="4" orientation="landscape" r:id="rId2"/>
      <headerFooter alignWithMargins="0">
        <oddFooter>&amp;Ld. Equipment&amp;RPage &amp;P of &amp;N</oddFooter>
      </headerFooter>
    </customSheetView>
    <customSheetView guid="{712CE29F-EFCA-4968-A7C5-599F87319D6A}" scale="90" fitToPage="1">
      <selection activeCell="D40" sqref="D40"/>
      <pageMargins left="0.5" right="0.5" top="0.25" bottom="0.5" header="0.5" footer="0.25"/>
      <printOptions horizontalCentered="1"/>
      <pageSetup scale="86" fitToHeight="4" orientation="landscape" r:id="rId3"/>
      <headerFooter alignWithMargins="0">
        <oddFooter>&amp;Ld. Equipment&amp;RPage &amp;P of &amp;N</oddFooter>
      </headerFooter>
    </customSheetView>
    <customSheetView guid="{5BEC5FDE-32D0-42EF-8D2A-06DCBD4F05CC}" scale="90" showPageBreaks="1" fitToPage="1">
      <selection activeCell="I5" sqref="I5"/>
      <pageMargins left="0.5" right="0.5" top="0.25" bottom="0.5" header="0.5" footer="0.25"/>
      <printOptions horizontalCentered="1"/>
      <pageSetup scale="86" fitToHeight="4" orientation="landscape" r:id="rId4"/>
      <headerFooter alignWithMargins="0">
        <oddFooter>&amp;Ld. Equipment&amp;RPage &amp;P of &amp;N</oddFooter>
      </headerFooter>
    </customSheetView>
    <customSheetView guid="{D7FF18E2-A72D-4088-BD59-9D74A43C39A8}" scale="90" showPageBreaks="1" fitToPage="1" topLeftCell="A11">
      <selection activeCell="D41" sqref="D41"/>
      <pageMargins left="0.5" right="0.5" top="0.25" bottom="0.5" header="0.5" footer="0.25"/>
      <printOptions horizontalCentered="1"/>
      <pageSetup scale="86" fitToHeight="4" orientation="landscape" r:id="rId5"/>
      <headerFooter alignWithMargins="0">
        <oddFooter>&amp;Ld. Equipment&amp;RPage &amp;P of &amp;N</oddFooter>
      </headerFooter>
    </customSheetView>
  </customSheetViews>
  <mergeCells count="8">
    <mergeCell ref="A45:F47"/>
    <mergeCell ref="A1:D1"/>
    <mergeCell ref="A2:F2"/>
    <mergeCell ref="A18:F18"/>
    <mergeCell ref="A29:F29"/>
    <mergeCell ref="A3:F3"/>
    <mergeCell ref="A6:F6"/>
    <mergeCell ref="A44:D44"/>
  </mergeCells>
  <phoneticPr fontId="2" type="noConversion"/>
  <printOptions horizontalCentered="1"/>
  <pageMargins left="0.5" right="0.5" top="0.25" bottom="0.5" header="0.5" footer="0.25"/>
  <pageSetup scale="86" fitToHeight="4" orientation="landscape" r:id="rId6"/>
  <headerFooter alignWithMargins="0">
    <oddFooter>&amp;Ld. Equipment&amp;RPage &amp;P of &amp;N</oddFooter>
  </headerFooter>
</worksheet>
</file>

<file path=xl/worksheets/sheet6.xml><?xml version="1.0" encoding="utf-8"?>
<worksheet xmlns="http://schemas.openxmlformats.org/spreadsheetml/2006/main" xmlns:r="http://schemas.openxmlformats.org/officeDocument/2006/relationships">
  <sheetPr codeName="Sheet6">
    <pageSetUpPr fitToPage="1"/>
  </sheetPr>
  <dimension ref="A1:L50"/>
  <sheetViews>
    <sheetView zoomScale="90" workbookViewId="0">
      <selection activeCell="D31" sqref="D31"/>
    </sheetView>
  </sheetViews>
  <sheetFormatPr defaultRowHeight="12.75"/>
  <cols>
    <col min="1" max="1" width="40.85546875" style="36" customWidth="1"/>
    <col min="2" max="2" width="6.7109375" style="27" customWidth="1"/>
    <col min="3" max="3" width="14.140625" style="347" customWidth="1"/>
    <col min="4" max="4" width="14.140625" style="255" customWidth="1"/>
    <col min="5" max="5" width="19.85546875" style="16" customWidth="1"/>
    <col min="6" max="6" width="55.7109375" style="27" customWidth="1"/>
    <col min="7" max="16384" width="9.140625" style="36"/>
  </cols>
  <sheetData>
    <row r="1" spans="1:12" s="33" customFormat="1" ht="12.75" customHeight="1">
      <c r="A1" s="729" t="s">
        <v>228</v>
      </c>
      <c r="B1" s="729"/>
      <c r="C1" s="729"/>
      <c r="D1" s="729"/>
      <c r="E1" s="73"/>
      <c r="F1" s="317">
        <f>'Instructions and Summary'!G5</f>
        <v>0</v>
      </c>
      <c r="G1" s="73"/>
      <c r="H1" s="73"/>
      <c r="I1" s="73"/>
    </row>
    <row r="2" spans="1:12" s="60" customFormat="1" ht="22.5" customHeight="1" thickBot="1">
      <c r="A2" s="742" t="s">
        <v>102</v>
      </c>
      <c r="B2" s="742"/>
      <c r="C2" s="742"/>
      <c r="D2" s="742"/>
      <c r="E2" s="742"/>
      <c r="F2" s="742"/>
      <c r="G2" s="59"/>
      <c r="H2" s="59"/>
      <c r="I2" s="59"/>
      <c r="J2" s="59"/>
      <c r="K2" s="59"/>
      <c r="L2" s="59"/>
    </row>
    <row r="3" spans="1:12" ht="175.5" customHeight="1" thickBot="1">
      <c r="A3" s="739" t="s">
        <v>237</v>
      </c>
      <c r="B3" s="743"/>
      <c r="C3" s="743"/>
      <c r="D3" s="743"/>
      <c r="E3" s="743"/>
      <c r="F3" s="744"/>
    </row>
    <row r="4" spans="1:12" ht="13.5" thickBot="1">
      <c r="A4" s="13"/>
      <c r="B4" s="14"/>
    </row>
    <row r="5" spans="1:12" s="33" customFormat="1" ht="23.25" customHeight="1" thickBot="1">
      <c r="A5" s="41" t="s">
        <v>123</v>
      </c>
      <c r="B5" s="17" t="s">
        <v>118</v>
      </c>
      <c r="C5" s="18" t="s">
        <v>119</v>
      </c>
      <c r="D5" s="75" t="s">
        <v>120</v>
      </c>
      <c r="E5" s="19" t="s">
        <v>121</v>
      </c>
      <c r="F5" s="20" t="s">
        <v>122</v>
      </c>
    </row>
    <row r="6" spans="1:12" s="33" customFormat="1" ht="15.75" thickBot="1">
      <c r="A6" s="745" t="s">
        <v>106</v>
      </c>
      <c r="B6" s="746"/>
      <c r="C6" s="746"/>
      <c r="D6" s="746"/>
      <c r="E6" s="746"/>
      <c r="F6" s="747"/>
    </row>
    <row r="7" spans="1:12" ht="15.75" customHeight="1" thickBot="1">
      <c r="A7" s="523" t="s">
        <v>215</v>
      </c>
      <c r="B7" s="524">
        <v>10</v>
      </c>
      <c r="C7" s="529">
        <v>360</v>
      </c>
      <c r="D7" s="527">
        <v>3600</v>
      </c>
      <c r="E7" s="526" t="s">
        <v>188</v>
      </c>
      <c r="F7" s="528" t="s">
        <v>189</v>
      </c>
    </row>
    <row r="8" spans="1:12" s="111" customFormat="1" ht="15.75" customHeight="1">
      <c r="A8" s="332"/>
      <c r="B8" s="82"/>
      <c r="C8" s="348"/>
      <c r="D8" s="178">
        <f>B8*C8</f>
        <v>0</v>
      </c>
      <c r="E8" s="85"/>
      <c r="F8" s="342"/>
    </row>
    <row r="9" spans="1:12" s="111" customFormat="1" ht="15.75" customHeight="1">
      <c r="A9" s="333"/>
      <c r="B9" s="87"/>
      <c r="C9" s="281"/>
      <c r="D9" s="178">
        <f t="shared" ref="D9:D17" si="0">B9*C9</f>
        <v>0</v>
      </c>
      <c r="E9" s="89"/>
      <c r="F9" s="343"/>
    </row>
    <row r="10" spans="1:12" s="111" customFormat="1" ht="15.75" customHeight="1">
      <c r="A10" s="333"/>
      <c r="B10" s="87"/>
      <c r="C10" s="281"/>
      <c r="D10" s="178">
        <f t="shared" si="0"/>
        <v>0</v>
      </c>
      <c r="E10" s="89"/>
      <c r="F10" s="343"/>
    </row>
    <row r="11" spans="1:12" s="111" customFormat="1" ht="15.75" customHeight="1">
      <c r="A11" s="333"/>
      <c r="B11" s="87"/>
      <c r="C11" s="281"/>
      <c r="D11" s="178">
        <f t="shared" si="0"/>
        <v>0</v>
      </c>
      <c r="E11" s="89"/>
      <c r="F11" s="343"/>
    </row>
    <row r="12" spans="1:12" s="111" customFormat="1" ht="15.75" customHeight="1">
      <c r="A12" s="333"/>
      <c r="B12" s="87"/>
      <c r="C12" s="281"/>
      <c r="D12" s="178">
        <f t="shared" si="0"/>
        <v>0</v>
      </c>
      <c r="E12" s="89"/>
      <c r="F12" s="343"/>
    </row>
    <row r="13" spans="1:12" s="111" customFormat="1" ht="15.75" customHeight="1">
      <c r="A13" s="333"/>
      <c r="B13" s="87"/>
      <c r="C13" s="281"/>
      <c r="D13" s="178">
        <f t="shared" si="0"/>
        <v>0</v>
      </c>
      <c r="E13" s="89"/>
      <c r="F13" s="343"/>
    </row>
    <row r="14" spans="1:12" s="111" customFormat="1" ht="15.75" customHeight="1">
      <c r="A14" s="333"/>
      <c r="B14" s="87"/>
      <c r="C14" s="281"/>
      <c r="D14" s="178">
        <f t="shared" si="0"/>
        <v>0</v>
      </c>
      <c r="E14" s="89"/>
      <c r="F14" s="343"/>
    </row>
    <row r="15" spans="1:12" s="111" customFormat="1" ht="15.75" customHeight="1">
      <c r="A15" s="333"/>
      <c r="B15" s="87"/>
      <c r="C15" s="281"/>
      <c r="D15" s="178">
        <f t="shared" si="0"/>
        <v>0</v>
      </c>
      <c r="E15" s="89"/>
      <c r="F15" s="343"/>
    </row>
    <row r="16" spans="1:12" s="111" customFormat="1" ht="15.75" customHeight="1">
      <c r="A16" s="333"/>
      <c r="B16" s="87"/>
      <c r="C16" s="281"/>
      <c r="D16" s="178">
        <f t="shared" si="0"/>
        <v>0</v>
      </c>
      <c r="E16" s="89"/>
      <c r="F16" s="343"/>
    </row>
    <row r="17" spans="1:6" s="111" customFormat="1" ht="15.75" customHeight="1" thickBot="1">
      <c r="A17" s="333"/>
      <c r="B17" s="87"/>
      <c r="C17" s="281"/>
      <c r="D17" s="178">
        <f t="shared" si="0"/>
        <v>0</v>
      </c>
      <c r="E17" s="89"/>
      <c r="F17" s="343"/>
    </row>
    <row r="18" spans="1:6" ht="15.75" customHeight="1" thickBot="1">
      <c r="A18" s="135" t="s">
        <v>114</v>
      </c>
      <c r="B18" s="136"/>
      <c r="C18" s="434"/>
      <c r="D18" s="307">
        <f>SUM(D8:D17)</f>
        <v>0</v>
      </c>
      <c r="E18" s="138"/>
      <c r="F18" s="139"/>
    </row>
    <row r="19" spans="1:6" s="33" customFormat="1" ht="15.75" thickBot="1">
      <c r="A19" s="736" t="s">
        <v>113</v>
      </c>
      <c r="B19" s="737"/>
      <c r="C19" s="737"/>
      <c r="D19" s="737"/>
      <c r="E19" s="737"/>
      <c r="F19" s="738"/>
    </row>
    <row r="20" spans="1:6" s="111" customFormat="1" ht="15.75" customHeight="1">
      <c r="A20" s="353"/>
      <c r="B20" s="43"/>
      <c r="C20" s="349"/>
      <c r="D20" s="345">
        <f>B20*C20</f>
        <v>0</v>
      </c>
      <c r="E20" s="45"/>
      <c r="F20" s="339"/>
    </row>
    <row r="21" spans="1:6" s="111" customFormat="1" ht="15.75" customHeight="1">
      <c r="A21" s="61"/>
      <c r="B21" s="62"/>
      <c r="C21" s="350"/>
      <c r="D21" s="284">
        <f>B21*C21</f>
        <v>0</v>
      </c>
      <c r="E21" s="64"/>
      <c r="F21" s="340"/>
    </row>
    <row r="22" spans="1:6" s="111" customFormat="1" ht="15.75" customHeight="1">
      <c r="A22" s="46"/>
      <c r="B22" s="47"/>
      <c r="C22" s="292"/>
      <c r="D22" s="293">
        <f t="shared" ref="D22:D30" si="1">B22*C22</f>
        <v>0</v>
      </c>
      <c r="E22" s="49"/>
      <c r="F22" s="341"/>
    </row>
    <row r="23" spans="1:6" s="111" customFormat="1" ht="15.75" customHeight="1">
      <c r="A23" s="46"/>
      <c r="B23" s="47"/>
      <c r="C23" s="292"/>
      <c r="D23" s="293">
        <f t="shared" si="1"/>
        <v>0</v>
      </c>
      <c r="E23" s="49"/>
      <c r="F23" s="341"/>
    </row>
    <row r="24" spans="1:6" s="111" customFormat="1" ht="15.75" customHeight="1">
      <c r="A24" s="46"/>
      <c r="B24" s="47"/>
      <c r="C24" s="292"/>
      <c r="D24" s="293">
        <f t="shared" si="1"/>
        <v>0</v>
      </c>
      <c r="E24" s="49"/>
      <c r="F24" s="341"/>
    </row>
    <row r="25" spans="1:6" s="111" customFormat="1" ht="15.75" customHeight="1">
      <c r="A25" s="46"/>
      <c r="B25" s="47"/>
      <c r="C25" s="292"/>
      <c r="D25" s="293">
        <f t="shared" si="1"/>
        <v>0</v>
      </c>
      <c r="E25" s="49"/>
      <c r="F25" s="341"/>
    </row>
    <row r="26" spans="1:6" s="111" customFormat="1" ht="15.75" customHeight="1">
      <c r="A26" s="46"/>
      <c r="B26" s="47"/>
      <c r="C26" s="292"/>
      <c r="D26" s="293">
        <f t="shared" si="1"/>
        <v>0</v>
      </c>
      <c r="E26" s="49"/>
      <c r="F26" s="341"/>
    </row>
    <row r="27" spans="1:6" s="111" customFormat="1" ht="15.75" customHeight="1">
      <c r="A27" s="46"/>
      <c r="B27" s="47"/>
      <c r="C27" s="292"/>
      <c r="D27" s="293">
        <f t="shared" si="1"/>
        <v>0</v>
      </c>
      <c r="E27" s="49"/>
      <c r="F27" s="341"/>
    </row>
    <row r="28" spans="1:6" s="111" customFormat="1" ht="15.75" customHeight="1">
      <c r="A28" s="46"/>
      <c r="B28" s="47"/>
      <c r="C28" s="292"/>
      <c r="D28" s="293">
        <f t="shared" si="1"/>
        <v>0</v>
      </c>
      <c r="E28" s="49"/>
      <c r="F28" s="341"/>
    </row>
    <row r="29" spans="1:6" s="111" customFormat="1" ht="15.75" customHeight="1">
      <c r="A29" s="46"/>
      <c r="B29" s="47"/>
      <c r="C29" s="292"/>
      <c r="D29" s="293">
        <f t="shared" si="1"/>
        <v>0</v>
      </c>
      <c r="E29" s="49"/>
      <c r="F29" s="341"/>
    </row>
    <row r="30" spans="1:6" s="111" customFormat="1" ht="15.75" customHeight="1" thickBot="1">
      <c r="A30" s="46"/>
      <c r="B30" s="47"/>
      <c r="C30" s="292"/>
      <c r="D30" s="293">
        <f t="shared" si="1"/>
        <v>0</v>
      </c>
      <c r="E30" s="49"/>
      <c r="F30" s="341"/>
    </row>
    <row r="31" spans="1:6" ht="15.75" customHeight="1" thickBot="1">
      <c r="A31" s="145" t="s">
        <v>115</v>
      </c>
      <c r="B31" s="146"/>
      <c r="C31" s="435"/>
      <c r="D31" s="361">
        <f>SUM(D20:D30)</f>
        <v>0</v>
      </c>
      <c r="E31" s="148"/>
      <c r="F31" s="149"/>
    </row>
    <row r="32" spans="1:6" s="33" customFormat="1" ht="15.75" thickBot="1">
      <c r="A32" s="730" t="s">
        <v>107</v>
      </c>
      <c r="B32" s="731"/>
      <c r="C32" s="731"/>
      <c r="D32" s="731"/>
      <c r="E32" s="731"/>
      <c r="F32" s="732"/>
    </row>
    <row r="33" spans="1:6" s="111" customFormat="1" ht="15.75" customHeight="1">
      <c r="A33" s="329"/>
      <c r="B33" s="51"/>
      <c r="C33" s="351"/>
      <c r="D33" s="346">
        <f>B33*C33</f>
        <v>0</v>
      </c>
      <c r="E33" s="53"/>
      <c r="F33" s="28"/>
    </row>
    <row r="34" spans="1:6" s="111" customFormat="1" ht="15.75" customHeight="1">
      <c r="A34" s="330"/>
      <c r="B34" s="66"/>
      <c r="C34" s="352"/>
      <c r="D34" s="287">
        <f>B34*C34</f>
        <v>0</v>
      </c>
      <c r="E34" s="68"/>
      <c r="F34" s="69"/>
    </row>
    <row r="35" spans="1:6" s="111" customFormat="1" ht="15.75" customHeight="1">
      <c r="A35" s="331"/>
      <c r="B35" s="55"/>
      <c r="C35" s="295"/>
      <c r="D35" s="296">
        <f t="shared" ref="D35:D43" si="2">B35*C35</f>
        <v>0</v>
      </c>
      <c r="E35" s="57"/>
      <c r="F35" s="29"/>
    </row>
    <row r="36" spans="1:6" s="111" customFormat="1" ht="15.75" customHeight="1">
      <c r="A36" s="331"/>
      <c r="B36" s="55"/>
      <c r="C36" s="295"/>
      <c r="D36" s="296">
        <f t="shared" si="2"/>
        <v>0</v>
      </c>
      <c r="E36" s="57"/>
      <c r="F36" s="29"/>
    </row>
    <row r="37" spans="1:6" s="111" customFormat="1" ht="15.75" customHeight="1">
      <c r="A37" s="331"/>
      <c r="B37" s="55"/>
      <c r="C37" s="295"/>
      <c r="D37" s="296">
        <f t="shared" si="2"/>
        <v>0</v>
      </c>
      <c r="E37" s="57"/>
      <c r="F37" s="29"/>
    </row>
    <row r="38" spans="1:6" s="111" customFormat="1" ht="15.75" customHeight="1">
      <c r="A38" s="331"/>
      <c r="B38" s="55"/>
      <c r="C38" s="295"/>
      <c r="D38" s="296">
        <f t="shared" si="2"/>
        <v>0</v>
      </c>
      <c r="E38" s="57"/>
      <c r="F38" s="29"/>
    </row>
    <row r="39" spans="1:6" s="111" customFormat="1" ht="15.75" customHeight="1">
      <c r="A39" s="331"/>
      <c r="B39" s="55"/>
      <c r="C39" s="295"/>
      <c r="D39" s="296">
        <f t="shared" si="2"/>
        <v>0</v>
      </c>
      <c r="E39" s="57"/>
      <c r="F39" s="29"/>
    </row>
    <row r="40" spans="1:6" s="111" customFormat="1" ht="15.75" customHeight="1">
      <c r="A40" s="331"/>
      <c r="B40" s="55"/>
      <c r="C40" s="295"/>
      <c r="D40" s="296">
        <f t="shared" si="2"/>
        <v>0</v>
      </c>
      <c r="E40" s="57"/>
      <c r="F40" s="29"/>
    </row>
    <row r="41" spans="1:6" s="111" customFormat="1" ht="15.75" customHeight="1">
      <c r="A41" s="331"/>
      <c r="B41" s="55"/>
      <c r="C41" s="295"/>
      <c r="D41" s="296">
        <f t="shared" si="2"/>
        <v>0</v>
      </c>
      <c r="E41" s="57"/>
      <c r="F41" s="29"/>
    </row>
    <row r="42" spans="1:6" s="111" customFormat="1" ht="15.75" customHeight="1">
      <c r="A42" s="331"/>
      <c r="B42" s="55"/>
      <c r="C42" s="295"/>
      <c r="D42" s="296">
        <f t="shared" si="2"/>
        <v>0</v>
      </c>
      <c r="E42" s="57"/>
      <c r="F42" s="29"/>
    </row>
    <row r="43" spans="1:6" s="111" customFormat="1" ht="15.75" customHeight="1" thickBot="1">
      <c r="A43" s="331"/>
      <c r="B43" s="55"/>
      <c r="C43" s="295"/>
      <c r="D43" s="296">
        <f t="shared" si="2"/>
        <v>0</v>
      </c>
      <c r="E43" s="57"/>
      <c r="F43" s="29"/>
    </row>
    <row r="44" spans="1:6" ht="15.75" customHeight="1" thickBot="1">
      <c r="A44" s="155" t="s">
        <v>116</v>
      </c>
      <c r="B44" s="156"/>
      <c r="C44" s="436"/>
      <c r="D44" s="363">
        <f>SUM(D33:D43)</f>
        <v>0</v>
      </c>
      <c r="E44" s="158"/>
      <c r="F44" s="159"/>
    </row>
    <row r="45" spans="1:6" s="33" customFormat="1" ht="16.5" customHeight="1" thickBot="1">
      <c r="A45" s="160" t="s">
        <v>180</v>
      </c>
      <c r="B45" s="161"/>
      <c r="C45" s="437"/>
      <c r="D45" s="315">
        <f>D44+D31+D18</f>
        <v>0</v>
      </c>
      <c r="E45" s="123"/>
      <c r="F45" s="124"/>
    </row>
    <row r="47" spans="1:6" ht="13.5" thickBot="1">
      <c r="A47" s="748" t="s">
        <v>199</v>
      </c>
      <c r="B47" s="748"/>
      <c r="C47" s="748"/>
    </row>
    <row r="48" spans="1:6">
      <c r="A48" s="661"/>
      <c r="B48" s="662"/>
      <c r="C48" s="662"/>
      <c r="D48" s="662"/>
      <c r="E48" s="662"/>
      <c r="F48" s="663"/>
    </row>
    <row r="49" spans="1:6">
      <c r="A49" s="664"/>
      <c r="B49" s="665"/>
      <c r="C49" s="665"/>
      <c r="D49" s="665"/>
      <c r="E49" s="665"/>
      <c r="F49" s="666"/>
    </row>
    <row r="50" spans="1:6" ht="13.5" thickBot="1">
      <c r="A50" s="667"/>
      <c r="B50" s="668"/>
      <c r="C50" s="668"/>
      <c r="D50" s="668"/>
      <c r="E50" s="668"/>
      <c r="F50" s="669"/>
    </row>
  </sheetData>
  <sheetProtection formatCells="0" formatColumns="0" formatRows="0" insertRows="0" deleteRows="0" selectLockedCells="1"/>
  <customSheetViews>
    <customSheetView guid="{D5CEF8EB-A9A7-4458-BF65-8F18E34CBA87}" scale="90" showPageBreaks="1" fitToPage="1">
      <selection activeCell="D31" sqref="D31"/>
      <pageMargins left="0.5" right="0.5" top="0.25" bottom="0.5" header="0.5" footer="0.25"/>
      <printOptions horizontalCentered="1"/>
      <pageSetup scale="86" fitToHeight="5" orientation="landscape" r:id="rId1"/>
      <headerFooter alignWithMargins="0">
        <oddFooter>&amp;Le. Supplies&amp;RPage &amp;P of &amp;N</oddFooter>
      </headerFooter>
    </customSheetView>
    <customSheetView guid="{6588CF8C-0BB8-4786-9A46-0A2D10254132}" scale="90" showPageBreaks="1" fitToPage="1">
      <selection activeCell="E15" sqref="E15"/>
      <pageMargins left="0.5" right="0.5" top="0.25" bottom="0.5" header="0.5" footer="0.25"/>
      <printOptions horizontalCentered="1"/>
      <pageSetup scale="86" fitToHeight="5" orientation="landscape" r:id="rId2"/>
      <headerFooter alignWithMargins="0">
        <oddFooter>&amp;Le. Supplies&amp;RPage &amp;P of &amp;N</oddFooter>
      </headerFooter>
    </customSheetView>
    <customSheetView guid="{712CE29F-EFCA-4968-A7C5-599F87319D6A}" scale="90" fitToPage="1">
      <selection sqref="A1:D1"/>
      <pageMargins left="0.5" right="0.5" top="0.25" bottom="0.5" header="0.5" footer="0.25"/>
      <printOptions horizontalCentered="1"/>
      <pageSetup scale="86" fitToHeight="5" orientation="landscape" r:id="rId3"/>
      <headerFooter alignWithMargins="0">
        <oddFooter>&amp;Le. Supplies&amp;RPage &amp;P of &amp;N</oddFooter>
      </headerFooter>
    </customSheetView>
    <customSheetView guid="{5BEC5FDE-32D0-42EF-8D2A-06DCBD4F05CC}" scale="90" showPageBreaks="1" fitToPage="1" topLeftCell="A7">
      <selection activeCell="E15" sqref="E15"/>
      <pageMargins left="0.5" right="0.5" top="0.25" bottom="0.5" header="0.5" footer="0.25"/>
      <printOptions horizontalCentered="1"/>
      <pageSetup scale="86" fitToHeight="5" orientation="landscape" r:id="rId4"/>
      <headerFooter alignWithMargins="0">
        <oddFooter>&amp;Le. Supplies&amp;RPage &amp;P of &amp;N</oddFooter>
      </headerFooter>
    </customSheetView>
    <customSheetView guid="{D7FF18E2-A72D-4088-BD59-9D74A43C39A8}" scale="90" showPageBreaks="1" fitToPage="1" topLeftCell="A15">
      <selection activeCell="D45" sqref="D45"/>
      <pageMargins left="0.5" right="0.5" top="0.25" bottom="0.5" header="0.5" footer="0.25"/>
      <printOptions horizontalCentered="1"/>
      <pageSetup scale="86" fitToHeight="5" orientation="landscape" r:id="rId5"/>
      <headerFooter alignWithMargins="0">
        <oddFooter>&amp;Le. Supplies&amp;RPage &amp;P of &amp;N</oddFooter>
      </headerFooter>
    </customSheetView>
  </customSheetViews>
  <mergeCells count="8">
    <mergeCell ref="A48:F50"/>
    <mergeCell ref="A1:D1"/>
    <mergeCell ref="A2:F2"/>
    <mergeCell ref="A32:F32"/>
    <mergeCell ref="A3:F3"/>
    <mergeCell ref="A6:F6"/>
    <mergeCell ref="A19:F19"/>
    <mergeCell ref="A47:C47"/>
  </mergeCells>
  <phoneticPr fontId="2" type="noConversion"/>
  <printOptions horizontalCentered="1"/>
  <pageMargins left="0.5" right="0.5" top="0.25" bottom="0.5" header="0.5" footer="0.25"/>
  <pageSetup scale="86" fitToHeight="5" orientation="landscape" r:id="rId6"/>
  <headerFooter alignWithMargins="0">
    <oddFooter>&amp;Le. Supplies&amp;RPage &amp;P of &amp;N</oddFooter>
  </headerFooter>
</worksheet>
</file>

<file path=xl/worksheets/sheet7.xml><?xml version="1.0" encoding="utf-8"?>
<worksheet xmlns="http://schemas.openxmlformats.org/spreadsheetml/2006/main" xmlns:r="http://schemas.openxmlformats.org/officeDocument/2006/relationships">
  <sheetPr codeName="Sheet7"/>
  <dimension ref="A1:L41"/>
  <sheetViews>
    <sheetView zoomScale="90" workbookViewId="0">
      <selection activeCell="M3" sqref="M3"/>
    </sheetView>
  </sheetViews>
  <sheetFormatPr defaultRowHeight="12.75"/>
  <cols>
    <col min="1" max="1" width="30.7109375" style="36" customWidth="1"/>
    <col min="2" max="2" width="58.42578125" style="36" customWidth="1"/>
    <col min="3" max="3" width="12.140625" style="255" customWidth="1"/>
    <col min="4" max="5" width="12.140625" style="256" customWidth="1"/>
    <col min="6" max="6" width="13.28515625" style="382" customWidth="1"/>
    <col min="7" max="7" width="29.140625" style="189" customWidth="1"/>
    <col min="8" max="16384" width="9.140625" style="36"/>
  </cols>
  <sheetData>
    <row r="1" spans="1:12" s="33" customFormat="1" ht="12.75" customHeight="1">
      <c r="A1" s="729" t="s">
        <v>228</v>
      </c>
      <c r="B1" s="729"/>
      <c r="C1" s="252"/>
      <c r="D1" s="680">
        <f>'Instructions and Summary'!G5</f>
        <v>0</v>
      </c>
      <c r="E1" s="680"/>
      <c r="F1" s="680"/>
      <c r="G1" s="187"/>
      <c r="H1" s="73"/>
      <c r="I1" s="73"/>
    </row>
    <row r="2" spans="1:12" s="35" customFormat="1" ht="22.5" customHeight="1" thickBot="1">
      <c r="A2" s="752" t="s">
        <v>158</v>
      </c>
      <c r="B2" s="752"/>
      <c r="C2" s="752"/>
      <c r="D2" s="752"/>
      <c r="E2" s="752"/>
      <c r="F2" s="752"/>
      <c r="G2" s="188"/>
      <c r="H2" s="34"/>
      <c r="I2" s="34"/>
      <c r="J2" s="34"/>
      <c r="K2" s="34"/>
      <c r="L2" s="34"/>
    </row>
    <row r="3" spans="1:12" ht="238.5" customHeight="1">
      <c r="A3" s="749" t="s">
        <v>238</v>
      </c>
      <c r="B3" s="750"/>
      <c r="C3" s="750"/>
      <c r="D3" s="750"/>
      <c r="E3" s="750"/>
      <c r="F3" s="751"/>
    </row>
    <row r="4" spans="1:12" ht="179.25" customHeight="1" thickBot="1">
      <c r="A4" s="753" t="s">
        <v>227</v>
      </c>
      <c r="B4" s="754"/>
      <c r="C4" s="754"/>
      <c r="D4" s="754"/>
      <c r="E4" s="754"/>
      <c r="F4" s="755"/>
    </row>
    <row r="5" spans="1:12" ht="12" customHeight="1">
      <c r="A5" s="164"/>
      <c r="B5" s="164"/>
      <c r="C5" s="253"/>
      <c r="D5" s="253"/>
      <c r="E5" s="253"/>
      <c r="F5" s="384"/>
    </row>
    <row r="6" spans="1:12" ht="18" customHeight="1" thickBot="1">
      <c r="A6" s="164"/>
      <c r="B6" s="164"/>
      <c r="C6" s="253"/>
      <c r="D6" s="253"/>
      <c r="E6" s="253"/>
      <c r="F6" s="384"/>
    </row>
    <row r="7" spans="1:12" ht="45.75" customHeight="1" thickBot="1">
      <c r="A7" s="110" t="s">
        <v>128</v>
      </c>
      <c r="B7" s="165" t="s">
        <v>171</v>
      </c>
      <c r="C7" s="90" t="s">
        <v>127</v>
      </c>
      <c r="D7" s="78" t="s">
        <v>125</v>
      </c>
      <c r="E7" s="166" t="s">
        <v>126</v>
      </c>
      <c r="F7" s="167" t="s">
        <v>145</v>
      </c>
    </row>
    <row r="8" spans="1:12" ht="27.75" customHeight="1" thickBot="1">
      <c r="A8" s="530" t="s">
        <v>216</v>
      </c>
      <c r="B8" s="531" t="s">
        <v>0</v>
      </c>
      <c r="C8" s="527">
        <v>48000</v>
      </c>
      <c r="D8" s="532">
        <v>32000</v>
      </c>
      <c r="E8" s="533">
        <v>16000</v>
      </c>
      <c r="F8" s="534">
        <f>SUM(C8:E8)</f>
        <v>96000</v>
      </c>
      <c r="G8" s="190" t="str">
        <f>IF(F8&gt;100000,"Separate budget forms required for this sub-recipient!", " ")</f>
        <v xml:space="preserve"> </v>
      </c>
    </row>
    <row r="9" spans="1:12" ht="23.25" customHeight="1">
      <c r="A9" s="176"/>
      <c r="B9" s="177"/>
      <c r="C9" s="178"/>
      <c r="D9" s="179"/>
      <c r="E9" s="180"/>
      <c r="F9" s="254">
        <f t="shared" ref="F9:F16" si="0">SUM(C9:E9)</f>
        <v>0</v>
      </c>
      <c r="G9" s="318" t="str">
        <f>IF(F9&gt;=100000,"Separate budget forms required for this sub-recipient!", " ")</f>
        <v xml:space="preserve"> </v>
      </c>
    </row>
    <row r="10" spans="1:12" ht="23.25" customHeight="1">
      <c r="A10" s="181"/>
      <c r="B10" s="114"/>
      <c r="C10" s="178"/>
      <c r="D10" s="182"/>
      <c r="E10" s="183"/>
      <c r="F10" s="254">
        <f t="shared" si="0"/>
        <v>0</v>
      </c>
      <c r="G10" s="318" t="str">
        <f t="shared" ref="G10:G16" si="1">IF(F10&gt;100000,"Separate budget forms required for this sub-recipient!", " ")</f>
        <v xml:space="preserve"> </v>
      </c>
    </row>
    <row r="11" spans="1:12" ht="23.25" customHeight="1">
      <c r="A11" s="181"/>
      <c r="B11" s="114"/>
      <c r="C11" s="178"/>
      <c r="D11" s="182"/>
      <c r="E11" s="183"/>
      <c r="F11" s="254">
        <f t="shared" si="0"/>
        <v>0</v>
      </c>
      <c r="G11" s="318" t="str">
        <f t="shared" si="1"/>
        <v xml:space="preserve"> </v>
      </c>
    </row>
    <row r="12" spans="1:12" ht="23.25" customHeight="1">
      <c r="A12" s="181"/>
      <c r="B12" s="114"/>
      <c r="C12" s="178"/>
      <c r="D12" s="182"/>
      <c r="E12" s="183"/>
      <c r="F12" s="254">
        <f t="shared" si="0"/>
        <v>0</v>
      </c>
      <c r="G12" s="318" t="str">
        <f t="shared" si="1"/>
        <v xml:space="preserve"> </v>
      </c>
    </row>
    <row r="13" spans="1:12" ht="23.25" customHeight="1">
      <c r="A13" s="181"/>
      <c r="B13" s="114"/>
      <c r="C13" s="178"/>
      <c r="D13" s="182"/>
      <c r="E13" s="183"/>
      <c r="F13" s="254">
        <f t="shared" si="0"/>
        <v>0</v>
      </c>
      <c r="G13" s="318" t="str">
        <f t="shared" si="1"/>
        <v xml:space="preserve"> </v>
      </c>
    </row>
    <row r="14" spans="1:12" ht="23.25" customHeight="1">
      <c r="A14" s="181"/>
      <c r="B14" s="114"/>
      <c r="C14" s="178"/>
      <c r="D14" s="182"/>
      <c r="E14" s="183"/>
      <c r="F14" s="254">
        <f t="shared" si="0"/>
        <v>0</v>
      </c>
      <c r="G14" s="318" t="str">
        <f t="shared" si="1"/>
        <v xml:space="preserve"> </v>
      </c>
    </row>
    <row r="15" spans="1:12" ht="23.25" customHeight="1">
      <c r="A15" s="181"/>
      <c r="B15" s="114"/>
      <c r="C15" s="178"/>
      <c r="D15" s="182"/>
      <c r="E15" s="183"/>
      <c r="F15" s="254">
        <f t="shared" si="0"/>
        <v>0</v>
      </c>
      <c r="G15" s="318" t="str">
        <f t="shared" si="1"/>
        <v xml:space="preserve"> </v>
      </c>
    </row>
    <row r="16" spans="1:12" ht="23.25" customHeight="1">
      <c r="A16" s="181"/>
      <c r="B16" s="114"/>
      <c r="C16" s="178"/>
      <c r="D16" s="182"/>
      <c r="E16" s="183"/>
      <c r="F16" s="254">
        <f t="shared" si="0"/>
        <v>0</v>
      </c>
      <c r="G16" s="318" t="str">
        <f t="shared" si="1"/>
        <v xml:space="preserve"> </v>
      </c>
    </row>
    <row r="17" spans="1:7" s="33" customFormat="1" ht="13.5" thickBot="1">
      <c r="A17" s="424"/>
      <c r="B17" s="425" t="s">
        <v>193</v>
      </c>
      <c r="C17" s="426">
        <f>SUM(C9:C16)</f>
        <v>0</v>
      </c>
      <c r="D17" s="427">
        <f>SUM(D9:D16)</f>
        <v>0</v>
      </c>
      <c r="E17" s="428">
        <f>SUM(E9:E15)</f>
        <v>0</v>
      </c>
      <c r="F17" s="429">
        <f>SUM(F9:F16)</f>
        <v>0</v>
      </c>
      <c r="G17" s="191"/>
    </row>
    <row r="18" spans="1:7" ht="13.5" thickBot="1"/>
    <row r="19" spans="1:7" ht="45.75" customHeight="1" thickBot="1">
      <c r="A19" s="110" t="s">
        <v>95</v>
      </c>
      <c r="B19" s="165" t="s">
        <v>7</v>
      </c>
      <c r="C19" s="90" t="s">
        <v>127</v>
      </c>
      <c r="D19" s="78" t="s">
        <v>125</v>
      </c>
      <c r="E19" s="166" t="s">
        <v>126</v>
      </c>
      <c r="F19" s="167" t="s">
        <v>145</v>
      </c>
    </row>
    <row r="20" spans="1:7" ht="41.25" customHeight="1" thickBot="1">
      <c r="A20" s="530" t="s">
        <v>221</v>
      </c>
      <c r="B20" s="531" t="s">
        <v>8</v>
      </c>
      <c r="C20" s="527">
        <v>32900</v>
      </c>
      <c r="D20" s="532">
        <v>86500</v>
      </c>
      <c r="E20" s="533"/>
      <c r="F20" s="534">
        <f>SUM(C20:E20)</f>
        <v>119400</v>
      </c>
    </row>
    <row r="21" spans="1:7" ht="20.25" customHeight="1">
      <c r="A21" s="181"/>
      <c r="B21" s="114"/>
      <c r="C21" s="178"/>
      <c r="D21" s="182"/>
      <c r="E21" s="183"/>
      <c r="F21" s="254">
        <f t="shared" ref="F21:F27" si="2">SUM(C21:E21)</f>
        <v>0</v>
      </c>
    </row>
    <row r="22" spans="1:7" ht="20.25" customHeight="1">
      <c r="A22" s="181"/>
      <c r="B22" s="114"/>
      <c r="C22" s="178"/>
      <c r="D22" s="182"/>
      <c r="E22" s="183"/>
      <c r="F22" s="254">
        <f t="shared" si="2"/>
        <v>0</v>
      </c>
    </row>
    <row r="23" spans="1:7" ht="20.25" customHeight="1">
      <c r="A23" s="181"/>
      <c r="B23" s="114"/>
      <c r="C23" s="178"/>
      <c r="D23" s="182"/>
      <c r="E23" s="183"/>
      <c r="F23" s="254">
        <f t="shared" si="2"/>
        <v>0</v>
      </c>
    </row>
    <row r="24" spans="1:7" ht="20.25" customHeight="1">
      <c r="A24" s="181"/>
      <c r="B24" s="114"/>
      <c r="C24" s="178"/>
      <c r="D24" s="182"/>
      <c r="E24" s="183"/>
      <c r="F24" s="254">
        <f t="shared" si="2"/>
        <v>0</v>
      </c>
    </row>
    <row r="25" spans="1:7" ht="20.25" customHeight="1">
      <c r="A25" s="181"/>
      <c r="B25" s="114"/>
      <c r="C25" s="178"/>
      <c r="D25" s="182"/>
      <c r="E25" s="183"/>
      <c r="F25" s="254">
        <f t="shared" si="2"/>
        <v>0</v>
      </c>
    </row>
    <row r="26" spans="1:7" ht="20.25" customHeight="1">
      <c r="A26" s="181"/>
      <c r="B26" s="114"/>
      <c r="C26" s="178"/>
      <c r="D26" s="182"/>
      <c r="E26" s="183"/>
      <c r="F26" s="254">
        <f t="shared" si="2"/>
        <v>0</v>
      </c>
    </row>
    <row r="27" spans="1:7" ht="20.25" customHeight="1">
      <c r="A27" s="181"/>
      <c r="B27" s="114"/>
      <c r="C27" s="178"/>
      <c r="D27" s="182"/>
      <c r="E27" s="183"/>
      <c r="F27" s="254">
        <f t="shared" si="2"/>
        <v>0</v>
      </c>
    </row>
    <row r="28" spans="1:7" s="33" customFormat="1" ht="13.5" thickBot="1">
      <c r="A28" s="424"/>
      <c r="B28" s="425" t="s">
        <v>193</v>
      </c>
      <c r="C28" s="426">
        <f>SUM(C21:C27)</f>
        <v>0</v>
      </c>
      <c r="D28" s="427">
        <f>SUM(D21:D27)</f>
        <v>0</v>
      </c>
      <c r="E28" s="428">
        <f>SUM(E21:E27)</f>
        <v>0</v>
      </c>
      <c r="F28" s="429">
        <f>SUM(F21:F27)</f>
        <v>0</v>
      </c>
      <c r="G28" s="191"/>
    </row>
    <row r="29" spans="1:7" s="175" customFormat="1" ht="13.5" thickBot="1">
      <c r="A29" s="174"/>
      <c r="B29" s="174"/>
      <c r="C29" s="257"/>
      <c r="D29" s="257"/>
      <c r="E29" s="257"/>
      <c r="F29" s="257"/>
      <c r="G29" s="192"/>
    </row>
    <row r="30" spans="1:7" ht="45.75" customHeight="1" thickBot="1">
      <c r="A30" s="168" t="s">
        <v>156</v>
      </c>
      <c r="B30" s="169" t="s">
        <v>124</v>
      </c>
      <c r="C30" s="170" t="s">
        <v>127</v>
      </c>
      <c r="D30" s="171" t="s">
        <v>125</v>
      </c>
      <c r="E30" s="172" t="s">
        <v>126</v>
      </c>
      <c r="F30" s="173" t="s">
        <v>145</v>
      </c>
    </row>
    <row r="31" spans="1:7" ht="20.25" customHeight="1">
      <c r="A31" s="176"/>
      <c r="B31" s="177" t="s">
        <v>155</v>
      </c>
      <c r="C31" s="178"/>
      <c r="D31" s="182"/>
      <c r="E31" s="183"/>
      <c r="F31" s="254">
        <f>SUM(C31:E31)</f>
        <v>0</v>
      </c>
    </row>
    <row r="32" spans="1:7" ht="20.25" customHeight="1">
      <c r="A32" s="181"/>
      <c r="B32" s="114"/>
      <c r="C32" s="178"/>
      <c r="D32" s="182"/>
      <c r="E32" s="183"/>
      <c r="F32" s="254">
        <f>SUM(C32:E32)</f>
        <v>0</v>
      </c>
    </row>
    <row r="33" spans="1:7" ht="20.25" customHeight="1">
      <c r="A33" s="181"/>
      <c r="B33" s="114"/>
      <c r="C33" s="178"/>
      <c r="D33" s="182"/>
      <c r="E33" s="183"/>
      <c r="F33" s="254">
        <f>SUM(C33:E33)</f>
        <v>0</v>
      </c>
    </row>
    <row r="34" spans="1:7" s="33" customFormat="1" ht="23.25" customHeight="1" thickBot="1">
      <c r="A34" s="424"/>
      <c r="B34" s="425" t="s">
        <v>193</v>
      </c>
      <c r="C34" s="426">
        <f>SUM(C31:C33)</f>
        <v>0</v>
      </c>
      <c r="D34" s="427">
        <f>SUM(D31:D33)</f>
        <v>0</v>
      </c>
      <c r="E34" s="428">
        <f>SUM(E31:E33)</f>
        <v>0</v>
      </c>
      <c r="F34" s="429">
        <f>SUM(C34:E34)</f>
        <v>0</v>
      </c>
      <c r="G34" s="191"/>
    </row>
    <row r="35" spans="1:7" ht="9.75" customHeight="1" thickBot="1">
      <c r="A35" s="111"/>
      <c r="B35" s="111"/>
      <c r="C35" s="430"/>
      <c r="D35" s="431"/>
      <c r="E35" s="431"/>
      <c r="F35" s="432"/>
    </row>
    <row r="36" spans="1:7" s="33" customFormat="1" ht="15.75" customHeight="1" thickBot="1">
      <c r="A36" s="160" t="s">
        <v>157</v>
      </c>
      <c r="B36" s="433"/>
      <c r="C36" s="307">
        <f>C28+C34+C17</f>
        <v>0</v>
      </c>
      <c r="D36" s="310">
        <f>D28+D34+D17</f>
        <v>0</v>
      </c>
      <c r="E36" s="313">
        <f>E28+E34+E17</f>
        <v>0</v>
      </c>
      <c r="F36" s="469">
        <f>F28+F34+F17</f>
        <v>0</v>
      </c>
      <c r="G36" s="191"/>
    </row>
    <row r="37" spans="1:7">
      <c r="C37" s="258"/>
      <c r="D37" s="259"/>
      <c r="E37" s="259"/>
      <c r="F37" s="385"/>
    </row>
    <row r="38" spans="1:7" ht="15.75" thickBot="1">
      <c r="A38" s="660" t="s">
        <v>96</v>
      </c>
      <c r="B38" s="660"/>
      <c r="C38" s="256"/>
      <c r="D38" s="260"/>
      <c r="F38" s="386"/>
    </row>
    <row r="39" spans="1:7" ht="13.5" customHeight="1">
      <c r="A39" s="661"/>
      <c r="B39" s="662"/>
      <c r="C39" s="662"/>
      <c r="D39" s="662"/>
      <c r="E39" s="662"/>
      <c r="F39" s="663"/>
    </row>
    <row r="40" spans="1:7" ht="13.5" customHeight="1">
      <c r="A40" s="664"/>
      <c r="B40" s="665"/>
      <c r="C40" s="665"/>
      <c r="D40" s="665"/>
      <c r="E40" s="665"/>
      <c r="F40" s="666"/>
    </row>
    <row r="41" spans="1:7" ht="13.5" customHeight="1" thickBot="1">
      <c r="A41" s="667"/>
      <c r="B41" s="668"/>
      <c r="C41" s="668"/>
      <c r="D41" s="668"/>
      <c r="E41" s="668"/>
      <c r="F41" s="669"/>
    </row>
  </sheetData>
  <sheetProtection formatCells="0" formatColumns="0" formatRows="0" insertRows="0" deleteRows="0" selectLockedCells="1"/>
  <customSheetViews>
    <customSheetView guid="{D5CEF8EB-A9A7-4458-BF65-8F18E34CBA87}" scale="90" showPageBreaks="1" printArea="1">
      <selection activeCell="G3" sqref="G3"/>
      <pageMargins left="0.5" right="0.5" top="0.25" bottom="0.5" header="0.5" footer="0.25"/>
      <printOptions horizontalCentered="1"/>
      <pageSetup scale="90" fitToHeight="5" orientation="landscape" r:id="rId1"/>
      <headerFooter alignWithMargins="0">
        <oddFooter>&amp;Lf. Contractual&amp;RPage &amp;P of &amp;N</oddFooter>
      </headerFooter>
    </customSheetView>
    <customSheetView guid="{6588CF8C-0BB8-4786-9A46-0A2D10254132}" scale="90" showPageBreaks="1" printArea="1">
      <selection activeCell="A6" sqref="A6:IV6"/>
      <pageMargins left="0.5" right="0.5" top="0.25" bottom="0.5" header="0.5" footer="0.25"/>
      <printOptions horizontalCentered="1"/>
      <pageSetup scale="90" fitToHeight="5" orientation="landscape" r:id="rId2"/>
      <headerFooter alignWithMargins="0">
        <oddFooter>&amp;Lf. Contractual&amp;RPage &amp;P of &amp;N</oddFooter>
      </headerFooter>
    </customSheetView>
    <customSheetView guid="{712CE29F-EFCA-4968-A7C5-599F87319D6A}" scale="90" topLeftCell="A4">
      <selection activeCell="A4" sqref="A4:F4"/>
      <pageMargins left="0.5" right="0.5" top="0.25" bottom="0.5" header="0.5" footer="0.25"/>
      <printOptions horizontalCentered="1"/>
      <pageSetup scale="90" fitToHeight="5" orientation="landscape" r:id="rId3"/>
      <headerFooter alignWithMargins="0">
        <oddFooter>&amp;Lf. Contractual&amp;RPage &amp;P of &amp;N</oddFooter>
      </headerFooter>
    </customSheetView>
    <customSheetView guid="{5BEC5FDE-32D0-42EF-8D2A-06DCBD4F05CC}" scale="90" showPageBreaks="1" printArea="1" topLeftCell="A4">
      <selection activeCell="E6" sqref="E6"/>
      <pageMargins left="0.5" right="0.5" top="0.25" bottom="0.5" header="0.5" footer="0.25"/>
      <printOptions horizontalCentered="1"/>
      <pageSetup scale="90" fitToHeight="5" orientation="landscape" r:id="rId4"/>
      <headerFooter alignWithMargins="0">
        <oddFooter>&amp;Lf. Contractual&amp;RPage &amp;P of &amp;N</oddFooter>
      </headerFooter>
    </customSheetView>
    <customSheetView guid="{D7FF18E2-A72D-4088-BD59-9D74A43C39A8}" scale="90" showPageBreaks="1" printArea="1" topLeftCell="A4">
      <selection activeCell="A18" sqref="A18"/>
      <pageMargins left="0.5" right="0.5" top="0.25" bottom="0.5" header="0.5" footer="0.25"/>
      <printOptions horizontalCentered="1"/>
      <pageSetup scale="90" fitToHeight="5" orientation="landscape" r:id="rId5"/>
      <headerFooter alignWithMargins="0">
        <oddFooter>&amp;Lf. Contractual&amp;RPage &amp;P of &amp;N</oddFooter>
      </headerFooter>
    </customSheetView>
  </customSheetViews>
  <mergeCells count="7">
    <mergeCell ref="A39:F41"/>
    <mergeCell ref="A1:B1"/>
    <mergeCell ref="A3:F3"/>
    <mergeCell ref="A2:F2"/>
    <mergeCell ref="A38:B38"/>
    <mergeCell ref="A4:F4"/>
    <mergeCell ref="D1:F1"/>
  </mergeCells>
  <phoneticPr fontId="2" type="noConversion"/>
  <printOptions horizontalCentered="1"/>
  <pageMargins left="0.5" right="0.5" top="0.25" bottom="0.5" header="0.5" footer="0.25"/>
  <pageSetup scale="90" fitToHeight="5" orientation="landscape" r:id="rId6"/>
  <headerFooter alignWithMargins="0">
    <oddFooter>&amp;Lf. Contractual&amp;RPage &amp;P of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J36"/>
  <sheetViews>
    <sheetView zoomScale="90" workbookViewId="0">
      <selection activeCell="I11" sqref="I11"/>
    </sheetView>
  </sheetViews>
  <sheetFormatPr defaultRowHeight="12.75"/>
  <cols>
    <col min="1" max="1" width="63" style="36" customWidth="1"/>
    <col min="2" max="2" width="12.42578125" style="255" customWidth="1"/>
    <col min="3" max="3" width="28.28515625" style="378" customWidth="1"/>
    <col min="4" max="4" width="50.85546875" style="71" customWidth="1"/>
    <col min="5" max="16384" width="9.140625" style="36"/>
  </cols>
  <sheetData>
    <row r="1" spans="1:10" s="33" customFormat="1">
      <c r="A1" s="73" t="s">
        <v>229</v>
      </c>
      <c r="B1" s="382"/>
      <c r="C1" s="377"/>
      <c r="D1" s="317">
        <f>'Instructions and Summary'!G5</f>
        <v>0</v>
      </c>
      <c r="E1" s="73"/>
      <c r="F1" s="73"/>
      <c r="G1" s="73"/>
    </row>
    <row r="2" spans="1:10" s="60" customFormat="1" ht="22.5" customHeight="1" thickBot="1">
      <c r="A2" s="756" t="s">
        <v>103</v>
      </c>
      <c r="B2" s="756"/>
      <c r="C2" s="756"/>
      <c r="D2" s="756"/>
      <c r="E2" s="184"/>
      <c r="F2" s="184"/>
      <c r="G2" s="184"/>
      <c r="H2" s="59"/>
      <c r="I2" s="59"/>
      <c r="J2" s="59"/>
    </row>
    <row r="3" spans="1:10" ht="159.75" customHeight="1" thickBot="1">
      <c r="A3" s="761" t="s">
        <v>1</v>
      </c>
      <c r="B3" s="743"/>
      <c r="C3" s="743"/>
      <c r="D3" s="744"/>
    </row>
    <row r="4" spans="1:10">
      <c r="A4" s="13"/>
    </row>
    <row r="5" spans="1:10" ht="19.5" customHeight="1" thickBot="1">
      <c r="A5" s="760" t="s">
        <v>186</v>
      </c>
      <c r="B5" s="760"/>
      <c r="C5" s="760"/>
      <c r="D5" s="760"/>
    </row>
    <row r="6" spans="1:10" ht="48.75" customHeight="1" thickBot="1">
      <c r="A6" s="757" t="s">
        <v>2</v>
      </c>
      <c r="B6" s="758"/>
      <c r="C6" s="758"/>
      <c r="D6" s="759"/>
    </row>
    <row r="7" spans="1:10" ht="20.25" customHeight="1" thickBot="1">
      <c r="A7" s="13"/>
    </row>
    <row r="8" spans="1:10" s="33" customFormat="1" ht="15.75" thickBot="1">
      <c r="A8" s="41" t="s">
        <v>184</v>
      </c>
      <c r="B8" s="75" t="s">
        <v>185</v>
      </c>
      <c r="C8" s="19" t="s">
        <v>121</v>
      </c>
      <c r="D8" s="20" t="s">
        <v>122</v>
      </c>
    </row>
    <row r="9" spans="1:10" s="33" customFormat="1" ht="15.75" thickBot="1">
      <c r="A9" s="745" t="s">
        <v>106</v>
      </c>
      <c r="B9" s="746"/>
      <c r="C9" s="746"/>
      <c r="D9" s="747"/>
    </row>
    <row r="10" spans="1:10" s="387" customFormat="1" ht="29.25" customHeight="1" thickBot="1">
      <c r="A10" s="535" t="s">
        <v>217</v>
      </c>
      <c r="B10" s="527">
        <v>28000</v>
      </c>
      <c r="C10" s="536" t="s">
        <v>3</v>
      </c>
      <c r="D10" s="528" t="s">
        <v>4</v>
      </c>
    </row>
    <row r="11" spans="1:10" s="111" customFormat="1" ht="29.25" customHeight="1">
      <c r="A11" s="86"/>
      <c r="B11" s="178"/>
      <c r="C11" s="379"/>
      <c r="D11" s="343"/>
    </row>
    <row r="12" spans="1:10" s="111" customFormat="1" ht="29.25" customHeight="1">
      <c r="A12" s="86"/>
      <c r="B12" s="178"/>
      <c r="C12" s="379"/>
      <c r="D12" s="343"/>
    </row>
    <row r="13" spans="1:10" s="111" customFormat="1" ht="29.25" customHeight="1">
      <c r="A13" s="86"/>
      <c r="B13" s="178"/>
      <c r="C13" s="379"/>
      <c r="D13" s="343"/>
    </row>
    <row r="14" spans="1:10" s="111" customFormat="1" ht="29.25" customHeight="1">
      <c r="A14" s="86"/>
      <c r="B14" s="178"/>
      <c r="C14" s="379"/>
      <c r="D14" s="343"/>
    </row>
    <row r="15" spans="1:10" s="111" customFormat="1" ht="29.25" customHeight="1" thickBot="1">
      <c r="A15" s="86"/>
      <c r="B15" s="178"/>
      <c r="C15" s="379"/>
      <c r="D15" s="343"/>
    </row>
    <row r="16" spans="1:10" ht="13.5" thickBot="1">
      <c r="A16" s="135" t="s">
        <v>114</v>
      </c>
      <c r="B16" s="307">
        <f>SUM(B11:B15)</f>
        <v>0</v>
      </c>
      <c r="C16" s="447"/>
      <c r="D16" s="369"/>
    </row>
    <row r="17" spans="1:4" s="33" customFormat="1" ht="15.75" thickBot="1">
      <c r="A17" s="736" t="s">
        <v>113</v>
      </c>
      <c r="B17" s="737"/>
      <c r="C17" s="737"/>
      <c r="D17" s="738"/>
    </row>
    <row r="18" spans="1:4" s="111" customFormat="1" ht="26.25" customHeight="1">
      <c r="A18" s="46"/>
      <c r="B18" s="293"/>
      <c r="C18" s="380"/>
      <c r="D18" s="341"/>
    </row>
    <row r="19" spans="1:4" s="111" customFormat="1" ht="26.25" customHeight="1">
      <c r="A19" s="46"/>
      <c r="B19" s="293"/>
      <c r="C19" s="380"/>
      <c r="D19" s="341"/>
    </row>
    <row r="20" spans="1:4" s="111" customFormat="1" ht="26.25" customHeight="1">
      <c r="A20" s="46"/>
      <c r="B20" s="293"/>
      <c r="C20" s="380"/>
      <c r="D20" s="341"/>
    </row>
    <row r="21" spans="1:4" s="111" customFormat="1" ht="26.25" customHeight="1">
      <c r="A21" s="46"/>
      <c r="B21" s="293"/>
      <c r="C21" s="380"/>
      <c r="D21" s="341"/>
    </row>
    <row r="22" spans="1:4" s="111" customFormat="1" ht="26.25" customHeight="1" thickBot="1">
      <c r="A22" s="46"/>
      <c r="B22" s="293"/>
      <c r="C22" s="380"/>
      <c r="D22" s="341"/>
    </row>
    <row r="23" spans="1:4" ht="13.5" thickBot="1">
      <c r="A23" s="145" t="s">
        <v>115</v>
      </c>
      <c r="B23" s="361">
        <f>SUM(B18:B22)</f>
        <v>0</v>
      </c>
      <c r="C23" s="448"/>
      <c r="D23" s="372"/>
    </row>
    <row r="24" spans="1:4" s="33" customFormat="1" ht="15.75" thickBot="1">
      <c r="A24" s="730" t="s">
        <v>107</v>
      </c>
      <c r="B24" s="731"/>
      <c r="C24" s="731"/>
      <c r="D24" s="732"/>
    </row>
    <row r="25" spans="1:4" s="111" customFormat="1" ht="27.75" customHeight="1">
      <c r="A25" s="54"/>
      <c r="B25" s="287"/>
      <c r="C25" s="381"/>
      <c r="D25" s="338"/>
    </row>
    <row r="26" spans="1:4" s="111" customFormat="1" ht="27.75" customHeight="1">
      <c r="A26" s="54"/>
      <c r="B26" s="287"/>
      <c r="C26" s="381"/>
      <c r="D26" s="338"/>
    </row>
    <row r="27" spans="1:4" s="111" customFormat="1" ht="27.75" customHeight="1">
      <c r="A27" s="54"/>
      <c r="B27" s="287"/>
      <c r="C27" s="381"/>
      <c r="D27" s="338"/>
    </row>
    <row r="28" spans="1:4" s="111" customFormat="1" ht="27.75" customHeight="1">
      <c r="A28" s="54"/>
      <c r="B28" s="287"/>
      <c r="C28" s="381"/>
      <c r="D28" s="338"/>
    </row>
    <row r="29" spans="1:4" s="111" customFormat="1" ht="27.75" customHeight="1" thickBot="1">
      <c r="A29" s="54"/>
      <c r="B29" s="287"/>
      <c r="C29" s="381"/>
      <c r="D29" s="338"/>
    </row>
    <row r="30" spans="1:4" ht="13.5" thickBot="1">
      <c r="A30" s="155" t="s">
        <v>116</v>
      </c>
      <c r="B30" s="363">
        <f>SUM(B25:B29)</f>
        <v>0</v>
      </c>
      <c r="C30" s="449"/>
      <c r="D30" s="375"/>
    </row>
    <row r="31" spans="1:4" s="33" customFormat="1" ht="15.75" customHeight="1" thickBot="1">
      <c r="A31" s="160" t="s">
        <v>180</v>
      </c>
      <c r="B31" s="315">
        <f>-B30+B23+B16</f>
        <v>0</v>
      </c>
      <c r="C31" s="450"/>
      <c r="D31" s="376"/>
    </row>
    <row r="33" spans="1:4" ht="13.5" thickBot="1">
      <c r="A33" s="33" t="s">
        <v>199</v>
      </c>
    </row>
    <row r="34" spans="1:4" ht="19.5" customHeight="1">
      <c r="A34" s="661"/>
      <c r="B34" s="662"/>
      <c r="C34" s="662"/>
      <c r="D34" s="663"/>
    </row>
    <row r="35" spans="1:4" ht="19.5" customHeight="1">
      <c r="A35" s="664"/>
      <c r="B35" s="665"/>
      <c r="C35" s="665"/>
      <c r="D35" s="666"/>
    </row>
    <row r="36" spans="1:4" ht="19.5" customHeight="1" thickBot="1">
      <c r="A36" s="667"/>
      <c r="B36" s="668"/>
      <c r="C36" s="668"/>
      <c r="D36" s="669"/>
    </row>
  </sheetData>
  <sheetProtection formatCells="0" formatColumns="0" formatRows="0" insertRows="0" deleteRows="0" selectLockedCells="1"/>
  <customSheetViews>
    <customSheetView guid="{D5CEF8EB-A9A7-4458-BF65-8F18E34CBA87}" scale="90" showPageBreaks="1" showGridLines="0" fitToPage="1" printArea="1">
      <selection activeCell="G3" sqref="G3"/>
      <pageMargins left="0.5" right="0.5" top="0.25" bottom="0.5" header="0.5" footer="0.25"/>
      <printOptions horizontalCentered="1"/>
      <pageSetup scale="84" fitToHeight="2" orientation="landscape" r:id="rId1"/>
      <headerFooter alignWithMargins="0">
        <oddFooter>&amp;Lg. Construction&amp;RPage &amp;P of &amp;N</oddFooter>
      </headerFooter>
    </customSheetView>
    <customSheetView guid="{6588CF8C-0BB8-4786-9A46-0A2D10254132}" scale="90" showPageBreaks="1" showGridLines="0" fitToPage="1" printArea="1" topLeftCell="A4">
      <selection activeCell="A3" sqref="A3:D3"/>
      <pageMargins left="0.5" right="0.5" top="0.25" bottom="0.5" header="0.5" footer="0.25"/>
      <printOptions horizontalCentered="1"/>
      <pageSetup scale="84" fitToHeight="2" orientation="landscape" r:id="rId2"/>
      <headerFooter alignWithMargins="0">
        <oddFooter>&amp;Lg. Construction&amp;RPage &amp;P of &amp;N</oddFooter>
      </headerFooter>
    </customSheetView>
    <customSheetView guid="{712CE29F-EFCA-4968-A7C5-599F87319D6A}" scale="90" showGridLines="0" fitToPage="1">
      <selection activeCell="A3" sqref="A3:D3"/>
      <pageMargins left="0.5" right="0.5" top="0.25" bottom="0.5" header="0.5" footer="0.25"/>
      <printOptions horizontalCentered="1"/>
      <pageSetup scale="84" fitToHeight="2" orientation="landscape" r:id="rId3"/>
      <headerFooter alignWithMargins="0">
        <oddFooter>&amp;Lg. Construction&amp;RPage &amp;P of &amp;N</oddFooter>
      </headerFooter>
    </customSheetView>
    <customSheetView guid="{5BEC5FDE-32D0-42EF-8D2A-06DCBD4F05CC}" scale="90" showPageBreaks="1" showGridLines="0" fitToPage="1" printArea="1">
      <selection activeCell="A3" sqref="A3:D3"/>
      <pageMargins left="0.5" right="0.5" top="0.25" bottom="0.5" header="0.5" footer="0.25"/>
      <printOptions horizontalCentered="1"/>
      <pageSetup scale="84" fitToHeight="2" orientation="landscape" r:id="rId4"/>
      <headerFooter alignWithMargins="0">
        <oddFooter>&amp;Lg. Construction&amp;RPage &amp;P of &amp;N</oddFooter>
      </headerFooter>
    </customSheetView>
    <customSheetView guid="{D7FF18E2-A72D-4088-BD59-9D74A43C39A8}" scale="90" showPageBreaks="1" showGridLines="0" fitToPage="1" printArea="1">
      <selection activeCell="A3" sqref="A3:D3"/>
      <pageMargins left="0.5" right="0.5" top="0.25" bottom="0.5" header="0.5" footer="0.25"/>
      <printOptions horizontalCentered="1"/>
      <pageSetup scale="84" fitToHeight="2" orientation="landscape" r:id="rId5"/>
      <headerFooter alignWithMargins="0">
        <oddFooter>&amp;Lg. Construction&amp;RPage &amp;P of &amp;N</oddFooter>
      </headerFooter>
    </customSheetView>
  </customSheetViews>
  <mergeCells count="8">
    <mergeCell ref="A17:D17"/>
    <mergeCell ref="A24:D24"/>
    <mergeCell ref="A34:D36"/>
    <mergeCell ref="A2:D2"/>
    <mergeCell ref="A6:D6"/>
    <mergeCell ref="A5:D5"/>
    <mergeCell ref="A3:D3"/>
    <mergeCell ref="A9:D9"/>
  </mergeCells>
  <phoneticPr fontId="2" type="noConversion"/>
  <printOptions horizontalCentered="1"/>
  <pageMargins left="0.5" right="0.5" top="0.25" bottom="0.5" header="0.5" footer="0.25"/>
  <pageSetup scale="84" fitToHeight="2" orientation="landscape" r:id="rId6"/>
  <headerFooter alignWithMargins="0">
    <oddFooter>&amp;Lg. Construction&amp;RPage &amp;P of &amp;N</oddFooter>
  </headerFooter>
</worksheet>
</file>

<file path=xl/worksheets/sheet9.xml><?xml version="1.0" encoding="utf-8"?>
<worksheet xmlns="http://schemas.openxmlformats.org/spreadsheetml/2006/main" xmlns:r="http://schemas.openxmlformats.org/officeDocument/2006/relationships">
  <sheetPr codeName="Sheet9">
    <pageSetUpPr fitToPage="1"/>
  </sheetPr>
  <dimension ref="A1:G36"/>
  <sheetViews>
    <sheetView zoomScale="90" workbookViewId="0">
      <selection activeCell="A3" sqref="A3:D3"/>
    </sheetView>
  </sheetViews>
  <sheetFormatPr defaultRowHeight="12.75"/>
  <cols>
    <col min="1" max="1" width="41.85546875" style="36" customWidth="1"/>
    <col min="2" max="2" width="14.140625" style="255" customWidth="1"/>
    <col min="3" max="3" width="36.140625" style="388" customWidth="1"/>
    <col min="4" max="4" width="61.7109375" style="71" customWidth="1"/>
    <col min="5" max="16384" width="9.140625" style="36"/>
  </cols>
  <sheetData>
    <row r="1" spans="1:7" s="33" customFormat="1" ht="12.75" customHeight="1">
      <c r="A1" s="729" t="s">
        <v>229</v>
      </c>
      <c r="B1" s="729"/>
      <c r="C1" s="73"/>
      <c r="D1" s="317">
        <f>'Instructions and Summary'!G5</f>
        <v>0</v>
      </c>
    </row>
    <row r="2" spans="1:7" s="60" customFormat="1" ht="22.5" customHeight="1" thickBot="1">
      <c r="A2" s="742" t="s">
        <v>104</v>
      </c>
      <c r="B2" s="742"/>
      <c r="C2" s="742"/>
      <c r="D2" s="742"/>
      <c r="E2" s="59"/>
      <c r="F2" s="59"/>
      <c r="G2" s="59"/>
    </row>
    <row r="3" spans="1:7" ht="145.5" customHeight="1" thickBot="1">
      <c r="A3" s="761" t="s">
        <v>239</v>
      </c>
      <c r="B3" s="762"/>
      <c r="C3" s="762"/>
      <c r="D3" s="763"/>
    </row>
    <row r="4" spans="1:7" ht="13.5" thickBot="1">
      <c r="A4" s="13"/>
    </row>
    <row r="5" spans="1:7" s="163" customFormat="1" ht="15.75" customHeight="1" thickBot="1">
      <c r="A5" s="41" t="s">
        <v>148</v>
      </c>
      <c r="B5" s="75" t="s">
        <v>149</v>
      </c>
      <c r="C5" s="19" t="s">
        <v>121</v>
      </c>
      <c r="D5" s="20" t="s">
        <v>122</v>
      </c>
    </row>
    <row r="6" spans="1:7" s="33" customFormat="1" ht="15.75" customHeight="1" thickBot="1">
      <c r="A6" s="745" t="s">
        <v>106</v>
      </c>
      <c r="B6" s="746"/>
      <c r="C6" s="746"/>
      <c r="D6" s="747"/>
    </row>
    <row r="7" spans="1:7" ht="15.75" customHeight="1" thickBot="1">
      <c r="A7" s="523" t="s">
        <v>218</v>
      </c>
      <c r="B7" s="527">
        <v>16000</v>
      </c>
      <c r="C7" s="537" t="s">
        <v>194</v>
      </c>
      <c r="D7" s="528" t="s">
        <v>195</v>
      </c>
    </row>
    <row r="8" spans="1:7" ht="15.75" customHeight="1">
      <c r="A8" s="81"/>
      <c r="B8" s="178"/>
      <c r="C8" s="389"/>
      <c r="D8" s="342"/>
    </row>
    <row r="9" spans="1:7" ht="15.75" customHeight="1">
      <c r="A9" s="81"/>
      <c r="B9" s="178"/>
      <c r="C9" s="389"/>
      <c r="D9" s="342"/>
    </row>
    <row r="10" spans="1:7" ht="15.75" customHeight="1">
      <c r="A10" s="86"/>
      <c r="B10" s="290"/>
      <c r="C10" s="390"/>
      <c r="D10" s="343"/>
    </row>
    <row r="11" spans="1:7" ht="15.75" customHeight="1">
      <c r="A11" s="86"/>
      <c r="B11" s="290"/>
      <c r="C11" s="390"/>
      <c r="D11" s="343"/>
    </row>
    <row r="12" spans="1:7" ht="15.75" customHeight="1">
      <c r="A12" s="86"/>
      <c r="B12" s="290"/>
      <c r="C12" s="390"/>
      <c r="D12" s="343"/>
    </row>
    <row r="13" spans="1:7" ht="15.75" customHeight="1" thickBot="1">
      <c r="A13" s="86"/>
      <c r="B13" s="290"/>
      <c r="C13" s="390"/>
      <c r="D13" s="343"/>
    </row>
    <row r="14" spans="1:7" ht="15.75" customHeight="1" thickBot="1">
      <c r="A14" s="135" t="s">
        <v>114</v>
      </c>
      <c r="B14" s="359">
        <f>SUM(B8:B13)</f>
        <v>0</v>
      </c>
      <c r="C14" s="415"/>
      <c r="D14" s="369"/>
    </row>
    <row r="15" spans="1:7" s="33" customFormat="1" ht="15.75" customHeight="1" thickBot="1">
      <c r="A15" s="736" t="s">
        <v>113</v>
      </c>
      <c r="B15" s="737"/>
      <c r="C15" s="737"/>
      <c r="D15" s="738"/>
    </row>
    <row r="16" spans="1:7" ht="15.75" customHeight="1">
      <c r="A16" s="42"/>
      <c r="B16" s="345"/>
      <c r="C16" s="391"/>
      <c r="D16" s="339"/>
    </row>
    <row r="17" spans="1:4" ht="15.75" customHeight="1">
      <c r="A17" s="46"/>
      <c r="B17" s="293"/>
      <c r="C17" s="392"/>
      <c r="D17" s="341"/>
    </row>
    <row r="18" spans="1:4" ht="15.75" customHeight="1">
      <c r="A18" s="46"/>
      <c r="B18" s="293"/>
      <c r="C18" s="392"/>
      <c r="D18" s="341"/>
    </row>
    <row r="19" spans="1:4" ht="15.75" customHeight="1">
      <c r="A19" s="46"/>
      <c r="B19" s="293"/>
      <c r="C19" s="392"/>
      <c r="D19" s="341"/>
    </row>
    <row r="20" spans="1:4" ht="15.75" customHeight="1">
      <c r="A20" s="46"/>
      <c r="B20" s="293"/>
      <c r="C20" s="392"/>
      <c r="D20" s="341"/>
    </row>
    <row r="21" spans="1:4" ht="15.75" customHeight="1" thickBot="1">
      <c r="A21" s="46"/>
      <c r="B21" s="293"/>
      <c r="C21" s="392"/>
      <c r="D21" s="341"/>
    </row>
    <row r="22" spans="1:4" ht="15.75" customHeight="1" thickBot="1">
      <c r="A22" s="145" t="s">
        <v>115</v>
      </c>
      <c r="B22" s="361">
        <f>SUM(B16:B21)</f>
        <v>0</v>
      </c>
      <c r="C22" s="416"/>
      <c r="D22" s="372"/>
    </row>
    <row r="23" spans="1:4" s="33" customFormat="1" ht="15.75" customHeight="1" thickBot="1">
      <c r="A23" s="730" t="s">
        <v>107</v>
      </c>
      <c r="B23" s="731"/>
      <c r="C23" s="731"/>
      <c r="D23" s="732"/>
    </row>
    <row r="24" spans="1:4" ht="15.75" customHeight="1">
      <c r="A24" s="50"/>
      <c r="B24" s="346"/>
      <c r="C24" s="393"/>
      <c r="D24" s="336"/>
    </row>
    <row r="25" spans="1:4" ht="15.75" customHeight="1">
      <c r="A25" s="65"/>
      <c r="B25" s="287"/>
      <c r="C25" s="394"/>
      <c r="D25" s="337"/>
    </row>
    <row r="26" spans="1:4" ht="15.75" customHeight="1">
      <c r="A26" s="54"/>
      <c r="B26" s="296"/>
      <c r="C26" s="395"/>
      <c r="D26" s="338"/>
    </row>
    <row r="27" spans="1:4" ht="15.75" customHeight="1">
      <c r="A27" s="54"/>
      <c r="B27" s="296"/>
      <c r="C27" s="395"/>
      <c r="D27" s="338"/>
    </row>
    <row r="28" spans="1:4" ht="15.75" customHeight="1">
      <c r="A28" s="54"/>
      <c r="B28" s="296"/>
      <c r="C28" s="395"/>
      <c r="D28" s="338"/>
    </row>
    <row r="29" spans="1:4" ht="15.75" customHeight="1" thickBot="1">
      <c r="A29" s="54"/>
      <c r="B29" s="296"/>
      <c r="C29" s="395"/>
      <c r="D29" s="338"/>
    </row>
    <row r="30" spans="1:4" ht="15.75" customHeight="1" thickBot="1">
      <c r="A30" s="417" t="s">
        <v>116</v>
      </c>
      <c r="B30" s="418">
        <f>SUM(B24:B29)</f>
        <v>0</v>
      </c>
      <c r="C30" s="419"/>
      <c r="D30" s="420"/>
    </row>
    <row r="31" spans="1:4" s="33" customFormat="1" ht="15.75" customHeight="1" thickBot="1">
      <c r="A31" s="160" t="s">
        <v>180</v>
      </c>
      <c r="B31" s="421">
        <f>B30+B22+B14</f>
        <v>0</v>
      </c>
      <c r="C31" s="422"/>
      <c r="D31" s="423"/>
    </row>
    <row r="32" spans="1:4" ht="7.5" customHeight="1"/>
    <row r="33" spans="1:4" ht="15.75" thickBot="1">
      <c r="A33" s="660" t="s">
        <v>199</v>
      </c>
      <c r="B33" s="660"/>
      <c r="C33" s="660"/>
    </row>
    <row r="34" spans="1:4">
      <c r="A34" s="661"/>
      <c r="B34" s="662"/>
      <c r="C34" s="662"/>
      <c r="D34" s="663"/>
    </row>
    <row r="35" spans="1:4">
      <c r="A35" s="664"/>
      <c r="B35" s="665"/>
      <c r="C35" s="665"/>
      <c r="D35" s="666"/>
    </row>
    <row r="36" spans="1:4" ht="13.5" thickBot="1">
      <c r="A36" s="667"/>
      <c r="B36" s="668"/>
      <c r="C36" s="668"/>
      <c r="D36" s="669"/>
    </row>
  </sheetData>
  <sheetProtection formatCells="0" formatColumns="0" formatRows="0" insertRows="0" deleteRows="0" selectLockedCells="1"/>
  <customSheetViews>
    <customSheetView guid="{D5CEF8EB-A9A7-4458-BF65-8F18E34CBA87}" scale="90" showPageBreaks="1" fitToPage="1" printArea="1">
      <selection activeCell="A3" sqref="A3:D3"/>
      <pageMargins left="0.5" right="0.5" top="0.25" bottom="0.5" header="0.5" footer="0.25"/>
      <printOptions horizontalCentered="1"/>
      <pageSetup scale="84" fitToHeight="6" orientation="landscape" r:id="rId1"/>
      <headerFooter alignWithMargins="0">
        <oddFooter>&amp;Lh. Other Direct Costs&amp;RPage &amp;P of &amp;N</oddFooter>
      </headerFooter>
    </customSheetView>
    <customSheetView guid="{6588CF8C-0BB8-4786-9A46-0A2D10254132}" scale="90" showPageBreaks="1" fitToPage="1" printArea="1">
      <selection activeCell="F3" sqref="F3"/>
      <pageMargins left="0.5" right="0.5" top="0.25" bottom="0.5" header="0.5" footer="0.25"/>
      <printOptions horizontalCentered="1"/>
      <pageSetup scale="84" fitToHeight="6" orientation="landscape" r:id="rId2"/>
      <headerFooter alignWithMargins="0">
        <oddFooter>&amp;Lh. Other Direct Costs&amp;RPage &amp;P of &amp;N</oddFooter>
      </headerFooter>
    </customSheetView>
    <customSheetView guid="{712CE29F-EFCA-4968-A7C5-599F87319D6A}" scale="90" fitToPage="1">
      <selection activeCell="B31" sqref="B31"/>
      <pageMargins left="0.5" right="0.5" top="0.25" bottom="0.5" header="0.5" footer="0.25"/>
      <printOptions horizontalCentered="1"/>
      <pageSetup scale="84" fitToHeight="6" orientation="landscape" r:id="rId3"/>
      <headerFooter alignWithMargins="0">
        <oddFooter>&amp;Lh. Other Direct Costs&amp;RPage &amp;P of &amp;N</oddFooter>
      </headerFooter>
    </customSheetView>
    <customSheetView guid="{5BEC5FDE-32D0-42EF-8D2A-06DCBD4F05CC}" scale="90" showPageBreaks="1" fitToPage="1" printArea="1">
      <selection activeCell="I5" sqref="I5"/>
      <pageMargins left="0.5" right="0.5" top="0.25" bottom="0.5" header="0.5" footer="0.25"/>
      <printOptions horizontalCentered="1"/>
      <pageSetup scale="84" fitToHeight="6" orientation="landscape" r:id="rId4"/>
      <headerFooter alignWithMargins="0">
        <oddFooter>&amp;Lh. Other Direct Costs&amp;RPage &amp;P of &amp;N</oddFooter>
      </headerFooter>
    </customSheetView>
    <customSheetView guid="{D7FF18E2-A72D-4088-BD59-9D74A43C39A8}" scale="90" showPageBreaks="1" fitToPage="1" printArea="1">
      <selection activeCell="I5" sqref="I5"/>
      <pageMargins left="0.5" right="0.5" top="0.25" bottom="0.5" header="0.5" footer="0.25"/>
      <printOptions horizontalCentered="1"/>
      <pageSetup scale="84" fitToHeight="6" orientation="landscape" r:id="rId5"/>
      <headerFooter alignWithMargins="0">
        <oddFooter>&amp;Lh. Other Direct Costs&amp;RPage &amp;P of &amp;N</oddFooter>
      </headerFooter>
    </customSheetView>
  </customSheetViews>
  <mergeCells count="8">
    <mergeCell ref="A1:B1"/>
    <mergeCell ref="A34:D36"/>
    <mergeCell ref="A2:D2"/>
    <mergeCell ref="A23:D23"/>
    <mergeCell ref="A3:D3"/>
    <mergeCell ref="A6:D6"/>
    <mergeCell ref="A15:D15"/>
    <mergeCell ref="A33:C33"/>
  </mergeCells>
  <phoneticPr fontId="2" type="noConversion"/>
  <printOptions horizontalCentered="1"/>
  <pageMargins left="0.5" right="0.5" top="0.25" bottom="0.5" header="0.5" footer="0.25"/>
  <pageSetup scale="84" fitToHeight="6" orientation="landscape" r:id="rId6"/>
  <headerFooter alignWithMargins="0">
    <oddFooter>&amp;Lh. Other Direct Costs&amp;RPage &amp;P of &amp;N</oddFooter>
  </headerFooter>
</worksheet>
</file>

<file path=xl/worksheets/sheet10.xml><?xml version="1.0" encoding="utf-8"?>
<worksheet xmlns="http://schemas.openxmlformats.org/spreadsheetml/2006/main" xmlns:r="http://schemas.openxmlformats.org/officeDocument/2006/relationships">
  <sheetPr codeName="Sheet10">
    <pageSetUpPr fitToPage="1"/>
  </sheetPr>
  <dimension ref="A1:L97"/>
  <sheetViews>
    <sheetView zoomScale="90" zoomScaleNormal="90" workbookViewId="0">
      <selection activeCell="L17" sqref="L17"/>
    </sheetView>
  </sheetViews>
  <sheetFormatPr defaultRowHeight="12.75"/>
  <cols>
    <col min="1" max="1" width="39.7109375" style="186" bestFit="1" customWidth="1"/>
    <col min="2" max="4" width="29" style="186" customWidth="1"/>
    <col min="5" max="5" width="26.85546875" style="186" customWidth="1"/>
    <col min="6" max="6" width="31.42578125" style="186" customWidth="1"/>
    <col min="7" max="7" width="7" style="186" customWidth="1"/>
    <col min="8" max="8" width="10.28515625" style="186" customWidth="1"/>
    <col min="9" max="9" width="23.7109375" style="186" hidden="1" customWidth="1"/>
    <col min="10" max="10" width="9.140625" style="186" hidden="1" customWidth="1"/>
    <col min="11" max="11" width="6.5703125" style="186" customWidth="1"/>
    <col min="12" max="16384" width="9.140625" style="186"/>
  </cols>
  <sheetData>
    <row r="1" spans="1:12" s="185" customFormat="1" ht="12.75" customHeight="1">
      <c r="A1" s="729" t="s">
        <v>228</v>
      </c>
      <c r="B1" s="729"/>
      <c r="C1" s="729"/>
      <c r="D1" s="729"/>
      <c r="F1" s="787">
        <f>'Instructions and Summary'!$G$5</f>
        <v>0</v>
      </c>
      <c r="G1" s="788"/>
      <c r="H1" s="680"/>
      <c r="I1" s="680"/>
    </row>
    <row r="2" spans="1:12" s="185" customFormat="1" ht="23.25" customHeight="1" thickBot="1">
      <c r="A2" s="652"/>
      <c r="B2" s="184"/>
      <c r="C2" s="184" t="s">
        <v>240</v>
      </c>
      <c r="D2" s="184"/>
      <c r="E2" s="184"/>
      <c r="F2" s="184"/>
      <c r="G2" s="184"/>
      <c r="H2" s="317"/>
      <c r="I2" s="317"/>
    </row>
    <row r="3" spans="1:12" s="35" customFormat="1" ht="175.5" customHeight="1" thickBot="1">
      <c r="A3" s="775" t="s">
        <v>241</v>
      </c>
      <c r="B3" s="776"/>
      <c r="C3" s="776"/>
      <c r="D3" s="776"/>
      <c r="E3" s="776"/>
      <c r="F3" s="776"/>
      <c r="G3" s="777"/>
      <c r="H3" s="651"/>
      <c r="I3" s="620"/>
      <c r="J3" s="621"/>
      <c r="K3" s="552"/>
      <c r="L3" s="553"/>
    </row>
    <row r="4" spans="1:12" s="185" customFormat="1" ht="15.75" customHeight="1" thickBot="1">
      <c r="A4" s="653"/>
      <c r="B4" s="653"/>
      <c r="C4" s="653"/>
      <c r="D4" s="653"/>
      <c r="E4" s="654"/>
      <c r="F4" s="545"/>
      <c r="G4" s="545"/>
      <c r="H4" s="546"/>
      <c r="I4" s="545"/>
      <c r="J4" s="545"/>
      <c r="K4" s="546"/>
    </row>
    <row r="5" spans="1:12" s="185" customFormat="1" ht="15">
      <c r="A5" s="622"/>
      <c r="B5" s="623" t="s">
        <v>106</v>
      </c>
      <c r="C5" s="624" t="s">
        <v>113</v>
      </c>
      <c r="D5" s="625" t="s">
        <v>107</v>
      </c>
      <c r="E5" s="626" t="s">
        <v>179</v>
      </c>
      <c r="F5" s="778" t="s">
        <v>251</v>
      </c>
      <c r="G5" s="779"/>
      <c r="H5" s="558"/>
      <c r="I5" s="547"/>
      <c r="J5" s="547"/>
      <c r="K5" s="546"/>
    </row>
    <row r="6" spans="1:12" s="185" customFormat="1" ht="14.25" customHeight="1">
      <c r="A6" s="627" t="s">
        <v>242</v>
      </c>
      <c r="B6" s="628"/>
      <c r="C6" s="628"/>
      <c r="D6" s="628"/>
      <c r="E6" s="629"/>
      <c r="F6" s="780"/>
      <c r="G6" s="781"/>
      <c r="H6" s="558"/>
      <c r="I6" s="548"/>
      <c r="J6" s="549"/>
      <c r="K6" s="546"/>
    </row>
    <row r="7" spans="1:12" s="185" customFormat="1" ht="14.25" customHeight="1">
      <c r="A7" s="630" t="s">
        <v>243</v>
      </c>
      <c r="B7" s="631">
        <v>0</v>
      </c>
      <c r="C7" s="632">
        <v>0</v>
      </c>
      <c r="D7" s="633">
        <v>0</v>
      </c>
      <c r="E7" s="634"/>
      <c r="F7" s="782"/>
      <c r="G7" s="783"/>
      <c r="H7" s="558"/>
      <c r="I7" s="550"/>
      <c r="J7" s="551"/>
      <c r="K7" s="546"/>
    </row>
    <row r="8" spans="1:12" s="185" customFormat="1" ht="14.25" customHeight="1">
      <c r="A8" s="630" t="s">
        <v>244</v>
      </c>
      <c r="B8" s="631">
        <v>0</v>
      </c>
      <c r="C8" s="632">
        <v>0</v>
      </c>
      <c r="D8" s="633">
        <v>0</v>
      </c>
      <c r="E8" s="634"/>
      <c r="F8" s="782"/>
      <c r="G8" s="783"/>
      <c r="H8" s="558"/>
      <c r="I8" s="550"/>
      <c r="J8" s="551"/>
      <c r="K8" s="546"/>
    </row>
    <row r="9" spans="1:12" s="185" customFormat="1" ht="15" customHeight="1">
      <c r="A9" s="630" t="s">
        <v>256</v>
      </c>
      <c r="B9" s="631">
        <v>0</v>
      </c>
      <c r="C9" s="632">
        <v>0</v>
      </c>
      <c r="D9" s="633">
        <v>0</v>
      </c>
      <c r="E9" s="635"/>
      <c r="F9" s="789"/>
      <c r="G9" s="783"/>
      <c r="H9" s="558"/>
      <c r="I9" s="557"/>
      <c r="J9" s="546"/>
      <c r="K9" s="546"/>
    </row>
    <row r="10" spans="1:12" s="185" customFormat="1" ht="15" customHeight="1" thickBot="1">
      <c r="A10" s="636" t="s">
        <v>245</v>
      </c>
      <c r="B10" s="637">
        <v>0</v>
      </c>
      <c r="C10" s="638">
        <v>0</v>
      </c>
      <c r="D10" s="639">
        <v>0</v>
      </c>
      <c r="E10" s="640"/>
      <c r="F10" s="790"/>
      <c r="G10" s="786"/>
      <c r="H10" s="558"/>
      <c r="I10" s="557"/>
      <c r="J10" s="546"/>
      <c r="K10" s="546"/>
    </row>
    <row r="11" spans="1:12" s="185" customFormat="1" ht="15" customHeight="1">
      <c r="A11" s="641" t="s">
        <v>246</v>
      </c>
      <c r="B11" s="642"/>
      <c r="C11" s="642"/>
      <c r="D11" s="643"/>
      <c r="E11" s="644"/>
      <c r="F11" s="791"/>
      <c r="G11" s="792"/>
      <c r="H11" s="558"/>
      <c r="I11" s="557"/>
      <c r="J11" s="546"/>
      <c r="K11" s="546"/>
    </row>
    <row r="12" spans="1:12" s="185" customFormat="1" ht="15" customHeight="1">
      <c r="A12" s="630" t="s">
        <v>247</v>
      </c>
      <c r="B12" s="645">
        <v>0</v>
      </c>
      <c r="C12" s="646">
        <v>0</v>
      </c>
      <c r="D12" s="647">
        <v>0</v>
      </c>
      <c r="E12" s="648">
        <f>SUM(B12:D12)</f>
        <v>0</v>
      </c>
      <c r="F12" s="793"/>
      <c r="G12" s="783"/>
      <c r="H12" s="558"/>
      <c r="I12" s="557"/>
      <c r="J12" s="546"/>
      <c r="K12" s="546"/>
    </row>
    <row r="13" spans="1:12" s="185" customFormat="1" ht="15" customHeight="1">
      <c r="A13" s="630" t="s">
        <v>248</v>
      </c>
      <c r="B13" s="645">
        <v>0</v>
      </c>
      <c r="C13" s="646">
        <f t="shared" ref="C13:D15" si="0">0*C8</f>
        <v>0</v>
      </c>
      <c r="D13" s="647">
        <v>0</v>
      </c>
      <c r="E13" s="648">
        <f>SUM(B13:D13)</f>
        <v>0</v>
      </c>
      <c r="F13" s="793"/>
      <c r="G13" s="783"/>
      <c r="H13" s="558"/>
      <c r="I13" s="557"/>
      <c r="J13" s="546"/>
      <c r="K13" s="546"/>
    </row>
    <row r="14" spans="1:12" s="185" customFormat="1" ht="15" customHeight="1">
      <c r="A14" s="630" t="s">
        <v>257</v>
      </c>
      <c r="B14" s="645">
        <v>0</v>
      </c>
      <c r="C14" s="646">
        <v>0</v>
      </c>
      <c r="D14" s="647">
        <f t="shared" si="0"/>
        <v>0</v>
      </c>
      <c r="E14" s="648">
        <f>SUM(B14:D14)</f>
        <v>0</v>
      </c>
      <c r="F14" s="784"/>
      <c r="G14" s="783"/>
      <c r="H14" s="558"/>
      <c r="I14" s="557"/>
      <c r="J14" s="546"/>
      <c r="K14" s="546"/>
    </row>
    <row r="15" spans="1:12" s="185" customFormat="1" ht="15" customHeight="1">
      <c r="A15" s="630" t="s">
        <v>249</v>
      </c>
      <c r="B15" s="645">
        <v>0</v>
      </c>
      <c r="C15" s="646">
        <f t="shared" si="0"/>
        <v>0</v>
      </c>
      <c r="D15" s="647">
        <f t="shared" si="0"/>
        <v>0</v>
      </c>
      <c r="E15" s="648">
        <f>SUM(B15:D15)</f>
        <v>0</v>
      </c>
      <c r="F15" s="784"/>
      <c r="G15" s="783"/>
      <c r="H15" s="559"/>
      <c r="I15" s="557"/>
      <c r="J15" s="546"/>
      <c r="K15" s="546"/>
    </row>
    <row r="16" spans="1:12" s="185" customFormat="1" ht="15" customHeight="1" thickBot="1">
      <c r="A16" s="556" t="s">
        <v>250</v>
      </c>
      <c r="B16" s="649">
        <f>SUM(B12:B15)</f>
        <v>0</v>
      </c>
      <c r="C16" s="649">
        <f>SUM(C12:C15)</f>
        <v>0</v>
      </c>
      <c r="D16" s="649">
        <f>SUM(D12:D15)</f>
        <v>0</v>
      </c>
      <c r="E16" s="650">
        <f>SUM(E12:E15)</f>
        <v>0</v>
      </c>
      <c r="F16" s="785"/>
      <c r="G16" s="786"/>
      <c r="H16" s="16"/>
      <c r="I16" s="15"/>
    </row>
    <row r="17" spans="1:12" s="185" customFormat="1" ht="18" customHeight="1" thickBot="1">
      <c r="A17" s="13"/>
      <c r="B17" s="14"/>
      <c r="C17" s="15"/>
      <c r="D17" s="74"/>
      <c r="E17" s="16"/>
      <c r="F17" s="15"/>
      <c r="G17" s="74"/>
      <c r="H17" s="16"/>
      <c r="I17" s="15"/>
    </row>
    <row r="18" spans="1:12" s="185" customFormat="1" ht="52.5" customHeight="1" thickBot="1">
      <c r="A18" s="764" t="s">
        <v>252</v>
      </c>
      <c r="B18" s="743"/>
      <c r="C18" s="743"/>
      <c r="D18" s="743"/>
      <c r="E18" s="743"/>
      <c r="F18" s="743"/>
      <c r="G18" s="744"/>
      <c r="H18" s="554"/>
      <c r="I18" s="554"/>
      <c r="J18" s="554"/>
      <c r="K18" s="554"/>
    </row>
    <row r="19" spans="1:12" s="185" customFormat="1" ht="14.25" customHeight="1">
      <c r="A19" s="707" t="s">
        <v>253</v>
      </c>
      <c r="B19" s="708"/>
      <c r="C19" s="708"/>
      <c r="D19" s="708"/>
      <c r="E19" s="708"/>
      <c r="F19" s="708"/>
      <c r="G19" s="709"/>
      <c r="H19" s="544"/>
      <c r="I19" s="544"/>
      <c r="J19" s="544"/>
      <c r="K19" s="544"/>
    </row>
    <row r="20" spans="1:12" s="185" customFormat="1" ht="14.25" customHeight="1">
      <c r="A20" s="710"/>
      <c r="B20" s="711"/>
      <c r="C20" s="711"/>
      <c r="D20" s="711"/>
      <c r="E20" s="711"/>
      <c r="F20" s="711"/>
      <c r="G20" s="712"/>
      <c r="H20" s="544"/>
      <c r="I20" s="544"/>
      <c r="J20" s="544"/>
      <c r="K20" s="544"/>
    </row>
    <row r="21" spans="1:12" s="185" customFormat="1" ht="14.25" customHeight="1">
      <c r="A21" s="710"/>
      <c r="B21" s="711"/>
      <c r="C21" s="711"/>
      <c r="D21" s="711"/>
      <c r="E21" s="711"/>
      <c r="F21" s="711"/>
      <c r="G21" s="712"/>
      <c r="H21" s="544"/>
      <c r="I21" s="544"/>
      <c r="J21" s="544"/>
      <c r="K21" s="544"/>
    </row>
    <row r="22" spans="1:12" s="185" customFormat="1" ht="14.25" customHeight="1">
      <c r="A22" s="710"/>
      <c r="B22" s="711"/>
      <c r="C22" s="711"/>
      <c r="D22" s="711"/>
      <c r="E22" s="711"/>
      <c r="F22" s="711"/>
      <c r="G22" s="712"/>
      <c r="H22" s="544"/>
      <c r="I22" s="544"/>
      <c r="J22" s="544"/>
      <c r="K22" s="544"/>
    </row>
    <row r="23" spans="1:12" s="185" customFormat="1" ht="69.75" customHeight="1" thickBot="1">
      <c r="A23" s="713"/>
      <c r="B23" s="714"/>
      <c r="C23" s="714"/>
      <c r="D23" s="714"/>
      <c r="E23" s="714"/>
      <c r="F23" s="714"/>
      <c r="G23" s="715"/>
      <c r="H23" s="544"/>
      <c r="I23" s="544"/>
      <c r="J23" s="544"/>
      <c r="K23" s="544"/>
    </row>
    <row r="24" spans="1:12" s="185" customFormat="1" ht="12.75" customHeight="1">
      <c r="A24" s="544"/>
      <c r="B24" s="544"/>
      <c r="C24" s="544"/>
      <c r="D24" s="544"/>
      <c r="E24" s="544"/>
      <c r="F24" s="544"/>
      <c r="G24" s="544"/>
      <c r="H24" s="544"/>
      <c r="I24" s="544"/>
      <c r="J24" s="544"/>
      <c r="K24" s="544"/>
    </row>
    <row r="25" spans="1:12" s="185" customFormat="1" ht="12.75" customHeight="1">
      <c r="A25" s="544"/>
      <c r="B25" s="544"/>
      <c r="C25" s="544"/>
      <c r="D25" s="544"/>
      <c r="E25" s="544"/>
      <c r="F25" s="544"/>
      <c r="G25" s="544"/>
      <c r="H25" s="544"/>
      <c r="I25" s="544"/>
      <c r="J25" s="544"/>
      <c r="K25" s="544"/>
    </row>
    <row r="26" spans="1:12" s="185" customFormat="1" ht="14.25" customHeight="1" thickBot="1">
      <c r="A26" s="774" t="s">
        <v>199</v>
      </c>
      <c r="B26" s="774"/>
      <c r="C26" s="774"/>
      <c r="D26" s="774"/>
      <c r="E26" s="774"/>
      <c r="F26" s="774"/>
      <c r="G26" s="774"/>
    </row>
    <row r="27" spans="1:12" s="185" customFormat="1" ht="101.25" customHeight="1">
      <c r="A27" s="765" t="s">
        <v>222</v>
      </c>
      <c r="B27" s="766"/>
      <c r="C27" s="766"/>
      <c r="D27" s="766"/>
      <c r="E27" s="766"/>
      <c r="F27" s="766"/>
      <c r="G27" s="767"/>
      <c r="H27" s="555"/>
      <c r="I27" s="555"/>
      <c r="J27" s="555"/>
      <c r="K27" s="555"/>
      <c r="L27" s="546"/>
    </row>
    <row r="28" spans="1:12" s="185" customFormat="1" ht="24.75" customHeight="1">
      <c r="A28" s="768"/>
      <c r="B28" s="769"/>
      <c r="C28" s="769"/>
      <c r="D28" s="769"/>
      <c r="E28" s="769"/>
      <c r="F28" s="769"/>
      <c r="G28" s="770"/>
      <c r="H28" s="555"/>
      <c r="I28" s="555"/>
      <c r="J28" s="555"/>
      <c r="K28" s="555"/>
      <c r="L28" s="546"/>
    </row>
    <row r="29" spans="1:12" s="185" customFormat="1" ht="24.75" customHeight="1">
      <c r="A29" s="768"/>
      <c r="B29" s="769"/>
      <c r="C29" s="769"/>
      <c r="D29" s="769"/>
      <c r="E29" s="769"/>
      <c r="F29" s="769"/>
      <c r="G29" s="770"/>
      <c r="H29" s="555"/>
      <c r="I29" s="555"/>
      <c r="J29" s="555"/>
      <c r="K29" s="555"/>
      <c r="L29" s="546"/>
    </row>
    <row r="30" spans="1:12" s="185" customFormat="1">
      <c r="A30" s="768"/>
      <c r="B30" s="769"/>
      <c r="C30" s="769"/>
      <c r="D30" s="769"/>
      <c r="E30" s="769"/>
      <c r="F30" s="769"/>
      <c r="G30" s="770"/>
      <c r="H30" s="555"/>
      <c r="I30" s="555"/>
      <c r="J30" s="555"/>
      <c r="K30" s="555"/>
      <c r="L30" s="546"/>
    </row>
    <row r="31" spans="1:12" s="185" customFormat="1">
      <c r="A31" s="768"/>
      <c r="B31" s="769"/>
      <c r="C31" s="769"/>
      <c r="D31" s="769"/>
      <c r="E31" s="769"/>
      <c r="F31" s="769"/>
      <c r="G31" s="770"/>
      <c r="H31" s="555"/>
      <c r="I31" s="555"/>
      <c r="J31" s="555"/>
      <c r="K31" s="555"/>
      <c r="L31" s="546"/>
    </row>
    <row r="32" spans="1:12" s="185" customFormat="1">
      <c r="A32" s="768"/>
      <c r="B32" s="769"/>
      <c r="C32" s="769"/>
      <c r="D32" s="769"/>
      <c r="E32" s="769"/>
      <c r="F32" s="769"/>
      <c r="G32" s="770"/>
      <c r="H32" s="555"/>
      <c r="I32" s="555"/>
      <c r="J32" s="555"/>
      <c r="K32" s="555"/>
      <c r="L32" s="546"/>
    </row>
    <row r="33" spans="1:12" s="185" customFormat="1" ht="12.75" customHeight="1">
      <c r="A33" s="768"/>
      <c r="B33" s="769"/>
      <c r="C33" s="769"/>
      <c r="D33" s="769"/>
      <c r="E33" s="769"/>
      <c r="F33" s="769"/>
      <c r="G33" s="770"/>
      <c r="H33" s="555"/>
      <c r="I33" s="555"/>
      <c r="J33" s="555"/>
      <c r="K33" s="555"/>
      <c r="L33" s="546"/>
    </row>
    <row r="34" spans="1:12" s="185" customFormat="1">
      <c r="A34" s="768"/>
      <c r="B34" s="769"/>
      <c r="C34" s="769"/>
      <c r="D34" s="769"/>
      <c r="E34" s="769"/>
      <c r="F34" s="769"/>
      <c r="G34" s="770"/>
      <c r="H34" s="555"/>
      <c r="I34" s="555"/>
      <c r="J34" s="555"/>
      <c r="K34" s="555"/>
      <c r="L34" s="546"/>
    </row>
    <row r="35" spans="1:12" s="185" customFormat="1" ht="13.5" thickBot="1">
      <c r="A35" s="771"/>
      <c r="B35" s="772"/>
      <c r="C35" s="772"/>
      <c r="D35" s="772"/>
      <c r="E35" s="772"/>
      <c r="F35" s="772"/>
      <c r="G35" s="773"/>
      <c r="H35" s="555"/>
      <c r="I35" s="555"/>
      <c r="J35" s="555"/>
      <c r="K35" s="555"/>
      <c r="L35" s="546"/>
    </row>
    <row r="36" spans="1:12" s="185" customFormat="1">
      <c r="B36" s="543"/>
    </row>
    <row r="37" spans="1:12" s="185" customFormat="1"/>
    <row r="38" spans="1:12" s="185" customFormat="1"/>
    <row r="39" spans="1:12" s="185" customFormat="1"/>
    <row r="40" spans="1:12" s="185" customFormat="1"/>
    <row r="41" spans="1:12" s="185" customFormat="1"/>
    <row r="42" spans="1:12" s="185" customFormat="1"/>
    <row r="43" spans="1:12" s="185" customFormat="1"/>
    <row r="44" spans="1:12" s="185" customFormat="1"/>
    <row r="45" spans="1:12" s="185" customFormat="1"/>
    <row r="46" spans="1:12" s="185" customFormat="1"/>
    <row r="47" spans="1:12" s="185" customFormat="1"/>
    <row r="48" spans="1:12" s="185" customFormat="1"/>
    <row r="49" s="185" customFormat="1"/>
    <row r="50" s="185" customFormat="1"/>
    <row r="51" s="185" customFormat="1"/>
    <row r="52" s="185" customFormat="1"/>
    <row r="53" s="185" customFormat="1"/>
    <row r="54" s="185" customFormat="1"/>
    <row r="55" s="185" customFormat="1"/>
    <row r="56" s="185" customFormat="1"/>
    <row r="57" s="185" customFormat="1"/>
    <row r="58" s="185" customFormat="1"/>
    <row r="59" s="185" customFormat="1"/>
    <row r="60" s="185" customFormat="1"/>
    <row r="61" s="185" customFormat="1"/>
    <row r="62" s="185" customFormat="1"/>
    <row r="63" s="185" customFormat="1"/>
    <row r="64" s="185" customFormat="1"/>
    <row r="65" s="185" customFormat="1"/>
    <row r="66" s="185" customFormat="1"/>
    <row r="67" s="185" customFormat="1"/>
    <row r="68" s="185" customFormat="1"/>
    <row r="69" s="185" customFormat="1"/>
    <row r="70" s="185" customFormat="1"/>
    <row r="71" s="185" customFormat="1"/>
    <row r="72" s="185" customFormat="1"/>
    <row r="73" s="185" customFormat="1"/>
    <row r="74" s="185" customFormat="1"/>
    <row r="75" s="185" customFormat="1"/>
    <row r="76" s="185" customFormat="1"/>
    <row r="77" s="185" customFormat="1"/>
    <row r="78" s="185" customFormat="1"/>
    <row r="79" s="185" customFormat="1"/>
    <row r="80" s="185" customFormat="1"/>
    <row r="81" spans="10:11" s="185" customFormat="1"/>
    <row r="82" spans="10:11" s="185" customFormat="1"/>
    <row r="83" spans="10:11" s="185" customFormat="1"/>
    <row r="84" spans="10:11" s="185" customFormat="1"/>
    <row r="85" spans="10:11" s="185" customFormat="1"/>
    <row r="86" spans="10:11" s="185" customFormat="1"/>
    <row r="87" spans="10:11" s="185" customFormat="1"/>
    <row r="88" spans="10:11" s="185" customFormat="1"/>
    <row r="89" spans="10:11" s="185" customFormat="1"/>
    <row r="90" spans="10:11" s="185" customFormat="1"/>
    <row r="91" spans="10:11" s="185" customFormat="1"/>
    <row r="92" spans="10:11">
      <c r="J92" s="185"/>
      <c r="K92" s="185"/>
    </row>
    <row r="93" spans="10:11">
      <c r="J93" s="185"/>
      <c r="K93" s="185"/>
    </row>
    <row r="94" spans="10:11">
      <c r="J94" s="185"/>
      <c r="K94" s="185"/>
    </row>
    <row r="95" spans="10:11">
      <c r="J95" s="185"/>
      <c r="K95" s="185"/>
    </row>
    <row r="96" spans="10:11">
      <c r="J96" s="185"/>
      <c r="K96" s="185"/>
    </row>
    <row r="97" spans="10:11">
      <c r="J97" s="185"/>
      <c r="K97" s="185"/>
    </row>
  </sheetData>
  <sheetProtection formatCells="0" formatColumns="0" formatRows="0" selectLockedCells="1"/>
  <customSheetViews>
    <customSheetView guid="{D5CEF8EB-A9A7-4458-BF65-8F18E34CBA87}" scale="90" showPageBreaks="1" fitToPage="1" printArea="1" hiddenColumns="1">
      <selection activeCell="A3" sqref="A3:E3"/>
      <pageMargins left="0.5" right="0.5" top="0.25" bottom="0.5" header="0.5" footer="0.5"/>
      <pageSetup scale="66" orientation="landscape" r:id="rId1"/>
      <headerFooter alignWithMargins="0">
        <oddFooter>&amp;Li. Indirect Costs</oddFooter>
      </headerFooter>
    </customSheetView>
    <customSheetView guid="{6588CF8C-0BB8-4786-9A46-0A2D10254132}" scale="90" showPageBreaks="1" fitToPage="1" printArea="1" hiddenColumns="1">
      <selection activeCell="H2" sqref="H2"/>
      <pageMargins left="0.5" right="0.5" top="0.25" bottom="0.5" header="0.5" footer="0.5"/>
      <pageSetup scale="63" orientation="landscape" r:id="rId2"/>
      <headerFooter alignWithMargins="0">
        <oddFooter>&amp;Li. Indirect Costs</oddFooter>
      </headerFooter>
    </customSheetView>
    <customSheetView guid="{712CE29F-EFCA-4968-A7C5-599F87319D6A}" scale="90" fitToPage="1" hiddenColumns="1" topLeftCell="A19">
      <selection activeCell="E12" sqref="E12"/>
      <pageMargins left="0.5" right="0.5" top="0.25" bottom="0.5" header="0.5" footer="0.5"/>
      <pageSetup scale="63" orientation="landscape" r:id="rId3"/>
      <headerFooter alignWithMargins="0">
        <oddFooter>&amp;Li. Indirect Costs</oddFooter>
      </headerFooter>
    </customSheetView>
    <customSheetView guid="{5BEC5FDE-32D0-42EF-8D2A-06DCBD4F05CC}" scale="90" showPageBreaks="1" fitToPage="1" printArea="1" hiddenColumns="1">
      <selection activeCell="H10" sqref="H10"/>
      <pageMargins left="0.5" right="0.5" top="0.25" bottom="0.5" header="0.5" footer="0.5"/>
      <pageSetup scale="63" orientation="landscape" r:id="rId4"/>
      <headerFooter alignWithMargins="0">
        <oddFooter>&amp;Li. Indirect Costs</oddFooter>
      </headerFooter>
    </customSheetView>
    <customSheetView guid="{D7FF18E2-A72D-4088-BD59-9D74A43C39A8}" scale="90" showPageBreaks="1" fitToPage="1" printArea="1" hiddenColumns="1">
      <selection activeCell="A5" sqref="A5"/>
      <pageMargins left="0.5" right="0.5" top="0.25" bottom="0.5" header="0.5" footer="0.5"/>
      <pageSetup scale="62" orientation="landscape" r:id="rId5"/>
      <headerFooter alignWithMargins="0">
        <oddFooter>&amp;Li. Indirect Costs</oddFooter>
      </headerFooter>
    </customSheetView>
  </customSheetViews>
  <mergeCells count="20">
    <mergeCell ref="F14:G14"/>
    <mergeCell ref="F15:G15"/>
    <mergeCell ref="F16:G16"/>
    <mergeCell ref="F1:G1"/>
    <mergeCell ref="F8:G8"/>
    <mergeCell ref="F9:G9"/>
    <mergeCell ref="F10:G10"/>
    <mergeCell ref="F11:G11"/>
    <mergeCell ref="F12:G12"/>
    <mergeCell ref="F13:G13"/>
    <mergeCell ref="A18:G18"/>
    <mergeCell ref="A19:G23"/>
    <mergeCell ref="A27:G35"/>
    <mergeCell ref="A1:D1"/>
    <mergeCell ref="H1:I1"/>
    <mergeCell ref="A26:G26"/>
    <mergeCell ref="A3:G3"/>
    <mergeCell ref="F5:G5"/>
    <mergeCell ref="F6:G6"/>
    <mergeCell ref="F7:G7"/>
  </mergeCells>
  <phoneticPr fontId="2" type="noConversion"/>
  <pageMargins left="0.5" right="0.5" top="0.25" bottom="0.5" header="0.5" footer="0.5"/>
  <pageSetup scale="66" orientation="landscape" r:id="rId6"/>
  <headerFooter alignWithMargins="0">
    <oddFooter>&amp;Li. Indirect Costs</oddFooter>
  </headerFooter>
</worksheet>
</file>

<file path=xl/worksheets/sheet11.xml><?xml version="1.0" encoding="utf-8"?>
<worksheet xmlns="http://schemas.openxmlformats.org/spreadsheetml/2006/main" xmlns:r="http://schemas.openxmlformats.org/officeDocument/2006/relationships">
  <sheetPr codeName="Sheet11"/>
  <dimension ref="A1:L25"/>
  <sheetViews>
    <sheetView zoomScale="90" workbookViewId="0">
      <selection activeCell="I3" sqref="I3"/>
    </sheetView>
  </sheetViews>
  <sheetFormatPr defaultRowHeight="12.75"/>
  <cols>
    <col min="1" max="1" width="22.28515625" style="71" customWidth="1"/>
    <col min="2" max="2" width="9.7109375" style="15" customWidth="1"/>
    <col min="3" max="3" width="67.85546875" style="16" customWidth="1"/>
    <col min="4" max="6" width="12" style="16" customWidth="1"/>
    <col min="7" max="7" width="14.140625" style="27" customWidth="1"/>
    <col min="8" max="16384" width="9.140625" style="36"/>
  </cols>
  <sheetData>
    <row r="1" spans="1:12" s="33" customFormat="1" ht="15.75" customHeight="1">
      <c r="A1" s="729" t="s">
        <v>229</v>
      </c>
      <c r="B1" s="729"/>
      <c r="C1" s="729"/>
      <c r="D1" s="73"/>
      <c r="E1" s="680">
        <f>'Instructions and Summary'!G5</f>
        <v>0</v>
      </c>
      <c r="F1" s="680"/>
      <c r="G1" s="680"/>
      <c r="H1" s="73"/>
    </row>
    <row r="2" spans="1:12" s="60" customFormat="1" ht="22.5" customHeight="1" thickBot="1">
      <c r="A2" s="742" t="s">
        <v>159</v>
      </c>
      <c r="B2" s="742"/>
      <c r="C2" s="742"/>
      <c r="D2" s="742"/>
      <c r="E2" s="742"/>
      <c r="F2" s="742"/>
      <c r="G2" s="742"/>
      <c r="H2" s="59"/>
      <c r="I2" s="59"/>
      <c r="J2" s="59"/>
      <c r="K2" s="59"/>
      <c r="L2" s="59"/>
    </row>
    <row r="3" spans="1:12" ht="177.75" customHeight="1">
      <c r="A3" s="749" t="s">
        <v>254</v>
      </c>
      <c r="B3" s="750"/>
      <c r="C3" s="750"/>
      <c r="D3" s="750"/>
      <c r="E3" s="750"/>
      <c r="F3" s="750"/>
      <c r="G3" s="751"/>
    </row>
    <row r="4" spans="1:12" ht="161.25" customHeight="1" thickBot="1">
      <c r="A4" s="794" t="s">
        <v>5</v>
      </c>
      <c r="B4" s="754"/>
      <c r="C4" s="754"/>
      <c r="D4" s="754"/>
      <c r="E4" s="754"/>
      <c r="F4" s="754"/>
      <c r="G4" s="755"/>
    </row>
    <row r="5" spans="1:12" ht="13.5" thickBot="1">
      <c r="A5" s="13"/>
    </row>
    <row r="6" spans="1:12" s="33" customFormat="1" ht="49.5" customHeight="1" thickBot="1">
      <c r="A6" s="76" t="s">
        <v>150</v>
      </c>
      <c r="B6" s="77" t="s">
        <v>160</v>
      </c>
      <c r="C6" s="77" t="s">
        <v>97</v>
      </c>
      <c r="D6" s="90" t="s">
        <v>151</v>
      </c>
      <c r="E6" s="78" t="s">
        <v>152</v>
      </c>
      <c r="F6" s="79" t="s">
        <v>153</v>
      </c>
      <c r="G6" s="80" t="s">
        <v>154</v>
      </c>
    </row>
    <row r="7" spans="1:12" ht="27" customHeight="1" thickBot="1">
      <c r="A7" s="538" t="s">
        <v>219</v>
      </c>
      <c r="B7" s="539" t="s">
        <v>197</v>
      </c>
      <c r="C7" s="540" t="s">
        <v>202</v>
      </c>
      <c r="D7" s="541">
        <v>13600</v>
      </c>
      <c r="E7" s="542"/>
      <c r="F7" s="533"/>
      <c r="G7" s="534">
        <f t="shared" ref="G7:G17" si="0">SUM(D7:F7)</f>
        <v>13600</v>
      </c>
    </row>
    <row r="8" spans="1:12" s="111" customFormat="1" ht="34.5" customHeight="1">
      <c r="A8" s="319"/>
      <c r="B8" s="320"/>
      <c r="C8" s="321"/>
      <c r="D8" s="323"/>
      <c r="E8" s="179"/>
      <c r="F8" s="180"/>
      <c r="G8" s="254">
        <f t="shared" si="0"/>
        <v>0</v>
      </c>
    </row>
    <row r="9" spans="1:12" s="111" customFormat="1" ht="34.5" customHeight="1">
      <c r="A9" s="319"/>
      <c r="B9" s="320"/>
      <c r="C9" s="321"/>
      <c r="D9" s="323"/>
      <c r="E9" s="179"/>
      <c r="F9" s="180"/>
      <c r="G9" s="325">
        <f t="shared" si="0"/>
        <v>0</v>
      </c>
    </row>
    <row r="10" spans="1:12" s="111" customFormat="1" ht="34.5" customHeight="1">
      <c r="A10" s="319"/>
      <c r="B10" s="320"/>
      <c r="C10" s="321"/>
      <c r="D10" s="323"/>
      <c r="E10" s="179"/>
      <c r="F10" s="180"/>
      <c r="G10" s="325">
        <f t="shared" si="0"/>
        <v>0</v>
      </c>
    </row>
    <row r="11" spans="1:12" s="111" customFormat="1" ht="34.5" customHeight="1">
      <c r="A11" s="319"/>
      <c r="B11" s="320"/>
      <c r="C11" s="321"/>
      <c r="D11" s="323"/>
      <c r="E11" s="179"/>
      <c r="F11" s="180"/>
      <c r="G11" s="325">
        <f t="shared" si="0"/>
        <v>0</v>
      </c>
    </row>
    <row r="12" spans="1:12" s="111" customFormat="1" ht="34.5" customHeight="1">
      <c r="A12" s="319"/>
      <c r="B12" s="320"/>
      <c r="C12" s="321"/>
      <c r="D12" s="323"/>
      <c r="E12" s="179"/>
      <c r="F12" s="180"/>
      <c r="G12" s="325">
        <f t="shared" si="0"/>
        <v>0</v>
      </c>
    </row>
    <row r="13" spans="1:12" s="111" customFormat="1" ht="34.5" customHeight="1">
      <c r="A13" s="319"/>
      <c r="B13" s="320"/>
      <c r="C13" s="321"/>
      <c r="D13" s="323"/>
      <c r="E13" s="179"/>
      <c r="F13" s="180"/>
      <c r="G13" s="325">
        <f t="shared" si="0"/>
        <v>0</v>
      </c>
    </row>
    <row r="14" spans="1:12" s="111" customFormat="1" ht="34.5" customHeight="1">
      <c r="A14" s="70"/>
      <c r="B14" s="38"/>
      <c r="C14" s="94"/>
      <c r="D14" s="323"/>
      <c r="E14" s="179"/>
      <c r="F14" s="180"/>
      <c r="G14" s="325">
        <f t="shared" si="0"/>
        <v>0</v>
      </c>
    </row>
    <row r="15" spans="1:12" s="111" customFormat="1" ht="34.5" customHeight="1">
      <c r="A15" s="70"/>
      <c r="B15" s="38"/>
      <c r="C15" s="94"/>
      <c r="D15" s="324"/>
      <c r="E15" s="182"/>
      <c r="F15" s="183"/>
      <c r="G15" s="325">
        <f t="shared" si="0"/>
        <v>0</v>
      </c>
    </row>
    <row r="16" spans="1:12" s="111" customFormat="1" ht="34.5" customHeight="1">
      <c r="A16" s="70"/>
      <c r="B16" s="38"/>
      <c r="C16" s="94"/>
      <c r="D16" s="324"/>
      <c r="E16" s="182"/>
      <c r="F16" s="183"/>
      <c r="G16" s="325">
        <f t="shared" si="0"/>
        <v>0</v>
      </c>
    </row>
    <row r="17" spans="1:7" s="111" customFormat="1" ht="34.5" customHeight="1" thickBot="1">
      <c r="A17" s="70"/>
      <c r="B17" s="38"/>
      <c r="C17" s="94"/>
      <c r="D17" s="324"/>
      <c r="E17" s="182"/>
      <c r="F17" s="183"/>
      <c r="G17" s="326">
        <f t="shared" si="0"/>
        <v>0</v>
      </c>
    </row>
    <row r="18" spans="1:7" s="33" customFormat="1" ht="15.75" customHeight="1" thickBot="1">
      <c r="A18" s="122"/>
      <c r="B18" s="123"/>
      <c r="C18" s="314" t="s">
        <v>196</v>
      </c>
      <c r="D18" s="411">
        <f>SUM(D8:D17)</f>
        <v>0</v>
      </c>
      <c r="E18" s="412">
        <f>SUM(E7:E17)</f>
        <v>0</v>
      </c>
      <c r="F18" s="413">
        <f>SUM(F7:F17)</f>
        <v>0</v>
      </c>
      <c r="G18" s="414">
        <f>SUM(G8:G17)</f>
        <v>0</v>
      </c>
    </row>
    <row r="19" spans="1:7" s="39" customFormat="1" ht="6" customHeight="1">
      <c r="C19" s="93"/>
      <c r="D19" s="92"/>
      <c r="E19" s="795"/>
      <c r="F19" s="795"/>
      <c r="G19" s="92"/>
    </row>
    <row r="20" spans="1:7" s="39" customFormat="1" ht="16.5" customHeight="1">
      <c r="A20" s="797" t="s">
        <v>201</v>
      </c>
      <c r="B20" s="797"/>
      <c r="C20" s="96">
        <f>'Instructions and Summary'!E26</f>
        <v>0</v>
      </c>
      <c r="D20" s="796" t="s">
        <v>200</v>
      </c>
      <c r="E20" s="796"/>
      <c r="F20" s="796"/>
      <c r="G20" s="322" t="e">
        <f>G18/C20</f>
        <v>#DIV/0!</v>
      </c>
    </row>
    <row r="21" spans="1:7" s="39" customFormat="1" ht="9.75" customHeight="1">
      <c r="A21" s="93"/>
      <c r="B21" s="92"/>
      <c r="E21" s="91"/>
      <c r="F21" s="95"/>
      <c r="G21" s="92"/>
    </row>
    <row r="22" spans="1:7" ht="15.75" customHeight="1" thickBot="1">
      <c r="A22" s="660" t="s">
        <v>199</v>
      </c>
      <c r="B22" s="660"/>
      <c r="C22" s="660"/>
      <c r="D22" s="27"/>
      <c r="F22" s="27"/>
    </row>
    <row r="23" spans="1:7" s="111" customFormat="1" ht="27" customHeight="1">
      <c r="A23" s="661"/>
      <c r="B23" s="662"/>
      <c r="C23" s="662"/>
      <c r="D23" s="662"/>
      <c r="E23" s="662"/>
      <c r="F23" s="662"/>
      <c r="G23" s="663"/>
    </row>
    <row r="24" spans="1:7" s="111" customFormat="1">
      <c r="A24" s="664"/>
      <c r="B24" s="665"/>
      <c r="C24" s="665"/>
      <c r="D24" s="665"/>
      <c r="E24" s="665"/>
      <c r="F24" s="665"/>
      <c r="G24" s="666"/>
    </row>
    <row r="25" spans="1:7" s="111" customFormat="1" ht="13.5" thickBot="1">
      <c r="A25" s="667"/>
      <c r="B25" s="668"/>
      <c r="C25" s="668"/>
      <c r="D25" s="668"/>
      <c r="E25" s="668"/>
      <c r="F25" s="668"/>
      <c r="G25" s="669"/>
    </row>
  </sheetData>
  <sheetProtection formatCells="0" formatColumns="0" formatRows="0" insertRows="0" deleteRows="0" selectLockedCells="1"/>
  <customSheetViews>
    <customSheetView guid="{D5CEF8EB-A9A7-4458-BF65-8F18E34CBA87}" scale="90" showPageBreaks="1" printArea="1">
      <selection activeCell="I3" sqref="I3"/>
      <pageMargins left="0.5" right="0.5" top="0.25" bottom="0.35" header="0.5" footer="0.25"/>
      <printOptions horizontalCentered="1"/>
      <pageSetup scale="85" orientation="landscape" r:id="rId1"/>
      <headerFooter alignWithMargins="0">
        <oddFooter>&amp;LCost Share&amp;RPage &amp;P of &amp;N</oddFooter>
      </headerFooter>
    </customSheetView>
    <customSheetView guid="{6588CF8C-0BB8-4786-9A46-0A2D10254132}" scale="90" showPageBreaks="1" printArea="1">
      <selection activeCell="I4" sqref="I4"/>
      <pageMargins left="0.5" right="0.5" top="0.25" bottom="0.35" header="0.5" footer="0.25"/>
      <printOptions horizontalCentered="1"/>
      <pageSetup scale="85" orientation="landscape" r:id="rId2"/>
      <headerFooter alignWithMargins="0">
        <oddFooter>&amp;LCost Share&amp;RPage &amp;P of &amp;N</oddFooter>
      </headerFooter>
    </customSheetView>
    <customSheetView guid="{712CE29F-EFCA-4968-A7C5-599F87319D6A}" scale="90">
      <selection activeCell="C20" sqref="C20"/>
      <pageMargins left="0.5" right="0.5" top="0.25" bottom="0.35" header="0.5" footer="0.25"/>
      <printOptions horizontalCentered="1"/>
      <pageSetup scale="85" orientation="landscape" r:id="rId3"/>
      <headerFooter alignWithMargins="0">
        <oddFooter>&amp;LCost Share&amp;RPage &amp;P of &amp;N</oddFooter>
      </headerFooter>
    </customSheetView>
    <customSheetView guid="{5BEC5FDE-32D0-42EF-8D2A-06DCBD4F05CC}" scale="90" showPageBreaks="1" printArea="1">
      <selection activeCell="I15" sqref="I15"/>
      <pageMargins left="0.5" right="0.5" top="0.25" bottom="0.35" header="0.5" footer="0.25"/>
      <printOptions horizontalCentered="1"/>
      <pageSetup scale="85" orientation="landscape" r:id="rId4"/>
      <headerFooter alignWithMargins="0">
        <oddFooter>&amp;LCost Share&amp;RPage &amp;P of &amp;N</oddFooter>
      </headerFooter>
    </customSheetView>
    <customSheetView guid="{D7FF18E2-A72D-4088-BD59-9D74A43C39A8}" scale="90" showPageBreaks="1" printArea="1">
      <selection activeCell="I15" sqref="I15"/>
      <pageMargins left="0.5" right="0.5" top="0.25" bottom="0.35" header="0.5" footer="0.25"/>
      <printOptions horizontalCentered="1"/>
      <pageSetup scale="85" orientation="landscape" r:id="rId5"/>
      <headerFooter alignWithMargins="0">
        <oddFooter>&amp;LCost Share&amp;RPage &amp;P of &amp;N</oddFooter>
      </headerFooter>
    </customSheetView>
  </customSheetViews>
  <mergeCells count="10">
    <mergeCell ref="A2:G2"/>
    <mergeCell ref="A1:C1"/>
    <mergeCell ref="A23:G25"/>
    <mergeCell ref="A4:G4"/>
    <mergeCell ref="A3:G3"/>
    <mergeCell ref="A22:C22"/>
    <mergeCell ref="E19:F19"/>
    <mergeCell ref="D20:F20"/>
    <mergeCell ref="A20:B20"/>
    <mergeCell ref="E1:G1"/>
  </mergeCells>
  <phoneticPr fontId="2" type="noConversion"/>
  <printOptions horizontalCentered="1"/>
  <pageMargins left="0.5" right="0.5" top="0.25" bottom="0.35" header="0.5" footer="0.25"/>
  <pageSetup scale="85" orientation="landscape" r:id="rId6"/>
  <headerFooter alignWithMargins="0">
    <oddFooter>&amp;LCost Share&amp;RPage &amp;P of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M145"/>
  <sheetViews>
    <sheetView workbookViewId="0">
      <selection activeCell="C9" sqref="C9"/>
    </sheetView>
  </sheetViews>
  <sheetFormatPr defaultRowHeight="13.5"/>
  <cols>
    <col min="1" max="1" width="2.42578125" style="197" customWidth="1"/>
    <col min="2" max="2" width="17.85546875" style="197" customWidth="1"/>
    <col min="3" max="3" width="17.28515625" style="197" customWidth="1"/>
    <col min="4" max="4" width="17.85546875" style="197" customWidth="1"/>
    <col min="5" max="5" width="16.140625" style="197" customWidth="1"/>
    <col min="6" max="6" width="17.140625" style="197" customWidth="1"/>
    <col min="7" max="7" width="21" style="197" customWidth="1"/>
    <col min="8" max="8" width="19.140625" style="197" customWidth="1"/>
    <col min="9" max="16384" width="9.140625" style="197"/>
  </cols>
  <sheetData>
    <row r="1" spans="1:13" ht="17.25" customHeight="1">
      <c r="A1" s="861" t="s">
        <v>10</v>
      </c>
      <c r="B1" s="813"/>
      <c r="C1" s="801"/>
      <c r="D1" s="801"/>
      <c r="E1" s="196" t="s">
        <v>187</v>
      </c>
      <c r="F1" s="802"/>
      <c r="G1" s="802"/>
      <c r="H1" s="195"/>
      <c r="I1" s="195"/>
      <c r="J1" s="195"/>
      <c r="K1" s="195"/>
    </row>
    <row r="2" spans="1:13" ht="27.75" customHeight="1">
      <c r="A2" s="862" t="s">
        <v>11</v>
      </c>
      <c r="B2" s="863"/>
      <c r="C2" s="863"/>
      <c r="D2" s="863"/>
      <c r="E2" s="863"/>
      <c r="F2" s="863"/>
      <c r="G2" s="863"/>
      <c r="H2" s="863"/>
      <c r="I2" s="198"/>
      <c r="J2" s="198"/>
      <c r="K2" s="198"/>
      <c r="L2" s="198"/>
      <c r="M2" s="195"/>
    </row>
    <row r="3" spans="1:13" ht="7.5" customHeight="1" thickBot="1">
      <c r="A3" s="864" t="s">
        <v>12</v>
      </c>
      <c r="B3" s="841"/>
      <c r="C3" s="841"/>
      <c r="D3" s="841"/>
      <c r="E3" s="841"/>
      <c r="F3" s="841"/>
      <c r="G3" s="841"/>
      <c r="H3" s="841"/>
      <c r="I3" s="199"/>
      <c r="J3" s="199"/>
      <c r="K3" s="199"/>
      <c r="L3" s="199"/>
      <c r="M3" s="195"/>
    </row>
    <row r="4" spans="1:13" ht="10.5" customHeight="1">
      <c r="A4" s="865" t="s">
        <v>13</v>
      </c>
      <c r="B4" s="866"/>
      <c r="C4" s="867"/>
      <c r="D4" s="867"/>
      <c r="E4" s="867"/>
      <c r="F4" s="868"/>
      <c r="G4" s="868"/>
      <c r="H4" s="869"/>
    </row>
    <row r="5" spans="1:13" ht="12" customHeight="1">
      <c r="A5" s="872"/>
      <c r="B5" s="874" t="s">
        <v>14</v>
      </c>
      <c r="C5" s="876" t="s">
        <v>15</v>
      </c>
      <c r="D5" s="859" t="s">
        <v>16</v>
      </c>
      <c r="E5" s="860"/>
      <c r="F5" s="870" t="s">
        <v>17</v>
      </c>
      <c r="G5" s="826"/>
      <c r="H5" s="871"/>
    </row>
    <row r="6" spans="1:13" s="203" customFormat="1" ht="25.5" customHeight="1">
      <c r="A6" s="873"/>
      <c r="B6" s="875"/>
      <c r="C6" s="877"/>
      <c r="D6" s="201" t="s">
        <v>18</v>
      </c>
      <c r="E6" s="201" t="s">
        <v>19</v>
      </c>
      <c r="F6" s="202" t="s">
        <v>20</v>
      </c>
      <c r="G6" s="202" t="s">
        <v>21</v>
      </c>
      <c r="H6" s="397" t="s">
        <v>179</v>
      </c>
    </row>
    <row r="7" spans="1:13" s="203" customFormat="1" ht="12" customHeight="1">
      <c r="A7" s="398"/>
      <c r="B7" s="204" t="s">
        <v>22</v>
      </c>
      <c r="C7" s="205" t="s">
        <v>23</v>
      </c>
      <c r="D7" s="206" t="s">
        <v>24</v>
      </c>
      <c r="E7" s="206" t="s">
        <v>25</v>
      </c>
      <c r="F7" s="205" t="s">
        <v>26</v>
      </c>
      <c r="G7" s="205" t="s">
        <v>27</v>
      </c>
      <c r="H7" s="399" t="s">
        <v>28</v>
      </c>
    </row>
    <row r="8" spans="1:13" s="211" customFormat="1" ht="18" customHeight="1">
      <c r="A8" s="400" t="s">
        <v>29</v>
      </c>
      <c r="B8" s="207" t="s">
        <v>92</v>
      </c>
      <c r="C8" s="208"/>
      <c r="D8" s="209"/>
      <c r="E8" s="209"/>
      <c r="F8" s="210">
        <f>D26-G8</f>
        <v>0</v>
      </c>
      <c r="G8" s="210">
        <f>'Cost Share'!D18</f>
        <v>0</v>
      </c>
      <c r="H8" s="401">
        <f>SUM(D8:G8)</f>
        <v>0</v>
      </c>
    </row>
    <row r="9" spans="1:13" s="211" customFormat="1" ht="18.75" customHeight="1">
      <c r="A9" s="400" t="s">
        <v>30</v>
      </c>
      <c r="B9" s="207" t="s">
        <v>93</v>
      </c>
      <c r="C9" s="208"/>
      <c r="D9" s="209"/>
      <c r="E9" s="209"/>
      <c r="F9" s="210">
        <f>E26-G9</f>
        <v>0</v>
      </c>
      <c r="G9" s="210">
        <f>'Cost Share'!E18</f>
        <v>0</v>
      </c>
      <c r="H9" s="401">
        <f>SUM(D9:G9)</f>
        <v>0</v>
      </c>
    </row>
    <row r="10" spans="1:13" s="211" customFormat="1" ht="18.75" customHeight="1">
      <c r="A10" s="400" t="s">
        <v>31</v>
      </c>
      <c r="B10" s="207" t="s">
        <v>94</v>
      </c>
      <c r="C10" s="208"/>
      <c r="D10" s="209"/>
      <c r="E10" s="209"/>
      <c r="F10" s="210">
        <f>F26-'Cost Share'!F18</f>
        <v>0</v>
      </c>
      <c r="G10" s="210">
        <f>'Cost Share'!F18</f>
        <v>0</v>
      </c>
      <c r="H10" s="401">
        <f>SUM(D10:G10)</f>
        <v>0</v>
      </c>
    </row>
    <row r="11" spans="1:13" s="211" customFormat="1" ht="19.5" customHeight="1">
      <c r="A11" s="402" t="s">
        <v>32</v>
      </c>
      <c r="B11" s="212"/>
      <c r="C11" s="213"/>
      <c r="D11" s="214"/>
      <c r="E11" s="214"/>
      <c r="F11" s="215"/>
      <c r="G11" s="215"/>
      <c r="H11" s="403">
        <f>SUM(D11:G11)</f>
        <v>0</v>
      </c>
    </row>
    <row r="12" spans="1:13" s="211" customFormat="1" ht="19.5" customHeight="1">
      <c r="A12" s="402" t="s">
        <v>33</v>
      </c>
      <c r="B12" s="216" t="s">
        <v>196</v>
      </c>
      <c r="C12" s="213"/>
      <c r="D12" s="214">
        <f>SUM(D8:D11)</f>
        <v>0</v>
      </c>
      <c r="E12" s="214">
        <f>SUM(E8:E11)</f>
        <v>0</v>
      </c>
      <c r="F12" s="215">
        <f>SUM(F8:F11)</f>
        <v>0</v>
      </c>
      <c r="G12" s="215">
        <f>SUM(G8:G11)</f>
        <v>0</v>
      </c>
      <c r="H12" s="403">
        <f>SUM(H8:H11)</f>
        <v>0</v>
      </c>
    </row>
    <row r="13" spans="1:13" ht="9.75" customHeight="1">
      <c r="A13" s="846" t="s">
        <v>34</v>
      </c>
      <c r="B13" s="847"/>
      <c r="C13" s="848"/>
      <c r="D13" s="848"/>
      <c r="E13" s="848"/>
      <c r="F13" s="848"/>
      <c r="G13" s="848"/>
      <c r="H13" s="849"/>
    </row>
    <row r="14" spans="1:13">
      <c r="A14" s="850" t="s">
        <v>35</v>
      </c>
      <c r="B14" s="852" t="s">
        <v>36</v>
      </c>
      <c r="C14" s="853"/>
      <c r="D14" s="825" t="s">
        <v>37</v>
      </c>
      <c r="E14" s="856"/>
      <c r="F14" s="856"/>
      <c r="G14" s="856"/>
      <c r="H14" s="857" t="s">
        <v>38</v>
      </c>
    </row>
    <row r="15" spans="1:13" ht="18" customHeight="1">
      <c r="A15" s="851"/>
      <c r="B15" s="854"/>
      <c r="C15" s="855"/>
      <c r="D15" s="217" t="s">
        <v>92</v>
      </c>
      <c r="E15" s="217" t="s">
        <v>93</v>
      </c>
      <c r="F15" s="217" t="s">
        <v>94</v>
      </c>
      <c r="G15" s="218" t="s">
        <v>39</v>
      </c>
      <c r="H15" s="858"/>
    </row>
    <row r="16" spans="1:13" s="211" customFormat="1" ht="19.5" customHeight="1">
      <c r="A16" s="396"/>
      <c r="B16" s="843" t="s">
        <v>40</v>
      </c>
      <c r="C16" s="843"/>
      <c r="D16" s="210">
        <f>'Instructions and Summary'!B12</f>
        <v>0</v>
      </c>
      <c r="E16" s="210">
        <f>'Instructions and Summary'!C12</f>
        <v>0</v>
      </c>
      <c r="F16" s="210">
        <f>'Instructions and Summary'!D12</f>
        <v>0</v>
      </c>
      <c r="G16" s="220"/>
      <c r="H16" s="404">
        <f t="shared" ref="H16:H25" si="0">SUM(D16:G16)</f>
        <v>0</v>
      </c>
    </row>
    <row r="17" spans="1:8" s="211" customFormat="1" ht="19.5" customHeight="1">
      <c r="A17" s="405"/>
      <c r="B17" s="820" t="s">
        <v>41</v>
      </c>
      <c r="C17" s="820"/>
      <c r="D17" s="210">
        <f>'Instructions and Summary'!B13</f>
        <v>0</v>
      </c>
      <c r="E17" s="210">
        <f>'Instructions and Summary'!C13</f>
        <v>0</v>
      </c>
      <c r="F17" s="210">
        <f>'Instructions and Summary'!D13</f>
        <v>0</v>
      </c>
      <c r="G17" s="221"/>
      <c r="H17" s="406">
        <f t="shared" si="0"/>
        <v>0</v>
      </c>
    </row>
    <row r="18" spans="1:8" s="211" customFormat="1" ht="21" customHeight="1">
      <c r="A18" s="396"/>
      <c r="B18" s="843" t="s">
        <v>42</v>
      </c>
      <c r="C18" s="843"/>
      <c r="D18" s="210">
        <f>'Instructions and Summary'!B14</f>
        <v>0</v>
      </c>
      <c r="E18" s="210">
        <f>'Instructions and Summary'!C14</f>
        <v>0</v>
      </c>
      <c r="F18" s="210">
        <f>'Instructions and Summary'!D14</f>
        <v>0</v>
      </c>
      <c r="G18" s="220"/>
      <c r="H18" s="406">
        <f t="shared" si="0"/>
        <v>0</v>
      </c>
    </row>
    <row r="19" spans="1:8" s="211" customFormat="1" ht="21" customHeight="1">
      <c r="A19" s="405"/>
      <c r="B19" s="820" t="s">
        <v>43</v>
      </c>
      <c r="C19" s="820"/>
      <c r="D19" s="210">
        <f>'Instructions and Summary'!B15</f>
        <v>0</v>
      </c>
      <c r="E19" s="210">
        <f>'Instructions and Summary'!C15</f>
        <v>0</v>
      </c>
      <c r="F19" s="210">
        <f>'Instructions and Summary'!D15</f>
        <v>0</v>
      </c>
      <c r="G19" s="221"/>
      <c r="H19" s="406">
        <f t="shared" si="0"/>
        <v>0</v>
      </c>
    </row>
    <row r="20" spans="1:8" s="211" customFormat="1" ht="21" customHeight="1">
      <c r="A20" s="396"/>
      <c r="B20" s="843" t="s">
        <v>44</v>
      </c>
      <c r="C20" s="843"/>
      <c r="D20" s="210">
        <f>'Instructions and Summary'!B16</f>
        <v>0</v>
      </c>
      <c r="E20" s="210">
        <f>'Instructions and Summary'!C16</f>
        <v>0</v>
      </c>
      <c r="F20" s="210">
        <f>'Instructions and Summary'!D16</f>
        <v>0</v>
      </c>
      <c r="G20" s="220"/>
      <c r="H20" s="406">
        <f t="shared" si="0"/>
        <v>0</v>
      </c>
    </row>
    <row r="21" spans="1:8" s="211" customFormat="1" ht="21" customHeight="1">
      <c r="A21" s="405"/>
      <c r="B21" s="820" t="s">
        <v>45</v>
      </c>
      <c r="C21" s="820"/>
      <c r="D21" s="221">
        <f>'Instructions and Summary'!B21</f>
        <v>0</v>
      </c>
      <c r="E21" s="221">
        <f>'Instructions and Summary'!C21</f>
        <v>0</v>
      </c>
      <c r="F21" s="221">
        <f>'Instructions and Summary'!D21</f>
        <v>0</v>
      </c>
      <c r="G21" s="221"/>
      <c r="H21" s="406">
        <f t="shared" si="0"/>
        <v>0</v>
      </c>
    </row>
    <row r="22" spans="1:8" s="211" customFormat="1" ht="21" customHeight="1">
      <c r="A22" s="396"/>
      <c r="B22" s="843" t="s">
        <v>46</v>
      </c>
      <c r="C22" s="843"/>
      <c r="D22" s="221">
        <f>'Instructions and Summary'!B22</f>
        <v>0</v>
      </c>
      <c r="E22" s="221">
        <f>'Instructions and Summary'!C22</f>
        <v>0</v>
      </c>
      <c r="F22" s="221">
        <f>'Instructions and Summary'!D22</f>
        <v>0</v>
      </c>
      <c r="G22" s="220"/>
      <c r="H22" s="406">
        <f t="shared" si="0"/>
        <v>0</v>
      </c>
    </row>
    <row r="23" spans="1:8" s="211" customFormat="1" ht="19.5" customHeight="1">
      <c r="A23" s="405"/>
      <c r="B23" s="820" t="s">
        <v>47</v>
      </c>
      <c r="C23" s="820"/>
      <c r="D23" s="221">
        <f>'Instructions and Summary'!B23</f>
        <v>0</v>
      </c>
      <c r="E23" s="221">
        <f>'Instructions and Summary'!C23</f>
        <v>0</v>
      </c>
      <c r="F23" s="221">
        <f>'Instructions and Summary'!D23</f>
        <v>0</v>
      </c>
      <c r="G23" s="221"/>
      <c r="H23" s="406">
        <f t="shared" si="0"/>
        <v>0</v>
      </c>
    </row>
    <row r="24" spans="1:8" s="211" customFormat="1" ht="21" customHeight="1">
      <c r="A24" s="396"/>
      <c r="B24" s="820" t="s">
        <v>48</v>
      </c>
      <c r="C24" s="842"/>
      <c r="D24" s="220">
        <f>SUM(D16:D23)</f>
        <v>0</v>
      </c>
      <c r="E24" s="220">
        <f>SUM(E16:E23)</f>
        <v>0</v>
      </c>
      <c r="F24" s="220">
        <f>SUM(F16:F23)</f>
        <v>0</v>
      </c>
      <c r="G24" s="220">
        <f>SUM(G16:G23)</f>
        <v>0</v>
      </c>
      <c r="H24" s="407">
        <f t="shared" si="0"/>
        <v>0</v>
      </c>
    </row>
    <row r="25" spans="1:8" s="211" customFormat="1" ht="19.5" customHeight="1">
      <c r="A25" s="405"/>
      <c r="B25" s="820" t="s">
        <v>49</v>
      </c>
      <c r="C25" s="820"/>
      <c r="D25" s="221">
        <f>'Instructions and Summary'!B25</f>
        <v>0</v>
      </c>
      <c r="E25" s="221">
        <f>'Instructions and Summary'!C25</f>
        <v>0</v>
      </c>
      <c r="F25" s="221">
        <f>'Instructions and Summary'!D25</f>
        <v>0</v>
      </c>
      <c r="G25" s="221"/>
      <c r="H25" s="406">
        <f t="shared" si="0"/>
        <v>0</v>
      </c>
    </row>
    <row r="26" spans="1:8" s="211" customFormat="1" ht="20.25" customHeight="1">
      <c r="A26" s="396"/>
      <c r="B26" s="843" t="s">
        <v>50</v>
      </c>
      <c r="C26" s="843"/>
      <c r="D26" s="220">
        <f>SUM(D24:D25)</f>
        <v>0</v>
      </c>
      <c r="E26" s="220">
        <f>SUM(E24:E25)</f>
        <v>0</v>
      </c>
      <c r="F26" s="220">
        <f>SUM(F24:F25)</f>
        <v>0</v>
      </c>
      <c r="G26" s="220">
        <f>SUM(G24:G25)</f>
        <v>0</v>
      </c>
      <c r="H26" s="407">
        <f>SUM(H24:H25)</f>
        <v>0</v>
      </c>
    </row>
    <row r="27" spans="1:8" ht="7.5" customHeight="1">
      <c r="A27" s="844"/>
      <c r="B27" s="821"/>
      <c r="C27" s="821"/>
      <c r="D27" s="821"/>
      <c r="E27" s="821"/>
      <c r="F27" s="821"/>
      <c r="G27" s="821"/>
      <c r="H27" s="845"/>
    </row>
    <row r="28" spans="1:8" s="211" customFormat="1" ht="16.5" customHeight="1" thickBot="1">
      <c r="A28" s="408" t="s">
        <v>51</v>
      </c>
      <c r="B28" s="838" t="s">
        <v>52</v>
      </c>
      <c r="C28" s="838"/>
      <c r="D28" s="409"/>
      <c r="E28" s="409"/>
      <c r="F28" s="409"/>
      <c r="G28" s="409"/>
      <c r="H28" s="410">
        <f>SUM(D28:G28)</f>
        <v>0</v>
      </c>
    </row>
    <row r="29" spans="1:8" s="211" customFormat="1" ht="11.25" customHeight="1">
      <c r="A29" s="223"/>
      <c r="B29" s="219"/>
      <c r="C29" s="219"/>
      <c r="D29" s="224"/>
      <c r="E29" s="224"/>
      <c r="F29" s="224"/>
      <c r="G29" s="224"/>
      <c r="H29" s="224"/>
    </row>
    <row r="30" spans="1:8" ht="10.5" customHeight="1">
      <c r="H30" s="225" t="s">
        <v>53</v>
      </c>
    </row>
    <row r="31" spans="1:8" ht="9.75" customHeight="1">
      <c r="A31" s="837" t="s">
        <v>54</v>
      </c>
      <c r="B31" s="837"/>
      <c r="C31" s="798"/>
      <c r="D31" s="839"/>
      <c r="E31" s="839"/>
      <c r="F31" s="839"/>
      <c r="G31" s="840" t="s">
        <v>55</v>
      </c>
      <c r="H31" s="841"/>
    </row>
    <row r="32" spans="1:8" ht="13.5" customHeight="1">
      <c r="A32" s="798" t="s">
        <v>56</v>
      </c>
      <c r="B32" s="835"/>
      <c r="C32" s="835"/>
      <c r="D32" s="835"/>
      <c r="E32" s="835"/>
      <c r="F32" s="835"/>
      <c r="G32" s="835"/>
      <c r="H32" s="836"/>
    </row>
    <row r="33" spans="1:8" ht="43.5" customHeight="1">
      <c r="C33" s="229"/>
      <c r="D33" s="228"/>
      <c r="E33" s="228"/>
      <c r="F33" s="228"/>
      <c r="G33" s="228"/>
      <c r="H33" s="227"/>
    </row>
    <row r="34" spans="1:8" ht="11.25" customHeight="1">
      <c r="A34" s="819" t="s">
        <v>57</v>
      </c>
      <c r="B34" s="827"/>
      <c r="C34" s="827"/>
      <c r="D34" s="821"/>
      <c r="E34" s="821"/>
      <c r="F34" s="821"/>
      <c r="G34" s="821"/>
      <c r="H34" s="821"/>
    </row>
    <row r="35" spans="1:8" ht="17.100000000000001" customHeight="1">
      <c r="B35" s="837" t="s">
        <v>58</v>
      </c>
      <c r="C35" s="837"/>
      <c r="D35" s="837"/>
      <c r="E35" s="202" t="s">
        <v>59</v>
      </c>
      <c r="F35" s="202" t="s">
        <v>60</v>
      </c>
      <c r="G35" s="202" t="s">
        <v>61</v>
      </c>
      <c r="H35" s="230" t="s">
        <v>62</v>
      </c>
    </row>
    <row r="36" spans="1:8" ht="21" customHeight="1">
      <c r="A36" s="222" t="s">
        <v>63</v>
      </c>
      <c r="B36" s="832" t="s">
        <v>92</v>
      </c>
      <c r="C36" s="832"/>
      <c r="D36" s="833"/>
      <c r="E36" s="193"/>
      <c r="F36" s="193"/>
      <c r="G36" s="193"/>
      <c r="H36" s="232">
        <f>SUM(E36:G36)</f>
        <v>0</v>
      </c>
    </row>
    <row r="37" spans="1:8" ht="21" customHeight="1">
      <c r="A37" s="222" t="s">
        <v>64</v>
      </c>
      <c r="B37" s="832" t="s">
        <v>93</v>
      </c>
      <c r="C37" s="832"/>
      <c r="D37" s="833"/>
      <c r="E37" s="193"/>
      <c r="F37" s="193"/>
      <c r="G37" s="193"/>
      <c r="H37" s="232">
        <f>SUM(E37:G37)</f>
        <v>0</v>
      </c>
    </row>
    <row r="38" spans="1:8" ht="21" customHeight="1">
      <c r="A38" s="222" t="s">
        <v>65</v>
      </c>
      <c r="B38" s="832" t="s">
        <v>94</v>
      </c>
      <c r="C38" s="832"/>
      <c r="D38" s="833"/>
      <c r="E38" s="193"/>
      <c r="F38" s="193"/>
      <c r="G38" s="193"/>
      <c r="H38" s="232">
        <f>SUM(E38:G38)</f>
        <v>0</v>
      </c>
    </row>
    <row r="39" spans="1:8" ht="21" customHeight="1">
      <c r="A39" s="222" t="s">
        <v>66</v>
      </c>
      <c r="B39" s="834"/>
      <c r="C39" s="834"/>
      <c r="D39" s="834"/>
      <c r="E39" s="193"/>
      <c r="F39" s="193"/>
      <c r="G39" s="193"/>
      <c r="H39" s="232">
        <f>SUM(E39:G39)</f>
        <v>0</v>
      </c>
    </row>
    <row r="40" spans="1:8" ht="21" customHeight="1">
      <c r="A40" s="233" t="s">
        <v>67</v>
      </c>
      <c r="B40" s="828" t="s">
        <v>68</v>
      </c>
      <c r="C40" s="829"/>
      <c r="D40" s="829"/>
      <c r="E40" s="234">
        <f>SUM(E36:E39)</f>
        <v>0</v>
      </c>
      <c r="F40" s="234">
        <f>SUM(F36:F39)</f>
        <v>0</v>
      </c>
      <c r="G40" s="234">
        <f>SUM(G36:G39)</f>
        <v>0</v>
      </c>
      <c r="H40" s="235">
        <f>SUM(H36:H39)</f>
        <v>0</v>
      </c>
    </row>
    <row r="41" spans="1:8" ht="10.5" customHeight="1">
      <c r="A41" s="819" t="s">
        <v>69</v>
      </c>
      <c r="B41" s="827"/>
      <c r="C41" s="827"/>
      <c r="D41" s="821"/>
      <c r="E41" s="830"/>
      <c r="F41" s="830"/>
      <c r="G41" s="830"/>
      <c r="H41" s="830"/>
    </row>
    <row r="42" spans="1:8" ht="12" customHeight="1">
      <c r="A42" s="829"/>
      <c r="B42" s="829"/>
      <c r="C42" s="831"/>
      <c r="D42" s="202" t="s">
        <v>70</v>
      </c>
      <c r="E42" s="202" t="s">
        <v>71</v>
      </c>
      <c r="F42" s="202" t="s">
        <v>72</v>
      </c>
      <c r="G42" s="202" t="s">
        <v>73</v>
      </c>
      <c r="H42" s="230" t="s">
        <v>74</v>
      </c>
    </row>
    <row r="43" spans="1:8" ht="21" customHeight="1">
      <c r="A43" s="222" t="s">
        <v>75</v>
      </c>
      <c r="B43" s="820" t="s">
        <v>20</v>
      </c>
      <c r="C43" s="820"/>
      <c r="D43" s="193">
        <f>SUM(E43:H43)</f>
        <v>0</v>
      </c>
      <c r="E43" s="193"/>
      <c r="F43" s="193"/>
      <c r="G43" s="193"/>
      <c r="H43" s="194"/>
    </row>
    <row r="44" spans="1:8" ht="21" customHeight="1">
      <c r="A44" s="222" t="s">
        <v>76</v>
      </c>
      <c r="B44" s="820" t="s">
        <v>21</v>
      </c>
      <c r="C44" s="820"/>
      <c r="D44" s="193">
        <f>SUM(E44:H44)</f>
        <v>0</v>
      </c>
      <c r="E44" s="193"/>
      <c r="F44" s="193"/>
      <c r="G44" s="193"/>
      <c r="H44" s="194"/>
    </row>
    <row r="45" spans="1:8" ht="21" customHeight="1">
      <c r="A45" s="222" t="s">
        <v>77</v>
      </c>
      <c r="B45" s="819" t="s">
        <v>78</v>
      </c>
      <c r="C45" s="820"/>
      <c r="D45" s="231">
        <f>SUM(D43:D44)</f>
        <v>0</v>
      </c>
      <c r="E45" s="231">
        <f>SUM(E43:E44)</f>
        <v>0</v>
      </c>
      <c r="F45" s="231">
        <f>SUM(F43:F44)</f>
        <v>0</v>
      </c>
      <c r="G45" s="231">
        <f>SUM(G43:G44)</f>
        <v>0</v>
      </c>
      <c r="H45" s="232">
        <f>SUM(H43:H44)</f>
        <v>0</v>
      </c>
    </row>
    <row r="46" spans="1:8">
      <c r="A46" s="819" t="s">
        <v>79</v>
      </c>
      <c r="B46" s="827"/>
      <c r="C46" s="827"/>
      <c r="D46" s="827"/>
      <c r="E46" s="821"/>
      <c r="F46" s="821"/>
      <c r="G46" s="821"/>
      <c r="H46" s="821"/>
    </row>
    <row r="47" spans="1:8">
      <c r="A47" s="822" t="s">
        <v>58</v>
      </c>
      <c r="B47" s="823"/>
      <c r="C47" s="823"/>
      <c r="D47" s="823"/>
      <c r="E47" s="825" t="s">
        <v>80</v>
      </c>
      <c r="F47" s="826"/>
      <c r="G47" s="826"/>
      <c r="H47" s="826"/>
    </row>
    <row r="48" spans="1:8" ht="16.5">
      <c r="A48" s="824"/>
      <c r="B48" s="824"/>
      <c r="C48" s="824"/>
      <c r="D48" s="824"/>
      <c r="E48" s="217" t="s">
        <v>92</v>
      </c>
      <c r="F48" s="217" t="s">
        <v>93</v>
      </c>
      <c r="G48" s="217" t="s">
        <v>94</v>
      </c>
      <c r="H48" s="200"/>
    </row>
    <row r="49" spans="1:8" ht="21" customHeight="1">
      <c r="A49" s="222" t="s">
        <v>81</v>
      </c>
      <c r="B49" s="817"/>
      <c r="C49" s="817"/>
      <c r="D49" s="818"/>
      <c r="E49" s="194"/>
      <c r="F49" s="194"/>
      <c r="G49" s="194"/>
      <c r="H49" s="194"/>
    </row>
    <row r="50" spans="1:8" ht="21" customHeight="1">
      <c r="A50" s="222" t="s">
        <v>82</v>
      </c>
      <c r="B50" s="817"/>
      <c r="C50" s="817"/>
      <c r="D50" s="818"/>
      <c r="E50" s="194"/>
      <c r="F50" s="194"/>
      <c r="G50" s="194"/>
      <c r="H50" s="194"/>
    </row>
    <row r="51" spans="1:8" ht="21" customHeight="1">
      <c r="A51" s="222" t="s">
        <v>83</v>
      </c>
      <c r="B51" s="817"/>
      <c r="C51" s="817"/>
      <c r="D51" s="818"/>
      <c r="E51" s="194"/>
      <c r="F51" s="194"/>
      <c r="G51" s="194"/>
      <c r="H51" s="194"/>
    </row>
    <row r="52" spans="1:8" ht="21" customHeight="1">
      <c r="A52" s="222" t="s">
        <v>84</v>
      </c>
      <c r="B52" s="817"/>
      <c r="C52" s="817"/>
      <c r="D52" s="818"/>
      <c r="E52" s="194"/>
      <c r="F52" s="194"/>
      <c r="G52" s="194"/>
      <c r="H52" s="194"/>
    </row>
    <row r="53" spans="1:8" ht="21" customHeight="1">
      <c r="A53" s="222" t="s">
        <v>85</v>
      </c>
      <c r="B53" s="819" t="s">
        <v>86</v>
      </c>
      <c r="C53" s="820"/>
      <c r="D53" s="820"/>
      <c r="E53" s="232">
        <f>SUM(E49:E52)</f>
        <v>0</v>
      </c>
      <c r="F53" s="232">
        <f>SUM(F49:F52)</f>
        <v>0</v>
      </c>
      <c r="G53" s="232">
        <f>SUM(G49:G52)</f>
        <v>0</v>
      </c>
      <c r="H53" s="232">
        <f>SUM(H49:H52)</f>
        <v>0</v>
      </c>
    </row>
    <row r="54" spans="1:8">
      <c r="A54" s="812" t="s">
        <v>87</v>
      </c>
      <c r="B54" s="812"/>
      <c r="C54" s="813"/>
      <c r="D54" s="814"/>
      <c r="E54" s="814"/>
      <c r="F54" s="814"/>
      <c r="G54" s="814"/>
      <c r="H54" s="814"/>
    </row>
    <row r="55" spans="1:8">
      <c r="A55" s="236" t="s">
        <v>88</v>
      </c>
      <c r="B55" s="236"/>
      <c r="C55" s="815"/>
      <c r="D55" s="816"/>
      <c r="E55" s="237" t="s">
        <v>89</v>
      </c>
      <c r="F55" s="815"/>
      <c r="G55" s="815"/>
      <c r="H55" s="815"/>
    </row>
    <row r="56" spans="1:8">
      <c r="A56" s="808"/>
      <c r="B56" s="808"/>
      <c r="C56" s="808"/>
      <c r="D56" s="809"/>
      <c r="E56" s="810"/>
      <c r="F56" s="808"/>
      <c r="G56" s="808"/>
      <c r="H56" s="808"/>
    </row>
    <row r="57" spans="1:8">
      <c r="A57" s="236" t="s">
        <v>90</v>
      </c>
      <c r="B57" s="236"/>
      <c r="C57" s="811"/>
      <c r="D57" s="811"/>
      <c r="E57" s="811"/>
      <c r="F57" s="811"/>
      <c r="G57" s="811"/>
      <c r="H57" s="811"/>
    </row>
    <row r="58" spans="1:8">
      <c r="A58" s="803"/>
      <c r="B58" s="803"/>
      <c r="C58" s="803"/>
      <c r="D58" s="803"/>
      <c r="E58" s="803"/>
      <c r="F58" s="803"/>
      <c r="G58" s="803"/>
      <c r="H58" s="803"/>
    </row>
    <row r="59" spans="1:8">
      <c r="A59" s="803"/>
      <c r="B59" s="803"/>
      <c r="C59" s="803"/>
      <c r="D59" s="803"/>
      <c r="E59" s="803"/>
      <c r="F59" s="803"/>
      <c r="G59" s="803"/>
      <c r="H59" s="804"/>
    </row>
    <row r="60" spans="1:8" ht="13.5" customHeight="1">
      <c r="A60" s="805"/>
      <c r="B60" s="805"/>
      <c r="C60" s="805"/>
      <c r="D60" s="805"/>
      <c r="E60" s="805"/>
      <c r="F60" s="805"/>
      <c r="G60" s="805"/>
      <c r="H60" s="806"/>
    </row>
    <row r="61" spans="1:8">
      <c r="C61" s="798"/>
      <c r="D61" s="799"/>
      <c r="E61" s="799"/>
      <c r="F61" s="799"/>
      <c r="G61" s="799"/>
      <c r="H61" s="225" t="s">
        <v>53</v>
      </c>
    </row>
    <row r="62" spans="1:8">
      <c r="A62" s="807" t="s">
        <v>54</v>
      </c>
      <c r="B62" s="807"/>
      <c r="C62" s="229" t="s">
        <v>91</v>
      </c>
      <c r="D62" s="228"/>
      <c r="E62" s="228"/>
      <c r="F62" s="228"/>
      <c r="G62" s="228"/>
      <c r="H62" s="227" t="s">
        <v>55</v>
      </c>
    </row>
    <row r="63" spans="1:8" ht="14.25" customHeight="1">
      <c r="C63" s="798" t="s">
        <v>56</v>
      </c>
      <c r="D63" s="799"/>
      <c r="E63" s="799"/>
      <c r="F63" s="799"/>
      <c r="G63" s="799"/>
    </row>
    <row r="64" spans="1:8" ht="14.25" customHeight="1">
      <c r="C64" s="226"/>
      <c r="D64" s="238"/>
      <c r="E64" s="238"/>
      <c r="F64" s="238"/>
      <c r="G64" s="238"/>
    </row>
    <row r="65" spans="1:8">
      <c r="A65" s="800"/>
      <c r="B65" s="800"/>
      <c r="C65" s="800"/>
      <c r="D65" s="800"/>
      <c r="E65" s="800"/>
      <c r="F65" s="800"/>
      <c r="G65" s="800"/>
      <c r="H65" s="800"/>
    </row>
    <row r="66" spans="1:8">
      <c r="A66" s="800"/>
      <c r="B66" s="800"/>
      <c r="C66" s="800"/>
      <c r="D66" s="800"/>
      <c r="E66" s="800"/>
      <c r="F66" s="800"/>
      <c r="G66" s="800"/>
      <c r="H66" s="800"/>
    </row>
    <row r="67" spans="1:8">
      <c r="A67" s="800"/>
      <c r="B67" s="800"/>
      <c r="C67" s="800"/>
      <c r="D67" s="800"/>
      <c r="E67" s="800"/>
      <c r="F67" s="800"/>
      <c r="G67" s="800"/>
      <c r="H67" s="800"/>
    </row>
    <row r="68" spans="1:8">
      <c r="A68" s="800"/>
      <c r="B68" s="800"/>
      <c r="C68" s="800"/>
      <c r="D68" s="800"/>
      <c r="E68" s="800"/>
      <c r="F68" s="800"/>
      <c r="G68" s="800"/>
      <c r="H68" s="800"/>
    </row>
    <row r="69" spans="1:8">
      <c r="A69" s="800"/>
      <c r="B69" s="800"/>
      <c r="C69" s="800"/>
      <c r="D69" s="800"/>
      <c r="E69" s="800"/>
      <c r="F69" s="800"/>
      <c r="G69" s="800"/>
      <c r="H69" s="800"/>
    </row>
    <row r="70" spans="1:8">
      <c r="A70" s="800"/>
      <c r="B70" s="800"/>
      <c r="C70" s="800"/>
      <c r="D70" s="800"/>
      <c r="E70" s="800"/>
      <c r="F70" s="800"/>
      <c r="G70" s="800"/>
      <c r="H70" s="800"/>
    </row>
    <row r="71" spans="1:8">
      <c r="A71" s="800"/>
      <c r="B71" s="800"/>
      <c r="C71" s="800"/>
      <c r="D71" s="800"/>
      <c r="E71" s="800"/>
      <c r="F71" s="800"/>
      <c r="G71" s="800"/>
      <c r="H71" s="800"/>
    </row>
    <row r="72" spans="1:8">
      <c r="A72" s="800"/>
      <c r="B72" s="800"/>
      <c r="C72" s="800"/>
      <c r="D72" s="800"/>
      <c r="E72" s="800"/>
      <c r="F72" s="800"/>
      <c r="G72" s="800"/>
      <c r="H72" s="800"/>
    </row>
    <row r="73" spans="1:8">
      <c r="A73" s="800"/>
      <c r="B73" s="800"/>
      <c r="C73" s="800"/>
      <c r="D73" s="800"/>
      <c r="E73" s="800"/>
      <c r="F73" s="800"/>
      <c r="G73" s="800"/>
      <c r="H73" s="800"/>
    </row>
    <row r="74" spans="1:8">
      <c r="A74" s="800"/>
      <c r="B74" s="800"/>
      <c r="C74" s="800"/>
      <c r="D74" s="800"/>
      <c r="E74" s="800"/>
      <c r="F74" s="800"/>
      <c r="G74" s="800"/>
      <c r="H74" s="800"/>
    </row>
    <row r="75" spans="1:8">
      <c r="A75" s="800"/>
      <c r="B75" s="800"/>
      <c r="C75" s="800"/>
      <c r="D75" s="800"/>
      <c r="E75" s="800"/>
      <c r="F75" s="800"/>
      <c r="G75" s="800"/>
      <c r="H75" s="800"/>
    </row>
    <row r="76" spans="1:8">
      <c r="A76" s="800"/>
      <c r="B76" s="800"/>
      <c r="C76" s="800"/>
      <c r="D76" s="800"/>
      <c r="E76" s="800"/>
      <c r="F76" s="800"/>
      <c r="G76" s="800"/>
      <c r="H76" s="800"/>
    </row>
    <row r="77" spans="1:8">
      <c r="A77" s="800"/>
      <c r="B77" s="800"/>
      <c r="C77" s="800"/>
      <c r="D77" s="800"/>
      <c r="E77" s="800"/>
      <c r="F77" s="800"/>
      <c r="G77" s="800"/>
      <c r="H77" s="800"/>
    </row>
    <row r="78" spans="1:8">
      <c r="A78" s="800"/>
      <c r="B78" s="800"/>
      <c r="C78" s="800"/>
      <c r="D78" s="800"/>
      <c r="E78" s="800"/>
      <c r="F78" s="800"/>
      <c r="G78" s="800"/>
      <c r="H78" s="800"/>
    </row>
    <row r="79" spans="1:8">
      <c r="A79" s="800"/>
      <c r="B79" s="800"/>
      <c r="C79" s="800"/>
      <c r="D79" s="800"/>
      <c r="E79" s="800"/>
      <c r="F79" s="800"/>
      <c r="G79" s="800"/>
      <c r="H79" s="800"/>
    </row>
    <row r="80" spans="1:8">
      <c r="A80" s="800"/>
      <c r="B80" s="800"/>
      <c r="C80" s="800"/>
      <c r="D80" s="800"/>
      <c r="E80" s="800"/>
      <c r="F80" s="800"/>
      <c r="G80" s="800"/>
      <c r="H80" s="800"/>
    </row>
    <row r="81" spans="1:8">
      <c r="A81" s="800"/>
      <c r="B81" s="800"/>
      <c r="C81" s="800"/>
      <c r="D81" s="800"/>
      <c r="E81" s="800"/>
      <c r="F81" s="800"/>
      <c r="G81" s="800"/>
      <c r="H81" s="800"/>
    </row>
    <row r="82" spans="1:8">
      <c r="A82" s="800"/>
      <c r="B82" s="800"/>
      <c r="C82" s="800"/>
      <c r="D82" s="800"/>
      <c r="E82" s="800"/>
      <c r="F82" s="800"/>
      <c r="G82" s="800"/>
      <c r="H82" s="800"/>
    </row>
    <row r="83" spans="1:8">
      <c r="A83" s="800"/>
      <c r="B83" s="800"/>
      <c r="C83" s="800"/>
      <c r="D83" s="800"/>
      <c r="E83" s="800"/>
      <c r="F83" s="800"/>
      <c r="G83" s="800"/>
      <c r="H83" s="800"/>
    </row>
    <row r="84" spans="1:8">
      <c r="A84" s="800"/>
      <c r="B84" s="800"/>
      <c r="C84" s="800"/>
      <c r="D84" s="800"/>
      <c r="E84" s="800"/>
      <c r="F84" s="800"/>
      <c r="G84" s="800"/>
      <c r="H84" s="800"/>
    </row>
    <row r="85" spans="1:8">
      <c r="A85" s="800"/>
      <c r="B85" s="800"/>
      <c r="C85" s="800"/>
      <c r="D85" s="800"/>
      <c r="E85" s="800"/>
      <c r="F85" s="800"/>
      <c r="G85" s="800"/>
      <c r="H85" s="800"/>
    </row>
    <row r="86" spans="1:8">
      <c r="A86" s="800"/>
      <c r="B86" s="800"/>
      <c r="C86" s="800"/>
      <c r="D86" s="800"/>
      <c r="E86" s="800"/>
      <c r="F86" s="800"/>
      <c r="G86" s="800"/>
      <c r="H86" s="800"/>
    </row>
    <row r="87" spans="1:8">
      <c r="A87" s="800"/>
      <c r="B87" s="800"/>
      <c r="C87" s="800"/>
      <c r="D87" s="800"/>
      <c r="E87" s="800"/>
      <c r="F87" s="800"/>
      <c r="G87" s="800"/>
      <c r="H87" s="800"/>
    </row>
    <row r="88" spans="1:8">
      <c r="A88" s="800"/>
      <c r="B88" s="800"/>
      <c r="C88" s="800"/>
      <c r="D88" s="800"/>
      <c r="E88" s="800"/>
      <c r="F88" s="800"/>
      <c r="G88" s="800"/>
      <c r="H88" s="800"/>
    </row>
    <row r="89" spans="1:8">
      <c r="A89" s="800"/>
      <c r="B89" s="800"/>
      <c r="C89" s="800"/>
      <c r="D89" s="800"/>
      <c r="E89" s="800"/>
      <c r="F89" s="800"/>
      <c r="G89" s="800"/>
      <c r="H89" s="800"/>
    </row>
    <row r="90" spans="1:8">
      <c r="A90" s="800"/>
      <c r="B90" s="800"/>
      <c r="C90" s="800"/>
      <c r="D90" s="800"/>
      <c r="E90" s="800"/>
      <c r="F90" s="800"/>
      <c r="G90" s="800"/>
      <c r="H90" s="800"/>
    </row>
    <row r="91" spans="1:8">
      <c r="A91" s="800"/>
      <c r="B91" s="800"/>
      <c r="C91" s="800"/>
      <c r="D91" s="800"/>
      <c r="E91" s="800"/>
      <c r="F91" s="800"/>
      <c r="G91" s="800"/>
      <c r="H91" s="800"/>
    </row>
    <row r="92" spans="1:8">
      <c r="A92" s="800"/>
      <c r="B92" s="800"/>
      <c r="C92" s="800"/>
      <c r="D92" s="800"/>
      <c r="E92" s="800"/>
      <c r="F92" s="800"/>
      <c r="G92" s="800"/>
      <c r="H92" s="800"/>
    </row>
    <row r="93" spans="1:8">
      <c r="A93" s="800"/>
      <c r="B93" s="800"/>
      <c r="C93" s="800"/>
      <c r="D93" s="800"/>
      <c r="E93" s="800"/>
      <c r="F93" s="800"/>
      <c r="G93" s="800"/>
      <c r="H93" s="800"/>
    </row>
    <row r="94" spans="1:8">
      <c r="A94" s="800"/>
      <c r="B94" s="800"/>
      <c r="C94" s="800"/>
      <c r="D94" s="800"/>
      <c r="E94" s="800"/>
      <c r="F94" s="800"/>
      <c r="G94" s="800"/>
      <c r="H94" s="800"/>
    </row>
    <row r="95" spans="1:8">
      <c r="A95" s="800"/>
      <c r="B95" s="800"/>
      <c r="C95" s="800"/>
      <c r="D95" s="800"/>
      <c r="E95" s="800"/>
      <c r="F95" s="800"/>
      <c r="G95" s="800"/>
      <c r="H95" s="800"/>
    </row>
    <row r="96" spans="1:8">
      <c r="A96" s="800"/>
      <c r="B96" s="800"/>
      <c r="C96" s="800"/>
      <c r="D96" s="800"/>
      <c r="E96" s="800"/>
      <c r="F96" s="800"/>
      <c r="G96" s="800"/>
      <c r="H96" s="800"/>
    </row>
    <row r="97" spans="1:8">
      <c r="A97" s="800"/>
      <c r="B97" s="800"/>
      <c r="C97" s="800"/>
      <c r="D97" s="800"/>
      <c r="E97" s="800"/>
      <c r="F97" s="800"/>
      <c r="G97" s="800"/>
      <c r="H97" s="800"/>
    </row>
    <row r="98" spans="1:8">
      <c r="A98" s="800"/>
      <c r="B98" s="800"/>
      <c r="C98" s="800"/>
      <c r="D98" s="800"/>
      <c r="E98" s="800"/>
      <c r="F98" s="800"/>
      <c r="G98" s="800"/>
      <c r="H98" s="800"/>
    </row>
    <row r="99" spans="1:8">
      <c r="A99" s="800"/>
      <c r="B99" s="800"/>
      <c r="C99" s="800"/>
      <c r="D99" s="800"/>
      <c r="E99" s="800"/>
      <c r="F99" s="800"/>
      <c r="G99" s="800"/>
      <c r="H99" s="800"/>
    </row>
    <row r="100" spans="1:8">
      <c r="A100" s="800"/>
      <c r="B100" s="800"/>
      <c r="C100" s="800"/>
      <c r="D100" s="800"/>
      <c r="E100" s="800"/>
      <c r="F100" s="800"/>
      <c r="G100" s="800"/>
      <c r="H100" s="800"/>
    </row>
    <row r="101" spans="1:8">
      <c r="A101" s="800"/>
      <c r="B101" s="800"/>
      <c r="C101" s="800"/>
      <c r="D101" s="800"/>
      <c r="E101" s="800"/>
      <c r="F101" s="800"/>
      <c r="G101" s="800"/>
      <c r="H101" s="800"/>
    </row>
    <row r="102" spans="1:8">
      <c r="A102" s="800"/>
      <c r="B102" s="800"/>
      <c r="C102" s="800"/>
      <c r="D102" s="800"/>
      <c r="E102" s="800"/>
      <c r="F102" s="800"/>
      <c r="G102" s="800"/>
      <c r="H102" s="800"/>
    </row>
    <row r="104" spans="1:8">
      <c r="A104" s="800"/>
      <c r="B104" s="800"/>
      <c r="C104" s="800"/>
      <c r="D104" s="800"/>
      <c r="E104" s="800"/>
      <c r="F104" s="800"/>
      <c r="G104" s="800"/>
      <c r="H104" s="800"/>
    </row>
    <row r="105" spans="1:8">
      <c r="A105" s="800"/>
      <c r="B105" s="800"/>
      <c r="C105" s="800"/>
      <c r="D105" s="800"/>
      <c r="E105" s="800"/>
      <c r="F105" s="800"/>
      <c r="G105" s="800"/>
      <c r="H105" s="800"/>
    </row>
    <row r="106" spans="1:8">
      <c r="A106" s="800"/>
      <c r="B106" s="800"/>
      <c r="C106" s="800"/>
      <c r="D106" s="800"/>
      <c r="E106" s="800"/>
      <c r="F106" s="800"/>
      <c r="G106" s="800"/>
      <c r="H106" s="800"/>
    </row>
    <row r="107" spans="1:8">
      <c r="A107" s="800"/>
      <c r="B107" s="800"/>
      <c r="C107" s="800"/>
      <c r="D107" s="800"/>
      <c r="E107" s="800"/>
      <c r="F107" s="800"/>
      <c r="G107" s="800"/>
      <c r="H107" s="800"/>
    </row>
    <row r="108" spans="1:8">
      <c r="A108" s="800"/>
      <c r="B108" s="800"/>
      <c r="C108" s="800"/>
      <c r="D108" s="800"/>
      <c r="E108" s="800"/>
      <c r="F108" s="800"/>
      <c r="G108" s="800"/>
      <c r="H108" s="800"/>
    </row>
    <row r="109" spans="1:8">
      <c r="A109" s="800"/>
      <c r="B109" s="800"/>
      <c r="C109" s="800"/>
      <c r="D109" s="800"/>
      <c r="E109" s="800"/>
      <c r="F109" s="800"/>
      <c r="G109" s="800"/>
      <c r="H109" s="800"/>
    </row>
    <row r="110" spans="1:8">
      <c r="A110" s="800"/>
      <c r="B110" s="800"/>
      <c r="C110" s="800"/>
      <c r="D110" s="800"/>
      <c r="E110" s="800"/>
      <c r="F110" s="800"/>
      <c r="G110" s="800"/>
      <c r="H110" s="800"/>
    </row>
    <row r="111" spans="1:8">
      <c r="A111" s="800"/>
      <c r="B111" s="800"/>
      <c r="C111" s="800"/>
      <c r="D111" s="800"/>
      <c r="E111" s="800"/>
      <c r="F111" s="800"/>
      <c r="G111" s="800"/>
      <c r="H111" s="800"/>
    </row>
    <row r="112" spans="1:8">
      <c r="A112" s="800"/>
      <c r="B112" s="800"/>
      <c r="C112" s="800"/>
      <c r="D112" s="800"/>
      <c r="E112" s="800"/>
      <c r="F112" s="800"/>
      <c r="G112" s="800"/>
      <c r="H112" s="800"/>
    </row>
    <row r="113" spans="1:8">
      <c r="A113" s="800"/>
      <c r="B113" s="800"/>
      <c r="C113" s="800"/>
      <c r="D113" s="800"/>
      <c r="E113" s="800"/>
      <c r="F113" s="800"/>
      <c r="G113" s="800"/>
      <c r="H113" s="800"/>
    </row>
    <row r="114" spans="1:8">
      <c r="A114" s="800"/>
      <c r="B114" s="800"/>
      <c r="C114" s="800"/>
      <c r="D114" s="800"/>
      <c r="E114" s="800"/>
      <c r="F114" s="800"/>
      <c r="G114" s="800"/>
      <c r="H114" s="800"/>
    </row>
    <row r="115" spans="1:8">
      <c r="A115" s="800"/>
      <c r="B115" s="800"/>
      <c r="C115" s="800"/>
      <c r="D115" s="800"/>
      <c r="E115" s="800"/>
      <c r="F115" s="800"/>
      <c r="G115" s="800"/>
      <c r="H115" s="800"/>
    </row>
    <row r="116" spans="1:8">
      <c r="A116" s="800"/>
      <c r="B116" s="800"/>
      <c r="C116" s="800"/>
      <c r="D116" s="800"/>
      <c r="E116" s="800"/>
      <c r="F116" s="800"/>
      <c r="G116" s="800"/>
      <c r="H116" s="800"/>
    </row>
    <row r="117" spans="1:8">
      <c r="A117" s="800"/>
      <c r="B117" s="800"/>
      <c r="C117" s="800"/>
      <c r="D117" s="800"/>
      <c r="E117" s="800"/>
      <c r="F117" s="800"/>
      <c r="G117" s="800"/>
      <c r="H117" s="800"/>
    </row>
    <row r="118" spans="1:8">
      <c r="A118" s="800"/>
      <c r="B118" s="800"/>
      <c r="C118" s="800"/>
      <c r="D118" s="800"/>
      <c r="E118" s="800"/>
      <c r="F118" s="800"/>
      <c r="G118" s="800"/>
      <c r="H118" s="800"/>
    </row>
    <row r="119" spans="1:8">
      <c r="A119" s="800"/>
      <c r="B119" s="800"/>
      <c r="C119" s="800"/>
      <c r="D119" s="800"/>
      <c r="E119" s="800"/>
      <c r="F119" s="800"/>
      <c r="G119" s="800"/>
      <c r="H119" s="800"/>
    </row>
    <row r="120" spans="1:8">
      <c r="A120" s="800"/>
      <c r="B120" s="800"/>
      <c r="C120" s="800"/>
      <c r="D120" s="800"/>
      <c r="E120" s="800"/>
      <c r="F120" s="800"/>
      <c r="G120" s="800"/>
      <c r="H120" s="800"/>
    </row>
    <row r="121" spans="1:8">
      <c r="A121" s="800"/>
      <c r="B121" s="800"/>
      <c r="C121" s="800"/>
      <c r="D121" s="800"/>
      <c r="E121" s="800"/>
      <c r="F121" s="800"/>
      <c r="G121" s="800"/>
      <c r="H121" s="800"/>
    </row>
    <row r="122" spans="1:8">
      <c r="A122" s="800"/>
      <c r="B122" s="800"/>
      <c r="C122" s="800"/>
      <c r="D122" s="800"/>
      <c r="E122" s="800"/>
      <c r="F122" s="800"/>
      <c r="G122" s="800"/>
      <c r="H122" s="800"/>
    </row>
    <row r="123" spans="1:8">
      <c r="A123" s="800"/>
      <c r="B123" s="800"/>
      <c r="C123" s="800"/>
      <c r="D123" s="800"/>
      <c r="E123" s="800"/>
      <c r="F123" s="800"/>
      <c r="G123" s="800"/>
      <c r="H123" s="800"/>
    </row>
    <row r="124" spans="1:8">
      <c r="A124" s="800"/>
      <c r="B124" s="800"/>
      <c r="C124" s="800"/>
      <c r="D124" s="800"/>
      <c r="E124" s="800"/>
      <c r="F124" s="800"/>
      <c r="G124" s="800"/>
      <c r="H124" s="800"/>
    </row>
    <row r="125" spans="1:8">
      <c r="A125" s="800"/>
      <c r="B125" s="800"/>
      <c r="C125" s="800"/>
      <c r="D125" s="800"/>
      <c r="E125" s="800"/>
      <c r="F125" s="800"/>
      <c r="G125" s="800"/>
      <c r="H125" s="800"/>
    </row>
    <row r="126" spans="1:8">
      <c r="A126" s="800"/>
      <c r="B126" s="800"/>
      <c r="C126" s="800"/>
      <c r="D126" s="800"/>
      <c r="E126" s="800"/>
      <c r="F126" s="800"/>
      <c r="G126" s="800"/>
      <c r="H126" s="800"/>
    </row>
    <row r="127" spans="1:8">
      <c r="A127" s="800"/>
      <c r="B127" s="800"/>
      <c r="C127" s="800"/>
      <c r="D127" s="800"/>
      <c r="E127" s="800"/>
      <c r="F127" s="800"/>
      <c r="G127" s="800"/>
      <c r="H127" s="800"/>
    </row>
    <row r="128" spans="1:8">
      <c r="A128" s="800"/>
      <c r="B128" s="800"/>
      <c r="C128" s="800"/>
      <c r="D128" s="800"/>
      <c r="E128" s="800"/>
      <c r="F128" s="800"/>
      <c r="G128" s="800"/>
      <c r="H128" s="800"/>
    </row>
    <row r="129" spans="1:8">
      <c r="A129" s="800"/>
      <c r="B129" s="800"/>
      <c r="C129" s="800"/>
      <c r="D129" s="800"/>
      <c r="E129" s="800"/>
      <c r="F129" s="800"/>
      <c r="G129" s="800"/>
      <c r="H129" s="800"/>
    </row>
    <row r="130" spans="1:8">
      <c r="A130" s="800"/>
      <c r="B130" s="800"/>
      <c r="C130" s="800"/>
      <c r="D130" s="800"/>
      <c r="E130" s="800"/>
      <c r="F130" s="800"/>
      <c r="G130" s="800"/>
      <c r="H130" s="800"/>
    </row>
    <row r="131" spans="1:8">
      <c r="A131" s="800"/>
      <c r="B131" s="800"/>
      <c r="C131" s="800"/>
      <c r="D131" s="800"/>
      <c r="E131" s="800"/>
      <c r="F131" s="800"/>
      <c r="G131" s="800"/>
      <c r="H131" s="800"/>
    </row>
    <row r="132" spans="1:8">
      <c r="A132" s="800"/>
      <c r="B132" s="800"/>
      <c r="C132" s="800"/>
      <c r="D132" s="800"/>
      <c r="E132" s="800"/>
      <c r="F132" s="800"/>
      <c r="G132" s="800"/>
      <c r="H132" s="800"/>
    </row>
    <row r="133" spans="1:8">
      <c r="A133" s="800"/>
      <c r="B133" s="800"/>
      <c r="C133" s="800"/>
      <c r="D133" s="800"/>
      <c r="E133" s="800"/>
      <c r="F133" s="800"/>
      <c r="G133" s="800"/>
      <c r="H133" s="800"/>
    </row>
    <row r="134" spans="1:8">
      <c r="A134" s="800"/>
      <c r="B134" s="800"/>
      <c r="C134" s="800"/>
      <c r="D134" s="800"/>
      <c r="E134" s="800"/>
      <c r="F134" s="800"/>
      <c r="G134" s="800"/>
      <c r="H134" s="800"/>
    </row>
    <row r="135" spans="1:8">
      <c r="A135" s="800"/>
      <c r="B135" s="800"/>
      <c r="C135" s="800"/>
      <c r="D135" s="800"/>
      <c r="E135" s="800"/>
      <c r="F135" s="800"/>
      <c r="G135" s="800"/>
      <c r="H135" s="800"/>
    </row>
    <row r="136" spans="1:8">
      <c r="A136" s="800"/>
      <c r="B136" s="800"/>
      <c r="C136" s="800"/>
      <c r="D136" s="800"/>
      <c r="E136" s="800"/>
      <c r="F136" s="800"/>
      <c r="G136" s="800"/>
      <c r="H136" s="800"/>
    </row>
    <row r="137" spans="1:8">
      <c r="A137" s="800"/>
      <c r="B137" s="800"/>
      <c r="C137" s="800"/>
      <c r="D137" s="800"/>
      <c r="E137" s="800"/>
      <c r="F137" s="800"/>
      <c r="G137" s="800"/>
      <c r="H137" s="800"/>
    </row>
    <row r="138" spans="1:8">
      <c r="A138" s="800"/>
      <c r="B138" s="800"/>
      <c r="C138" s="800"/>
      <c r="D138" s="800"/>
      <c r="E138" s="800"/>
      <c r="F138" s="800"/>
      <c r="G138" s="800"/>
      <c r="H138" s="800"/>
    </row>
    <row r="139" spans="1:8">
      <c r="A139" s="800"/>
      <c r="B139" s="800"/>
      <c r="C139" s="800"/>
      <c r="D139" s="800"/>
      <c r="E139" s="800"/>
      <c r="F139" s="800"/>
      <c r="G139" s="800"/>
      <c r="H139" s="800"/>
    </row>
    <row r="140" spans="1:8">
      <c r="A140" s="800"/>
      <c r="B140" s="800"/>
      <c r="C140" s="800"/>
      <c r="D140" s="800"/>
      <c r="E140" s="800"/>
      <c r="F140" s="800"/>
      <c r="G140" s="800"/>
      <c r="H140" s="800"/>
    </row>
    <row r="141" spans="1:8">
      <c r="A141" s="800"/>
      <c r="B141" s="800"/>
      <c r="C141" s="800"/>
      <c r="D141" s="800"/>
      <c r="E141" s="800"/>
      <c r="F141" s="800"/>
      <c r="G141" s="800"/>
      <c r="H141" s="800"/>
    </row>
    <row r="142" spans="1:8">
      <c r="A142" s="800"/>
      <c r="B142" s="800"/>
      <c r="C142" s="800"/>
      <c r="D142" s="800"/>
      <c r="E142" s="800"/>
      <c r="F142" s="800"/>
      <c r="G142" s="800"/>
      <c r="H142" s="800"/>
    </row>
    <row r="143" spans="1:8">
      <c r="A143" s="800"/>
      <c r="B143" s="800"/>
      <c r="C143" s="800"/>
      <c r="D143" s="800"/>
      <c r="E143" s="800"/>
      <c r="F143" s="800"/>
      <c r="G143" s="800"/>
      <c r="H143" s="800"/>
    </row>
    <row r="144" spans="1:8">
      <c r="A144" s="800"/>
      <c r="B144" s="800"/>
      <c r="C144" s="800"/>
      <c r="D144" s="800"/>
      <c r="E144" s="800"/>
      <c r="F144" s="800"/>
      <c r="G144" s="800"/>
      <c r="H144" s="800"/>
    </row>
    <row r="145" spans="1:8">
      <c r="A145" s="800"/>
      <c r="B145" s="800"/>
      <c r="C145" s="800"/>
      <c r="D145" s="800"/>
      <c r="E145" s="800"/>
      <c r="F145" s="800"/>
      <c r="G145" s="800"/>
      <c r="H145" s="800"/>
    </row>
  </sheetData>
  <sheetProtection formatCells="0" formatColumns="0" formatRows="0" selectLockedCells="1"/>
  <customSheetViews>
    <customSheetView guid="{D5CEF8EB-A9A7-4458-BF65-8F18E34CBA87}" fitToPage="1" state="hidden">
      <selection activeCell="C9" sqref="C9"/>
      <pageMargins left="0.5" right="0.5" top="0.5" bottom="0.5" header="0.5" footer="0.5"/>
      <pageSetup fitToHeight="5" orientation="landscape" horizontalDpi="300" verticalDpi="300" r:id="rId1"/>
      <headerFooter alignWithMargins="0"/>
    </customSheetView>
    <customSheetView guid="{6588CF8C-0BB8-4786-9A46-0A2D10254132}" fitToPage="1" state="hidden">
      <selection activeCell="C9" sqref="C9"/>
      <pageMargins left="0.5" right="0.5" top="0.5" bottom="0.5" header="0.5" footer="0.5"/>
      <pageSetup fitToHeight="5" orientation="landscape" horizontalDpi="300" verticalDpi="300" r:id="rId2"/>
      <headerFooter alignWithMargins="0"/>
    </customSheetView>
    <customSheetView guid="{712CE29F-EFCA-4968-A7C5-599F87319D6A}" fitToPage="1" state="hidden">
      <selection activeCell="C9" sqref="C9"/>
      <pageMargins left="0.5" right="0.5" top="0.5" bottom="0.5" header="0.5" footer="0.5"/>
      <pageSetup fitToHeight="5" orientation="landscape" horizontalDpi="300" verticalDpi="300" r:id="rId3"/>
      <headerFooter alignWithMargins="0"/>
    </customSheetView>
    <customSheetView guid="{5BEC5FDE-32D0-42EF-8D2A-06DCBD4F05CC}" fitToPage="1" state="hidden">
      <selection activeCell="C9" sqref="C9"/>
      <pageMargins left="0.5" right="0.5" top="0.5" bottom="0.5" header="0.5" footer="0.5"/>
      <pageSetup fitToHeight="5" orientation="landscape" horizontalDpi="300" verticalDpi="300" r:id="rId4"/>
      <headerFooter alignWithMargins="0"/>
    </customSheetView>
    <customSheetView guid="{D7FF18E2-A72D-4088-BD59-9D74A43C39A8}" fitToPage="1" state="hidden">
      <selection activeCell="C9" sqref="C9"/>
      <pageMargins left="0.5" right="0.5" top="0.5" bottom="0.5" header="0.5" footer="0.5"/>
      <pageSetup fitToHeight="5" orientation="landscape" horizontalDpi="300" verticalDpi="300" r:id="rId5"/>
      <headerFooter alignWithMargins="0"/>
    </customSheetView>
  </customSheetViews>
  <mergeCells count="73">
    <mergeCell ref="D5:E5"/>
    <mergeCell ref="A1:B1"/>
    <mergeCell ref="A2:H2"/>
    <mergeCell ref="A3:H3"/>
    <mergeCell ref="A4:B4"/>
    <mergeCell ref="C4:H4"/>
    <mergeCell ref="F5:H5"/>
    <mergeCell ref="A5:A6"/>
    <mergeCell ref="B5:B6"/>
    <mergeCell ref="C5:C6"/>
    <mergeCell ref="A13:B13"/>
    <mergeCell ref="C13:H13"/>
    <mergeCell ref="A14:A15"/>
    <mergeCell ref="B14:C15"/>
    <mergeCell ref="D14:G14"/>
    <mergeCell ref="H14:H15"/>
    <mergeCell ref="B20:C20"/>
    <mergeCell ref="B21:C21"/>
    <mergeCell ref="B22:C22"/>
    <mergeCell ref="B23:C23"/>
    <mergeCell ref="B16:C16"/>
    <mergeCell ref="B17:C17"/>
    <mergeCell ref="B18:C18"/>
    <mergeCell ref="B19:C19"/>
    <mergeCell ref="B28:C28"/>
    <mergeCell ref="A31:B31"/>
    <mergeCell ref="C31:F31"/>
    <mergeCell ref="G31:H31"/>
    <mergeCell ref="B24:C24"/>
    <mergeCell ref="B25:C25"/>
    <mergeCell ref="B26:C26"/>
    <mergeCell ref="A27:H27"/>
    <mergeCell ref="B36:D36"/>
    <mergeCell ref="B37:D37"/>
    <mergeCell ref="B38:D38"/>
    <mergeCell ref="B39:D39"/>
    <mergeCell ref="A32:H32"/>
    <mergeCell ref="A34:C34"/>
    <mergeCell ref="D34:H34"/>
    <mergeCell ref="B35:D35"/>
    <mergeCell ref="B43:C43"/>
    <mergeCell ref="B44:C44"/>
    <mergeCell ref="B45:C45"/>
    <mergeCell ref="A46:D46"/>
    <mergeCell ref="B40:D40"/>
    <mergeCell ref="A41:C41"/>
    <mergeCell ref="D41:H41"/>
    <mergeCell ref="A42:C42"/>
    <mergeCell ref="B50:D50"/>
    <mergeCell ref="B51:D51"/>
    <mergeCell ref="B52:D52"/>
    <mergeCell ref="B53:D53"/>
    <mergeCell ref="E46:H46"/>
    <mergeCell ref="A47:D48"/>
    <mergeCell ref="E47:H47"/>
    <mergeCell ref="B49:D49"/>
    <mergeCell ref="E56:H56"/>
    <mergeCell ref="C57:H57"/>
    <mergeCell ref="A58:H58"/>
    <mergeCell ref="A54:C54"/>
    <mergeCell ref="D54:H54"/>
    <mergeCell ref="C55:D55"/>
    <mergeCell ref="F55:H55"/>
    <mergeCell ref="C63:G63"/>
    <mergeCell ref="A65:H102"/>
    <mergeCell ref="A104:H145"/>
    <mergeCell ref="C1:D1"/>
    <mergeCell ref="F1:G1"/>
    <mergeCell ref="A59:H59"/>
    <mergeCell ref="A60:H60"/>
    <mergeCell ref="C61:G61"/>
    <mergeCell ref="A62:B62"/>
    <mergeCell ref="A56:D56"/>
  </mergeCells>
  <phoneticPr fontId="2" type="noConversion"/>
  <pageMargins left="0.5" right="0.5" top="0.5" bottom="0.5" header="0.5" footer="0.5"/>
  <pageSetup fitToHeight="5" orientation="landscape" horizontalDpi="300" verticalDpi="300" r:id="rId6"/>
  <headerFooter alignWithMargins="0"/>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Instructions and Summary</vt:lpstr>
      <vt:lpstr>a. Personnel</vt:lpstr>
      <vt:lpstr>b. Fringe</vt:lpstr>
      <vt:lpstr>c. Travel</vt:lpstr>
      <vt:lpstr>d. Equipment</vt:lpstr>
      <vt:lpstr>e. Supplies</vt:lpstr>
      <vt:lpstr>f. Contractual</vt:lpstr>
      <vt:lpstr>g. Construction</vt:lpstr>
      <vt:lpstr>h. Other</vt:lpstr>
      <vt:lpstr>i. Indirect</vt:lpstr>
      <vt:lpstr>Cost Share</vt:lpstr>
      <vt:lpstr>SF-424A</vt:lpstr>
      <vt:lpstr>'a. Personnel'!Print_Area</vt:lpstr>
      <vt:lpstr>'b. Fringe'!Print_Area</vt:lpstr>
      <vt:lpstr>'Cost Share'!Print_Area</vt:lpstr>
      <vt:lpstr>'f. Contractual'!Print_Area</vt:lpstr>
      <vt:lpstr>'g. Construction'!Print_Area</vt:lpstr>
      <vt:lpstr>'h. Other'!Print_Area</vt:lpstr>
      <vt:lpstr>'i. Indirect'!Print_Area</vt:lpstr>
      <vt:lpstr>'a. Personnel'!Print_Titles</vt:lpstr>
      <vt:lpstr>'c. Travel'!Print_Titles</vt:lpstr>
      <vt:lpstr>'Cost Share'!Print_Titles</vt:lpstr>
      <vt:lpstr>'d. Equipment'!Print_Titles</vt:lpstr>
      <vt:lpstr>'e. Supplies'!Print_Titles</vt:lpstr>
      <vt:lpstr>'f. Contractual'!Print_Titles</vt:lpstr>
      <vt:lpstr>'g. Construction'!Print_Titles</vt:lpstr>
      <vt:lpstr>'h. Other'!Print_Titles</vt:lpstr>
    </vt:vector>
  </TitlesOfParts>
  <Company>U.S. Department of Energy - Golden Field Office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Saito</dc:creator>
  <cp:lastModifiedBy>Hamptonm</cp:lastModifiedBy>
  <cp:lastPrinted>2012-01-05T16:19:16Z</cp:lastPrinted>
  <dcterms:created xsi:type="dcterms:W3CDTF">2006-10-30T17:25:35Z</dcterms:created>
  <dcterms:modified xsi:type="dcterms:W3CDTF">2013-03-04T21:33:22Z</dcterms:modified>
</cp:coreProperties>
</file>