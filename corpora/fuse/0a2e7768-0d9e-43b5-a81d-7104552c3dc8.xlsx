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0" windowWidth="17100" windowHeight="1062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L13" i="1"/>
  <c r="M13"/>
  <c r="N13"/>
  <c r="H13"/>
  <c r="I13"/>
</calcChain>
</file>

<file path=xl/sharedStrings.xml><?xml version="1.0" encoding="utf-8"?>
<sst xmlns="http://schemas.openxmlformats.org/spreadsheetml/2006/main" count="28" uniqueCount="28">
  <si>
    <t>SIN</t>
  </si>
  <si>
    <t>Proposed Commercial Price List</t>
  </si>
  <si>
    <t>$ Change</t>
  </si>
  <si>
    <t>% Change</t>
  </si>
  <si>
    <t>Current GSA Price Including IFF</t>
  </si>
  <si>
    <t>Proposed  GSA Price Including IFF</t>
  </si>
  <si>
    <t>302-49</t>
  </si>
  <si>
    <t>123ABC</t>
  </si>
  <si>
    <t xml:space="preserve">Ice Machine </t>
  </si>
  <si>
    <t>Manufacturer</t>
  </si>
  <si>
    <t>ACME</t>
  </si>
  <si>
    <t>same</t>
  </si>
  <si>
    <t>Product Description</t>
  </si>
  <si>
    <t>Current Approved Commercial Price List</t>
  </si>
  <si>
    <t>COO</t>
  </si>
  <si>
    <t>Reason for Increase</t>
  </si>
  <si>
    <t>Manufacturer Part #</t>
  </si>
  <si>
    <t xml:space="preserve">GSA or Dealer Part # </t>
  </si>
  <si>
    <t>MFC Discount</t>
  </si>
  <si>
    <t>GSA Discount</t>
  </si>
  <si>
    <t xml:space="preserve">EPA SPREADSHEET </t>
  </si>
  <si>
    <t>Relationship</t>
  </si>
  <si>
    <t>Fair and Reasonable Pricing</t>
  </si>
  <si>
    <t xml:space="preserve">To determine fair and reasonable pricing, the GSA Contracting Officer may consider many factors, including pricing on competitor contracts, historical pricing, and currently available pricing in other venues.  </t>
  </si>
  <si>
    <t>Offers which provide Most Favored Customer pricing, but which are not highly competitive will not be found fair and reasonable and will not be accepted.  </t>
  </si>
  <si>
    <t>Manufacturer’s Part Number</t>
  </si>
  <si>
    <t>Offeror must ensure the Original Equipment Manufacturer (OEM), Manufacturer Part Number or Wholesaler Number for each product proposed reflects the actual part number assigned. </t>
  </si>
  <si>
    <t xml:space="preserve"> If the OEM, Manufacturer, or Wholesaler Part Number is submitted incorrectly or not submitted, the product offering will not be awarded.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</si>
</sst>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164" formatCode="0.0%"/>
    <numFmt numFmtId="165" formatCode="&quot;$&quot;#,##0.00"/>
  </numFmts>
  <fonts count="10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8">
    <xf numFmtId="0" fontId="0" fillId="0" borderId="0" xfId="0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6" fillId="0" borderId="0" xfId="0" applyFont="1"/>
    <xf numFmtId="4" fontId="6" fillId="0" borderId="0" xfId="0" applyNumberFormat="1" applyFont="1"/>
    <xf numFmtId="10" fontId="6" fillId="0" borderId="0" xfId="0" applyNumberFormat="1" applyFont="1"/>
    <xf numFmtId="165" fontId="6" fillId="0" borderId="0" xfId="0" applyNumberFormat="1" applyFont="1"/>
    <xf numFmtId="10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7" fillId="0" borderId="1" xfId="0" applyFont="1" applyBorder="1"/>
    <xf numFmtId="4" fontId="7" fillId="0" borderId="1" xfId="0" applyNumberFormat="1" applyFont="1" applyBorder="1"/>
    <xf numFmtId="4" fontId="7" fillId="0" borderId="1" xfId="1" applyNumberFormat="1" applyFont="1" applyBorder="1"/>
    <xf numFmtId="10" fontId="7" fillId="0" borderId="1" xfId="2" applyNumberFormat="1" applyFont="1" applyBorder="1"/>
    <xf numFmtId="165" fontId="7" fillId="0" borderId="1" xfId="2" applyNumberFormat="1" applyFont="1" applyBorder="1"/>
    <xf numFmtId="164" fontId="7" fillId="0" borderId="1" xfId="2" applyNumberFormat="1" applyFont="1" applyBorder="1"/>
    <xf numFmtId="0" fontId="6" fillId="0" borderId="1" xfId="0" applyFont="1" applyBorder="1"/>
    <xf numFmtId="4" fontId="6" fillId="0" borderId="1" xfId="0" applyNumberFormat="1" applyFont="1" applyBorder="1"/>
    <xf numFmtId="10" fontId="6" fillId="0" borderId="1" xfId="0" applyNumberFormat="1" applyFont="1" applyBorder="1"/>
    <xf numFmtId="165" fontId="6" fillId="0" borderId="1" xfId="0" applyNumberFormat="1" applyFont="1" applyBorder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4" fontId="1" fillId="2" borderId="1" xfId="1" applyNumberFormat="1" applyFont="1" applyFill="1" applyBorder="1" applyAlignment="1">
      <alignment horizontal="center" wrapText="1"/>
    </xf>
    <xf numFmtId="4" fontId="1" fillId="2" borderId="1" xfId="0" applyNumberFormat="1" applyFont="1" applyFill="1" applyBorder="1" applyAlignment="1">
      <alignment horizontal="center" wrapText="1"/>
    </xf>
    <xf numFmtId="165" fontId="1" fillId="2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9" fillId="0" borderId="0" xfId="0" applyFont="1"/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3" fillId="3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3" fillId="3" borderId="0" xfId="0" applyNumberFormat="1" applyFont="1" applyFill="1" applyAlignment="1"/>
    <xf numFmtId="0" fontId="3" fillId="0" borderId="0" xfId="0" applyFont="1" applyAlignment="1">
      <alignment vertical="center"/>
    </xf>
    <xf numFmtId="0" fontId="4" fillId="3" borderId="0" xfId="0" applyNumberFormat="1" applyFont="1" applyFill="1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zoomScaleNormal="100" workbookViewId="0">
      <selection activeCell="B5" sqref="B5"/>
    </sheetView>
  </sheetViews>
  <sheetFormatPr defaultRowHeight="15"/>
  <cols>
    <col min="1" max="1" width="7.5703125" customWidth="1"/>
    <col min="2" max="2" width="16.140625" customWidth="1"/>
    <col min="3" max="3" width="14.85546875" customWidth="1"/>
    <col min="4" max="4" width="14.28515625" customWidth="1"/>
    <col min="5" max="5" width="28.140625" customWidth="1"/>
    <col min="6" max="6" width="15.140625" style="1" customWidth="1"/>
    <col min="7" max="7" width="17.85546875" style="1" customWidth="1"/>
    <col min="8" max="8" width="10" style="1" customWidth="1"/>
    <col min="9" max="9" width="10.42578125" style="2" customWidth="1"/>
    <col min="10" max="10" width="10" style="2" customWidth="1"/>
    <col min="11" max="12" width="12" style="2" customWidth="1"/>
    <col min="13" max="13" width="17.85546875" style="3" customWidth="1"/>
    <col min="14" max="14" width="19.7109375" style="1" customWidth="1"/>
    <col min="15" max="15" width="9.28515625" customWidth="1"/>
    <col min="16" max="16" width="29.5703125" customWidth="1"/>
  </cols>
  <sheetData>
    <row r="1" spans="1:16">
      <c r="A1" s="4"/>
      <c r="B1" s="4"/>
      <c r="C1" s="4"/>
      <c r="D1" s="4"/>
      <c r="E1" s="4"/>
      <c r="F1" s="5"/>
      <c r="G1" s="5"/>
      <c r="H1" s="5"/>
      <c r="I1" s="6"/>
      <c r="J1" s="6"/>
      <c r="K1" s="6"/>
      <c r="L1" s="6"/>
      <c r="M1" s="7"/>
      <c r="N1" s="5"/>
      <c r="O1" s="4"/>
      <c r="P1" s="4"/>
    </row>
    <row r="2" spans="1:16" ht="18">
      <c r="A2" s="28" t="s">
        <v>20</v>
      </c>
      <c r="B2" s="4"/>
      <c r="C2" s="4"/>
      <c r="D2" s="4"/>
      <c r="E2" s="4"/>
      <c r="F2" s="5"/>
      <c r="G2" s="5"/>
      <c r="H2" s="5"/>
      <c r="I2" s="6"/>
      <c r="J2" s="6"/>
      <c r="K2" s="6"/>
      <c r="L2" s="6"/>
      <c r="M2" s="7"/>
      <c r="N2" s="5"/>
      <c r="O2" s="4"/>
      <c r="P2" s="4"/>
    </row>
    <row r="3" spans="1:16" ht="13.5" customHeight="1">
      <c r="A3" s="28"/>
      <c r="B3" s="4"/>
      <c r="C3" s="4"/>
      <c r="D3" s="4"/>
      <c r="E3" s="4"/>
      <c r="F3" s="5"/>
      <c r="G3" s="5"/>
      <c r="H3" s="5"/>
      <c r="I3" s="6"/>
      <c r="J3" s="6"/>
      <c r="K3" s="6"/>
      <c r="L3" s="6"/>
      <c r="M3" s="7"/>
      <c r="N3" s="5"/>
      <c r="O3" s="4"/>
      <c r="P3" s="4"/>
    </row>
    <row r="4" spans="1:16" s="31" customFormat="1">
      <c r="A4" s="29" t="s">
        <v>25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0"/>
      <c r="P4" s="30"/>
    </row>
    <row r="5" spans="1:16" s="31" customFormat="1">
      <c r="A5" s="32" t="s">
        <v>26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0"/>
      <c r="P5" s="30"/>
    </row>
    <row r="6" spans="1:16" s="34" customFormat="1">
      <c r="A6" s="35" t="s">
        <v>27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</row>
    <row r="7" spans="1:16" s="31" customFormat="1" ht="18">
      <c r="A7" s="37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</row>
    <row r="8" spans="1:16" s="31" customFormat="1">
      <c r="A8" s="29" t="s">
        <v>22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</row>
    <row r="9" spans="1:16" s="31" customFormat="1">
      <c r="A9" s="32" t="s">
        <v>23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</row>
    <row r="10" spans="1:16" s="36" customFormat="1" ht="14.25">
      <c r="A10" s="35" t="s">
        <v>24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16">
      <c r="A11" s="4"/>
      <c r="B11" s="4"/>
      <c r="C11" s="4"/>
      <c r="D11" s="4"/>
      <c r="E11" s="4"/>
      <c r="F11" s="5"/>
      <c r="G11" s="5"/>
      <c r="H11" s="5"/>
      <c r="I11" s="6"/>
      <c r="J11" s="6"/>
      <c r="K11" s="6"/>
      <c r="L11" s="6"/>
      <c r="M11" s="7"/>
      <c r="N11" s="5"/>
      <c r="O11" s="4"/>
      <c r="P11" s="4"/>
    </row>
    <row r="12" spans="1:16" s="27" customFormat="1" ht="86.25" customHeight="1">
      <c r="A12" s="20" t="s">
        <v>0</v>
      </c>
      <c r="B12" s="21" t="s">
        <v>9</v>
      </c>
      <c r="C12" s="22" t="s">
        <v>16</v>
      </c>
      <c r="D12" s="23" t="s">
        <v>17</v>
      </c>
      <c r="E12" s="9" t="s">
        <v>12</v>
      </c>
      <c r="F12" s="24" t="s">
        <v>13</v>
      </c>
      <c r="G12" s="25" t="s">
        <v>1</v>
      </c>
      <c r="H12" s="25" t="s">
        <v>2</v>
      </c>
      <c r="I12" s="8" t="s">
        <v>3</v>
      </c>
      <c r="J12" s="8" t="s">
        <v>18</v>
      </c>
      <c r="K12" s="8" t="s">
        <v>19</v>
      </c>
      <c r="L12" s="8" t="s">
        <v>21</v>
      </c>
      <c r="M12" s="26" t="s">
        <v>4</v>
      </c>
      <c r="N12" s="25" t="s">
        <v>5</v>
      </c>
      <c r="O12" s="9" t="s">
        <v>14</v>
      </c>
      <c r="P12" s="23" t="s">
        <v>15</v>
      </c>
    </row>
    <row r="13" spans="1:16">
      <c r="A13" s="10" t="s">
        <v>6</v>
      </c>
      <c r="B13" s="10" t="s">
        <v>10</v>
      </c>
      <c r="C13" s="10" t="s">
        <v>7</v>
      </c>
      <c r="D13" s="10" t="s">
        <v>11</v>
      </c>
      <c r="E13" s="10" t="s">
        <v>8</v>
      </c>
      <c r="F13" s="11">
        <v>2000</v>
      </c>
      <c r="G13" s="12">
        <v>2100</v>
      </c>
      <c r="H13" s="12">
        <f>SUM(G13-F13)</f>
        <v>100</v>
      </c>
      <c r="I13" s="13">
        <f>(G13-F13)/F13</f>
        <v>0.05</v>
      </c>
      <c r="J13" s="13">
        <v>0.05</v>
      </c>
      <c r="K13" s="13">
        <v>0.1</v>
      </c>
      <c r="L13" s="13">
        <f>K13-J13</f>
        <v>0.05</v>
      </c>
      <c r="M13" s="14">
        <f>(F13-(F13*K13))/0.9925</f>
        <v>1813.60201511335</v>
      </c>
      <c r="N13" s="12">
        <f>(G13-(G13*K13))/0.9925</f>
        <v>1904.2821158690176</v>
      </c>
      <c r="O13" s="15"/>
      <c r="P13" s="16"/>
    </row>
    <row r="14" spans="1:16">
      <c r="A14" s="16"/>
      <c r="B14" s="16"/>
      <c r="C14" s="16"/>
      <c r="D14" s="16"/>
      <c r="E14" s="16"/>
      <c r="F14" s="17"/>
      <c r="G14" s="17"/>
      <c r="H14" s="17"/>
      <c r="I14" s="18"/>
      <c r="J14" s="18"/>
      <c r="K14" s="18"/>
      <c r="L14" s="18"/>
      <c r="M14" s="19"/>
      <c r="N14" s="17"/>
      <c r="O14" s="16"/>
      <c r="P14" s="16"/>
    </row>
    <row r="15" spans="1:16">
      <c r="A15" s="16"/>
      <c r="B15" s="16"/>
      <c r="C15" s="16"/>
      <c r="D15" s="16"/>
      <c r="E15" s="16"/>
      <c r="F15" s="17"/>
      <c r="G15" s="17"/>
      <c r="H15" s="17"/>
      <c r="I15" s="18"/>
      <c r="J15" s="18"/>
      <c r="K15" s="18"/>
      <c r="L15" s="18"/>
      <c r="M15" s="19"/>
      <c r="N15" s="17"/>
      <c r="O15" s="16"/>
      <c r="P15" s="16"/>
    </row>
    <row r="16" spans="1:16">
      <c r="A16" s="16"/>
      <c r="B16" s="16"/>
      <c r="C16" s="16"/>
      <c r="D16" s="16"/>
      <c r="E16" s="16"/>
      <c r="F16" s="17"/>
      <c r="G16" s="17"/>
      <c r="H16" s="17"/>
      <c r="I16" s="18"/>
      <c r="J16" s="18"/>
      <c r="K16" s="18"/>
      <c r="L16" s="18"/>
      <c r="M16" s="19"/>
      <c r="N16" s="17"/>
      <c r="O16" s="16"/>
      <c r="P16" s="16"/>
    </row>
    <row r="17" spans="1:16">
      <c r="A17" s="16"/>
      <c r="B17" s="16"/>
      <c r="C17" s="16"/>
      <c r="D17" s="16"/>
      <c r="E17" s="16"/>
      <c r="F17" s="17"/>
      <c r="G17" s="17"/>
      <c r="H17" s="17"/>
      <c r="I17" s="18"/>
      <c r="J17" s="18"/>
      <c r="K17" s="18"/>
      <c r="L17" s="18"/>
      <c r="M17" s="19"/>
      <c r="N17" s="17"/>
      <c r="O17" s="16"/>
      <c r="P17" s="16"/>
    </row>
    <row r="18" spans="1:16">
      <c r="A18" s="16"/>
      <c r="B18" s="16"/>
      <c r="C18" s="16"/>
      <c r="D18" s="16"/>
      <c r="E18" s="16"/>
      <c r="F18" s="17"/>
      <c r="G18" s="17"/>
      <c r="H18" s="17"/>
      <c r="I18" s="18"/>
      <c r="J18" s="18"/>
      <c r="K18" s="18"/>
      <c r="L18" s="18"/>
      <c r="M18" s="19"/>
      <c r="N18" s="17"/>
      <c r="O18" s="16"/>
      <c r="P18" s="16"/>
    </row>
    <row r="19" spans="1:16">
      <c r="A19" s="16"/>
      <c r="B19" s="16"/>
      <c r="C19" s="16"/>
      <c r="D19" s="16"/>
      <c r="E19" s="16"/>
      <c r="F19" s="17"/>
      <c r="G19" s="17"/>
      <c r="H19" s="17"/>
      <c r="I19" s="18"/>
      <c r="J19" s="18"/>
      <c r="K19" s="18"/>
      <c r="L19" s="18"/>
      <c r="M19" s="19"/>
      <c r="N19" s="17"/>
      <c r="O19" s="16"/>
      <c r="P19" s="16"/>
    </row>
    <row r="20" spans="1:16">
      <c r="A20" s="16"/>
      <c r="B20" s="16"/>
      <c r="C20" s="16"/>
      <c r="D20" s="16"/>
      <c r="E20" s="16"/>
      <c r="F20" s="17"/>
      <c r="G20" s="17"/>
      <c r="H20" s="17"/>
      <c r="I20" s="18"/>
      <c r="J20" s="18"/>
      <c r="K20" s="18"/>
      <c r="L20" s="18"/>
      <c r="M20" s="19"/>
      <c r="N20" s="17"/>
      <c r="O20" s="16"/>
      <c r="P20" s="16"/>
    </row>
    <row r="21" spans="1:16">
      <c r="A21" s="16"/>
      <c r="B21" s="16"/>
      <c r="C21" s="16"/>
      <c r="D21" s="16"/>
      <c r="E21" s="16"/>
      <c r="F21" s="17"/>
      <c r="G21" s="17"/>
      <c r="H21" s="17"/>
      <c r="I21" s="18"/>
      <c r="J21" s="18"/>
      <c r="K21" s="18"/>
      <c r="L21" s="18"/>
      <c r="M21" s="19"/>
      <c r="N21" s="17"/>
      <c r="O21" s="16"/>
      <c r="P21" s="16"/>
    </row>
    <row r="22" spans="1:16">
      <c r="A22" s="16"/>
      <c r="B22" s="16"/>
      <c r="C22" s="16"/>
      <c r="D22" s="16"/>
      <c r="E22" s="16"/>
      <c r="F22" s="17"/>
      <c r="G22" s="17"/>
      <c r="H22" s="17"/>
      <c r="I22" s="18"/>
      <c r="J22" s="18"/>
      <c r="K22" s="18"/>
      <c r="L22" s="18"/>
      <c r="M22" s="19"/>
      <c r="N22" s="17"/>
      <c r="O22" s="16"/>
      <c r="P22" s="16"/>
    </row>
    <row r="23" spans="1:16">
      <c r="A23" s="16"/>
      <c r="B23" s="16"/>
      <c r="C23" s="16"/>
      <c r="D23" s="16"/>
      <c r="E23" s="16"/>
      <c r="F23" s="17"/>
      <c r="G23" s="17"/>
      <c r="H23" s="17"/>
      <c r="I23" s="18"/>
      <c r="J23" s="18"/>
      <c r="K23" s="18"/>
      <c r="L23" s="18"/>
      <c r="M23" s="19"/>
      <c r="N23" s="17"/>
      <c r="O23" s="16"/>
      <c r="P23" s="16"/>
    </row>
    <row r="24" spans="1:16">
      <c r="A24" s="16"/>
      <c r="B24" s="16"/>
      <c r="C24" s="16"/>
      <c r="D24" s="16"/>
      <c r="E24" s="16"/>
      <c r="F24" s="17"/>
      <c r="G24" s="17"/>
      <c r="H24" s="17"/>
      <c r="I24" s="18"/>
      <c r="J24" s="18"/>
      <c r="K24" s="18"/>
      <c r="L24" s="18"/>
      <c r="M24" s="19"/>
      <c r="N24" s="17"/>
      <c r="O24" s="16"/>
      <c r="P24" s="16"/>
    </row>
    <row r="25" spans="1:16">
      <c r="A25" s="16"/>
      <c r="B25" s="16"/>
      <c r="C25" s="16"/>
      <c r="D25" s="16"/>
      <c r="E25" s="16"/>
      <c r="F25" s="17"/>
      <c r="G25" s="17"/>
      <c r="H25" s="17"/>
      <c r="I25" s="18"/>
      <c r="J25" s="18"/>
      <c r="K25" s="18"/>
      <c r="L25" s="18"/>
      <c r="M25" s="19"/>
      <c r="N25" s="17"/>
      <c r="O25" s="16"/>
      <c r="P25" s="16"/>
    </row>
  </sheetData>
  <pageMargins left="0.7" right="0.7" top="0.75" bottom="0.75" header="0.3" footer="0.3"/>
  <pageSetup scale="3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StephenPNieswiadomy</dc:creator>
  <cp:lastModifiedBy>CherylMRoney</cp:lastModifiedBy>
  <dcterms:created xsi:type="dcterms:W3CDTF">2011-11-02T13:22:43Z</dcterms:created>
  <dcterms:modified xsi:type="dcterms:W3CDTF">2014-04-22T19:57:12Z</dcterms:modified>
</cp:coreProperties>
</file>