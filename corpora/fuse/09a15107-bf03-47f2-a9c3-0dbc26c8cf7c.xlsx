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2915" windowHeight="4425"/>
  </bookViews>
  <sheets>
    <sheet name="Average Cost of Setting" sheetId="5" r:id="rId1"/>
    <sheet name="High Cost Student Services" sheetId="2" r:id="rId2"/>
    <sheet name="Definitions" sheetId="4" r:id="rId3"/>
  </sheets>
  <calcPr calcId="145621"/>
</workbook>
</file>

<file path=xl/calcChain.xml><?xml version="1.0" encoding="utf-8"?>
<calcChain xmlns="http://schemas.openxmlformats.org/spreadsheetml/2006/main">
  <c r="A29" i="5" l="1"/>
  <c r="A23" i="5"/>
  <c r="A17" i="5"/>
  <c r="A11" i="5"/>
  <c r="A5" i="5"/>
  <c r="AH3" i="2"/>
  <c r="AG4" i="2"/>
  <c r="AG3" i="2"/>
  <c r="AD5" i="2" l="1"/>
  <c r="AH5" i="2" s="1"/>
  <c r="AD6" i="2"/>
  <c r="AH6" i="2" s="1"/>
  <c r="AD7" i="2"/>
  <c r="AH7" i="2" s="1"/>
  <c r="AD8" i="2"/>
  <c r="AH8" i="2" s="1"/>
  <c r="AD9" i="2"/>
  <c r="AH9" i="2" s="1"/>
  <c r="AD10" i="2"/>
  <c r="AH10" i="2" s="1"/>
  <c r="AD11" i="2"/>
  <c r="AH11" i="2" s="1"/>
  <c r="AD12" i="2"/>
  <c r="AH12" i="2" s="1"/>
  <c r="AD13" i="2"/>
  <c r="AH13" i="2" s="1"/>
  <c r="AD14" i="2"/>
  <c r="AH14" i="2" s="1"/>
  <c r="AD15" i="2"/>
  <c r="AH15" i="2" s="1"/>
  <c r="AD16" i="2"/>
  <c r="AH16" i="2" s="1"/>
  <c r="AD17" i="2"/>
  <c r="AH17" i="2" s="1"/>
  <c r="AD18" i="2"/>
  <c r="AH18" i="2" s="1"/>
  <c r="AD19" i="2"/>
  <c r="AH19" i="2" s="1"/>
  <c r="AD20" i="2"/>
  <c r="AH20" i="2" s="1"/>
  <c r="AD21" i="2"/>
  <c r="AH21" i="2" s="1"/>
  <c r="AD22" i="2"/>
  <c r="AH22" i="2" s="1"/>
  <c r="AD23" i="2"/>
  <c r="AH23" i="2" s="1"/>
  <c r="AD24" i="2"/>
  <c r="AH24" i="2" s="1"/>
  <c r="AD25" i="2"/>
  <c r="AH25" i="2" s="1"/>
  <c r="AD26" i="2"/>
  <c r="AH26" i="2" s="1"/>
  <c r="AD27" i="2"/>
  <c r="AH27" i="2" s="1"/>
  <c r="AD28" i="2"/>
  <c r="AH28" i="2" s="1"/>
  <c r="AD29" i="2"/>
  <c r="AH29" i="2" s="1"/>
  <c r="AD30" i="2"/>
  <c r="AH30" i="2" s="1"/>
  <c r="AD31" i="2"/>
  <c r="AH31" i="2" s="1"/>
  <c r="AD32" i="2"/>
  <c r="AH32" i="2" s="1"/>
  <c r="AD33" i="2"/>
  <c r="AH33" i="2" s="1"/>
  <c r="AD34" i="2"/>
  <c r="AH34" i="2" s="1"/>
  <c r="AD35" i="2"/>
  <c r="AH35" i="2" s="1"/>
  <c r="AD36" i="2"/>
  <c r="AH36" i="2" s="1"/>
  <c r="AD4" i="2" l="1"/>
  <c r="AH4" i="2" s="1"/>
  <c r="AD3" i="2"/>
</calcChain>
</file>

<file path=xl/sharedStrings.xml><?xml version="1.0" encoding="utf-8"?>
<sst xmlns="http://schemas.openxmlformats.org/spreadsheetml/2006/main" count="78" uniqueCount="67">
  <si>
    <t>General Education</t>
  </si>
  <si>
    <t>Special School</t>
  </si>
  <si>
    <t>Student SSID</t>
  </si>
  <si>
    <t>Instructional Setting</t>
  </si>
  <si>
    <t>High Cost Services</t>
  </si>
  <si>
    <t>Medicaid</t>
  </si>
  <si>
    <t>Student Information</t>
  </si>
  <si>
    <t>Adaptive PE</t>
  </si>
  <si>
    <t>Hearing Specialist</t>
  </si>
  <si>
    <t>Vision Specialist</t>
  </si>
  <si>
    <t>Sign Language Interpreting</t>
  </si>
  <si>
    <t>Signing Para</t>
  </si>
  <si>
    <t>Transportation Para</t>
  </si>
  <si>
    <t>Occupational Therapy</t>
  </si>
  <si>
    <t>Physical Therapy</t>
  </si>
  <si>
    <t>OT Para</t>
  </si>
  <si>
    <t>PT Para</t>
  </si>
  <si>
    <t>Speech Language Pathologist</t>
  </si>
  <si>
    <t>Nurse</t>
  </si>
  <si>
    <t>High Cost Equipment or Materials</t>
  </si>
  <si>
    <t>Sensory Equipment</t>
  </si>
  <si>
    <t>Therapy Equipment</t>
  </si>
  <si>
    <t>Assistive, Adaptive, or Augmentative Technology</t>
  </si>
  <si>
    <t>Behavior Specialist</t>
  </si>
  <si>
    <t>Psychology or Mental Health</t>
  </si>
  <si>
    <t>Specialized Transportation</t>
  </si>
  <si>
    <t>Other Expenditures</t>
  </si>
  <si>
    <t>Private Insurance</t>
  </si>
  <si>
    <t>Transition Services</t>
  </si>
  <si>
    <t>Other Specialized Instructional Materials</t>
  </si>
  <si>
    <t>Other Language Interpreter or Translator</t>
  </si>
  <si>
    <t>Other (include comment)</t>
  </si>
  <si>
    <t>LEA Average Cost of Setting</t>
  </si>
  <si>
    <t>Extraordinary Costs</t>
  </si>
  <si>
    <t>Subtotal</t>
  </si>
  <si>
    <t>Preschool</t>
  </si>
  <si>
    <t>Resource</t>
  </si>
  <si>
    <t>Special Class</t>
  </si>
  <si>
    <t>Services provided in the special education classroom by pull-out from the general education classroom.</t>
  </si>
  <si>
    <t>Services provided in the special education classroom for all or most of the day.</t>
  </si>
  <si>
    <t>Services provided in a separate school where all students have disabilities.</t>
  </si>
  <si>
    <t>Services provided in the general education classroom by special education personnel.</t>
  </si>
  <si>
    <t xml:space="preserve">Services provided in an early childhood setting. </t>
  </si>
  <si>
    <t>Speech Language Technician</t>
  </si>
  <si>
    <t>Grade 2013-14</t>
  </si>
  <si>
    <r>
      <t xml:space="preserve">Paraprofessional 
</t>
    </r>
    <r>
      <rPr>
        <sz val="8"/>
        <color theme="1"/>
        <rFont val="Arial"/>
        <family val="2"/>
      </rPr>
      <t>(in addition to LEA ratios)</t>
    </r>
  </si>
  <si>
    <r>
      <t xml:space="preserve">Private School Tuition 
</t>
    </r>
    <r>
      <rPr>
        <sz val="8"/>
        <color theme="1"/>
        <rFont val="Arial"/>
        <family val="2"/>
      </rPr>
      <t>(only if required for FAPE)</t>
    </r>
  </si>
  <si>
    <t>Ineligible Amounts</t>
  </si>
  <si>
    <t>Threshold Expenses ($14,762 PreK or $19,683 K-12)</t>
  </si>
  <si>
    <t>Extraordinary Costs Minus Ineligible Amounts</t>
  </si>
  <si>
    <t>Eligible Expenses</t>
  </si>
  <si>
    <t>Number of students with disabilities enrolled (as of Dec 1)</t>
  </si>
  <si>
    <t>Average Cost Per Preschool Student</t>
  </si>
  <si>
    <t>Average Cost Per General Education Student</t>
  </si>
  <si>
    <t>Total salary and benefit costs of special education teachers providing service in the general education classroom</t>
  </si>
  <si>
    <t>Total salary and benefit costs of special education paraprofessionals providing service in the general education classroom</t>
  </si>
  <si>
    <t>Total salary and benefit costs of special education teachers providing service in preschool</t>
  </si>
  <si>
    <t>Total salary and benefit costs of special education paraprofessionals providing service in preschool</t>
  </si>
  <si>
    <t>Total salary and benefit costs of special education teachers providing service using a pull-out (resource) model</t>
  </si>
  <si>
    <t>Average Cost Per Resource Student</t>
  </si>
  <si>
    <t>Total salary and benefit costs of special education paraprofessionals providing service using a pull-out (resource) model</t>
  </si>
  <si>
    <t>Total salary and benefit costs of special education teachers providing service in a special class</t>
  </si>
  <si>
    <t>Total salary and benefit costs of special education paraprofessionals providing service in a special class</t>
  </si>
  <si>
    <t>Average Cost Per Special Class Student</t>
  </si>
  <si>
    <t>Total salary and benefit costs of special education teachers providing service in a special school</t>
  </si>
  <si>
    <t>Total salary and benefit costs of special education paraprofessionals providing service in a special school</t>
  </si>
  <si>
    <t>Average Cost Per Special School 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</si>
</sst>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8" x14ac:knownFonts="1">
    <font>
      <sz val="11"/>
      <color theme="1"/>
      <name val="Cambria"/>
      <family val="2"/>
    </font>
    <font>
      <sz val="11"/>
      <color theme="1"/>
      <name val="Cambria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9">
    <xf numFmtId="0" fontId="0" fillId="0" borderId="0" xfId="0"/>
    <xf numFmtId="0" fontId="2" fillId="4" borderId="1" xfId="0" applyFont="1" applyFill="1" applyBorder="1" applyAlignment="1">
      <alignment horizontal="center"/>
    </xf>
    <xf numFmtId="0" fontId="2" fillId="0" borderId="0" xfId="0" applyFont="1"/>
    <xf numFmtId="0" fontId="3" fillId="4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4" borderId="1" xfId="0" applyFont="1" applyFill="1" applyBorder="1" applyAlignment="1">
      <alignment wrapText="1"/>
    </xf>
    <xf numFmtId="164" fontId="3" fillId="4" borderId="1" xfId="1" applyNumberFormat="1" applyFont="1" applyFill="1" applyBorder="1" applyAlignment="1">
      <alignment wrapText="1"/>
    </xf>
    <xf numFmtId="164" fontId="3" fillId="3" borderId="1" xfId="1" applyNumberFormat="1" applyFont="1" applyFill="1" applyBorder="1" applyAlignment="1">
      <alignment horizontal="left"/>
    </xf>
    <xf numFmtId="164" fontId="3" fillId="2" borderId="1" xfId="1" applyNumberFormat="1" applyFont="1" applyFill="1" applyBorder="1" applyAlignment="1">
      <alignment horizontal="left"/>
    </xf>
    <xf numFmtId="164" fontId="3" fillId="6" borderId="1" xfId="1" applyNumberFormat="1" applyFont="1" applyFill="1" applyBorder="1" applyAlignment="1">
      <alignment horizontal="left"/>
    </xf>
    <xf numFmtId="164" fontId="3" fillId="4" borderId="1" xfId="1" applyNumberFormat="1" applyFont="1" applyFill="1" applyBorder="1" applyAlignment="1">
      <alignment horizontal="left"/>
    </xf>
    <xf numFmtId="164" fontId="3" fillId="5" borderId="1" xfId="1" applyNumberFormat="1" applyFont="1" applyFill="1" applyBorder="1" applyAlignment="1">
      <alignment horizontal="left"/>
    </xf>
    <xf numFmtId="0" fontId="3" fillId="0" borderId="0" xfId="0" applyFont="1"/>
    <xf numFmtId="0" fontId="3" fillId="4" borderId="1" xfId="0" applyFont="1" applyFill="1" applyBorder="1"/>
    <xf numFmtId="0" fontId="3" fillId="3" borderId="0" xfId="0" applyFont="1" applyFill="1"/>
    <xf numFmtId="164" fontId="3" fillId="5" borderId="1" xfId="0" applyNumberFormat="1" applyFont="1" applyFill="1" applyBorder="1"/>
    <xf numFmtId="0" fontId="5" fillId="6" borderId="0" xfId="0" applyFont="1" applyFill="1"/>
    <xf numFmtId="0" fontId="6" fillId="6" borderId="0" xfId="0" applyFont="1" applyFill="1"/>
    <xf numFmtId="0" fontId="6" fillId="0" borderId="0" xfId="0" applyFont="1" applyFill="1"/>
    <xf numFmtId="0" fontId="6" fillId="0" borderId="0" xfId="0" applyFont="1"/>
    <xf numFmtId="0" fontId="6" fillId="6" borderId="5" xfId="0" applyFont="1" applyFill="1" applyBorder="1"/>
    <xf numFmtId="0" fontId="6" fillId="6" borderId="4" xfId="0" applyFont="1" applyFill="1" applyBorder="1"/>
    <xf numFmtId="0" fontId="7" fillId="6" borderId="0" xfId="0" applyFont="1" applyFill="1"/>
    <xf numFmtId="0" fontId="5" fillId="7" borderId="0" xfId="0" applyFont="1" applyFill="1"/>
    <xf numFmtId="0" fontId="6" fillId="7" borderId="0" xfId="0" applyFont="1" applyFill="1"/>
    <xf numFmtId="0" fontId="6" fillId="7" borderId="5" xfId="0" applyFont="1" applyFill="1" applyBorder="1"/>
    <xf numFmtId="0" fontId="6" fillId="7" borderId="4" xfId="0" applyFont="1" applyFill="1" applyBorder="1"/>
    <xf numFmtId="0" fontId="7" fillId="7" borderId="0" xfId="0" applyFont="1" applyFill="1"/>
    <xf numFmtId="0" fontId="5" fillId="2" borderId="0" xfId="0" applyFont="1" applyFill="1"/>
    <xf numFmtId="0" fontId="6" fillId="2" borderId="0" xfId="0" applyFont="1" applyFill="1"/>
    <xf numFmtId="0" fontId="6" fillId="2" borderId="5" xfId="0" applyFont="1" applyFill="1" applyBorder="1"/>
    <xf numFmtId="0" fontId="6" fillId="2" borderId="4" xfId="0" applyFont="1" applyFill="1" applyBorder="1"/>
    <xf numFmtId="0" fontId="7" fillId="2" borderId="0" xfId="0" applyFont="1" applyFill="1"/>
    <xf numFmtId="0" fontId="5" fillId="3" borderId="0" xfId="0" applyFont="1" applyFill="1"/>
    <xf numFmtId="0" fontId="6" fillId="3" borderId="0" xfId="0" applyFont="1" applyFill="1"/>
    <xf numFmtId="0" fontId="6" fillId="3" borderId="5" xfId="0" applyFont="1" applyFill="1" applyBorder="1"/>
    <xf numFmtId="0" fontId="6" fillId="3" borderId="4" xfId="0" applyFont="1" applyFill="1" applyBorder="1"/>
    <xf numFmtId="0" fontId="7" fillId="3" borderId="0" xfId="0" applyFont="1" applyFill="1"/>
    <xf numFmtId="0" fontId="5" fillId="4" borderId="0" xfId="0" applyFont="1" applyFill="1"/>
    <xf numFmtId="0" fontId="6" fillId="4" borderId="0" xfId="0" applyFont="1" applyFill="1"/>
    <xf numFmtId="0" fontId="6" fillId="4" borderId="5" xfId="0" applyFont="1" applyFill="1" applyBorder="1"/>
    <xf numFmtId="0" fontId="6" fillId="4" borderId="4" xfId="0" applyFont="1" applyFill="1" applyBorder="1"/>
    <xf numFmtId="0" fontId="7" fillId="4" borderId="0" xfId="0" applyFont="1" applyFill="1"/>
    <xf numFmtId="164" fontId="7" fillId="6" borderId="0" xfId="1" applyNumberFormat="1" applyFont="1" applyFill="1"/>
    <xf numFmtId="164" fontId="7" fillId="7" borderId="0" xfId="1" applyNumberFormat="1" applyFont="1" applyFill="1"/>
    <xf numFmtId="164" fontId="7" fillId="2" borderId="0" xfId="1" applyNumberFormat="1" applyFont="1" applyFill="1"/>
    <xf numFmtId="164" fontId="7" fillId="3" borderId="0" xfId="1" applyNumberFormat="1" applyFont="1" applyFill="1"/>
    <xf numFmtId="164" fontId="7" fillId="4" borderId="0" xfId="1" applyNumberFormat="1" applyFont="1" applyFill="1"/>
    <xf numFmtId="0" fontId="2" fillId="2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abSelected="1" workbookViewId="0"/>
  </sheetViews>
  <sheetFormatPr defaultRowHeight="14.25" x14ac:dyDescent="0.2"/>
  <cols>
    <col min="1" max="1" width="10.125" style="23" bestFit="1" customWidth="1"/>
    <col min="2" max="2" width="100" style="23" customWidth="1"/>
    <col min="3" max="16384" width="9" style="23"/>
  </cols>
  <sheetData>
    <row r="1" spans="1:12" ht="15" x14ac:dyDescent="0.25">
      <c r="A1" s="20" t="s">
        <v>35</v>
      </c>
      <c r="B1" s="21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x14ac:dyDescent="0.2">
      <c r="A2" s="24">
        <v>7</v>
      </c>
      <c r="B2" s="21" t="s">
        <v>51</v>
      </c>
      <c r="C2" s="22"/>
      <c r="D2" s="22"/>
      <c r="E2" s="22"/>
      <c r="F2" s="22"/>
      <c r="G2" s="22"/>
      <c r="H2" s="22"/>
      <c r="I2" s="22"/>
      <c r="J2" s="22"/>
      <c r="K2" s="22"/>
      <c r="L2" s="22"/>
    </row>
    <row r="3" spans="1:12" x14ac:dyDescent="0.2">
      <c r="A3" s="25">
        <v>15000</v>
      </c>
      <c r="B3" s="21" t="s">
        <v>56</v>
      </c>
      <c r="C3" s="22"/>
      <c r="D3" s="22"/>
      <c r="E3" s="22"/>
      <c r="F3" s="22"/>
      <c r="G3" s="22"/>
      <c r="H3" s="22"/>
      <c r="I3" s="22"/>
      <c r="J3" s="22"/>
      <c r="K3" s="22"/>
      <c r="L3" s="22"/>
    </row>
    <row r="4" spans="1:12" x14ac:dyDescent="0.2">
      <c r="A4" s="25">
        <v>3000</v>
      </c>
      <c r="B4" s="21" t="s">
        <v>57</v>
      </c>
      <c r="C4" s="22"/>
      <c r="D4" s="22"/>
      <c r="E4" s="22"/>
      <c r="F4" s="22"/>
      <c r="G4" s="22"/>
      <c r="H4" s="22"/>
      <c r="I4" s="22"/>
      <c r="J4" s="22"/>
      <c r="K4" s="22"/>
      <c r="L4" s="22"/>
    </row>
    <row r="5" spans="1:12" ht="15" x14ac:dyDescent="0.25">
      <c r="A5" s="47">
        <f>SUM(A3:A4)/A2</f>
        <v>2571.4285714285716</v>
      </c>
      <c r="B5" s="26" t="s">
        <v>52</v>
      </c>
      <c r="C5" s="22"/>
      <c r="D5" s="22"/>
      <c r="E5" s="22"/>
      <c r="F5" s="22"/>
      <c r="G5" s="22"/>
      <c r="H5" s="22"/>
      <c r="I5" s="22"/>
      <c r="J5" s="22"/>
      <c r="K5" s="22"/>
      <c r="L5" s="22"/>
    </row>
    <row r="6" spans="1:12" x14ac:dyDescent="0.2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</row>
    <row r="7" spans="1:12" ht="15" x14ac:dyDescent="0.25">
      <c r="A7" s="27" t="s">
        <v>0</v>
      </c>
      <c r="B7" s="28"/>
      <c r="C7" s="22"/>
      <c r="D7" s="22"/>
      <c r="E7" s="22"/>
      <c r="F7" s="22"/>
      <c r="G7" s="22"/>
      <c r="H7" s="22"/>
      <c r="I7" s="22"/>
      <c r="J7" s="22"/>
      <c r="K7" s="22"/>
      <c r="L7" s="22"/>
    </row>
    <row r="8" spans="1:12" x14ac:dyDescent="0.2">
      <c r="A8" s="29"/>
      <c r="B8" s="28" t="s">
        <v>51</v>
      </c>
      <c r="C8" s="22"/>
      <c r="D8" s="22"/>
      <c r="E8" s="22"/>
      <c r="F8" s="22"/>
      <c r="G8" s="22"/>
      <c r="H8" s="22"/>
      <c r="I8" s="22"/>
      <c r="J8" s="22"/>
      <c r="K8" s="22"/>
      <c r="L8" s="22"/>
    </row>
    <row r="9" spans="1:12" x14ac:dyDescent="0.2">
      <c r="A9" s="30"/>
      <c r="B9" s="28" t="s">
        <v>54</v>
      </c>
      <c r="C9" s="22"/>
      <c r="D9" s="22"/>
      <c r="E9" s="22"/>
      <c r="F9" s="22"/>
      <c r="G9" s="22"/>
      <c r="H9" s="22"/>
      <c r="I9" s="22"/>
      <c r="J9" s="22"/>
      <c r="K9" s="22"/>
      <c r="L9" s="22"/>
    </row>
    <row r="10" spans="1:12" x14ac:dyDescent="0.2">
      <c r="A10" s="30"/>
      <c r="B10" s="28" t="s">
        <v>55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</row>
    <row r="11" spans="1:12" ht="15" x14ac:dyDescent="0.25">
      <c r="A11" s="48" t="e">
        <f>SUM(A9:A10)/A8</f>
        <v>#DIV/0!</v>
      </c>
      <c r="B11" s="31" t="s">
        <v>53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</row>
    <row r="12" spans="1:12" x14ac:dyDescent="0.2">
      <c r="C12" s="22"/>
      <c r="D12" s="22"/>
      <c r="E12" s="22"/>
      <c r="F12" s="22"/>
      <c r="G12" s="22"/>
      <c r="H12" s="22"/>
      <c r="I12" s="22"/>
      <c r="J12" s="22"/>
      <c r="K12" s="22"/>
      <c r="L12" s="22"/>
    </row>
    <row r="13" spans="1:12" ht="15" x14ac:dyDescent="0.25">
      <c r="A13" s="32" t="s">
        <v>36</v>
      </c>
      <c r="B13" s="33"/>
      <c r="C13" s="22"/>
      <c r="D13" s="22"/>
      <c r="E13" s="22"/>
      <c r="F13" s="22"/>
      <c r="G13" s="22"/>
      <c r="H13" s="22"/>
      <c r="I13" s="22"/>
      <c r="J13" s="22"/>
      <c r="K13" s="22"/>
      <c r="L13" s="22"/>
    </row>
    <row r="14" spans="1:12" x14ac:dyDescent="0.2">
      <c r="A14" s="34"/>
      <c r="B14" s="33" t="s">
        <v>51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</row>
    <row r="15" spans="1:12" x14ac:dyDescent="0.2">
      <c r="A15" s="35"/>
      <c r="B15" s="33" t="s">
        <v>58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spans="1:12" x14ac:dyDescent="0.2">
      <c r="A16" s="35"/>
      <c r="B16" s="33" t="s">
        <v>60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</row>
    <row r="17" spans="1:12" ht="15" x14ac:dyDescent="0.25">
      <c r="A17" s="49" t="e">
        <f>SUM(A15:A16)/A14</f>
        <v>#DIV/0!</v>
      </c>
      <c r="B17" s="36" t="s">
        <v>59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</row>
    <row r="18" spans="1:12" x14ac:dyDescent="0.2"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spans="1:12" ht="15" x14ac:dyDescent="0.25">
      <c r="A19" s="37" t="s">
        <v>37</v>
      </c>
      <c r="B19" s="38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spans="1:12" x14ac:dyDescent="0.2">
      <c r="A20" s="39"/>
      <c r="B20" s="38" t="s">
        <v>51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</row>
    <row r="21" spans="1:12" x14ac:dyDescent="0.2">
      <c r="A21" s="40"/>
      <c r="B21" s="38" t="s">
        <v>61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</row>
    <row r="22" spans="1:12" x14ac:dyDescent="0.2">
      <c r="A22" s="40"/>
      <c r="B22" s="38" t="s">
        <v>62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</row>
    <row r="23" spans="1:12" ht="15" x14ac:dyDescent="0.25">
      <c r="A23" s="50" t="e">
        <f>SUM(A21:A22)/A20</f>
        <v>#DIV/0!</v>
      </c>
      <c r="B23" s="41" t="s">
        <v>63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</row>
    <row r="24" spans="1:12" x14ac:dyDescent="0.2">
      <c r="C24" s="22"/>
      <c r="D24" s="22"/>
      <c r="E24" s="22"/>
      <c r="F24" s="22"/>
      <c r="G24" s="22"/>
      <c r="H24" s="22"/>
      <c r="I24" s="22"/>
      <c r="J24" s="22"/>
      <c r="K24" s="22"/>
      <c r="L24" s="22"/>
    </row>
    <row r="25" spans="1:12" ht="15" x14ac:dyDescent="0.25">
      <c r="A25" s="42" t="s">
        <v>1</v>
      </c>
      <c r="B25" s="43"/>
      <c r="C25" s="22"/>
      <c r="D25" s="22"/>
      <c r="E25" s="22"/>
      <c r="F25" s="22"/>
      <c r="G25" s="22"/>
      <c r="H25" s="22"/>
      <c r="I25" s="22"/>
      <c r="J25" s="22"/>
      <c r="K25" s="22"/>
      <c r="L25" s="22"/>
    </row>
    <row r="26" spans="1:12" x14ac:dyDescent="0.2">
      <c r="A26" s="44"/>
      <c r="B26" s="43" t="s">
        <v>51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</row>
    <row r="27" spans="1:12" x14ac:dyDescent="0.2">
      <c r="A27" s="45"/>
      <c r="B27" s="43" t="s">
        <v>64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</row>
    <row r="28" spans="1:12" x14ac:dyDescent="0.2">
      <c r="A28" s="45"/>
      <c r="B28" s="43" t="s">
        <v>65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</row>
    <row r="29" spans="1:12" ht="15" x14ac:dyDescent="0.25">
      <c r="A29" s="51" t="e">
        <f>SUM(A27:A28)/A26</f>
        <v>#DIV/0!</v>
      </c>
      <c r="B29" s="46" t="s">
        <v>66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6"/>
  <sheetViews>
    <sheetView zoomScale="150" zoomScaleNormal="150" workbookViewId="0">
      <selection activeCell="B26" sqref="B26"/>
    </sheetView>
  </sheetViews>
  <sheetFormatPr defaultRowHeight="12.75" x14ac:dyDescent="0.2"/>
  <cols>
    <col min="1" max="1" width="14" style="16" customWidth="1"/>
    <col min="2" max="2" width="7.625" style="16" customWidth="1"/>
    <col min="3" max="4" width="12.125" style="16" customWidth="1"/>
    <col min="5" max="6" width="15.625" style="16" customWidth="1"/>
    <col min="7" max="7" width="16.625" style="16" customWidth="1"/>
    <col min="8" max="34" width="15.625" style="16" customWidth="1"/>
    <col min="35" max="16384" width="9" style="16"/>
  </cols>
  <sheetData>
    <row r="1" spans="1:34" s="2" customFormat="1" x14ac:dyDescent="0.2">
      <c r="A1" s="54" t="s">
        <v>6</v>
      </c>
      <c r="B1" s="54"/>
      <c r="C1" s="54"/>
      <c r="D1" s="1"/>
      <c r="E1" s="55" t="s">
        <v>4</v>
      </c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2" t="s">
        <v>19</v>
      </c>
      <c r="X1" s="52"/>
      <c r="Y1" s="52"/>
      <c r="Z1" s="52"/>
      <c r="AA1" s="53" t="s">
        <v>26</v>
      </c>
      <c r="AB1" s="53"/>
      <c r="AC1" s="53"/>
      <c r="AD1" s="1" t="s">
        <v>34</v>
      </c>
      <c r="AE1" s="56" t="s">
        <v>47</v>
      </c>
      <c r="AF1" s="57"/>
      <c r="AG1" s="58"/>
      <c r="AH1" s="1" t="s">
        <v>50</v>
      </c>
    </row>
    <row r="2" spans="1:34" s="8" customFormat="1" ht="51" x14ac:dyDescent="0.2">
      <c r="A2" s="3" t="s">
        <v>2</v>
      </c>
      <c r="B2" s="3" t="s">
        <v>44</v>
      </c>
      <c r="C2" s="3" t="s">
        <v>3</v>
      </c>
      <c r="D2" s="3" t="s">
        <v>32</v>
      </c>
      <c r="E2" s="4" t="s">
        <v>17</v>
      </c>
      <c r="F2" s="4" t="s">
        <v>43</v>
      </c>
      <c r="G2" s="4" t="s">
        <v>45</v>
      </c>
      <c r="H2" s="4" t="s">
        <v>23</v>
      </c>
      <c r="I2" s="4" t="s">
        <v>24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30</v>
      </c>
      <c r="O2" s="4" t="s">
        <v>12</v>
      </c>
      <c r="P2" s="4" t="s">
        <v>28</v>
      </c>
      <c r="Q2" s="4" t="s">
        <v>7</v>
      </c>
      <c r="R2" s="4" t="s">
        <v>13</v>
      </c>
      <c r="S2" s="4" t="s">
        <v>15</v>
      </c>
      <c r="T2" s="4" t="s">
        <v>14</v>
      </c>
      <c r="U2" s="4" t="s">
        <v>16</v>
      </c>
      <c r="V2" s="4" t="s">
        <v>18</v>
      </c>
      <c r="W2" s="5" t="s">
        <v>20</v>
      </c>
      <c r="X2" s="5" t="s">
        <v>21</v>
      </c>
      <c r="Y2" s="5" t="s">
        <v>29</v>
      </c>
      <c r="Z2" s="5" t="s">
        <v>22</v>
      </c>
      <c r="AA2" s="6" t="s">
        <v>46</v>
      </c>
      <c r="AB2" s="6" t="s">
        <v>25</v>
      </c>
      <c r="AC2" s="6" t="s">
        <v>31</v>
      </c>
      <c r="AD2" s="3" t="s">
        <v>33</v>
      </c>
      <c r="AE2" s="7" t="s">
        <v>5</v>
      </c>
      <c r="AF2" s="7" t="s">
        <v>27</v>
      </c>
      <c r="AG2" s="7" t="s">
        <v>48</v>
      </c>
      <c r="AH2" s="3" t="s">
        <v>49</v>
      </c>
    </row>
    <row r="3" spans="1:34" ht="25.5" x14ac:dyDescent="0.2">
      <c r="A3" s="9">
        <v>123456789</v>
      </c>
      <c r="B3" s="9">
        <v>4</v>
      </c>
      <c r="C3" s="9" t="s">
        <v>0</v>
      </c>
      <c r="D3" s="10">
        <v>3000</v>
      </c>
      <c r="E3" s="11">
        <v>1185</v>
      </c>
      <c r="F3" s="11"/>
      <c r="G3" s="11"/>
      <c r="H3" s="11">
        <v>5000</v>
      </c>
      <c r="I3" s="11"/>
      <c r="J3" s="11">
        <v>2687</v>
      </c>
      <c r="K3" s="11"/>
      <c r="L3" s="11"/>
      <c r="M3" s="11">
        <v>300</v>
      </c>
      <c r="N3" s="11">
        <v>1355</v>
      </c>
      <c r="O3" s="11">
        <v>919</v>
      </c>
      <c r="P3" s="11"/>
      <c r="Q3" s="11">
        <v>727</v>
      </c>
      <c r="R3" s="11"/>
      <c r="S3" s="11"/>
      <c r="T3" s="11"/>
      <c r="U3" s="11"/>
      <c r="V3" s="11">
        <v>35000</v>
      </c>
      <c r="W3" s="12"/>
      <c r="X3" s="12"/>
      <c r="Y3" s="12"/>
      <c r="Z3" s="12"/>
      <c r="AA3" s="13"/>
      <c r="AB3" s="13"/>
      <c r="AC3" s="13"/>
      <c r="AD3" s="14">
        <f>SUM(D3:AC3)</f>
        <v>50173</v>
      </c>
      <c r="AE3" s="15">
        <v>850</v>
      </c>
      <c r="AF3" s="15"/>
      <c r="AG3" s="19">
        <f>IF(C3="PRESCHOOL",14762,19683)</f>
        <v>19683</v>
      </c>
      <c r="AH3" s="14">
        <f>AD3-(SUM(AE3:AG3))</f>
        <v>29640</v>
      </c>
    </row>
    <row r="4" spans="1:34" x14ac:dyDescent="0.2">
      <c r="A4" s="17">
        <v>123456789</v>
      </c>
      <c r="B4" s="17">
        <v>1</v>
      </c>
      <c r="C4" s="9" t="s">
        <v>1</v>
      </c>
      <c r="D4" s="10">
        <v>25000</v>
      </c>
      <c r="E4" s="11"/>
      <c r="F4" s="11">
        <v>3500</v>
      </c>
      <c r="G4" s="11"/>
      <c r="H4" s="11"/>
      <c r="I4" s="11"/>
      <c r="J4" s="11">
        <v>2687</v>
      </c>
      <c r="K4" s="11"/>
      <c r="L4" s="18"/>
      <c r="M4" s="11"/>
      <c r="N4" s="11">
        <v>7488</v>
      </c>
      <c r="O4" s="11"/>
      <c r="P4" s="11"/>
      <c r="Q4" s="11">
        <v>750</v>
      </c>
      <c r="R4" s="11">
        <v>1172</v>
      </c>
      <c r="S4" s="11">
        <v>587</v>
      </c>
      <c r="T4" s="11"/>
      <c r="U4" s="11"/>
      <c r="V4" s="11">
        <v>1800</v>
      </c>
      <c r="W4" s="12"/>
      <c r="X4" s="12">
        <v>8000</v>
      </c>
      <c r="Y4" s="12"/>
      <c r="Z4" s="12"/>
      <c r="AA4" s="13"/>
      <c r="AB4" s="13"/>
      <c r="AC4" s="13"/>
      <c r="AD4" s="14">
        <f>SUM(D4:AC4)</f>
        <v>50984</v>
      </c>
      <c r="AE4" s="15"/>
      <c r="AF4" s="15">
        <v>300</v>
      </c>
      <c r="AG4" s="19">
        <f>IF(C4="PRESCHOOL",14762,19683)</f>
        <v>19683</v>
      </c>
      <c r="AH4" s="14">
        <f t="shared" ref="AH4:AH36" si="0">AD4-(SUM(AE4:AF4))</f>
        <v>50684</v>
      </c>
    </row>
    <row r="5" spans="1:34" x14ac:dyDescent="0.2">
      <c r="A5" s="17"/>
      <c r="B5" s="17"/>
      <c r="C5" s="9"/>
      <c r="D5" s="9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2"/>
      <c r="X5" s="12"/>
      <c r="Y5" s="12"/>
      <c r="Z5" s="12"/>
      <c r="AA5" s="13"/>
      <c r="AB5" s="13"/>
      <c r="AC5" s="13"/>
      <c r="AD5" s="14">
        <f t="shared" ref="AD5:AD7" si="1">SUM(D5:AC5)</f>
        <v>0</v>
      </c>
      <c r="AE5" s="15"/>
      <c r="AF5" s="15"/>
      <c r="AG5" s="19"/>
      <c r="AH5" s="14">
        <f t="shared" si="0"/>
        <v>0</v>
      </c>
    </row>
    <row r="6" spans="1:34" x14ac:dyDescent="0.2">
      <c r="A6" s="17"/>
      <c r="B6" s="17"/>
      <c r="C6" s="9"/>
      <c r="D6" s="9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2"/>
      <c r="X6" s="12"/>
      <c r="Y6" s="12"/>
      <c r="Z6" s="12"/>
      <c r="AA6" s="13"/>
      <c r="AB6" s="13"/>
      <c r="AC6" s="13"/>
      <c r="AD6" s="14">
        <f t="shared" si="1"/>
        <v>0</v>
      </c>
      <c r="AE6" s="15"/>
      <c r="AF6" s="15"/>
      <c r="AG6" s="19"/>
      <c r="AH6" s="14">
        <f t="shared" si="0"/>
        <v>0</v>
      </c>
    </row>
    <row r="7" spans="1:34" x14ac:dyDescent="0.2">
      <c r="A7" s="17"/>
      <c r="B7" s="17"/>
      <c r="C7" s="9"/>
      <c r="D7" s="9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2"/>
      <c r="X7" s="12"/>
      <c r="Y7" s="12"/>
      <c r="Z7" s="12"/>
      <c r="AA7" s="13"/>
      <c r="AB7" s="13"/>
      <c r="AC7" s="13"/>
      <c r="AD7" s="14">
        <f t="shared" si="1"/>
        <v>0</v>
      </c>
      <c r="AE7" s="15"/>
      <c r="AF7" s="15"/>
      <c r="AG7" s="19"/>
      <c r="AH7" s="14">
        <f t="shared" si="0"/>
        <v>0</v>
      </c>
    </row>
    <row r="8" spans="1:34" x14ac:dyDescent="0.2">
      <c r="A8" s="17"/>
      <c r="B8" s="17"/>
      <c r="C8" s="9"/>
      <c r="D8" s="9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2"/>
      <c r="X8" s="12"/>
      <c r="Y8" s="12"/>
      <c r="Z8" s="12"/>
      <c r="AA8" s="13"/>
      <c r="AB8" s="13"/>
      <c r="AC8" s="13"/>
      <c r="AD8" s="14">
        <f t="shared" ref="AD8:AD36" si="2">SUM(D8:AC8)</f>
        <v>0</v>
      </c>
      <c r="AE8" s="15"/>
      <c r="AF8" s="15"/>
      <c r="AG8" s="19"/>
      <c r="AH8" s="14">
        <f t="shared" si="0"/>
        <v>0</v>
      </c>
    </row>
    <row r="9" spans="1:34" x14ac:dyDescent="0.2">
      <c r="A9" s="17"/>
      <c r="B9" s="17"/>
      <c r="C9" s="9"/>
      <c r="D9" s="9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2"/>
      <c r="X9" s="12"/>
      <c r="Y9" s="12"/>
      <c r="Z9" s="12"/>
      <c r="AA9" s="13"/>
      <c r="AB9" s="13"/>
      <c r="AC9" s="13"/>
      <c r="AD9" s="14">
        <f t="shared" si="2"/>
        <v>0</v>
      </c>
      <c r="AE9" s="15"/>
      <c r="AF9" s="15"/>
      <c r="AG9" s="19"/>
      <c r="AH9" s="14">
        <f t="shared" si="0"/>
        <v>0</v>
      </c>
    </row>
    <row r="10" spans="1:34" x14ac:dyDescent="0.2">
      <c r="A10" s="17"/>
      <c r="B10" s="17"/>
      <c r="C10" s="9"/>
      <c r="D10" s="9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2"/>
      <c r="X10" s="12"/>
      <c r="Y10" s="12"/>
      <c r="Z10" s="12"/>
      <c r="AA10" s="13"/>
      <c r="AB10" s="13"/>
      <c r="AC10" s="13"/>
      <c r="AD10" s="14">
        <f t="shared" si="2"/>
        <v>0</v>
      </c>
      <c r="AE10" s="15"/>
      <c r="AF10" s="15"/>
      <c r="AG10" s="19"/>
      <c r="AH10" s="14">
        <f t="shared" si="0"/>
        <v>0</v>
      </c>
    </row>
    <row r="11" spans="1:34" x14ac:dyDescent="0.2">
      <c r="A11" s="17"/>
      <c r="B11" s="17"/>
      <c r="C11" s="9"/>
      <c r="D11" s="9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2"/>
      <c r="X11" s="12"/>
      <c r="Y11" s="12"/>
      <c r="Z11" s="12"/>
      <c r="AA11" s="13"/>
      <c r="AB11" s="13"/>
      <c r="AC11" s="13"/>
      <c r="AD11" s="14">
        <f t="shared" si="2"/>
        <v>0</v>
      </c>
      <c r="AE11" s="15"/>
      <c r="AF11" s="15"/>
      <c r="AG11" s="19"/>
      <c r="AH11" s="14">
        <f t="shared" si="0"/>
        <v>0</v>
      </c>
    </row>
    <row r="12" spans="1:34" x14ac:dyDescent="0.2">
      <c r="A12" s="17"/>
      <c r="B12" s="17"/>
      <c r="C12" s="9"/>
      <c r="D12" s="9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2"/>
      <c r="X12" s="12"/>
      <c r="Y12" s="12"/>
      <c r="Z12" s="12"/>
      <c r="AA12" s="13"/>
      <c r="AB12" s="13"/>
      <c r="AC12" s="13"/>
      <c r="AD12" s="14">
        <f t="shared" si="2"/>
        <v>0</v>
      </c>
      <c r="AE12" s="15"/>
      <c r="AF12" s="15"/>
      <c r="AG12" s="19"/>
      <c r="AH12" s="14">
        <f t="shared" si="0"/>
        <v>0</v>
      </c>
    </row>
    <row r="13" spans="1:34" x14ac:dyDescent="0.2">
      <c r="A13" s="17"/>
      <c r="B13" s="17"/>
      <c r="C13" s="9"/>
      <c r="D13" s="9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2"/>
      <c r="X13" s="12"/>
      <c r="Y13" s="12"/>
      <c r="Z13" s="12"/>
      <c r="AA13" s="13"/>
      <c r="AB13" s="13"/>
      <c r="AC13" s="13"/>
      <c r="AD13" s="14">
        <f t="shared" si="2"/>
        <v>0</v>
      </c>
      <c r="AE13" s="15"/>
      <c r="AF13" s="15"/>
      <c r="AG13" s="19"/>
      <c r="AH13" s="14">
        <f t="shared" si="0"/>
        <v>0</v>
      </c>
    </row>
    <row r="14" spans="1:34" x14ac:dyDescent="0.2">
      <c r="A14" s="17"/>
      <c r="B14" s="17"/>
      <c r="C14" s="9"/>
      <c r="D14" s="9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2"/>
      <c r="X14" s="12"/>
      <c r="Y14" s="12"/>
      <c r="Z14" s="12"/>
      <c r="AA14" s="13"/>
      <c r="AB14" s="13"/>
      <c r="AC14" s="13"/>
      <c r="AD14" s="14">
        <f t="shared" si="2"/>
        <v>0</v>
      </c>
      <c r="AE14" s="15"/>
      <c r="AF14" s="15"/>
      <c r="AG14" s="19"/>
      <c r="AH14" s="14">
        <f t="shared" si="0"/>
        <v>0</v>
      </c>
    </row>
    <row r="15" spans="1:34" x14ac:dyDescent="0.2">
      <c r="A15" s="17"/>
      <c r="B15" s="17"/>
      <c r="C15" s="9"/>
      <c r="D15" s="9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2"/>
      <c r="X15" s="12"/>
      <c r="Y15" s="12"/>
      <c r="Z15" s="12"/>
      <c r="AA15" s="13"/>
      <c r="AB15" s="13"/>
      <c r="AC15" s="13"/>
      <c r="AD15" s="14">
        <f t="shared" si="2"/>
        <v>0</v>
      </c>
      <c r="AE15" s="15"/>
      <c r="AF15" s="15"/>
      <c r="AG15" s="19"/>
      <c r="AH15" s="14">
        <f t="shared" si="0"/>
        <v>0</v>
      </c>
    </row>
    <row r="16" spans="1:34" x14ac:dyDescent="0.2">
      <c r="A16" s="17"/>
      <c r="B16" s="17"/>
      <c r="C16" s="9"/>
      <c r="D16" s="9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2"/>
      <c r="X16" s="12"/>
      <c r="Y16" s="12"/>
      <c r="Z16" s="12"/>
      <c r="AA16" s="13"/>
      <c r="AB16" s="13"/>
      <c r="AC16" s="13"/>
      <c r="AD16" s="14">
        <f t="shared" si="2"/>
        <v>0</v>
      </c>
      <c r="AE16" s="15"/>
      <c r="AF16" s="15"/>
      <c r="AG16" s="19"/>
      <c r="AH16" s="14">
        <f t="shared" si="0"/>
        <v>0</v>
      </c>
    </row>
    <row r="17" spans="1:34" x14ac:dyDescent="0.2">
      <c r="A17" s="17"/>
      <c r="B17" s="17"/>
      <c r="C17" s="9"/>
      <c r="D17" s="9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2"/>
      <c r="X17" s="12"/>
      <c r="Y17" s="12"/>
      <c r="Z17" s="12"/>
      <c r="AA17" s="13"/>
      <c r="AB17" s="13"/>
      <c r="AC17" s="13"/>
      <c r="AD17" s="14">
        <f t="shared" si="2"/>
        <v>0</v>
      </c>
      <c r="AE17" s="15"/>
      <c r="AF17" s="15"/>
      <c r="AG17" s="19"/>
      <c r="AH17" s="14">
        <f t="shared" si="0"/>
        <v>0</v>
      </c>
    </row>
    <row r="18" spans="1:34" x14ac:dyDescent="0.2">
      <c r="A18" s="17"/>
      <c r="B18" s="17"/>
      <c r="C18" s="9"/>
      <c r="D18" s="9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2"/>
      <c r="X18" s="12"/>
      <c r="Y18" s="12"/>
      <c r="Z18" s="12"/>
      <c r="AA18" s="13"/>
      <c r="AB18" s="13"/>
      <c r="AC18" s="13"/>
      <c r="AD18" s="14">
        <f t="shared" si="2"/>
        <v>0</v>
      </c>
      <c r="AE18" s="15"/>
      <c r="AF18" s="15"/>
      <c r="AG18" s="19"/>
      <c r="AH18" s="14">
        <f t="shared" si="0"/>
        <v>0</v>
      </c>
    </row>
    <row r="19" spans="1:34" x14ac:dyDescent="0.2">
      <c r="A19" s="17"/>
      <c r="B19" s="17"/>
      <c r="C19" s="9"/>
      <c r="D19" s="9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2"/>
      <c r="X19" s="12"/>
      <c r="Y19" s="12"/>
      <c r="Z19" s="12"/>
      <c r="AA19" s="13"/>
      <c r="AB19" s="13"/>
      <c r="AC19" s="13"/>
      <c r="AD19" s="14">
        <f t="shared" si="2"/>
        <v>0</v>
      </c>
      <c r="AE19" s="15"/>
      <c r="AF19" s="15"/>
      <c r="AG19" s="19"/>
      <c r="AH19" s="14">
        <f t="shared" si="0"/>
        <v>0</v>
      </c>
    </row>
    <row r="20" spans="1:34" x14ac:dyDescent="0.2">
      <c r="A20" s="17"/>
      <c r="B20" s="17"/>
      <c r="C20" s="9"/>
      <c r="D20" s="9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2"/>
      <c r="X20" s="12"/>
      <c r="Y20" s="12"/>
      <c r="Z20" s="12"/>
      <c r="AA20" s="13"/>
      <c r="AB20" s="13"/>
      <c r="AC20" s="13"/>
      <c r="AD20" s="14">
        <f t="shared" si="2"/>
        <v>0</v>
      </c>
      <c r="AE20" s="15"/>
      <c r="AF20" s="15"/>
      <c r="AG20" s="19"/>
      <c r="AH20" s="14">
        <f t="shared" si="0"/>
        <v>0</v>
      </c>
    </row>
    <row r="21" spans="1:34" x14ac:dyDescent="0.2">
      <c r="A21" s="17"/>
      <c r="B21" s="17"/>
      <c r="C21" s="9"/>
      <c r="D21" s="9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2"/>
      <c r="X21" s="12"/>
      <c r="Y21" s="12"/>
      <c r="Z21" s="12"/>
      <c r="AA21" s="13"/>
      <c r="AB21" s="13"/>
      <c r="AC21" s="13"/>
      <c r="AD21" s="14">
        <f t="shared" si="2"/>
        <v>0</v>
      </c>
      <c r="AE21" s="15"/>
      <c r="AF21" s="15"/>
      <c r="AG21" s="19"/>
      <c r="AH21" s="14">
        <f t="shared" si="0"/>
        <v>0</v>
      </c>
    </row>
    <row r="22" spans="1:34" x14ac:dyDescent="0.2">
      <c r="A22" s="17"/>
      <c r="B22" s="17"/>
      <c r="C22" s="9"/>
      <c r="D22" s="9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2"/>
      <c r="X22" s="12"/>
      <c r="Y22" s="12"/>
      <c r="Z22" s="12"/>
      <c r="AA22" s="13"/>
      <c r="AB22" s="13"/>
      <c r="AC22" s="13"/>
      <c r="AD22" s="14">
        <f t="shared" si="2"/>
        <v>0</v>
      </c>
      <c r="AE22" s="15"/>
      <c r="AF22" s="15"/>
      <c r="AG22" s="19"/>
      <c r="AH22" s="14">
        <f t="shared" si="0"/>
        <v>0</v>
      </c>
    </row>
    <row r="23" spans="1:34" x14ac:dyDescent="0.2">
      <c r="A23" s="17"/>
      <c r="B23" s="17"/>
      <c r="C23" s="9"/>
      <c r="D23" s="9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2"/>
      <c r="X23" s="12"/>
      <c r="Y23" s="12"/>
      <c r="Z23" s="12"/>
      <c r="AA23" s="13"/>
      <c r="AB23" s="13"/>
      <c r="AC23" s="13"/>
      <c r="AD23" s="14">
        <f t="shared" si="2"/>
        <v>0</v>
      </c>
      <c r="AE23" s="15"/>
      <c r="AF23" s="15"/>
      <c r="AG23" s="19"/>
      <c r="AH23" s="14">
        <f t="shared" si="0"/>
        <v>0</v>
      </c>
    </row>
    <row r="24" spans="1:34" x14ac:dyDescent="0.2">
      <c r="A24" s="17"/>
      <c r="B24" s="17"/>
      <c r="C24" s="9"/>
      <c r="D24" s="9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2"/>
      <c r="X24" s="12"/>
      <c r="Y24" s="12"/>
      <c r="Z24" s="12"/>
      <c r="AA24" s="13"/>
      <c r="AB24" s="13"/>
      <c r="AC24" s="13"/>
      <c r="AD24" s="14">
        <f t="shared" si="2"/>
        <v>0</v>
      </c>
      <c r="AE24" s="15"/>
      <c r="AF24" s="15"/>
      <c r="AG24" s="19"/>
      <c r="AH24" s="14">
        <f t="shared" si="0"/>
        <v>0</v>
      </c>
    </row>
    <row r="25" spans="1:34" x14ac:dyDescent="0.2">
      <c r="A25" s="17"/>
      <c r="B25" s="17"/>
      <c r="C25" s="9"/>
      <c r="D25" s="9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2"/>
      <c r="X25" s="12"/>
      <c r="Y25" s="12"/>
      <c r="Z25" s="12"/>
      <c r="AA25" s="13"/>
      <c r="AB25" s="13"/>
      <c r="AC25" s="13"/>
      <c r="AD25" s="14">
        <f t="shared" si="2"/>
        <v>0</v>
      </c>
      <c r="AE25" s="15"/>
      <c r="AF25" s="15"/>
      <c r="AG25" s="19"/>
      <c r="AH25" s="14">
        <f t="shared" si="0"/>
        <v>0</v>
      </c>
    </row>
    <row r="26" spans="1:34" x14ac:dyDescent="0.2">
      <c r="A26" s="17"/>
      <c r="B26" s="17"/>
      <c r="C26" s="9"/>
      <c r="D26" s="9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2"/>
      <c r="X26" s="12"/>
      <c r="Y26" s="12"/>
      <c r="Z26" s="12"/>
      <c r="AA26" s="13"/>
      <c r="AB26" s="13"/>
      <c r="AC26" s="13"/>
      <c r="AD26" s="14">
        <f t="shared" si="2"/>
        <v>0</v>
      </c>
      <c r="AE26" s="15"/>
      <c r="AF26" s="15"/>
      <c r="AG26" s="19"/>
      <c r="AH26" s="14">
        <f t="shared" si="0"/>
        <v>0</v>
      </c>
    </row>
    <row r="27" spans="1:34" x14ac:dyDescent="0.2">
      <c r="A27" s="17"/>
      <c r="B27" s="17"/>
      <c r="C27" s="9"/>
      <c r="D27" s="9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2"/>
      <c r="X27" s="12"/>
      <c r="Y27" s="12"/>
      <c r="Z27" s="12"/>
      <c r="AA27" s="13"/>
      <c r="AB27" s="13"/>
      <c r="AC27" s="13"/>
      <c r="AD27" s="14">
        <f t="shared" si="2"/>
        <v>0</v>
      </c>
      <c r="AE27" s="15"/>
      <c r="AF27" s="15"/>
      <c r="AG27" s="19"/>
      <c r="AH27" s="14">
        <f t="shared" si="0"/>
        <v>0</v>
      </c>
    </row>
    <row r="28" spans="1:34" x14ac:dyDescent="0.2">
      <c r="A28" s="17"/>
      <c r="B28" s="17"/>
      <c r="C28" s="9"/>
      <c r="D28" s="9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2"/>
      <c r="X28" s="12"/>
      <c r="Y28" s="12"/>
      <c r="Z28" s="12"/>
      <c r="AA28" s="13"/>
      <c r="AB28" s="13"/>
      <c r="AC28" s="13"/>
      <c r="AD28" s="14">
        <f t="shared" si="2"/>
        <v>0</v>
      </c>
      <c r="AE28" s="15"/>
      <c r="AF28" s="15"/>
      <c r="AG28" s="19"/>
      <c r="AH28" s="14">
        <f t="shared" si="0"/>
        <v>0</v>
      </c>
    </row>
    <row r="29" spans="1:34" x14ac:dyDescent="0.2">
      <c r="A29" s="17"/>
      <c r="B29" s="17"/>
      <c r="C29" s="9"/>
      <c r="D29" s="9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2"/>
      <c r="X29" s="12"/>
      <c r="Y29" s="12"/>
      <c r="Z29" s="12"/>
      <c r="AA29" s="13"/>
      <c r="AB29" s="13"/>
      <c r="AC29" s="13"/>
      <c r="AD29" s="14">
        <f t="shared" si="2"/>
        <v>0</v>
      </c>
      <c r="AE29" s="15"/>
      <c r="AF29" s="15"/>
      <c r="AG29" s="19"/>
      <c r="AH29" s="14">
        <f t="shared" si="0"/>
        <v>0</v>
      </c>
    </row>
    <row r="30" spans="1:34" x14ac:dyDescent="0.2">
      <c r="A30" s="17"/>
      <c r="B30" s="17"/>
      <c r="C30" s="9"/>
      <c r="D30" s="9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2"/>
      <c r="X30" s="12"/>
      <c r="Y30" s="12"/>
      <c r="Z30" s="12"/>
      <c r="AA30" s="13"/>
      <c r="AB30" s="13"/>
      <c r="AC30" s="13"/>
      <c r="AD30" s="14">
        <f t="shared" si="2"/>
        <v>0</v>
      </c>
      <c r="AE30" s="15"/>
      <c r="AF30" s="15"/>
      <c r="AG30" s="19"/>
      <c r="AH30" s="14">
        <f t="shared" si="0"/>
        <v>0</v>
      </c>
    </row>
    <row r="31" spans="1:34" x14ac:dyDescent="0.2">
      <c r="A31" s="17"/>
      <c r="B31" s="17"/>
      <c r="C31" s="9"/>
      <c r="D31" s="9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2"/>
      <c r="X31" s="12"/>
      <c r="Y31" s="12"/>
      <c r="Z31" s="12"/>
      <c r="AA31" s="13"/>
      <c r="AB31" s="13"/>
      <c r="AC31" s="13"/>
      <c r="AD31" s="14">
        <f t="shared" si="2"/>
        <v>0</v>
      </c>
      <c r="AE31" s="15"/>
      <c r="AF31" s="15"/>
      <c r="AG31" s="19"/>
      <c r="AH31" s="14">
        <f t="shared" si="0"/>
        <v>0</v>
      </c>
    </row>
    <row r="32" spans="1:34" x14ac:dyDescent="0.2">
      <c r="A32" s="17"/>
      <c r="B32" s="17"/>
      <c r="C32" s="9"/>
      <c r="D32" s="9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2"/>
      <c r="X32" s="12"/>
      <c r="Y32" s="12"/>
      <c r="Z32" s="12"/>
      <c r="AA32" s="13"/>
      <c r="AB32" s="13"/>
      <c r="AC32" s="13"/>
      <c r="AD32" s="14">
        <f t="shared" si="2"/>
        <v>0</v>
      </c>
      <c r="AE32" s="15"/>
      <c r="AF32" s="15"/>
      <c r="AG32" s="19"/>
      <c r="AH32" s="14">
        <f t="shared" si="0"/>
        <v>0</v>
      </c>
    </row>
    <row r="33" spans="1:34" x14ac:dyDescent="0.2">
      <c r="A33" s="17"/>
      <c r="B33" s="17"/>
      <c r="C33" s="9"/>
      <c r="D33" s="9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2"/>
      <c r="X33" s="12"/>
      <c r="Y33" s="12"/>
      <c r="Z33" s="12"/>
      <c r="AA33" s="13"/>
      <c r="AB33" s="13"/>
      <c r="AC33" s="13"/>
      <c r="AD33" s="14">
        <f t="shared" si="2"/>
        <v>0</v>
      </c>
      <c r="AE33" s="15"/>
      <c r="AF33" s="15"/>
      <c r="AG33" s="19"/>
      <c r="AH33" s="14">
        <f t="shared" si="0"/>
        <v>0</v>
      </c>
    </row>
    <row r="34" spans="1:34" x14ac:dyDescent="0.2">
      <c r="A34" s="17"/>
      <c r="B34" s="17"/>
      <c r="C34" s="9"/>
      <c r="D34" s="9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2"/>
      <c r="X34" s="12"/>
      <c r="Y34" s="12"/>
      <c r="Z34" s="12"/>
      <c r="AA34" s="13"/>
      <c r="AB34" s="13"/>
      <c r="AC34" s="13"/>
      <c r="AD34" s="14">
        <f t="shared" si="2"/>
        <v>0</v>
      </c>
      <c r="AE34" s="15"/>
      <c r="AF34" s="15"/>
      <c r="AG34" s="19"/>
      <c r="AH34" s="14">
        <f t="shared" si="0"/>
        <v>0</v>
      </c>
    </row>
    <row r="35" spans="1:34" x14ac:dyDescent="0.2">
      <c r="A35" s="17"/>
      <c r="B35" s="17"/>
      <c r="C35" s="9"/>
      <c r="D35" s="9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2"/>
      <c r="X35" s="12"/>
      <c r="Y35" s="12"/>
      <c r="Z35" s="12"/>
      <c r="AA35" s="13"/>
      <c r="AB35" s="13"/>
      <c r="AC35" s="13"/>
      <c r="AD35" s="14">
        <f t="shared" si="2"/>
        <v>0</v>
      </c>
      <c r="AE35" s="15"/>
      <c r="AF35" s="15"/>
      <c r="AG35" s="19"/>
      <c r="AH35" s="14">
        <f t="shared" si="0"/>
        <v>0</v>
      </c>
    </row>
    <row r="36" spans="1:34" x14ac:dyDescent="0.2">
      <c r="A36" s="17"/>
      <c r="B36" s="17"/>
      <c r="C36" s="9"/>
      <c r="D36" s="9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2"/>
      <c r="X36" s="12"/>
      <c r="Y36" s="12"/>
      <c r="Z36" s="12"/>
      <c r="AA36" s="13"/>
      <c r="AB36" s="13"/>
      <c r="AC36" s="13"/>
      <c r="AD36" s="14">
        <f t="shared" si="2"/>
        <v>0</v>
      </c>
      <c r="AE36" s="15"/>
      <c r="AF36" s="15"/>
      <c r="AG36" s="19"/>
      <c r="AH36" s="14">
        <f t="shared" si="0"/>
        <v>0</v>
      </c>
    </row>
  </sheetData>
  <mergeCells count="5">
    <mergeCell ref="W1:Z1"/>
    <mergeCell ref="AA1:AC1"/>
    <mergeCell ref="A1:C1"/>
    <mergeCell ref="E1:V1"/>
    <mergeCell ref="AE1:AG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Definitions!$A$1:$A$5</xm:f>
          </x14:formula1>
          <xm:sqref>C3:C36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D31" sqref="D31"/>
    </sheetView>
  </sheetViews>
  <sheetFormatPr defaultRowHeight="14.25" x14ac:dyDescent="0.2"/>
  <cols>
    <col min="1" max="1" width="17.5" customWidth="1"/>
  </cols>
  <sheetData>
    <row r="1" spans="1:2" x14ac:dyDescent="0.2">
      <c r="A1" t="s">
        <v>35</v>
      </c>
      <c r="B1" t="s">
        <v>42</v>
      </c>
    </row>
    <row r="2" spans="1:2" x14ac:dyDescent="0.2">
      <c r="A2" t="s">
        <v>0</v>
      </c>
      <c r="B2" t="s">
        <v>41</v>
      </c>
    </row>
    <row r="3" spans="1:2" x14ac:dyDescent="0.2">
      <c r="A3" t="s">
        <v>36</v>
      </c>
      <c r="B3" t="s">
        <v>38</v>
      </c>
    </row>
    <row r="4" spans="1:2" x14ac:dyDescent="0.2">
      <c r="A4" t="s">
        <v>37</v>
      </c>
      <c r="B4" t="s">
        <v>39</v>
      </c>
    </row>
    <row r="5" spans="1:2" x14ac:dyDescent="0.2">
      <c r="A5" t="s">
        <v>1</v>
      </c>
      <c r="B5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Average Cost of Setting</vt:lpstr>
      <vt:lpstr>High Cost Student Services</vt:lpstr>
      <vt:lpstr>Definitions</vt:lpstr>
    </vt:vector>
  </TitlesOfParts>
  <Company>Utah State Office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Howell</dc:creator>
  <cp:lastModifiedBy>Yuriko Murakami</cp:lastModifiedBy>
  <dcterms:created xsi:type="dcterms:W3CDTF">2012-08-21T22:31:07Z</dcterms:created>
  <dcterms:modified xsi:type="dcterms:W3CDTF">2014-02-12T21:59:44Z</dcterms:modified>
</cp:coreProperties>
</file>