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285" yWindow="135" windowWidth="17400" windowHeight="11415"/>
  </bookViews>
  <sheets>
    <sheet name="2002-181 Bid Form" sheetId="1" r:id="rId1"/>
  </sheets>
  <definedNames>
    <definedName name="_xlnm.Print_Area" localSheetId="0">'2002-181 Bid Form'!$B$2:$U$57</definedName>
  </definedNames>
  <calcPr calcId="125725" concurrentCalc="0"/>
</workbook>
</file>

<file path=xl/calcChain.xml><?xml version="1.0" encoding="utf-8"?>
<calcChain xmlns="http://schemas.openxmlformats.org/spreadsheetml/2006/main">
  <c r="E30" i="1"/>
  <c r="O30"/>
  <c r="Q30"/>
  <c r="U30"/>
  <c r="E29"/>
  <c r="O29"/>
  <c r="Q29"/>
  <c r="U29"/>
  <c r="E28"/>
  <c r="O28"/>
  <c r="Q28"/>
  <c r="U28"/>
  <c r="E27"/>
  <c r="O27"/>
  <c r="Q27"/>
  <c r="U27"/>
  <c r="E26"/>
  <c r="O26"/>
  <c r="Q26"/>
  <c r="U26"/>
  <c r="E25"/>
  <c r="O25"/>
  <c r="Q25"/>
  <c r="U25"/>
  <c r="E24"/>
  <c r="O24"/>
  <c r="Q24"/>
  <c r="U24"/>
  <c r="E23"/>
  <c r="O23"/>
  <c r="Q23"/>
  <c r="U23"/>
  <c r="E22"/>
  <c r="O22"/>
  <c r="Q22"/>
  <c r="U22"/>
  <c r="E21"/>
  <c r="O21"/>
  <c r="Q21"/>
  <c r="U21"/>
  <c r="E20"/>
  <c r="O20"/>
  <c r="Q20"/>
  <c r="U20"/>
  <c r="E19"/>
  <c r="O19"/>
  <c r="Q19"/>
  <c r="U19"/>
  <c r="E18"/>
  <c r="O18"/>
  <c r="Q18"/>
  <c r="U18"/>
  <c r="E16"/>
  <c r="O16"/>
  <c r="Q16"/>
  <c r="U16"/>
  <c r="E15"/>
  <c r="O15"/>
  <c r="Q15"/>
  <c r="U15"/>
  <c r="E14"/>
  <c r="O14"/>
  <c r="Q14"/>
  <c r="U14"/>
  <c r="E13"/>
  <c r="O13"/>
  <c r="Q13"/>
  <c r="U13"/>
  <c r="E11"/>
  <c r="O11"/>
  <c r="Q11"/>
  <c r="U11"/>
  <c r="K31"/>
  <c r="L31"/>
  <c r="M31"/>
  <c r="N31"/>
  <c r="K32"/>
  <c r="D31"/>
  <c r="D32"/>
  <c r="F31"/>
  <c r="F32"/>
  <c r="G32"/>
  <c r="H31"/>
  <c r="I31"/>
  <c r="H32"/>
  <c r="J31"/>
  <c r="J32"/>
  <c r="P31"/>
  <c r="P32"/>
  <c r="R31"/>
  <c r="R32"/>
  <c r="S31"/>
  <c r="S32"/>
  <c r="T31"/>
  <c r="T32"/>
  <c r="U31"/>
</calcChain>
</file>

<file path=xl/sharedStrings.xml><?xml version="1.0" encoding="utf-8"?>
<sst xmlns="http://schemas.openxmlformats.org/spreadsheetml/2006/main" count="88" uniqueCount="78">
  <si>
    <t>COST COMPONENT</t>
  </si>
  <si>
    <t>Labor</t>
  </si>
  <si>
    <t>Bidders shall enter costs for each labor/ODC/Sub category based on the proposed payment for achieving each milestone.  The total cost for completion of each Task will be the "Subtotal" multiplied by the "Anticipated # of Milestone Payments"</t>
  </si>
  <si>
    <r>
      <t>Other Direct Costs</t>
    </r>
    <r>
      <rPr>
        <b/>
        <vertAlign val="superscript"/>
        <sz val="12"/>
        <rFont val="Arial"/>
        <family val="2"/>
      </rPr>
      <t>1</t>
    </r>
  </si>
  <si>
    <r>
      <t>Subcontracted Costs</t>
    </r>
    <r>
      <rPr>
        <b/>
        <vertAlign val="superscript"/>
        <sz val="12"/>
        <rFont val="Arial"/>
        <family val="2"/>
      </rPr>
      <t>2</t>
    </r>
  </si>
  <si>
    <t>Analytical Laboratory - Soil</t>
  </si>
  <si>
    <t>Analytical Laboratory - Vapor</t>
  </si>
  <si>
    <t>Other Analytical</t>
  </si>
  <si>
    <t>Geoprobe / Driller</t>
  </si>
  <si>
    <t>Waste Disposal</t>
  </si>
  <si>
    <t>Other (specify)</t>
  </si>
  <si>
    <t>Schedule of Unit Labor Rates</t>
  </si>
  <si>
    <t>Sr. Project Engineer, P.E.</t>
  </si>
  <si>
    <t>Sr. Hydrogeologist, P.G.</t>
  </si>
  <si>
    <t>Project Manager</t>
  </si>
  <si>
    <t>Project Geologist/ Engineer</t>
  </si>
  <si>
    <t>Associate Project Geologist/ Engineer</t>
  </si>
  <si>
    <t>Staff Geologist/ Engineer</t>
  </si>
  <si>
    <t>Sr. Field Technician</t>
  </si>
  <si>
    <t>Field Technician</t>
  </si>
  <si>
    <t>Word Processor</t>
  </si>
  <si>
    <t>Draftsman</t>
  </si>
  <si>
    <t>Project Coordinator</t>
  </si>
  <si>
    <t>Junior Professional</t>
  </si>
  <si>
    <t>Subcontractor / Vendor Mark-up (%)</t>
  </si>
  <si>
    <t>2 - Details related to subcontracted costs are requested by the Solicitor to assist in the evaluation of the costs associated with the performance of this work.</t>
  </si>
  <si>
    <t>Equipment Rental</t>
  </si>
  <si>
    <t>Analytical Laboratory - Water</t>
  </si>
  <si>
    <t>Geophysical Subcontractor</t>
  </si>
  <si>
    <r>
      <t xml:space="preserve">ODC </t>
    </r>
    <r>
      <rPr>
        <sz val="12"/>
        <rFont val="Arial"/>
        <family val="2"/>
      </rPr>
      <t>≥</t>
    </r>
    <r>
      <rPr>
        <sz val="12"/>
        <rFont val="Arial"/>
        <family val="2"/>
      </rPr>
      <t xml:space="preserve">$1,000 (Specify) </t>
    </r>
  </si>
  <si>
    <t xml:space="preserve">1 - Individual other direct cost line items totaling $1,000 or more must be specified (use separate sheet, if necessary).    </t>
  </si>
  <si>
    <t>Milestone I                                                                                                 Preparation, Submission, and PADEP Approval of RACR</t>
  </si>
  <si>
    <t>Milestone J                                                                                             Site Restoration and Well Abandonment</t>
  </si>
  <si>
    <t>Milestone Subtotals</t>
  </si>
  <si>
    <t>Totals by Milestone</t>
  </si>
  <si>
    <t>Totals for                                                                                               Milestones                                                                                   A through J                                                                                                                                            (SOW Total)</t>
  </si>
  <si>
    <t>Associated Milestone &gt;&gt;&gt;</t>
  </si>
  <si>
    <t>Months of RAP System O&amp;M &gt;&gt;&gt;</t>
  </si>
  <si>
    <t xml:space="preserve">      (A mark-up percentage no greater than 10% is acceptable to the Solicitor &amp; USTIF)</t>
  </si>
  <si>
    <t>HOURLY                                                         RATE</t>
  </si>
  <si>
    <t>Notes:</t>
  </si>
  <si>
    <t>Additional Bid                                                         Price per Unit</t>
  </si>
  <si>
    <t>Schedule of Unit Rates                                                                                 (Describe Below)</t>
  </si>
  <si>
    <t>Anticipated Number of Milestone Payments &gt;&gt;&gt;</t>
  </si>
  <si>
    <t xml:space="preserve">                               Name &amp; Address of Bidder:</t>
  </si>
  <si>
    <t>4 - Bidders shall only enter data into Bid Form areas (Excel file cells) that are shaded in green.</t>
  </si>
  <si>
    <t>DOC's DELI-LICIOUS SITE, 477 CARBONDALE ROAD, LACKAWANNA COUNTY, CLARK'S SUMMIT, PENNSYLVANIA  18411</t>
  </si>
  <si>
    <t>Single Quarterly Event  Price for Milestones                                                        A1 through A6</t>
  </si>
  <si>
    <t>Milestone B                                                                                                                                       PADEP Meeting and File Review</t>
  </si>
  <si>
    <t>Milestone A                                                                                                                    Quarterly Groundwater                                                                                   Monitoring and Reporting                                                                                                   (Quarterly for Six Quarters)</t>
  </si>
  <si>
    <t>Milestone C                                                                                             Discretionary Site Characterization, etc.</t>
  </si>
  <si>
    <t>Milestone D                                                                                                   Discretionary Pilot Testing and Reporting</t>
  </si>
  <si>
    <t>Single Quarterly Event  Price for Milestones                                                                                                             G1 through G8</t>
  </si>
  <si>
    <t>Milestone H                                                                                                 Soil Attainment Demonstration</t>
  </si>
  <si>
    <t xml:space="preserve">   Milestone D - </t>
  </si>
  <si>
    <t>Milestone F3                                                                                   (Single Monthly O&amp;M Price for Remedial System Operation and Maintenance)</t>
  </si>
  <si>
    <t>Lump Sum Price for Milestone B</t>
  </si>
  <si>
    <t>Lump Sum Price for Milestone D1                              [                      ]</t>
  </si>
  <si>
    <t>Lump Sum Price for Milestone D2                              [                      ]</t>
  </si>
  <si>
    <t>Lump Sum Price for Milestone E</t>
  </si>
  <si>
    <t>Milestone F2                                                    (Lump Sum Price for Remedial System Permit Procurement, Remedial System Installation,  Remedial System Start-Up and Testing)</t>
  </si>
  <si>
    <t>Milestone F1                                                    (Lump Sum Price for Final Design, Equip. Procurement, Material  Procurement, and Preparation of Associated Work Plans, etc.)</t>
  </si>
  <si>
    <t>Lump Sum Price for Total of Milestones                                                                            G1 through G8</t>
  </si>
  <si>
    <t>Lump Sum Price for                                  Total of Milestones                                                                            A1 through A6</t>
  </si>
  <si>
    <t>Lump Sum Price for Milestone H</t>
  </si>
  <si>
    <t>Lump Sum Price for Milestone J</t>
  </si>
  <si>
    <t>Lump Sum Price for Total of Milestones                                                                            F1 through F4</t>
  </si>
  <si>
    <t>Milestone F4                                                                                   (Single Quarterly Price for  Groundwater Monitoring and Reporting During Remedial System O&amp;M, Price per Quarter)</t>
  </si>
  <si>
    <t xml:space="preserve">Other ODC (Specify) </t>
  </si>
  <si>
    <t>3 - Regardless of the number of "Months of RAP System O&amp;M" that are expected to be needed for the Site to achieve SHS for all COCs in groundwater as entered on this Bid Form by any Bidder, the "Totals for Milestones A through J" will reflect 24 months of New RAP system O&amp;M.</t>
  </si>
  <si>
    <t xml:space="preserve">   Milestone A - Fixed per quarterly event price for groundwater monitoring / reporting as specified</t>
  </si>
  <si>
    <t>Table 2 - Competitive Bid Solicitation - SITE CLOSURE VIA STATEWIDE HEALTH STANDARDS (USTIF Claim #2002-181)</t>
  </si>
  <si>
    <t xml:space="preserve">Milestone F                                                                                                                                                                                                   RAP Implementation                                                                                                                                                                                        (Two Years of Remedial System Operation, Maintenance, and Associated Activities)                                                                                                                </t>
  </si>
  <si>
    <t>Lump Sum Price for Milestone I</t>
  </si>
  <si>
    <t>Milestone E                                                                                                   Preparation, Submission, and PADEP Approval of RAP</t>
  </si>
  <si>
    <t>Independent of the 24-month O&amp;M period indicated above, all Bidders shall indicate below the number of New RAP system O&amp;M months that are expected to be needed for the Site to achieve SHS for all COCs in groundwater under the Bidder's care.</t>
  </si>
  <si>
    <t>Milestone G                                                 Groundwater Attainment Demonstration                                                   (8 quarters)</t>
  </si>
  <si>
    <t>Price for                              Milestone C                             ($10,000)</t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</si>
</sst>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15">
    <font>
      <sz val="10"/>
      <name val="Arial"/>
    </font>
    <font>
      <b/>
      <sz val="14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vertAlign val="superscript"/>
      <sz val="12"/>
      <name val="Arial"/>
      <family val="2"/>
    </font>
    <font>
      <sz val="12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b/>
      <sz val="20"/>
      <name val="Arial"/>
      <family val="2"/>
    </font>
    <font>
      <b/>
      <sz val="11"/>
      <name val="Arial"/>
      <family val="2"/>
    </font>
    <font>
      <b/>
      <u/>
      <sz val="1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2"/>
        <bgColor indexed="8"/>
      </patternFill>
    </fill>
    <fill>
      <patternFill patternType="solid">
        <fgColor rgb="FFCCFFCC"/>
        <bgColor indexed="64"/>
      </patternFill>
    </fill>
    <fill>
      <patternFill patternType="solid">
        <fgColor theme="1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6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0" fontId="2" fillId="0" borderId="0" xfId="0" applyFont="1" applyProtection="1">
      <protection locked="0"/>
    </xf>
    <xf numFmtId="0" fontId="2" fillId="0" borderId="0" xfId="0" applyFont="1" applyAlignment="1" applyProtection="1">
      <alignment vertical="top"/>
      <protection locked="0"/>
    </xf>
    <xf numFmtId="0" fontId="2" fillId="0" borderId="0" xfId="0" applyFont="1" applyAlignment="1" applyProtection="1">
      <alignment vertical="top"/>
    </xf>
    <xf numFmtId="0" fontId="2" fillId="0" borderId="0" xfId="0" applyFont="1" applyFill="1" applyBorder="1" applyAlignment="1" applyProtection="1">
      <alignment vertical="top"/>
    </xf>
    <xf numFmtId="0" fontId="2" fillId="0" borderId="0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center" wrapText="1"/>
    </xf>
    <xf numFmtId="0" fontId="1" fillId="0" borderId="0" xfId="0" applyFont="1" applyBorder="1" applyAlignment="1" applyProtection="1">
      <alignment horizontal="center" vertical="center" wrapText="1"/>
    </xf>
    <xf numFmtId="164" fontId="3" fillId="0" borderId="1" xfId="0" applyNumberFormat="1" applyFont="1" applyBorder="1" applyAlignment="1" applyProtection="1">
      <alignment horizontal="center"/>
    </xf>
    <xf numFmtId="164" fontId="3" fillId="0" borderId="2" xfId="0" applyNumberFormat="1" applyFont="1" applyBorder="1" applyAlignment="1" applyProtection="1">
      <alignment horizontal="center"/>
    </xf>
    <xf numFmtId="0" fontId="3" fillId="0" borderId="0" xfId="0" applyFont="1" applyProtection="1"/>
    <xf numFmtId="164" fontId="4" fillId="0" borderId="0" xfId="0" applyNumberFormat="1" applyFont="1" applyAlignment="1" applyProtection="1">
      <alignment horizontal="center"/>
    </xf>
    <xf numFmtId="0" fontId="2" fillId="0" borderId="0" xfId="0" applyFont="1" applyProtection="1"/>
    <xf numFmtId="164" fontId="2" fillId="0" borderId="0" xfId="0" applyNumberFormat="1" applyFont="1" applyFill="1" applyBorder="1" applyAlignment="1" applyProtection="1">
      <alignment horizontal="center"/>
    </xf>
    <xf numFmtId="0" fontId="2" fillId="0" borderId="0" xfId="0" applyFont="1" applyBorder="1" applyAlignment="1" applyProtection="1">
      <alignment vertical="top"/>
    </xf>
    <xf numFmtId="164" fontId="3" fillId="2" borderId="1" xfId="0" applyNumberFormat="1" applyFont="1" applyFill="1" applyBorder="1" applyAlignment="1" applyProtection="1">
      <alignment horizontal="center"/>
    </xf>
    <xf numFmtId="0" fontId="3" fillId="0" borderId="0" xfId="0" applyFont="1" applyFill="1" applyBorder="1" applyAlignment="1" applyProtection="1">
      <alignment vertical="center" wrapText="1"/>
    </xf>
    <xf numFmtId="0" fontId="8" fillId="0" borderId="0" xfId="0" applyFont="1" applyFill="1" applyBorder="1" applyAlignment="1" applyProtection="1">
      <alignment vertical="center" wrapText="1"/>
    </xf>
    <xf numFmtId="0" fontId="2" fillId="0" borderId="0" xfId="0" applyFont="1" applyFill="1" applyBorder="1" applyAlignment="1" applyProtection="1">
      <alignment vertical="top" wrapText="1"/>
    </xf>
    <xf numFmtId="164" fontId="2" fillId="0" borderId="0" xfId="0" applyNumberFormat="1" applyFont="1" applyFill="1" applyBorder="1" applyAlignment="1" applyProtection="1"/>
    <xf numFmtId="0" fontId="8" fillId="0" borderId="0" xfId="0" applyFont="1" applyFill="1" applyBorder="1" applyAlignment="1" applyProtection="1">
      <alignment horizontal="left" vertical="center" wrapText="1"/>
    </xf>
    <xf numFmtId="0" fontId="3" fillId="3" borderId="1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0" borderId="3" xfId="0" applyFont="1" applyBorder="1" applyAlignment="1" applyProtection="1">
      <alignment vertical="center"/>
    </xf>
    <xf numFmtId="0" fontId="3" fillId="0" borderId="4" xfId="0" applyFont="1" applyBorder="1" applyAlignment="1" applyProtection="1">
      <alignment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4" xfId="0" applyFont="1" applyBorder="1" applyAlignment="1" applyProtection="1">
      <alignment vertical="center"/>
    </xf>
    <xf numFmtId="0" fontId="3" fillId="0" borderId="0" xfId="0" applyFont="1" applyFill="1" applyBorder="1" applyAlignment="1" applyProtection="1">
      <alignment horizontal="center" vertical="center"/>
    </xf>
    <xf numFmtId="0" fontId="12" fillId="0" borderId="0" xfId="0" applyFont="1" applyFill="1" applyBorder="1" applyAlignment="1" applyProtection="1">
      <alignment horizontal="center" vertical="center" wrapText="1"/>
    </xf>
    <xf numFmtId="0" fontId="4" fillId="0" borderId="0" xfId="0" applyFont="1" applyAlignment="1" applyProtection="1">
      <alignment vertical="center"/>
    </xf>
    <xf numFmtId="0" fontId="4" fillId="0" borderId="5" xfId="0" applyFont="1" applyBorder="1" applyAlignment="1" applyProtection="1">
      <alignment vertical="center"/>
    </xf>
    <xf numFmtId="0" fontId="4" fillId="0" borderId="6" xfId="0" applyFont="1" applyBorder="1" applyAlignment="1" applyProtection="1">
      <alignment vertical="center"/>
    </xf>
    <xf numFmtId="0" fontId="4" fillId="0" borderId="0" xfId="0" applyFont="1" applyFill="1" applyBorder="1" applyAlignment="1" applyProtection="1">
      <alignment vertical="center" wrapText="1"/>
    </xf>
    <xf numFmtId="0" fontId="14" fillId="0" borderId="0" xfId="0" applyFont="1" applyAlignment="1" applyProtection="1">
      <alignment vertical="center"/>
    </xf>
    <xf numFmtId="0" fontId="3" fillId="4" borderId="7" xfId="0" applyFont="1" applyFill="1" applyBorder="1" applyAlignment="1" applyProtection="1">
      <alignment horizontal="center" vertical="center" wrapText="1"/>
    </xf>
    <xf numFmtId="0" fontId="3" fillId="4" borderId="8" xfId="0" applyFont="1" applyFill="1" applyBorder="1" applyAlignment="1" applyProtection="1">
      <alignment horizontal="center" vertical="center" wrapText="1"/>
    </xf>
    <xf numFmtId="164" fontId="11" fillId="2" borderId="1" xfId="0" applyNumberFormat="1" applyFont="1" applyFill="1" applyBorder="1" applyAlignment="1" applyProtection="1">
      <alignment horizontal="center" vertical="center"/>
    </xf>
    <xf numFmtId="164" fontId="13" fillId="2" borderId="1" xfId="0" applyNumberFormat="1" applyFont="1" applyFill="1" applyBorder="1" applyAlignment="1" applyProtection="1">
      <alignment horizontal="center" vertical="center"/>
    </xf>
    <xf numFmtId="164" fontId="11" fillId="0" borderId="1" xfId="0" applyNumberFormat="1" applyFont="1" applyFill="1" applyBorder="1" applyAlignment="1" applyProtection="1">
      <alignment horizontal="center" vertical="center"/>
    </xf>
    <xf numFmtId="164" fontId="1" fillId="0" borderId="1" xfId="0" applyNumberFormat="1" applyFont="1" applyFill="1" applyBorder="1" applyAlignment="1" applyProtection="1">
      <alignment horizontal="center" vertical="center"/>
    </xf>
    <xf numFmtId="0" fontId="4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2" fillId="0" borderId="0" xfId="0" applyFont="1" applyBorder="1" applyProtection="1">
      <protection locked="0"/>
    </xf>
    <xf numFmtId="164" fontId="4" fillId="0" borderId="0" xfId="0" applyNumberFormat="1" applyFont="1" applyFill="1" applyBorder="1" applyAlignment="1" applyProtection="1">
      <alignment horizontal="center" vertical="center"/>
    </xf>
    <xf numFmtId="0" fontId="4" fillId="0" borderId="0" xfId="0" applyFont="1" applyAlignment="1" applyProtection="1">
      <alignment horizontal="center"/>
    </xf>
    <xf numFmtId="0" fontId="4" fillId="0" borderId="0" xfId="0" applyFont="1" applyProtection="1"/>
    <xf numFmtId="164" fontId="2" fillId="0" borderId="0" xfId="0" applyNumberFormat="1" applyFont="1" applyFill="1" applyBorder="1" applyAlignment="1" applyProtection="1">
      <alignment horizontal="center" vertical="center"/>
    </xf>
    <xf numFmtId="164" fontId="4" fillId="0" borderId="0" xfId="0" applyNumberFormat="1" applyFont="1" applyFill="1" applyAlignment="1" applyProtection="1">
      <alignment horizontal="center"/>
    </xf>
    <xf numFmtId="0" fontId="3" fillId="0" borderId="9" xfId="0" applyFont="1" applyFill="1" applyBorder="1" applyAlignment="1" applyProtection="1">
      <alignment horizontal="center" vertical="center" wrapText="1"/>
    </xf>
    <xf numFmtId="0" fontId="4" fillId="0" borderId="10" xfId="0" applyFont="1" applyFill="1" applyBorder="1" applyAlignment="1" applyProtection="1">
      <alignment vertical="center" wrapText="1"/>
    </xf>
    <xf numFmtId="0" fontId="3" fillId="4" borderId="11" xfId="0" applyFont="1" applyFill="1" applyBorder="1" applyAlignment="1" applyProtection="1">
      <alignment horizontal="center" vertical="center" wrapText="1"/>
    </xf>
    <xf numFmtId="164" fontId="3" fillId="0" borderId="0" xfId="0" applyNumberFormat="1" applyFont="1" applyFill="1" applyBorder="1" applyAlignment="1" applyProtection="1">
      <alignment horizontal="center" vertical="center" wrapText="1"/>
    </xf>
    <xf numFmtId="0" fontId="2" fillId="0" borderId="0" xfId="0" applyFont="1" applyAlignment="1" applyProtection="1">
      <alignment horizontal="center" vertical="center"/>
    </xf>
    <xf numFmtId="164" fontId="4" fillId="0" borderId="9" xfId="0" applyNumberFormat="1" applyFont="1" applyFill="1" applyBorder="1" applyAlignment="1" applyProtection="1">
      <alignment vertical="center"/>
    </xf>
    <xf numFmtId="164" fontId="3" fillId="0" borderId="6" xfId="0" applyNumberFormat="1" applyFont="1" applyBorder="1" applyAlignment="1" applyProtection="1">
      <alignment horizontal="center"/>
    </xf>
    <xf numFmtId="0" fontId="4" fillId="7" borderId="4" xfId="0" applyFont="1" applyFill="1" applyBorder="1" applyAlignment="1" applyProtection="1">
      <alignment horizontal="left" vertical="center"/>
      <protection locked="0"/>
    </xf>
    <xf numFmtId="0" fontId="4" fillId="7" borderId="2" xfId="0" applyFont="1" applyFill="1" applyBorder="1" applyAlignment="1" applyProtection="1">
      <alignment horizontal="left" vertical="center"/>
      <protection locked="0"/>
    </xf>
    <xf numFmtId="0" fontId="4" fillId="7" borderId="5" xfId="0" applyFont="1" applyFill="1" applyBorder="1" applyAlignment="1" applyProtection="1">
      <alignment vertical="center"/>
      <protection locked="0"/>
    </xf>
    <xf numFmtId="0" fontId="4" fillId="7" borderId="12" xfId="0" applyFont="1" applyFill="1" applyBorder="1" applyAlignment="1" applyProtection="1">
      <alignment vertical="center"/>
      <protection locked="0"/>
    </xf>
    <xf numFmtId="10" fontId="4" fillId="5" borderId="13" xfId="0" applyNumberFormat="1" applyFont="1" applyFill="1" applyBorder="1" applyAlignment="1" applyProtection="1">
      <alignment horizontal="center" vertical="center"/>
      <protection locked="0"/>
    </xf>
    <xf numFmtId="164" fontId="4" fillId="5" borderId="14" xfId="0" applyNumberFormat="1" applyFont="1" applyFill="1" applyBorder="1" applyAlignment="1" applyProtection="1">
      <alignment horizontal="center" vertical="center"/>
      <protection locked="0"/>
    </xf>
    <xf numFmtId="164" fontId="4" fillId="5" borderId="15" xfId="0" applyNumberFormat="1" applyFont="1" applyFill="1" applyBorder="1" applyAlignment="1" applyProtection="1">
      <alignment horizontal="center" vertical="center"/>
      <protection locked="0"/>
    </xf>
    <xf numFmtId="164" fontId="11" fillId="5" borderId="1" xfId="0" applyNumberFormat="1" applyFont="1" applyFill="1" applyBorder="1" applyAlignment="1" applyProtection="1">
      <alignment horizontal="center" vertical="center"/>
      <protection locked="0"/>
    </xf>
    <xf numFmtId="0" fontId="3" fillId="8" borderId="1" xfId="0" applyFont="1" applyFill="1" applyBorder="1" applyAlignment="1" applyProtection="1">
      <alignment horizontal="center" vertical="center" wrapText="1"/>
    </xf>
    <xf numFmtId="164" fontId="11" fillId="8" borderId="1" xfId="0" applyNumberFormat="1" applyFont="1" applyFill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 wrapText="1"/>
    </xf>
    <xf numFmtId="0" fontId="1" fillId="4" borderId="45" xfId="0" applyFont="1" applyFill="1" applyBorder="1" applyAlignment="1" applyProtection="1">
      <alignment horizontal="center" vertical="center" wrapText="1"/>
    </xf>
    <xf numFmtId="0" fontId="1" fillId="4" borderId="47" xfId="0" applyFont="1" applyFill="1" applyBorder="1" applyAlignment="1" applyProtection="1">
      <alignment horizontal="center" vertical="center" wrapText="1"/>
    </xf>
    <xf numFmtId="0" fontId="1" fillId="4" borderId="46" xfId="0" applyFont="1" applyFill="1" applyBorder="1" applyAlignment="1" applyProtection="1">
      <alignment horizontal="center" vertical="center" wrapText="1"/>
    </xf>
    <xf numFmtId="0" fontId="1" fillId="4" borderId="48" xfId="0" applyFont="1" applyFill="1" applyBorder="1" applyAlignment="1" applyProtection="1">
      <alignment horizontal="center" vertical="center" wrapText="1"/>
    </xf>
    <xf numFmtId="164" fontId="3" fillId="0" borderId="6" xfId="0" applyNumberFormat="1" applyFont="1" applyBorder="1" applyAlignment="1" applyProtection="1">
      <alignment horizontal="center"/>
    </xf>
    <xf numFmtId="164" fontId="3" fillId="0" borderId="42" xfId="0" applyNumberFormat="1" applyFont="1" applyBorder="1" applyAlignment="1" applyProtection="1">
      <alignment horizontal="center"/>
    </xf>
    <xf numFmtId="0" fontId="1" fillId="3" borderId="3" xfId="0" applyFont="1" applyFill="1" applyBorder="1" applyAlignment="1" applyProtection="1">
      <alignment horizontal="center" vertical="center" wrapText="1"/>
    </xf>
    <xf numFmtId="0" fontId="1" fillId="3" borderId="2" xfId="0" applyFont="1" applyFill="1" applyBorder="1" applyAlignment="1" applyProtection="1">
      <alignment horizontal="center" vertical="center" wrapText="1"/>
    </xf>
    <xf numFmtId="0" fontId="9" fillId="5" borderId="6" xfId="0" applyFont="1" applyFill="1" applyBorder="1" applyAlignment="1" applyProtection="1">
      <alignment horizontal="left" vertical="center" wrapText="1"/>
      <protection locked="0"/>
    </xf>
    <xf numFmtId="0" fontId="9" fillId="5" borderId="41" xfId="0" applyFont="1" applyFill="1" applyBorder="1" applyAlignment="1" applyProtection="1">
      <alignment horizontal="left" vertical="center" wrapText="1"/>
      <protection locked="0"/>
    </xf>
    <xf numFmtId="0" fontId="9" fillId="5" borderId="42" xfId="0" applyFont="1" applyFill="1" applyBorder="1" applyAlignment="1" applyProtection="1">
      <alignment horizontal="left" vertical="center" wrapText="1"/>
      <protection locked="0"/>
    </xf>
    <xf numFmtId="164" fontId="1" fillId="2" borderId="3" xfId="0" applyNumberFormat="1" applyFont="1" applyFill="1" applyBorder="1" applyAlignment="1" applyProtection="1">
      <alignment horizontal="center"/>
    </xf>
    <xf numFmtId="164" fontId="1" fillId="2" borderId="4" xfId="0" applyNumberFormat="1" applyFont="1" applyFill="1" applyBorder="1" applyAlignment="1" applyProtection="1">
      <alignment horizontal="center"/>
    </xf>
    <xf numFmtId="164" fontId="1" fillId="2" borderId="2" xfId="0" applyNumberFormat="1" applyFont="1" applyFill="1" applyBorder="1" applyAlignment="1" applyProtection="1">
      <alignment horizontal="center"/>
    </xf>
    <xf numFmtId="0" fontId="10" fillId="4" borderId="46" xfId="0" applyFont="1" applyFill="1" applyBorder="1" applyAlignment="1" applyProtection="1">
      <alignment horizontal="center" vertical="center" wrapText="1"/>
    </xf>
    <xf numFmtId="0" fontId="10" fillId="4" borderId="48" xfId="0" applyFont="1" applyFill="1" applyBorder="1" applyAlignment="1" applyProtection="1">
      <alignment horizontal="center" vertical="center" wrapText="1"/>
    </xf>
    <xf numFmtId="0" fontId="1" fillId="4" borderId="3" xfId="0" applyFont="1" applyFill="1" applyBorder="1" applyAlignment="1" applyProtection="1">
      <alignment horizontal="center" vertical="center" wrapText="1"/>
    </xf>
    <xf numFmtId="0" fontId="1" fillId="4" borderId="2" xfId="0" applyFont="1" applyFill="1" applyBorder="1" applyAlignment="1" applyProtection="1">
      <alignment horizontal="center" vertical="center" wrapText="1"/>
    </xf>
    <xf numFmtId="0" fontId="3" fillId="4" borderId="6" xfId="0" applyFont="1" applyFill="1" applyBorder="1" applyAlignment="1" applyProtection="1">
      <alignment horizontal="center" vertical="center" wrapText="1"/>
    </xf>
    <xf numFmtId="0" fontId="3" fillId="4" borderId="42" xfId="0" applyFont="1" applyFill="1" applyBorder="1" applyAlignment="1" applyProtection="1">
      <alignment horizontal="center" vertical="center" wrapText="1"/>
    </xf>
    <xf numFmtId="0" fontId="4" fillId="4" borderId="3" xfId="0" applyFont="1" applyFill="1" applyBorder="1" applyAlignment="1" applyProtection="1">
      <alignment horizontal="center" textRotation="90" wrapText="1"/>
    </xf>
    <xf numFmtId="0" fontId="4" fillId="4" borderId="4" xfId="0" applyFont="1" applyFill="1" applyBorder="1" applyAlignment="1" applyProtection="1">
      <alignment horizontal="center" textRotation="90" wrapText="1"/>
    </xf>
    <xf numFmtId="0" fontId="4" fillId="4" borderId="2" xfId="0" applyFont="1" applyFill="1" applyBorder="1" applyAlignment="1" applyProtection="1">
      <alignment horizontal="center" textRotation="90" wrapText="1"/>
    </xf>
    <xf numFmtId="0" fontId="1" fillId="4" borderId="26" xfId="0" applyFont="1" applyFill="1" applyBorder="1" applyAlignment="1" applyProtection="1">
      <alignment horizontal="center" vertical="center" wrapText="1"/>
    </xf>
    <xf numFmtId="0" fontId="1" fillId="4" borderId="49" xfId="0" applyFont="1" applyFill="1" applyBorder="1" applyAlignment="1" applyProtection="1">
      <alignment horizontal="center" vertical="center" wrapText="1"/>
    </xf>
    <xf numFmtId="0" fontId="1" fillId="3" borderId="4" xfId="0" applyFont="1" applyFill="1" applyBorder="1" applyAlignment="1" applyProtection="1">
      <alignment horizontal="center" vertical="center" wrapText="1"/>
    </xf>
    <xf numFmtId="0" fontId="1" fillId="0" borderId="3" xfId="0" applyFont="1" applyFill="1" applyBorder="1" applyAlignment="1" applyProtection="1">
      <alignment horizontal="center" vertical="center" wrapText="1"/>
    </xf>
    <xf numFmtId="0" fontId="1" fillId="0" borderId="2" xfId="0" applyFont="1" applyFill="1" applyBorder="1" applyAlignment="1" applyProtection="1">
      <alignment horizontal="center" vertical="center" wrapText="1"/>
    </xf>
    <xf numFmtId="0" fontId="1" fillId="0" borderId="46" xfId="0" applyFont="1" applyBorder="1" applyAlignment="1" applyProtection="1">
      <alignment horizontal="center"/>
    </xf>
    <xf numFmtId="0" fontId="1" fillId="0" borderId="48" xfId="0" applyFont="1" applyBorder="1" applyAlignment="1" applyProtection="1">
      <alignment horizontal="center"/>
    </xf>
    <xf numFmtId="0" fontId="3" fillId="5" borderId="30" xfId="0" applyFont="1" applyFill="1" applyBorder="1" applyAlignment="1" applyProtection="1">
      <alignment horizontal="left" vertical="center" wrapText="1"/>
      <protection locked="0"/>
    </xf>
    <xf numFmtId="0" fontId="4" fillId="5" borderId="31" xfId="0" applyFont="1" applyFill="1" applyBorder="1" applyAlignment="1" applyProtection="1">
      <alignment horizontal="left" vertical="center" wrapText="1"/>
      <protection locked="0"/>
    </xf>
    <xf numFmtId="0" fontId="3" fillId="5" borderId="27" xfId="0" applyFont="1" applyFill="1" applyBorder="1" applyAlignment="1" applyProtection="1">
      <alignment horizontal="left" vertical="center" wrapText="1"/>
      <protection locked="0"/>
    </xf>
    <xf numFmtId="0" fontId="4" fillId="5" borderId="16" xfId="0" applyFont="1" applyFill="1" applyBorder="1" applyAlignment="1" applyProtection="1">
      <alignment horizontal="left" vertical="center" wrapText="1"/>
      <protection locked="0"/>
    </xf>
    <xf numFmtId="0" fontId="4" fillId="5" borderId="27" xfId="0" applyFont="1" applyFill="1" applyBorder="1" applyAlignment="1" applyProtection="1">
      <alignment horizontal="left" vertical="center" wrapText="1"/>
      <protection locked="0"/>
    </xf>
    <xf numFmtId="0" fontId="4" fillId="5" borderId="36" xfId="0" applyFont="1" applyFill="1" applyBorder="1" applyAlignment="1" applyProtection="1">
      <alignment horizontal="left" vertical="center" wrapText="1"/>
      <protection locked="0"/>
    </xf>
    <xf numFmtId="0" fontId="4" fillId="5" borderId="37" xfId="0" applyFont="1" applyFill="1" applyBorder="1" applyAlignment="1" applyProtection="1">
      <alignment horizontal="left" vertical="center" wrapText="1"/>
      <protection locked="0"/>
    </xf>
    <xf numFmtId="0" fontId="1" fillId="5" borderId="3" xfId="0" applyFont="1" applyFill="1" applyBorder="1" applyAlignment="1" applyProtection="1">
      <alignment horizontal="center" vertical="center" wrapText="1"/>
      <protection locked="0"/>
    </xf>
    <xf numFmtId="0" fontId="1" fillId="5" borderId="2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left" vertical="center"/>
    </xf>
    <xf numFmtId="0" fontId="1" fillId="0" borderId="6" xfId="0" applyFont="1" applyBorder="1" applyAlignment="1" applyProtection="1">
      <alignment horizontal="center"/>
    </xf>
    <xf numFmtId="0" fontId="1" fillId="0" borderId="42" xfId="0" applyFont="1" applyBorder="1" applyAlignment="1" applyProtection="1">
      <alignment horizontal="center"/>
    </xf>
    <xf numFmtId="0" fontId="3" fillId="4" borderId="43" xfId="0" applyFont="1" applyFill="1" applyBorder="1" applyAlignment="1" applyProtection="1">
      <alignment horizontal="center" vertical="center" wrapText="1"/>
    </xf>
    <xf numFmtId="0" fontId="3" fillId="4" borderId="44" xfId="0" applyFont="1" applyFill="1" applyBorder="1" applyAlignment="1" applyProtection="1">
      <alignment horizontal="center" vertical="center" wrapText="1"/>
    </xf>
    <xf numFmtId="0" fontId="2" fillId="0" borderId="0" xfId="0" applyFont="1" applyFill="1" applyBorder="1" applyAlignment="1" applyProtection="1">
      <alignment vertical="top"/>
    </xf>
    <xf numFmtId="164" fontId="3" fillId="5" borderId="22" xfId="0" applyNumberFormat="1" applyFont="1" applyFill="1" applyBorder="1" applyAlignment="1" applyProtection="1">
      <alignment horizontal="center" vertical="center"/>
      <protection locked="0"/>
    </xf>
    <xf numFmtId="164" fontId="3" fillId="5" borderId="23" xfId="0" applyNumberFormat="1" applyFont="1" applyFill="1" applyBorder="1" applyAlignment="1" applyProtection="1">
      <alignment horizontal="center" vertical="center"/>
      <protection locked="0"/>
    </xf>
    <xf numFmtId="164" fontId="3" fillId="5" borderId="38" xfId="0" applyNumberFormat="1" applyFont="1" applyFill="1" applyBorder="1" applyAlignment="1" applyProtection="1">
      <alignment horizontal="center" vertical="center"/>
      <protection locked="0"/>
    </xf>
    <xf numFmtId="0" fontId="9" fillId="0" borderId="39" xfId="0" applyFont="1" applyBorder="1" applyAlignment="1" applyProtection="1">
      <alignment horizontal="center" vertical="center" wrapText="1"/>
    </xf>
    <xf numFmtId="0" fontId="9" fillId="0" borderId="40" xfId="0" applyFont="1" applyBorder="1" applyAlignment="1" applyProtection="1">
      <alignment horizontal="center" vertical="center" wrapText="1"/>
    </xf>
    <xf numFmtId="0" fontId="9" fillId="0" borderId="27" xfId="0" applyFont="1" applyBorder="1" applyAlignment="1" applyProtection="1">
      <alignment horizontal="center" vertical="center" wrapText="1"/>
    </xf>
    <xf numFmtId="0" fontId="9" fillId="0" borderId="28" xfId="0" applyFont="1" applyBorder="1" applyAlignment="1" applyProtection="1">
      <alignment horizontal="center" vertical="center" wrapText="1"/>
    </xf>
    <xf numFmtId="0" fontId="9" fillId="0" borderId="29" xfId="0" applyFont="1" applyBorder="1" applyAlignment="1" applyProtection="1">
      <alignment horizontal="center" vertical="center" wrapText="1"/>
    </xf>
    <xf numFmtId="164" fontId="3" fillId="5" borderId="24" xfId="0" applyNumberFormat="1" applyFont="1" applyFill="1" applyBorder="1" applyAlignment="1" applyProtection="1">
      <alignment horizontal="center" vertical="center"/>
      <protection locked="0"/>
    </xf>
    <xf numFmtId="164" fontId="3" fillId="0" borderId="41" xfId="0" applyNumberFormat="1" applyFont="1" applyBorder="1" applyAlignment="1" applyProtection="1">
      <alignment horizontal="center"/>
    </xf>
    <xf numFmtId="0" fontId="12" fillId="5" borderId="50" xfId="0" applyFont="1" applyFill="1" applyBorder="1" applyAlignment="1" applyProtection="1">
      <alignment horizontal="center" vertical="center" wrapText="1"/>
      <protection locked="0"/>
    </xf>
    <xf numFmtId="0" fontId="12" fillId="5" borderId="34" xfId="0" applyFont="1" applyFill="1" applyBorder="1" applyAlignment="1" applyProtection="1">
      <alignment horizontal="center" vertical="center" wrapText="1"/>
      <protection locked="0"/>
    </xf>
    <xf numFmtId="0" fontId="12" fillId="5" borderId="35" xfId="0" applyFont="1" applyFill="1" applyBorder="1" applyAlignment="1" applyProtection="1">
      <alignment horizontal="center" vertical="center" wrapText="1"/>
      <protection locked="0"/>
    </xf>
    <xf numFmtId="164" fontId="1" fillId="0" borderId="3" xfId="0" applyNumberFormat="1" applyFont="1" applyBorder="1" applyAlignment="1" applyProtection="1">
      <alignment horizontal="center" vertical="center"/>
    </xf>
    <xf numFmtId="164" fontId="1" fillId="0" borderId="2" xfId="0" applyNumberFormat="1" applyFont="1" applyBorder="1" applyAlignment="1" applyProtection="1">
      <alignment horizontal="center" vertical="center"/>
    </xf>
    <xf numFmtId="0" fontId="2" fillId="0" borderId="16" xfId="0" applyFont="1" applyFill="1" applyBorder="1" applyAlignment="1" applyProtection="1">
      <alignment vertical="top"/>
    </xf>
    <xf numFmtId="0" fontId="2" fillId="0" borderId="17" xfId="0" applyFont="1" applyFill="1" applyBorder="1" applyAlignment="1" applyProtection="1">
      <alignment vertical="top"/>
    </xf>
    <xf numFmtId="0" fontId="2" fillId="0" borderId="18" xfId="0" applyFont="1" applyFill="1" applyBorder="1" applyAlignment="1" applyProtection="1">
      <alignment vertical="top"/>
    </xf>
    <xf numFmtId="0" fontId="1" fillId="4" borderId="19" xfId="0" applyFont="1" applyFill="1" applyBorder="1" applyAlignment="1" applyProtection="1">
      <alignment horizontal="center" vertical="center" wrapText="1"/>
    </xf>
    <xf numFmtId="0" fontId="1" fillId="4" borderId="20" xfId="0" applyFont="1" applyFill="1" applyBorder="1" applyAlignment="1" applyProtection="1">
      <alignment horizontal="center" vertical="center" wrapText="1"/>
    </xf>
    <xf numFmtId="0" fontId="1" fillId="4" borderId="21" xfId="0" applyFont="1" applyFill="1" applyBorder="1" applyAlignment="1" applyProtection="1">
      <alignment horizontal="center" vertical="center" wrapText="1"/>
    </xf>
    <xf numFmtId="0" fontId="9" fillId="0" borderId="25" xfId="0" applyFont="1" applyFill="1" applyBorder="1" applyAlignment="1" applyProtection="1">
      <alignment horizontal="center" vertical="center"/>
    </xf>
    <xf numFmtId="0" fontId="9" fillId="0" borderId="26" xfId="0" applyFont="1" applyFill="1" applyBorder="1" applyAlignment="1" applyProtection="1">
      <alignment horizontal="center" vertical="center"/>
    </xf>
    <xf numFmtId="0" fontId="9" fillId="0" borderId="27" xfId="0" applyFont="1" applyFill="1" applyBorder="1" applyAlignment="1" applyProtection="1">
      <alignment horizontal="center" vertical="center"/>
    </xf>
    <xf numFmtId="0" fontId="9" fillId="0" borderId="0" xfId="0" applyFont="1" applyFill="1" applyBorder="1" applyAlignment="1" applyProtection="1">
      <alignment horizontal="center" vertical="center"/>
    </xf>
    <xf numFmtId="0" fontId="9" fillId="0" borderId="28" xfId="0" applyFont="1" applyFill="1" applyBorder="1" applyAlignment="1" applyProtection="1">
      <alignment horizontal="center" vertical="center"/>
    </xf>
    <xf numFmtId="0" fontId="9" fillId="0" borderId="29" xfId="0" applyFont="1" applyFill="1" applyBorder="1" applyAlignment="1" applyProtection="1">
      <alignment horizontal="center" vertical="center"/>
    </xf>
    <xf numFmtId="0" fontId="4" fillId="5" borderId="28" xfId="0" applyFont="1" applyFill="1" applyBorder="1" applyAlignment="1" applyProtection="1">
      <alignment horizontal="left" vertical="center" wrapText="1"/>
      <protection locked="0"/>
    </xf>
    <xf numFmtId="0" fontId="4" fillId="5" borderId="32" xfId="0" applyFont="1" applyFill="1" applyBorder="1" applyAlignment="1" applyProtection="1">
      <alignment horizontal="left" vertical="center" wrapText="1"/>
      <protection locked="0"/>
    </xf>
    <xf numFmtId="164" fontId="4" fillId="6" borderId="33" xfId="0" applyNumberFormat="1" applyFont="1" applyFill="1" applyBorder="1" applyAlignment="1" applyProtection="1">
      <alignment horizontal="center" vertical="center"/>
      <protection locked="0"/>
    </xf>
    <xf numFmtId="164" fontId="4" fillId="6" borderId="34" xfId="0" applyNumberFormat="1" applyFont="1" applyFill="1" applyBorder="1" applyAlignment="1" applyProtection="1">
      <alignment horizontal="center" vertical="center"/>
      <protection locked="0"/>
    </xf>
    <xf numFmtId="164" fontId="4" fillId="6" borderId="35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D74"/>
  <sheetViews>
    <sheetView tabSelected="1" zoomScaleNormal="100" workbookViewId="0"/>
  </sheetViews>
  <sheetFormatPr defaultColWidth="8.7109375" defaultRowHeight="12"/>
  <cols>
    <col min="1" max="1" width="2.7109375" style="1" customWidth="1"/>
    <col min="2" max="2" width="42.28515625" style="1" customWidth="1"/>
    <col min="3" max="3" width="16.140625" style="1" customWidth="1"/>
    <col min="4" max="4" width="26.7109375" style="1" customWidth="1"/>
    <col min="5" max="15" width="24.7109375" style="1" customWidth="1"/>
    <col min="16" max="16" width="26.7109375" style="1" customWidth="1"/>
    <col min="17" max="21" width="24.7109375" style="1" customWidth="1"/>
    <col min="22" max="16384" width="8.7109375" style="1"/>
  </cols>
  <sheetData>
    <row r="1" spans="1:30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30" ht="33" customHeight="1">
      <c r="A2" s="15"/>
      <c r="B2" s="68" t="s">
        <v>71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15"/>
      <c r="W2" s="15"/>
      <c r="X2" s="15"/>
      <c r="Y2" s="4"/>
      <c r="Z2" s="4"/>
      <c r="AA2" s="4"/>
      <c r="AB2" s="4"/>
      <c r="AC2" s="4"/>
      <c r="AD2" s="4"/>
    </row>
    <row r="3" spans="1:30" ht="33" customHeight="1" thickBot="1">
      <c r="A3" s="15"/>
      <c r="B3" s="68" t="s">
        <v>46</v>
      </c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15"/>
      <c r="W3" s="15"/>
      <c r="X3" s="15"/>
      <c r="Y3" s="4"/>
      <c r="Z3" s="4"/>
      <c r="AA3" s="4"/>
      <c r="AB3" s="4"/>
      <c r="AC3" s="4"/>
      <c r="AD3" s="4"/>
    </row>
    <row r="4" spans="1:30" ht="60" customHeight="1" thickBot="1">
      <c r="A4" s="15"/>
      <c r="B4" s="77" t="s">
        <v>44</v>
      </c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9"/>
      <c r="V4" s="15"/>
      <c r="W4" s="15"/>
      <c r="X4" s="15"/>
      <c r="Y4" s="4"/>
      <c r="Z4" s="4"/>
      <c r="AA4" s="4"/>
      <c r="AB4" s="4"/>
      <c r="AC4" s="4"/>
      <c r="AD4" s="4"/>
    </row>
    <row r="5" spans="1:30" ht="20.100000000000001" customHeight="1" thickBot="1">
      <c r="A5" s="15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5"/>
      <c r="W5" s="15"/>
      <c r="X5" s="15"/>
      <c r="Y5" s="4"/>
      <c r="Z5" s="4"/>
      <c r="AA5" s="4"/>
      <c r="AB5" s="4"/>
      <c r="AC5" s="4"/>
      <c r="AD5" s="4"/>
    </row>
    <row r="6" spans="1:30" s="2" customFormat="1" ht="91.5" customHeight="1">
      <c r="A6" s="47"/>
      <c r="B6" s="69" t="s">
        <v>0</v>
      </c>
      <c r="C6" s="70"/>
      <c r="D6" s="69" t="s">
        <v>49</v>
      </c>
      <c r="E6" s="70"/>
      <c r="F6" s="85" t="s">
        <v>48</v>
      </c>
      <c r="G6" s="69" t="s">
        <v>50</v>
      </c>
      <c r="H6" s="69" t="s">
        <v>51</v>
      </c>
      <c r="I6" s="70"/>
      <c r="J6" s="85" t="s">
        <v>74</v>
      </c>
      <c r="K6" s="69" t="s">
        <v>72</v>
      </c>
      <c r="L6" s="92"/>
      <c r="M6" s="92"/>
      <c r="N6" s="92"/>
      <c r="O6" s="70"/>
      <c r="P6" s="69" t="s">
        <v>76</v>
      </c>
      <c r="Q6" s="70"/>
      <c r="R6" s="85" t="s">
        <v>53</v>
      </c>
      <c r="S6" s="85" t="s">
        <v>31</v>
      </c>
      <c r="T6" s="85" t="s">
        <v>32</v>
      </c>
      <c r="U6" s="85" t="s">
        <v>35</v>
      </c>
      <c r="V6" s="47"/>
      <c r="W6" s="47"/>
      <c r="X6" s="47"/>
      <c r="Y6" s="43"/>
      <c r="Z6" s="43"/>
      <c r="AA6" s="43"/>
      <c r="AB6" s="43"/>
      <c r="AC6" s="43"/>
      <c r="AD6" s="43"/>
    </row>
    <row r="7" spans="1:30" s="2" customFormat="1" ht="91.5" customHeight="1" thickBot="1">
      <c r="A7" s="47"/>
      <c r="B7" s="83"/>
      <c r="C7" s="84"/>
      <c r="D7" s="71"/>
      <c r="E7" s="72"/>
      <c r="F7" s="86"/>
      <c r="G7" s="71"/>
      <c r="H7" s="71"/>
      <c r="I7" s="72"/>
      <c r="J7" s="86"/>
      <c r="K7" s="71"/>
      <c r="L7" s="93"/>
      <c r="M7" s="93"/>
      <c r="N7" s="93"/>
      <c r="O7" s="72"/>
      <c r="P7" s="71"/>
      <c r="Q7" s="72"/>
      <c r="R7" s="86"/>
      <c r="S7" s="86"/>
      <c r="T7" s="86"/>
      <c r="U7" s="86"/>
      <c r="V7" s="47"/>
      <c r="W7" s="47"/>
      <c r="X7" s="47"/>
      <c r="Y7" s="43"/>
      <c r="Z7" s="43"/>
      <c r="AA7" s="43"/>
      <c r="AB7" s="43"/>
      <c r="AC7" s="43"/>
      <c r="AD7" s="43"/>
    </row>
    <row r="8" spans="1:30" s="2" customFormat="1" ht="86.1" customHeight="1">
      <c r="A8" s="47"/>
      <c r="B8" s="69" t="s">
        <v>36</v>
      </c>
      <c r="C8" s="70"/>
      <c r="D8" s="75" t="s">
        <v>47</v>
      </c>
      <c r="E8" s="75" t="s">
        <v>63</v>
      </c>
      <c r="F8" s="75" t="s">
        <v>56</v>
      </c>
      <c r="G8" s="95" t="s">
        <v>77</v>
      </c>
      <c r="H8" s="106" t="s">
        <v>57</v>
      </c>
      <c r="I8" s="106" t="s">
        <v>58</v>
      </c>
      <c r="J8" s="75" t="s">
        <v>59</v>
      </c>
      <c r="K8" s="75" t="s">
        <v>61</v>
      </c>
      <c r="L8" s="75" t="s">
        <v>60</v>
      </c>
      <c r="M8" s="75" t="s">
        <v>55</v>
      </c>
      <c r="N8" s="75" t="s">
        <v>67</v>
      </c>
      <c r="O8" s="75" t="s">
        <v>66</v>
      </c>
      <c r="P8" s="75" t="s">
        <v>52</v>
      </c>
      <c r="Q8" s="75" t="s">
        <v>62</v>
      </c>
      <c r="R8" s="75" t="s">
        <v>64</v>
      </c>
      <c r="S8" s="75" t="s">
        <v>73</v>
      </c>
      <c r="T8" s="75" t="s">
        <v>65</v>
      </c>
      <c r="U8" s="80"/>
      <c r="V8" s="47"/>
      <c r="W8" s="47"/>
      <c r="X8" s="47"/>
      <c r="Y8" s="43"/>
      <c r="Z8" s="43"/>
      <c r="AA8" s="43"/>
      <c r="AB8" s="43"/>
      <c r="AC8" s="43"/>
      <c r="AD8" s="43"/>
    </row>
    <row r="9" spans="1:30" s="2" customFormat="1" ht="86.1" customHeight="1" thickBot="1">
      <c r="A9" s="47"/>
      <c r="B9" s="71"/>
      <c r="C9" s="72"/>
      <c r="D9" s="94"/>
      <c r="E9" s="94"/>
      <c r="F9" s="76"/>
      <c r="G9" s="96"/>
      <c r="H9" s="107"/>
      <c r="I9" s="107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81"/>
      <c r="V9" s="47"/>
      <c r="W9" s="47"/>
      <c r="X9" s="47"/>
      <c r="Y9" s="43"/>
      <c r="Z9" s="43"/>
      <c r="AA9" s="43"/>
      <c r="AB9" s="43"/>
      <c r="AC9" s="43"/>
      <c r="AD9" s="43"/>
    </row>
    <row r="10" spans="1:30" s="2" customFormat="1" ht="30" customHeight="1" thickBot="1">
      <c r="A10" s="47"/>
      <c r="B10" s="87" t="s">
        <v>43</v>
      </c>
      <c r="C10" s="88"/>
      <c r="D10" s="24">
        <v>6</v>
      </c>
      <c r="E10" s="25"/>
      <c r="F10" s="24">
        <v>1</v>
      </c>
      <c r="G10" s="66"/>
      <c r="H10" s="24">
        <v>1</v>
      </c>
      <c r="I10" s="24">
        <v>1</v>
      </c>
      <c r="J10" s="24">
        <v>1</v>
      </c>
      <c r="K10" s="24">
        <v>1</v>
      </c>
      <c r="L10" s="24">
        <v>1</v>
      </c>
      <c r="M10" s="24">
        <v>24</v>
      </c>
      <c r="N10" s="24">
        <v>8</v>
      </c>
      <c r="O10" s="25"/>
      <c r="P10" s="24">
        <v>8</v>
      </c>
      <c r="Q10" s="25"/>
      <c r="R10" s="24">
        <v>1</v>
      </c>
      <c r="S10" s="24">
        <v>1</v>
      </c>
      <c r="T10" s="24">
        <v>1</v>
      </c>
      <c r="U10" s="82"/>
      <c r="V10" s="47"/>
      <c r="W10" s="47"/>
      <c r="X10" s="47"/>
      <c r="Y10" s="43"/>
      <c r="Z10" s="43"/>
      <c r="AA10" s="43"/>
      <c r="AB10" s="43"/>
      <c r="AC10" s="43"/>
      <c r="AD10" s="43"/>
    </row>
    <row r="11" spans="1:30" s="3" customFormat="1" ht="20.100000000000001" customHeight="1" thickBot="1">
      <c r="A11" s="48"/>
      <c r="B11" s="26" t="s">
        <v>1</v>
      </c>
      <c r="C11" s="89" t="s">
        <v>2</v>
      </c>
      <c r="D11" s="65">
        <v>0</v>
      </c>
      <c r="E11" s="41">
        <f>(D11*$D$10)</f>
        <v>0</v>
      </c>
      <c r="F11" s="65">
        <v>0</v>
      </c>
      <c r="G11" s="67"/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41">
        <f>K11+L11+(M11*$M$10)+(N11*$N$10)</f>
        <v>0</v>
      </c>
      <c r="P11" s="65">
        <v>0</v>
      </c>
      <c r="Q11" s="41">
        <f>(P11*$P$10)</f>
        <v>0</v>
      </c>
      <c r="R11" s="65">
        <v>0</v>
      </c>
      <c r="S11" s="65">
        <v>0</v>
      </c>
      <c r="T11" s="65">
        <v>0</v>
      </c>
      <c r="U11" s="42">
        <f>E11+F11+G11+H11+I11+J11+O11+Q11+R11+S11+T11</f>
        <v>0</v>
      </c>
      <c r="V11" s="48"/>
      <c r="W11" s="48"/>
      <c r="X11" s="48"/>
      <c r="Y11" s="44"/>
      <c r="Z11" s="44"/>
      <c r="AA11" s="44"/>
      <c r="AB11" s="44"/>
      <c r="AC11" s="44"/>
      <c r="AD11" s="44"/>
    </row>
    <row r="12" spans="1:30" s="3" customFormat="1" ht="20.100000000000001" customHeight="1" thickBot="1">
      <c r="A12" s="48"/>
      <c r="B12" s="27" t="s">
        <v>3</v>
      </c>
      <c r="C12" s="90"/>
      <c r="D12" s="39">
        <v>1</v>
      </c>
      <c r="E12" s="39"/>
      <c r="F12" s="39"/>
      <c r="G12" s="67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40"/>
      <c r="V12" s="48"/>
      <c r="W12" s="48"/>
      <c r="X12" s="48"/>
      <c r="Y12" s="44"/>
      <c r="Z12" s="44"/>
      <c r="AA12" s="44"/>
      <c r="AB12" s="44"/>
      <c r="AC12" s="44"/>
      <c r="AD12" s="44"/>
    </row>
    <row r="13" spans="1:30" s="3" customFormat="1" ht="20.100000000000001" customHeight="1" thickBot="1">
      <c r="A13" s="48"/>
      <c r="B13" s="58" t="s">
        <v>29</v>
      </c>
      <c r="C13" s="90"/>
      <c r="D13" s="65">
        <v>0</v>
      </c>
      <c r="E13" s="41">
        <f>(D13*$D$10)</f>
        <v>0</v>
      </c>
      <c r="F13" s="65">
        <v>0</v>
      </c>
      <c r="G13" s="67"/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r="O13" s="41">
        <f t="shared" ref="O13:O30" si="0">K13+L13+(M13*$M$10)+(N13*$N$10)</f>
        <v>0</v>
      </c>
      <c r="P13" s="65">
        <v>0</v>
      </c>
      <c r="Q13" s="41">
        <f>(P13*$P$10)</f>
        <v>0</v>
      </c>
      <c r="R13" s="65">
        <v>0</v>
      </c>
      <c r="S13" s="65">
        <v>0</v>
      </c>
      <c r="T13" s="65">
        <v>0</v>
      </c>
      <c r="U13" s="42">
        <f>E13+F13+G13+H13+I13+J13+O13+Q13+R13+S13+T13</f>
        <v>0</v>
      </c>
      <c r="V13" s="48"/>
      <c r="W13" s="48"/>
      <c r="X13" s="48"/>
      <c r="Y13" s="44"/>
      <c r="Z13" s="44"/>
      <c r="AA13" s="44"/>
      <c r="AB13" s="44"/>
      <c r="AC13" s="44"/>
      <c r="AD13" s="44"/>
    </row>
    <row r="14" spans="1:30" s="3" customFormat="1" ht="20.100000000000001" customHeight="1" thickBot="1">
      <c r="A14" s="48"/>
      <c r="B14" s="58" t="s">
        <v>29</v>
      </c>
      <c r="C14" s="90"/>
      <c r="D14" s="65">
        <v>0</v>
      </c>
      <c r="E14" s="41">
        <f>(D14*$D$10)</f>
        <v>0</v>
      </c>
      <c r="F14" s="65">
        <v>0</v>
      </c>
      <c r="G14" s="67"/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41">
        <f t="shared" si="0"/>
        <v>0</v>
      </c>
      <c r="P14" s="65">
        <v>0</v>
      </c>
      <c r="Q14" s="41">
        <f>(P14*$P$10)</f>
        <v>0</v>
      </c>
      <c r="R14" s="65">
        <v>0</v>
      </c>
      <c r="S14" s="65">
        <v>0</v>
      </c>
      <c r="T14" s="65">
        <v>0</v>
      </c>
      <c r="U14" s="42">
        <f>E14+F14+G14+H14+I14+J14+O14+Q14+R14+S14+T14</f>
        <v>0</v>
      </c>
      <c r="V14" s="48"/>
      <c r="W14" s="48"/>
      <c r="X14" s="48"/>
      <c r="Y14" s="44"/>
      <c r="Z14" s="44"/>
      <c r="AA14" s="44"/>
      <c r="AB14" s="44"/>
      <c r="AC14" s="44"/>
      <c r="AD14" s="44"/>
    </row>
    <row r="15" spans="1:30" s="3" customFormat="1" ht="20.100000000000001" customHeight="1" thickBot="1">
      <c r="A15" s="48"/>
      <c r="B15" s="58" t="s">
        <v>29</v>
      </c>
      <c r="C15" s="90"/>
      <c r="D15" s="65">
        <v>0</v>
      </c>
      <c r="E15" s="41">
        <f>(D15*$D$10)</f>
        <v>0</v>
      </c>
      <c r="F15" s="65">
        <v>0</v>
      </c>
      <c r="G15" s="67"/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41">
        <f t="shared" si="0"/>
        <v>0</v>
      </c>
      <c r="P15" s="65">
        <v>0</v>
      </c>
      <c r="Q15" s="41">
        <f>(P15*$P$10)</f>
        <v>0</v>
      </c>
      <c r="R15" s="65">
        <v>0</v>
      </c>
      <c r="S15" s="65">
        <v>0</v>
      </c>
      <c r="T15" s="65">
        <v>0</v>
      </c>
      <c r="U15" s="42">
        <f>E15+F15+G15+H15+I15+J15+O15+Q15+R15+S15+T15</f>
        <v>0</v>
      </c>
      <c r="V15" s="48"/>
      <c r="W15" s="48"/>
      <c r="X15" s="48"/>
      <c r="Y15" s="44"/>
      <c r="Z15" s="44"/>
      <c r="AA15" s="44"/>
      <c r="AB15" s="44"/>
      <c r="AC15" s="44"/>
      <c r="AD15" s="44"/>
    </row>
    <row r="16" spans="1:30" s="3" customFormat="1" ht="20.100000000000001" customHeight="1" thickBot="1">
      <c r="A16" s="48"/>
      <c r="B16" s="58" t="s">
        <v>68</v>
      </c>
      <c r="C16" s="90"/>
      <c r="D16" s="65">
        <v>0</v>
      </c>
      <c r="E16" s="41">
        <f>(D16*$D$10)</f>
        <v>0</v>
      </c>
      <c r="F16" s="65">
        <v>0</v>
      </c>
      <c r="G16" s="67"/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  <c r="O16" s="41">
        <f t="shared" si="0"/>
        <v>0</v>
      </c>
      <c r="P16" s="65">
        <v>0</v>
      </c>
      <c r="Q16" s="41">
        <f>(P16*$P$10)</f>
        <v>0</v>
      </c>
      <c r="R16" s="65">
        <v>0</v>
      </c>
      <c r="S16" s="65">
        <v>0</v>
      </c>
      <c r="T16" s="65">
        <v>0</v>
      </c>
      <c r="U16" s="42">
        <f>E16+F16+G16+H16+I16+J16+O16+Q16+R16+S16+T16</f>
        <v>0</v>
      </c>
      <c r="V16" s="48"/>
      <c r="W16" s="48"/>
      <c r="X16" s="48"/>
      <c r="Y16" s="44"/>
      <c r="Z16" s="44"/>
      <c r="AA16" s="44"/>
      <c r="AB16" s="44"/>
      <c r="AC16" s="44"/>
      <c r="AD16" s="44"/>
    </row>
    <row r="17" spans="1:30" s="3" customFormat="1" ht="20.100000000000001" customHeight="1" thickBot="1">
      <c r="A17" s="48"/>
      <c r="B17" s="27" t="s">
        <v>4</v>
      </c>
      <c r="C17" s="90"/>
      <c r="D17" s="39"/>
      <c r="E17" s="39"/>
      <c r="F17" s="39"/>
      <c r="G17" s="67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40"/>
      <c r="V17" s="48"/>
      <c r="W17" s="48"/>
      <c r="X17" s="48"/>
      <c r="Y17" s="44"/>
      <c r="Z17" s="44"/>
      <c r="AA17" s="44"/>
      <c r="AB17" s="44"/>
      <c r="AC17" s="44"/>
      <c r="AD17" s="44"/>
    </row>
    <row r="18" spans="1:30" s="3" customFormat="1" ht="20.100000000000001" customHeight="1" thickBot="1">
      <c r="A18" s="48"/>
      <c r="B18" s="28" t="s">
        <v>27</v>
      </c>
      <c r="C18" s="90"/>
      <c r="D18" s="65">
        <v>0</v>
      </c>
      <c r="E18" s="41">
        <f t="shared" ref="E18:E30" si="1">(D18*$D$10)</f>
        <v>0</v>
      </c>
      <c r="F18" s="65">
        <v>0</v>
      </c>
      <c r="G18" s="67"/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r="O18" s="41">
        <f t="shared" si="0"/>
        <v>0</v>
      </c>
      <c r="P18" s="65">
        <v>0</v>
      </c>
      <c r="Q18" s="41">
        <f t="shared" ref="Q18:Q30" si="2">(P18*$P$10)</f>
        <v>0</v>
      </c>
      <c r="R18" s="65">
        <v>0</v>
      </c>
      <c r="S18" s="65">
        <v>0</v>
      </c>
      <c r="T18" s="65">
        <v>0</v>
      </c>
      <c r="U18" s="42">
        <f t="shared" ref="U18:U30" si="3">E18+F18+G18+H18+I18+J18+O18+Q18+R18+S18+T18</f>
        <v>0</v>
      </c>
      <c r="V18" s="48"/>
      <c r="W18" s="48"/>
      <c r="X18" s="48"/>
      <c r="Y18" s="44"/>
      <c r="Z18" s="44"/>
      <c r="AA18" s="44"/>
      <c r="AB18" s="44"/>
      <c r="AC18" s="44"/>
      <c r="AD18" s="44"/>
    </row>
    <row r="19" spans="1:30" s="3" customFormat="1" ht="20.100000000000001" customHeight="1" thickBot="1">
      <c r="A19" s="48"/>
      <c r="B19" s="29" t="s">
        <v>5</v>
      </c>
      <c r="C19" s="90"/>
      <c r="D19" s="65">
        <v>0</v>
      </c>
      <c r="E19" s="41">
        <f t="shared" si="1"/>
        <v>0</v>
      </c>
      <c r="F19" s="65">
        <v>0</v>
      </c>
      <c r="G19" s="67"/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  <c r="O19" s="41">
        <f t="shared" si="0"/>
        <v>0</v>
      </c>
      <c r="P19" s="65">
        <v>0</v>
      </c>
      <c r="Q19" s="41">
        <f t="shared" si="2"/>
        <v>0</v>
      </c>
      <c r="R19" s="65">
        <v>0</v>
      </c>
      <c r="S19" s="65">
        <v>0</v>
      </c>
      <c r="T19" s="65">
        <v>0</v>
      </c>
      <c r="U19" s="42">
        <f t="shared" si="3"/>
        <v>0</v>
      </c>
      <c r="V19" s="48"/>
      <c r="W19" s="48"/>
      <c r="X19" s="48"/>
      <c r="Y19" s="44"/>
      <c r="Z19" s="44"/>
      <c r="AA19" s="44"/>
      <c r="AB19" s="44"/>
      <c r="AC19" s="44"/>
      <c r="AD19" s="44"/>
    </row>
    <row r="20" spans="1:30" s="3" customFormat="1" ht="20.100000000000001" customHeight="1" thickBot="1">
      <c r="A20" s="48"/>
      <c r="B20" s="29" t="s">
        <v>6</v>
      </c>
      <c r="C20" s="90"/>
      <c r="D20" s="65">
        <v>0</v>
      </c>
      <c r="E20" s="41">
        <f t="shared" si="1"/>
        <v>0</v>
      </c>
      <c r="F20" s="65">
        <v>0</v>
      </c>
      <c r="G20" s="67"/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  <c r="O20" s="41">
        <f t="shared" si="0"/>
        <v>0</v>
      </c>
      <c r="P20" s="65">
        <v>0</v>
      </c>
      <c r="Q20" s="41">
        <f t="shared" si="2"/>
        <v>0</v>
      </c>
      <c r="R20" s="65">
        <v>0</v>
      </c>
      <c r="S20" s="65">
        <v>0</v>
      </c>
      <c r="T20" s="65">
        <v>0</v>
      </c>
      <c r="U20" s="42">
        <f t="shared" si="3"/>
        <v>0</v>
      </c>
      <c r="V20" s="48"/>
      <c r="W20" s="48"/>
      <c r="X20" s="48"/>
      <c r="Y20" s="44"/>
      <c r="Z20" s="44"/>
      <c r="AA20" s="44"/>
      <c r="AB20" s="44"/>
      <c r="AC20" s="44"/>
      <c r="AD20" s="44"/>
    </row>
    <row r="21" spans="1:30" s="3" customFormat="1" ht="20.100000000000001" customHeight="1" thickBot="1">
      <c r="A21" s="48"/>
      <c r="B21" s="29" t="s">
        <v>7</v>
      </c>
      <c r="C21" s="90"/>
      <c r="D21" s="65">
        <v>0</v>
      </c>
      <c r="E21" s="41">
        <f t="shared" si="1"/>
        <v>0</v>
      </c>
      <c r="F21" s="65">
        <v>0</v>
      </c>
      <c r="G21" s="67"/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  <c r="O21" s="41">
        <f t="shared" si="0"/>
        <v>0</v>
      </c>
      <c r="P21" s="65">
        <v>0</v>
      </c>
      <c r="Q21" s="41">
        <f t="shared" si="2"/>
        <v>0</v>
      </c>
      <c r="R21" s="65">
        <v>0</v>
      </c>
      <c r="S21" s="65">
        <v>0</v>
      </c>
      <c r="T21" s="65">
        <v>0</v>
      </c>
      <c r="U21" s="42">
        <f t="shared" si="3"/>
        <v>0</v>
      </c>
      <c r="V21" s="48"/>
      <c r="W21" s="48"/>
      <c r="X21" s="48"/>
      <c r="Y21" s="44"/>
      <c r="Z21" s="44"/>
      <c r="AA21" s="44"/>
      <c r="AB21" s="44"/>
      <c r="AC21" s="44"/>
      <c r="AD21" s="44"/>
    </row>
    <row r="22" spans="1:30" s="3" customFormat="1" ht="20.100000000000001" customHeight="1" thickBot="1">
      <c r="A22" s="48"/>
      <c r="B22" s="29" t="s">
        <v>26</v>
      </c>
      <c r="C22" s="90"/>
      <c r="D22" s="65">
        <v>0</v>
      </c>
      <c r="E22" s="41">
        <f t="shared" si="1"/>
        <v>0</v>
      </c>
      <c r="F22" s="65">
        <v>0</v>
      </c>
      <c r="G22" s="67"/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  <c r="O22" s="41">
        <f t="shared" si="0"/>
        <v>0</v>
      </c>
      <c r="P22" s="65">
        <v>0</v>
      </c>
      <c r="Q22" s="41">
        <f t="shared" si="2"/>
        <v>0</v>
      </c>
      <c r="R22" s="65">
        <v>0</v>
      </c>
      <c r="S22" s="65">
        <v>0</v>
      </c>
      <c r="T22" s="65">
        <v>0</v>
      </c>
      <c r="U22" s="42">
        <f t="shared" si="3"/>
        <v>0</v>
      </c>
      <c r="V22" s="48"/>
      <c r="W22" s="48"/>
      <c r="X22" s="48"/>
      <c r="Y22" s="44"/>
      <c r="Z22" s="44"/>
      <c r="AA22" s="44"/>
      <c r="AB22" s="44"/>
      <c r="AC22" s="44"/>
      <c r="AD22" s="44"/>
    </row>
    <row r="23" spans="1:30" s="3" customFormat="1" ht="20.100000000000001" customHeight="1" thickBot="1">
      <c r="A23" s="48"/>
      <c r="B23" s="28" t="s">
        <v>8</v>
      </c>
      <c r="C23" s="90"/>
      <c r="D23" s="65">
        <v>0</v>
      </c>
      <c r="E23" s="41">
        <f t="shared" si="1"/>
        <v>0</v>
      </c>
      <c r="F23" s="65">
        <v>0</v>
      </c>
      <c r="G23" s="67"/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  <c r="O23" s="41">
        <f t="shared" si="0"/>
        <v>0</v>
      </c>
      <c r="P23" s="65">
        <v>0</v>
      </c>
      <c r="Q23" s="41">
        <f t="shared" si="2"/>
        <v>0</v>
      </c>
      <c r="R23" s="65">
        <v>0</v>
      </c>
      <c r="S23" s="65">
        <v>0</v>
      </c>
      <c r="T23" s="65">
        <v>0</v>
      </c>
      <c r="U23" s="42">
        <f t="shared" si="3"/>
        <v>0</v>
      </c>
      <c r="V23" s="48"/>
      <c r="W23" s="48"/>
      <c r="X23" s="48"/>
      <c r="Y23" s="44"/>
      <c r="Z23" s="44"/>
      <c r="AA23" s="44"/>
      <c r="AB23" s="44"/>
      <c r="AC23" s="44"/>
      <c r="AD23" s="44"/>
    </row>
    <row r="24" spans="1:30" s="3" customFormat="1" ht="20.100000000000001" customHeight="1" thickBot="1">
      <c r="A24" s="48"/>
      <c r="B24" s="28" t="s">
        <v>28</v>
      </c>
      <c r="C24" s="90"/>
      <c r="D24" s="65">
        <v>0</v>
      </c>
      <c r="E24" s="41">
        <f t="shared" si="1"/>
        <v>0</v>
      </c>
      <c r="F24" s="65">
        <v>0</v>
      </c>
      <c r="G24" s="67"/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  <c r="O24" s="41">
        <f t="shared" si="0"/>
        <v>0</v>
      </c>
      <c r="P24" s="65">
        <v>0</v>
      </c>
      <c r="Q24" s="41">
        <f t="shared" si="2"/>
        <v>0</v>
      </c>
      <c r="R24" s="65">
        <v>0</v>
      </c>
      <c r="S24" s="65">
        <v>0</v>
      </c>
      <c r="T24" s="65">
        <v>0</v>
      </c>
      <c r="U24" s="42">
        <f t="shared" si="3"/>
        <v>0</v>
      </c>
      <c r="V24" s="48"/>
      <c r="W24" s="48"/>
      <c r="X24" s="48"/>
      <c r="Y24" s="44"/>
      <c r="Z24" s="44"/>
      <c r="AA24" s="44"/>
      <c r="AB24" s="44"/>
      <c r="AC24" s="44"/>
      <c r="AD24" s="44"/>
    </row>
    <row r="25" spans="1:30" s="3" customFormat="1" ht="20.100000000000001" customHeight="1" thickBot="1">
      <c r="A25" s="48"/>
      <c r="B25" s="28" t="s">
        <v>9</v>
      </c>
      <c r="C25" s="90"/>
      <c r="D25" s="65">
        <v>0</v>
      </c>
      <c r="E25" s="41">
        <f t="shared" si="1"/>
        <v>0</v>
      </c>
      <c r="F25" s="65">
        <v>0</v>
      </c>
      <c r="G25" s="67"/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  <c r="O25" s="41">
        <f t="shared" si="0"/>
        <v>0</v>
      </c>
      <c r="P25" s="65">
        <v>0</v>
      </c>
      <c r="Q25" s="41">
        <f t="shared" si="2"/>
        <v>0</v>
      </c>
      <c r="R25" s="65">
        <v>0</v>
      </c>
      <c r="S25" s="65">
        <v>0</v>
      </c>
      <c r="T25" s="65">
        <v>0</v>
      </c>
      <c r="U25" s="42">
        <f t="shared" si="3"/>
        <v>0</v>
      </c>
      <c r="V25" s="48"/>
      <c r="W25" s="48"/>
      <c r="X25" s="48"/>
      <c r="Y25" s="44"/>
      <c r="Z25" s="44"/>
      <c r="AA25" s="44"/>
      <c r="AB25" s="44"/>
      <c r="AC25" s="44"/>
      <c r="AD25" s="44"/>
    </row>
    <row r="26" spans="1:30" s="3" customFormat="1" ht="20.100000000000001" customHeight="1" thickBot="1">
      <c r="A26" s="48"/>
      <c r="B26" s="58" t="s">
        <v>10</v>
      </c>
      <c r="C26" s="90"/>
      <c r="D26" s="65">
        <v>0</v>
      </c>
      <c r="E26" s="41">
        <f t="shared" si="1"/>
        <v>0</v>
      </c>
      <c r="F26" s="65">
        <v>0</v>
      </c>
      <c r="G26" s="67"/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41">
        <f t="shared" si="0"/>
        <v>0</v>
      </c>
      <c r="P26" s="65">
        <v>0</v>
      </c>
      <c r="Q26" s="41">
        <f t="shared" si="2"/>
        <v>0</v>
      </c>
      <c r="R26" s="65">
        <v>0</v>
      </c>
      <c r="S26" s="65">
        <v>0</v>
      </c>
      <c r="T26" s="65">
        <v>0</v>
      </c>
      <c r="U26" s="42">
        <f t="shared" si="3"/>
        <v>0</v>
      </c>
      <c r="V26" s="48"/>
      <c r="W26" s="48"/>
      <c r="X26" s="48"/>
      <c r="Y26" s="44"/>
      <c r="Z26" s="44"/>
      <c r="AA26" s="44"/>
      <c r="AB26" s="44"/>
      <c r="AC26" s="44"/>
      <c r="AD26" s="44"/>
    </row>
    <row r="27" spans="1:30" s="3" customFormat="1" ht="20.100000000000001" customHeight="1" thickBot="1">
      <c r="A27" s="48"/>
      <c r="B27" s="58" t="s">
        <v>10</v>
      </c>
      <c r="C27" s="90"/>
      <c r="D27" s="65">
        <v>0</v>
      </c>
      <c r="E27" s="41">
        <f t="shared" si="1"/>
        <v>0</v>
      </c>
      <c r="F27" s="65">
        <v>0</v>
      </c>
      <c r="G27" s="67"/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  <c r="O27" s="41">
        <f t="shared" si="0"/>
        <v>0</v>
      </c>
      <c r="P27" s="65">
        <v>0</v>
      </c>
      <c r="Q27" s="41">
        <f t="shared" si="2"/>
        <v>0</v>
      </c>
      <c r="R27" s="65">
        <v>0</v>
      </c>
      <c r="S27" s="65">
        <v>0</v>
      </c>
      <c r="T27" s="65">
        <v>0</v>
      </c>
      <c r="U27" s="42">
        <f t="shared" si="3"/>
        <v>0</v>
      </c>
      <c r="V27" s="48"/>
      <c r="W27" s="48"/>
      <c r="X27" s="48"/>
      <c r="Y27" s="44"/>
      <c r="Z27" s="44"/>
      <c r="AA27" s="44"/>
      <c r="AB27" s="44"/>
      <c r="AC27" s="44"/>
      <c r="AD27" s="44"/>
    </row>
    <row r="28" spans="1:30" s="3" customFormat="1" ht="20.100000000000001" customHeight="1" thickBot="1">
      <c r="A28" s="48"/>
      <c r="B28" s="58" t="s">
        <v>10</v>
      </c>
      <c r="C28" s="90"/>
      <c r="D28" s="65">
        <v>0</v>
      </c>
      <c r="E28" s="41">
        <f t="shared" si="1"/>
        <v>0</v>
      </c>
      <c r="F28" s="65">
        <v>0</v>
      </c>
      <c r="G28" s="67"/>
      <c r="H28" s="65">
        <v>0</v>
      </c>
      <c r="I28" s="65">
        <v>0</v>
      </c>
      <c r="J28" s="65">
        <v>0</v>
      </c>
      <c r="K28" s="65">
        <v>0</v>
      </c>
      <c r="L28" s="65">
        <v>0</v>
      </c>
      <c r="M28" s="65">
        <v>0</v>
      </c>
      <c r="N28" s="65">
        <v>0</v>
      </c>
      <c r="O28" s="41">
        <f t="shared" si="0"/>
        <v>0</v>
      </c>
      <c r="P28" s="65">
        <v>0</v>
      </c>
      <c r="Q28" s="41">
        <f t="shared" si="2"/>
        <v>0</v>
      </c>
      <c r="R28" s="65">
        <v>0</v>
      </c>
      <c r="S28" s="65">
        <v>0</v>
      </c>
      <c r="T28" s="65">
        <v>0</v>
      </c>
      <c r="U28" s="42">
        <f t="shared" si="3"/>
        <v>0</v>
      </c>
      <c r="V28" s="48"/>
      <c r="W28" s="48"/>
      <c r="X28" s="48"/>
      <c r="Y28" s="44"/>
      <c r="Z28" s="44"/>
      <c r="AA28" s="44"/>
      <c r="AB28" s="44"/>
      <c r="AC28" s="44"/>
      <c r="AD28" s="44"/>
    </row>
    <row r="29" spans="1:30" s="3" customFormat="1" ht="20.100000000000001" customHeight="1" thickBot="1">
      <c r="A29" s="48"/>
      <c r="B29" s="58" t="s">
        <v>10</v>
      </c>
      <c r="C29" s="90"/>
      <c r="D29" s="65">
        <v>0</v>
      </c>
      <c r="E29" s="41">
        <f t="shared" si="1"/>
        <v>0</v>
      </c>
      <c r="F29" s="65">
        <v>0</v>
      </c>
      <c r="G29" s="67"/>
      <c r="H29" s="65">
        <v>0</v>
      </c>
      <c r="I29" s="65">
        <v>0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  <c r="O29" s="41">
        <f t="shared" si="0"/>
        <v>0</v>
      </c>
      <c r="P29" s="65">
        <v>0</v>
      </c>
      <c r="Q29" s="41">
        <f t="shared" si="2"/>
        <v>0</v>
      </c>
      <c r="R29" s="65">
        <v>0</v>
      </c>
      <c r="S29" s="65">
        <v>0</v>
      </c>
      <c r="T29" s="65">
        <v>0</v>
      </c>
      <c r="U29" s="42">
        <f t="shared" si="3"/>
        <v>0</v>
      </c>
      <c r="V29" s="48"/>
      <c r="W29" s="48"/>
      <c r="X29" s="48"/>
      <c r="Y29" s="44"/>
      <c r="Z29" s="44"/>
      <c r="AA29" s="44"/>
      <c r="AB29" s="44"/>
      <c r="AC29" s="44"/>
      <c r="AD29" s="44"/>
    </row>
    <row r="30" spans="1:30" s="3" customFormat="1" ht="20.100000000000001" customHeight="1" thickBot="1">
      <c r="A30" s="48"/>
      <c r="B30" s="59" t="s">
        <v>10</v>
      </c>
      <c r="C30" s="91"/>
      <c r="D30" s="65">
        <v>0</v>
      </c>
      <c r="E30" s="41">
        <f t="shared" si="1"/>
        <v>0</v>
      </c>
      <c r="F30" s="65">
        <v>0</v>
      </c>
      <c r="G30" s="67"/>
      <c r="H30" s="65">
        <v>0</v>
      </c>
      <c r="I30" s="65">
        <v>0</v>
      </c>
      <c r="J30" s="65">
        <v>0</v>
      </c>
      <c r="K30" s="65">
        <v>0</v>
      </c>
      <c r="L30" s="65">
        <v>0</v>
      </c>
      <c r="M30" s="65">
        <v>0</v>
      </c>
      <c r="N30" s="65">
        <v>0</v>
      </c>
      <c r="O30" s="41">
        <f t="shared" si="0"/>
        <v>0</v>
      </c>
      <c r="P30" s="65">
        <v>0</v>
      </c>
      <c r="Q30" s="41">
        <f t="shared" si="2"/>
        <v>0</v>
      </c>
      <c r="R30" s="65">
        <v>0</v>
      </c>
      <c r="S30" s="65">
        <v>0</v>
      </c>
      <c r="T30" s="65">
        <v>0</v>
      </c>
      <c r="U30" s="42">
        <f t="shared" si="3"/>
        <v>0</v>
      </c>
      <c r="V30" s="48"/>
      <c r="W30" s="48"/>
      <c r="X30" s="48"/>
      <c r="Y30" s="44"/>
      <c r="Z30" s="44"/>
      <c r="AA30" s="44"/>
      <c r="AB30" s="44"/>
      <c r="AC30" s="44"/>
      <c r="AD30" s="44"/>
    </row>
    <row r="31" spans="1:30" s="3" customFormat="1" ht="20.100000000000001" customHeight="1" thickBot="1">
      <c r="A31" s="48"/>
      <c r="B31" s="109" t="s">
        <v>33</v>
      </c>
      <c r="C31" s="110"/>
      <c r="D31" s="11">
        <f>D11+SUM(D13:D16)+SUM(D18:D30)</f>
        <v>0</v>
      </c>
      <c r="E31" s="18"/>
      <c r="F31" s="11">
        <f>F11+SUM(F13:F16)+SUM(F18:F30)</f>
        <v>0</v>
      </c>
      <c r="G31" s="11">
        <v>10000</v>
      </c>
      <c r="H31" s="11">
        <f t="shared" ref="H31:L31" si="4">H11+SUM(H13:H16)+SUM(H18:H30)</f>
        <v>0</v>
      </c>
      <c r="I31" s="11">
        <f t="shared" si="4"/>
        <v>0</v>
      </c>
      <c r="J31" s="11">
        <f t="shared" si="4"/>
        <v>0</v>
      </c>
      <c r="K31" s="11">
        <f t="shared" si="4"/>
        <v>0</v>
      </c>
      <c r="L31" s="11">
        <f t="shared" si="4"/>
        <v>0</v>
      </c>
      <c r="M31" s="11">
        <f>(M11+SUM(M13:M16)+SUM(M18:M30))*$M$10</f>
        <v>0</v>
      </c>
      <c r="N31" s="11">
        <f>(N11+SUM(N13:N16)+SUM(N18:N30))*$N$10</f>
        <v>0</v>
      </c>
      <c r="O31" s="18"/>
      <c r="P31" s="11">
        <f>P11+SUM(P13:P16)+SUM(P18:P30)</f>
        <v>0</v>
      </c>
      <c r="Q31" s="18"/>
      <c r="R31" s="11">
        <f>R11+SUM(R13:R16)+SUM(R18:R30)</f>
        <v>0</v>
      </c>
      <c r="S31" s="11">
        <f>S11+SUM(S13:S16)+SUM(S18:S30)</f>
        <v>0</v>
      </c>
      <c r="T31" s="11">
        <f>T11+SUM(T13:T16)+SUM(T18:T30)</f>
        <v>0</v>
      </c>
      <c r="U31" s="127">
        <f>SUM(D32+F32+G32+H32+J32+K32+P32+R32+S32+T32)</f>
        <v>10000</v>
      </c>
      <c r="V31" s="48"/>
      <c r="W31" s="48"/>
      <c r="X31" s="48"/>
      <c r="Y31" s="44"/>
      <c r="Z31" s="44"/>
      <c r="AA31" s="44"/>
      <c r="AB31" s="44"/>
      <c r="AC31" s="44"/>
      <c r="AD31" s="44"/>
    </row>
    <row r="32" spans="1:30" s="3" customFormat="1" ht="20.100000000000001" customHeight="1" thickBot="1">
      <c r="A32" s="48"/>
      <c r="B32" s="97" t="s">
        <v>34</v>
      </c>
      <c r="C32" s="98"/>
      <c r="D32" s="73">
        <f>(D31*$D$10)</f>
        <v>0</v>
      </c>
      <c r="E32" s="74"/>
      <c r="F32" s="12">
        <f>F31</f>
        <v>0</v>
      </c>
      <c r="G32" s="57">
        <f>SUM(G31:G31)</f>
        <v>10000</v>
      </c>
      <c r="H32" s="73">
        <f>H31+I31</f>
        <v>0</v>
      </c>
      <c r="I32" s="74"/>
      <c r="J32" s="12">
        <f>J31</f>
        <v>0</v>
      </c>
      <c r="K32" s="73">
        <f>K31+L31+M31+N31</f>
        <v>0</v>
      </c>
      <c r="L32" s="123"/>
      <c r="M32" s="123"/>
      <c r="N32" s="123"/>
      <c r="O32" s="74"/>
      <c r="P32" s="73">
        <f>(P31*$P$10)</f>
        <v>0</v>
      </c>
      <c r="Q32" s="74"/>
      <c r="R32" s="12">
        <f>R31</f>
        <v>0</v>
      </c>
      <c r="S32" s="12">
        <f>S31</f>
        <v>0</v>
      </c>
      <c r="T32" s="12">
        <f>T31</f>
        <v>0</v>
      </c>
      <c r="U32" s="128"/>
      <c r="V32" s="48"/>
      <c r="W32" s="48"/>
      <c r="X32" s="48"/>
      <c r="Y32" s="44"/>
      <c r="Z32" s="44"/>
      <c r="AA32" s="44"/>
      <c r="AB32" s="44"/>
      <c r="AC32" s="44"/>
      <c r="AD32" s="44"/>
    </row>
    <row r="33" spans="1:30" s="3" customFormat="1" ht="16.5" thickBot="1">
      <c r="A33" s="48"/>
      <c r="B33" s="13"/>
      <c r="C33" s="13"/>
      <c r="D33" s="14"/>
      <c r="E33" s="14"/>
      <c r="F33" s="14"/>
      <c r="G33" s="14"/>
      <c r="H33" s="14"/>
      <c r="I33" s="14"/>
      <c r="J33" s="14"/>
      <c r="K33" s="14"/>
      <c r="L33" s="50"/>
      <c r="M33" s="50"/>
      <c r="N33" s="14"/>
      <c r="O33" s="14"/>
      <c r="P33" s="14"/>
      <c r="Q33" s="14"/>
      <c r="R33" s="14"/>
      <c r="S33" s="14"/>
      <c r="T33" s="14"/>
      <c r="U33" s="14"/>
      <c r="V33" s="48"/>
      <c r="W33" s="48"/>
      <c r="X33" s="48"/>
      <c r="Y33" s="44"/>
      <c r="Z33" s="44"/>
      <c r="AA33" s="44"/>
      <c r="AB33" s="44"/>
      <c r="AC33" s="44"/>
      <c r="AD33" s="44"/>
    </row>
    <row r="34" spans="1:30" s="4" customFormat="1" ht="80.099999999999994" customHeight="1" thickTop="1" thickBot="1">
      <c r="A34" s="15"/>
      <c r="B34" s="37" t="s">
        <v>11</v>
      </c>
      <c r="C34" s="38" t="s">
        <v>39</v>
      </c>
      <c r="D34" s="19"/>
      <c r="E34" s="19"/>
      <c r="F34" s="19"/>
      <c r="G34" s="19"/>
      <c r="H34" s="51"/>
      <c r="I34" s="111" t="s">
        <v>42</v>
      </c>
      <c r="J34" s="112"/>
      <c r="K34" s="53" t="s">
        <v>41</v>
      </c>
      <c r="L34" s="9"/>
      <c r="M34" s="9"/>
      <c r="N34" s="9"/>
      <c r="O34" s="19"/>
      <c r="P34" s="132" t="s">
        <v>75</v>
      </c>
      <c r="Q34" s="133"/>
      <c r="R34" s="133"/>
      <c r="S34" s="134"/>
      <c r="T34" s="19"/>
      <c r="U34" s="54"/>
      <c r="V34" s="55"/>
      <c r="W34" s="15"/>
      <c r="X34" s="15"/>
      <c r="Y34" s="15"/>
      <c r="Z34" s="15"/>
      <c r="AA34" s="15"/>
      <c r="AB34" s="15"/>
      <c r="AC34" s="15"/>
      <c r="AD34" s="15"/>
    </row>
    <row r="35" spans="1:30" s="5" customFormat="1" ht="20.100000000000001" customHeight="1">
      <c r="A35" s="6"/>
      <c r="B35" s="33" t="s">
        <v>12</v>
      </c>
      <c r="C35" s="63">
        <v>0</v>
      </c>
      <c r="D35" s="52"/>
      <c r="E35" s="35"/>
      <c r="F35" s="19"/>
      <c r="G35" s="19"/>
      <c r="H35" s="56"/>
      <c r="I35" s="101" t="s">
        <v>54</v>
      </c>
      <c r="J35" s="102"/>
      <c r="K35" s="115">
        <v>0</v>
      </c>
      <c r="L35" s="46"/>
      <c r="M35" s="46"/>
      <c r="N35" s="46"/>
      <c r="O35" s="21"/>
      <c r="P35" s="135" t="s">
        <v>37</v>
      </c>
      <c r="Q35" s="136"/>
      <c r="R35" s="136"/>
      <c r="S35" s="124"/>
      <c r="T35" s="21"/>
      <c r="U35" s="21"/>
      <c r="V35" s="6"/>
      <c r="W35" s="6"/>
      <c r="X35" s="6"/>
      <c r="Y35" s="6"/>
      <c r="Z35" s="6"/>
      <c r="AA35" s="6"/>
      <c r="AB35" s="6"/>
      <c r="AC35" s="6"/>
      <c r="AD35" s="6"/>
    </row>
    <row r="36" spans="1:30" s="5" customFormat="1" ht="20.100000000000001" customHeight="1">
      <c r="A36" s="6"/>
      <c r="B36" s="33" t="s">
        <v>13</v>
      </c>
      <c r="C36" s="63">
        <v>0</v>
      </c>
      <c r="D36" s="52"/>
      <c r="E36" s="35"/>
      <c r="F36" s="19"/>
      <c r="G36" s="19"/>
      <c r="H36" s="56"/>
      <c r="I36" s="101"/>
      <c r="J36" s="102"/>
      <c r="K36" s="115"/>
      <c r="L36" s="46"/>
      <c r="M36" s="46"/>
      <c r="N36" s="46"/>
      <c r="O36" s="21"/>
      <c r="P36" s="137"/>
      <c r="Q36" s="138"/>
      <c r="R36" s="138"/>
      <c r="S36" s="125"/>
      <c r="T36" s="21"/>
      <c r="U36" s="21"/>
      <c r="V36" s="6"/>
      <c r="W36" s="6"/>
      <c r="X36" s="6"/>
      <c r="Y36" s="6"/>
      <c r="Z36" s="6"/>
      <c r="AA36" s="6"/>
      <c r="AB36" s="6"/>
      <c r="AC36" s="6"/>
      <c r="AD36" s="6"/>
    </row>
    <row r="37" spans="1:30" s="5" customFormat="1" ht="20.100000000000001" customHeight="1">
      <c r="A37" s="6"/>
      <c r="B37" s="33" t="s">
        <v>14</v>
      </c>
      <c r="C37" s="63">
        <v>0</v>
      </c>
      <c r="D37" s="52"/>
      <c r="E37" s="35"/>
      <c r="F37" s="19"/>
      <c r="G37" s="19"/>
      <c r="H37" s="56"/>
      <c r="I37" s="103"/>
      <c r="J37" s="102"/>
      <c r="K37" s="115"/>
      <c r="L37" s="46"/>
      <c r="M37" s="46"/>
      <c r="N37" s="46"/>
      <c r="O37" s="21"/>
      <c r="P37" s="137"/>
      <c r="Q37" s="138"/>
      <c r="R37" s="138"/>
      <c r="S37" s="125"/>
      <c r="T37" s="21"/>
      <c r="U37" s="21"/>
      <c r="V37" s="6"/>
      <c r="W37" s="6"/>
      <c r="X37" s="6"/>
      <c r="Y37" s="6"/>
      <c r="Z37" s="6"/>
      <c r="AA37" s="6"/>
      <c r="AB37" s="6"/>
      <c r="AC37" s="6"/>
      <c r="AD37" s="6"/>
    </row>
    <row r="38" spans="1:30" s="5" customFormat="1" ht="20.100000000000001" customHeight="1">
      <c r="A38" s="6"/>
      <c r="B38" s="33" t="s">
        <v>15</v>
      </c>
      <c r="C38" s="63">
        <v>0</v>
      </c>
      <c r="D38" s="52"/>
      <c r="E38" s="35"/>
      <c r="F38" s="19"/>
      <c r="G38" s="19"/>
      <c r="H38" s="56"/>
      <c r="I38" s="104"/>
      <c r="J38" s="105"/>
      <c r="K38" s="122"/>
      <c r="L38" s="46"/>
      <c r="M38" s="46"/>
      <c r="N38" s="46"/>
      <c r="O38" s="21"/>
      <c r="P38" s="137"/>
      <c r="Q38" s="138"/>
      <c r="R38" s="138"/>
      <c r="S38" s="125"/>
      <c r="T38" s="21"/>
      <c r="U38" s="21"/>
      <c r="V38" s="6"/>
      <c r="W38" s="6"/>
      <c r="X38" s="6"/>
      <c r="Y38" s="6"/>
      <c r="Z38" s="6"/>
      <c r="AA38" s="6"/>
      <c r="AB38" s="6"/>
      <c r="AC38" s="6"/>
      <c r="AD38" s="6"/>
    </row>
    <row r="39" spans="1:30" s="5" customFormat="1" ht="20.100000000000001" customHeight="1" thickBot="1">
      <c r="A39" s="6"/>
      <c r="B39" s="33" t="s">
        <v>16</v>
      </c>
      <c r="C39" s="63">
        <v>0</v>
      </c>
      <c r="D39" s="52"/>
      <c r="E39" s="35"/>
      <c r="F39" s="19"/>
      <c r="G39" s="19"/>
      <c r="H39" s="56"/>
      <c r="I39" s="99" t="s">
        <v>54</v>
      </c>
      <c r="J39" s="100"/>
      <c r="K39" s="114">
        <v>0</v>
      </c>
      <c r="L39" s="46"/>
      <c r="M39" s="46"/>
      <c r="N39" s="46"/>
      <c r="O39" s="7"/>
      <c r="P39" s="139"/>
      <c r="Q39" s="140"/>
      <c r="R39" s="140"/>
      <c r="S39" s="126"/>
      <c r="T39" s="7"/>
      <c r="U39" s="7"/>
      <c r="V39" s="6"/>
      <c r="W39" s="6"/>
      <c r="X39" s="6"/>
      <c r="Y39" s="6"/>
      <c r="Z39" s="6"/>
      <c r="AA39" s="6"/>
      <c r="AB39" s="6"/>
      <c r="AC39" s="6"/>
      <c r="AD39" s="6"/>
    </row>
    <row r="40" spans="1:30" s="5" customFormat="1" ht="20.100000000000001" customHeight="1" thickTop="1" thickBot="1">
      <c r="A40" s="6"/>
      <c r="B40" s="33" t="s">
        <v>17</v>
      </c>
      <c r="C40" s="63">
        <v>0</v>
      </c>
      <c r="D40" s="52"/>
      <c r="E40" s="35"/>
      <c r="F40" s="19"/>
      <c r="G40" s="19"/>
      <c r="H40" s="56"/>
      <c r="I40" s="101"/>
      <c r="J40" s="102"/>
      <c r="K40" s="115"/>
      <c r="L40" s="46"/>
      <c r="M40" s="46"/>
      <c r="N40" s="46"/>
      <c r="O40" s="7"/>
      <c r="P40" s="30"/>
      <c r="Q40" s="30"/>
      <c r="R40" s="30"/>
      <c r="S40" s="31"/>
      <c r="T40" s="7"/>
      <c r="U40" s="7"/>
      <c r="V40" s="6"/>
      <c r="W40" s="6"/>
      <c r="X40" s="6"/>
      <c r="Y40" s="6"/>
      <c r="Z40" s="6"/>
      <c r="AA40" s="6"/>
      <c r="AB40" s="6"/>
      <c r="AC40" s="6"/>
      <c r="AD40" s="6"/>
    </row>
    <row r="41" spans="1:30" s="5" customFormat="1" ht="20.100000000000001" customHeight="1" thickTop="1">
      <c r="A41" s="6"/>
      <c r="B41" s="33" t="s">
        <v>18</v>
      </c>
      <c r="C41" s="63">
        <v>0</v>
      </c>
      <c r="D41" s="52"/>
      <c r="E41" s="35"/>
      <c r="F41" s="19"/>
      <c r="G41" s="19"/>
      <c r="H41" s="56"/>
      <c r="I41" s="103"/>
      <c r="J41" s="102"/>
      <c r="K41" s="115"/>
      <c r="L41" s="46"/>
      <c r="M41" s="46"/>
      <c r="N41" s="46"/>
      <c r="O41" s="22"/>
      <c r="P41" s="117" t="s">
        <v>70</v>
      </c>
      <c r="Q41" s="118"/>
      <c r="R41" s="118"/>
      <c r="S41" s="143">
        <v>0</v>
      </c>
      <c r="T41" s="22"/>
      <c r="U41" s="22"/>
      <c r="V41" s="6"/>
      <c r="W41" s="6"/>
      <c r="X41" s="6"/>
      <c r="Y41" s="6"/>
      <c r="Z41" s="6"/>
      <c r="AA41" s="6"/>
      <c r="AB41" s="6"/>
      <c r="AC41" s="6"/>
      <c r="AD41" s="6"/>
    </row>
    <row r="42" spans="1:30" s="5" customFormat="1" ht="20.100000000000001" customHeight="1">
      <c r="A42" s="6"/>
      <c r="B42" s="33" t="s">
        <v>19</v>
      </c>
      <c r="C42" s="63">
        <v>0</v>
      </c>
      <c r="D42" s="52"/>
      <c r="E42" s="35"/>
      <c r="F42" s="19"/>
      <c r="G42" s="19"/>
      <c r="H42" s="56"/>
      <c r="I42" s="104"/>
      <c r="J42" s="105"/>
      <c r="K42" s="122"/>
      <c r="L42" s="46"/>
      <c r="M42" s="46"/>
      <c r="N42" s="46"/>
      <c r="O42" s="8"/>
      <c r="P42" s="119"/>
      <c r="Q42" s="68"/>
      <c r="R42" s="68"/>
      <c r="S42" s="144"/>
      <c r="T42" s="8"/>
      <c r="U42" s="8"/>
      <c r="V42" s="6"/>
      <c r="W42" s="6"/>
      <c r="X42" s="6"/>
      <c r="Y42" s="6"/>
      <c r="Z42" s="6"/>
      <c r="AA42" s="6"/>
      <c r="AB42" s="6"/>
      <c r="AC42" s="6"/>
      <c r="AD42" s="6"/>
    </row>
    <row r="43" spans="1:30" s="5" customFormat="1" ht="20.100000000000001" customHeight="1">
      <c r="A43" s="6"/>
      <c r="B43" s="33" t="s">
        <v>20</v>
      </c>
      <c r="C43" s="63">
        <v>0</v>
      </c>
      <c r="D43" s="52"/>
      <c r="E43" s="35"/>
      <c r="F43" s="19"/>
      <c r="G43" s="19"/>
      <c r="H43" s="56"/>
      <c r="I43" s="99" t="s">
        <v>54</v>
      </c>
      <c r="J43" s="100"/>
      <c r="K43" s="114">
        <v>0</v>
      </c>
      <c r="L43" s="46"/>
      <c r="M43" s="46"/>
      <c r="N43" s="46"/>
      <c r="O43" s="7"/>
      <c r="P43" s="119"/>
      <c r="Q43" s="68"/>
      <c r="R43" s="68"/>
      <c r="S43" s="144"/>
      <c r="T43" s="7"/>
      <c r="U43" s="7"/>
      <c r="V43" s="6"/>
      <c r="W43" s="6"/>
      <c r="X43" s="6"/>
      <c r="Y43" s="6"/>
      <c r="Z43" s="6"/>
      <c r="AA43" s="6"/>
      <c r="AB43" s="6"/>
      <c r="AC43" s="6"/>
      <c r="AD43" s="6"/>
    </row>
    <row r="44" spans="1:30" s="5" customFormat="1" ht="20.100000000000001" customHeight="1" thickBot="1">
      <c r="A44" s="6"/>
      <c r="B44" s="33" t="s">
        <v>21</v>
      </c>
      <c r="C44" s="63">
        <v>0</v>
      </c>
      <c r="D44" s="52"/>
      <c r="E44" s="35"/>
      <c r="F44" s="19"/>
      <c r="G44" s="19"/>
      <c r="H44" s="56"/>
      <c r="I44" s="101"/>
      <c r="J44" s="102"/>
      <c r="K44" s="115"/>
      <c r="L44" s="46"/>
      <c r="M44" s="46"/>
      <c r="N44" s="46"/>
      <c r="O44" s="7"/>
      <c r="P44" s="120"/>
      <c r="Q44" s="121"/>
      <c r="R44" s="121"/>
      <c r="S44" s="145"/>
      <c r="T44" s="7"/>
      <c r="U44" s="7"/>
      <c r="V44" s="6"/>
      <c r="W44" s="6"/>
      <c r="X44" s="6"/>
      <c r="Y44" s="6"/>
      <c r="Z44" s="6"/>
      <c r="AA44" s="6"/>
      <c r="AB44" s="6"/>
      <c r="AC44" s="6"/>
      <c r="AD44" s="6"/>
    </row>
    <row r="45" spans="1:30" s="5" customFormat="1" ht="20.100000000000001" customHeight="1" thickTop="1">
      <c r="A45" s="6"/>
      <c r="B45" s="33" t="s">
        <v>22</v>
      </c>
      <c r="C45" s="63">
        <v>0</v>
      </c>
      <c r="D45" s="52"/>
      <c r="E45" s="35"/>
      <c r="F45" s="19"/>
      <c r="G45" s="19"/>
      <c r="H45" s="56"/>
      <c r="I45" s="103"/>
      <c r="J45" s="102"/>
      <c r="K45" s="115"/>
      <c r="L45" s="46"/>
      <c r="M45" s="46"/>
      <c r="N45" s="46"/>
      <c r="O45" s="7"/>
      <c r="P45" s="7"/>
      <c r="Q45" s="7"/>
      <c r="R45" s="7"/>
      <c r="S45" s="7"/>
      <c r="T45" s="7"/>
      <c r="U45" s="7"/>
      <c r="V45" s="6"/>
      <c r="W45" s="6"/>
      <c r="X45" s="6"/>
      <c r="Y45" s="6"/>
      <c r="Z45" s="6"/>
      <c r="AA45" s="6"/>
      <c r="AB45" s="6"/>
      <c r="AC45" s="6"/>
      <c r="AD45" s="6"/>
    </row>
    <row r="46" spans="1:30" s="5" customFormat="1" ht="20.100000000000001" customHeight="1" thickBot="1">
      <c r="A46" s="6"/>
      <c r="B46" s="33" t="s">
        <v>23</v>
      </c>
      <c r="C46" s="63">
        <v>0</v>
      </c>
      <c r="D46" s="52"/>
      <c r="E46" s="35"/>
      <c r="F46" s="19"/>
      <c r="G46" s="19"/>
      <c r="H46" s="56"/>
      <c r="I46" s="141"/>
      <c r="J46" s="142"/>
      <c r="K46" s="116"/>
      <c r="L46" s="46"/>
      <c r="M46" s="46"/>
      <c r="N46" s="46"/>
      <c r="O46" s="7"/>
      <c r="P46" s="7"/>
      <c r="Q46" s="7"/>
      <c r="R46" s="7"/>
      <c r="S46" s="7"/>
      <c r="T46" s="7"/>
      <c r="U46" s="7"/>
      <c r="V46" s="6"/>
      <c r="W46" s="6"/>
      <c r="X46" s="6"/>
      <c r="Y46" s="6"/>
      <c r="Z46" s="6"/>
      <c r="AA46" s="6"/>
      <c r="AB46" s="6"/>
      <c r="AC46" s="6"/>
      <c r="AD46" s="6"/>
    </row>
    <row r="47" spans="1:30" s="5" customFormat="1" ht="20.100000000000001" customHeight="1" thickTop="1">
      <c r="A47" s="6"/>
      <c r="B47" s="60" t="s">
        <v>10</v>
      </c>
      <c r="C47" s="63">
        <v>0</v>
      </c>
      <c r="D47" s="20"/>
      <c r="E47" s="23"/>
      <c r="F47" s="49"/>
      <c r="G47" s="16"/>
      <c r="H47" s="16"/>
      <c r="I47" s="16"/>
      <c r="J47" s="129"/>
      <c r="K47" s="130"/>
      <c r="L47" s="131"/>
      <c r="M47" s="131"/>
      <c r="N47" s="131"/>
      <c r="O47" s="131"/>
      <c r="P47" s="131"/>
      <c r="Q47" s="131"/>
      <c r="R47" s="131"/>
      <c r="S47" s="131"/>
      <c r="T47" s="131"/>
      <c r="U47" s="131"/>
      <c r="V47" s="6"/>
      <c r="W47" s="6"/>
      <c r="X47" s="6"/>
      <c r="Y47" s="6"/>
      <c r="Z47" s="6"/>
      <c r="AA47" s="6"/>
      <c r="AB47" s="6"/>
      <c r="AC47" s="6"/>
      <c r="AD47" s="6"/>
    </row>
    <row r="48" spans="1:30" s="5" customFormat="1" ht="20.100000000000001" customHeight="1" thickBot="1">
      <c r="A48" s="6"/>
      <c r="B48" s="61" t="s">
        <v>10</v>
      </c>
      <c r="C48" s="64">
        <v>0</v>
      </c>
      <c r="D48" s="20"/>
      <c r="E48" s="20"/>
      <c r="F48" s="20"/>
      <c r="G48" s="17"/>
      <c r="H48" s="7"/>
      <c r="I48" s="1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6"/>
      <c r="W48" s="6"/>
      <c r="X48" s="6"/>
      <c r="Y48" s="6"/>
      <c r="Z48" s="6"/>
      <c r="AA48" s="6"/>
      <c r="AB48" s="6"/>
      <c r="AC48" s="6"/>
      <c r="AD48" s="6"/>
    </row>
    <row r="49" spans="1:30" s="5" customFormat="1" ht="15" customHeight="1" thickBot="1">
      <c r="A49" s="6"/>
      <c r="B49" s="32"/>
      <c r="C49" s="32"/>
      <c r="D49" s="20"/>
      <c r="E49" s="20"/>
      <c r="F49" s="20"/>
      <c r="G49" s="17"/>
      <c r="H49" s="17"/>
      <c r="I49" s="17"/>
      <c r="J49" s="113"/>
      <c r="K49" s="113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6"/>
      <c r="W49" s="6"/>
      <c r="X49" s="6"/>
      <c r="Y49" s="6"/>
      <c r="Z49" s="6"/>
      <c r="AA49" s="6"/>
      <c r="AB49" s="6"/>
      <c r="AC49" s="6"/>
      <c r="AD49" s="6"/>
    </row>
    <row r="50" spans="1:30" s="5" customFormat="1" ht="20.100000000000001" customHeight="1" thickBot="1">
      <c r="A50" s="6"/>
      <c r="B50" s="34" t="s">
        <v>24</v>
      </c>
      <c r="C50" s="62">
        <v>0</v>
      </c>
      <c r="D50" s="19"/>
      <c r="E50" s="20"/>
      <c r="F50" s="20"/>
      <c r="G50" s="17"/>
      <c r="H50" s="17"/>
      <c r="I50" s="17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</row>
    <row r="51" spans="1:30" s="5" customFormat="1" ht="20.100000000000001" customHeight="1">
      <c r="A51" s="6"/>
      <c r="B51" s="32"/>
      <c r="C51" s="32"/>
      <c r="D51" s="35"/>
      <c r="E51" s="20"/>
      <c r="F51" s="20"/>
      <c r="G51" s="17"/>
      <c r="H51" s="17"/>
      <c r="I51" s="17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</row>
    <row r="52" spans="1:30" s="5" customFormat="1" ht="20.100000000000001" customHeight="1">
      <c r="A52" s="6"/>
      <c r="B52" s="36" t="s">
        <v>40</v>
      </c>
      <c r="C52" s="32"/>
      <c r="D52" s="35"/>
      <c r="E52" s="20"/>
      <c r="F52" s="20"/>
      <c r="G52" s="17"/>
      <c r="H52" s="17"/>
      <c r="I52" s="17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</row>
    <row r="53" spans="1:30" s="5" customFormat="1" ht="20.100000000000001" customHeight="1">
      <c r="A53" s="6"/>
      <c r="B53" s="108" t="s">
        <v>30</v>
      </c>
      <c r="C53" s="108"/>
      <c r="D53" s="108"/>
      <c r="E53" s="108"/>
      <c r="F53" s="108"/>
      <c r="G53" s="108"/>
      <c r="H53" s="108"/>
      <c r="I53" s="108"/>
      <c r="J53" s="108"/>
      <c r="K53" s="108"/>
      <c r="L53" s="108"/>
      <c r="M53" s="108"/>
      <c r="N53" s="108"/>
      <c r="O53" s="108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</row>
    <row r="54" spans="1:30" s="5" customFormat="1" ht="20.100000000000001" customHeight="1">
      <c r="A54" s="6"/>
      <c r="B54" s="108" t="s">
        <v>25</v>
      </c>
      <c r="C54" s="108"/>
      <c r="D54" s="108"/>
      <c r="E54" s="108"/>
      <c r="F54" s="108"/>
      <c r="G54" s="108"/>
      <c r="H54" s="108"/>
      <c r="I54" s="108"/>
      <c r="J54" s="108"/>
      <c r="K54" s="108"/>
      <c r="L54" s="108"/>
      <c r="M54" s="108"/>
      <c r="N54" s="108"/>
      <c r="O54" s="108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</row>
    <row r="55" spans="1:30" s="5" customFormat="1" ht="20.100000000000001" customHeight="1">
      <c r="A55" s="6"/>
      <c r="B55" s="108" t="s">
        <v>38</v>
      </c>
      <c r="C55" s="108"/>
      <c r="D55" s="108"/>
      <c r="E55" s="108"/>
      <c r="F55" s="108"/>
      <c r="G55" s="108"/>
      <c r="H55" s="108"/>
      <c r="I55" s="108"/>
      <c r="J55" s="108"/>
      <c r="K55" s="108"/>
      <c r="L55" s="108"/>
      <c r="M55" s="108"/>
      <c r="N55" s="108"/>
      <c r="O55" s="108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</row>
    <row r="56" spans="1:30" s="5" customFormat="1" ht="20.100000000000001" customHeight="1">
      <c r="A56" s="6"/>
      <c r="B56" s="108" t="s">
        <v>69</v>
      </c>
      <c r="C56" s="108"/>
      <c r="D56" s="108"/>
      <c r="E56" s="108"/>
      <c r="F56" s="108"/>
      <c r="G56" s="108"/>
      <c r="H56" s="108"/>
      <c r="I56" s="108"/>
      <c r="J56" s="108"/>
      <c r="K56" s="108"/>
      <c r="L56" s="108"/>
      <c r="M56" s="108"/>
      <c r="N56" s="108"/>
      <c r="O56" s="108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</row>
    <row r="57" spans="1:30" s="5" customFormat="1" ht="20.100000000000001" customHeight="1">
      <c r="A57" s="6"/>
      <c r="B57" s="108" t="s">
        <v>45</v>
      </c>
      <c r="C57" s="108"/>
      <c r="D57" s="108"/>
      <c r="E57" s="108"/>
      <c r="F57" s="108"/>
      <c r="G57" s="108"/>
      <c r="H57" s="108"/>
      <c r="I57" s="108"/>
      <c r="J57" s="108"/>
      <c r="K57" s="108"/>
      <c r="L57" s="108"/>
      <c r="M57" s="108"/>
      <c r="N57" s="108"/>
      <c r="O57" s="108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</row>
    <row r="58" spans="1:30" s="5" customForma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</row>
    <row r="59" spans="1:30" s="5" customFormat="1">
      <c r="A59" s="6"/>
      <c r="B59" s="15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</row>
    <row r="60" spans="1:30" s="4" customFormat="1" ht="12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</row>
    <row r="61" spans="1:30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</row>
    <row r="62" spans="1:30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</row>
    <row r="63" spans="1:30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</row>
    <row r="64" spans="1:30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</row>
    <row r="65" spans="1:30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</row>
    <row r="66" spans="1:30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</row>
    <row r="67" spans="1:30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</row>
    <row r="68" spans="1:30">
      <c r="A68" s="15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15"/>
      <c r="W68" s="15"/>
      <c r="X68" s="15"/>
      <c r="Y68" s="15"/>
      <c r="Z68" s="15"/>
      <c r="AA68" s="15"/>
      <c r="AB68" s="15"/>
      <c r="AC68" s="15"/>
      <c r="AD68" s="15"/>
    </row>
    <row r="69" spans="1:30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15"/>
      <c r="W69" s="15"/>
      <c r="X69" s="15"/>
      <c r="Y69" s="15"/>
      <c r="Z69" s="15"/>
      <c r="AA69" s="15"/>
      <c r="AB69" s="15"/>
      <c r="AC69" s="15"/>
      <c r="AD69" s="15"/>
    </row>
    <row r="70" spans="1:3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15"/>
      <c r="W70" s="15"/>
      <c r="X70" s="15"/>
      <c r="Y70" s="15"/>
      <c r="Z70" s="15"/>
      <c r="AA70" s="15"/>
      <c r="AB70" s="15"/>
      <c r="AC70" s="15"/>
      <c r="AD70" s="15"/>
    </row>
    <row r="71" spans="1:30">
      <c r="B71" s="45"/>
      <c r="C71" s="45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15"/>
      <c r="W71" s="15"/>
      <c r="X71" s="15"/>
      <c r="Y71" s="15"/>
      <c r="Z71" s="15"/>
      <c r="AA71" s="15"/>
      <c r="AB71" s="15"/>
      <c r="AC71" s="15"/>
      <c r="AD71" s="15"/>
    </row>
    <row r="72" spans="1:30">
      <c r="B72" s="45"/>
      <c r="C72" s="45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15"/>
      <c r="W72" s="15"/>
      <c r="X72" s="15"/>
      <c r="Y72" s="15"/>
      <c r="Z72" s="15"/>
      <c r="AA72" s="15"/>
      <c r="AB72" s="15"/>
      <c r="AC72" s="15"/>
      <c r="AD72" s="15"/>
    </row>
    <row r="73" spans="1:30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spans="1:30" ht="12" customHeight="1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</sheetData>
  <sheetProtection password="B9E3" sheet="1" objects="1" scenarios="1"/>
  <mergeCells count="62">
    <mergeCell ref="S41:S44"/>
    <mergeCell ref="I35:J38"/>
    <mergeCell ref="K32:O32"/>
    <mergeCell ref="S35:S39"/>
    <mergeCell ref="U31:U32"/>
    <mergeCell ref="F8:F9"/>
    <mergeCell ref="J47:U47"/>
    <mergeCell ref="P34:S34"/>
    <mergeCell ref="K39:K42"/>
    <mergeCell ref="P35:R39"/>
    <mergeCell ref="K8:K9"/>
    <mergeCell ref="I43:J46"/>
    <mergeCell ref="B55:O55"/>
    <mergeCell ref="D32:E32"/>
    <mergeCell ref="B56:O56"/>
    <mergeCell ref="N8:N9"/>
    <mergeCell ref="J49:U49"/>
    <mergeCell ref="K43:K46"/>
    <mergeCell ref="J8:J9"/>
    <mergeCell ref="H8:H9"/>
    <mergeCell ref="P41:R44"/>
    <mergeCell ref="K35:K38"/>
    <mergeCell ref="B8:C9"/>
    <mergeCell ref="L8:L9"/>
    <mergeCell ref="B32:C32"/>
    <mergeCell ref="I39:J42"/>
    <mergeCell ref="I8:I9"/>
    <mergeCell ref="B57:O57"/>
    <mergeCell ref="B31:C31"/>
    <mergeCell ref="I34:J34"/>
    <mergeCell ref="B53:O53"/>
    <mergeCell ref="B54:O54"/>
    <mergeCell ref="S6:S7"/>
    <mergeCell ref="B10:C10"/>
    <mergeCell ref="C11:C30"/>
    <mergeCell ref="K6:O7"/>
    <mergeCell ref="P6:Q7"/>
    <mergeCell ref="D8:D9"/>
    <mergeCell ref="E8:E9"/>
    <mergeCell ref="G8:G9"/>
    <mergeCell ref="F6:F7"/>
    <mergeCell ref="G6:G7"/>
    <mergeCell ref="S8:S9"/>
    <mergeCell ref="T8:T9"/>
    <mergeCell ref="U8:U10"/>
    <mergeCell ref="B6:C7"/>
    <mergeCell ref="J6:J7"/>
    <mergeCell ref="P8:P9"/>
    <mergeCell ref="T6:T7"/>
    <mergeCell ref="U6:U7"/>
    <mergeCell ref="R6:R7"/>
    <mergeCell ref="R8:R9"/>
    <mergeCell ref="B2:U2"/>
    <mergeCell ref="B3:U3"/>
    <mergeCell ref="H6:I7"/>
    <mergeCell ref="H32:I32"/>
    <mergeCell ref="Q8:Q9"/>
    <mergeCell ref="M8:M9"/>
    <mergeCell ref="P32:Q32"/>
    <mergeCell ref="O8:O9"/>
    <mergeCell ref="D6:E7"/>
    <mergeCell ref="B4:U4"/>
  </mergeCells>
  <phoneticPr fontId="7" type="noConversion"/>
  <printOptions horizontalCentered="1"/>
  <pageMargins left="0.25" right="0.25" top="0.75" bottom="1" header="0" footer="0"/>
  <pageSetup scale="22" orientation="landscape" horizontalDpi="1200" verticalDpi="12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2002-181 Bid Form</vt:lpstr>
      <vt:lpstr>'2002-181 Bid Form'!Print_Area</vt:lpstr>
    </vt:vector>
  </TitlesOfParts>
  <Company>Excalibur Group, LLC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Roberts</dc:creator>
  <cp:lastModifiedBy>Amy Steiner</cp:lastModifiedBy>
  <cp:lastPrinted>2012-11-27T17:40:00Z</cp:lastPrinted>
  <dcterms:created xsi:type="dcterms:W3CDTF">2009-03-12T14:50:14Z</dcterms:created>
  <dcterms:modified xsi:type="dcterms:W3CDTF">2012-12-12T14:36:50Z</dcterms:modified>
</cp:coreProperties>
</file>