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autoCompressPictures="0"/>
  <mc:AlternateContent xmlns:mc="http://schemas.openxmlformats.org/markup-compatibility/2006">
    <mc:Choice Requires="x15">
      <x15ac:absPath xmlns:x15ac="http://schemas.microsoft.com/office/spreadsheetml/2010/11/ac" url="\\student.ads.gvsu.edu\DFS\D\DOMBROWR\MY DOCUMENTS\ipo\"/>
    </mc:Choice>
  </mc:AlternateContent>
  <bookViews>
    <workbookView xWindow="0" yWindow="120" windowWidth="19440" windowHeight="9315" tabRatio="702"/>
  </bookViews>
  <sheets>
    <sheet name="Summary" sheetId="45" r:id="rId1"/>
    <sheet name="Sortable Performnce" sheetId="44" state="hidden" r:id="rId2"/>
    <sheet name="Long Term Chart" sheetId="47" r:id="rId3"/>
    <sheet name="Holdings" sheetId="39" r:id="rId4"/>
    <sheet name="Holdings Pull Sheet" sheetId="29"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Sheet'!$C$9:$R$47</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0">Summary!$A$1:$AJ$81</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52511"/>
</workbook>
</file>

<file path=xl/calcChain.xml><?xml version="1.0" encoding="utf-8"?>
<calcChain xmlns="http://schemas.openxmlformats.org/spreadsheetml/2006/main">
  <c r="I5" i="39" l="1"/>
  <c r="I6" i="39"/>
  <c r="I7" i="39"/>
  <c r="I8" i="39"/>
  <c r="I9" i="39"/>
  <c r="I10" i="39"/>
  <c r="I11" i="39"/>
  <c r="I12" i="39"/>
  <c r="I13" i="39"/>
  <c r="I14" i="39"/>
  <c r="I15" i="39"/>
  <c r="I16" i="39"/>
  <c r="I17" i="39"/>
  <c r="I18" i="39"/>
  <c r="I19" i="39"/>
  <c r="I21" i="39"/>
  <c r="I22" i="39"/>
  <c r="I4" i="39"/>
  <c r="V587" i="2"/>
  <c r="W587" i="2" s="1"/>
  <c r="X587" i="2" s="1"/>
  <c r="T587" i="2"/>
  <c r="U587" i="2"/>
  <c r="O587" i="2"/>
  <c r="P587" i="2" s="1"/>
  <c r="Q587" i="2" s="1"/>
  <c r="M587" i="2"/>
  <c r="N587" i="2"/>
  <c r="F587" i="2"/>
  <c r="G587" i="2"/>
  <c r="H587" i="2"/>
  <c r="I587" i="2"/>
  <c r="T584" i="2" l="1"/>
  <c r="U584" i="2"/>
  <c r="V584" i="2"/>
  <c r="W584" i="2"/>
  <c r="X584" i="2" s="1"/>
  <c r="T585" i="2"/>
  <c r="U585" i="2"/>
  <c r="V585" i="2"/>
  <c r="W585" i="2" s="1"/>
  <c r="X585" i="2" s="1"/>
  <c r="T586" i="2"/>
  <c r="U586" i="2"/>
  <c r="V586" i="2"/>
  <c r="W586" i="2"/>
  <c r="M584" i="2"/>
  <c r="N584" i="2"/>
  <c r="O584" i="2"/>
  <c r="P584" i="2"/>
  <c r="Q584" i="2" s="1"/>
  <c r="M585" i="2"/>
  <c r="N585" i="2"/>
  <c r="O585" i="2"/>
  <c r="P585" i="2" s="1"/>
  <c r="Q585" i="2" s="1"/>
  <c r="M586" i="2"/>
  <c r="N586" i="2"/>
  <c r="O586" i="2"/>
  <c r="P586" i="2"/>
  <c r="N583" i="2"/>
  <c r="O583" i="2"/>
  <c r="P583" i="2" s="1"/>
  <c r="Q583" i="2" s="1"/>
  <c r="G584" i="2"/>
  <c r="H584" i="2"/>
  <c r="I584" i="2"/>
  <c r="G585" i="2"/>
  <c r="H585" i="2"/>
  <c r="I585" i="2"/>
  <c r="G586" i="2"/>
  <c r="H586" i="2"/>
  <c r="I586" i="2"/>
  <c r="F584" i="2"/>
  <c r="F585" i="2"/>
  <c r="F586" i="2"/>
  <c r="X586" i="2" l="1"/>
  <c r="Q586" i="2"/>
  <c r="T583" i="2"/>
  <c r="U583" i="2"/>
  <c r="V583" i="2"/>
  <c r="W583" i="2"/>
  <c r="X583" i="2" s="1"/>
  <c r="M583" i="2"/>
  <c r="F583" i="2"/>
  <c r="G583" i="2"/>
  <c r="H583" i="2"/>
  <c r="I583" i="2"/>
  <c r="O581" i="2" l="1"/>
  <c r="P581" i="2" s="1"/>
  <c r="O582" i="2"/>
  <c r="P582" i="2"/>
  <c r="W581" i="2"/>
  <c r="X581" i="2"/>
  <c r="W582" i="2"/>
  <c r="X582" i="2"/>
  <c r="V581" i="2"/>
  <c r="V582" i="2"/>
  <c r="U581" i="2"/>
  <c r="U582" i="2"/>
  <c r="N581" i="2"/>
  <c r="N582" i="2"/>
  <c r="T582" i="2"/>
  <c r="M582" i="2"/>
  <c r="I582" i="2"/>
  <c r="I565" i="2"/>
  <c r="H581" i="2"/>
  <c r="H582" i="2"/>
  <c r="G582" i="2"/>
  <c r="F582" i="2"/>
  <c r="F565" i="2"/>
  <c r="I24" i="39"/>
  <c r="Q581" i="2" l="1"/>
  <c r="Q582" i="2"/>
  <c r="T565" i="2"/>
  <c r="U565" i="2"/>
  <c r="M565" i="2"/>
  <c r="N565" i="2"/>
  <c r="E565" i="2"/>
  <c r="H565" i="2"/>
  <c r="T564" i="2"/>
  <c r="U564" i="2"/>
  <c r="M564" i="2"/>
  <c r="N564" i="2"/>
  <c r="E564" i="2"/>
  <c r="H564" i="2" s="1"/>
  <c r="P6" i="39"/>
  <c r="O7" i="39"/>
  <c r="P8" i="39"/>
  <c r="P10" i="39"/>
  <c r="O11" i="39"/>
  <c r="P12" i="39"/>
  <c r="O15" i="39"/>
  <c r="P16" i="39"/>
  <c r="P18" i="39"/>
  <c r="O19" i="39"/>
  <c r="P22" i="39"/>
  <c r="P21" i="39"/>
  <c r="P17" i="39"/>
  <c r="P14" i="39"/>
  <c r="P13" i="39"/>
  <c r="P9" i="39"/>
  <c r="P5" i="39"/>
  <c r="Q5" i="39"/>
  <c r="R5" i="39"/>
  <c r="T5" i="39"/>
  <c r="U5" i="39"/>
  <c r="X5" i="39"/>
  <c r="Y5" i="39" s="1"/>
  <c r="Z5" i="39"/>
  <c r="AA5" i="39"/>
  <c r="O6" i="39"/>
  <c r="Q6" i="39"/>
  <c r="R6" i="39"/>
  <c r="S6" i="39"/>
  <c r="U6" i="39"/>
  <c r="X6" i="39"/>
  <c r="Z6" i="39"/>
  <c r="AA6" i="39"/>
  <c r="P7" i="39"/>
  <c r="Q7" i="39"/>
  <c r="R7" i="39"/>
  <c r="T7" i="39"/>
  <c r="U7" i="39"/>
  <c r="X7" i="39"/>
  <c r="Y7" i="39" s="1"/>
  <c r="Z7" i="39"/>
  <c r="AA7" i="39"/>
  <c r="O8" i="39"/>
  <c r="Q8" i="39"/>
  <c r="R8" i="39"/>
  <c r="S8" i="39"/>
  <c r="U8" i="39"/>
  <c r="X8" i="39"/>
  <c r="Y8" i="39" s="1"/>
  <c r="Z8" i="39"/>
  <c r="AA8" i="39"/>
  <c r="Q9" i="39"/>
  <c r="R9" i="39"/>
  <c r="U9" i="39"/>
  <c r="X9" i="39"/>
  <c r="Y9" i="39" s="1"/>
  <c r="Z9" i="39"/>
  <c r="AA9" i="39"/>
  <c r="Q10" i="39"/>
  <c r="R10" i="39"/>
  <c r="U10" i="39"/>
  <c r="X10" i="39"/>
  <c r="Y10" i="39" s="1"/>
  <c r="Z10" i="39"/>
  <c r="AA10" i="39"/>
  <c r="Q11" i="39"/>
  <c r="R11" i="39"/>
  <c r="U11" i="39"/>
  <c r="X11" i="39"/>
  <c r="Y11" i="39" s="1"/>
  <c r="Z11" i="39"/>
  <c r="AA11" i="39"/>
  <c r="O12" i="39"/>
  <c r="Q12" i="39"/>
  <c r="R12" i="39"/>
  <c r="S12" i="39"/>
  <c r="U12" i="39"/>
  <c r="X12" i="39"/>
  <c r="Y12" i="39" s="1"/>
  <c r="Z12" i="39"/>
  <c r="AA12" i="39"/>
  <c r="Q13" i="39"/>
  <c r="R13" i="39"/>
  <c r="U13" i="39"/>
  <c r="X13" i="39"/>
  <c r="Y13" i="39" s="1"/>
  <c r="Z13" i="39"/>
  <c r="AA13" i="39"/>
  <c r="Q14" i="39"/>
  <c r="R14" i="39"/>
  <c r="U14" i="39"/>
  <c r="X14" i="39"/>
  <c r="Y14" i="39" s="1"/>
  <c r="Z14" i="39"/>
  <c r="AA14" i="39"/>
  <c r="Q15" i="39"/>
  <c r="R15" i="39"/>
  <c r="U15" i="39"/>
  <c r="X15" i="39"/>
  <c r="Y15" i="39" s="1"/>
  <c r="Z15" i="39"/>
  <c r="AA15" i="39"/>
  <c r="O16" i="39"/>
  <c r="Q16" i="39"/>
  <c r="R16" i="39"/>
  <c r="S16" i="39"/>
  <c r="U16" i="39"/>
  <c r="X16" i="39"/>
  <c r="Y16" i="39" s="1"/>
  <c r="Z16" i="39"/>
  <c r="AA16" i="39"/>
  <c r="Q17" i="39"/>
  <c r="R17" i="39"/>
  <c r="U17" i="39"/>
  <c r="X17" i="39"/>
  <c r="Y17" i="39" s="1"/>
  <c r="Z17" i="39"/>
  <c r="AA17" i="39"/>
  <c r="Q18" i="39"/>
  <c r="R18" i="39"/>
  <c r="U18" i="39"/>
  <c r="X18" i="39"/>
  <c r="Y18" i="39" s="1"/>
  <c r="Z18" i="39"/>
  <c r="AA18" i="39"/>
  <c r="Q19" i="39"/>
  <c r="R19" i="39"/>
  <c r="U19" i="39"/>
  <c r="X19" i="39"/>
  <c r="Y19" i="39" s="1"/>
  <c r="Z19" i="39"/>
  <c r="AA19" i="39"/>
  <c r="Q21" i="39"/>
  <c r="R21" i="39"/>
  <c r="U21" i="39"/>
  <c r="X21" i="39"/>
  <c r="Y21" i="39" s="1"/>
  <c r="Z21" i="39"/>
  <c r="AA21" i="39"/>
  <c r="Q22" i="39"/>
  <c r="R22" i="39"/>
  <c r="U22" i="39"/>
  <c r="X22" i="39"/>
  <c r="Y22" i="39" s="1"/>
  <c r="Z22" i="39"/>
  <c r="AA22" i="39"/>
  <c r="Q24" i="39"/>
  <c r="R24" i="39"/>
  <c r="G565" i="2" l="1"/>
  <c r="I564" i="2"/>
  <c r="T19" i="39"/>
  <c r="P19" i="39"/>
  <c r="T15" i="39"/>
  <c r="P15" i="39"/>
  <c r="T11" i="39"/>
  <c r="P11" i="39"/>
  <c r="S7" i="39"/>
  <c r="S19" i="39"/>
  <c r="T16" i="39"/>
  <c r="S15" i="39"/>
  <c r="T12" i="39"/>
  <c r="S11" i="39"/>
  <c r="T8" i="39"/>
  <c r="T6" i="39"/>
  <c r="S5" i="39"/>
  <c r="T22" i="39"/>
  <c r="T21" i="39"/>
  <c r="S22" i="39"/>
  <c r="O22" i="39"/>
  <c r="S21" i="39"/>
  <c r="O21" i="39"/>
  <c r="S18" i="39"/>
  <c r="O18" i="39"/>
  <c r="S17" i="39"/>
  <c r="O17" i="39"/>
  <c r="S14" i="39"/>
  <c r="O14" i="39"/>
  <c r="S13" i="39"/>
  <c r="O13" i="39"/>
  <c r="S10" i="39"/>
  <c r="O10" i="39"/>
  <c r="S9" i="39"/>
  <c r="O9" i="39"/>
  <c r="O5" i="39"/>
  <c r="T18" i="39"/>
  <c r="T17" i="39"/>
  <c r="T14" i="39"/>
  <c r="T13" i="39"/>
  <c r="T10" i="39"/>
  <c r="T9" i="39"/>
  <c r="T563" i="2"/>
  <c r="U563" i="2"/>
  <c r="M563" i="2"/>
  <c r="N563" i="2"/>
  <c r="E563" i="2"/>
  <c r="G564" i="2" l="1"/>
  <c r="I563" i="2"/>
  <c r="F564" i="2"/>
  <c r="V565" i="2"/>
  <c r="W565" i="2" s="1"/>
  <c r="O565" i="2"/>
  <c r="P565" i="2" s="1"/>
  <c r="O24" i="39"/>
  <c r="H563" i="2"/>
  <c r="T562" i="2"/>
  <c r="U562" i="2"/>
  <c r="M562" i="2"/>
  <c r="N562" i="2"/>
  <c r="E562" i="2"/>
  <c r="F563" i="2" s="1"/>
  <c r="I562" i="2"/>
  <c r="O564" i="2" l="1"/>
  <c r="P564" i="2" s="1"/>
  <c r="V564" i="2"/>
  <c r="W564" i="2" s="1"/>
  <c r="H562" i="2"/>
  <c r="G563" i="2"/>
  <c r="T561" i="2"/>
  <c r="U561" i="2"/>
  <c r="M561" i="2"/>
  <c r="N561" i="2"/>
  <c r="E561" i="2"/>
  <c r="I561" i="2"/>
  <c r="G562" i="2" l="1"/>
  <c r="V563" i="2"/>
  <c r="W563" i="2" s="1"/>
  <c r="O563" i="2"/>
  <c r="P563" i="2" s="1"/>
  <c r="F562" i="2"/>
  <c r="H561" i="2"/>
  <c r="U560" i="2"/>
  <c r="T560" i="2"/>
  <c r="M560" i="2"/>
  <c r="N560" i="2"/>
  <c r="E560" i="2"/>
  <c r="F561" i="2" s="1"/>
  <c r="I560" i="2" l="1"/>
  <c r="O562" i="2"/>
  <c r="P562" i="2" s="1"/>
  <c r="V562" i="2"/>
  <c r="W562" i="2" s="1"/>
  <c r="H560" i="2"/>
  <c r="G561" i="2"/>
  <c r="T559" i="2"/>
  <c r="U559" i="2"/>
  <c r="M559" i="2"/>
  <c r="N559" i="2"/>
  <c r="E559" i="2"/>
  <c r="I559" i="2" l="1"/>
  <c r="F559" i="2"/>
  <c r="H559" i="2"/>
  <c r="G559" i="2"/>
  <c r="O561" i="2"/>
  <c r="P561" i="2" s="1"/>
  <c r="V561" i="2"/>
  <c r="W561" i="2" s="1"/>
  <c r="G560" i="2"/>
  <c r="F560" i="2"/>
  <c r="T558" i="2"/>
  <c r="U558" i="2"/>
  <c r="M558" i="2"/>
  <c r="N558" i="2"/>
  <c r="E558" i="2"/>
  <c r="H558" i="2"/>
  <c r="O560" i="2" l="1"/>
  <c r="P560" i="2" s="1"/>
  <c r="V560" i="2"/>
  <c r="W560" i="2" s="1"/>
  <c r="I558" i="2"/>
  <c r="E557" i="2"/>
  <c r="I557" i="2" s="1"/>
  <c r="M557" i="2"/>
  <c r="N557" i="2"/>
  <c r="T557" i="2"/>
  <c r="U557" i="2"/>
  <c r="I36" i="39"/>
  <c r="I35" i="39"/>
  <c r="I34" i="39"/>
  <c r="X41" i="45"/>
  <c r="AA49" i="45"/>
  <c r="AE13" i="45"/>
  <c r="AH21" i="45"/>
  <c r="AH35" i="45"/>
  <c r="AE27" i="45"/>
  <c r="E36" i="39"/>
  <c r="T74" i="45" s="1"/>
  <c r="E35" i="39"/>
  <c r="R74" i="45"/>
  <c r="X74" i="45"/>
  <c r="H30" i="39"/>
  <c r="C30" i="39"/>
  <c r="AH29" i="45"/>
  <c r="H24" i="39"/>
  <c r="D17" i="39"/>
  <c r="X15" i="45" s="1"/>
  <c r="G157" i="9"/>
  <c r="G155" i="9"/>
  <c r="AH32" i="45" l="1"/>
  <c r="AH30" i="45"/>
  <c r="AH31" i="45"/>
  <c r="O559" i="2"/>
  <c r="P559" i="2" s="1"/>
  <c r="V559" i="2"/>
  <c r="W559" i="2" s="1"/>
  <c r="G558" i="2"/>
  <c r="F558" i="2"/>
  <c r="H557" i="2"/>
  <c r="AE35" i="45"/>
  <c r="AE34" i="45" s="1"/>
  <c r="AH34" i="45"/>
  <c r="D30" i="39"/>
  <c r="AH27" i="45"/>
  <c r="T556" i="2"/>
  <c r="U556" i="2"/>
  <c r="M556" i="2"/>
  <c r="N556" i="2"/>
  <c r="E556" i="2"/>
  <c r="F557" i="2" s="1"/>
  <c r="I556" i="2" l="1"/>
  <c r="V558" i="2"/>
  <c r="W558" i="2" s="1"/>
  <c r="O558" i="2"/>
  <c r="P558" i="2" s="1"/>
  <c r="G557" i="2"/>
  <c r="H556" i="2"/>
  <c r="T555" i="2"/>
  <c r="U555" i="2"/>
  <c r="M555" i="2"/>
  <c r="N555" i="2"/>
  <c r="E555" i="2"/>
  <c r="F556" i="2" s="1"/>
  <c r="G556" i="2" l="1"/>
  <c r="V556" i="2" s="1"/>
  <c r="W556" i="2" s="1"/>
  <c r="I555" i="2"/>
  <c r="O557" i="2"/>
  <c r="P557" i="2" s="1"/>
  <c r="V557" i="2"/>
  <c r="W557" i="2" s="1"/>
  <c r="O556" i="2"/>
  <c r="P556" i="2" s="1"/>
  <c r="H555" i="2"/>
  <c r="E551" i="2"/>
  <c r="I551" i="2" s="1"/>
  <c r="U552" i="2"/>
  <c r="T552" i="2"/>
  <c r="T551" i="2"/>
  <c r="U551" i="2"/>
  <c r="N552" i="2"/>
  <c r="M552" i="2"/>
  <c r="M551" i="2"/>
  <c r="N551" i="2"/>
  <c r="H551" i="2" l="1"/>
  <c r="T554" i="2"/>
  <c r="U554" i="2"/>
  <c r="M554" i="2"/>
  <c r="N554" i="2"/>
  <c r="E554" i="2"/>
  <c r="H554" i="2" l="1"/>
  <c r="I554" i="2"/>
  <c r="G555" i="2"/>
  <c r="F555" i="2"/>
  <c r="U553" i="2"/>
  <c r="T553" i="2"/>
  <c r="N553" i="2"/>
  <c r="M553" i="2"/>
  <c r="E552" i="2"/>
  <c r="E553" i="2"/>
  <c r="I553" i="2" s="1"/>
  <c r="O555" i="2" l="1"/>
  <c r="P555" i="2" s="1"/>
  <c r="V555" i="2"/>
  <c r="W555" i="2" s="1"/>
  <c r="F554" i="2"/>
  <c r="H552" i="2"/>
  <c r="I552" i="2"/>
  <c r="F552" i="2"/>
  <c r="G552" i="2"/>
  <c r="G554" i="2"/>
  <c r="F553" i="2"/>
  <c r="H553" i="2"/>
  <c r="G553" i="2"/>
  <c r="V553" i="2" s="1"/>
  <c r="W553" i="2" s="1"/>
  <c r="T550" i="2"/>
  <c r="U550" i="2"/>
  <c r="M550" i="2"/>
  <c r="N550" i="2"/>
  <c r="E550" i="2"/>
  <c r="O553" i="2" l="1"/>
  <c r="P553" i="2" s="1"/>
  <c r="H550" i="2"/>
  <c r="G551" i="2"/>
  <c r="F551" i="2"/>
  <c r="V552" i="2"/>
  <c r="W552" i="2" s="1"/>
  <c r="O552" i="2"/>
  <c r="P552" i="2" s="1"/>
  <c r="I550" i="2"/>
  <c r="O554" i="2"/>
  <c r="P554" i="2" s="1"/>
  <c r="V554" i="2"/>
  <c r="W554" i="2" s="1"/>
  <c r="T549" i="2"/>
  <c r="U549" i="2"/>
  <c r="M549" i="2"/>
  <c r="N549" i="2"/>
  <c r="E549" i="2"/>
  <c r="T548" i="2"/>
  <c r="U548" i="2"/>
  <c r="M548" i="2"/>
  <c r="N548" i="2"/>
  <c r="E548" i="2"/>
  <c r="H548" i="2" s="1"/>
  <c r="I549" i="2" l="1"/>
  <c r="F550" i="2"/>
  <c r="O551" i="2"/>
  <c r="P551" i="2" s="1"/>
  <c r="V551" i="2"/>
  <c r="W551" i="2" s="1"/>
  <c r="G550" i="2"/>
  <c r="F549" i="2"/>
  <c r="H549" i="2"/>
  <c r="G549" i="2"/>
  <c r="I548" i="2"/>
  <c r="E547" i="2"/>
  <c r="F548" i="2" s="1"/>
  <c r="M547" i="2"/>
  <c r="N547" i="2"/>
  <c r="T547" i="2"/>
  <c r="U547" i="2"/>
  <c r="T546" i="2"/>
  <c r="U546" i="2"/>
  <c r="M546" i="2"/>
  <c r="N546" i="2"/>
  <c r="E546" i="2"/>
  <c r="H546" i="2" s="1"/>
  <c r="E545" i="2"/>
  <c r="D36" i="39"/>
  <c r="T545" i="2"/>
  <c r="U545" i="2"/>
  <c r="M545" i="2"/>
  <c r="N545" i="2"/>
  <c r="T544" i="2"/>
  <c r="U544" i="2"/>
  <c r="M544" i="2"/>
  <c r="N544" i="2"/>
  <c r="E543" i="2"/>
  <c r="E544" i="2"/>
  <c r="J36" i="39" l="1"/>
  <c r="Z74" i="45"/>
  <c r="AA74" i="45" s="1"/>
  <c r="O550" i="2"/>
  <c r="P550" i="2" s="1"/>
  <c r="V550" i="2"/>
  <c r="W550" i="2" s="1"/>
  <c r="G545" i="2"/>
  <c r="O549" i="2"/>
  <c r="P549" i="2" s="1"/>
  <c r="V549" i="2"/>
  <c r="W549" i="2" s="1"/>
  <c r="I547" i="2"/>
  <c r="F546" i="2"/>
  <c r="H547" i="2"/>
  <c r="H545" i="2"/>
  <c r="F547" i="2"/>
  <c r="G548" i="2"/>
  <c r="F544" i="2"/>
  <c r="I545" i="2"/>
  <c r="F545" i="2"/>
  <c r="I546" i="2"/>
  <c r="G546" i="2"/>
  <c r="O546" i="2" s="1"/>
  <c r="P546" i="2" s="1"/>
  <c r="G547" i="2"/>
  <c r="V547" i="2" s="1"/>
  <c r="W547" i="2" s="1"/>
  <c r="V545" i="2"/>
  <c r="W545" i="2" s="1"/>
  <c r="O545" i="2"/>
  <c r="P545" i="2" s="1"/>
  <c r="I544" i="2"/>
  <c r="G544" i="2"/>
  <c r="O544" i="2" s="1"/>
  <c r="P544" i="2" s="1"/>
  <c r="H544" i="2"/>
  <c r="E5" i="44"/>
  <c r="L5" i="44" s="1"/>
  <c r="K5" i="44"/>
  <c r="M5" i="44"/>
  <c r="C5" i="44"/>
  <c r="O547" i="2" l="1"/>
  <c r="P547" i="2" s="1"/>
  <c r="V546" i="2"/>
  <c r="W546" i="2" s="1"/>
  <c r="V548" i="2"/>
  <c r="W548" i="2" s="1"/>
  <c r="O548" i="2"/>
  <c r="P548" i="2" s="1"/>
  <c r="V544" i="2"/>
  <c r="W544" i="2" s="1"/>
  <c r="N5" i="44"/>
  <c r="I478" i="2"/>
  <c r="I479" i="2"/>
  <c r="I480"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T543" i="2" l="1"/>
  <c r="U543" i="2"/>
  <c r="M543" i="2"/>
  <c r="H543" i="2"/>
  <c r="T542" i="2"/>
  <c r="U542" i="2"/>
  <c r="M542" i="2"/>
  <c r="E542" i="2"/>
  <c r="G543" i="2" s="1"/>
  <c r="T541" i="2"/>
  <c r="U541" i="2"/>
  <c r="M541" i="2"/>
  <c r="E541" i="2"/>
  <c r="I541" i="2" s="1"/>
  <c r="V543" i="2" l="1"/>
  <c r="W543" i="2" s="1"/>
  <c r="H542" i="2"/>
  <c r="I542" i="2"/>
  <c r="F543" i="2"/>
  <c r="O543" i="2"/>
  <c r="P543" i="2" s="1"/>
  <c r="H541" i="2"/>
  <c r="F542" i="2"/>
  <c r="G542" i="2"/>
  <c r="V542" i="2" s="1"/>
  <c r="W542" i="2" s="1"/>
  <c r="J74" i="45"/>
  <c r="F74" i="45"/>
  <c r="G153" i="9"/>
  <c r="D74" i="45"/>
  <c r="O542" i="2" l="1"/>
  <c r="P542" i="2" s="1"/>
  <c r="U540" i="2"/>
  <c r="T540" i="2"/>
  <c r="M540" i="2"/>
  <c r="E540" i="2"/>
  <c r="I540" i="2" s="1"/>
  <c r="H540" i="2" l="1"/>
  <c r="G541" i="2"/>
  <c r="F541" i="2"/>
  <c r="V541" i="2" l="1"/>
  <c r="W541" i="2" s="1"/>
  <c r="O541" i="2"/>
  <c r="P541" i="2" s="1"/>
  <c r="D5" i="44"/>
  <c r="AE21" i="45"/>
  <c r="AE20" i="45" s="1"/>
  <c r="AA43" i="45"/>
  <c r="AH15" i="45"/>
  <c r="I30" i="39"/>
  <c r="AA41" i="45"/>
  <c r="AH13" i="45"/>
  <c r="X49" i="45" l="1"/>
  <c r="X48" i="45" s="1"/>
  <c r="G5" i="44"/>
  <c r="L74" i="45"/>
  <c r="M74" i="45" s="1"/>
  <c r="J30" i="39"/>
  <c r="T539" i="2"/>
  <c r="U539" i="2"/>
  <c r="M539" i="2"/>
  <c r="E539" i="2"/>
  <c r="I539" i="2" s="1"/>
  <c r="R73" i="45"/>
  <c r="E23" i="44"/>
  <c r="M19" i="44"/>
  <c r="C7" i="44"/>
  <c r="C6" i="44"/>
  <c r="C10" i="44"/>
  <c r="C12" i="44"/>
  <c r="C22" i="44"/>
  <c r="C13" i="44"/>
  <c r="C15" i="44"/>
  <c r="C18" i="44"/>
  <c r="C9" i="44"/>
  <c r="C8" i="44"/>
  <c r="C11" i="44"/>
  <c r="C14" i="44"/>
  <c r="C17" i="44"/>
  <c r="C19" i="44"/>
  <c r="C16" i="44"/>
  <c r="C20" i="44"/>
  <c r="C21" i="44"/>
  <c r="D23" i="44"/>
  <c r="J5" i="44" l="1"/>
  <c r="I5" i="44"/>
  <c r="F540" i="2"/>
  <c r="G540" i="2"/>
  <c r="H539" i="2"/>
  <c r="E15" i="27"/>
  <c r="D15" i="27"/>
  <c r="C15" i="27"/>
  <c r="B15" i="27"/>
  <c r="H5" i="6"/>
  <c r="E14" i="6"/>
  <c r="E15" i="6"/>
  <c r="E16" i="6"/>
  <c r="E5" i="6"/>
  <c r="O540" i="2" l="1"/>
  <c r="P540" i="2" s="1"/>
  <c r="V540" i="2"/>
  <c r="W540" i="2" s="1"/>
  <c r="T73" i="45"/>
  <c r="X73" i="45"/>
  <c r="T538" i="2"/>
  <c r="U538" i="2"/>
  <c r="M538" i="2"/>
  <c r="E538" i="2"/>
  <c r="I538" i="2" s="1"/>
  <c r="G151" i="9"/>
  <c r="G149" i="9"/>
  <c r="J35" i="39"/>
  <c r="D35" i="39"/>
  <c r="D34" i="39"/>
  <c r="E537" i="2"/>
  <c r="M537" i="2"/>
  <c r="T537" i="2"/>
  <c r="U537" i="2"/>
  <c r="H537" i="2" l="1"/>
  <c r="I537" i="2"/>
  <c r="H538" i="2"/>
  <c r="G539" i="2"/>
  <c r="F539" i="2"/>
  <c r="G538" i="2"/>
  <c r="V538" i="2" s="1"/>
  <c r="W538" i="2" s="1"/>
  <c r="F538" i="2"/>
  <c r="Z73" i="45"/>
  <c r="AA73" i="45" s="1"/>
  <c r="G7" i="44"/>
  <c r="G20" i="44"/>
  <c r="G21" i="44"/>
  <c r="G6" i="44"/>
  <c r="G10" i="44"/>
  <c r="G12" i="44"/>
  <c r="G22" i="44"/>
  <c r="G13" i="44"/>
  <c r="G15" i="44"/>
  <c r="G18" i="44"/>
  <c r="G9" i="44"/>
  <c r="G8" i="44"/>
  <c r="G11" i="44"/>
  <c r="G14" i="44"/>
  <c r="G17" i="44"/>
  <c r="M9" i="44"/>
  <c r="O539" i="2" l="1"/>
  <c r="P539" i="2" s="1"/>
  <c r="V539" i="2"/>
  <c r="W539" i="2" s="1"/>
  <c r="O538" i="2"/>
  <c r="P538" i="2" s="1"/>
  <c r="AH4" i="45"/>
  <c r="H34" i="39"/>
  <c r="E34" i="39"/>
  <c r="E29" i="39"/>
  <c r="E28" i="39"/>
  <c r="M6" i="45"/>
  <c r="E536" i="2"/>
  <c r="I536" i="2" s="1"/>
  <c r="M536" i="2"/>
  <c r="T536" i="2"/>
  <c r="U536" i="2"/>
  <c r="T535" i="2"/>
  <c r="U535" i="2"/>
  <c r="M535" i="2"/>
  <c r="E535" i="2"/>
  <c r="I535" i="2" s="1"/>
  <c r="G536" i="2" l="1"/>
  <c r="F537" i="2"/>
  <c r="G537" i="2"/>
  <c r="H536" i="2"/>
  <c r="F536" i="2"/>
  <c r="H535" i="2"/>
  <c r="T534" i="2"/>
  <c r="U534" i="2"/>
  <c r="M534" i="2"/>
  <c r="E534" i="2"/>
  <c r="I534" i="2" s="1"/>
  <c r="G535" i="2" l="1"/>
  <c r="V535" i="2" s="1"/>
  <c r="W535" i="2" s="1"/>
  <c r="F535" i="2"/>
  <c r="V537" i="2"/>
  <c r="W537" i="2" s="1"/>
  <c r="O537" i="2"/>
  <c r="P537" i="2" s="1"/>
  <c r="O536" i="2"/>
  <c r="P536" i="2" s="1"/>
  <c r="V536" i="2"/>
  <c r="W536" i="2" s="1"/>
  <c r="O535" i="2"/>
  <c r="P535" i="2" s="1"/>
  <c r="H534" i="2"/>
  <c r="R71" i="2"/>
  <c r="F73" i="45"/>
  <c r="T63" i="45"/>
  <c r="Q55" i="45"/>
  <c r="H29" i="39"/>
  <c r="J73" i="45" s="1"/>
  <c r="C29" i="39"/>
  <c r="D73" i="45" s="1"/>
  <c r="Q63" i="45"/>
  <c r="Q62" i="45" s="1"/>
  <c r="K9" i="44"/>
  <c r="T57" i="45"/>
  <c r="D16" i="39"/>
  <c r="G147" i="9"/>
  <c r="E533" i="2"/>
  <c r="I533" i="2" s="1"/>
  <c r="T533" i="2"/>
  <c r="U533" i="2"/>
  <c r="M533" i="2"/>
  <c r="E532" i="2"/>
  <c r="M532" i="2"/>
  <c r="T532" i="2"/>
  <c r="U532" i="2"/>
  <c r="X72" i="45"/>
  <c r="Z72" i="45"/>
  <c r="J42" i="39"/>
  <c r="J39" i="39"/>
  <c r="H28" i="39"/>
  <c r="G145" i="9"/>
  <c r="C28" i="39"/>
  <c r="M14" i="44"/>
  <c r="K14" i="44"/>
  <c r="M17" i="44"/>
  <c r="K17" i="44"/>
  <c r="M7" i="44"/>
  <c r="K7" i="44"/>
  <c r="T531" i="2"/>
  <c r="U531" i="2"/>
  <c r="M531" i="2"/>
  <c r="E531" i="2"/>
  <c r="E17" i="45"/>
  <c r="K8" i="44"/>
  <c r="M8" i="44"/>
  <c r="AA48" i="45" l="1"/>
  <c r="AA45" i="45"/>
  <c r="T60" i="45"/>
  <c r="AG31" i="45"/>
  <c r="Z45" i="45"/>
  <c r="AG17" i="45"/>
  <c r="E14" i="44"/>
  <c r="L14" i="44" s="1"/>
  <c r="H531" i="2"/>
  <c r="I531" i="2"/>
  <c r="G533" i="2"/>
  <c r="V533" i="2" s="1"/>
  <c r="W533" i="2" s="1"/>
  <c r="I532" i="2"/>
  <c r="D28" i="39"/>
  <c r="D14" i="44"/>
  <c r="T62" i="45"/>
  <c r="E9" i="44"/>
  <c r="Q57" i="45"/>
  <c r="D9" i="44"/>
  <c r="H533" i="2"/>
  <c r="G534" i="2"/>
  <c r="F534" i="2"/>
  <c r="D29" i="39"/>
  <c r="S59" i="45"/>
  <c r="I29" i="39"/>
  <c r="T55" i="45"/>
  <c r="G532" i="2"/>
  <c r="O532" i="2" s="1"/>
  <c r="P532" i="2" s="1"/>
  <c r="H532" i="2"/>
  <c r="F532" i="2"/>
  <c r="F533" i="2"/>
  <c r="AA72" i="45"/>
  <c r="AA46" i="45"/>
  <c r="I28" i="39"/>
  <c r="M8" i="45"/>
  <c r="M16" i="44"/>
  <c r="M20" i="44"/>
  <c r="M21" i="44"/>
  <c r="M6" i="44"/>
  <c r="M10" i="44"/>
  <c r="M12" i="44"/>
  <c r="M22" i="44"/>
  <c r="M13" i="44"/>
  <c r="M15" i="44"/>
  <c r="M18" i="44"/>
  <c r="M11" i="44"/>
  <c r="K16" i="44"/>
  <c r="K20" i="44"/>
  <c r="K21" i="44"/>
  <c r="K6" i="44"/>
  <c r="K10" i="44"/>
  <c r="K12" i="44"/>
  <c r="K22" i="44"/>
  <c r="K13" i="44"/>
  <c r="K15" i="44"/>
  <c r="K18" i="44"/>
  <c r="K11" i="44"/>
  <c r="K19" i="44"/>
  <c r="T530" i="2"/>
  <c r="U530" i="2"/>
  <c r="M530" i="2"/>
  <c r="E530"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E527" i="2"/>
  <c r="I527" i="2" s="1"/>
  <c r="E526" i="2"/>
  <c r="E525" i="2"/>
  <c r="I525" i="2" s="1"/>
  <c r="E524" i="2"/>
  <c r="E523" i="2"/>
  <c r="I523" i="2" s="1"/>
  <c r="E522" i="2"/>
  <c r="E529" i="2"/>
  <c r="M529" i="2"/>
  <c r="T529" i="2"/>
  <c r="U529" i="2"/>
  <c r="T528" i="2"/>
  <c r="U528" i="2"/>
  <c r="M528" i="2"/>
  <c r="T527" i="2"/>
  <c r="U527" i="2"/>
  <c r="M527" i="2"/>
  <c r="U526" i="2"/>
  <c r="T526" i="2"/>
  <c r="M526" i="2"/>
  <c r="T525" i="2"/>
  <c r="U525" i="2"/>
  <c r="M525" i="2"/>
  <c r="T524" i="2"/>
  <c r="U524" i="2"/>
  <c r="M524" i="2"/>
  <c r="T523" i="2"/>
  <c r="U523" i="2"/>
  <c r="M523" i="2"/>
  <c r="T522" i="2"/>
  <c r="U522" i="2"/>
  <c r="M522" i="2"/>
  <c r="N14" i="44" l="1"/>
  <c r="I14" i="44"/>
  <c r="AA44" i="45"/>
  <c r="H529" i="2"/>
  <c r="I529" i="2"/>
  <c r="H522" i="2"/>
  <c r="I522" i="2"/>
  <c r="H524" i="2"/>
  <c r="I524" i="2"/>
  <c r="H526" i="2"/>
  <c r="I526" i="2"/>
  <c r="H528" i="2"/>
  <c r="I528" i="2"/>
  <c r="H530" i="2"/>
  <c r="I530" i="2"/>
  <c r="G525" i="2"/>
  <c r="O525" i="2" s="1"/>
  <c r="P525" i="2" s="1"/>
  <c r="J14" i="44"/>
  <c r="L9" i="44"/>
  <c r="N9" i="44"/>
  <c r="T59" i="45"/>
  <c r="J9" i="44"/>
  <c r="T58" i="45"/>
  <c r="I9" i="44"/>
  <c r="O534" i="2"/>
  <c r="P534" i="2" s="1"/>
  <c r="V534" i="2"/>
  <c r="W534" i="2" s="1"/>
  <c r="L73" i="45"/>
  <c r="M73" i="45" s="1"/>
  <c r="J29"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A35" i="45"/>
  <c r="X27" i="45"/>
  <c r="AA21" i="45"/>
  <c r="T21" i="45"/>
  <c r="M63" i="45"/>
  <c r="M49" i="45"/>
  <c r="X13" i="45"/>
  <c r="Q27" i="45"/>
  <c r="Q13" i="45"/>
  <c r="J55" i="45"/>
  <c r="J41" i="45"/>
  <c r="Q35" i="45"/>
  <c r="Q34" i="45" s="1"/>
  <c r="Q49" i="45"/>
  <c r="Q48" i="45" s="1"/>
  <c r="X21" i="45"/>
  <c r="X20" i="45" s="1"/>
  <c r="D6" i="39"/>
  <c r="D16" i="44" s="1"/>
  <c r="D7" i="39"/>
  <c r="D20" i="44" s="1"/>
  <c r="D8" i="39"/>
  <c r="D21" i="44" s="1"/>
  <c r="D9" i="39"/>
  <c r="D6" i="44" s="1"/>
  <c r="D10" i="39"/>
  <c r="D10" i="44" s="1"/>
  <c r="D11" i="39"/>
  <c r="D12" i="44" s="1"/>
  <c r="D12" i="39"/>
  <c r="D22" i="44" s="1"/>
  <c r="D13" i="39"/>
  <c r="D13" i="44" s="1"/>
  <c r="D14" i="39"/>
  <c r="D15" i="39"/>
  <c r="D18" i="39"/>
  <c r="X29" i="45" s="1"/>
  <c r="D19" i="39"/>
  <c r="D21" i="39"/>
  <c r="AE15" i="45" s="1"/>
  <c r="D22" i="39"/>
  <c r="AE29" i="45" s="1"/>
  <c r="G141" i="9"/>
  <c r="G139" i="9"/>
  <c r="G137" i="9"/>
  <c r="G135" i="9"/>
  <c r="T517" i="2"/>
  <c r="U517" i="2"/>
  <c r="M517" i="2"/>
  <c r="F517" i="2"/>
  <c r="G517" i="2"/>
  <c r="H517" i="2"/>
  <c r="E18" i="44" l="1"/>
  <c r="N18" i="44" s="1"/>
  <c r="AH20" i="45"/>
  <c r="AH18" i="45"/>
  <c r="AH16" i="45"/>
  <c r="T32" i="45"/>
  <c r="E22" i="44"/>
  <c r="L22" i="44" s="1"/>
  <c r="E13" i="44"/>
  <c r="L13" i="44" s="1"/>
  <c r="I13" i="44"/>
  <c r="E12" i="44"/>
  <c r="N12" i="44" s="1"/>
  <c r="I12" i="44"/>
  <c r="D11" i="44"/>
  <c r="X43" i="45"/>
  <c r="E7" i="44"/>
  <c r="N7" i="44" s="1"/>
  <c r="E8" i="44"/>
  <c r="N8" i="44" s="1"/>
  <c r="E9" i="6"/>
  <c r="E17" i="44"/>
  <c r="L17" i="44" s="1"/>
  <c r="O517" i="2"/>
  <c r="P517" i="2" s="1"/>
  <c r="V525" i="2"/>
  <c r="W525" i="2" s="1"/>
  <c r="D7" i="44"/>
  <c r="Q43" i="45"/>
  <c r="D18" i="44"/>
  <c r="D8" i="44"/>
  <c r="E11" i="6"/>
  <c r="E15" i="44"/>
  <c r="E10" i="44"/>
  <c r="D17" i="44"/>
  <c r="Q29" i="45"/>
  <c r="D15" i="44"/>
  <c r="L18" i="44"/>
  <c r="O523" i="2"/>
  <c r="P523" i="2" s="1"/>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AH17" i="45"/>
  <c r="X35" i="45"/>
  <c r="X34" i="45" s="1"/>
  <c r="AA20" i="45"/>
  <c r="T34" i="45"/>
  <c r="M62" i="45"/>
  <c r="T48" i="45"/>
  <c r="T20" i="45"/>
  <c r="M48" i="45"/>
  <c r="T27" i="45"/>
  <c r="T41" i="45"/>
  <c r="AA13" i="45"/>
  <c r="AA27" i="45"/>
  <c r="T46" i="45"/>
  <c r="AA18" i="45"/>
  <c r="I22" i="44"/>
  <c r="T516" i="2"/>
  <c r="U516" i="2"/>
  <c r="M516" i="2"/>
  <c r="F516" i="2"/>
  <c r="G516" i="2"/>
  <c r="H516" i="2"/>
  <c r="Q15" i="45"/>
  <c r="G133" i="9"/>
  <c r="G131" i="9"/>
  <c r="G129" i="9"/>
  <c r="G127" i="9"/>
  <c r="G125" i="9"/>
  <c r="G123" i="9"/>
  <c r="G121" i="9"/>
  <c r="T515" i="2"/>
  <c r="U515" i="2"/>
  <c r="M515" i="2"/>
  <c r="F515" i="2"/>
  <c r="G515" i="2"/>
  <c r="H515" i="2"/>
  <c r="F49" i="45"/>
  <c r="F63" i="45"/>
  <c r="C55" i="45"/>
  <c r="C41" i="45"/>
  <c r="F57" i="45"/>
  <c r="T15" i="45"/>
  <c r="T43" i="45"/>
  <c r="AA15" i="45"/>
  <c r="AA29" i="45"/>
  <c r="C57" i="45"/>
  <c r="C43" i="45"/>
  <c r="J15" i="45"/>
  <c r="J29" i="45"/>
  <c r="J43" i="45"/>
  <c r="J57" i="45"/>
  <c r="N22" i="44" l="1"/>
  <c r="L12" i="44"/>
  <c r="N13" i="44"/>
  <c r="E21" i="44"/>
  <c r="N21" i="44" s="1"/>
  <c r="F60" i="45"/>
  <c r="L7" i="44"/>
  <c r="N17" i="44"/>
  <c r="L8" i="44"/>
  <c r="T44" i="45"/>
  <c r="I18" i="44"/>
  <c r="AA34" i="45"/>
  <c r="E11" i="44"/>
  <c r="N10" i="44"/>
  <c r="L10" i="44"/>
  <c r="T30" i="45"/>
  <c r="I15" i="44"/>
  <c r="M45" i="45"/>
  <c r="J12" i="44"/>
  <c r="T31" i="45"/>
  <c r="J15" i="44"/>
  <c r="I17" i="44"/>
  <c r="J7" i="44"/>
  <c r="T45" i="45"/>
  <c r="J18" i="44"/>
  <c r="L15" i="44"/>
  <c r="N15" i="44"/>
  <c r="AA16" i="45"/>
  <c r="I8" i="44"/>
  <c r="M59" i="45"/>
  <c r="J22" i="44"/>
  <c r="AA17" i="45"/>
  <c r="J8" i="44"/>
  <c r="J17" i="44"/>
  <c r="I7" i="44"/>
  <c r="T17" i="45"/>
  <c r="J13" i="44"/>
  <c r="M31" i="45"/>
  <c r="J10" i="44"/>
  <c r="E8" i="6"/>
  <c r="E13" i="6"/>
  <c r="V515" i="2"/>
  <c r="W515" i="2" s="1"/>
  <c r="V516" i="2"/>
  <c r="W516" i="2" s="1"/>
  <c r="O515" i="2"/>
  <c r="P515" i="2" s="1"/>
  <c r="AA32" i="45"/>
  <c r="O516" i="2"/>
  <c r="P516" i="2" s="1"/>
  <c r="F62" i="45"/>
  <c r="C63" i="45"/>
  <c r="C62" i="45" s="1"/>
  <c r="T514" i="2"/>
  <c r="U514" i="2"/>
  <c r="M514" i="2"/>
  <c r="F514" i="2"/>
  <c r="G514" i="2"/>
  <c r="H514" i="2"/>
  <c r="G119" i="9"/>
  <c r="G117" i="9"/>
  <c r="G115" i="9"/>
  <c r="T513" i="2"/>
  <c r="U513" i="2"/>
  <c r="M513" i="2"/>
  <c r="F513" i="2"/>
  <c r="G513" i="2"/>
  <c r="H513" i="2"/>
  <c r="Z31" i="45"/>
  <c r="E59" i="45"/>
  <c r="S17" i="45"/>
  <c r="S31" i="45"/>
  <c r="S45" i="45"/>
  <c r="Z17" i="45"/>
  <c r="L59" i="45"/>
  <c r="L45" i="45"/>
  <c r="L31" i="45"/>
  <c r="L17" i="45"/>
  <c r="E45" i="45"/>
  <c r="E31" i="45"/>
  <c r="L21" i="44" l="1"/>
  <c r="L11" i="44"/>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H511" i="2"/>
  <c r="F512" i="2"/>
  <c r="G512" i="2"/>
  <c r="H512" i="2"/>
  <c r="T510" i="2"/>
  <c r="U510" i="2"/>
  <c r="M510" i="2"/>
  <c r="F510" i="2"/>
  <c r="G510" i="2"/>
  <c r="H510" i="2"/>
  <c r="V511" i="2" l="1"/>
  <c r="W511" i="2" s="1"/>
  <c r="O511" i="2"/>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H508" i="2"/>
  <c r="O508" i="2" l="1"/>
  <c r="P508" i="2" s="1"/>
  <c r="V507" i="2"/>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T496" i="2"/>
  <c r="U496" i="2"/>
  <c r="M496" i="2"/>
  <c r="F496" i="2"/>
  <c r="G496" i="2"/>
  <c r="H496" i="2"/>
  <c r="T495" i="2"/>
  <c r="U495" i="2"/>
  <c r="M495" i="2"/>
  <c r="F495" i="2"/>
  <c r="G495" i="2"/>
  <c r="H495" i="2"/>
  <c r="M55" i="45"/>
  <c r="T494" i="2"/>
  <c r="U494" i="2"/>
  <c r="M494" i="2"/>
  <c r="F494" i="2"/>
  <c r="G494" i="2"/>
  <c r="H494" i="2"/>
  <c r="M493" i="2"/>
  <c r="T493" i="2"/>
  <c r="U493" i="2"/>
  <c r="F493" i="2"/>
  <c r="G493" i="2"/>
  <c r="H493" i="2"/>
  <c r="T492" i="2"/>
  <c r="U492" i="2"/>
  <c r="M492" i="2"/>
  <c r="F492" i="2"/>
  <c r="G492" i="2"/>
  <c r="H492" i="2"/>
  <c r="T491" i="2"/>
  <c r="U491" i="2"/>
  <c r="M491" i="2"/>
  <c r="F491" i="2"/>
  <c r="G491" i="2"/>
  <c r="H491" i="2"/>
  <c r="E6" i="44" l="1"/>
  <c r="E20" i="44"/>
  <c r="N20" i="44" s="1"/>
  <c r="F46" i="45"/>
  <c r="I20" i="44"/>
  <c r="N6" i="44"/>
  <c r="L6" i="44"/>
  <c r="E7" i="6"/>
  <c r="E12" i="6"/>
  <c r="O495" i="2"/>
  <c r="P495" i="2" s="1"/>
  <c r="T13" i="45"/>
  <c r="M27" i="45"/>
  <c r="M41" i="45"/>
  <c r="M13" i="45"/>
  <c r="F55" i="45"/>
  <c r="F41" i="45"/>
  <c r="F13" i="45"/>
  <c r="O493" i="2"/>
  <c r="P493" i="2" s="1"/>
  <c r="V497" i="2"/>
  <c r="W497" i="2" s="1"/>
  <c r="O497" i="2"/>
  <c r="P497" i="2" s="1"/>
  <c r="O492" i="2"/>
  <c r="P492" i="2" s="1"/>
  <c r="V492" i="2"/>
  <c r="W492" i="2" s="1"/>
  <c r="F27" i="45"/>
  <c r="V496" i="2"/>
  <c r="W496" i="2" s="1"/>
  <c r="V493" i="2"/>
  <c r="W493" i="2" s="1"/>
  <c r="V495" i="2"/>
  <c r="W495" i="2" s="1"/>
  <c r="O496" i="2"/>
  <c r="P496" i="2" s="1"/>
  <c r="V491" i="2"/>
  <c r="W491" i="2" s="1"/>
  <c r="V494" i="2"/>
  <c r="W494" i="2" s="1"/>
  <c r="O494" i="2"/>
  <c r="P494" i="2" s="1"/>
  <c r="O491" i="2"/>
  <c r="P491" i="2" s="1"/>
  <c r="W4" i="39" l="1"/>
  <c r="T24" i="39"/>
  <c r="W8" i="39"/>
  <c r="W10" i="39"/>
  <c r="W12" i="39"/>
  <c r="W15" i="39"/>
  <c r="W17" i="39"/>
  <c r="W19" i="39"/>
  <c r="W21" i="39"/>
  <c r="W22" i="39"/>
  <c r="S24" i="39"/>
  <c r="M4" i="45" s="1"/>
  <c r="P24" i="39"/>
  <c r="W9" i="39"/>
  <c r="W11" i="39"/>
  <c r="W13" i="39"/>
  <c r="W14" i="39"/>
  <c r="W16" i="39"/>
  <c r="W18" i="39"/>
  <c r="W6" i="39"/>
  <c r="W5" i="39"/>
  <c r="W7" i="39"/>
  <c r="L20" i="44"/>
  <c r="E16" i="44"/>
  <c r="L16" i="44" s="1"/>
  <c r="E19" i="44"/>
  <c r="M17" i="45"/>
  <c r="J6" i="44"/>
  <c r="F45" i="45"/>
  <c r="J20" i="44"/>
  <c r="E6" i="6"/>
  <c r="E10" i="6"/>
  <c r="I6" i="44"/>
  <c r="I19" i="44"/>
  <c r="G16" i="44"/>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D5" i="39"/>
  <c r="D19" i="44" s="1"/>
  <c r="I18" i="1"/>
  <c r="I16" i="1"/>
  <c r="W24" i="39" l="1"/>
  <c r="N16" i="44"/>
  <c r="F14" i="44"/>
  <c r="H14" i="44" s="1"/>
  <c r="F17" i="44"/>
  <c r="H17" i="44" s="1"/>
  <c r="F7" i="44"/>
  <c r="H7" i="44" s="1"/>
  <c r="F5" i="44"/>
  <c r="H5" i="44" s="1"/>
  <c r="L19" i="44"/>
  <c r="E24" i="44"/>
  <c r="N19" i="44"/>
  <c r="F31" i="45"/>
  <c r="J16" i="44"/>
  <c r="F15" i="45"/>
  <c r="G19" i="44"/>
  <c r="F17" i="45"/>
  <c r="J19" i="44"/>
  <c r="E17" i="6"/>
  <c r="AH3" i="45"/>
  <c r="C29" i="45"/>
  <c r="C15" i="45"/>
  <c r="C21" i="45"/>
  <c r="C20" i="45" s="1"/>
  <c r="Q21" i="45"/>
  <c r="Q20" i="45" s="1"/>
  <c r="M43" i="45"/>
  <c r="J35" i="45"/>
  <c r="J34" i="45" s="1"/>
  <c r="C35" i="45"/>
  <c r="C34" i="45" s="1"/>
  <c r="M57" i="45"/>
  <c r="F43" i="45"/>
  <c r="J49" i="45"/>
  <c r="J48" i="45" s="1"/>
  <c r="C49" i="45"/>
  <c r="C48" i="45" s="1"/>
  <c r="M29" i="45"/>
  <c r="F29" i="45"/>
  <c r="J34" i="39"/>
  <c r="J28" i="39"/>
  <c r="AE22" i="39" l="1"/>
  <c r="AF22" i="39"/>
  <c r="E34" i="6"/>
  <c r="AF16" i="39"/>
  <c r="F9" i="44"/>
  <c r="H9" i="44" s="1"/>
  <c r="E32" i="6"/>
  <c r="E33" i="6"/>
  <c r="E35" i="6"/>
  <c r="E30" i="6"/>
  <c r="E31" i="6"/>
  <c r="AE16" i="39"/>
  <c r="AF19" i="39"/>
  <c r="AE19" i="39"/>
  <c r="M16" i="45"/>
  <c r="M20" i="45"/>
  <c r="F48" i="45"/>
  <c r="M34" i="45"/>
  <c r="F20" i="45"/>
  <c r="F34" i="45"/>
  <c r="F18" i="45"/>
  <c r="M32" i="45"/>
  <c r="I16" i="44"/>
  <c r="F32" i="45"/>
  <c r="M18" i="45"/>
  <c r="M30" i="45" l="1"/>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l="1"/>
  <c r="V482" i="2" s="1"/>
  <c r="W482" i="2" s="1"/>
  <c r="I481" i="2"/>
  <c r="O482" i="2"/>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H238" i="2"/>
  <c r="J39" i="2"/>
  <c r="O462" i="2"/>
  <c r="P462" i="2" s="1"/>
  <c r="I386" i="2"/>
  <c r="M10" i="2"/>
  <c r="O10" i="2" s="1"/>
  <c r="P10" i="2" s="1"/>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J60" i="2"/>
  <c r="F460" i="2"/>
  <c r="H5" i="1"/>
  <c r="H6" i="1"/>
  <c r="P6" i="1" s="1"/>
  <c r="J47" i="2"/>
  <c r="J45" i="2"/>
  <c r="F469"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X559" i="2" l="1"/>
  <c r="X565" i="2"/>
  <c r="X564" i="2"/>
  <c r="X563" i="2"/>
  <c r="X562" i="2"/>
  <c r="X561" i="2"/>
  <c r="X560" i="2"/>
  <c r="F387" i="2"/>
  <c r="I387" i="2"/>
  <c r="X556" i="2"/>
  <c r="X558" i="2"/>
  <c r="X557" i="2"/>
  <c r="E388" i="2"/>
  <c r="I388" i="2" s="1"/>
  <c r="H387" i="2"/>
  <c r="X548" i="2"/>
  <c r="X551" i="2"/>
  <c r="X552" i="2"/>
  <c r="X553" i="2"/>
  <c r="X555" i="2"/>
  <c r="X554" i="2"/>
  <c r="X550" i="2"/>
  <c r="X549" i="2"/>
  <c r="X545" i="2"/>
  <c r="X546" i="2"/>
  <c r="X547" i="2"/>
  <c r="X544" i="2"/>
  <c r="X543" i="2"/>
  <c r="X539" i="2"/>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H27" i="1"/>
  <c r="F388" i="2" l="1"/>
  <c r="H388" i="2"/>
  <c r="F389" i="2"/>
  <c r="G388" i="2"/>
  <c r="O388" i="2" s="1"/>
  <c r="P388" i="2" s="1"/>
  <c r="G389" i="2"/>
  <c r="O389" i="2" s="1"/>
  <c r="P389" i="2" s="1"/>
  <c r="Q543" i="2"/>
  <c r="B480" i="2"/>
  <c r="Q533" i="2"/>
  <c r="Q454"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7" i="2"/>
  <c r="Q456" i="2"/>
  <c r="Q433" i="2"/>
  <c r="Q471" i="2"/>
  <c r="Q432" i="2"/>
  <c r="Q510" i="2"/>
  <c r="Q487" i="2"/>
  <c r="Q508"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Q559" i="2" l="1"/>
  <c r="Q565" i="2"/>
  <c r="Q563" i="2"/>
  <c r="Q561" i="2"/>
  <c r="Q564" i="2"/>
  <c r="Q560" i="2"/>
  <c r="Q562" i="2"/>
  <c r="Q531" i="2"/>
  <c r="Q405" i="2"/>
  <c r="Q398" i="2"/>
  <c r="Q464" i="2"/>
  <c r="Q438" i="2"/>
  <c r="Q537" i="2"/>
  <c r="Q548" i="2"/>
  <c r="Q524" i="2"/>
  <c r="Q501" i="2"/>
  <c r="Q504" i="2"/>
  <c r="Q410" i="2"/>
  <c r="Q420" i="2"/>
  <c r="Q395" i="2"/>
  <c r="Q429" i="2"/>
  <c r="Q451" i="2"/>
  <c r="Q553" i="2"/>
  <c r="Q515" i="2"/>
  <c r="Q489" i="2"/>
  <c r="Q388" i="2"/>
  <c r="Q448" i="2"/>
  <c r="Q493" i="2"/>
  <c r="Q518" i="2"/>
  <c r="Q516" i="2"/>
  <c r="Q511" i="2"/>
  <c r="Q407" i="2"/>
  <c r="Q470" i="2"/>
  <c r="Q459" i="2"/>
  <c r="Q434" i="2"/>
  <c r="Q409" i="2"/>
  <c r="Q472" i="2"/>
  <c r="Q539" i="2"/>
  <c r="Q554" i="2"/>
  <c r="Q525" i="2"/>
  <c r="Q490" i="2"/>
  <c r="Q483" i="2"/>
  <c r="Q532" i="2"/>
  <c r="Q497" i="2"/>
  <c r="Q512" i="2"/>
  <c r="Q519" i="2"/>
  <c r="Q523" i="2"/>
  <c r="Q484" i="2"/>
  <c r="Q491" i="2"/>
  <c r="Q526" i="2"/>
  <c r="Q479" i="2"/>
  <c r="Q514" i="2"/>
  <c r="Q480" i="2"/>
  <c r="Q421" i="2"/>
  <c r="Q474" i="2"/>
  <c r="Q450" i="2"/>
  <c r="Q439" i="2"/>
  <c r="Q413" i="2"/>
  <c r="Q440" i="2"/>
  <c r="Q417" i="2"/>
  <c r="Q430" i="2"/>
  <c r="Q427" i="2"/>
  <c r="Q396" i="2"/>
  <c r="Q469" i="2"/>
  <c r="Q449" i="2"/>
  <c r="Q402" i="2"/>
  <c r="Q415" i="2"/>
  <c r="Q404" i="2"/>
  <c r="Q437" i="2"/>
  <c r="Q424" i="2"/>
  <c r="Q397" i="2"/>
  <c r="Q406" i="2"/>
  <c r="Q419" i="2"/>
  <c r="Q412" i="2"/>
  <c r="Q445" i="2"/>
  <c r="Q538" i="2"/>
  <c r="Q546" i="2"/>
  <c r="Q544" i="2"/>
  <c r="Q552" i="2"/>
  <c r="Q550" i="2"/>
  <c r="Q558" i="2"/>
  <c r="Q557" i="2"/>
  <c r="Q529" i="2"/>
  <c r="Q521" i="2"/>
  <c r="Q509" i="2"/>
  <c r="Q492" i="2"/>
  <c r="Q482" i="2"/>
  <c r="Q499" i="2"/>
  <c r="Q494" i="2"/>
  <c r="Q527" i="2"/>
  <c r="Q481" i="2"/>
  <c r="Q513" i="2"/>
  <c r="Q496" i="2"/>
  <c r="Q498" i="2"/>
  <c r="Q503" i="2"/>
  <c r="Q502" i="2"/>
  <c r="Q528" i="2"/>
  <c r="Q485" i="2"/>
  <c r="Q517" i="2"/>
  <c r="Q500" i="2"/>
  <c r="Q506" i="2"/>
  <c r="Q507" i="2"/>
  <c r="Q530" i="2"/>
  <c r="Q522" i="2"/>
  <c r="Q505" i="2"/>
  <c r="Q488" i="2"/>
  <c r="Q520" i="2"/>
  <c r="Q495" i="2"/>
  <c r="Q486" i="2"/>
  <c r="Q400" i="2"/>
  <c r="Q468" i="2"/>
  <c r="Q473" i="2"/>
  <c r="Q453" i="2"/>
  <c r="Q394" i="2"/>
  <c r="Q426" i="2"/>
  <c r="Q391" i="2"/>
  <c r="Q423" i="2"/>
  <c r="Q455" i="2"/>
  <c r="Q452" i="2"/>
  <c r="Q457" i="2"/>
  <c r="Q408" i="2"/>
  <c r="Q476" i="2"/>
  <c r="Q446" i="2"/>
  <c r="Q465" i="2"/>
  <c r="Q414" i="2"/>
  <c r="Q462" i="2"/>
  <c r="Q411" i="2"/>
  <c r="Q443" i="2"/>
  <c r="Q475" i="2"/>
  <c r="Q428" i="2"/>
  <c r="Q425" i="2"/>
  <c r="Q416" i="2"/>
  <c r="Q389" i="2"/>
  <c r="Q466" i="2"/>
  <c r="Q477" i="2"/>
  <c r="Q418" i="2"/>
  <c r="Q399" i="2"/>
  <c r="Q431" i="2"/>
  <c r="Q463" i="2"/>
  <c r="Q436" i="2"/>
  <c r="Q393" i="2"/>
  <c r="Q442" i="2"/>
  <c r="Q392" i="2"/>
  <c r="Q460" i="2"/>
  <c r="Q461" i="2"/>
  <c r="Q441" i="2"/>
  <c r="Q390" i="2"/>
  <c r="Q422" i="2"/>
  <c r="Q403" i="2"/>
  <c r="Q435" i="2"/>
  <c r="Q467" i="2"/>
  <c r="Q444" i="2"/>
  <c r="Q401" i="2"/>
  <c r="Q458" i="2"/>
  <c r="Q535" i="2"/>
  <c r="Q536" i="2"/>
  <c r="Q534" i="2"/>
  <c r="Q540" i="2"/>
  <c r="Q542" i="2"/>
  <c r="Q478" i="2"/>
  <c r="Q547" i="2"/>
  <c r="Q545" i="2"/>
  <c r="Q551" i="2"/>
  <c r="Q555" i="2"/>
  <c r="Q549" i="2"/>
  <c r="Q541" i="2"/>
  <c r="Q556" i="2"/>
  <c r="G33" i="6"/>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F20" i="44"/>
  <c r="H20" i="44" s="1"/>
  <c r="F18" i="44"/>
  <c r="H18" i="44" s="1"/>
  <c r="F11" i="44"/>
  <c r="H11" i="44" s="1"/>
  <c r="F8" i="44"/>
  <c r="H8" i="44" s="1"/>
  <c r="F21" i="44"/>
  <c r="H21" i="44" s="1"/>
  <c r="F15" i="44"/>
  <c r="H15" i="44" s="1"/>
  <c r="AH37" i="45" l="1"/>
  <c r="AA51" i="45"/>
  <c r="AH23" i="45"/>
  <c r="F23" i="44"/>
  <c r="H23" i="44" s="1"/>
  <c r="F23"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T51" i="45"/>
  <c r="M65" i="45"/>
  <c r="T23" i="45"/>
  <c r="AA23" i="45"/>
  <c r="AA37" i="45"/>
  <c r="M51" i="45"/>
  <c r="T37" i="45"/>
  <c r="F65" i="45"/>
  <c r="M23" i="45"/>
  <c r="M37" i="45"/>
  <c r="F37" i="45"/>
  <c r="F51" i="45"/>
  <c r="AE18" i="39"/>
  <c r="AF14" i="39"/>
  <c r="AE15" i="39"/>
  <c r="AE6" i="39"/>
  <c r="AF8" i="39"/>
  <c r="AF21" i="39"/>
  <c r="AF13" i="39"/>
  <c r="AF10" i="39"/>
  <c r="AE11" i="39"/>
  <c r="AE8" i="39"/>
  <c r="AE21" i="39"/>
  <c r="AF17" i="39"/>
  <c r="AF18" i="39"/>
  <c r="AF7" i="39"/>
  <c r="AF5" i="39"/>
  <c r="AE17" i="39"/>
  <c r="AF15" i="39"/>
  <c r="AE7" i="39"/>
  <c r="AF12" i="39"/>
  <c r="AF9" i="39"/>
  <c r="AF4" i="39"/>
  <c r="AE14" i="39"/>
  <c r="AH9" i="45"/>
  <c r="AF24" i="39" l="1"/>
  <c r="U24" i="39" s="1"/>
  <c r="AE24" i="39"/>
  <c r="H24" i="44"/>
  <c r="B485" i="2"/>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T4" i="45" s="1"/>
  <c r="F21" i="6"/>
  <c r="T6" i="45" s="1"/>
  <c r="E25" i="6"/>
  <c r="F23" i="6"/>
  <c r="E22" i="6"/>
  <c r="F26" i="6"/>
  <c r="F24" i="6"/>
  <c r="E26" i="6"/>
  <c r="G22" i="6" l="1"/>
  <c r="G25" i="6"/>
  <c r="G26" i="6"/>
  <c r="G21" i="6"/>
  <c r="G24" i="6"/>
  <c r="G23" i="6"/>
</calcChain>
</file>

<file path=xl/comments1.xml><?xml version="1.0" encoding="utf-8"?>
<comments xmlns="http://schemas.openxmlformats.org/spreadsheetml/2006/main">
  <authors>
    <author>Boomer</author>
  </authors>
  <commentList>
    <comment ref="D41" authorId="0" shape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5"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<sst xmlns="http://schemas.openxmlformats.org/spreadsheetml/2006/main" count="732" uniqueCount="299">
  <si>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</si>
  <si>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</si>
  <si>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</si>
  <si>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</si>
  <si>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</si>
  <si>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</si>
  <si>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</si>
  <si>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</si>
  <si>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</si>
  <si>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</si>
  <si>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</si>
  <si>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</si>
  <si>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</si>
  <si>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</si>
  <si>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</si>
  <si>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</si>
  <si>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</si>
  <si>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</si>
  <si>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</si>
  <si>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</si>
  <si>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</si>
  <si>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</si>
  <si>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</si>
  <si>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</si>
  <si>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</si>
  <si>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</si>
  <si>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</si>
  <si>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</si>
  <si>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</si>
  <si>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</si>
  <si>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</si>
  <si>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</si>
  <si>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</si>
  <si>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</si>
  <si>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</si>
  <si>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</si>
  <si>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</si>
  <si>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</si>
  <si>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</si>
  <si>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</si>
  <si>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</si>
  <si>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</si>
  <si>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</si>
  <si>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</si>
  <si>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</si>
  <si>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</si>
  <si>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</si>
  <si>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</si>
  <si>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</si>
  <si>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</si>
  <si>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</si>
  <si>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</si>
  <si>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</si>
  <si>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</si>
  <si>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</si>
  <si>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</si>
  <si>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</si>
  <si>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</si>
  <si>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</si>
  <si>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</si>
  <si>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</si>
  <si>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</si>
  <si>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</si>
  <si>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</si>
  <si>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</si>
  <si>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</si>
  <si>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</si>
  <si>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</si>
  <si>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</si>
  <si>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</si>
  <si>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</si>
  <si>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</si>
  <si>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</si>
  <si>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</si>
  <si>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</si>
  <si>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</si>
  <si>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</si>
  <si>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</si>
  <si>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</si>
  <si>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</si>
  <si>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</si>
  <si>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</si>
  <si>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</si>
  <si>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</si>
  <si>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</si>
  <si>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</si>
  <si>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</si>
  <si>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</si>
  <si>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</si>
  <si>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</si>
  <si>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</si>
  <si>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</si>
  <si>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</si>
  <si>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</si>
  <si>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</si>
  <si>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</si>
  <si>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</si>
  <si>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</si>
  <si>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</si>
  <si>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</si>
  <si>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</si>
  <si>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</si>
  <si>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</si>
  <si>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</si>
  <si>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</si>
  <si>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</si>
  <si>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</si>
  <si>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</si>
  <si>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</si>
  <si>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</si>
  <si>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</si>
  <si>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</si>
  <si>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</si>
  <si>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</si>
  <si>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</si>
  <si>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</si>
  <si>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</si>
  <si>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</si>
  <si>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</si>
  <si>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</si>
  <si>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</si>
  <si>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</si>
  <si>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</si>
  <si>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</si>
  <si>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</si>
  <si>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</si>
  <si>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</si>
  <si>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</si>
  <si>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</si>
  <si>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</si>
  <si>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</si>
  <si>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</si>
  <si>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</si>
  <si>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</si>
  <si>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</si>
  <si>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</si>
  <si>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</si>
  <si>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</si>
  <si>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</si>
  <si>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</si>
  <si>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</si>
  <si>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</si>
  <si>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</si>
  <si>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</si>
  <si>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</si>
  <si>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</si>
  <si>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</si>
  <si>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</si>
  <si>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</si>
  <si>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</si>
  <si>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</si>
  <si>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</si>
  <si>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</si>
  <si>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</si>
  <si>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</si>
  <si>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</si>
  <si>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</si>
  <si>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</si>
  <si>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</si>
  <si>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</si>
  <si>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</si>
  <si>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</si>
  <si>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</si>
  <si>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</si>
  <si>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</si>
  <si>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</si>
  <si>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</si>
  <si>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</si>
  <si>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</si>
  <si>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</si>
  <si>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</si>
  <si>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</si>
  <si>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</si>
  <si>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</si>
  <si>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</si>
  <si>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</si>
  <si>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</si>
  <si>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</si>
  <si>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</si>
  <si>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</si>
  <si>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</si>
  <si>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</si>
  <si>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</si>
  <si>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</si>
  <si>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</si>
  <si>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</si>
  <si>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</si>
  <si>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</si>
  <si>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</si>
  <si>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</si>
  <si>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</si>
  <si>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</si>
  <si>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</si>
  <si>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</si>
  <si>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</si>
  <si>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</si>
  <si>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</si>
  <si>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</si>
  <si>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</si>
  <si>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</si>
  <si>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</si>
  <si>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</si>
  <si>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</si>
  <si>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</si>
  <si>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</si>
  <si>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</si>
  <si>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</si>
  <si>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</si>
  <si>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</si>
  <si>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</si>
  <si>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</si>
  <si>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</si>
  <si>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</si>
  <si>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</si>
  <si>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</si>
  <si>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</si>
  <si>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</si>
  <si>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</si>
  <si>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</si>
  <si>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School Year</t>
  </si>
  <si>
    <t>IPO</t>
  </si>
  <si>
    <t>Dow Jones</t>
  </si>
  <si>
    <t>Proposed Buys This Year</t>
  </si>
  <si>
    <t>YHOO</t>
  </si>
  <si>
    <t>Yahoo</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</si>
  <si>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</si>
  <si>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</si>
  <si>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</si>
  <si>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</si>
  <si>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</si>
  <si>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</si>
  <si>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</si>
  <si>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</si>
  <si>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</si>
  <si>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</si>
  <si>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</si>
  <si>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</si>
  <si>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</si>
  <si>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</si>
  <si>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</si>
  <si>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</si>
  <si>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</si>
  <si>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</si>
  <si>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</si>
  <si>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</si>
  <si>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</si>
  <si>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</si>
  <si>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</si>
  <si>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t>
  </si>
  <si>
    <t>NA</t>
  </si>
  <si>
    <t>Bought This Year</t>
  </si>
  <si>
    <t>Proposed Sells This Year</t>
  </si>
  <si>
    <t>Sold This Year</t>
  </si>
  <si>
    <t>Proposed Buys This Year That Did Not Pass</t>
  </si>
  <si>
    <t>Proposed Sells This Year That Did Not Pass</t>
  </si>
  <si>
    <t>PRGO</t>
  </si>
  <si>
    <t>Perrigo</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</si>
  <si>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</si>
  <si>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</si>
  <si>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</si>
  <si>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</si>
  <si>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</si>
  <si>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</si>
  <si>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</si>
  <si>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</si>
  <si>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</si>
  <si>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</si>
  <si>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</si>
  <si>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AAPL 515 Apr19 C</t>
  </si>
  <si>
    <t>AAPL</t>
  </si>
  <si>
    <t>Option</t>
  </si>
  <si>
    <t>!Cash</t>
  </si>
  <si>
    <t>2013 Fall Semester Portfolio Performance</t>
  </si>
  <si>
    <t>Terms of Use. © 2014 Microsoft Corporation and/or its suppliers. All rights reserved.</t>
  </si>
  <si>
    <t>Copyright © 2014 Microsoft. All rights reserved.</t>
  </si>
  <si>
    <t xml:space="preserve">BERKSHIRE HATHAWAY CLASS B </t>
  </si>
  <si>
    <t xml:space="preserve">CEMEX S.A.B. DE C.V. </t>
  </si>
  <si>
    <t xml:space="preserve">CISCO SYSTEMS INC </t>
  </si>
  <si>
    <t xml:space="preserve">DELTA AIR LINES Inc </t>
  </si>
  <si>
    <t xml:space="preserve">GENTEX CORP </t>
  </si>
  <si>
    <t xml:space="preserve">HOME DEPOT Inc </t>
  </si>
  <si>
    <t xml:space="preserve">IMMERSION CORP </t>
  </si>
  <si>
    <t xml:space="preserve">INTEL CORP </t>
  </si>
  <si>
    <t xml:space="preserve">MEDTRONIC Inc </t>
  </si>
  <si>
    <t xml:space="preserve">NATURAL GROCERS BY VITAMIN COTTAGE INC </t>
  </si>
  <si>
    <t xml:space="preserve">PERRIGO COMPANY PLC (IRELAND) </t>
  </si>
  <si>
    <t xml:space="preserve">TUTOR PERINI CORPORATION </t>
  </si>
  <si>
    <t xml:space="preserve">TYSON FOODS Inc </t>
  </si>
  <si>
    <t xml:space="preserve">WELLS FARGO &amp; CO. </t>
  </si>
  <si>
    <t xml:space="preserve">YAHOO INC </t>
  </si>
  <si>
    <t>RRC</t>
  </si>
  <si>
    <t>AAPL $515 Call</t>
  </si>
  <si>
    <t>$INDU,$COMP,$INX,$COMPX,BRK.B,MCLOX,CX,CSCO,DAL,GNTX,HD,IMMR,INTC,MDT,NGVC,PRGO,RRC,TPC,TSN,ULTA,WFC,YHOO,GE,CAT,YRCW,126.2.AAPL4DJC515000</t>
  </si>
  <si>
    <t xml:space="preserve">RANGE RESOURCES CORP </t>
  </si>
  <si>
    <t>Range Resources</t>
  </si>
  <si>
    <t xml:space="preserve">ULTA SALON COSMETICS &amp; FRAGRANCE Inc </t>
  </si>
  <si>
    <t xml:space="preserve">GENERAL ELECTRIC </t>
  </si>
  <si>
    <t xml:space="preserve">CATERPILLAR Inc </t>
  </si>
  <si>
    <t xml:space="preserve">YRC WORLDWIDE Inc </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</si>
</sst>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6">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31" fillId="11" borderId="34" xfId="0" applyFont="1" applyFill="1" applyBorder="1" applyAlignment="1">
      <alignment horizontal="center" wrapText="1" shrinkToFit="1"/>
    </xf>
    <xf numFmtId="43" fontId="52" fillId="11" borderId="0" xfId="108" applyNumberFormat="1" applyFont="1" applyFill="1"/>
    <xf numFmtId="40" fontId="9" fillId="11" borderId="0" xfId="3" applyNumberFormat="1" applyFill="1" applyAlignment="1" applyProtection="1"/>
    <xf numFmtId="0" fontId="31" fillId="11" borderId="34" xfId="0" applyFont="1" applyFill="1" applyBorder="1" applyAlignment="1">
      <alignment horizontal="right"/>
    </xf>
    <xf numFmtId="171" fontId="27" fillId="11" borderId="0" xfId="0" applyNumberFormat="1" applyFont="1" applyFill="1" applyBorder="1" applyAlignment="1">
      <alignment horizontal="right"/>
    </xf>
    <xf numFmtId="0" fontId="0" fillId="0" borderId="18" xfId="0" applyBorder="1" applyAlignment="1">
      <alignment horizontal="right" vertical="top" wrapText="1"/>
    </xf>
    <xf numFmtId="0" fontId="0" fillId="0" borderId="19" xfId="0" applyBorder="1" applyAlignment="1">
      <alignment horizontal="right" vertical="top" wrapText="1"/>
    </xf>
    <xf numFmtId="3" fontId="0" fillId="0" borderId="19" xfId="0" applyNumberFormat="1" applyBorder="1" applyAlignment="1">
      <alignment horizontal="right" vertical="top" wrapText="1"/>
    </xf>
    <xf numFmtId="10" fontId="0" fillId="0" borderId="19" xfId="0" applyNumberFormat="1" applyBorder="1" applyAlignment="1">
      <alignment horizontal="right" vertical="top" wrapText="1"/>
    </xf>
    <xf numFmtId="0" fontId="36" fillId="7" borderId="6" xfId="0" applyFont="1" applyFill="1" applyBorder="1" applyAlignment="1">
      <alignment vertical="top" wrapText="1"/>
    </xf>
    <xf numFmtId="1" fontId="47" fillId="11" borderId="0" xfId="4" applyNumberFormat="1" applyFont="1" applyFill="1" applyBorder="1" applyAlignment="1" applyProtection="1">
      <alignment horizontal="right"/>
    </xf>
    <xf numFmtId="1" fontId="24" fillId="11" borderId="0" xfId="108" applyNumberFormat="1" applyFont="1" applyFill="1"/>
    <xf numFmtId="1" fontId="24" fillId="11" borderId="0" xfId="108" applyNumberFormat="1" applyFont="1" applyFill="1" applyProtection="1"/>
    <xf numFmtId="1" fontId="24" fillId="11" borderId="0" xfId="108" applyNumberFormat="1" applyFont="1" applyFill="1" applyAlignment="1"/>
    <xf numFmtId="0" fontId="48" fillId="11" borderId="0" xfId="108" applyFont="1" applyFill="1" applyAlignment="1" applyProtection="1">
      <alignment horizontal="left"/>
    </xf>
    <xf numFmtId="0" fontId="29" fillId="11" borderId="0" xfId="108" applyFont="1" applyFill="1" applyAlignment="1"/>
    <xf numFmtId="0" fontId="24" fillId="0" borderId="0" xfId="108" applyFont="1" applyAlignment="1"/>
    <xf numFmtId="0" fontId="49" fillId="11" borderId="0" xfId="108" applyFont="1" applyFill="1" applyAlignment="1">
      <alignment horizontal="left"/>
    </xf>
    <xf numFmtId="0" fontId="56" fillId="11" borderId="0" xfId="108" applyFont="1" applyFill="1" applyAlignment="1"/>
    <xf numFmtId="0" fontId="57" fillId="11" borderId="0" xfId="108" applyFont="1" applyFill="1" applyAlignment="1"/>
    <xf numFmtId="0" fontId="24" fillId="11" borderId="0" xfId="108" applyFont="1" applyFill="1" applyAlignment="1"/>
    <xf numFmtId="0" fontId="1" fillId="0" borderId="0" xfId="108" applyAlignment="1"/>
    <xf numFmtId="0" fontId="47" fillId="11" borderId="0" xfId="108" applyFont="1" applyFill="1" applyAlignment="1" applyProtection="1">
      <alignment horizontal="left"/>
    </xf>
    <xf numFmtId="0" fontId="58" fillId="11" borderId="0" xfId="108" applyFont="1" applyFill="1" applyBorder="1" applyAlignment="1">
      <alignment horizontal="center"/>
    </xf>
    <xf numFmtId="0" fontId="31" fillId="11" borderId="34" xfId="0" applyFont="1" applyFill="1" applyBorder="1" applyAlignment="1"/>
    <xf numFmtId="171" fontId="27" fillId="11" borderId="35" xfId="0" applyNumberFormat="1" applyFont="1" applyFill="1" applyBorder="1" applyAlignment="1">
      <alignment horizontal="right"/>
    </xf>
    <xf numFmtId="171" fontId="27" fillId="11" borderId="0" xfId="0" applyNumberFormat="1" applyFont="1" applyFill="1" applyBorder="1" applyAlignment="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0" fontId="0" fillId="0" borderId="34" xfId="0" applyBorder="1" applyAlignment="1"/>
    <xf numFmtId="0" fontId="37" fillId="7" borderId="25" xfId="0" applyFont="1" applyFill="1" applyBorder="1" applyAlignment="1">
      <alignment wrapText="1"/>
    </xf>
    <xf numFmtId="0" fontId="9" fillId="0" borderId="2" xfId="3" applyBorder="1" applyAlignment="1" applyProtection="1">
      <alignment wrapText="1"/>
    </xf>
    <xf numFmtId="0" fontId="0" fillId="0" borderId="0" xfId="0" applyAlignment="1">
      <alignment horizontal="left" vertical="center"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0" fontId="9" fillId="6" borderId="0" xfId="3" applyFill="1" applyAlignment="1" applyProtection="1">
      <alignment wrapText="1"/>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0" fontId="32" fillId="0" borderId="2" xfId="0" applyFont="1" applyFill="1" applyBorder="1" applyAlignment="1">
      <alignment horizontal="center"/>
    </xf>
    <xf numFmtId="0" fontId="32" fillId="0" borderId="3" xfId="0"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3915">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556A2C"/>
      </font>
    </dxf>
    <dxf>
      <font>
        <color rgb="FFFF0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1.2141093422471712</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1.5860431115009948</c:v>
                </c:pt>
                <c:pt idx="541">
                  <c:v>1.5528121465620401</c:v>
                </c:pt>
                <c:pt idx="542">
                  <c:v>1.5758121399991687</c:v>
                </c:pt>
                <c:pt idx="543">
                  <c:v>1.6108221685039061</c:v>
                </c:pt>
                <c:pt idx="544">
                  <c:v>1.5892394756703427</c:v>
                </c:pt>
                <c:pt idx="545">
                  <c:v>1.6465712519989415</c:v>
                </c:pt>
                <c:pt idx="546">
                  <c:v>1.6528205334739248</c:v>
                </c:pt>
                <c:pt idx="547">
                  <c:v>1.6427496409015636</c:v>
                </c:pt>
                <c:pt idx="548">
                  <c:v>1.5447158884924428</c:v>
                </c:pt>
                <c:pt idx="549">
                  <c:v>1.5306916955615306</c:v>
                </c:pt>
                <c:pt idx="550">
                  <c:v>1.586709667328059</c:v>
                </c:pt>
                <c:pt idx="551">
                  <c:v>1.6223016208104273</c:v>
                </c:pt>
                <c:pt idx="552">
                  <c:v>1.678768556408972</c:v>
                </c:pt>
                <c:pt idx="553">
                  <c:v>1.7358844589022069</c:v>
                </c:pt>
                <c:pt idx="554">
                  <c:v>1.6929947129509513</c:v>
                </c:pt>
                <c:pt idx="555">
                  <c:v>1.7588709971407757</c:v>
                </c:pt>
                <c:pt idx="556">
                  <c:v>1.7081180485521212</c:v>
                </c:pt>
                <c:pt idx="557">
                  <c:v>1.7543450783934973</c:v>
                </c:pt>
                <c:pt idx="558">
                  <c:v>1.6692672777428976</c:v>
                </c:pt>
                <c:pt idx="559">
                  <c:v>1.7123151005103732</c:v>
                </c:pt>
                <c:pt idx="560">
                  <c:v>1.7470118507953103</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pt idx="541">
                  <c:v>0.90897557199380685</c:v>
                </c:pt>
                <c:pt idx="542">
                  <c:v>0.94563908480990855</c:v>
                </c:pt>
                <c:pt idx="543">
                  <c:v>0.98049630139342847</c:v>
                </c:pt>
                <c:pt idx="544">
                  <c:v>0.96970153105109236</c:v>
                </c:pt>
                <c:pt idx="545">
                  <c:v>0.97631386547393784</c:v>
                </c:pt>
                <c:pt idx="546">
                  <c:v>0.98465723378634107</c:v>
                </c:pt>
                <c:pt idx="547">
                  <c:v>0.96591691037330119</c:v>
                </c:pt>
                <c:pt idx="548">
                  <c:v>0.92907061758128329</c:v>
                </c:pt>
                <c:pt idx="549">
                  <c:v>0.90674995699294691</c:v>
                </c:pt>
                <c:pt idx="550">
                  <c:v>0.96738990194391872</c:v>
                </c:pt>
                <c:pt idx="551">
                  <c:v>0.97808790641665211</c:v>
                </c:pt>
                <c:pt idx="552">
                  <c:v>0.99368871494925148</c:v>
                </c:pt>
                <c:pt idx="553">
                  <c:v>1.0181382246688457</c:v>
                </c:pt>
                <c:pt idx="554">
                  <c:v>0.98514106313435379</c:v>
                </c:pt>
                <c:pt idx="555">
                  <c:v>1.0127408394976776</c:v>
                </c:pt>
                <c:pt idx="556">
                  <c:v>0.98804403922243234</c:v>
                </c:pt>
                <c:pt idx="557">
                  <c:v>1.0307607947703423</c:v>
                </c:pt>
                <c:pt idx="558">
                  <c:v>0.97088422501290195</c:v>
                </c:pt>
                <c:pt idx="559">
                  <c:v>1.0050425769826248</c:v>
                </c:pt>
                <c:pt idx="560">
                  <c:v>1.019837003268536</c:v>
                </c:pt>
              </c:numCache>
            </c:numRef>
          </c:val>
          <c:smooth val="0"/>
        </c:ser>
        <c:dLbls>
          <c:showLegendKey val="0"/>
          <c:showVal val="0"/>
          <c:showCatName val="0"/>
          <c:showSerName val="0"/>
          <c:showPercent val="0"/>
          <c:showBubbleSize val="0"/>
        </c:dLbls>
        <c:smooth val="0"/>
        <c:axId val="237114368"/>
        <c:axId val="474156928"/>
      </c:lineChart>
      <c:dateAx>
        <c:axId val="237114368"/>
        <c:scaling>
          <c:orientation val="minMax"/>
        </c:scaling>
        <c:delete val="0"/>
        <c:axPos val="b"/>
        <c:majorGridlines>
          <c:spPr>
            <a:ln>
              <a:solidFill>
                <a:sysClr val="window" lastClr="FFFFFF"/>
              </a:solidFill>
            </a:ln>
          </c:spPr>
        </c:majorGridlines>
        <c:numFmt formatCode="mmmm\ \'yy" sourceLinked="0"/>
        <c:majorTickMark val="none"/>
        <c:minorTickMark val="none"/>
        <c:tickLblPos val="nextTo"/>
        <c:crossAx val="474156928"/>
        <c:crosses val="autoZero"/>
        <c:auto val="1"/>
        <c:lblOffset val="100"/>
        <c:baseTimeUnit val="days"/>
        <c:majorUnit val="1"/>
        <c:majorTimeUnit val="years"/>
      </c:dateAx>
      <c:valAx>
        <c:axId val="474156928"/>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in"/>
        <c:minorTickMark val="none"/>
        <c:tickLblPos val="nextTo"/>
        <c:crossAx val="237114368"/>
        <c:crosses val="max"/>
        <c:crossBetween val="between"/>
      </c:valAx>
    </c:plotArea>
    <c:legend>
      <c:legendPos val="r"/>
      <c:layout/>
      <c:overlay val="0"/>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0.13605550479694248</c:v>
                </c:pt>
                <c:pt idx="1">
                  <c:v>0</c:v>
                </c:pt>
                <c:pt idx="2">
                  <c:v>0.22630843141688869</c:v>
                </c:pt>
                <c:pt idx="3">
                  <c:v>9.1131766092142269E-2</c:v>
                </c:pt>
                <c:pt idx="4">
                  <c:v>4.5045931192953609E-2</c:v>
                </c:pt>
                <c:pt idx="5">
                  <c:v>0.10689425904875093</c:v>
                </c:pt>
                <c:pt idx="6">
                  <c:v>7.7555386322621281E-2</c:v>
                </c:pt>
                <c:pt idx="7">
                  <c:v>0.13496946201841711</c:v>
                </c:pt>
                <c:pt idx="8">
                  <c:v>0.18203925911128374</c:v>
                </c:pt>
                <c:pt idx="9">
                  <c:v>0</c:v>
                </c:pt>
                <c:pt idx="10">
                  <c:v>0</c:v>
                </c:pt>
                <c:pt idx="11">
                  <c:v>0</c:v>
                </c:pt>
              </c:numCache>
            </c:numRef>
          </c:val>
        </c:ser>
        <c:dLbls>
          <c:showLegendKey val="0"/>
          <c:showVal val="0"/>
          <c:showCatName val="0"/>
          <c:showSerName val="0"/>
          <c:showPercent val="0"/>
          <c:showBubbleSize val="0"/>
          <c:showLeaderLines val="0"/>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71"/>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extLst>
                <c:ext xmlns:c15="http://schemas.microsoft.com/office/drawing/2012/chart" uri="{CE6537A1-D6FC-4f65-9D91-7224C49458BB}"/>
              </c:extLst>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0.67755336454064219</c:v>
                </c:pt>
                <c:pt idx="1">
                  <c:v>4.2927644462568325E-2</c:v>
                </c:pt>
                <c:pt idx="2">
                  <c:v>0.11613597585574682</c:v>
                </c:pt>
                <c:pt idx="3">
                  <c:v>3.1631094932409107E-2</c:v>
                </c:pt>
                <c:pt idx="4">
                  <c:v>0</c:v>
                </c:pt>
                <c:pt idx="5">
                  <c:v>0.13175192020863352</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84"/>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781"/>
          <c:h val="0.56375931299700388"/>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476898264"/>
        <c:axId val="476898656"/>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476899048"/>
        <c:axId val="476899440"/>
      </c:scatterChart>
      <c:valAx>
        <c:axId val="476898264"/>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476898656"/>
        <c:crosses val="autoZero"/>
        <c:crossBetween val="midCat"/>
      </c:valAx>
      <c:valAx>
        <c:axId val="476898656"/>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351"/>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476898264"/>
        <c:crosses val="autoZero"/>
        <c:crossBetween val="midCat"/>
      </c:valAx>
      <c:valAx>
        <c:axId val="476899048"/>
        <c:scaling>
          <c:orientation val="minMax"/>
        </c:scaling>
        <c:delete val="1"/>
        <c:axPos val="b"/>
        <c:numFmt formatCode="m/d/yyyy" sourceLinked="1"/>
        <c:majorTickMark val="out"/>
        <c:minorTickMark val="none"/>
        <c:tickLblPos val="none"/>
        <c:crossAx val="476899440"/>
        <c:crosses val="autoZero"/>
        <c:crossBetween val="midCat"/>
      </c:valAx>
      <c:valAx>
        <c:axId val="476899440"/>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476899048"/>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77"/>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smooth val="0"/>
        <c:axId val="504108752"/>
        <c:axId val="504109144"/>
      </c:lineChart>
      <c:dateAx>
        <c:axId val="504108752"/>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504109144"/>
        <c:crosses val="autoZero"/>
        <c:auto val="1"/>
        <c:lblOffset val="100"/>
        <c:baseTimeUnit val="days"/>
      </c:dateAx>
      <c:valAx>
        <c:axId val="504109144"/>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504108752"/>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32"/>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smooth val="0"/>
        <c:axId val="504923176"/>
        <c:axId val="504909512"/>
      </c:lineChart>
      <c:dateAx>
        <c:axId val="504923176"/>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504909512"/>
        <c:crosses val="autoZero"/>
        <c:auto val="1"/>
        <c:lblOffset val="100"/>
        <c:baseTimeUnit val="days"/>
      </c:dateAx>
      <c:valAx>
        <c:axId val="504909512"/>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504923176"/>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184"/>
          <c:w val="0.68409343715241022"/>
          <c:h val="0.39934533551555756"/>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81E-2"/>
                  <c:y val="-2.17977515361837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3.2332220986281252E-3"/>
                  <c:y val="2.29957343711748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6"/>
              <c:layout>
                <c:manualLayout>
                  <c:x val="4.0883078411707012E-2"/>
                  <c:y val="5.9864864238629491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extLst>
            </c:dLbl>
            <c:dLbl>
              <c:idx val="7"/>
              <c:layout>
                <c:manualLayout>
                  <c:x val="2.2552602546732501E-2"/>
                  <c:y val="-1.5356258503483103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9"/>
              <c:layout>
                <c:manualLayout>
                  <c:x val="1.5266306394681704E-2"/>
                  <c:y val="-5.7759449463252385E-2"/>
                </c:manualLayout>
              </c:layout>
              <c:dLblPos val="bestFit"/>
              <c:showLegendKey val="0"/>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4.5045931192953609E-2</c:v>
                </c:pt>
                <c:pt idx="1">
                  <c:v>0.10689425904875093</c:v>
                </c:pt>
                <c:pt idx="2">
                  <c:v>7.7555386322621281E-2</c:v>
                </c:pt>
                <c:pt idx="3">
                  <c:v>0.13496946201841711</c:v>
                </c:pt>
                <c:pt idx="4">
                  <c:v>0.18203925911128374</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0.13605550479694248</c:v>
                </c:pt>
                <c:pt idx="1">
                  <c:v>0</c:v>
                </c:pt>
                <c:pt idx="2">
                  <c:v>0.22630843141688869</c:v>
                </c:pt>
                <c:pt idx="3">
                  <c:v>9.1131766092142269E-2</c:v>
                </c:pt>
                <c:pt idx="4">
                  <c:v>4.5045931192953609E-2</c:v>
                </c:pt>
                <c:pt idx="5">
                  <c:v>0.10689425904875093</c:v>
                </c:pt>
                <c:pt idx="6">
                  <c:v>7.7555386322621281E-2</c:v>
                </c:pt>
                <c:pt idx="7">
                  <c:v>0.13496946201841711</c:v>
                </c:pt>
                <c:pt idx="8">
                  <c:v>0.18203925911128374</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504922392"/>
        <c:axId val="504922000"/>
      </c:barChart>
      <c:catAx>
        <c:axId val="504922392"/>
        <c:scaling>
          <c:orientation val="minMax"/>
        </c:scaling>
        <c:delete val="0"/>
        <c:axPos val="l"/>
        <c:numFmt formatCode="General" sourceLinked="0"/>
        <c:majorTickMark val="none"/>
        <c:minorTickMark val="none"/>
        <c:tickLblPos val="nextTo"/>
        <c:txPr>
          <a:bodyPr/>
          <a:lstStyle/>
          <a:p>
            <a:pPr>
              <a:defRPr sz="1400" b="1" i="0"/>
            </a:pPr>
            <a:endParaRPr lang="en-US"/>
          </a:p>
        </c:txPr>
        <c:crossAx val="504922000"/>
        <c:crosses val="autoZero"/>
        <c:auto val="1"/>
        <c:lblAlgn val="ctr"/>
        <c:lblOffset val="100"/>
        <c:noMultiLvlLbl val="0"/>
      </c:catAx>
      <c:valAx>
        <c:axId val="504922000"/>
        <c:scaling>
          <c:orientation val="minMax"/>
        </c:scaling>
        <c:delete val="0"/>
        <c:axPos val="b"/>
        <c:majorGridlines/>
        <c:numFmt formatCode="0.0%" sourceLinked="1"/>
        <c:majorTickMark val="none"/>
        <c:minorTickMark val="none"/>
        <c:tickLblPos val="nextTo"/>
        <c:spPr>
          <a:ln w="9525">
            <a:noFill/>
          </a:ln>
        </c:spPr>
        <c:crossAx val="504922392"/>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43</xdr:row>
      <xdr:rowOff>0</xdr:rowOff>
    </xdr:from>
    <xdr:to>
      <xdr:col>23</xdr:col>
      <xdr:colOff>590637</xdr:colOff>
      <xdr:row>46</xdr:row>
      <xdr:rowOff>84821</xdr:rowOff>
    </xdr:to>
    <xdr:pic>
      <xdr:nvPicPr>
        <xdr:cNvPr id="31" name="Picture 30" descr="default.png"/>
        <xdr:cNvPicPr>
          <a:picLocks noChangeAspect="1"/>
        </xdr:cNvPicPr>
      </xdr:nvPicPr>
      <xdr:blipFill>
        <a:blip xmlns:r="http://schemas.openxmlformats.org/officeDocument/2006/relationships" r:embed="rId1"/>
        <a:stretch>
          <a:fillRect/>
        </a:stretch>
      </xdr:blipFill>
      <xdr:spPr>
        <a:xfrm>
          <a:off x="7167803" y="3203864"/>
          <a:ext cx="590637" cy="575502"/>
        </a:xfrm>
        <a:prstGeom prst="rect">
          <a:avLst/>
        </a:prstGeom>
      </xdr:spPr>
    </xdr:pic>
    <xdr:clientData/>
  </xdr:twoCellAnchor>
  <xdr:twoCellAnchor editAs="oneCell">
    <xdr:from>
      <xdr:col>30</xdr:col>
      <xdr:colOff>0</xdr:colOff>
      <xdr:row>15</xdr:row>
      <xdr:rowOff>0</xdr:rowOff>
    </xdr:from>
    <xdr:to>
      <xdr:col>30</xdr:col>
      <xdr:colOff>609687</xdr:colOff>
      <xdr:row>18</xdr:row>
      <xdr:rowOff>84818</xdr:rowOff>
    </xdr:to>
    <xdr:pic>
      <xdr:nvPicPr>
        <xdr:cNvPr id="29" name="Picture 28" descr="default.png"/>
        <xdr:cNvPicPr>
          <a:picLocks noChangeAspect="1"/>
        </xdr:cNvPicPr>
      </xdr:nvPicPr>
      <xdr:blipFill>
        <a:blip xmlns:r="http://schemas.openxmlformats.org/officeDocument/2006/relationships" r:embed="rId2"/>
        <a:stretch>
          <a:fillRect/>
        </a:stretch>
      </xdr:blipFill>
      <xdr:spPr>
        <a:xfrm>
          <a:off x="9525000" y="1606742"/>
          <a:ext cx="609687" cy="575500"/>
        </a:xfrm>
        <a:prstGeom prst="rect">
          <a:avLst/>
        </a:prstGeom>
      </xdr:spPr>
    </xdr:pic>
    <xdr:clientData/>
  </xdr:twoCellAnchor>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3"/>
        <a:stretch>
          <a:fillRect/>
        </a:stretch>
      </xdr:blipFill>
      <xdr:spPr>
        <a:xfrm>
          <a:off x="96212" y="114782"/>
          <a:ext cx="3029541" cy="807422"/>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4"/>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5"/>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6"/>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7"/>
        <a:stretch>
          <a:fillRect/>
        </a:stretch>
      </xdr:blipFill>
      <xdr:spPr>
        <a:xfrm>
          <a:off x="4810606" y="3203864"/>
          <a:ext cx="609687" cy="575502"/>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8"/>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9"/>
        <a:stretch>
          <a:fillRect/>
        </a:stretch>
      </xdr:blipFill>
      <xdr:spPr>
        <a:xfrm>
          <a:off x="4810606" y="4800985"/>
          <a:ext cx="619048" cy="624917"/>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10"/>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2"/>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3"/>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4"/>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2934</xdr:rowOff>
    </xdr:from>
    <xdr:to>
      <xdr:col>24</xdr:col>
      <xdr:colOff>3290</xdr:colOff>
      <xdr:row>19</xdr:row>
      <xdr:rowOff>35088</xdr:rowOff>
    </xdr:to>
    <xdr:pic>
      <xdr:nvPicPr>
        <xdr:cNvPr id="26" name="Picture 25" descr="tpc.png"/>
        <xdr:cNvPicPr>
          <a:picLocks noChangeAspect="1"/>
        </xdr:cNvPicPr>
      </xdr:nvPicPr>
      <xdr:blipFill>
        <a:blip xmlns:r="http://schemas.openxmlformats.org/officeDocument/2006/relationships" r:embed="rId15"/>
        <a:stretch>
          <a:fillRect/>
        </a:stretch>
      </xdr:blipFill>
      <xdr:spPr>
        <a:xfrm>
          <a:off x="7167803" y="1609676"/>
          <a:ext cx="619048" cy="619048"/>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0</xdr:colOff>
      <xdr:row>29</xdr:row>
      <xdr:rowOff>0</xdr:rowOff>
    </xdr:from>
    <xdr:to>
      <xdr:col>31</xdr:col>
      <xdr:colOff>0</xdr:colOff>
      <xdr:row>33</xdr:row>
      <xdr:rowOff>0</xdr:rowOff>
    </xdr:to>
    <xdr:pic>
      <xdr:nvPicPr>
        <xdr:cNvPr id="21" name="Picture 20" descr="yhoo.PNG"/>
        <xdr:cNvPicPr>
          <a:picLocks noChangeAspect="1"/>
        </xdr:cNvPicPr>
      </xdr:nvPicPr>
      <xdr:blipFill>
        <a:blip xmlns:r="http://schemas.openxmlformats.org/officeDocument/2006/relationships" r:embed="rId17"/>
        <a:stretch>
          <a:fillRect/>
        </a:stretch>
      </xdr:blipFill>
      <xdr:spPr>
        <a:xfrm>
          <a:off x="9525000" y="1606742"/>
          <a:ext cx="615758" cy="586894"/>
        </a:xfrm>
        <a:prstGeom prst="rect">
          <a:avLst/>
        </a:prstGeom>
      </xdr:spPr>
    </xdr:pic>
    <xdr:clientData/>
  </xdr:twoCellAnchor>
  <xdr:twoCellAnchor editAs="oneCell">
    <xdr:from>
      <xdr:col>23</xdr:col>
      <xdr:colOff>0</xdr:colOff>
      <xdr:row>28</xdr:row>
      <xdr:rowOff>163560</xdr:rowOff>
    </xdr:from>
    <xdr:to>
      <xdr:col>24</xdr:col>
      <xdr:colOff>3290</xdr:colOff>
      <xdr:row>33</xdr:row>
      <xdr:rowOff>28401</xdr:rowOff>
    </xdr:to>
    <xdr:pic>
      <xdr:nvPicPr>
        <xdr:cNvPr id="32" name="Picture 31" descr="tpc.png"/>
        <xdr:cNvPicPr>
          <a:picLocks noChangeAspect="1"/>
        </xdr:cNvPicPr>
      </xdr:nvPicPr>
      <xdr:blipFill>
        <a:blip xmlns:r="http://schemas.openxmlformats.org/officeDocument/2006/relationships" r:embed="rId18"/>
        <a:stretch>
          <a:fillRect/>
        </a:stretch>
      </xdr:blipFill>
      <xdr:spPr>
        <a:xfrm>
          <a:off x="7167803" y="3194242"/>
          <a:ext cx="619048" cy="624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RRC" TargetMode="External"/><Relationship Id="rId55" Type="http://schemas.openxmlformats.org/officeDocument/2006/relationships/hyperlink" Target="http://money.msn.com/business-news/news.aspx?symbol=TPC" TargetMode="External"/><Relationship Id="rId63" Type="http://schemas.openxmlformats.org/officeDocument/2006/relationships/hyperlink" Target="http://investing.money.msn.com/investments/charts/?symbol=WFC"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PC" TargetMode="External"/><Relationship Id="rId58" Type="http://schemas.openxmlformats.org/officeDocument/2006/relationships/hyperlink" Target="http://money.msn.com/business-news/news.aspx?symbol=TSN" TargetMode="External"/><Relationship Id="rId66" Type="http://schemas.openxmlformats.org/officeDocument/2006/relationships/hyperlink" Target="http://investing.money.msn.com/investments/charts/?symbol=YHOO"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ULTA"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RRC" TargetMode="External"/><Relationship Id="rId60" Type="http://schemas.openxmlformats.org/officeDocument/2006/relationships/hyperlink" Target="http://investing.money.msn.com/investments/charts/?symbol=ULTA" TargetMode="External"/><Relationship Id="rId65" Type="http://schemas.openxmlformats.org/officeDocument/2006/relationships/hyperlink" Target="http://investing.money.msn.com/investments/stock-price?symbol=YHOO"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TSN" TargetMode="External"/><Relationship Id="rId64" Type="http://schemas.openxmlformats.org/officeDocument/2006/relationships/hyperlink" Target="http://money.msn.com/business-news/news.aspx?symbol=WFC"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RR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ULTA" TargetMode="External"/><Relationship Id="rId67" Type="http://schemas.openxmlformats.org/officeDocument/2006/relationships/hyperlink" Target="http://money.msn.com/business-news/news.aspx?symbol=YHOO"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PC" TargetMode="External"/><Relationship Id="rId62" Type="http://schemas.openxmlformats.org/officeDocument/2006/relationships/hyperlink" Target="http://investing.money.msn.com/investments/stock-price?symbol=WFC"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TSN"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pageSetUpPr fitToPage="1"/>
  </sheetPr>
  <dimension ref="B1:AO83"/>
  <sheetViews>
    <sheetView tabSelected="1" zoomScale="99" zoomScaleNormal="99" workbookViewId="0">
      <selection activeCell="AH6" sqref="AH6"/>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219</v>
      </c>
      <c r="M3" s="375"/>
      <c r="N3" s="299"/>
      <c r="O3" s="299"/>
      <c r="P3" s="299"/>
      <c r="Q3" s="299"/>
      <c r="R3" s="299"/>
      <c r="S3" s="302" t="s">
        <v>174</v>
      </c>
      <c r="T3" s="375"/>
      <c r="U3" s="299"/>
      <c r="V3" s="299"/>
      <c r="W3" s="299"/>
      <c r="X3" s="299"/>
      <c r="Y3" s="299"/>
      <c r="Z3" s="302" t="s">
        <v>170</v>
      </c>
      <c r="AA3" s="375"/>
      <c r="AB3" s="299"/>
      <c r="AC3" s="299"/>
      <c r="AD3" s="299"/>
      <c r="AE3" s="301"/>
      <c r="AF3" s="307"/>
      <c r="AG3" s="307" t="s">
        <v>259</v>
      </c>
      <c r="AH3" s="240">
        <f>Holdings!$I$24/Data!$D$3</f>
        <v>2.6733484932741507</v>
      </c>
      <c r="AI3" s="299"/>
      <c r="AK3" s="301"/>
    </row>
    <row r="4" spans="2:41" ht="13.5" customHeight="1">
      <c r="B4" s="299"/>
      <c r="C4" s="300"/>
      <c r="D4" s="299"/>
      <c r="E4" s="303"/>
      <c r="F4" s="299"/>
      <c r="G4" s="299"/>
      <c r="H4" s="299"/>
      <c r="I4" s="299"/>
      <c r="J4" s="300"/>
      <c r="K4" s="299"/>
      <c r="L4" s="304" t="s">
        <v>220</v>
      </c>
      <c r="M4" s="474">
        <f>Holdings!$S$24</f>
        <v>0.18318074126437112</v>
      </c>
      <c r="N4" s="299"/>
      <c r="O4" s="299"/>
      <c r="P4" s="299"/>
      <c r="Q4" s="305"/>
      <c r="R4" s="306"/>
      <c r="S4" s="304" t="s">
        <v>220</v>
      </c>
      <c r="T4" s="474">
        <f ca="1">'V.P. of PM'!E21</f>
        <v>-1.8396274650483324E-2</v>
      </c>
      <c r="U4" s="306"/>
      <c r="V4" s="306"/>
      <c r="W4" s="306"/>
      <c r="X4" s="307"/>
      <c r="Y4" s="308"/>
      <c r="Z4" s="304" t="s">
        <v>220</v>
      </c>
      <c r="AA4" s="474">
        <f>Holdings!$U$24</f>
        <v>-1.6800914513407716E-2</v>
      </c>
      <c r="AB4" s="308"/>
      <c r="AC4" s="308"/>
      <c r="AD4" s="308"/>
      <c r="AE4" s="339"/>
      <c r="AF4" s="301"/>
      <c r="AG4" s="307" t="s">
        <v>261</v>
      </c>
      <c r="AH4" s="354">
        <f>'Holdings Pull Sheet'!$F$14/Data!$L$3</f>
        <v>2.0731657491828659</v>
      </c>
      <c r="AI4" s="299"/>
      <c r="AK4" s="301"/>
      <c r="AN4" s="424"/>
      <c r="AO4" s="425"/>
    </row>
    <row r="5" spans="2:41" ht="3.75" customHeight="1">
      <c r="B5" s="299"/>
      <c r="C5" s="300"/>
      <c r="D5" s="299"/>
      <c r="E5" s="303"/>
      <c r="F5" s="299"/>
      <c r="G5" s="299"/>
      <c r="H5" s="299"/>
      <c r="I5" s="299"/>
      <c r="J5" s="300"/>
      <c r="K5" s="299"/>
      <c r="L5" s="301"/>
      <c r="M5" s="475"/>
      <c r="N5" s="301"/>
      <c r="O5" s="301"/>
      <c r="P5" s="301"/>
      <c r="Q5" s="301"/>
      <c r="R5" s="301"/>
      <c r="S5" s="301"/>
      <c r="T5" s="475"/>
      <c r="U5" s="301"/>
      <c r="V5" s="301"/>
      <c r="W5" s="301"/>
      <c r="X5" s="308"/>
      <c r="Y5" s="308"/>
      <c r="Z5" s="310"/>
      <c r="AA5" s="475"/>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474">
        <f>('Holdings Pull Sheet'!$F$14/Data!$L$530)-1</f>
        <v>0.16502525557676972</v>
      </c>
      <c r="N6" s="240"/>
      <c r="O6" s="299"/>
      <c r="P6" s="299"/>
      <c r="Q6" s="305"/>
      <c r="R6" s="299"/>
      <c r="S6" s="311" t="s">
        <v>24</v>
      </c>
      <c r="T6" s="474">
        <f ca="1">'V.P. of PM'!F21</f>
        <v>-1.2270233599179559E-2</v>
      </c>
      <c r="U6" s="299"/>
      <c r="V6" s="299"/>
      <c r="W6" s="299"/>
      <c r="X6" s="312"/>
      <c r="Y6" s="308"/>
      <c r="Z6" s="311" t="s">
        <v>24</v>
      </c>
      <c r="AA6" s="474">
        <f>('Holdings Pull Sheet'!$F$14/'Holdings Pull Sheet'!$G$14)-1</f>
        <v>-2.0661387888607274E-2</v>
      </c>
      <c r="AB6" s="308"/>
      <c r="AC6" s="308"/>
      <c r="AD6" s="308"/>
      <c r="AE6" s="423"/>
      <c r="AF6" s="367"/>
      <c r="AG6" s="307" t="s">
        <v>260</v>
      </c>
      <c r="AH6" s="309">
        <f>Holdings!$I$24</f>
        <v>61101.652159999998</v>
      </c>
      <c r="AI6" s="299"/>
      <c r="AK6" s="301"/>
    </row>
    <row r="7" spans="2:41" ht="3.75" customHeight="1">
      <c r="B7" s="299"/>
      <c r="C7" s="300"/>
      <c r="D7" s="299"/>
      <c r="E7" s="311"/>
      <c r="F7" s="238"/>
      <c r="G7" s="239"/>
      <c r="H7" s="239"/>
      <c r="I7" s="299"/>
      <c r="J7" s="300"/>
      <c r="K7" s="299"/>
      <c r="L7" s="299"/>
      <c r="M7" s="476"/>
      <c r="N7" s="240"/>
      <c r="O7" s="299"/>
      <c r="P7" s="299"/>
      <c r="Q7" s="299"/>
      <c r="R7" s="299"/>
      <c r="S7" s="299"/>
      <c r="T7" s="475"/>
      <c r="U7" s="299"/>
      <c r="V7" s="299"/>
      <c r="W7" s="299"/>
      <c r="X7" s="308"/>
      <c r="Y7" s="306"/>
      <c r="Z7" s="299"/>
      <c r="AA7" s="477"/>
      <c r="AB7" s="314"/>
      <c r="AC7" s="314"/>
      <c r="AD7" s="314"/>
      <c r="AE7" s="314"/>
      <c r="AF7" s="299"/>
      <c r="AG7" s="301"/>
      <c r="AH7" s="301"/>
      <c r="AI7" s="299"/>
      <c r="AK7" s="301"/>
    </row>
    <row r="8" spans="2:41" ht="12.75" customHeight="1">
      <c r="B8" s="299"/>
      <c r="C8" s="300"/>
      <c r="D8" s="299"/>
      <c r="E8" s="311"/>
      <c r="F8" s="238"/>
      <c r="G8" s="239"/>
      <c r="H8" s="239"/>
      <c r="I8" s="299"/>
      <c r="J8" s="300"/>
      <c r="K8" s="299"/>
      <c r="L8" s="311" t="s">
        <v>221</v>
      </c>
      <c r="M8" s="474">
        <f>('Holdings Pull Sheet'!$F$12/Data!$S$530)-1</f>
        <v>0.11526509156832354</v>
      </c>
      <c r="N8" s="240"/>
      <c r="O8" s="299"/>
      <c r="P8" s="299"/>
      <c r="Q8" s="301"/>
      <c r="R8" s="299"/>
      <c r="S8" s="311" t="s">
        <v>221</v>
      </c>
      <c r="T8" s="474">
        <f ca="1">OFFSET(Data!T3,MATCH('V.P. of PM'!H3,Data!B3:B1000,0)-1,,)</f>
        <v>-4.0915923960798128E-3</v>
      </c>
      <c r="U8" s="301"/>
      <c r="V8" s="301"/>
      <c r="W8" s="301"/>
      <c r="X8" s="315"/>
      <c r="Y8" s="308"/>
      <c r="Z8" s="311" t="s">
        <v>221</v>
      </c>
      <c r="AA8" s="474">
        <f>('Holdings Pull Sheet'!$F$12/'Holdings Pull Sheet'!$G$12)-1</f>
        <v>-1.9710819325629569E-2</v>
      </c>
      <c r="AB8" s="308"/>
      <c r="AC8" s="308"/>
      <c r="AD8" s="308"/>
      <c r="AE8" s="301" t="s">
        <v>202</v>
      </c>
      <c r="AF8" s="301"/>
      <c r="AG8" s="301"/>
      <c r="AH8" s="313">
        <f>Holdings!$I$4</f>
        <v>8050.26</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84" t="s">
        <v>189</v>
      </c>
      <c r="AF9" s="485"/>
      <c r="AG9" s="485"/>
      <c r="AH9" s="256">
        <f>Holdings!$W$4</f>
        <v>0.13175192020863352</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86" t="str">
        <f>Holdings!$C$5</f>
        <v>Berkshire Hathaway</v>
      </c>
      <c r="D13" s="486"/>
      <c r="E13" s="486"/>
      <c r="F13" s="321">
        <f>Holdings!$E$5</f>
        <v>137.09</v>
      </c>
      <c r="G13" s="299"/>
      <c r="H13" s="318"/>
      <c r="I13" s="299"/>
      <c r="J13" s="478" t="str">
        <f>Holdings!$C$9</f>
        <v>Delta Airlines</v>
      </c>
      <c r="K13" s="478"/>
      <c r="L13" s="478"/>
      <c r="M13" s="321">
        <f>Holdings!$E$9</f>
        <v>33.71</v>
      </c>
      <c r="N13" s="299"/>
      <c r="O13" s="318"/>
      <c r="P13" s="299"/>
      <c r="Q13" s="478" t="str">
        <f>Holdings!$C$13</f>
        <v>Intel</v>
      </c>
      <c r="R13" s="478"/>
      <c r="S13" s="478"/>
      <c r="T13" s="321">
        <f>Holdings!$E$13</f>
        <v>33.619999999999997</v>
      </c>
      <c r="V13" s="318"/>
      <c r="W13" s="299"/>
      <c r="X13" s="478" t="str">
        <f>Holdings!$C$17</f>
        <v>Range Resources</v>
      </c>
      <c r="Y13" s="478"/>
      <c r="Z13" s="478"/>
      <c r="AA13" s="321">
        <f>Holdings!$E$17</f>
        <v>63.46</v>
      </c>
      <c r="AB13" s="299"/>
      <c r="AC13" s="318"/>
      <c r="AD13" s="299"/>
      <c r="AE13" s="478" t="str">
        <f>Holdings!$C$21</f>
        <v>Wells Fargo</v>
      </c>
      <c r="AF13" s="478"/>
      <c r="AG13" s="478"/>
      <c r="AH13" s="321">
        <f>Holdings!$E$21</f>
        <v>51.12</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7"/>
      <c r="AH14" s="321"/>
      <c r="AI14" s="299"/>
      <c r="AK14" s="301"/>
    </row>
    <row r="15" spans="2:41" ht="13.5">
      <c r="B15" s="299"/>
      <c r="C15" s="324" t="str">
        <f>Holdings!$D$5</f>
        <v>BRK.B</v>
      </c>
      <c r="D15" s="299"/>
      <c r="E15" s="299" t="s">
        <v>170</v>
      </c>
      <c r="F15" s="240">
        <f>Holdings!$U$5</f>
        <v>-2.03658710876089E-2</v>
      </c>
      <c r="G15" s="240"/>
      <c r="H15" s="241"/>
      <c r="I15" s="299"/>
      <c r="J15" s="324" t="str">
        <f>Holdings!$D$9</f>
        <v>DAL</v>
      </c>
      <c r="K15" s="299"/>
      <c r="L15" s="299" t="s">
        <v>170</v>
      </c>
      <c r="M15" s="240">
        <f>Holdings!$U$9</f>
        <v>-3.1600114909508759E-2</v>
      </c>
      <c r="N15" s="240"/>
      <c r="O15" s="241"/>
      <c r="P15" s="299"/>
      <c r="Q15" s="324" t="str">
        <f>Holdings!$D$13</f>
        <v>INTC</v>
      </c>
      <c r="R15" s="299"/>
      <c r="S15" s="299" t="s">
        <v>170</v>
      </c>
      <c r="T15" s="240">
        <f>Holdings!$U$13</f>
        <v>-1.8967026553837307E-2</v>
      </c>
      <c r="V15" s="241"/>
      <c r="W15" s="316"/>
      <c r="X15" s="324" t="str">
        <f>Holdings!$D$17</f>
        <v>RRC</v>
      </c>
      <c r="Y15" s="316"/>
      <c r="Z15" s="299" t="s">
        <v>170</v>
      </c>
      <c r="AA15" s="240">
        <f>Holdings!$U$17</f>
        <v>-3.2636876620405597E-2</v>
      </c>
      <c r="AB15" s="240"/>
      <c r="AC15" s="241"/>
      <c r="AD15" s="316"/>
      <c r="AE15" s="324" t="str">
        <f>Holdings!$D$21</f>
        <v>WFC</v>
      </c>
      <c r="AF15" s="316"/>
      <c r="AG15" s="299" t="s">
        <v>170</v>
      </c>
      <c r="AH15" s="354">
        <f>Holdings!$U$21</f>
        <v>-1.975071907957815E-2</v>
      </c>
      <c r="AI15" s="316"/>
      <c r="AK15" s="301"/>
    </row>
    <row r="16" spans="2:41">
      <c r="B16" s="299"/>
      <c r="C16" s="300"/>
      <c r="D16" s="299"/>
      <c r="E16" s="299" t="s">
        <v>174</v>
      </c>
      <c r="F16" s="240">
        <f>Holdings!$T$5</f>
        <v>6.2219122888579115E-2</v>
      </c>
      <c r="G16" s="240"/>
      <c r="H16" s="241"/>
      <c r="I16" s="299"/>
      <c r="J16" s="300"/>
      <c r="K16" s="299"/>
      <c r="L16" s="299" t="s">
        <v>174</v>
      </c>
      <c r="M16" s="240">
        <f>Holdings!$T$9</f>
        <v>-9.0110728920154592E-2</v>
      </c>
      <c r="N16" s="240"/>
      <c r="O16" s="241"/>
      <c r="P16" s="299"/>
      <c r="Q16" s="300"/>
      <c r="R16" s="299"/>
      <c r="S16" s="299" t="s">
        <v>174</v>
      </c>
      <c r="T16" s="240">
        <f>Holdings!$T$13</f>
        <v>0.27943797008212412</v>
      </c>
      <c r="V16" s="241"/>
      <c r="W16" s="316"/>
      <c r="X16" s="300"/>
      <c r="Y16" s="316"/>
      <c r="Z16" s="299" t="s">
        <v>174</v>
      </c>
      <c r="AA16" s="240">
        <f>Holdings!$T$17</f>
        <v>-0.28880421382942956</v>
      </c>
      <c r="AB16" s="240"/>
      <c r="AC16" s="241"/>
      <c r="AD16" s="316"/>
      <c r="AE16" s="300"/>
      <c r="AF16" s="316"/>
      <c r="AG16" s="299" t="s">
        <v>174</v>
      </c>
      <c r="AH16" s="354">
        <f>Holdings!$T$21</f>
        <v>3.841039609325847E-2</v>
      </c>
      <c r="AI16" s="316"/>
      <c r="AK16" s="301"/>
    </row>
    <row r="17" spans="2:37">
      <c r="B17" s="299"/>
      <c r="C17" s="300"/>
      <c r="D17" s="299"/>
      <c r="E17" s="299" t="str">
        <f>L3</f>
        <v>School Year</v>
      </c>
      <c r="F17" s="240">
        <f>Holdings!$S$5</f>
        <v>0.221074196134319</v>
      </c>
      <c r="G17" s="240"/>
      <c r="H17" s="241"/>
      <c r="I17" s="299"/>
      <c r="J17" s="300"/>
      <c r="K17" s="299"/>
      <c r="L17" s="299" t="str">
        <f>$E$17</f>
        <v>School Year</v>
      </c>
      <c r="M17" s="240">
        <f>Holdings!$S$9</f>
        <v>0.67578930041152274</v>
      </c>
      <c r="N17" s="240"/>
      <c r="O17" s="241"/>
      <c r="P17" s="299"/>
      <c r="Q17" s="300"/>
      <c r="R17" s="299"/>
      <c r="S17" s="299" t="str">
        <f>$E$17</f>
        <v>School Year</v>
      </c>
      <c r="T17" s="240">
        <f>Holdings!$S$13</f>
        <v>0.52561959029623417</v>
      </c>
      <c r="V17" s="241"/>
      <c r="W17" s="316"/>
      <c r="X17" s="300"/>
      <c r="Y17" s="316"/>
      <c r="Z17" s="299" t="str">
        <f>$E$17</f>
        <v>School Year</v>
      </c>
      <c r="AA17" s="240">
        <f>Holdings!$S$17</f>
        <v>-0.26524603721571327</v>
      </c>
      <c r="AB17" s="240"/>
      <c r="AC17" s="241"/>
      <c r="AD17" s="316"/>
      <c r="AE17" s="300"/>
      <c r="AF17" s="316"/>
      <c r="AG17" s="299" t="str">
        <f>$E$17</f>
        <v>School Year</v>
      </c>
      <c r="AH17" s="354">
        <f>Holdings!$S$21</f>
        <v>0.24902755679263788</v>
      </c>
      <c r="AI17" s="316"/>
      <c r="AK17" s="301"/>
    </row>
    <row r="18" spans="2:37">
      <c r="B18" s="299"/>
      <c r="C18" s="301"/>
      <c r="D18" s="299"/>
      <c r="E18" s="299" t="s">
        <v>175</v>
      </c>
      <c r="F18" s="240">
        <f>Holdings!$P$5</f>
        <v>0.75144096821270812</v>
      </c>
      <c r="G18" s="240"/>
      <c r="H18" s="241"/>
      <c r="I18" s="299"/>
      <c r="J18" s="325"/>
      <c r="K18" s="299"/>
      <c r="L18" s="299" t="s">
        <v>175</v>
      </c>
      <c r="M18" s="240">
        <f>Holdings!$P$9</f>
        <v>1.0508583837968728</v>
      </c>
      <c r="N18" s="240"/>
      <c r="O18" s="241"/>
      <c r="P18" s="299"/>
      <c r="Q18" s="300"/>
      <c r="R18" s="299"/>
      <c r="S18" s="299" t="s">
        <v>175</v>
      </c>
      <c r="T18" s="240">
        <f>Holdings!$P$13</f>
        <v>0.40864564972404427</v>
      </c>
      <c r="V18" s="241"/>
      <c r="W18" s="316"/>
      <c r="X18" s="300"/>
      <c r="Y18" s="316"/>
      <c r="Z18" s="299" t="s">
        <v>175</v>
      </c>
      <c r="AA18" s="240">
        <f>Holdings!$P$17</f>
        <v>-0.26524603721571327</v>
      </c>
      <c r="AB18" s="240"/>
      <c r="AC18" s="241"/>
      <c r="AD18" s="316"/>
      <c r="AE18" s="300"/>
      <c r="AF18" s="316"/>
      <c r="AG18" s="299" t="s">
        <v>175</v>
      </c>
      <c r="AH18" s="354">
        <f>Holdings!$P$21</f>
        <v>1.2920531066034524</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4"/>
      <c r="AI19" s="316"/>
      <c r="AK19" s="301"/>
    </row>
    <row r="20" spans="2:37" ht="12.75" customHeight="1">
      <c r="B20" s="299"/>
      <c r="C20" s="437" t="str">
        <f>IF(C21=0,"NA", IF(C21&lt;2,"Small", IF(C21&lt;10, "Mid", IF(C21&gt;10, "Large"))))</f>
        <v>Large</v>
      </c>
      <c r="D20" s="299"/>
      <c r="E20" s="301" t="s">
        <v>64</v>
      </c>
      <c r="F20" s="327">
        <f>Holdings!$I$5</f>
        <v>3564.34</v>
      </c>
      <c r="G20" s="240"/>
      <c r="H20" s="241"/>
      <c r="I20" s="299"/>
      <c r="J20" s="437" t="str">
        <f>IF(J21=0,"NA", IF(J21&lt;2,"Small", IF(J21&lt;10, "Mid", IF(J21&gt;10, "Large"))))</f>
        <v>Large</v>
      </c>
      <c r="K20" s="299"/>
      <c r="L20" s="367" t="s">
        <v>64</v>
      </c>
      <c r="M20" s="327">
        <f>Holdings!$I$9</f>
        <v>5090.21</v>
      </c>
      <c r="N20" s="240"/>
      <c r="O20" s="241"/>
      <c r="P20" s="299"/>
      <c r="Q20" s="437" t="str">
        <f>IF(Q21=0,"NA", IF(Q21&lt;2,"Small", IF(Q21&lt;10, "Mid", IF(Q21&gt;10, "Large"))))</f>
        <v>Large</v>
      </c>
      <c r="R20" s="299"/>
      <c r="S20" s="367" t="s">
        <v>64</v>
      </c>
      <c r="T20" s="327">
        <f>Holdings!$I$13</f>
        <v>3899.9199999999996</v>
      </c>
      <c r="V20" s="241"/>
      <c r="W20" s="316"/>
      <c r="X20" s="437" t="str">
        <f>IF(X21=0,"NA", IF(X21&lt;2,"Small", IF(X21&lt;10, "Mid", IF(X21&gt;10, "Large"))))</f>
        <v>Large</v>
      </c>
      <c r="Y20" s="299"/>
      <c r="Z20" s="367" t="s">
        <v>64</v>
      </c>
      <c r="AA20" s="327">
        <f>Holdings!$I$17</f>
        <v>2665.32</v>
      </c>
      <c r="AB20" s="240"/>
      <c r="AC20" s="241"/>
      <c r="AD20" s="316"/>
      <c r="AE20" s="437" t="str">
        <f>IF(AE21=0,"NA", IF(AE21&lt;2,"Small", IF(AE21&lt;10, "Mid", IF(AE21&gt;10, "Large"))))</f>
        <v>Large</v>
      </c>
      <c r="AF20" s="316"/>
      <c r="AG20" s="367" t="s">
        <v>64</v>
      </c>
      <c r="AH20" s="327">
        <f>Holdings!$I$21</f>
        <v>2760.48</v>
      </c>
      <c r="AI20" s="316"/>
      <c r="AK20" s="301"/>
    </row>
    <row r="21" spans="2:37" ht="12.75" customHeight="1">
      <c r="B21" s="299"/>
      <c r="C21" s="328">
        <f>Holdings!$X$5</f>
        <v>319.364766003</v>
      </c>
      <c r="D21" s="301"/>
      <c r="E21" s="301" t="s">
        <v>208</v>
      </c>
      <c r="F21" s="327">
        <f>Holdings!$H$5</f>
        <v>2035.09</v>
      </c>
      <c r="G21" s="240"/>
      <c r="H21" s="241"/>
      <c r="I21" s="299"/>
      <c r="J21" s="328">
        <f>Holdings!$X$9</f>
        <v>28.249129921000002</v>
      </c>
      <c r="K21" s="367"/>
      <c r="L21" s="367" t="s">
        <v>208</v>
      </c>
      <c r="M21" s="327">
        <f>Holdings!$H$9</f>
        <v>2481.9899999999998</v>
      </c>
      <c r="N21" s="240"/>
      <c r="O21" s="241"/>
      <c r="P21" s="299"/>
      <c r="Q21" s="328">
        <f>Holdings!$X$13</f>
        <v>166.45262</v>
      </c>
      <c r="R21" s="367"/>
      <c r="S21" s="367" t="s">
        <v>208</v>
      </c>
      <c r="T21" s="327">
        <f>Holdings!$H$13</f>
        <v>2768.56</v>
      </c>
      <c r="V21" s="241"/>
      <c r="W21" s="316"/>
      <c r="X21" s="328">
        <f>Holdings!$X$17</f>
        <v>10.700486738</v>
      </c>
      <c r="Y21" s="367"/>
      <c r="Z21" s="367" t="s">
        <v>208</v>
      </c>
      <c r="AA21" s="327">
        <f>Holdings!$H$17</f>
        <v>3627.5</v>
      </c>
      <c r="AB21" s="240"/>
      <c r="AC21" s="241"/>
      <c r="AD21" s="316"/>
      <c r="AE21" s="328">
        <f>Holdings!$X$21</f>
        <v>266.97161638400001</v>
      </c>
      <c r="AF21" s="316"/>
      <c r="AG21" s="367" t="s">
        <v>208</v>
      </c>
      <c r="AH21" s="327">
        <f>Holdings!$H$21</f>
        <v>1204.3700000000001</v>
      </c>
      <c r="AI21" s="316"/>
      <c r="AK21" s="301"/>
    </row>
    <row r="22" spans="2:37" ht="2.25" customHeight="1">
      <c r="B22" s="299"/>
      <c r="C22" s="329"/>
      <c r="D22" s="301"/>
      <c r="E22" s="301"/>
      <c r="F22" s="327"/>
      <c r="G22" s="240"/>
      <c r="H22" s="241"/>
      <c r="I22" s="299"/>
      <c r="J22" s="329"/>
      <c r="K22" s="367"/>
      <c r="L22" s="367"/>
      <c r="M22" s="240"/>
      <c r="N22" s="240"/>
      <c r="O22" s="241"/>
      <c r="P22" s="299"/>
      <c r="Q22" s="329"/>
      <c r="R22" s="367"/>
      <c r="S22" s="367"/>
      <c r="T22" s="240"/>
      <c r="V22" s="241"/>
      <c r="W22" s="316"/>
      <c r="X22" s="329"/>
      <c r="Y22" s="367"/>
      <c r="Z22" s="367"/>
      <c r="AA22" s="240"/>
      <c r="AB22" s="240"/>
      <c r="AC22" s="241"/>
      <c r="AD22" s="316"/>
      <c r="AE22" s="300"/>
      <c r="AF22" s="316"/>
      <c r="AG22" s="299"/>
      <c r="AH22" s="354"/>
      <c r="AI22" s="316"/>
      <c r="AK22" s="301"/>
    </row>
    <row r="23" spans="2:37">
      <c r="B23" s="299"/>
      <c r="C23" s="426"/>
      <c r="D23" s="431"/>
      <c r="E23" s="317" t="s">
        <v>189</v>
      </c>
      <c r="F23" s="355">
        <f>F20/$AH$6</f>
        <v>5.83345928301E-2</v>
      </c>
      <c r="G23" s="240"/>
      <c r="H23" s="241"/>
      <c r="I23" s="299"/>
      <c r="J23" s="426"/>
      <c r="K23" s="431"/>
      <c r="L23" s="317" t="s">
        <v>189</v>
      </c>
      <c r="M23" s="355">
        <f>M20/$AH$6</f>
        <v>8.3307239985440026E-2</v>
      </c>
      <c r="N23" s="301"/>
      <c r="O23" s="241"/>
      <c r="P23" s="301"/>
      <c r="Q23" s="426"/>
      <c r="R23" s="431"/>
      <c r="S23" s="317" t="s">
        <v>189</v>
      </c>
      <c r="T23" s="355">
        <f>T20/$AH$6</f>
        <v>6.3826752012985169E-2</v>
      </c>
      <c r="V23" s="241"/>
      <c r="W23" s="316"/>
      <c r="X23" s="426"/>
      <c r="Y23" s="431"/>
      <c r="Z23" s="317" t="s">
        <v>189</v>
      </c>
      <c r="AA23" s="355">
        <f>AA20/$AH$6</f>
        <v>4.3621079067070523E-2</v>
      </c>
      <c r="AB23" s="240"/>
      <c r="AC23" s="241"/>
      <c r="AD23" s="316"/>
      <c r="AE23" s="330"/>
      <c r="AF23" s="367"/>
      <c r="AG23" s="317" t="s">
        <v>189</v>
      </c>
      <c r="AH23" s="355">
        <f>AH20/$AH$6</f>
        <v>4.5178483762950347E-2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8" t="str">
        <f>Holdings!$C$6</f>
        <v>BlackRock Global</v>
      </c>
      <c r="D27" s="478"/>
      <c r="E27" s="478"/>
      <c r="F27" s="321">
        <f>Holdings!$E$6</f>
        <v>20.420000000000002</v>
      </c>
      <c r="G27" s="299"/>
      <c r="H27" s="318"/>
      <c r="I27" s="299"/>
      <c r="J27" s="478" t="str">
        <f>Holdings!$C$10</f>
        <v>Gentex</v>
      </c>
      <c r="K27" s="478"/>
      <c r="L27" s="478"/>
      <c r="M27" s="321">
        <f>Holdings!$E$10</f>
        <v>27.61</v>
      </c>
      <c r="N27" s="299"/>
      <c r="O27" s="241"/>
      <c r="P27" s="299"/>
      <c r="Q27" s="478" t="str">
        <f>Holdings!$C$14</f>
        <v>Medtronic</v>
      </c>
      <c r="R27" s="478"/>
      <c r="S27" s="478"/>
      <c r="T27" s="321">
        <f>Holdings!$E$14</f>
        <v>63.65</v>
      </c>
      <c r="U27" s="299"/>
      <c r="V27" s="241"/>
      <c r="W27" s="299"/>
      <c r="X27" s="478" t="str">
        <f>Holdings!$C$18</f>
        <v>Tutor Perini</v>
      </c>
      <c r="Y27" s="478"/>
      <c r="Z27" s="478"/>
      <c r="AA27" s="321">
        <f>Holdings!$E$18</f>
        <v>24.07</v>
      </c>
      <c r="AB27" s="240"/>
      <c r="AC27" s="241"/>
      <c r="AD27" s="299"/>
      <c r="AE27" s="478" t="str">
        <f>Holdings!$C$22</f>
        <v>Yahoo</v>
      </c>
      <c r="AF27" s="478"/>
      <c r="AG27" s="478"/>
      <c r="AH27" s="321">
        <f>Holdings!$E$22</f>
        <v>41.1</v>
      </c>
      <c r="AI27" s="299"/>
      <c r="AK27" s="301"/>
    </row>
    <row r="28" spans="2:37" ht="2.25" customHeight="1">
      <c r="B28" s="299"/>
      <c r="C28" s="322"/>
      <c r="D28" s="322"/>
      <c r="E28" s="301"/>
      <c r="F28" s="321"/>
      <c r="G28" s="299"/>
      <c r="H28" s="318"/>
      <c r="I28" s="299"/>
      <c r="J28" s="322"/>
      <c r="K28" s="322"/>
      <c r="L28" s="367"/>
      <c r="M28" s="321"/>
      <c r="N28" s="299"/>
      <c r="O28" s="241"/>
      <c r="P28" s="299"/>
      <c r="Q28" s="322"/>
      <c r="R28" s="322"/>
      <c r="S28" s="367"/>
      <c r="T28" s="321"/>
      <c r="U28" s="299"/>
      <c r="V28" s="241"/>
      <c r="W28" s="299"/>
      <c r="X28" s="322"/>
      <c r="Y28" s="322"/>
      <c r="Z28" s="367"/>
      <c r="AA28" s="321"/>
      <c r="AB28" s="240"/>
      <c r="AC28" s="241"/>
      <c r="AD28" s="299"/>
      <c r="AE28" s="323"/>
      <c r="AF28" s="299"/>
      <c r="AG28" s="367"/>
      <c r="AH28" s="321"/>
      <c r="AI28" s="299"/>
      <c r="AK28" s="301"/>
    </row>
    <row r="29" spans="2:37" ht="13.5">
      <c r="B29" s="299"/>
      <c r="C29" s="324" t="str">
        <f>Holdings!$D$6</f>
        <v>MCLOX</v>
      </c>
      <c r="D29" s="299"/>
      <c r="E29" s="299" t="s">
        <v>170</v>
      </c>
      <c r="F29" s="240">
        <f>Holdings!$U$6</f>
        <v>-1.3561024610748373E-2</v>
      </c>
      <c r="G29" s="240"/>
      <c r="H29" s="241"/>
      <c r="I29" s="299"/>
      <c r="J29" s="324" t="str">
        <f>Holdings!$D$10</f>
        <v>GNTX</v>
      </c>
      <c r="K29" s="299"/>
      <c r="L29" s="299" t="s">
        <v>170</v>
      </c>
      <c r="M29" s="240">
        <f>Holdings!$U$10</f>
        <v>-2.4036762106751541E-2</v>
      </c>
      <c r="N29" s="240"/>
      <c r="O29" s="241"/>
      <c r="P29" s="299"/>
      <c r="Q29" s="324" t="str">
        <f>Holdings!$D$14</f>
        <v>MDT</v>
      </c>
      <c r="R29" s="299"/>
      <c r="S29" s="299" t="s">
        <v>170</v>
      </c>
      <c r="T29" s="240">
        <f>Holdings!$U$14</f>
        <v>-3.1644606724478996E-2</v>
      </c>
      <c r="U29" s="240"/>
      <c r="V29" s="241"/>
      <c r="W29" s="316"/>
      <c r="X29" s="324" t="str">
        <f>Holdings!$D$18</f>
        <v>TPC</v>
      </c>
      <c r="Y29" s="299"/>
      <c r="Z29" s="299" t="s">
        <v>170</v>
      </c>
      <c r="AA29" s="240">
        <f>Holdings!$U$18</f>
        <v>-2.6688232915487275E-2</v>
      </c>
      <c r="AB29" s="240"/>
      <c r="AC29" s="241"/>
      <c r="AD29" s="316"/>
      <c r="AE29" s="324" t="str">
        <f>Holdings!$D$22</f>
        <v>YHOO</v>
      </c>
      <c r="AF29" s="316"/>
      <c r="AG29" s="299" t="s">
        <v>170</v>
      </c>
      <c r="AH29" s="354">
        <f>Holdings!$U$22</f>
        <v>4.8685491723476915E-4</v>
      </c>
      <c r="AI29" s="316"/>
      <c r="AK29" s="301"/>
    </row>
    <row r="30" spans="2:37">
      <c r="B30" s="299"/>
      <c r="C30" s="300"/>
      <c r="D30" s="299"/>
      <c r="E30" s="299" t="s">
        <v>174</v>
      </c>
      <c r="F30" s="240">
        <f>Holdings!$T$6</f>
        <v>2.9847907921657812E-2</v>
      </c>
      <c r="G30" s="240"/>
      <c r="H30" s="241"/>
      <c r="I30" s="299"/>
      <c r="J30" s="300"/>
      <c r="K30" s="299"/>
      <c r="L30" s="299" t="s">
        <v>174</v>
      </c>
      <c r="M30" s="240">
        <f>Holdings!$T$10</f>
        <v>-4.4735958856856661E-2</v>
      </c>
      <c r="N30" s="240"/>
      <c r="O30" s="241"/>
      <c r="P30" s="299"/>
      <c r="Q30" s="300"/>
      <c r="R30" s="299"/>
      <c r="S30" s="299" t="s">
        <v>174</v>
      </c>
      <c r="T30" s="240">
        <f>Holdings!$T$14</f>
        <v>8.2527698569395458E-2</v>
      </c>
      <c r="U30" s="240"/>
      <c r="V30" s="241"/>
      <c r="W30" s="316"/>
      <c r="X30" s="300"/>
      <c r="Y30" s="299"/>
      <c r="Z30" s="299" t="s">
        <v>174</v>
      </c>
      <c r="AA30" s="240">
        <f>Holdings!$T$18</f>
        <v>-0.19820119920053303</v>
      </c>
      <c r="AB30" s="240"/>
      <c r="AC30" s="241"/>
      <c r="AD30" s="316"/>
      <c r="AE30" s="300"/>
      <c r="AF30" s="316"/>
      <c r="AG30" s="299" t="s">
        <v>174</v>
      </c>
      <c r="AH30" s="354">
        <f>Holdings!$T$22</f>
        <v>0.12571898110106816</v>
      </c>
      <c r="AI30" s="316"/>
      <c r="AK30" s="301"/>
    </row>
    <row r="31" spans="2:37">
      <c r="B31" s="299"/>
      <c r="C31" s="300"/>
      <c r="D31" s="299"/>
      <c r="E31" s="299" t="str">
        <f>$E$17</f>
        <v>School Year</v>
      </c>
      <c r="F31" s="240">
        <f>Holdings!$S$6</f>
        <v>0.10967686742493643</v>
      </c>
      <c r="G31" s="240"/>
      <c r="H31" s="241"/>
      <c r="I31" s="299"/>
      <c r="J31" s="300"/>
      <c r="K31" s="299"/>
      <c r="L31" s="299" t="str">
        <f>$E$17</f>
        <v>School Year</v>
      </c>
      <c r="M31" s="240">
        <f>Holdings!$S$10</f>
        <v>0.15972247307772092</v>
      </c>
      <c r="N31" s="240"/>
      <c r="O31" s="241"/>
      <c r="P31" s="299"/>
      <c r="Q31" s="300"/>
      <c r="R31" s="299"/>
      <c r="S31" s="299" t="str">
        <f>$E$17</f>
        <v>School Year</v>
      </c>
      <c r="T31" s="240">
        <f>Holdings!$S$14</f>
        <v>0.2061358227142065</v>
      </c>
      <c r="U31" s="240"/>
      <c r="V31" s="241"/>
      <c r="W31" s="316"/>
      <c r="X31" s="300"/>
      <c r="Y31" s="299"/>
      <c r="Z31" s="299" t="str">
        <f>$E$17</f>
        <v>School Year</v>
      </c>
      <c r="AA31" s="240">
        <f>Holdings!$S$18</f>
        <v>0.28854389721627416</v>
      </c>
      <c r="AB31" s="240"/>
      <c r="AC31" s="241"/>
      <c r="AD31" s="316"/>
      <c r="AE31" s="300"/>
      <c r="AF31" s="316"/>
      <c r="AG31" s="299" t="str">
        <f>$E$17</f>
        <v>School Year</v>
      </c>
      <c r="AH31" s="354">
        <f>Holdings!$S$22</f>
        <v>0.45589798087141342</v>
      </c>
      <c r="AI31" s="316"/>
      <c r="AK31" s="301"/>
    </row>
    <row r="32" spans="2:37">
      <c r="B32" s="299"/>
      <c r="C32" s="301"/>
      <c r="D32" s="299"/>
      <c r="E32" s="299" t="s">
        <v>175</v>
      </c>
      <c r="F32" s="240">
        <f>Holdings!$P$6</f>
        <v>0.2522269764548859</v>
      </c>
      <c r="G32" s="240"/>
      <c r="H32" s="241"/>
      <c r="I32" s="299"/>
      <c r="J32" s="367"/>
      <c r="K32" s="299"/>
      <c r="L32" s="299" t="s">
        <v>175</v>
      </c>
      <c r="M32" s="240">
        <f>Holdings!$P$10</f>
        <v>0.74589809298765264</v>
      </c>
      <c r="N32" s="240"/>
      <c r="O32" s="241"/>
      <c r="P32" s="299"/>
      <c r="Q32" s="367"/>
      <c r="R32" s="299"/>
      <c r="S32" s="299" t="s">
        <v>175</v>
      </c>
      <c r="T32" s="240">
        <f>Holdings!$P$14</f>
        <v>0.38711665201283507</v>
      </c>
      <c r="U32" s="240"/>
      <c r="V32" s="241"/>
      <c r="W32" s="316"/>
      <c r="X32" s="367"/>
      <c r="Y32" s="299"/>
      <c r="Z32" s="299" t="s">
        <v>175</v>
      </c>
      <c r="AA32" s="240">
        <f>Holdings!$P$18</f>
        <v>0.74912071621660914</v>
      </c>
      <c r="AB32" s="240"/>
      <c r="AC32" s="241"/>
      <c r="AD32" s="316"/>
      <c r="AE32" s="300"/>
      <c r="AF32" s="316"/>
      <c r="AG32" s="299" t="s">
        <v>175</v>
      </c>
      <c r="AH32" s="354">
        <f>Holdings!$P$22</f>
        <v>0.88966386052349677</v>
      </c>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4"/>
      <c r="AI33" s="316"/>
      <c r="AK33" s="301"/>
    </row>
    <row r="34" spans="2:37" ht="12.75" customHeight="1">
      <c r="B34" s="299"/>
      <c r="C34" s="437" t="str">
        <f>IF(C35=0,"NA", IF(C35&lt;2,"Small", IF(C35&lt;10, "Mid", IF(C35&gt;10, "Large"))))</f>
        <v>NA</v>
      </c>
      <c r="D34" s="299"/>
      <c r="E34" s="301" t="s">
        <v>64</v>
      </c>
      <c r="F34" s="327">
        <f>Holdings!$I$6</f>
        <v>1932.71216</v>
      </c>
      <c r="G34" s="240"/>
      <c r="H34" s="241"/>
      <c r="I34" s="299"/>
      <c r="J34" s="437" t="str">
        <f>IF(J35=0,"NA", IF(J35&lt;2,"Small", IF(J35&lt;10, "Mid", IF(J35&gt;10, "Large"))))</f>
        <v>Mid</v>
      </c>
      <c r="K34" s="299"/>
      <c r="L34" s="367" t="s">
        <v>64</v>
      </c>
      <c r="M34" s="327">
        <f>Holdings!$I$10</f>
        <v>2622.95</v>
      </c>
      <c r="N34" s="240"/>
      <c r="O34" s="241"/>
      <c r="P34" s="299"/>
      <c r="Q34" s="437" t="str">
        <f>IF(Q35=0,"NA", IF(Q35&lt;2,"Small", IF(Q35&lt;10, "Mid", IF(Q35&gt;10, "Large"))))</f>
        <v>Large</v>
      </c>
      <c r="R34" s="299"/>
      <c r="S34" s="367" t="s">
        <v>64</v>
      </c>
      <c r="T34" s="327">
        <f>Holdings!$I$14</f>
        <v>1845.85</v>
      </c>
      <c r="U34" s="240"/>
      <c r="V34" s="241"/>
      <c r="W34" s="316"/>
      <c r="X34" s="437" t="str">
        <f>IF(X35=0,"NA", IF(X35&lt;2,"Small", IF(X35&lt;10, "Mid", IF(X35&gt;10, "Large"))))</f>
        <v>Small</v>
      </c>
      <c r="Y34" s="299"/>
      <c r="Z34" s="367" t="s">
        <v>64</v>
      </c>
      <c r="AA34" s="327">
        <f>Holdings!$I$18</f>
        <v>4814</v>
      </c>
      <c r="AB34" s="240"/>
      <c r="AC34" s="241"/>
      <c r="AD34" s="316"/>
      <c r="AE34" s="437" t="str">
        <f>IF(AE35=0,"NA", IF(AE35&lt;2,"Small", IF(AE35&lt;10, "Mid", IF(AE35&gt;10, "Large"))))</f>
        <v>Large</v>
      </c>
      <c r="AF34" s="316"/>
      <c r="AG34" s="367" t="s">
        <v>64</v>
      </c>
      <c r="AH34" s="327">
        <f>Holdings!$I$22</f>
        <v>4110</v>
      </c>
      <c r="AI34" s="316"/>
      <c r="AK34" s="301"/>
    </row>
    <row r="35" spans="2:37" ht="12.75" customHeight="1">
      <c r="B35" s="299"/>
      <c r="C35" s="328">
        <f>Holdings!$X$6</f>
        <v>0</v>
      </c>
      <c r="D35" s="301"/>
      <c r="E35" s="301" t="s">
        <v>208</v>
      </c>
      <c r="F35" s="327">
        <f>Holdings!$H$6</f>
        <v>1543.42</v>
      </c>
      <c r="G35" s="240"/>
      <c r="H35" s="241"/>
      <c r="I35" s="299"/>
      <c r="J35" s="328">
        <f>Holdings!$X$10</f>
        <v>4.03677712</v>
      </c>
      <c r="K35" s="367"/>
      <c r="L35" s="367" t="s">
        <v>208</v>
      </c>
      <c r="M35" s="327">
        <f>Holdings!$H$10</f>
        <v>1502.35</v>
      </c>
      <c r="N35" s="240"/>
      <c r="O35" s="241"/>
      <c r="P35" s="299"/>
      <c r="Q35" s="328">
        <f>Holdings!$X$14</f>
        <v>62.356014852000001</v>
      </c>
      <c r="R35" s="367"/>
      <c r="S35" s="367" t="s">
        <v>208</v>
      </c>
      <c r="T35" s="327">
        <f>Holdings!$H$14</f>
        <v>1330.71</v>
      </c>
      <c r="U35" s="240"/>
      <c r="V35" s="241"/>
      <c r="W35" s="316"/>
      <c r="X35" s="328">
        <f>Holdings!$X$18</f>
        <v>1.1691218059999999</v>
      </c>
      <c r="Y35" s="367"/>
      <c r="Z35" s="367" t="s">
        <v>208</v>
      </c>
      <c r="AA35" s="327">
        <f>Holdings!$H$18</f>
        <v>2752.24</v>
      </c>
      <c r="AB35" s="240"/>
      <c r="AC35" s="241"/>
      <c r="AD35" s="316"/>
      <c r="AE35" s="328">
        <f>Holdings!$X$22</f>
        <v>40.878215687000001</v>
      </c>
      <c r="AF35" s="316"/>
      <c r="AG35" s="367" t="s">
        <v>208</v>
      </c>
      <c r="AH35" s="327">
        <f>Holdings!$H$22</f>
        <v>2174.9899999999998</v>
      </c>
      <c r="AI35" s="316"/>
      <c r="AK35" s="301"/>
    </row>
    <row r="36" spans="2:37" ht="2.25" customHeight="1">
      <c r="B36" s="299"/>
      <c r="C36" s="329"/>
      <c r="D36" s="301"/>
      <c r="E36" s="301"/>
      <c r="F36" s="327"/>
      <c r="G36" s="240"/>
      <c r="H36" s="241"/>
      <c r="I36" s="299"/>
      <c r="J36" s="329"/>
      <c r="K36" s="367"/>
      <c r="L36" s="367"/>
      <c r="M36" s="240"/>
      <c r="N36" s="240"/>
      <c r="O36" s="241"/>
      <c r="P36" s="299"/>
      <c r="Q36" s="329"/>
      <c r="R36" s="367"/>
      <c r="S36" s="367"/>
      <c r="T36" s="240"/>
      <c r="U36" s="240"/>
      <c r="V36" s="241"/>
      <c r="W36" s="316"/>
      <c r="X36" s="329"/>
      <c r="Y36" s="367"/>
      <c r="Z36" s="367"/>
      <c r="AA36" s="240"/>
      <c r="AB36" s="240"/>
      <c r="AC36" s="241"/>
      <c r="AD36" s="316"/>
      <c r="AE36" s="300"/>
      <c r="AF36" s="316"/>
      <c r="AG36" s="299"/>
      <c r="AH36" s="354"/>
      <c r="AI36" s="316"/>
      <c r="AK36" s="301"/>
    </row>
    <row r="37" spans="2:37">
      <c r="B37" s="299"/>
      <c r="C37" s="312"/>
      <c r="D37" s="301"/>
      <c r="E37" s="317" t="s">
        <v>189</v>
      </c>
      <c r="F37" s="355">
        <f>F34/$AH$6</f>
        <v>3.1631094932409107E-2</v>
      </c>
      <c r="G37" s="240"/>
      <c r="H37" s="241"/>
      <c r="I37" s="299"/>
      <c r="J37" s="312"/>
      <c r="K37" s="367"/>
      <c r="L37" s="317" t="s">
        <v>189</v>
      </c>
      <c r="M37" s="355">
        <f>M34/$AH$6</f>
        <v>4.2927644462568325E-2</v>
      </c>
      <c r="N37" s="240"/>
      <c r="O37" s="241"/>
      <c r="P37" s="299"/>
      <c r="Q37" s="312"/>
      <c r="R37" s="367"/>
      <c r="S37" s="317" t="s">
        <v>189</v>
      </c>
      <c r="T37" s="355">
        <f>T34/$AH$6</f>
        <v>3.0209494092999008E-2</v>
      </c>
      <c r="U37" s="240"/>
      <c r="V37" s="241"/>
      <c r="W37" s="316"/>
      <c r="X37" s="312"/>
      <c r="Y37" s="367"/>
      <c r="Z37" s="317" t="s">
        <v>189</v>
      </c>
      <c r="AA37" s="355">
        <f>AA34/$AH$6</f>
        <v>7.8786740289675333E-2</v>
      </c>
      <c r="AB37" s="240"/>
      <c r="AC37" s="241"/>
      <c r="AD37" s="301"/>
      <c r="AE37" s="330"/>
      <c r="AF37" s="367"/>
      <c r="AG37" s="317" t="s">
        <v>189</v>
      </c>
      <c r="AH37" s="355">
        <f>AH34/$AH$6</f>
        <v>6.7264956915364701E-2</v>
      </c>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8" t="str">
        <f>Holdings!$C$7</f>
        <v>Cemex</v>
      </c>
      <c r="D41" s="478"/>
      <c r="E41" s="478"/>
      <c r="F41" s="321">
        <f>Holdings!$E$7</f>
        <v>12.2</v>
      </c>
      <c r="G41" s="299"/>
      <c r="H41" s="318"/>
      <c r="I41" s="299"/>
      <c r="J41" s="478" t="str">
        <f>Holdings!$C$11</f>
        <v>Home Depot</v>
      </c>
      <c r="K41" s="478"/>
      <c r="L41" s="478"/>
      <c r="M41" s="321">
        <f>Holdings!$E$11</f>
        <v>93.07</v>
      </c>
      <c r="N41" s="240"/>
      <c r="O41" s="241"/>
      <c r="P41" s="299"/>
      <c r="Q41" s="478" t="str">
        <f>Holdings!$C$15</f>
        <v>Natural Grocers</v>
      </c>
      <c r="R41" s="478"/>
      <c r="S41" s="478"/>
      <c r="T41" s="321">
        <f>Holdings!$E$15</f>
        <v>16.190000000000001</v>
      </c>
      <c r="U41" s="240"/>
      <c r="V41" s="241"/>
      <c r="W41" s="299"/>
      <c r="X41" s="478" t="str">
        <f>Holdings!$C$19</f>
        <v>Tyson Foods</v>
      </c>
      <c r="Y41" s="478"/>
      <c r="Z41" s="478"/>
      <c r="AA41" s="321">
        <f>Holdings!$E$19</f>
        <v>40.96</v>
      </c>
      <c r="AB41" s="240"/>
      <c r="AC41" s="241"/>
      <c r="AD41" s="299"/>
      <c r="AE41" s="367"/>
      <c r="AF41" s="367"/>
      <c r="AG41" s="367"/>
      <c r="AH41" s="367"/>
      <c r="AI41" s="299"/>
      <c r="AK41" s="301"/>
    </row>
    <row r="42" spans="2:37" ht="2.25" customHeight="1">
      <c r="B42" s="299"/>
      <c r="C42" s="322"/>
      <c r="D42" s="322"/>
      <c r="E42" s="301"/>
      <c r="F42" s="321"/>
      <c r="G42" s="299"/>
      <c r="H42" s="318"/>
      <c r="I42" s="299"/>
      <c r="J42" s="322"/>
      <c r="K42" s="322"/>
      <c r="L42" s="367"/>
      <c r="M42" s="321"/>
      <c r="N42" s="240"/>
      <c r="O42" s="241"/>
      <c r="P42" s="299"/>
      <c r="Q42" s="322"/>
      <c r="R42" s="322"/>
      <c r="S42" s="367"/>
      <c r="T42" s="321"/>
      <c r="U42" s="240"/>
      <c r="V42" s="241"/>
      <c r="W42" s="299"/>
      <c r="X42" s="322"/>
      <c r="Y42" s="322"/>
      <c r="Z42" s="367"/>
      <c r="AA42" s="321"/>
      <c r="AB42" s="240"/>
      <c r="AC42" s="241"/>
      <c r="AD42" s="299"/>
      <c r="AE42" s="367"/>
      <c r="AF42" s="367"/>
      <c r="AG42" s="367"/>
      <c r="AH42" s="367"/>
      <c r="AI42" s="299"/>
      <c r="AK42" s="301"/>
    </row>
    <row r="43" spans="2:37" ht="13.5">
      <c r="B43" s="299"/>
      <c r="C43" s="324" t="str">
        <f>Holdings!$D$7</f>
        <v>CX</v>
      </c>
      <c r="D43" s="299"/>
      <c r="E43" s="299" t="s">
        <v>170</v>
      </c>
      <c r="F43" s="240">
        <f>Holdings!$U$7</f>
        <v>-2.6336791699920203E-2</v>
      </c>
      <c r="G43" s="240"/>
      <c r="H43" s="241"/>
      <c r="I43" s="299"/>
      <c r="J43" s="324" t="str">
        <f>Holdings!$D$11</f>
        <v>HD</v>
      </c>
      <c r="K43" s="299"/>
      <c r="L43" s="299" t="s">
        <v>170</v>
      </c>
      <c r="M43" s="240">
        <f>Holdings!$U$11</f>
        <v>-1.084068445105757E-2</v>
      </c>
      <c r="N43" s="240"/>
      <c r="O43" s="241"/>
      <c r="P43" s="299"/>
      <c r="Q43" s="324" t="str">
        <f>Holdings!$D$15</f>
        <v>NGVC</v>
      </c>
      <c r="R43" s="299"/>
      <c r="S43" s="299" t="s">
        <v>170</v>
      </c>
      <c r="T43" s="240">
        <f>Holdings!$U$15</f>
        <v>-4.0876777251184659E-2</v>
      </c>
      <c r="U43" s="240"/>
      <c r="V43" s="241"/>
      <c r="W43" s="316"/>
      <c r="X43" s="324" t="str">
        <f>Holdings!$D$19</f>
        <v>TSN</v>
      </c>
      <c r="Y43" s="299"/>
      <c r="Z43" s="299" t="s">
        <v>170</v>
      </c>
      <c r="AA43" s="354">
        <f>Holdings!$U$19</f>
        <v>-1.3487475915221592E-2</v>
      </c>
      <c r="AB43" s="240"/>
      <c r="AC43" s="241"/>
      <c r="AD43" s="316"/>
      <c r="AE43" s="367"/>
      <c r="AF43" s="367"/>
      <c r="AG43" s="367"/>
      <c r="AH43" s="367"/>
      <c r="AI43" s="316"/>
      <c r="AK43" s="301"/>
    </row>
    <row r="44" spans="2:37">
      <c r="B44" s="299"/>
      <c r="C44" s="300"/>
      <c r="D44" s="299"/>
      <c r="E44" s="299" t="s">
        <v>174</v>
      </c>
      <c r="F44" s="240">
        <f>Holdings!$T$7</f>
        <v>-7.97498045347933E-3</v>
      </c>
      <c r="G44" s="240"/>
      <c r="H44" s="241"/>
      <c r="I44" s="299"/>
      <c r="J44" s="300"/>
      <c r="K44" s="299"/>
      <c r="L44" s="299" t="s">
        <v>174</v>
      </c>
      <c r="M44" s="240">
        <f>Holdings!$T$11</f>
        <v>0.18731205032524834</v>
      </c>
      <c r="N44" s="240"/>
      <c r="O44" s="241"/>
      <c r="P44" s="299"/>
      <c r="Q44" s="300"/>
      <c r="R44" s="299"/>
      <c r="S44" s="299" t="s">
        <v>174</v>
      </c>
      <c r="T44" s="240">
        <f>Holdings!$T$15</f>
        <v>-0.55643835616438353</v>
      </c>
      <c r="U44" s="240"/>
      <c r="V44" s="241"/>
      <c r="W44" s="316"/>
      <c r="X44" s="300"/>
      <c r="Y44" s="299"/>
      <c r="Z44" s="299" t="s">
        <v>174</v>
      </c>
      <c r="AA44" s="354">
        <f>Holdings!$T$19</f>
        <v>-2.9996209599302714E-2</v>
      </c>
      <c r="AB44" s="240"/>
      <c r="AC44" s="241"/>
      <c r="AD44" s="316"/>
      <c r="AE44" s="367"/>
      <c r="AF44" s="367"/>
      <c r="AG44" s="367"/>
      <c r="AH44" s="367"/>
      <c r="AI44" s="316"/>
      <c r="AK44" s="301"/>
    </row>
    <row r="45" spans="2:37">
      <c r="B45" s="299"/>
      <c r="C45" s="300"/>
      <c r="D45" s="299"/>
      <c r="E45" s="299" t="str">
        <f>$E$17</f>
        <v>School Year</v>
      </c>
      <c r="F45" s="240">
        <f>Holdings!$S$7</f>
        <v>0.14409377817853919</v>
      </c>
      <c r="G45" s="240"/>
      <c r="H45" s="241"/>
      <c r="I45" s="299"/>
      <c r="J45" s="300"/>
      <c r="K45" s="299"/>
      <c r="L45" s="299" t="str">
        <f>$E$17</f>
        <v>School Year</v>
      </c>
      <c r="M45" s="240">
        <f>Holdings!$S$11</f>
        <v>0.3031997472504957</v>
      </c>
      <c r="N45" s="240"/>
      <c r="O45" s="241"/>
      <c r="P45" s="299"/>
      <c r="Q45" s="300"/>
      <c r="R45" s="299"/>
      <c r="S45" s="299" t="str">
        <f>$E$17</f>
        <v>School Year</v>
      </c>
      <c r="T45" s="240">
        <f>Holdings!$S$15</f>
        <v>-0.56243243243243235</v>
      </c>
      <c r="U45" s="240"/>
      <c r="V45" s="241"/>
      <c r="W45" s="316"/>
      <c r="X45" s="300"/>
      <c r="Y45" s="299"/>
      <c r="Z45" s="299" t="str">
        <f>$E$17</f>
        <v>School Year</v>
      </c>
      <c r="AA45" s="354">
        <f>Holdings!$S$19</f>
        <v>0.38094724349983822</v>
      </c>
      <c r="AB45" s="240"/>
      <c r="AC45" s="241"/>
      <c r="AD45" s="316"/>
      <c r="AE45" s="367"/>
      <c r="AF45" s="367"/>
      <c r="AG45" s="367"/>
      <c r="AH45" s="367"/>
      <c r="AI45" s="316"/>
      <c r="AK45" s="301"/>
    </row>
    <row r="46" spans="2:37">
      <c r="B46" s="299"/>
      <c r="C46" s="301"/>
      <c r="D46" s="299"/>
      <c r="E46" s="299" t="s">
        <v>175</v>
      </c>
      <c r="F46" s="240">
        <f>Holdings!$P$7</f>
        <v>0.13363449222323887</v>
      </c>
      <c r="G46" s="240"/>
      <c r="H46" s="241"/>
      <c r="I46" s="299"/>
      <c r="J46" s="367"/>
      <c r="K46" s="299"/>
      <c r="L46" s="299" t="s">
        <v>175</v>
      </c>
      <c r="M46" s="240">
        <f>Holdings!$P$11</f>
        <v>2.4021093632958794</v>
      </c>
      <c r="N46" s="240"/>
      <c r="O46" s="241"/>
      <c r="P46" s="299"/>
      <c r="Q46" s="367"/>
      <c r="R46" s="299"/>
      <c r="S46" s="299" t="s">
        <v>175</v>
      </c>
      <c r="T46" s="240">
        <f>Holdings!$P$15</f>
        <v>-0.17493375008493572</v>
      </c>
      <c r="U46" s="240"/>
      <c r="V46" s="241"/>
      <c r="W46" s="316"/>
      <c r="X46" s="367"/>
      <c r="Y46" s="299"/>
      <c r="Z46" s="299" t="s">
        <v>175</v>
      </c>
      <c r="AA46" s="354">
        <f>Holdings!$P$19</f>
        <v>1.4943550553747875</v>
      </c>
      <c r="AB46" s="240"/>
      <c r="AC46" s="241"/>
      <c r="AD46" s="316"/>
      <c r="AE46" s="367"/>
      <c r="AF46" s="367"/>
      <c r="AG46" s="367"/>
      <c r="AH46" s="367"/>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4"/>
      <c r="AB47" s="240"/>
      <c r="AC47" s="241"/>
      <c r="AD47" s="316"/>
      <c r="AE47" s="367"/>
      <c r="AF47" s="367"/>
      <c r="AG47" s="367"/>
      <c r="AH47" s="367"/>
      <c r="AI47" s="316"/>
      <c r="AK47" s="301"/>
    </row>
    <row r="48" spans="2:37" ht="12.75" customHeight="1">
      <c r="B48" s="299"/>
      <c r="C48" s="437" t="str">
        <f>IF(C49=0,"NA", IF(C49&lt;2,"Small", IF(C49&lt;10, "Mid", IF(C49&gt;10, "Large"))))</f>
        <v>Large</v>
      </c>
      <c r="D48" s="299"/>
      <c r="E48" s="301" t="s">
        <v>64</v>
      </c>
      <c r="F48" s="327">
        <f>Holdings!$I$7</f>
        <v>3172</v>
      </c>
      <c r="G48" s="240"/>
      <c r="H48" s="241"/>
      <c r="I48" s="299"/>
      <c r="J48" s="437" t="str">
        <f>IF(J49=0,"NA", IF(J49&lt;2,"Small", IF(J49&lt;10, "Mid", IF(J49&gt;10, "Large"))))</f>
        <v>Large</v>
      </c>
      <c r="K48" s="299"/>
      <c r="L48" s="367" t="s">
        <v>64</v>
      </c>
      <c r="M48" s="327">
        <f>Holdings!$I$11</f>
        <v>5677.2699999999995</v>
      </c>
      <c r="N48" s="240"/>
      <c r="O48" s="241"/>
      <c r="P48" s="299"/>
      <c r="Q48" s="437" t="str">
        <f>IF(Q49=0,"NA", IF(Q49&lt;2,"Small", IF(Q49&lt;10, "Mid", IF(Q49&gt;10, "Large"))))</f>
        <v>Small</v>
      </c>
      <c r="R48" s="299"/>
      <c r="S48" s="367" t="s">
        <v>64</v>
      </c>
      <c r="T48" s="327">
        <f>Holdings!$I$15</f>
        <v>1214.25</v>
      </c>
      <c r="U48" s="240"/>
      <c r="V48" s="241"/>
      <c r="W48" s="316"/>
      <c r="X48" s="437" t="str">
        <f>IF(X49=0,"NA", IF(X49&lt;2,"Small", IF(X49&lt;10, "Mid", IF(X49&gt;10, "Large"))))</f>
        <v>Large</v>
      </c>
      <c r="Y48" s="299"/>
      <c r="Z48" s="367" t="s">
        <v>64</v>
      </c>
      <c r="AA48" s="327">
        <f>Holdings!$I$19</f>
        <v>4177.92</v>
      </c>
      <c r="AB48" s="240"/>
      <c r="AC48" s="241"/>
      <c r="AD48" s="316"/>
      <c r="AE48" s="367"/>
      <c r="AF48" s="367"/>
      <c r="AG48" s="367"/>
      <c r="AH48" s="367"/>
      <c r="AI48" s="316"/>
      <c r="AK48" s="301"/>
    </row>
    <row r="49" spans="2:37" ht="12.75" customHeight="1">
      <c r="B49" s="299"/>
      <c r="C49" s="328">
        <f>Holdings!$X$7</f>
        <v>14.494176889</v>
      </c>
      <c r="D49" s="301"/>
      <c r="E49" s="301" t="s">
        <v>208</v>
      </c>
      <c r="F49" s="327">
        <f>Holdings!$H$7</f>
        <v>2798.08</v>
      </c>
      <c r="G49" s="240"/>
      <c r="H49" s="241"/>
      <c r="I49" s="299"/>
      <c r="J49" s="328">
        <f>Holdings!$X$11</f>
        <v>125.264919496</v>
      </c>
      <c r="K49" s="367"/>
      <c r="L49" s="367" t="s">
        <v>208</v>
      </c>
      <c r="M49" s="327">
        <f>Holdings!$H$11</f>
        <v>1668.7500000000002</v>
      </c>
      <c r="N49" s="240"/>
      <c r="O49" s="241"/>
      <c r="P49" s="299"/>
      <c r="Q49" s="328">
        <f>Holdings!$X$15</f>
        <v>0.36391768699999999</v>
      </c>
      <c r="R49" s="367"/>
      <c r="S49" s="367" t="s">
        <v>208</v>
      </c>
      <c r="T49" s="327">
        <f>Holdings!$H$15</f>
        <v>1471.6999999999998</v>
      </c>
      <c r="U49" s="240"/>
      <c r="V49" s="241"/>
      <c r="W49" s="316"/>
      <c r="X49" s="328">
        <f>Holdings!$X$19</f>
        <v>14.405562696</v>
      </c>
      <c r="Y49" s="367"/>
      <c r="Z49" s="367" t="s">
        <v>208</v>
      </c>
      <c r="AA49" s="327">
        <f>Holdings!$H$19</f>
        <v>1674.9499999999998</v>
      </c>
      <c r="AB49" s="240"/>
      <c r="AC49" s="241"/>
      <c r="AD49" s="316"/>
      <c r="AE49" s="367"/>
      <c r="AF49" s="367"/>
      <c r="AG49" s="367"/>
      <c r="AH49" s="367"/>
      <c r="AI49" s="316"/>
      <c r="AK49" s="301"/>
    </row>
    <row r="50" spans="2:37" ht="2.25" customHeight="1">
      <c r="B50" s="299"/>
      <c r="C50" s="329"/>
      <c r="D50" s="301"/>
      <c r="E50" s="301"/>
      <c r="F50" s="327"/>
      <c r="G50" s="240"/>
      <c r="H50" s="241"/>
      <c r="I50" s="299"/>
      <c r="J50" s="329"/>
      <c r="K50" s="367"/>
      <c r="L50" s="367"/>
      <c r="M50" s="240"/>
      <c r="N50" s="240"/>
      <c r="O50" s="241"/>
      <c r="P50" s="299"/>
      <c r="Q50" s="329"/>
      <c r="R50" s="367"/>
      <c r="S50" s="367"/>
      <c r="T50" s="240"/>
      <c r="U50" s="240"/>
      <c r="V50" s="241"/>
      <c r="W50" s="316"/>
      <c r="X50" s="329"/>
      <c r="Y50" s="367"/>
      <c r="Z50" s="367"/>
      <c r="AA50" s="354"/>
      <c r="AB50" s="240"/>
      <c r="AC50" s="241"/>
      <c r="AD50" s="316"/>
      <c r="AE50" s="367"/>
      <c r="AF50" s="367"/>
      <c r="AG50" s="367"/>
      <c r="AH50" s="367"/>
      <c r="AI50" s="316"/>
      <c r="AK50" s="301"/>
    </row>
    <row r="51" spans="2:37">
      <c r="B51" s="299"/>
      <c r="C51" s="312"/>
      <c r="D51" s="301"/>
      <c r="E51" s="317" t="s">
        <v>189</v>
      </c>
      <c r="F51" s="355">
        <f>F48/$AH$6</f>
        <v>5.1913489862661026E-2</v>
      </c>
      <c r="G51" s="240"/>
      <c r="I51" s="299"/>
      <c r="J51" s="312"/>
      <c r="K51" s="367"/>
      <c r="L51" s="317" t="s">
        <v>189</v>
      </c>
      <c r="M51" s="355">
        <f>M48/$AH$6</f>
        <v>9.2915163490728106E-2</v>
      </c>
      <c r="N51" s="240"/>
      <c r="P51" s="299"/>
      <c r="Q51" s="312"/>
      <c r="R51" s="367"/>
      <c r="S51" s="317" t="s">
        <v>189</v>
      </c>
      <c r="T51" s="355">
        <f>T48/$AH$6</f>
        <v>1.9872621395250992E-2</v>
      </c>
      <c r="U51" s="240"/>
      <c r="W51" s="301"/>
      <c r="X51" s="312"/>
      <c r="Y51" s="367"/>
      <c r="Z51" s="317" t="s">
        <v>189</v>
      </c>
      <c r="AA51" s="355">
        <f>AA48/$AH$6</f>
        <v>6.8376547152272621E-2</v>
      </c>
      <c r="AB51" s="301"/>
      <c r="AD51" s="316"/>
      <c r="AE51" s="367"/>
      <c r="AF51" s="367"/>
      <c r="AG51" s="367"/>
      <c r="AH51" s="367"/>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8" t="str">
        <f>Holdings!$C$8</f>
        <v>Cisco</v>
      </c>
      <c r="D55" s="478"/>
      <c r="E55" s="478"/>
      <c r="F55" s="321">
        <f>Holdings!$E$8</f>
        <v>24.19</v>
      </c>
      <c r="G55" s="299"/>
      <c r="H55" s="318"/>
      <c r="I55" s="299"/>
      <c r="J55" s="478" t="str">
        <f>Holdings!$C$12</f>
        <v>Immersion</v>
      </c>
      <c r="K55" s="478"/>
      <c r="L55" s="478"/>
      <c r="M55" s="321">
        <f>Holdings!$E$12</f>
        <v>7.91</v>
      </c>
      <c r="N55" s="240"/>
      <c r="O55" s="241"/>
      <c r="P55" s="299"/>
      <c r="Q55" s="478" t="str">
        <f>Holdings!$C$16</f>
        <v>Perrigo</v>
      </c>
      <c r="R55" s="478"/>
      <c r="S55" s="478"/>
      <c r="T55" s="321">
        <f>Holdings!$E$16</f>
        <v>152.38999999999999</v>
      </c>
      <c r="U55" s="240"/>
      <c r="V55" s="241"/>
      <c r="W55" s="299"/>
      <c r="X55" s="478"/>
      <c r="Y55" s="478"/>
      <c r="Z55" s="478"/>
      <c r="AA55" s="321"/>
      <c r="AB55" s="299"/>
      <c r="AC55" s="241"/>
      <c r="AD55" s="299"/>
      <c r="AE55" s="367"/>
      <c r="AF55" s="367"/>
      <c r="AG55" s="367"/>
      <c r="AH55" s="367"/>
      <c r="AI55" s="299"/>
      <c r="AK55" s="301"/>
    </row>
    <row r="56" spans="2:37" ht="2.25" customHeight="1">
      <c r="B56" s="299"/>
      <c r="C56" s="323"/>
      <c r="D56" s="299"/>
      <c r="E56" s="301"/>
      <c r="F56" s="321"/>
      <c r="G56" s="299"/>
      <c r="H56" s="318"/>
      <c r="I56" s="299"/>
      <c r="J56" s="323"/>
      <c r="K56" s="299"/>
      <c r="L56" s="367"/>
      <c r="M56" s="321"/>
      <c r="N56" s="240"/>
      <c r="O56" s="241"/>
      <c r="P56" s="299"/>
      <c r="Q56" s="323"/>
      <c r="R56" s="299"/>
      <c r="S56" s="367"/>
      <c r="T56" s="321"/>
      <c r="U56" s="240"/>
      <c r="V56" s="241"/>
      <c r="W56" s="299"/>
      <c r="X56" s="322"/>
      <c r="Y56" s="322"/>
      <c r="Z56" s="367"/>
      <c r="AA56" s="321"/>
      <c r="AB56" s="299"/>
      <c r="AC56" s="241"/>
      <c r="AD56" s="299"/>
      <c r="AE56" s="367"/>
      <c r="AF56" s="367"/>
      <c r="AG56" s="367"/>
      <c r="AH56" s="367"/>
      <c r="AI56" s="299"/>
      <c r="AK56" s="301"/>
    </row>
    <row r="57" spans="2:37" ht="13.5">
      <c r="B57" s="299"/>
      <c r="C57" s="324" t="str">
        <f>Holdings!$D$8</f>
        <v>CSCO</v>
      </c>
      <c r="D57" s="316"/>
      <c r="E57" s="299" t="s">
        <v>170</v>
      </c>
      <c r="F57" s="240">
        <f>Holdings!$U$8</f>
        <v>-1.905920519059201E-2</v>
      </c>
      <c r="G57" s="240"/>
      <c r="H57" s="241"/>
      <c r="I57" s="299"/>
      <c r="J57" s="324" t="str">
        <f>Holdings!$D$12</f>
        <v>IMMR</v>
      </c>
      <c r="K57" s="316"/>
      <c r="L57" s="299" t="s">
        <v>170</v>
      </c>
      <c r="M57" s="240">
        <f>Holdings!$U$12</f>
        <v>-3.5365853658536506E-2</v>
      </c>
      <c r="N57" s="240"/>
      <c r="O57" s="241"/>
      <c r="P57" s="299"/>
      <c r="Q57" s="324" t="str">
        <f>Holdings!$D$16</f>
        <v>PRGO</v>
      </c>
      <c r="R57" s="316"/>
      <c r="S57" s="299" t="s">
        <v>170</v>
      </c>
      <c r="T57" s="354">
        <f>Holdings!$U$16</f>
        <v>6.3395628343128063E-3</v>
      </c>
      <c r="U57" s="240"/>
      <c r="V57" s="241"/>
      <c r="W57" s="316"/>
      <c r="X57" s="324"/>
      <c r="Y57" s="299"/>
      <c r="Z57" s="299"/>
      <c r="AA57" s="354"/>
      <c r="AB57" s="316"/>
      <c r="AC57" s="241"/>
      <c r="AD57" s="316"/>
      <c r="AE57" s="367"/>
      <c r="AF57" s="367"/>
      <c r="AG57" s="367"/>
      <c r="AH57" s="367"/>
      <c r="AI57" s="316"/>
      <c r="AK57" s="301"/>
    </row>
    <row r="58" spans="2:37">
      <c r="B58" s="299"/>
      <c r="C58" s="300"/>
      <c r="D58" s="316"/>
      <c r="E58" s="299" t="s">
        <v>174</v>
      </c>
      <c r="F58" s="240">
        <f>Holdings!$T$8</f>
        <v>5.7992748141692863E-2</v>
      </c>
      <c r="G58" s="240"/>
      <c r="H58" s="241"/>
      <c r="I58" s="299"/>
      <c r="J58" s="300"/>
      <c r="K58" s="316"/>
      <c r="L58" s="299" t="s">
        <v>174</v>
      </c>
      <c r="M58" s="240">
        <f>Holdings!$T$12</f>
        <v>-0.26623376623376627</v>
      </c>
      <c r="N58" s="240"/>
      <c r="O58" s="241"/>
      <c r="P58" s="299"/>
      <c r="Q58" s="300"/>
      <c r="R58" s="316"/>
      <c r="S58" s="299" t="s">
        <v>174</v>
      </c>
      <c r="T58" s="354">
        <f>Holdings!$T$16</f>
        <v>4.3044691800602441E-2</v>
      </c>
      <c r="U58" s="240"/>
      <c r="V58" s="241"/>
      <c r="W58" s="316"/>
      <c r="X58" s="300"/>
      <c r="Y58" s="299"/>
      <c r="Z58" s="299"/>
      <c r="AA58" s="354"/>
      <c r="AB58" s="316"/>
      <c r="AC58" s="241"/>
      <c r="AD58" s="316"/>
      <c r="AE58" s="367"/>
      <c r="AF58" s="367"/>
      <c r="AG58" s="367"/>
      <c r="AH58" s="367"/>
      <c r="AI58" s="316"/>
      <c r="AK58" s="301"/>
    </row>
    <row r="59" spans="2:37">
      <c r="B59" s="299"/>
      <c r="C59" s="300"/>
      <c r="D59" s="316"/>
      <c r="E59" s="299" t="str">
        <f>$E$17</f>
        <v>School Year</v>
      </c>
      <c r="F59" s="240">
        <f>Holdings!$S$8</f>
        <v>4.3267943769650818E-2</v>
      </c>
      <c r="G59" s="240"/>
      <c r="H59" s="241"/>
      <c r="I59" s="299"/>
      <c r="J59" s="300"/>
      <c r="K59" s="316"/>
      <c r="L59" s="299" t="str">
        <f>$E$17</f>
        <v>School Year</v>
      </c>
      <c r="M59" s="240">
        <f>Holdings!$S$12</f>
        <v>-0.40926064227035108</v>
      </c>
      <c r="N59" s="240"/>
      <c r="O59" s="241"/>
      <c r="P59" s="299"/>
      <c r="Q59" s="300"/>
      <c r="R59" s="316"/>
      <c r="S59" s="299" t="str">
        <f>$E$17</f>
        <v>School Year</v>
      </c>
      <c r="T59" s="354">
        <f>Holdings!$S$16</f>
        <v>0.24323883336732588</v>
      </c>
      <c r="U59" s="240"/>
      <c r="V59" s="241"/>
      <c r="W59" s="316"/>
      <c r="X59" s="300"/>
      <c r="Y59" s="299"/>
      <c r="Z59" s="299"/>
      <c r="AA59" s="354"/>
      <c r="AB59" s="316"/>
      <c r="AC59" s="241"/>
      <c r="AD59" s="316"/>
      <c r="AE59" s="367"/>
      <c r="AF59" s="367"/>
      <c r="AG59" s="367"/>
      <c r="AH59" s="367"/>
      <c r="AI59" s="316"/>
      <c r="AK59" s="301"/>
    </row>
    <row r="60" spans="2:37">
      <c r="B60" s="299"/>
      <c r="C60" s="300"/>
      <c r="D60" s="316"/>
      <c r="E60" s="299" t="s">
        <v>175</v>
      </c>
      <c r="F60" s="240">
        <f>Holdings!$P$8</f>
        <v>0.35669131727171477</v>
      </c>
      <c r="G60" s="240"/>
      <c r="H60" s="241"/>
      <c r="I60" s="299"/>
      <c r="J60" s="300"/>
      <c r="K60" s="316"/>
      <c r="L60" s="299" t="s">
        <v>175</v>
      </c>
      <c r="M60" s="240">
        <f>Holdings!$P$12</f>
        <v>-0.47430217102348249</v>
      </c>
      <c r="N60" s="240"/>
      <c r="O60" s="241"/>
      <c r="P60" s="299"/>
      <c r="Q60" s="300"/>
      <c r="R60" s="316"/>
      <c r="S60" s="299" t="s">
        <v>175</v>
      </c>
      <c r="T60" s="354">
        <f>Holdings!$P$16</f>
        <v>0.24323883336732588</v>
      </c>
      <c r="U60" s="240"/>
      <c r="V60" s="241"/>
      <c r="W60" s="316"/>
      <c r="X60" s="367"/>
      <c r="Y60" s="299"/>
      <c r="Z60" s="299"/>
      <c r="AA60" s="354"/>
      <c r="AB60" s="316"/>
      <c r="AC60" s="241"/>
      <c r="AD60" s="316"/>
      <c r="AE60" s="367"/>
      <c r="AF60" s="367"/>
      <c r="AG60" s="367"/>
      <c r="AH60" s="367"/>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4"/>
      <c r="U61" s="240"/>
      <c r="V61" s="241"/>
      <c r="W61" s="316"/>
      <c r="X61" s="300"/>
      <c r="Y61" s="299"/>
      <c r="Z61" s="299"/>
      <c r="AA61" s="354"/>
      <c r="AB61" s="316"/>
      <c r="AC61" s="241"/>
      <c r="AD61" s="316"/>
      <c r="AE61" s="367"/>
      <c r="AF61" s="367"/>
      <c r="AG61" s="367"/>
      <c r="AH61" s="367"/>
      <c r="AI61" s="316"/>
      <c r="AK61" s="301"/>
    </row>
    <row r="62" spans="2:37" ht="12.75" customHeight="1">
      <c r="B62" s="299"/>
      <c r="C62" s="437" t="str">
        <f>IF(C63=0,"NA", IF(C63&lt;2,"Small", IF(C63&lt;10, "Mid", IF(C63&gt;10, "Large"))))</f>
        <v>Large</v>
      </c>
      <c r="D62" s="316"/>
      <c r="E62" s="301" t="s">
        <v>64</v>
      </c>
      <c r="F62" s="327">
        <f>Holdings!$I$8</f>
        <v>1693.3000000000002</v>
      </c>
      <c r="G62" s="240"/>
      <c r="H62" s="241"/>
      <c r="I62" s="299"/>
      <c r="J62" s="437" t="str">
        <f>IF(J63=0,"NA", IF(J63&lt;2,"Small", IF(J63&lt;10, "Mid", IF(J63&gt;10, "Large"))))</f>
        <v>Small</v>
      </c>
      <c r="K62" s="316"/>
      <c r="L62" s="367" t="s">
        <v>64</v>
      </c>
      <c r="M62" s="327">
        <f>Holdings!$I$12</f>
        <v>1067.8499999999999</v>
      </c>
      <c r="N62" s="240"/>
      <c r="O62" s="241"/>
      <c r="P62" s="299"/>
      <c r="Q62" s="437" t="str">
        <f>IF(Q63=0,"NA", IF(Q63&lt;2,"Small", IF(Q63&lt;10, "Mid", IF(Q63&gt;10, "Large"))))</f>
        <v>Large</v>
      </c>
      <c r="R62" s="316"/>
      <c r="S62" s="367" t="s">
        <v>64</v>
      </c>
      <c r="T62" s="327">
        <f>Holdings!$I$16</f>
        <v>2743.0199999999995</v>
      </c>
      <c r="U62" s="240"/>
      <c r="V62" s="241"/>
      <c r="W62" s="316"/>
      <c r="X62" s="437"/>
      <c r="Y62" s="299"/>
      <c r="Z62" s="367"/>
      <c r="AA62" s="327"/>
      <c r="AB62" s="316"/>
      <c r="AC62" s="241"/>
      <c r="AD62" s="316"/>
      <c r="AE62" s="367"/>
      <c r="AF62" s="367"/>
      <c r="AG62" s="367"/>
      <c r="AH62" s="367"/>
      <c r="AI62" s="316"/>
      <c r="AK62" s="301"/>
    </row>
    <row r="63" spans="2:37" ht="12.75" customHeight="1">
      <c r="B63" s="299"/>
      <c r="C63" s="328">
        <f>Holdings!$X$8</f>
        <v>123.349724658</v>
      </c>
      <c r="D63" s="316"/>
      <c r="E63" s="301" t="s">
        <v>208</v>
      </c>
      <c r="F63" s="327">
        <f>Holdings!$H$8</f>
        <v>1248.1100000000001</v>
      </c>
      <c r="G63" s="240"/>
      <c r="H63" s="241"/>
      <c r="I63" s="299"/>
      <c r="J63" s="328">
        <f>Holdings!$X$12</f>
        <v>0.225904356</v>
      </c>
      <c r="K63" s="299"/>
      <c r="L63" s="301" t="s">
        <v>208</v>
      </c>
      <c r="M63" s="327">
        <f>Holdings!$H$12</f>
        <v>2031.3</v>
      </c>
      <c r="N63" s="240"/>
      <c r="O63" s="241"/>
      <c r="P63" s="299"/>
      <c r="Q63" s="328">
        <f>Holdings!$X$16</f>
        <v>20.392486923</v>
      </c>
      <c r="R63" s="316"/>
      <c r="S63" s="367" t="s">
        <v>208</v>
      </c>
      <c r="T63" s="327">
        <f>Holdings!$H$16</f>
        <v>2206.35</v>
      </c>
      <c r="U63" s="240"/>
      <c r="V63" s="241"/>
      <c r="W63" s="316"/>
      <c r="X63" s="328"/>
      <c r="Y63" s="367"/>
      <c r="Z63" s="367"/>
      <c r="AA63" s="327"/>
      <c r="AB63" s="316"/>
      <c r="AC63" s="241"/>
      <c r="AD63" s="316"/>
      <c r="AE63" s="367"/>
      <c r="AF63" s="367"/>
      <c r="AG63" s="367"/>
      <c r="AH63" s="367"/>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4"/>
      <c r="U64" s="240"/>
      <c r="V64" s="241"/>
      <c r="W64" s="316"/>
      <c r="X64" s="329"/>
      <c r="Y64" s="367"/>
      <c r="Z64" s="367"/>
      <c r="AA64" s="354"/>
      <c r="AB64" s="316"/>
      <c r="AC64" s="241"/>
      <c r="AD64" s="316"/>
      <c r="AE64" s="367"/>
      <c r="AF64" s="367"/>
      <c r="AG64" s="367"/>
      <c r="AH64" s="367"/>
      <c r="AI64" s="316"/>
      <c r="AK64" s="301"/>
    </row>
    <row r="65" spans="2:37">
      <c r="B65" s="299"/>
      <c r="C65" s="330"/>
      <c r="D65" s="301"/>
      <c r="E65" s="317" t="s">
        <v>189</v>
      </c>
      <c r="F65" s="355">
        <f>F62/$AH$6</f>
        <v>2.7712834925738943E-2</v>
      </c>
      <c r="G65" s="301"/>
      <c r="I65" s="301"/>
      <c r="J65" s="301"/>
      <c r="K65" s="301"/>
      <c r="L65" s="317" t="s">
        <v>189</v>
      </c>
      <c r="M65" s="355">
        <f>M62/$AH$6</f>
        <v>1.7476614170820484E-2</v>
      </c>
      <c r="N65" s="301"/>
      <c r="P65" s="301"/>
      <c r="Q65" s="330"/>
      <c r="R65" s="367"/>
      <c r="S65" s="317" t="s">
        <v>189</v>
      </c>
      <c r="T65" s="355">
        <f>T62/$AH$6</f>
        <v>4.4892730442331781E-2</v>
      </c>
      <c r="U65" s="301"/>
      <c r="W65" s="316"/>
      <c r="X65" s="312"/>
      <c r="Y65" s="367"/>
      <c r="Z65" s="317"/>
      <c r="AA65" s="355"/>
      <c r="AB65" s="316"/>
      <c r="AD65" s="301"/>
      <c r="AE65" s="367"/>
      <c r="AF65" s="367"/>
      <c r="AG65" s="367"/>
      <c r="AH65" s="367"/>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81" t="s">
        <v>250</v>
      </c>
      <c r="D69" s="481"/>
      <c r="E69" s="481"/>
      <c r="F69" s="481"/>
      <c r="G69" s="481"/>
      <c r="H69" s="481"/>
      <c r="I69" s="481"/>
      <c r="J69" s="481"/>
      <c r="K69" s="301"/>
      <c r="L69" s="301"/>
      <c r="M69" s="312"/>
      <c r="N69" s="301"/>
      <c r="P69" s="301"/>
      <c r="Q69" s="481" t="s">
        <v>252</v>
      </c>
      <c r="R69" s="481"/>
      <c r="S69" s="481"/>
      <c r="T69" s="481"/>
      <c r="U69" s="481"/>
      <c r="V69" s="481"/>
      <c r="W69" s="481"/>
      <c r="X69" s="481"/>
      <c r="Y69" s="301"/>
      <c r="Z69" s="301"/>
      <c r="AA69" s="301"/>
      <c r="AB69" s="301"/>
      <c r="AD69" s="299"/>
      <c r="AE69" s="478"/>
      <c r="AF69" s="478"/>
      <c r="AG69" s="478"/>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240</v>
      </c>
      <c r="K71" s="332"/>
      <c r="L71" s="332" t="s">
        <v>183</v>
      </c>
      <c r="M71" s="333" t="s">
        <v>241</v>
      </c>
      <c r="N71" s="301"/>
      <c r="P71" s="301"/>
      <c r="Q71" s="301"/>
      <c r="R71" s="332"/>
      <c r="S71" s="332"/>
      <c r="T71" s="332" t="s">
        <v>184</v>
      </c>
      <c r="U71" s="332"/>
      <c r="V71" s="332"/>
      <c r="W71" s="332"/>
      <c r="X71" s="332" t="s">
        <v>242</v>
      </c>
      <c r="Y71" s="333"/>
      <c r="Z71" s="332" t="s">
        <v>183</v>
      </c>
      <c r="AA71" s="333" t="s">
        <v>241</v>
      </c>
      <c r="AB71" s="301"/>
      <c r="AD71" s="316"/>
      <c r="AE71" s="324"/>
      <c r="AF71" s="316"/>
      <c r="AG71" s="299"/>
      <c r="AH71" s="240"/>
      <c r="AI71" s="316"/>
      <c r="AK71" s="301"/>
    </row>
    <row r="72" spans="2:37">
      <c r="B72" s="301"/>
      <c r="C72" s="331"/>
      <c r="D72" s="482" t="str">
        <f>Holdings!C28</f>
        <v>Tyson Foods</v>
      </c>
      <c r="E72" s="483"/>
      <c r="F72" s="427">
        <f>Holdings!E28</f>
        <v>41530</v>
      </c>
      <c r="G72" s="301"/>
      <c r="H72" s="301"/>
      <c r="I72" s="301"/>
      <c r="J72" s="335">
        <f>Holdings!H28</f>
        <v>16.89</v>
      </c>
      <c r="K72" s="331"/>
      <c r="L72" s="336">
        <f>Holdings!I28</f>
        <v>40.96</v>
      </c>
      <c r="M72" s="245">
        <f>L72/J72-1</f>
        <v>1.4251036116044995</v>
      </c>
      <c r="N72" s="301"/>
      <c r="P72" s="301"/>
      <c r="Q72" s="331"/>
      <c r="R72" s="482" t="str">
        <f>Holdings!C34</f>
        <v>Caterpillar</v>
      </c>
      <c r="S72" s="483"/>
      <c r="T72" s="427">
        <f>Holdings!E34</f>
        <v>41551</v>
      </c>
      <c r="U72" s="301"/>
      <c r="V72" s="337"/>
      <c r="W72" s="331"/>
      <c r="X72" s="335">
        <f>Holdings!H34</f>
        <v>83.94</v>
      </c>
      <c r="Y72" s="337">
        <v>19.71</v>
      </c>
      <c r="Z72" s="336">
        <f>Holdings!I34</f>
        <v>93.5</v>
      </c>
      <c r="AA72" s="245">
        <f>IFERROR((Z72/X72)-1,"NA")</f>
        <v>0.1138908744341196</v>
      </c>
      <c r="AB72" s="301"/>
      <c r="AD72" s="316"/>
      <c r="AE72" s="300"/>
      <c r="AF72" s="316"/>
      <c r="AG72" s="299"/>
      <c r="AH72" s="240"/>
      <c r="AI72" s="316"/>
      <c r="AK72" s="301"/>
    </row>
    <row r="73" spans="2:37">
      <c r="B73" s="367"/>
      <c r="C73" s="331"/>
      <c r="D73" s="482" t="str">
        <f>Holdings!C29</f>
        <v>Perrigo</v>
      </c>
      <c r="E73" s="483"/>
      <c r="F73" s="427">
        <f>Holdings!E29</f>
        <v>41544</v>
      </c>
      <c r="G73" s="367"/>
      <c r="H73" s="367"/>
      <c r="I73" s="367"/>
      <c r="J73" s="335">
        <f>Holdings!H29</f>
        <v>167.85</v>
      </c>
      <c r="K73" s="331"/>
      <c r="L73" s="336">
        <f>Holdings!I29</f>
        <v>152.38999999999999</v>
      </c>
      <c r="M73" s="245">
        <f>L73/J73-1</f>
        <v>-9.2106047065832586E-2</v>
      </c>
      <c r="N73" s="367"/>
      <c r="P73" s="367"/>
      <c r="Q73" s="331"/>
      <c r="R73" s="482" t="str">
        <f>Holdings!C35</f>
        <v>YRC Worldwide</v>
      </c>
      <c r="S73" s="483"/>
      <c r="T73" s="427">
        <f>Holdings!E35</f>
        <v>41576</v>
      </c>
      <c r="U73" s="367"/>
      <c r="V73" s="337"/>
      <c r="W73" s="331"/>
      <c r="X73" s="335">
        <f>Holdings!H35</f>
        <v>9.58</v>
      </c>
      <c r="Y73" s="337">
        <v>20.71</v>
      </c>
      <c r="Z73" s="336">
        <f>Holdings!I35</f>
        <v>17.3</v>
      </c>
      <c r="AA73" s="245">
        <f>IFERROR((Z73/X73)-1,"NA")</f>
        <v>0.80584551148225469</v>
      </c>
      <c r="AB73" s="367"/>
      <c r="AD73" s="316"/>
      <c r="AE73" s="300"/>
      <c r="AF73" s="316"/>
      <c r="AG73" s="299"/>
      <c r="AH73" s="354"/>
      <c r="AI73" s="316"/>
      <c r="AK73" s="367"/>
    </row>
    <row r="74" spans="2:37">
      <c r="B74" s="367"/>
      <c r="C74" s="331"/>
      <c r="D74" s="482" t="str">
        <f>Holdings!C30</f>
        <v>Range Resources</v>
      </c>
      <c r="E74" s="483"/>
      <c r="F74" s="427">
        <f>Holdings!E30</f>
        <v>41698</v>
      </c>
      <c r="G74" s="367"/>
      <c r="H74" s="367"/>
      <c r="I74" s="367"/>
      <c r="J74" s="335">
        <f>Holdings!H30</f>
        <v>86.37</v>
      </c>
      <c r="K74" s="331"/>
      <c r="L74" s="336">
        <f>Holdings!I30</f>
        <v>63.46</v>
      </c>
      <c r="M74" s="245">
        <f>L74/J74-1</f>
        <v>-0.26525413916869289</v>
      </c>
      <c r="N74" s="367"/>
      <c r="P74" s="367"/>
      <c r="Q74" s="331"/>
      <c r="R74" s="482" t="str">
        <f>Holdings!C36</f>
        <v>AAPL 515 Apr19 C</v>
      </c>
      <c r="S74" s="483"/>
      <c r="T74" s="427">
        <f>Holdings!E36</f>
        <v>41614</v>
      </c>
      <c r="U74" s="367"/>
      <c r="V74" s="337"/>
      <c r="W74" s="331"/>
      <c r="X74" s="335">
        <f>Holdings!H36</f>
        <v>65.8</v>
      </c>
      <c r="Y74" s="337">
        <v>21.71</v>
      </c>
      <c r="Z74" s="336">
        <f>Holdings!I36</f>
        <v>0</v>
      </c>
      <c r="AA74" s="245">
        <f>IFERROR((Z74/X74)-1,"NA")</f>
        <v>-1</v>
      </c>
      <c r="AB74" s="367"/>
      <c r="AD74" s="316"/>
      <c r="AE74" s="300"/>
      <c r="AF74" s="316"/>
      <c r="AG74" s="299"/>
      <c r="AH74" s="354"/>
      <c r="AI74" s="316"/>
      <c r="AK74" s="367"/>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81" t="s">
        <v>253</v>
      </c>
      <c r="D76" s="481"/>
      <c r="E76" s="481"/>
      <c r="F76" s="481"/>
      <c r="G76" s="481"/>
      <c r="H76" s="481"/>
      <c r="I76" s="481"/>
      <c r="J76" s="481"/>
      <c r="K76" s="301"/>
      <c r="L76" s="301"/>
      <c r="M76" s="301"/>
      <c r="N76" s="301"/>
      <c r="P76" s="301"/>
      <c r="Q76" s="481" t="s">
        <v>254</v>
      </c>
      <c r="R76" s="481"/>
      <c r="S76" s="481"/>
      <c r="T76" s="481"/>
      <c r="U76" s="481"/>
      <c r="V76" s="481"/>
      <c r="W76" s="481"/>
      <c r="X76" s="481"/>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9" t="str">
        <f>Holdings!$C$39</f>
        <v>NA</v>
      </c>
      <c r="E79" s="480"/>
      <c r="F79" s="334" t="str">
        <f>Holdings!$E$39</f>
        <v>NA</v>
      </c>
      <c r="G79" s="312"/>
      <c r="H79" s="312"/>
      <c r="I79" s="312"/>
      <c r="J79" s="335" t="str">
        <f>Holdings!$H$39</f>
        <v>NA</v>
      </c>
      <c r="K79" s="337"/>
      <c r="L79" s="336" t="str">
        <f>Holdings!$I$39</f>
        <v>NA</v>
      </c>
      <c r="M79" s="245" t="str">
        <f>IFERROR((L79/J79)-1,"NA")</f>
        <v>NA</v>
      </c>
      <c r="N79" s="301"/>
      <c r="P79" s="301"/>
      <c r="Q79" s="331"/>
      <c r="R79" s="479" t="str">
        <f>Holdings!C42</f>
        <v>NA</v>
      </c>
      <c r="S79" s="480"/>
      <c r="T79" s="334" t="str">
        <f>Holdings!E42</f>
        <v>NA</v>
      </c>
      <c r="U79" s="312"/>
      <c r="V79" s="312"/>
      <c r="W79" s="312"/>
      <c r="X79" s="336" t="str">
        <f>Holdings!H42</f>
        <v>NA</v>
      </c>
      <c r="Y79" s="337"/>
      <c r="Z79" s="336" t="str">
        <f>Holdings!I42</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7"/>
      <c r="C82" s="338" t="s">
        <v>244</v>
      </c>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c r="AC82" s="367"/>
      <c r="AD82" s="367"/>
      <c r="AE82" s="367"/>
      <c r="AF82" s="261"/>
      <c r="AG82" s="367"/>
      <c r="AH82" s="261"/>
      <c r="AI82" s="367"/>
      <c r="AK82" s="367"/>
    </row>
    <row r="83" spans="2:37" ht="15" customHeight="1">
      <c r="B83" s="301"/>
      <c r="C83" s="338" t="s">
        <v>243</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2">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 ref="AE9:AG9"/>
    <mergeCell ref="X41:Z41"/>
    <mergeCell ref="X27:Z27"/>
    <mergeCell ref="AE27:AG27"/>
    <mergeCell ref="X13:Z13"/>
    <mergeCell ref="J27:L27"/>
    <mergeCell ref="D79:E79"/>
    <mergeCell ref="R79:S79"/>
    <mergeCell ref="Q76:X76"/>
    <mergeCell ref="C76:J76"/>
    <mergeCell ref="D72:E72"/>
    <mergeCell ref="R72:S72"/>
    <mergeCell ref="D73:E73"/>
    <mergeCell ref="R73:S73"/>
    <mergeCell ref="D74:E74"/>
    <mergeCell ref="R74:S74"/>
  </mergeCells>
  <conditionalFormatting sqref="M79 AH79 AH77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79 M72:M74 AA72:AA74 AH36 AH29:AH33 AH22 AH15:AH19 AA64 AA57:AA61 AA50 AA43:AA47">
    <cfRule type="cellIs" dxfId="3909" priority="3929" operator="lessThan">
      <formula>0</formula>
    </cfRule>
  </conditionalFormatting>
  <conditionalFormatting sqref="M79 AH77 F50 F43:F47 F64 F57:F61 AA36 AA29:AA33 AA22 AA15:AA19 M22 M15:M19 M36 M29:M33 M50 M43:M47 M64 M57:M61 T22 T15:T19 T36 T29:T33 T50 T43:T47 T6 M6 T4 M4 M8 F15:F19 F36 T8 F29:F33 AA6 AA8 AA4 AH3 AH71:AH74 AA79 M72:M74 AA72:AA74 AH36 AH29:AH33 AH22 AH15:AH19 AA64 AA57:AA61 AA50 AA43:AA47">
    <cfRule type="cellIs" dxfId="3908" priority="3928" operator="greaterThan">
      <formula>0</formula>
    </cfRule>
  </conditionalFormatting>
  <conditionalFormatting sqref="M79 AH77 F50 F43:F47 F64 F57:F61 AA36 AA29:AA33 AA22 AA15:AA19 M22 M15:M19 M36 M29:M33 M50 M43:M47 M64 M57:M61 T22 T15:T19 T36 T29:T33 T50 T43:T47 T6 M6 M4 M8 F36 T8 F29:F33 AA6 AA8 AA4 AH3 T3:T4 AH71:AH74 AA79 M72:M74 AA72:AA74 AH36 AH29:AH33 AH22 AH15:AH19 AA64 AA57:AA61 AA50 AA43:AA47">
    <cfRule type="cellIs" dxfId="3907" priority="3927" operator="greaterThan">
      <formula>0</formula>
    </cfRule>
  </conditionalFormatting>
  <conditionalFormatting sqref="AE76 C49:C50 C63 J63 C21:C22 C35:C36 J49:J50 J21:J22 J35:J36 Q49:Q50 Q21:Q22 Q35:Q36 X21:X22 X35:X36 AE35 AE21 X63:X64 X49:X50">
    <cfRule type="cellIs" dxfId="3906" priority="3926" operator="equal">
      <formula>"""Large"""</formula>
    </cfRule>
  </conditionalFormatting>
  <conditionalFormatting sqref="AE75 C20 C34 C48 C62 J20 J34 J48 J62 Q20 Q34 Q48 Q62 X20 X34 AE34 AE20 X62 X48">
    <cfRule type="containsText" dxfId="3905" priority="3925" operator="containsText" text="NA">
      <formula>NOT(ISERROR(SEARCH("NA",C20)))</formula>
    </cfRule>
  </conditionalFormatting>
  <conditionalFormatting sqref="T64 T57:T61">
    <cfRule type="cellIs" dxfId="3904" priority="3879" operator="lessThan">
      <formula>0</formula>
    </cfRule>
  </conditionalFormatting>
  <conditionalFormatting sqref="T64 T57:T61">
    <cfRule type="cellIs" dxfId="3903" priority="3878" operator="greaterThan">
      <formula>0</formula>
    </cfRule>
  </conditionalFormatting>
  <conditionalFormatting sqref="T64 T57:T61">
    <cfRule type="cellIs" dxfId="3902" priority="3877" operator="greaterThan">
      <formula>0</formula>
    </cfRule>
  </conditionalFormatting>
  <conditionalFormatting sqref="Q63">
    <cfRule type="cellIs" dxfId="3901" priority="3876" operator="equal">
      <formula>"""Large"""</formula>
    </cfRule>
  </conditionalFormatting>
  <conditionalFormatting sqref="Q62">
    <cfRule type="containsText" dxfId="3900" priority="3875" operator="containsText" text="No Cap">
      <formula>NOT(ISERROR(SEARCH("No Cap",Q62)))</formula>
    </cfRule>
  </conditionalFormatting>
  <conditionalFormatting sqref="AH4">
    <cfRule type="cellIs" dxfId="3899" priority="3874" operator="lessThan">
      <formula>0</formula>
    </cfRule>
  </conditionalFormatting>
  <conditionalFormatting sqref="AH4">
    <cfRule type="cellIs" dxfId="3898" priority="3873" operator="greaterThan">
      <formula>0</formula>
    </cfRule>
  </conditionalFormatting>
  <conditionalFormatting sqref="AH4">
    <cfRule type="cellIs" dxfId="3897" priority="3872" operator="greaterThan">
      <formula>0</formula>
    </cfRule>
  </conditionalFormatting>
  <conditionalFormatting sqref="C20">
    <cfRule type="containsText" dxfId="3896" priority="3869" operator="containsText" text="Small">
      <formula>NOT(ISERROR(SEARCH("Small",C20)))</formula>
    </cfRule>
    <cfRule type="containsText" dxfId="3895" priority="3870" operator="containsText" text="Mid">
      <formula>NOT(ISERROR(SEARCH("Mid",C20)))</formula>
    </cfRule>
    <cfRule type="containsText" dxfId="3894" priority="3871" operator="containsText" text="Large">
      <formula>NOT(ISERROR(SEARCH("Large",C20)))</formula>
    </cfRule>
  </conditionalFormatting>
  <conditionalFormatting sqref="C34">
    <cfRule type="containsText" dxfId="3893" priority="3866" operator="containsText" text="Small">
      <formula>NOT(ISERROR(SEARCH("Small",C34)))</formula>
    </cfRule>
    <cfRule type="containsText" dxfId="3892" priority="3867" operator="containsText" text="Mid">
      <formula>NOT(ISERROR(SEARCH("Mid",C34)))</formula>
    </cfRule>
    <cfRule type="containsText" dxfId="3891" priority="3868" operator="containsText" text="Large">
      <formula>NOT(ISERROR(SEARCH("Large",C34)))</formula>
    </cfRule>
  </conditionalFormatting>
  <conditionalFormatting sqref="C48">
    <cfRule type="containsText" dxfId="3890" priority="3863" operator="containsText" text="Small">
      <formula>NOT(ISERROR(SEARCH("Small",C48)))</formula>
    </cfRule>
    <cfRule type="containsText" dxfId="3889" priority="3864" operator="containsText" text="Mid">
      <formula>NOT(ISERROR(SEARCH("Mid",C48)))</formula>
    </cfRule>
    <cfRule type="containsText" dxfId="3888" priority="3865" operator="containsText" text="Large">
      <formula>NOT(ISERROR(SEARCH("Large",C48)))</formula>
    </cfRule>
  </conditionalFormatting>
  <conditionalFormatting sqref="C34">
    <cfRule type="containsText" dxfId="3887" priority="3860" operator="containsText" text="Small">
      <formula>NOT(ISERROR(SEARCH("Small",C34)))</formula>
    </cfRule>
    <cfRule type="containsText" dxfId="3886" priority="3861" operator="containsText" text="Mid">
      <formula>NOT(ISERROR(SEARCH("Mid",C34)))</formula>
    </cfRule>
    <cfRule type="containsText" dxfId="3885" priority="3862" operator="containsText" text="Large">
      <formula>NOT(ISERROR(SEARCH("Large",C34)))</formula>
    </cfRule>
  </conditionalFormatting>
  <conditionalFormatting sqref="C48">
    <cfRule type="containsText" dxfId="3884" priority="3857" operator="containsText" text="Small">
      <formula>NOT(ISERROR(SEARCH("Small",C48)))</formula>
    </cfRule>
    <cfRule type="containsText" dxfId="3883" priority="3858" operator="containsText" text="Mid">
      <formula>NOT(ISERROR(SEARCH("Mid",C48)))</formula>
    </cfRule>
    <cfRule type="containsText" dxfId="3882" priority="3859" operator="containsText" text="Large">
      <formula>NOT(ISERROR(SEARCH("Large",C48)))</formula>
    </cfRule>
  </conditionalFormatting>
  <conditionalFormatting sqref="C48">
    <cfRule type="containsText" dxfId="3881" priority="3854" operator="containsText" text="Small">
      <formula>NOT(ISERROR(SEARCH("Small",C48)))</formula>
    </cfRule>
    <cfRule type="containsText" dxfId="3880" priority="3855" operator="containsText" text="Mid">
      <formula>NOT(ISERROR(SEARCH("Mid",C48)))</formula>
    </cfRule>
    <cfRule type="containsText" dxfId="3879" priority="3856" operator="containsText" text="Large">
      <formula>NOT(ISERROR(SEARCH("Large",C48)))</formula>
    </cfRule>
  </conditionalFormatting>
  <conditionalFormatting sqref="C62">
    <cfRule type="containsText" dxfId="3878" priority="3851" operator="containsText" text="Small">
      <formula>NOT(ISERROR(SEARCH("Small",C62)))</formula>
    </cfRule>
    <cfRule type="containsText" dxfId="3877" priority="3852" operator="containsText" text="Mid">
      <formula>NOT(ISERROR(SEARCH("Mid",C62)))</formula>
    </cfRule>
    <cfRule type="containsText" dxfId="3876" priority="3853" operator="containsText" text="Large">
      <formula>NOT(ISERROR(SEARCH("Large",C62)))</formula>
    </cfRule>
  </conditionalFormatting>
  <conditionalFormatting sqref="C62">
    <cfRule type="containsText" dxfId="3875" priority="3848" operator="containsText" text="Small">
      <formula>NOT(ISERROR(SEARCH("Small",C62)))</formula>
    </cfRule>
    <cfRule type="containsText" dxfId="3874" priority="3849" operator="containsText" text="Mid">
      <formula>NOT(ISERROR(SEARCH("Mid",C62)))</formula>
    </cfRule>
    <cfRule type="containsText" dxfId="3873" priority="3850" operator="containsText" text="Large">
      <formula>NOT(ISERROR(SEARCH("Large",C62)))</formula>
    </cfRule>
  </conditionalFormatting>
  <conditionalFormatting sqref="C62">
    <cfRule type="containsText" dxfId="3872" priority="3845" operator="containsText" text="Small">
      <formula>NOT(ISERROR(SEARCH("Small",C62)))</formula>
    </cfRule>
    <cfRule type="containsText" dxfId="3871" priority="3846" operator="containsText" text="Mid">
      <formula>NOT(ISERROR(SEARCH("Mid",C62)))</formula>
    </cfRule>
    <cfRule type="containsText" dxfId="3870" priority="3847" operator="containsText" text="Large">
      <formula>NOT(ISERROR(SEARCH("Large",C62)))</formula>
    </cfRule>
  </conditionalFormatting>
  <conditionalFormatting sqref="J20">
    <cfRule type="containsText" dxfId="3869" priority="3842" operator="containsText" text="Small">
      <formula>NOT(ISERROR(SEARCH("Small",J20)))</formula>
    </cfRule>
    <cfRule type="containsText" dxfId="3868" priority="3843" operator="containsText" text="Mid">
      <formula>NOT(ISERROR(SEARCH("Mid",J20)))</formula>
    </cfRule>
    <cfRule type="containsText" dxfId="3867" priority="3844" operator="containsText" text="Large">
      <formula>NOT(ISERROR(SEARCH("Large",J20)))</formula>
    </cfRule>
  </conditionalFormatting>
  <conditionalFormatting sqref="J20">
    <cfRule type="containsText" dxfId="3866" priority="3839" operator="containsText" text="Small">
      <formula>NOT(ISERROR(SEARCH("Small",J20)))</formula>
    </cfRule>
    <cfRule type="containsText" dxfId="3865" priority="3840" operator="containsText" text="Mid">
      <formula>NOT(ISERROR(SEARCH("Mid",J20)))</formula>
    </cfRule>
    <cfRule type="containsText" dxfId="3864" priority="3841" operator="containsText" text="Large">
      <formula>NOT(ISERROR(SEARCH("Large",J20)))</formula>
    </cfRule>
  </conditionalFormatting>
  <conditionalFormatting sqref="J20">
    <cfRule type="containsText" dxfId="3863" priority="3836" operator="containsText" text="Small">
      <formula>NOT(ISERROR(SEARCH("Small",J20)))</formula>
    </cfRule>
    <cfRule type="containsText" dxfId="3862" priority="3837" operator="containsText" text="Mid">
      <formula>NOT(ISERROR(SEARCH("Mid",J20)))</formula>
    </cfRule>
    <cfRule type="containsText" dxfId="3861" priority="3838" operator="containsText" text="Large">
      <formula>NOT(ISERROR(SEARCH("Large",J20)))</formula>
    </cfRule>
  </conditionalFormatting>
  <conditionalFormatting sqref="J34">
    <cfRule type="containsText" dxfId="3860" priority="3833" operator="containsText" text="Small">
      <formula>NOT(ISERROR(SEARCH("Small",J34)))</formula>
    </cfRule>
    <cfRule type="containsText" dxfId="3859" priority="3834" operator="containsText" text="Mid">
      <formula>NOT(ISERROR(SEARCH("Mid",J34)))</formula>
    </cfRule>
    <cfRule type="containsText" dxfId="3858" priority="3835" operator="containsText" text="Large">
      <formula>NOT(ISERROR(SEARCH("Large",J34)))</formula>
    </cfRule>
  </conditionalFormatting>
  <conditionalFormatting sqref="J34">
    <cfRule type="containsText" dxfId="3857" priority="3830" operator="containsText" text="Small">
      <formula>NOT(ISERROR(SEARCH("Small",J34)))</formula>
    </cfRule>
    <cfRule type="containsText" dxfId="3856" priority="3831" operator="containsText" text="Mid">
      <formula>NOT(ISERROR(SEARCH("Mid",J34)))</formula>
    </cfRule>
    <cfRule type="containsText" dxfId="3855" priority="3832" operator="containsText" text="Large">
      <formula>NOT(ISERROR(SEARCH("Large",J34)))</formula>
    </cfRule>
  </conditionalFormatting>
  <conditionalFormatting sqref="J34">
    <cfRule type="containsText" dxfId="3854" priority="3827" operator="containsText" text="Small">
      <formula>NOT(ISERROR(SEARCH("Small",J34)))</formula>
    </cfRule>
    <cfRule type="containsText" dxfId="3853" priority="3828" operator="containsText" text="Mid">
      <formula>NOT(ISERROR(SEARCH("Mid",J34)))</formula>
    </cfRule>
    <cfRule type="containsText" dxfId="3852" priority="3829" operator="containsText" text="Large">
      <formula>NOT(ISERROR(SEARCH("Large",J34)))</formula>
    </cfRule>
  </conditionalFormatting>
  <conditionalFormatting sqref="J48">
    <cfRule type="containsText" dxfId="3851" priority="3824" operator="containsText" text="Small">
      <formula>NOT(ISERROR(SEARCH("Small",J48)))</formula>
    </cfRule>
    <cfRule type="containsText" dxfId="3850" priority="3825" operator="containsText" text="Mid">
      <formula>NOT(ISERROR(SEARCH("Mid",J48)))</formula>
    </cfRule>
    <cfRule type="containsText" dxfId="3849" priority="3826" operator="containsText" text="Large">
      <formula>NOT(ISERROR(SEARCH("Large",J48)))</formula>
    </cfRule>
  </conditionalFormatting>
  <conditionalFormatting sqref="J48">
    <cfRule type="containsText" dxfId="3848" priority="3821" operator="containsText" text="Small">
      <formula>NOT(ISERROR(SEARCH("Small",J48)))</formula>
    </cfRule>
    <cfRule type="containsText" dxfId="3847" priority="3822" operator="containsText" text="Mid">
      <formula>NOT(ISERROR(SEARCH("Mid",J48)))</formula>
    </cfRule>
    <cfRule type="containsText" dxfId="3846" priority="3823" operator="containsText" text="Large">
      <formula>NOT(ISERROR(SEARCH("Large",J48)))</formula>
    </cfRule>
  </conditionalFormatting>
  <conditionalFormatting sqref="J48">
    <cfRule type="containsText" dxfId="3845" priority="3818" operator="containsText" text="Small">
      <formula>NOT(ISERROR(SEARCH("Small",J48)))</formula>
    </cfRule>
    <cfRule type="containsText" dxfId="3844" priority="3819" operator="containsText" text="Mid">
      <formula>NOT(ISERROR(SEARCH("Mid",J48)))</formula>
    </cfRule>
    <cfRule type="containsText" dxfId="3843" priority="3820" operator="containsText" text="Large">
      <formula>NOT(ISERROR(SEARCH("Large",J48)))</formula>
    </cfRule>
  </conditionalFormatting>
  <conditionalFormatting sqref="J62">
    <cfRule type="containsText" dxfId="3842" priority="3815" operator="containsText" text="Small">
      <formula>NOT(ISERROR(SEARCH("Small",J62)))</formula>
    </cfRule>
    <cfRule type="containsText" dxfId="3841" priority="3816" operator="containsText" text="Mid">
      <formula>NOT(ISERROR(SEARCH("Mid",J62)))</formula>
    </cfRule>
    <cfRule type="containsText" dxfId="3840" priority="3817" operator="containsText" text="Large">
      <formula>NOT(ISERROR(SEARCH("Large",J62)))</formula>
    </cfRule>
  </conditionalFormatting>
  <conditionalFormatting sqref="J62">
    <cfRule type="containsText" dxfId="3839" priority="3812" operator="containsText" text="Small">
      <formula>NOT(ISERROR(SEARCH("Small",J62)))</formula>
    </cfRule>
    <cfRule type="containsText" dxfId="3838" priority="3813" operator="containsText" text="Mid">
      <formula>NOT(ISERROR(SEARCH("Mid",J62)))</formula>
    </cfRule>
    <cfRule type="containsText" dxfId="3837" priority="3814" operator="containsText" text="Large">
      <formula>NOT(ISERROR(SEARCH("Large",J62)))</formula>
    </cfRule>
  </conditionalFormatting>
  <conditionalFormatting sqref="J62">
    <cfRule type="containsText" dxfId="3836" priority="3809" operator="containsText" text="Small">
      <formula>NOT(ISERROR(SEARCH("Small",J62)))</formula>
    </cfRule>
    <cfRule type="containsText" dxfId="3835" priority="3810" operator="containsText" text="Mid">
      <formula>NOT(ISERROR(SEARCH("Mid",J62)))</formula>
    </cfRule>
    <cfRule type="containsText" dxfId="3834" priority="3811" operator="containsText" text="Large">
      <formula>NOT(ISERROR(SEARCH("Large",J62)))</formula>
    </cfRule>
  </conditionalFormatting>
  <conditionalFormatting sqref="Q20">
    <cfRule type="containsText" dxfId="3833" priority="3806" operator="containsText" text="Small">
      <formula>NOT(ISERROR(SEARCH("Small",Q20)))</formula>
    </cfRule>
    <cfRule type="containsText" dxfId="3832" priority="3807" operator="containsText" text="Mid">
      <formula>NOT(ISERROR(SEARCH("Mid",Q20)))</formula>
    </cfRule>
    <cfRule type="containsText" dxfId="3831" priority="3808" operator="containsText" text="Large">
      <formula>NOT(ISERROR(SEARCH("Large",Q20)))</formula>
    </cfRule>
  </conditionalFormatting>
  <conditionalFormatting sqref="Q20">
    <cfRule type="containsText" dxfId="3830" priority="3803" operator="containsText" text="Small">
      <formula>NOT(ISERROR(SEARCH("Small",Q20)))</formula>
    </cfRule>
    <cfRule type="containsText" dxfId="3829" priority="3804" operator="containsText" text="Mid">
      <formula>NOT(ISERROR(SEARCH("Mid",Q20)))</formula>
    </cfRule>
    <cfRule type="containsText" dxfId="3828" priority="3805" operator="containsText" text="Large">
      <formula>NOT(ISERROR(SEARCH("Large",Q20)))</formula>
    </cfRule>
  </conditionalFormatting>
  <conditionalFormatting sqref="Q20">
    <cfRule type="containsText" dxfId="3827" priority="3800" operator="containsText" text="Small">
      <formula>NOT(ISERROR(SEARCH("Small",Q20)))</formula>
    </cfRule>
    <cfRule type="containsText" dxfId="3826" priority="3801" operator="containsText" text="Mid">
      <formula>NOT(ISERROR(SEARCH("Mid",Q20)))</formula>
    </cfRule>
    <cfRule type="containsText" dxfId="3825" priority="3802" operator="containsText" text="Large">
      <formula>NOT(ISERROR(SEARCH("Large",Q20)))</formula>
    </cfRule>
  </conditionalFormatting>
  <conditionalFormatting sqref="Q34">
    <cfRule type="containsText" dxfId="3824" priority="3797" operator="containsText" text="Small">
      <formula>NOT(ISERROR(SEARCH("Small",Q34)))</formula>
    </cfRule>
    <cfRule type="containsText" dxfId="3823" priority="3798" operator="containsText" text="Mid">
      <formula>NOT(ISERROR(SEARCH("Mid",Q34)))</formula>
    </cfRule>
    <cfRule type="containsText" dxfId="3822" priority="3799" operator="containsText" text="Large">
      <formula>NOT(ISERROR(SEARCH("Large",Q34)))</formula>
    </cfRule>
  </conditionalFormatting>
  <conditionalFormatting sqref="Q34">
    <cfRule type="containsText" dxfId="3821" priority="3794" operator="containsText" text="Small">
      <formula>NOT(ISERROR(SEARCH("Small",Q34)))</formula>
    </cfRule>
    <cfRule type="containsText" dxfId="3820" priority="3795" operator="containsText" text="Mid">
      <formula>NOT(ISERROR(SEARCH("Mid",Q34)))</formula>
    </cfRule>
    <cfRule type="containsText" dxfId="3819" priority="3796" operator="containsText" text="Large">
      <formula>NOT(ISERROR(SEARCH("Large",Q34)))</formula>
    </cfRule>
  </conditionalFormatting>
  <conditionalFormatting sqref="Q34">
    <cfRule type="containsText" dxfId="3818" priority="3791" operator="containsText" text="Small">
      <formula>NOT(ISERROR(SEARCH("Small",Q34)))</formula>
    </cfRule>
    <cfRule type="containsText" dxfId="3817" priority="3792" operator="containsText" text="Mid">
      <formula>NOT(ISERROR(SEARCH("Mid",Q34)))</formula>
    </cfRule>
    <cfRule type="containsText" dxfId="3816" priority="3793" operator="containsText" text="Large">
      <formula>NOT(ISERROR(SEARCH("Large",Q34)))</formula>
    </cfRule>
  </conditionalFormatting>
  <conditionalFormatting sqref="Q48">
    <cfRule type="containsText" dxfId="3815" priority="3788" operator="containsText" text="Small">
      <formula>NOT(ISERROR(SEARCH("Small",Q48)))</formula>
    </cfRule>
    <cfRule type="containsText" dxfId="3814" priority="3789" operator="containsText" text="Mid">
      <formula>NOT(ISERROR(SEARCH("Mid",Q48)))</formula>
    </cfRule>
    <cfRule type="containsText" dxfId="3813" priority="3790" operator="containsText" text="Large">
      <formula>NOT(ISERROR(SEARCH("Large",Q48)))</formula>
    </cfRule>
  </conditionalFormatting>
  <conditionalFormatting sqref="Q48">
    <cfRule type="containsText" dxfId="3812" priority="3785" operator="containsText" text="Small">
      <formula>NOT(ISERROR(SEARCH("Small",Q48)))</formula>
    </cfRule>
    <cfRule type="containsText" dxfId="3811" priority="3786" operator="containsText" text="Mid">
      <formula>NOT(ISERROR(SEARCH("Mid",Q48)))</formula>
    </cfRule>
    <cfRule type="containsText" dxfId="3810" priority="3787" operator="containsText" text="Large">
      <formula>NOT(ISERROR(SEARCH("Large",Q48)))</formula>
    </cfRule>
  </conditionalFormatting>
  <conditionalFormatting sqref="Q48">
    <cfRule type="containsText" dxfId="3809" priority="3782" operator="containsText" text="Small">
      <formula>NOT(ISERROR(SEARCH("Small",Q48)))</formula>
    </cfRule>
    <cfRule type="containsText" dxfId="3808" priority="3783" operator="containsText" text="Mid">
      <formula>NOT(ISERROR(SEARCH("Mid",Q48)))</formula>
    </cfRule>
    <cfRule type="containsText" dxfId="3807" priority="3784" operator="containsText" text="Large">
      <formula>NOT(ISERROR(SEARCH("Large",Q48)))</formula>
    </cfRule>
  </conditionalFormatting>
  <conditionalFormatting sqref="Q62">
    <cfRule type="containsText" dxfId="3806" priority="3781" operator="containsText" text="No Cap">
      <formula>NOT(ISERROR(SEARCH("No Cap",Q62)))</formula>
    </cfRule>
  </conditionalFormatting>
  <conditionalFormatting sqref="Q62">
    <cfRule type="containsText" dxfId="3805" priority="3778" operator="containsText" text="Small">
      <formula>NOT(ISERROR(SEARCH("Small",Q62)))</formula>
    </cfRule>
    <cfRule type="containsText" dxfId="3804" priority="3779" operator="containsText" text="Mid">
      <formula>NOT(ISERROR(SEARCH("Mid",Q62)))</formula>
    </cfRule>
    <cfRule type="containsText" dxfId="3803" priority="3780" operator="containsText" text="Large">
      <formula>NOT(ISERROR(SEARCH("Large",Q62)))</formula>
    </cfRule>
  </conditionalFormatting>
  <conditionalFormatting sqref="Q62">
    <cfRule type="containsText" dxfId="3802" priority="3775" operator="containsText" text="Small">
      <formula>NOT(ISERROR(SEARCH("Small",Q62)))</formula>
    </cfRule>
    <cfRule type="containsText" dxfId="3801" priority="3776" operator="containsText" text="Mid">
      <formula>NOT(ISERROR(SEARCH("Mid",Q62)))</formula>
    </cfRule>
    <cfRule type="containsText" dxfId="3800" priority="3777" operator="containsText" text="Large">
      <formula>NOT(ISERROR(SEARCH("Large",Q62)))</formula>
    </cfRule>
  </conditionalFormatting>
  <conditionalFormatting sqref="Q62">
    <cfRule type="containsText" dxfId="3799" priority="3772" operator="containsText" text="Small">
      <formula>NOT(ISERROR(SEARCH("Small",Q62)))</formula>
    </cfRule>
    <cfRule type="containsText" dxfId="3798" priority="3773" operator="containsText" text="Mid">
      <formula>NOT(ISERROR(SEARCH("Mid",Q62)))</formula>
    </cfRule>
    <cfRule type="containsText" dxfId="3797" priority="3774" operator="containsText" text="Large">
      <formula>NOT(ISERROR(SEARCH("Large",Q62)))</formula>
    </cfRule>
  </conditionalFormatting>
  <conditionalFormatting sqref="X20">
    <cfRule type="containsText" dxfId="3796" priority="3771" operator="containsText" text="No Cap">
      <formula>NOT(ISERROR(SEARCH("No Cap",X20)))</formula>
    </cfRule>
  </conditionalFormatting>
  <conditionalFormatting sqref="X20">
    <cfRule type="containsText" dxfId="3795" priority="3770" operator="containsText" text="No Cap">
      <formula>NOT(ISERROR(SEARCH("No Cap",X20)))</formula>
    </cfRule>
  </conditionalFormatting>
  <conditionalFormatting sqref="X20">
    <cfRule type="containsText" dxfId="3794" priority="3767" operator="containsText" text="Small">
      <formula>NOT(ISERROR(SEARCH("Small",X20)))</formula>
    </cfRule>
    <cfRule type="containsText" dxfId="3793" priority="3768" operator="containsText" text="Mid">
      <formula>NOT(ISERROR(SEARCH("Mid",X20)))</formula>
    </cfRule>
    <cfRule type="containsText" dxfId="3792" priority="3769" operator="containsText" text="Large">
      <formula>NOT(ISERROR(SEARCH("Large",X20)))</formula>
    </cfRule>
  </conditionalFormatting>
  <conditionalFormatting sqref="X20">
    <cfRule type="containsText" dxfId="3791" priority="3764" operator="containsText" text="Small">
      <formula>NOT(ISERROR(SEARCH("Small",X20)))</formula>
    </cfRule>
    <cfRule type="containsText" dxfId="3790" priority="3765" operator="containsText" text="Mid">
      <formula>NOT(ISERROR(SEARCH("Mid",X20)))</formula>
    </cfRule>
    <cfRule type="containsText" dxfId="3789" priority="3766" operator="containsText" text="Large">
      <formula>NOT(ISERROR(SEARCH("Large",X20)))</formula>
    </cfRule>
  </conditionalFormatting>
  <conditionalFormatting sqref="X20">
    <cfRule type="containsText" dxfId="3788" priority="3761" operator="containsText" text="Small">
      <formula>NOT(ISERROR(SEARCH("Small",X20)))</formula>
    </cfRule>
    <cfRule type="containsText" dxfId="3787" priority="3762" operator="containsText" text="Mid">
      <formula>NOT(ISERROR(SEARCH("Mid",X20)))</formula>
    </cfRule>
    <cfRule type="containsText" dxfId="3786" priority="3763" operator="containsText" text="Large">
      <formula>NOT(ISERROR(SEARCH("Large",X20)))</formula>
    </cfRule>
  </conditionalFormatting>
  <conditionalFormatting sqref="X34">
    <cfRule type="containsText" dxfId="3785" priority="3760" operator="containsText" text="No Cap">
      <formula>NOT(ISERROR(SEARCH("No Cap",X34)))</formula>
    </cfRule>
  </conditionalFormatting>
  <conditionalFormatting sqref="X34">
    <cfRule type="containsText" dxfId="3784" priority="3759" operator="containsText" text="No Cap">
      <formula>NOT(ISERROR(SEARCH("No Cap",X34)))</formula>
    </cfRule>
  </conditionalFormatting>
  <conditionalFormatting sqref="X34">
    <cfRule type="containsText" dxfId="3783" priority="3756" operator="containsText" text="Small">
      <formula>NOT(ISERROR(SEARCH("Small",X34)))</formula>
    </cfRule>
    <cfRule type="containsText" dxfId="3782" priority="3757" operator="containsText" text="Mid">
      <formula>NOT(ISERROR(SEARCH("Mid",X34)))</formula>
    </cfRule>
    <cfRule type="containsText" dxfId="3781" priority="3758" operator="containsText" text="Large">
      <formula>NOT(ISERROR(SEARCH("Large",X34)))</formula>
    </cfRule>
  </conditionalFormatting>
  <conditionalFormatting sqref="X34">
    <cfRule type="containsText" dxfId="3780" priority="3753" operator="containsText" text="Small">
      <formula>NOT(ISERROR(SEARCH("Small",X34)))</formula>
    </cfRule>
    <cfRule type="containsText" dxfId="3779" priority="3754" operator="containsText" text="Mid">
      <formula>NOT(ISERROR(SEARCH("Mid",X34)))</formula>
    </cfRule>
    <cfRule type="containsText" dxfId="3778" priority="3755" operator="containsText" text="Large">
      <formula>NOT(ISERROR(SEARCH("Large",X34)))</formula>
    </cfRule>
  </conditionalFormatting>
  <conditionalFormatting sqref="X34">
    <cfRule type="containsText" dxfId="3777" priority="3750" operator="containsText" text="Small">
      <formula>NOT(ISERROR(SEARCH("Small",X34)))</formula>
    </cfRule>
    <cfRule type="containsText" dxfId="3776" priority="3751" operator="containsText" text="Mid">
      <formula>NOT(ISERROR(SEARCH("Mid",X34)))</formula>
    </cfRule>
    <cfRule type="containsText" dxfId="3775" priority="3752" operator="containsText" text="Large">
      <formula>NOT(ISERROR(SEARCH("Large",X34)))</formula>
    </cfRule>
  </conditionalFormatting>
  <conditionalFormatting sqref="X48">
    <cfRule type="containsText" dxfId="3774" priority="3749" operator="containsText" text="No Cap">
      <formula>NOT(ISERROR(SEARCH("No Cap",X48)))</formula>
    </cfRule>
  </conditionalFormatting>
  <conditionalFormatting sqref="X48">
    <cfRule type="containsText" dxfId="3773" priority="3748" operator="containsText" text="No Cap">
      <formula>NOT(ISERROR(SEARCH("No Cap",X48)))</formula>
    </cfRule>
  </conditionalFormatting>
  <conditionalFormatting sqref="X48">
    <cfRule type="containsText" dxfId="3772" priority="3745" operator="containsText" text="Small">
      <formula>NOT(ISERROR(SEARCH("Small",X48)))</formula>
    </cfRule>
    <cfRule type="containsText" dxfId="3771" priority="3746" operator="containsText" text="Mid">
      <formula>NOT(ISERROR(SEARCH("Mid",X48)))</formula>
    </cfRule>
    <cfRule type="containsText" dxfId="3770" priority="3747" operator="containsText" text="Large">
      <formula>NOT(ISERROR(SEARCH("Large",X48)))</formula>
    </cfRule>
  </conditionalFormatting>
  <conditionalFormatting sqref="X48">
    <cfRule type="containsText" dxfId="3769" priority="3742" operator="containsText" text="Small">
      <formula>NOT(ISERROR(SEARCH("Small",X48)))</formula>
    </cfRule>
    <cfRule type="containsText" dxfId="3768" priority="3743" operator="containsText" text="Mid">
      <formula>NOT(ISERROR(SEARCH("Mid",X48)))</formula>
    </cfRule>
    <cfRule type="containsText" dxfId="3767" priority="3744" operator="containsText" text="Large">
      <formula>NOT(ISERROR(SEARCH("Large",X48)))</formula>
    </cfRule>
  </conditionalFormatting>
  <conditionalFormatting sqref="X48">
    <cfRule type="containsText" dxfId="3766" priority="3739" operator="containsText" text="Small">
      <formula>NOT(ISERROR(SEARCH("Small",X48)))</formula>
    </cfRule>
    <cfRule type="containsText" dxfId="3765" priority="3740" operator="containsText" text="Mid">
      <formula>NOT(ISERROR(SEARCH("Mid",X48)))</formula>
    </cfRule>
    <cfRule type="containsText" dxfId="3764" priority="3741" operator="containsText" text="Large">
      <formula>NOT(ISERROR(SEARCH("Large",X48)))</formula>
    </cfRule>
  </conditionalFormatting>
  <conditionalFormatting sqref="X62">
    <cfRule type="containsText" dxfId="3763" priority="3738" operator="containsText" text="No Cap">
      <formula>NOT(ISERROR(SEARCH("No Cap",X62)))</formula>
    </cfRule>
  </conditionalFormatting>
  <conditionalFormatting sqref="X62">
    <cfRule type="containsText" dxfId="3762" priority="3737" operator="containsText" text="No Cap">
      <formula>NOT(ISERROR(SEARCH("No Cap",X62)))</formula>
    </cfRule>
  </conditionalFormatting>
  <conditionalFormatting sqref="X62">
    <cfRule type="containsText" dxfId="3761" priority="3734" operator="containsText" text="Small">
      <formula>NOT(ISERROR(SEARCH("Small",X62)))</formula>
    </cfRule>
    <cfRule type="containsText" dxfId="3760" priority="3735" operator="containsText" text="Mid">
      <formula>NOT(ISERROR(SEARCH("Mid",X62)))</formula>
    </cfRule>
    <cfRule type="containsText" dxfId="3759" priority="3736" operator="containsText" text="Large">
      <formula>NOT(ISERROR(SEARCH("Large",X62)))</formula>
    </cfRule>
  </conditionalFormatting>
  <conditionalFormatting sqref="X62">
    <cfRule type="containsText" dxfId="3758" priority="3731" operator="containsText" text="Small">
      <formula>NOT(ISERROR(SEARCH("Small",X62)))</formula>
    </cfRule>
    <cfRule type="containsText" dxfId="3757" priority="3732" operator="containsText" text="Mid">
      <formula>NOT(ISERROR(SEARCH("Mid",X62)))</formula>
    </cfRule>
    <cfRule type="containsText" dxfId="3756" priority="3733" operator="containsText" text="Large">
      <formula>NOT(ISERROR(SEARCH("Large",X62)))</formula>
    </cfRule>
  </conditionalFormatting>
  <conditionalFormatting sqref="X62">
    <cfRule type="containsText" dxfId="3755" priority="3728" operator="containsText" text="Small">
      <formula>NOT(ISERROR(SEARCH("Small",X62)))</formula>
    </cfRule>
    <cfRule type="containsText" dxfId="3754" priority="3729" operator="containsText" text="Mid">
      <formula>NOT(ISERROR(SEARCH("Mid",X62)))</formula>
    </cfRule>
    <cfRule type="containsText" dxfId="3753" priority="3730" operator="containsText" text="Large">
      <formula>NOT(ISERROR(SEARCH("Large",X62)))</formula>
    </cfRule>
  </conditionalFormatting>
  <conditionalFormatting sqref="AE20">
    <cfRule type="containsText" dxfId="3752" priority="3727" operator="containsText" text="No Cap">
      <formula>NOT(ISERROR(SEARCH("No Cap",AE20)))</formula>
    </cfRule>
  </conditionalFormatting>
  <conditionalFormatting sqref="AE20">
    <cfRule type="containsText" dxfId="3751" priority="3726" operator="containsText" text="No Cap">
      <formula>NOT(ISERROR(SEARCH("No Cap",AE20)))</formula>
    </cfRule>
  </conditionalFormatting>
  <conditionalFormatting sqref="AE20">
    <cfRule type="containsText" dxfId="3750" priority="3723" operator="containsText" text="Small">
      <formula>NOT(ISERROR(SEARCH("Small",AE20)))</formula>
    </cfRule>
    <cfRule type="containsText" dxfId="3749" priority="3724" operator="containsText" text="Mid">
      <formula>NOT(ISERROR(SEARCH("Mid",AE20)))</formula>
    </cfRule>
    <cfRule type="containsText" dxfId="3748" priority="3725" operator="containsText" text="Large">
      <formula>NOT(ISERROR(SEARCH("Large",AE20)))</formula>
    </cfRule>
  </conditionalFormatting>
  <conditionalFormatting sqref="AE20">
    <cfRule type="containsText" dxfId="3747" priority="3720" operator="containsText" text="Small">
      <formula>NOT(ISERROR(SEARCH("Small",AE20)))</formula>
    </cfRule>
    <cfRule type="containsText" dxfId="3746" priority="3721" operator="containsText" text="Mid">
      <formula>NOT(ISERROR(SEARCH("Mid",AE20)))</formula>
    </cfRule>
    <cfRule type="containsText" dxfId="3745" priority="3722" operator="containsText" text="Large">
      <formula>NOT(ISERROR(SEARCH("Large",AE20)))</formula>
    </cfRule>
  </conditionalFormatting>
  <conditionalFormatting sqref="AE20">
    <cfRule type="containsText" dxfId="3744" priority="3717" operator="containsText" text="Small">
      <formula>NOT(ISERROR(SEARCH("Small",AE20)))</formula>
    </cfRule>
    <cfRule type="containsText" dxfId="3743" priority="3718" operator="containsText" text="Mid">
      <formula>NOT(ISERROR(SEARCH("Mid",AE20)))</formula>
    </cfRule>
    <cfRule type="containsText" dxfId="3742" priority="3719" operator="containsText" text="Large">
      <formula>NOT(ISERROR(SEARCH("Large",AE20)))</formula>
    </cfRule>
  </conditionalFormatting>
  <conditionalFormatting sqref="C34">
    <cfRule type="containsText" dxfId="3741" priority="3714" operator="containsText" text="Small">
      <formula>NOT(ISERROR(SEARCH("Small",C34)))</formula>
    </cfRule>
    <cfRule type="containsText" dxfId="3740" priority="3715" operator="containsText" text="Mid">
      <formula>NOT(ISERROR(SEARCH("Mid",C34)))</formula>
    </cfRule>
    <cfRule type="containsText" dxfId="3739" priority="3716" operator="containsText" text="Large">
      <formula>NOT(ISERROR(SEARCH("Large",C34)))</formula>
    </cfRule>
  </conditionalFormatting>
  <conditionalFormatting sqref="C48">
    <cfRule type="containsText" dxfId="3738" priority="3711" operator="containsText" text="Small">
      <formula>NOT(ISERROR(SEARCH("Small",C48)))</formula>
    </cfRule>
    <cfRule type="containsText" dxfId="3737" priority="3712" operator="containsText" text="Mid">
      <formula>NOT(ISERROR(SEARCH("Mid",C48)))</formula>
    </cfRule>
    <cfRule type="containsText" dxfId="3736" priority="3713" operator="containsText" text="Large">
      <formula>NOT(ISERROR(SEARCH("Large",C48)))</formula>
    </cfRule>
  </conditionalFormatting>
  <conditionalFormatting sqref="C48">
    <cfRule type="containsText" dxfId="3735" priority="3708" operator="containsText" text="Small">
      <formula>NOT(ISERROR(SEARCH("Small",C48)))</formula>
    </cfRule>
    <cfRule type="containsText" dxfId="3734" priority="3709" operator="containsText" text="Mid">
      <formula>NOT(ISERROR(SEARCH("Mid",C48)))</formula>
    </cfRule>
    <cfRule type="containsText" dxfId="3733" priority="3710" operator="containsText" text="Large">
      <formula>NOT(ISERROR(SEARCH("Large",C48)))</formula>
    </cfRule>
  </conditionalFormatting>
  <conditionalFormatting sqref="C48">
    <cfRule type="containsText" dxfId="3732" priority="3705" operator="containsText" text="Small">
      <formula>NOT(ISERROR(SEARCH("Small",C48)))</formula>
    </cfRule>
    <cfRule type="containsText" dxfId="3731" priority="3706" operator="containsText" text="Mid">
      <formula>NOT(ISERROR(SEARCH("Mid",C48)))</formula>
    </cfRule>
    <cfRule type="containsText" dxfId="3730" priority="3707" operator="containsText" text="Large">
      <formula>NOT(ISERROR(SEARCH("Large",C48)))</formula>
    </cfRule>
  </conditionalFormatting>
  <conditionalFormatting sqref="C62">
    <cfRule type="containsText" dxfId="3729" priority="3702" operator="containsText" text="Small">
      <formula>NOT(ISERROR(SEARCH("Small",C62)))</formula>
    </cfRule>
    <cfRule type="containsText" dxfId="3728" priority="3703" operator="containsText" text="Mid">
      <formula>NOT(ISERROR(SEARCH("Mid",C62)))</formula>
    </cfRule>
    <cfRule type="containsText" dxfId="3727" priority="3704" operator="containsText" text="Large">
      <formula>NOT(ISERROR(SEARCH("Large",C62)))</formula>
    </cfRule>
  </conditionalFormatting>
  <conditionalFormatting sqref="C62">
    <cfRule type="containsText" dxfId="3726" priority="3699" operator="containsText" text="Small">
      <formula>NOT(ISERROR(SEARCH("Small",C62)))</formula>
    </cfRule>
    <cfRule type="containsText" dxfId="3725" priority="3700" operator="containsText" text="Mid">
      <formula>NOT(ISERROR(SEARCH("Mid",C62)))</formula>
    </cfRule>
    <cfRule type="containsText" dxfId="3724" priority="3701" operator="containsText" text="Large">
      <formula>NOT(ISERROR(SEARCH("Large",C62)))</formula>
    </cfRule>
  </conditionalFormatting>
  <conditionalFormatting sqref="C62">
    <cfRule type="containsText" dxfId="3723" priority="3696" operator="containsText" text="Small">
      <formula>NOT(ISERROR(SEARCH("Small",C62)))</formula>
    </cfRule>
    <cfRule type="containsText" dxfId="3722" priority="3697" operator="containsText" text="Mid">
      <formula>NOT(ISERROR(SEARCH("Mid",C62)))</formula>
    </cfRule>
    <cfRule type="containsText" dxfId="3721" priority="3698" operator="containsText" text="Large">
      <formula>NOT(ISERROR(SEARCH("Large",C62)))</formula>
    </cfRule>
  </conditionalFormatting>
  <conditionalFormatting sqref="C62">
    <cfRule type="containsText" dxfId="3720" priority="3693" operator="containsText" text="Small">
      <formula>NOT(ISERROR(SEARCH("Small",C62)))</formula>
    </cfRule>
    <cfRule type="containsText" dxfId="3719" priority="3694" operator="containsText" text="Mid">
      <formula>NOT(ISERROR(SEARCH("Mid",C62)))</formula>
    </cfRule>
    <cfRule type="containsText" dxfId="3718" priority="3695" operator="containsText" text="Large">
      <formula>NOT(ISERROR(SEARCH("Large",C62)))</formula>
    </cfRule>
  </conditionalFormatting>
  <conditionalFormatting sqref="C62">
    <cfRule type="containsText" dxfId="3717" priority="3690" operator="containsText" text="Small">
      <formula>NOT(ISERROR(SEARCH("Small",C62)))</formula>
    </cfRule>
    <cfRule type="containsText" dxfId="3716" priority="3691" operator="containsText" text="Mid">
      <formula>NOT(ISERROR(SEARCH("Mid",C62)))</formula>
    </cfRule>
    <cfRule type="containsText" dxfId="3715" priority="3692" operator="containsText" text="Large">
      <formula>NOT(ISERROR(SEARCH("Large",C62)))</formula>
    </cfRule>
  </conditionalFormatting>
  <conditionalFormatting sqref="C62">
    <cfRule type="containsText" dxfId="3714" priority="3687" operator="containsText" text="Small">
      <formula>NOT(ISERROR(SEARCH("Small",C62)))</formula>
    </cfRule>
    <cfRule type="containsText" dxfId="3713" priority="3688" operator="containsText" text="Mid">
      <formula>NOT(ISERROR(SEARCH("Mid",C62)))</formula>
    </cfRule>
    <cfRule type="containsText" dxfId="3712" priority="3689" operator="containsText" text="Large">
      <formula>NOT(ISERROR(SEARCH("Large",C62)))</formula>
    </cfRule>
  </conditionalFormatting>
  <conditionalFormatting sqref="J62">
    <cfRule type="containsText" dxfId="3711" priority="3684" operator="containsText" text="Small">
      <formula>NOT(ISERROR(SEARCH("Small",J62)))</formula>
    </cfRule>
    <cfRule type="containsText" dxfId="3710" priority="3685" operator="containsText" text="Mid">
      <formula>NOT(ISERROR(SEARCH("Mid",J62)))</formula>
    </cfRule>
    <cfRule type="containsText" dxfId="3709" priority="3686" operator="containsText" text="Large">
      <formula>NOT(ISERROR(SEARCH("Large",J62)))</formula>
    </cfRule>
  </conditionalFormatting>
  <conditionalFormatting sqref="J62">
    <cfRule type="containsText" dxfId="3708" priority="3681" operator="containsText" text="Small">
      <formula>NOT(ISERROR(SEARCH("Small",J62)))</formula>
    </cfRule>
    <cfRule type="containsText" dxfId="3707" priority="3682" operator="containsText" text="Mid">
      <formula>NOT(ISERROR(SEARCH("Mid",J62)))</formula>
    </cfRule>
    <cfRule type="containsText" dxfId="3706" priority="3683" operator="containsText" text="Large">
      <formula>NOT(ISERROR(SEARCH("Large",J62)))</formula>
    </cfRule>
  </conditionalFormatting>
  <conditionalFormatting sqref="J62">
    <cfRule type="containsText" dxfId="3705" priority="3678" operator="containsText" text="Small">
      <formula>NOT(ISERROR(SEARCH("Small",J62)))</formula>
    </cfRule>
    <cfRule type="containsText" dxfId="3704" priority="3679" operator="containsText" text="Mid">
      <formula>NOT(ISERROR(SEARCH("Mid",J62)))</formula>
    </cfRule>
    <cfRule type="containsText" dxfId="3703" priority="3680" operator="containsText" text="Large">
      <formula>NOT(ISERROR(SEARCH("Large",J62)))</formula>
    </cfRule>
  </conditionalFormatting>
  <conditionalFormatting sqref="J62">
    <cfRule type="containsText" dxfId="3702" priority="3675" operator="containsText" text="Small">
      <formula>NOT(ISERROR(SEARCH("Small",J62)))</formula>
    </cfRule>
    <cfRule type="containsText" dxfId="3701" priority="3676" operator="containsText" text="Mid">
      <formula>NOT(ISERROR(SEARCH("Mid",J62)))</formula>
    </cfRule>
    <cfRule type="containsText" dxfId="3700" priority="3677" operator="containsText" text="Large">
      <formula>NOT(ISERROR(SEARCH("Large",J62)))</formula>
    </cfRule>
  </conditionalFormatting>
  <conditionalFormatting sqref="J62">
    <cfRule type="containsText" dxfId="3699" priority="3672" operator="containsText" text="Small">
      <formula>NOT(ISERROR(SEARCH("Small",J62)))</formula>
    </cfRule>
    <cfRule type="containsText" dxfId="3698" priority="3673" operator="containsText" text="Mid">
      <formula>NOT(ISERROR(SEARCH("Mid",J62)))</formula>
    </cfRule>
    <cfRule type="containsText" dxfId="3697" priority="3674" operator="containsText" text="Large">
      <formula>NOT(ISERROR(SEARCH("Large",J62)))</formula>
    </cfRule>
  </conditionalFormatting>
  <conditionalFormatting sqref="J62">
    <cfRule type="containsText" dxfId="3696" priority="3669" operator="containsText" text="Small">
      <formula>NOT(ISERROR(SEARCH("Small",J62)))</formula>
    </cfRule>
    <cfRule type="containsText" dxfId="3695" priority="3670" operator="containsText" text="Mid">
      <formula>NOT(ISERROR(SEARCH("Mid",J62)))</formula>
    </cfRule>
    <cfRule type="containsText" dxfId="3694" priority="3671" operator="containsText" text="Large">
      <formula>NOT(ISERROR(SEARCH("Large",J62)))</formula>
    </cfRule>
  </conditionalFormatting>
  <conditionalFormatting sqref="J62">
    <cfRule type="containsText" dxfId="3693" priority="3666" operator="containsText" text="Small">
      <formula>NOT(ISERROR(SEARCH("Small",J62)))</formula>
    </cfRule>
    <cfRule type="containsText" dxfId="3692" priority="3667" operator="containsText" text="Mid">
      <formula>NOT(ISERROR(SEARCH("Mid",J62)))</formula>
    </cfRule>
    <cfRule type="containsText" dxfId="3691" priority="3668" operator="containsText" text="Large">
      <formula>NOT(ISERROR(SEARCH("Large",J62)))</formula>
    </cfRule>
  </conditionalFormatting>
  <conditionalFormatting sqref="J62">
    <cfRule type="containsText" dxfId="3690" priority="3663" operator="containsText" text="Small">
      <formula>NOT(ISERROR(SEARCH("Small",J62)))</formula>
    </cfRule>
    <cfRule type="containsText" dxfId="3689" priority="3664" operator="containsText" text="Mid">
      <formula>NOT(ISERROR(SEARCH("Mid",J62)))</formula>
    </cfRule>
    <cfRule type="containsText" dxfId="3688" priority="3665" operator="containsText" text="Large">
      <formula>NOT(ISERROR(SEARCH("Large",J62)))</formula>
    </cfRule>
  </conditionalFormatting>
  <conditionalFormatting sqref="J62">
    <cfRule type="containsText" dxfId="3687" priority="3660" operator="containsText" text="Small">
      <formula>NOT(ISERROR(SEARCH("Small",J62)))</formula>
    </cfRule>
    <cfRule type="containsText" dxfId="3686" priority="3661" operator="containsText" text="Mid">
      <formula>NOT(ISERROR(SEARCH("Mid",J62)))</formula>
    </cfRule>
    <cfRule type="containsText" dxfId="3685" priority="3662" operator="containsText" text="Large">
      <formula>NOT(ISERROR(SEARCH("Large",J62)))</formula>
    </cfRule>
  </conditionalFormatting>
  <conditionalFormatting sqref="J34">
    <cfRule type="containsText" dxfId="3684" priority="3657" operator="containsText" text="Small">
      <formula>NOT(ISERROR(SEARCH("Small",J34)))</formula>
    </cfRule>
    <cfRule type="containsText" dxfId="3683" priority="3658" operator="containsText" text="Mid">
      <formula>NOT(ISERROR(SEARCH("Mid",J34)))</formula>
    </cfRule>
    <cfRule type="containsText" dxfId="3682" priority="3659" operator="containsText" text="Large">
      <formula>NOT(ISERROR(SEARCH("Large",J34)))</formula>
    </cfRule>
  </conditionalFormatting>
  <conditionalFormatting sqref="J34">
    <cfRule type="containsText" dxfId="3681" priority="3654" operator="containsText" text="Small">
      <formula>NOT(ISERROR(SEARCH("Small",J34)))</formula>
    </cfRule>
    <cfRule type="containsText" dxfId="3680" priority="3655" operator="containsText" text="Mid">
      <formula>NOT(ISERROR(SEARCH("Mid",J34)))</formula>
    </cfRule>
    <cfRule type="containsText" dxfId="3679" priority="3656" operator="containsText" text="Large">
      <formula>NOT(ISERROR(SEARCH("Large",J34)))</formula>
    </cfRule>
  </conditionalFormatting>
  <conditionalFormatting sqref="J34">
    <cfRule type="containsText" dxfId="3678" priority="3651" operator="containsText" text="Small">
      <formula>NOT(ISERROR(SEARCH("Small",J34)))</formula>
    </cfRule>
    <cfRule type="containsText" dxfId="3677" priority="3652" operator="containsText" text="Mid">
      <formula>NOT(ISERROR(SEARCH("Mid",J34)))</formula>
    </cfRule>
    <cfRule type="containsText" dxfId="3676" priority="3653" operator="containsText" text="Large">
      <formula>NOT(ISERROR(SEARCH("Large",J34)))</formula>
    </cfRule>
  </conditionalFormatting>
  <conditionalFormatting sqref="J34">
    <cfRule type="containsText" dxfId="3675" priority="3648" operator="containsText" text="Small">
      <formula>NOT(ISERROR(SEARCH("Small",J34)))</formula>
    </cfRule>
    <cfRule type="containsText" dxfId="3674" priority="3649" operator="containsText" text="Mid">
      <formula>NOT(ISERROR(SEARCH("Mid",J34)))</formula>
    </cfRule>
    <cfRule type="containsText" dxfId="3673" priority="3650" operator="containsText" text="Large">
      <formula>NOT(ISERROR(SEARCH("Large",J34)))</formula>
    </cfRule>
  </conditionalFormatting>
  <conditionalFormatting sqref="J34">
    <cfRule type="containsText" dxfId="3672" priority="3645" operator="containsText" text="Small">
      <formula>NOT(ISERROR(SEARCH("Small",J34)))</formula>
    </cfRule>
    <cfRule type="containsText" dxfId="3671" priority="3646" operator="containsText" text="Mid">
      <formula>NOT(ISERROR(SEARCH("Mid",J34)))</formula>
    </cfRule>
    <cfRule type="containsText" dxfId="3670" priority="3647" operator="containsText" text="Large">
      <formula>NOT(ISERROR(SEARCH("Large",J34)))</formula>
    </cfRule>
  </conditionalFormatting>
  <conditionalFormatting sqref="J34">
    <cfRule type="containsText" dxfId="3669" priority="3642" operator="containsText" text="Small">
      <formula>NOT(ISERROR(SEARCH("Small",J34)))</formula>
    </cfRule>
    <cfRule type="containsText" dxfId="3668" priority="3643" operator="containsText" text="Mid">
      <formula>NOT(ISERROR(SEARCH("Mid",J34)))</formula>
    </cfRule>
    <cfRule type="containsText" dxfId="3667" priority="3644" operator="containsText" text="Large">
      <formula>NOT(ISERROR(SEARCH("Large",J34)))</formula>
    </cfRule>
  </conditionalFormatting>
  <conditionalFormatting sqref="J34">
    <cfRule type="containsText" dxfId="3666" priority="3639" operator="containsText" text="Small">
      <formula>NOT(ISERROR(SEARCH("Small",J34)))</formula>
    </cfRule>
    <cfRule type="containsText" dxfId="3665" priority="3640" operator="containsText" text="Mid">
      <formula>NOT(ISERROR(SEARCH("Mid",J34)))</formula>
    </cfRule>
    <cfRule type="containsText" dxfId="3664" priority="3641" operator="containsText" text="Large">
      <formula>NOT(ISERROR(SEARCH("Large",J34)))</formula>
    </cfRule>
  </conditionalFormatting>
  <conditionalFormatting sqref="J34">
    <cfRule type="containsText" dxfId="3663" priority="3636" operator="containsText" text="Small">
      <formula>NOT(ISERROR(SEARCH("Small",J34)))</formula>
    </cfRule>
    <cfRule type="containsText" dxfId="3662" priority="3637" operator="containsText" text="Mid">
      <formula>NOT(ISERROR(SEARCH("Mid",J34)))</formula>
    </cfRule>
    <cfRule type="containsText" dxfId="3661" priority="3638" operator="containsText" text="Large">
      <formula>NOT(ISERROR(SEARCH("Large",J34)))</formula>
    </cfRule>
  </conditionalFormatting>
  <conditionalFormatting sqref="J34">
    <cfRule type="containsText" dxfId="3660" priority="3633" operator="containsText" text="Small">
      <formula>NOT(ISERROR(SEARCH("Small",J34)))</formula>
    </cfRule>
    <cfRule type="containsText" dxfId="3659" priority="3634" operator="containsText" text="Mid">
      <formula>NOT(ISERROR(SEARCH("Mid",J34)))</formula>
    </cfRule>
    <cfRule type="containsText" dxfId="3658" priority="3635" operator="containsText" text="Large">
      <formula>NOT(ISERROR(SEARCH("Large",J34)))</formula>
    </cfRule>
  </conditionalFormatting>
  <conditionalFormatting sqref="J34">
    <cfRule type="containsText" dxfId="3657" priority="3630" operator="containsText" text="Small">
      <formula>NOT(ISERROR(SEARCH("Small",J34)))</formula>
    </cfRule>
    <cfRule type="containsText" dxfId="3656" priority="3631" operator="containsText" text="Mid">
      <formula>NOT(ISERROR(SEARCH("Mid",J34)))</formula>
    </cfRule>
    <cfRule type="containsText" dxfId="3655" priority="3632" operator="containsText" text="Large">
      <formula>NOT(ISERROR(SEARCH("Large",J34)))</formula>
    </cfRule>
  </conditionalFormatting>
  <conditionalFormatting sqref="J34">
    <cfRule type="containsText" dxfId="3654" priority="3627" operator="containsText" text="Small">
      <formula>NOT(ISERROR(SEARCH("Small",J34)))</formula>
    </cfRule>
    <cfRule type="containsText" dxfId="3653" priority="3628" operator="containsText" text="Mid">
      <formula>NOT(ISERROR(SEARCH("Mid",J34)))</formula>
    </cfRule>
    <cfRule type="containsText" dxfId="3652" priority="3629" operator="containsText" text="Large">
      <formula>NOT(ISERROR(SEARCH("Large",J34)))</formula>
    </cfRule>
  </conditionalFormatting>
  <conditionalFormatting sqref="J34">
    <cfRule type="containsText" dxfId="3651" priority="3624" operator="containsText" text="Small">
      <formula>NOT(ISERROR(SEARCH("Small",J34)))</formula>
    </cfRule>
    <cfRule type="containsText" dxfId="3650" priority="3625" operator="containsText" text="Mid">
      <formula>NOT(ISERROR(SEARCH("Mid",J34)))</formula>
    </cfRule>
    <cfRule type="containsText" dxfId="3649" priority="3626" operator="containsText" text="Large">
      <formula>NOT(ISERROR(SEARCH("Large",J34)))</formula>
    </cfRule>
  </conditionalFormatting>
  <conditionalFormatting sqref="J20">
    <cfRule type="containsText" dxfId="3648" priority="3621" operator="containsText" text="Small">
      <formula>NOT(ISERROR(SEARCH("Small",J20)))</formula>
    </cfRule>
    <cfRule type="containsText" dxfId="3647" priority="3622" operator="containsText" text="Mid">
      <formula>NOT(ISERROR(SEARCH("Mid",J20)))</formula>
    </cfRule>
    <cfRule type="containsText" dxfId="3646" priority="3623" operator="containsText" text="Large">
      <formula>NOT(ISERROR(SEARCH("Large",J20)))</formula>
    </cfRule>
  </conditionalFormatting>
  <conditionalFormatting sqref="J20">
    <cfRule type="containsText" dxfId="3645" priority="3618" operator="containsText" text="Small">
      <formula>NOT(ISERROR(SEARCH("Small",J20)))</formula>
    </cfRule>
    <cfRule type="containsText" dxfId="3644" priority="3619" operator="containsText" text="Mid">
      <formula>NOT(ISERROR(SEARCH("Mid",J20)))</formula>
    </cfRule>
    <cfRule type="containsText" dxfId="3643" priority="3620" operator="containsText" text="Large">
      <formula>NOT(ISERROR(SEARCH("Large",J20)))</formula>
    </cfRule>
  </conditionalFormatting>
  <conditionalFormatting sqref="J20">
    <cfRule type="containsText" dxfId="3642" priority="3615" operator="containsText" text="Small">
      <formula>NOT(ISERROR(SEARCH("Small",J20)))</formula>
    </cfRule>
    <cfRule type="containsText" dxfId="3641" priority="3616" operator="containsText" text="Mid">
      <formula>NOT(ISERROR(SEARCH("Mid",J20)))</formula>
    </cfRule>
    <cfRule type="containsText" dxfId="3640" priority="3617" operator="containsText" text="Large">
      <formula>NOT(ISERROR(SEARCH("Large",J20)))</formula>
    </cfRule>
  </conditionalFormatting>
  <conditionalFormatting sqref="J20">
    <cfRule type="containsText" dxfId="3639" priority="3612" operator="containsText" text="Small">
      <formula>NOT(ISERROR(SEARCH("Small",J20)))</formula>
    </cfRule>
    <cfRule type="containsText" dxfId="3638" priority="3613" operator="containsText" text="Mid">
      <formula>NOT(ISERROR(SEARCH("Mid",J20)))</formula>
    </cfRule>
    <cfRule type="containsText" dxfId="3637" priority="3614" operator="containsText" text="Large">
      <formula>NOT(ISERROR(SEARCH("Large",J20)))</formula>
    </cfRule>
  </conditionalFormatting>
  <conditionalFormatting sqref="J20">
    <cfRule type="containsText" dxfId="3636" priority="3609" operator="containsText" text="Small">
      <formula>NOT(ISERROR(SEARCH("Small",J20)))</formula>
    </cfRule>
    <cfRule type="containsText" dxfId="3635" priority="3610" operator="containsText" text="Mid">
      <formula>NOT(ISERROR(SEARCH("Mid",J20)))</formula>
    </cfRule>
    <cfRule type="containsText" dxfId="3634" priority="3611" operator="containsText" text="Large">
      <formula>NOT(ISERROR(SEARCH("Large",J20)))</formula>
    </cfRule>
  </conditionalFormatting>
  <conditionalFormatting sqref="J20">
    <cfRule type="containsText" dxfId="3633" priority="3606" operator="containsText" text="Small">
      <formula>NOT(ISERROR(SEARCH("Small",J20)))</formula>
    </cfRule>
    <cfRule type="containsText" dxfId="3632" priority="3607" operator="containsText" text="Mid">
      <formula>NOT(ISERROR(SEARCH("Mid",J20)))</formula>
    </cfRule>
    <cfRule type="containsText" dxfId="3631" priority="3608" operator="containsText" text="Large">
      <formula>NOT(ISERROR(SEARCH("Large",J20)))</formula>
    </cfRule>
  </conditionalFormatting>
  <conditionalFormatting sqref="J20">
    <cfRule type="containsText" dxfId="3630" priority="3603" operator="containsText" text="Small">
      <formula>NOT(ISERROR(SEARCH("Small",J20)))</formula>
    </cfRule>
    <cfRule type="containsText" dxfId="3629" priority="3604" operator="containsText" text="Mid">
      <formula>NOT(ISERROR(SEARCH("Mid",J20)))</formula>
    </cfRule>
    <cfRule type="containsText" dxfId="3628" priority="3605" operator="containsText" text="Large">
      <formula>NOT(ISERROR(SEARCH("Large",J20)))</formula>
    </cfRule>
  </conditionalFormatting>
  <conditionalFormatting sqref="J20">
    <cfRule type="containsText" dxfId="3627" priority="3600" operator="containsText" text="Small">
      <formula>NOT(ISERROR(SEARCH("Small",J20)))</formula>
    </cfRule>
    <cfRule type="containsText" dxfId="3626" priority="3601" operator="containsText" text="Mid">
      <formula>NOT(ISERROR(SEARCH("Mid",J20)))</formula>
    </cfRule>
    <cfRule type="containsText" dxfId="3625" priority="3602" operator="containsText" text="Large">
      <formula>NOT(ISERROR(SEARCH("Large",J20)))</formula>
    </cfRule>
  </conditionalFormatting>
  <conditionalFormatting sqref="J20">
    <cfRule type="containsText" dxfId="3624" priority="3597" operator="containsText" text="Small">
      <formula>NOT(ISERROR(SEARCH("Small",J20)))</formula>
    </cfRule>
    <cfRule type="containsText" dxfId="3623" priority="3598" operator="containsText" text="Mid">
      <formula>NOT(ISERROR(SEARCH("Mid",J20)))</formula>
    </cfRule>
    <cfRule type="containsText" dxfId="3622" priority="3599" operator="containsText" text="Large">
      <formula>NOT(ISERROR(SEARCH("Large",J20)))</formula>
    </cfRule>
  </conditionalFormatting>
  <conditionalFormatting sqref="J20">
    <cfRule type="containsText" dxfId="3621" priority="3594" operator="containsText" text="Small">
      <formula>NOT(ISERROR(SEARCH("Small",J20)))</formula>
    </cfRule>
    <cfRule type="containsText" dxfId="3620" priority="3595" operator="containsText" text="Mid">
      <formula>NOT(ISERROR(SEARCH("Mid",J20)))</formula>
    </cfRule>
    <cfRule type="containsText" dxfId="3619" priority="3596" operator="containsText" text="Large">
      <formula>NOT(ISERROR(SEARCH("Large",J20)))</formula>
    </cfRule>
  </conditionalFormatting>
  <conditionalFormatting sqref="J20">
    <cfRule type="containsText" dxfId="3618" priority="3591" operator="containsText" text="Small">
      <formula>NOT(ISERROR(SEARCH("Small",J20)))</formula>
    </cfRule>
    <cfRule type="containsText" dxfId="3617" priority="3592" operator="containsText" text="Mid">
      <formula>NOT(ISERROR(SEARCH("Mid",J20)))</formula>
    </cfRule>
    <cfRule type="containsText" dxfId="3616" priority="3593" operator="containsText" text="Large">
      <formula>NOT(ISERROR(SEARCH("Large",J20)))</formula>
    </cfRule>
  </conditionalFormatting>
  <conditionalFormatting sqref="J20">
    <cfRule type="containsText" dxfId="3615" priority="3588" operator="containsText" text="Small">
      <formula>NOT(ISERROR(SEARCH("Small",J20)))</formula>
    </cfRule>
    <cfRule type="containsText" dxfId="3614" priority="3589" operator="containsText" text="Mid">
      <formula>NOT(ISERROR(SEARCH("Mid",J20)))</formula>
    </cfRule>
    <cfRule type="containsText" dxfId="3613" priority="3590" operator="containsText" text="Large">
      <formula>NOT(ISERROR(SEARCH("Large",J20)))</formula>
    </cfRule>
  </conditionalFormatting>
  <conditionalFormatting sqref="J20">
    <cfRule type="containsText" dxfId="3612" priority="3585" operator="containsText" text="Small">
      <formula>NOT(ISERROR(SEARCH("Small",J20)))</formula>
    </cfRule>
    <cfRule type="containsText" dxfId="3611" priority="3586" operator="containsText" text="Mid">
      <formula>NOT(ISERROR(SEARCH("Mid",J20)))</formula>
    </cfRule>
    <cfRule type="containsText" dxfId="3610" priority="3587" operator="containsText" text="Large">
      <formula>NOT(ISERROR(SEARCH("Large",J20)))</formula>
    </cfRule>
  </conditionalFormatting>
  <conditionalFormatting sqref="J20">
    <cfRule type="containsText" dxfId="3609" priority="3582" operator="containsText" text="Small">
      <formula>NOT(ISERROR(SEARCH("Small",J20)))</formula>
    </cfRule>
    <cfRule type="containsText" dxfId="3608" priority="3583" operator="containsText" text="Mid">
      <formula>NOT(ISERROR(SEARCH("Mid",J20)))</formula>
    </cfRule>
    <cfRule type="containsText" dxfId="3607" priority="3584" operator="containsText" text="Large">
      <formula>NOT(ISERROR(SEARCH("Large",J20)))</formula>
    </cfRule>
  </conditionalFormatting>
  <conditionalFormatting sqref="J20">
    <cfRule type="containsText" dxfId="3606" priority="3579" operator="containsText" text="Small">
      <formula>NOT(ISERROR(SEARCH("Small",J20)))</formula>
    </cfRule>
    <cfRule type="containsText" dxfId="3605" priority="3580" operator="containsText" text="Mid">
      <formula>NOT(ISERROR(SEARCH("Mid",J20)))</formula>
    </cfRule>
    <cfRule type="containsText" dxfId="3604" priority="3581" operator="containsText" text="Large">
      <formula>NOT(ISERROR(SEARCH("Large",J20)))</formula>
    </cfRule>
  </conditionalFormatting>
  <conditionalFormatting sqref="Q20">
    <cfRule type="containsText" dxfId="3603" priority="3576" operator="containsText" text="Small">
      <formula>NOT(ISERROR(SEARCH("Small",Q20)))</formula>
    </cfRule>
    <cfRule type="containsText" dxfId="3602" priority="3577" operator="containsText" text="Mid">
      <formula>NOT(ISERROR(SEARCH("Mid",Q20)))</formula>
    </cfRule>
    <cfRule type="containsText" dxfId="3601" priority="3578" operator="containsText" text="Large">
      <formula>NOT(ISERROR(SEARCH("Large",Q20)))</formula>
    </cfRule>
  </conditionalFormatting>
  <conditionalFormatting sqref="Q20">
    <cfRule type="containsText" dxfId="3600" priority="3573" operator="containsText" text="Small">
      <formula>NOT(ISERROR(SEARCH("Small",Q20)))</formula>
    </cfRule>
    <cfRule type="containsText" dxfId="3599" priority="3574" operator="containsText" text="Mid">
      <formula>NOT(ISERROR(SEARCH("Mid",Q20)))</formula>
    </cfRule>
    <cfRule type="containsText" dxfId="3598" priority="3575" operator="containsText" text="Large">
      <formula>NOT(ISERROR(SEARCH("Large",Q20)))</formula>
    </cfRule>
  </conditionalFormatting>
  <conditionalFormatting sqref="Q20">
    <cfRule type="containsText" dxfId="3597" priority="3570" operator="containsText" text="Small">
      <formula>NOT(ISERROR(SEARCH("Small",Q20)))</formula>
    </cfRule>
    <cfRule type="containsText" dxfId="3596" priority="3571" operator="containsText" text="Mid">
      <formula>NOT(ISERROR(SEARCH("Mid",Q20)))</formula>
    </cfRule>
    <cfRule type="containsText" dxfId="3595" priority="3572" operator="containsText" text="Large">
      <formula>NOT(ISERROR(SEARCH("Large",Q20)))</formula>
    </cfRule>
  </conditionalFormatting>
  <conditionalFormatting sqref="Q20">
    <cfRule type="containsText" dxfId="3594" priority="3567" operator="containsText" text="Small">
      <formula>NOT(ISERROR(SEARCH("Small",Q20)))</formula>
    </cfRule>
    <cfRule type="containsText" dxfId="3593" priority="3568" operator="containsText" text="Mid">
      <formula>NOT(ISERROR(SEARCH("Mid",Q20)))</formula>
    </cfRule>
    <cfRule type="containsText" dxfId="3592" priority="3569" operator="containsText" text="Large">
      <formula>NOT(ISERROR(SEARCH("Large",Q20)))</formula>
    </cfRule>
  </conditionalFormatting>
  <conditionalFormatting sqref="Q20">
    <cfRule type="containsText" dxfId="3591" priority="3564" operator="containsText" text="Small">
      <formula>NOT(ISERROR(SEARCH("Small",Q20)))</formula>
    </cfRule>
    <cfRule type="containsText" dxfId="3590" priority="3565" operator="containsText" text="Mid">
      <formula>NOT(ISERROR(SEARCH("Mid",Q20)))</formula>
    </cfRule>
    <cfRule type="containsText" dxfId="3589" priority="3566" operator="containsText" text="Large">
      <formula>NOT(ISERROR(SEARCH("Large",Q20)))</formula>
    </cfRule>
  </conditionalFormatting>
  <conditionalFormatting sqref="Q20">
    <cfRule type="containsText" dxfId="3588" priority="3561" operator="containsText" text="Small">
      <formula>NOT(ISERROR(SEARCH("Small",Q20)))</formula>
    </cfRule>
    <cfRule type="containsText" dxfId="3587" priority="3562" operator="containsText" text="Mid">
      <formula>NOT(ISERROR(SEARCH("Mid",Q20)))</formula>
    </cfRule>
    <cfRule type="containsText" dxfId="3586" priority="3563" operator="containsText" text="Large">
      <formula>NOT(ISERROR(SEARCH("Large",Q20)))</formula>
    </cfRule>
  </conditionalFormatting>
  <conditionalFormatting sqref="Q20">
    <cfRule type="containsText" dxfId="3585" priority="3558" operator="containsText" text="Small">
      <formula>NOT(ISERROR(SEARCH("Small",Q20)))</formula>
    </cfRule>
    <cfRule type="containsText" dxfId="3584" priority="3559" operator="containsText" text="Mid">
      <formula>NOT(ISERROR(SEARCH("Mid",Q20)))</formula>
    </cfRule>
    <cfRule type="containsText" dxfId="3583" priority="3560" operator="containsText" text="Large">
      <formula>NOT(ISERROR(SEARCH("Large",Q20)))</formula>
    </cfRule>
  </conditionalFormatting>
  <conditionalFormatting sqref="Q20">
    <cfRule type="containsText" dxfId="3582" priority="3555" operator="containsText" text="Small">
      <formula>NOT(ISERROR(SEARCH("Small",Q20)))</formula>
    </cfRule>
    <cfRule type="containsText" dxfId="3581" priority="3556" operator="containsText" text="Mid">
      <formula>NOT(ISERROR(SEARCH("Mid",Q20)))</formula>
    </cfRule>
    <cfRule type="containsText" dxfId="3580" priority="3557" operator="containsText" text="Large">
      <formula>NOT(ISERROR(SEARCH("Large",Q20)))</formula>
    </cfRule>
  </conditionalFormatting>
  <conditionalFormatting sqref="Q20">
    <cfRule type="containsText" dxfId="3579" priority="3552" operator="containsText" text="Small">
      <formula>NOT(ISERROR(SEARCH("Small",Q20)))</formula>
    </cfRule>
    <cfRule type="containsText" dxfId="3578" priority="3553" operator="containsText" text="Mid">
      <formula>NOT(ISERROR(SEARCH("Mid",Q20)))</formula>
    </cfRule>
    <cfRule type="containsText" dxfId="3577" priority="3554" operator="containsText" text="Large">
      <formula>NOT(ISERROR(SEARCH("Large",Q20)))</formula>
    </cfRule>
  </conditionalFormatting>
  <conditionalFormatting sqref="Q20">
    <cfRule type="containsText" dxfId="3576" priority="3549" operator="containsText" text="Small">
      <formula>NOT(ISERROR(SEARCH("Small",Q20)))</formula>
    </cfRule>
    <cfRule type="containsText" dxfId="3575" priority="3550" operator="containsText" text="Mid">
      <formula>NOT(ISERROR(SEARCH("Mid",Q20)))</formula>
    </cfRule>
    <cfRule type="containsText" dxfId="3574" priority="3551" operator="containsText" text="Large">
      <formula>NOT(ISERROR(SEARCH("Large",Q20)))</formula>
    </cfRule>
  </conditionalFormatting>
  <conditionalFormatting sqref="Q20">
    <cfRule type="containsText" dxfId="3573" priority="3546" operator="containsText" text="Small">
      <formula>NOT(ISERROR(SEARCH("Small",Q20)))</formula>
    </cfRule>
    <cfRule type="containsText" dxfId="3572" priority="3547" operator="containsText" text="Mid">
      <formula>NOT(ISERROR(SEARCH("Mid",Q20)))</formula>
    </cfRule>
    <cfRule type="containsText" dxfId="3571" priority="3548" operator="containsText" text="Large">
      <formula>NOT(ISERROR(SEARCH("Large",Q20)))</formula>
    </cfRule>
  </conditionalFormatting>
  <conditionalFormatting sqref="Q20">
    <cfRule type="containsText" dxfId="3570" priority="3543" operator="containsText" text="Small">
      <formula>NOT(ISERROR(SEARCH("Small",Q20)))</formula>
    </cfRule>
    <cfRule type="containsText" dxfId="3569" priority="3544" operator="containsText" text="Mid">
      <formula>NOT(ISERROR(SEARCH("Mid",Q20)))</formula>
    </cfRule>
    <cfRule type="containsText" dxfId="3568" priority="3545" operator="containsText" text="Large">
      <formula>NOT(ISERROR(SEARCH("Large",Q20)))</formula>
    </cfRule>
  </conditionalFormatting>
  <conditionalFormatting sqref="Q20">
    <cfRule type="containsText" dxfId="3567" priority="3540" operator="containsText" text="Small">
      <formula>NOT(ISERROR(SEARCH("Small",Q20)))</formula>
    </cfRule>
    <cfRule type="containsText" dxfId="3566" priority="3541" operator="containsText" text="Mid">
      <formula>NOT(ISERROR(SEARCH("Mid",Q20)))</formula>
    </cfRule>
    <cfRule type="containsText" dxfId="3565" priority="3542" operator="containsText" text="Large">
      <formula>NOT(ISERROR(SEARCH("Large",Q20)))</formula>
    </cfRule>
  </conditionalFormatting>
  <conditionalFormatting sqref="Q20">
    <cfRule type="containsText" dxfId="3564" priority="3537" operator="containsText" text="Small">
      <formula>NOT(ISERROR(SEARCH("Small",Q20)))</formula>
    </cfRule>
    <cfRule type="containsText" dxfId="3563" priority="3538" operator="containsText" text="Mid">
      <formula>NOT(ISERROR(SEARCH("Mid",Q20)))</formula>
    </cfRule>
    <cfRule type="containsText" dxfId="3562" priority="3539" operator="containsText" text="Large">
      <formula>NOT(ISERROR(SEARCH("Large",Q20)))</formula>
    </cfRule>
  </conditionalFormatting>
  <conditionalFormatting sqref="Q20">
    <cfRule type="containsText" dxfId="3561" priority="3534" operator="containsText" text="Small">
      <formula>NOT(ISERROR(SEARCH("Small",Q20)))</formula>
    </cfRule>
    <cfRule type="containsText" dxfId="3560" priority="3535" operator="containsText" text="Mid">
      <formula>NOT(ISERROR(SEARCH("Mid",Q20)))</formula>
    </cfRule>
    <cfRule type="containsText" dxfId="3559" priority="3536" operator="containsText" text="Large">
      <formula>NOT(ISERROR(SEARCH("Large",Q20)))</formula>
    </cfRule>
  </conditionalFormatting>
  <conditionalFormatting sqref="Q20">
    <cfRule type="containsText" dxfId="3558" priority="3531" operator="containsText" text="Small">
      <formula>NOT(ISERROR(SEARCH("Small",Q20)))</formula>
    </cfRule>
    <cfRule type="containsText" dxfId="3557" priority="3532" operator="containsText" text="Mid">
      <formula>NOT(ISERROR(SEARCH("Mid",Q20)))</formula>
    </cfRule>
    <cfRule type="containsText" dxfId="3556" priority="3533" operator="containsText" text="Large">
      <formula>NOT(ISERROR(SEARCH("Large",Q20)))</formula>
    </cfRule>
  </conditionalFormatting>
  <conditionalFormatting sqref="Q20">
    <cfRule type="containsText" dxfId="3555" priority="3528" operator="containsText" text="Small">
      <formula>NOT(ISERROR(SEARCH("Small",Q20)))</formula>
    </cfRule>
    <cfRule type="containsText" dxfId="3554" priority="3529" operator="containsText" text="Mid">
      <formula>NOT(ISERROR(SEARCH("Mid",Q20)))</formula>
    </cfRule>
    <cfRule type="containsText" dxfId="3553" priority="3530" operator="containsText" text="Large">
      <formula>NOT(ISERROR(SEARCH("Large",Q20)))</formula>
    </cfRule>
  </conditionalFormatting>
  <conditionalFormatting sqref="Q20">
    <cfRule type="containsText" dxfId="3552" priority="3525" operator="containsText" text="Small">
      <formula>NOT(ISERROR(SEARCH("Small",Q20)))</formula>
    </cfRule>
    <cfRule type="containsText" dxfId="3551" priority="3526" operator="containsText" text="Mid">
      <formula>NOT(ISERROR(SEARCH("Mid",Q20)))</formula>
    </cfRule>
    <cfRule type="containsText" dxfId="3550" priority="3527" operator="containsText" text="Large">
      <formula>NOT(ISERROR(SEARCH("Large",Q20)))</formula>
    </cfRule>
  </conditionalFormatting>
  <conditionalFormatting sqref="Q34">
    <cfRule type="containsText" dxfId="3549" priority="3522" operator="containsText" text="Small">
      <formula>NOT(ISERROR(SEARCH("Small",Q34)))</formula>
    </cfRule>
    <cfRule type="containsText" dxfId="3548" priority="3523" operator="containsText" text="Mid">
      <formula>NOT(ISERROR(SEARCH("Mid",Q34)))</formula>
    </cfRule>
    <cfRule type="containsText" dxfId="3547" priority="3524" operator="containsText" text="Large">
      <formula>NOT(ISERROR(SEARCH("Large",Q34)))</formula>
    </cfRule>
  </conditionalFormatting>
  <conditionalFormatting sqref="Q34">
    <cfRule type="containsText" dxfId="3546" priority="3519" operator="containsText" text="Small">
      <formula>NOT(ISERROR(SEARCH("Small",Q34)))</formula>
    </cfRule>
    <cfRule type="containsText" dxfId="3545" priority="3520" operator="containsText" text="Mid">
      <formula>NOT(ISERROR(SEARCH("Mid",Q34)))</formula>
    </cfRule>
    <cfRule type="containsText" dxfId="3544" priority="3521" operator="containsText" text="Large">
      <formula>NOT(ISERROR(SEARCH("Large",Q34)))</formula>
    </cfRule>
  </conditionalFormatting>
  <conditionalFormatting sqref="Q34">
    <cfRule type="containsText" dxfId="3543" priority="3516" operator="containsText" text="Small">
      <formula>NOT(ISERROR(SEARCH("Small",Q34)))</formula>
    </cfRule>
    <cfRule type="containsText" dxfId="3542" priority="3517" operator="containsText" text="Mid">
      <formula>NOT(ISERROR(SEARCH("Mid",Q34)))</formula>
    </cfRule>
    <cfRule type="containsText" dxfId="3541" priority="3518" operator="containsText" text="Large">
      <formula>NOT(ISERROR(SEARCH("Large",Q34)))</formula>
    </cfRule>
  </conditionalFormatting>
  <conditionalFormatting sqref="Q34">
    <cfRule type="containsText" dxfId="3540" priority="3513" operator="containsText" text="Small">
      <formula>NOT(ISERROR(SEARCH("Small",Q34)))</formula>
    </cfRule>
    <cfRule type="containsText" dxfId="3539" priority="3514" operator="containsText" text="Mid">
      <formula>NOT(ISERROR(SEARCH("Mid",Q34)))</formula>
    </cfRule>
    <cfRule type="containsText" dxfId="3538" priority="3515" operator="containsText" text="Large">
      <formula>NOT(ISERROR(SEARCH("Large",Q34)))</formula>
    </cfRule>
  </conditionalFormatting>
  <conditionalFormatting sqref="Q34">
    <cfRule type="containsText" dxfId="3537" priority="3510" operator="containsText" text="Small">
      <formula>NOT(ISERROR(SEARCH("Small",Q34)))</formula>
    </cfRule>
    <cfRule type="containsText" dxfId="3536" priority="3511" operator="containsText" text="Mid">
      <formula>NOT(ISERROR(SEARCH("Mid",Q34)))</formula>
    </cfRule>
    <cfRule type="containsText" dxfId="3535" priority="3512" operator="containsText" text="Large">
      <formula>NOT(ISERROR(SEARCH("Large",Q34)))</formula>
    </cfRule>
  </conditionalFormatting>
  <conditionalFormatting sqref="Q34">
    <cfRule type="containsText" dxfId="3534" priority="3507" operator="containsText" text="Small">
      <formula>NOT(ISERROR(SEARCH("Small",Q34)))</formula>
    </cfRule>
    <cfRule type="containsText" dxfId="3533" priority="3508" operator="containsText" text="Mid">
      <formula>NOT(ISERROR(SEARCH("Mid",Q34)))</formula>
    </cfRule>
    <cfRule type="containsText" dxfId="3532" priority="3509" operator="containsText" text="Large">
      <formula>NOT(ISERROR(SEARCH("Large",Q34)))</formula>
    </cfRule>
  </conditionalFormatting>
  <conditionalFormatting sqref="Q34">
    <cfRule type="containsText" dxfId="3531" priority="3504" operator="containsText" text="Small">
      <formula>NOT(ISERROR(SEARCH("Small",Q34)))</formula>
    </cfRule>
    <cfRule type="containsText" dxfId="3530" priority="3505" operator="containsText" text="Mid">
      <formula>NOT(ISERROR(SEARCH("Mid",Q34)))</formula>
    </cfRule>
    <cfRule type="containsText" dxfId="3529" priority="3506" operator="containsText" text="Large">
      <formula>NOT(ISERROR(SEARCH("Large",Q34)))</formula>
    </cfRule>
  </conditionalFormatting>
  <conditionalFormatting sqref="Q34">
    <cfRule type="containsText" dxfId="3528" priority="3501" operator="containsText" text="Small">
      <formula>NOT(ISERROR(SEARCH("Small",Q34)))</formula>
    </cfRule>
    <cfRule type="containsText" dxfId="3527" priority="3502" operator="containsText" text="Mid">
      <formula>NOT(ISERROR(SEARCH("Mid",Q34)))</formula>
    </cfRule>
    <cfRule type="containsText" dxfId="3526" priority="3503" operator="containsText" text="Large">
      <formula>NOT(ISERROR(SEARCH("Large",Q34)))</formula>
    </cfRule>
  </conditionalFormatting>
  <conditionalFormatting sqref="Q34">
    <cfRule type="containsText" dxfId="3525" priority="3498" operator="containsText" text="Small">
      <formula>NOT(ISERROR(SEARCH("Small",Q34)))</formula>
    </cfRule>
    <cfRule type="containsText" dxfId="3524" priority="3499" operator="containsText" text="Mid">
      <formula>NOT(ISERROR(SEARCH("Mid",Q34)))</formula>
    </cfRule>
    <cfRule type="containsText" dxfId="3523" priority="3500" operator="containsText" text="Large">
      <formula>NOT(ISERROR(SEARCH("Large",Q34)))</formula>
    </cfRule>
  </conditionalFormatting>
  <conditionalFormatting sqref="Q34">
    <cfRule type="containsText" dxfId="3522" priority="3495" operator="containsText" text="Small">
      <formula>NOT(ISERROR(SEARCH("Small",Q34)))</formula>
    </cfRule>
    <cfRule type="containsText" dxfId="3521" priority="3496" operator="containsText" text="Mid">
      <formula>NOT(ISERROR(SEARCH("Mid",Q34)))</formula>
    </cfRule>
    <cfRule type="containsText" dxfId="3520" priority="3497" operator="containsText" text="Large">
      <formula>NOT(ISERROR(SEARCH("Large",Q34)))</formula>
    </cfRule>
  </conditionalFormatting>
  <conditionalFormatting sqref="Q34">
    <cfRule type="containsText" dxfId="3519" priority="3492" operator="containsText" text="Small">
      <formula>NOT(ISERROR(SEARCH("Small",Q34)))</formula>
    </cfRule>
    <cfRule type="containsText" dxfId="3518" priority="3493" operator="containsText" text="Mid">
      <formula>NOT(ISERROR(SEARCH("Mid",Q34)))</formula>
    </cfRule>
    <cfRule type="containsText" dxfId="3517" priority="3494" operator="containsText" text="Large">
      <formula>NOT(ISERROR(SEARCH("Large",Q34)))</formula>
    </cfRule>
  </conditionalFormatting>
  <conditionalFormatting sqref="Q34">
    <cfRule type="containsText" dxfId="3516" priority="3489" operator="containsText" text="Small">
      <formula>NOT(ISERROR(SEARCH("Small",Q34)))</formula>
    </cfRule>
    <cfRule type="containsText" dxfId="3515" priority="3490" operator="containsText" text="Mid">
      <formula>NOT(ISERROR(SEARCH("Mid",Q34)))</formula>
    </cfRule>
    <cfRule type="containsText" dxfId="3514" priority="3491" operator="containsText" text="Large">
      <formula>NOT(ISERROR(SEARCH("Large",Q34)))</formula>
    </cfRule>
  </conditionalFormatting>
  <conditionalFormatting sqref="Q34">
    <cfRule type="containsText" dxfId="3513" priority="3486" operator="containsText" text="Small">
      <formula>NOT(ISERROR(SEARCH("Small",Q34)))</formula>
    </cfRule>
    <cfRule type="containsText" dxfId="3512" priority="3487" operator="containsText" text="Mid">
      <formula>NOT(ISERROR(SEARCH("Mid",Q34)))</formula>
    </cfRule>
    <cfRule type="containsText" dxfId="3511" priority="3488" operator="containsText" text="Large">
      <formula>NOT(ISERROR(SEARCH("Large",Q34)))</formula>
    </cfRule>
  </conditionalFormatting>
  <conditionalFormatting sqref="Q34">
    <cfRule type="containsText" dxfId="3510" priority="3483" operator="containsText" text="Small">
      <formula>NOT(ISERROR(SEARCH("Small",Q34)))</formula>
    </cfRule>
    <cfRule type="containsText" dxfId="3509" priority="3484" operator="containsText" text="Mid">
      <formula>NOT(ISERROR(SEARCH("Mid",Q34)))</formula>
    </cfRule>
    <cfRule type="containsText" dxfId="3508" priority="3485" operator="containsText" text="Large">
      <formula>NOT(ISERROR(SEARCH("Large",Q34)))</formula>
    </cfRule>
  </conditionalFormatting>
  <conditionalFormatting sqref="Q34">
    <cfRule type="containsText" dxfId="3507" priority="3480" operator="containsText" text="Small">
      <formula>NOT(ISERROR(SEARCH("Small",Q34)))</formula>
    </cfRule>
    <cfRule type="containsText" dxfId="3506" priority="3481" operator="containsText" text="Mid">
      <formula>NOT(ISERROR(SEARCH("Mid",Q34)))</formula>
    </cfRule>
    <cfRule type="containsText" dxfId="3505" priority="3482" operator="containsText" text="Large">
      <formula>NOT(ISERROR(SEARCH("Large",Q34)))</formula>
    </cfRule>
  </conditionalFormatting>
  <conditionalFormatting sqref="Q34">
    <cfRule type="containsText" dxfId="3504" priority="3477" operator="containsText" text="Small">
      <formula>NOT(ISERROR(SEARCH("Small",Q34)))</formula>
    </cfRule>
    <cfRule type="containsText" dxfId="3503" priority="3478" operator="containsText" text="Mid">
      <formula>NOT(ISERROR(SEARCH("Mid",Q34)))</formula>
    </cfRule>
    <cfRule type="containsText" dxfId="3502" priority="3479" operator="containsText" text="Large">
      <formula>NOT(ISERROR(SEARCH("Large",Q34)))</formula>
    </cfRule>
  </conditionalFormatting>
  <conditionalFormatting sqref="Q34">
    <cfRule type="containsText" dxfId="3501" priority="3474" operator="containsText" text="Small">
      <formula>NOT(ISERROR(SEARCH("Small",Q34)))</formula>
    </cfRule>
    <cfRule type="containsText" dxfId="3500" priority="3475" operator="containsText" text="Mid">
      <formula>NOT(ISERROR(SEARCH("Mid",Q34)))</formula>
    </cfRule>
    <cfRule type="containsText" dxfId="3499" priority="3476" operator="containsText" text="Large">
      <formula>NOT(ISERROR(SEARCH("Large",Q34)))</formula>
    </cfRule>
  </conditionalFormatting>
  <conditionalFormatting sqref="Q34">
    <cfRule type="containsText" dxfId="3498" priority="3471" operator="containsText" text="Small">
      <formula>NOT(ISERROR(SEARCH("Small",Q34)))</formula>
    </cfRule>
    <cfRule type="containsText" dxfId="3497" priority="3472" operator="containsText" text="Mid">
      <formula>NOT(ISERROR(SEARCH("Mid",Q34)))</formula>
    </cfRule>
    <cfRule type="containsText" dxfId="3496" priority="3473" operator="containsText" text="Large">
      <formula>NOT(ISERROR(SEARCH("Large",Q34)))</formula>
    </cfRule>
  </conditionalFormatting>
  <conditionalFormatting sqref="Q34">
    <cfRule type="containsText" dxfId="3495" priority="3468" operator="containsText" text="Small">
      <formula>NOT(ISERROR(SEARCH("Small",Q34)))</formula>
    </cfRule>
    <cfRule type="containsText" dxfId="3494" priority="3469" operator="containsText" text="Mid">
      <formula>NOT(ISERROR(SEARCH("Mid",Q34)))</formula>
    </cfRule>
    <cfRule type="containsText" dxfId="3493" priority="3470" operator="containsText" text="Large">
      <formula>NOT(ISERROR(SEARCH("Large",Q34)))</formula>
    </cfRule>
  </conditionalFormatting>
  <conditionalFormatting sqref="Q34">
    <cfRule type="containsText" dxfId="3492" priority="3465" operator="containsText" text="Small">
      <formula>NOT(ISERROR(SEARCH("Small",Q34)))</formula>
    </cfRule>
    <cfRule type="containsText" dxfId="3491" priority="3466" operator="containsText" text="Mid">
      <formula>NOT(ISERROR(SEARCH("Mid",Q34)))</formula>
    </cfRule>
    <cfRule type="containsText" dxfId="3490" priority="3467" operator="containsText" text="Large">
      <formula>NOT(ISERROR(SEARCH("Large",Q34)))</formula>
    </cfRule>
  </conditionalFormatting>
  <conditionalFormatting sqref="Q34">
    <cfRule type="containsText" dxfId="3489" priority="3462" operator="containsText" text="Small">
      <formula>NOT(ISERROR(SEARCH("Small",Q34)))</formula>
    </cfRule>
    <cfRule type="containsText" dxfId="3488" priority="3463" operator="containsText" text="Mid">
      <formula>NOT(ISERROR(SEARCH("Mid",Q34)))</formula>
    </cfRule>
    <cfRule type="containsText" dxfId="3487" priority="3464" operator="containsText" text="Large">
      <formula>NOT(ISERROR(SEARCH("Large",Q34)))</formula>
    </cfRule>
  </conditionalFormatting>
  <conditionalFormatting sqref="Q48">
    <cfRule type="containsText" dxfId="3486" priority="3459" operator="containsText" text="Small">
      <formula>NOT(ISERROR(SEARCH("Small",Q48)))</formula>
    </cfRule>
    <cfRule type="containsText" dxfId="3485" priority="3460" operator="containsText" text="Mid">
      <formula>NOT(ISERROR(SEARCH("Mid",Q48)))</formula>
    </cfRule>
    <cfRule type="containsText" dxfId="3484" priority="3461" operator="containsText" text="Large">
      <formula>NOT(ISERROR(SEARCH("Large",Q48)))</formula>
    </cfRule>
  </conditionalFormatting>
  <conditionalFormatting sqref="Q48">
    <cfRule type="containsText" dxfId="3483" priority="3456" operator="containsText" text="Small">
      <formula>NOT(ISERROR(SEARCH("Small",Q48)))</formula>
    </cfRule>
    <cfRule type="containsText" dxfId="3482" priority="3457" operator="containsText" text="Mid">
      <formula>NOT(ISERROR(SEARCH("Mid",Q48)))</formula>
    </cfRule>
    <cfRule type="containsText" dxfId="3481" priority="3458" operator="containsText" text="Large">
      <formula>NOT(ISERROR(SEARCH("Large",Q48)))</formula>
    </cfRule>
  </conditionalFormatting>
  <conditionalFormatting sqref="Q48">
    <cfRule type="containsText" dxfId="3480" priority="3453" operator="containsText" text="Small">
      <formula>NOT(ISERROR(SEARCH("Small",Q48)))</formula>
    </cfRule>
    <cfRule type="containsText" dxfId="3479" priority="3454" operator="containsText" text="Mid">
      <formula>NOT(ISERROR(SEARCH("Mid",Q48)))</formula>
    </cfRule>
    <cfRule type="containsText" dxfId="3478" priority="3455" operator="containsText" text="Large">
      <formula>NOT(ISERROR(SEARCH("Large",Q48)))</formula>
    </cfRule>
  </conditionalFormatting>
  <conditionalFormatting sqref="Q48">
    <cfRule type="containsText" dxfId="3477" priority="3450" operator="containsText" text="Small">
      <formula>NOT(ISERROR(SEARCH("Small",Q48)))</formula>
    </cfRule>
    <cfRule type="containsText" dxfId="3476" priority="3451" operator="containsText" text="Mid">
      <formula>NOT(ISERROR(SEARCH("Mid",Q48)))</formula>
    </cfRule>
    <cfRule type="containsText" dxfId="3475" priority="3452" operator="containsText" text="Large">
      <formula>NOT(ISERROR(SEARCH("Large",Q48)))</formula>
    </cfRule>
  </conditionalFormatting>
  <conditionalFormatting sqref="Q48">
    <cfRule type="containsText" dxfId="3474" priority="3447" operator="containsText" text="Small">
      <formula>NOT(ISERROR(SEARCH("Small",Q48)))</formula>
    </cfRule>
    <cfRule type="containsText" dxfId="3473" priority="3448" operator="containsText" text="Mid">
      <formula>NOT(ISERROR(SEARCH("Mid",Q48)))</formula>
    </cfRule>
    <cfRule type="containsText" dxfId="3472" priority="3449" operator="containsText" text="Large">
      <formula>NOT(ISERROR(SEARCH("Large",Q48)))</formula>
    </cfRule>
  </conditionalFormatting>
  <conditionalFormatting sqref="Q48">
    <cfRule type="containsText" dxfId="3471" priority="3444" operator="containsText" text="Small">
      <formula>NOT(ISERROR(SEARCH("Small",Q48)))</formula>
    </cfRule>
    <cfRule type="containsText" dxfId="3470" priority="3445" operator="containsText" text="Mid">
      <formula>NOT(ISERROR(SEARCH("Mid",Q48)))</formula>
    </cfRule>
    <cfRule type="containsText" dxfId="3469" priority="3446" operator="containsText" text="Large">
      <formula>NOT(ISERROR(SEARCH("Large",Q48)))</formula>
    </cfRule>
  </conditionalFormatting>
  <conditionalFormatting sqref="Q48">
    <cfRule type="containsText" dxfId="3468" priority="3441" operator="containsText" text="Small">
      <formula>NOT(ISERROR(SEARCH("Small",Q48)))</formula>
    </cfRule>
    <cfRule type="containsText" dxfId="3467" priority="3442" operator="containsText" text="Mid">
      <formula>NOT(ISERROR(SEARCH("Mid",Q48)))</formula>
    </cfRule>
    <cfRule type="containsText" dxfId="3466" priority="3443" operator="containsText" text="Large">
      <formula>NOT(ISERROR(SEARCH("Large",Q48)))</formula>
    </cfRule>
  </conditionalFormatting>
  <conditionalFormatting sqref="Q48">
    <cfRule type="containsText" dxfId="3465" priority="3438" operator="containsText" text="Small">
      <formula>NOT(ISERROR(SEARCH("Small",Q48)))</formula>
    </cfRule>
    <cfRule type="containsText" dxfId="3464" priority="3439" operator="containsText" text="Mid">
      <formula>NOT(ISERROR(SEARCH("Mid",Q48)))</formula>
    </cfRule>
    <cfRule type="containsText" dxfId="3463" priority="3440" operator="containsText" text="Large">
      <formula>NOT(ISERROR(SEARCH("Large",Q48)))</formula>
    </cfRule>
  </conditionalFormatting>
  <conditionalFormatting sqref="Q48">
    <cfRule type="containsText" dxfId="3462" priority="3435" operator="containsText" text="Small">
      <formula>NOT(ISERROR(SEARCH("Small",Q48)))</formula>
    </cfRule>
    <cfRule type="containsText" dxfId="3461" priority="3436" operator="containsText" text="Mid">
      <formula>NOT(ISERROR(SEARCH("Mid",Q48)))</formula>
    </cfRule>
    <cfRule type="containsText" dxfId="3460" priority="3437" operator="containsText" text="Large">
      <formula>NOT(ISERROR(SEARCH("Large",Q48)))</formula>
    </cfRule>
  </conditionalFormatting>
  <conditionalFormatting sqref="Q48">
    <cfRule type="containsText" dxfId="3459" priority="3432" operator="containsText" text="Small">
      <formula>NOT(ISERROR(SEARCH("Small",Q48)))</formula>
    </cfRule>
    <cfRule type="containsText" dxfId="3458" priority="3433" operator="containsText" text="Mid">
      <formula>NOT(ISERROR(SEARCH("Mid",Q48)))</formula>
    </cfRule>
    <cfRule type="containsText" dxfId="3457" priority="3434" operator="containsText" text="Large">
      <formula>NOT(ISERROR(SEARCH("Large",Q48)))</formula>
    </cfRule>
  </conditionalFormatting>
  <conditionalFormatting sqref="Q48">
    <cfRule type="containsText" dxfId="3456" priority="3429" operator="containsText" text="Small">
      <formula>NOT(ISERROR(SEARCH("Small",Q48)))</formula>
    </cfRule>
    <cfRule type="containsText" dxfId="3455" priority="3430" operator="containsText" text="Mid">
      <formula>NOT(ISERROR(SEARCH("Mid",Q48)))</formula>
    </cfRule>
    <cfRule type="containsText" dxfId="3454" priority="3431" operator="containsText" text="Large">
      <formula>NOT(ISERROR(SEARCH("Large",Q48)))</formula>
    </cfRule>
  </conditionalFormatting>
  <conditionalFormatting sqref="Q48">
    <cfRule type="containsText" dxfId="3453" priority="3426" operator="containsText" text="Small">
      <formula>NOT(ISERROR(SEARCH("Small",Q48)))</formula>
    </cfRule>
    <cfRule type="containsText" dxfId="3452" priority="3427" operator="containsText" text="Mid">
      <formula>NOT(ISERROR(SEARCH("Mid",Q48)))</formula>
    </cfRule>
    <cfRule type="containsText" dxfId="3451" priority="3428" operator="containsText" text="Large">
      <formula>NOT(ISERROR(SEARCH("Large",Q48)))</formula>
    </cfRule>
  </conditionalFormatting>
  <conditionalFormatting sqref="Q48">
    <cfRule type="containsText" dxfId="3450" priority="3423" operator="containsText" text="Small">
      <formula>NOT(ISERROR(SEARCH("Small",Q48)))</formula>
    </cfRule>
    <cfRule type="containsText" dxfId="3449" priority="3424" operator="containsText" text="Mid">
      <formula>NOT(ISERROR(SEARCH("Mid",Q48)))</formula>
    </cfRule>
    <cfRule type="containsText" dxfId="3448" priority="3425" operator="containsText" text="Large">
      <formula>NOT(ISERROR(SEARCH("Large",Q48)))</formula>
    </cfRule>
  </conditionalFormatting>
  <conditionalFormatting sqref="Q48">
    <cfRule type="containsText" dxfId="3447" priority="3420" operator="containsText" text="Small">
      <formula>NOT(ISERROR(SEARCH("Small",Q48)))</formula>
    </cfRule>
    <cfRule type="containsText" dxfId="3446" priority="3421" operator="containsText" text="Mid">
      <formula>NOT(ISERROR(SEARCH("Mid",Q48)))</formula>
    </cfRule>
    <cfRule type="containsText" dxfId="3445" priority="3422" operator="containsText" text="Large">
      <formula>NOT(ISERROR(SEARCH("Large",Q48)))</formula>
    </cfRule>
  </conditionalFormatting>
  <conditionalFormatting sqref="Q48">
    <cfRule type="containsText" dxfId="3444" priority="3417" operator="containsText" text="Small">
      <formula>NOT(ISERROR(SEARCH("Small",Q48)))</formula>
    </cfRule>
    <cfRule type="containsText" dxfId="3443" priority="3418" operator="containsText" text="Mid">
      <formula>NOT(ISERROR(SEARCH("Mid",Q48)))</formula>
    </cfRule>
    <cfRule type="containsText" dxfId="3442" priority="3419" operator="containsText" text="Large">
      <formula>NOT(ISERROR(SEARCH("Large",Q48)))</formula>
    </cfRule>
  </conditionalFormatting>
  <conditionalFormatting sqref="Q48">
    <cfRule type="containsText" dxfId="3441" priority="3414" operator="containsText" text="Small">
      <formula>NOT(ISERROR(SEARCH("Small",Q48)))</formula>
    </cfRule>
    <cfRule type="containsText" dxfId="3440" priority="3415" operator="containsText" text="Mid">
      <formula>NOT(ISERROR(SEARCH("Mid",Q48)))</formula>
    </cfRule>
    <cfRule type="containsText" dxfId="3439" priority="3416" operator="containsText" text="Large">
      <formula>NOT(ISERROR(SEARCH("Large",Q48)))</formula>
    </cfRule>
  </conditionalFormatting>
  <conditionalFormatting sqref="Q48">
    <cfRule type="containsText" dxfId="3438" priority="3411" operator="containsText" text="Small">
      <formula>NOT(ISERROR(SEARCH("Small",Q48)))</formula>
    </cfRule>
    <cfRule type="containsText" dxfId="3437" priority="3412" operator="containsText" text="Mid">
      <formula>NOT(ISERROR(SEARCH("Mid",Q48)))</formula>
    </cfRule>
    <cfRule type="containsText" dxfId="3436" priority="3413" operator="containsText" text="Large">
      <formula>NOT(ISERROR(SEARCH("Large",Q48)))</formula>
    </cfRule>
  </conditionalFormatting>
  <conditionalFormatting sqref="Q48">
    <cfRule type="containsText" dxfId="3435" priority="3408" operator="containsText" text="Small">
      <formula>NOT(ISERROR(SEARCH("Small",Q48)))</formula>
    </cfRule>
    <cfRule type="containsText" dxfId="3434" priority="3409" operator="containsText" text="Mid">
      <formula>NOT(ISERROR(SEARCH("Mid",Q48)))</formula>
    </cfRule>
    <cfRule type="containsText" dxfId="3433" priority="3410" operator="containsText" text="Large">
      <formula>NOT(ISERROR(SEARCH("Large",Q48)))</formula>
    </cfRule>
  </conditionalFormatting>
  <conditionalFormatting sqref="Q48">
    <cfRule type="containsText" dxfId="3432" priority="3405" operator="containsText" text="Small">
      <formula>NOT(ISERROR(SEARCH("Small",Q48)))</formula>
    </cfRule>
    <cfRule type="containsText" dxfId="3431" priority="3406" operator="containsText" text="Mid">
      <formula>NOT(ISERROR(SEARCH("Mid",Q48)))</formula>
    </cfRule>
    <cfRule type="containsText" dxfId="3430" priority="3407" operator="containsText" text="Large">
      <formula>NOT(ISERROR(SEARCH("Large",Q48)))</formula>
    </cfRule>
  </conditionalFormatting>
  <conditionalFormatting sqref="Q48">
    <cfRule type="containsText" dxfId="3429" priority="3402" operator="containsText" text="Small">
      <formula>NOT(ISERROR(SEARCH("Small",Q48)))</formula>
    </cfRule>
    <cfRule type="containsText" dxfId="3428" priority="3403" operator="containsText" text="Mid">
      <formula>NOT(ISERROR(SEARCH("Mid",Q48)))</formula>
    </cfRule>
    <cfRule type="containsText" dxfId="3427" priority="3404" operator="containsText" text="Large">
      <formula>NOT(ISERROR(SEARCH("Large",Q48)))</formula>
    </cfRule>
  </conditionalFormatting>
  <conditionalFormatting sqref="Q48">
    <cfRule type="containsText" dxfId="3426" priority="3399" operator="containsText" text="Small">
      <formula>NOT(ISERROR(SEARCH("Small",Q48)))</formula>
    </cfRule>
    <cfRule type="containsText" dxfId="3425" priority="3400" operator="containsText" text="Mid">
      <formula>NOT(ISERROR(SEARCH("Mid",Q48)))</formula>
    </cfRule>
    <cfRule type="containsText" dxfId="3424" priority="3401" operator="containsText" text="Large">
      <formula>NOT(ISERROR(SEARCH("Large",Q48)))</formula>
    </cfRule>
  </conditionalFormatting>
  <conditionalFormatting sqref="Q48">
    <cfRule type="containsText" dxfId="3423" priority="3396" operator="containsText" text="Small">
      <formula>NOT(ISERROR(SEARCH("Small",Q48)))</formula>
    </cfRule>
    <cfRule type="containsText" dxfId="3422" priority="3397" operator="containsText" text="Mid">
      <formula>NOT(ISERROR(SEARCH("Mid",Q48)))</formula>
    </cfRule>
    <cfRule type="containsText" dxfId="3421" priority="3398" operator="containsText" text="Large">
      <formula>NOT(ISERROR(SEARCH("Large",Q48)))</formula>
    </cfRule>
  </conditionalFormatting>
  <conditionalFormatting sqref="Q48">
    <cfRule type="containsText" dxfId="3420" priority="3393" operator="containsText" text="Small">
      <formula>NOT(ISERROR(SEARCH("Small",Q48)))</formula>
    </cfRule>
    <cfRule type="containsText" dxfId="3419" priority="3394" operator="containsText" text="Mid">
      <formula>NOT(ISERROR(SEARCH("Mid",Q48)))</formula>
    </cfRule>
    <cfRule type="containsText" dxfId="3418" priority="3395" operator="containsText" text="Large">
      <formula>NOT(ISERROR(SEARCH("Large",Q48)))</formula>
    </cfRule>
  </conditionalFormatting>
  <conditionalFormatting sqref="Q48">
    <cfRule type="containsText" dxfId="3417" priority="3390" operator="containsText" text="Small">
      <formula>NOT(ISERROR(SEARCH("Small",Q48)))</formula>
    </cfRule>
    <cfRule type="containsText" dxfId="3416" priority="3391" operator="containsText" text="Mid">
      <formula>NOT(ISERROR(SEARCH("Mid",Q48)))</formula>
    </cfRule>
    <cfRule type="containsText" dxfId="3415" priority="3392" operator="containsText" text="Large">
      <formula>NOT(ISERROR(SEARCH("Large",Q48)))</formula>
    </cfRule>
  </conditionalFormatting>
  <conditionalFormatting sqref="Q62">
    <cfRule type="containsText" dxfId="3414" priority="3389" operator="containsText" text="NA">
      <formula>NOT(ISERROR(SEARCH("NA",Q62)))</formula>
    </cfRule>
  </conditionalFormatting>
  <conditionalFormatting sqref="Q62">
    <cfRule type="containsText" dxfId="3413" priority="3386" operator="containsText" text="Small">
      <formula>NOT(ISERROR(SEARCH("Small",Q62)))</formula>
    </cfRule>
    <cfRule type="containsText" dxfId="3412" priority="3387" operator="containsText" text="Mid">
      <formula>NOT(ISERROR(SEARCH("Mid",Q62)))</formula>
    </cfRule>
    <cfRule type="containsText" dxfId="3411" priority="3388" operator="containsText" text="Large">
      <formula>NOT(ISERROR(SEARCH("Large",Q62)))</formula>
    </cfRule>
  </conditionalFormatting>
  <conditionalFormatting sqref="Q62">
    <cfRule type="containsText" dxfId="3410" priority="3383" operator="containsText" text="Small">
      <formula>NOT(ISERROR(SEARCH("Small",Q62)))</formula>
    </cfRule>
    <cfRule type="containsText" dxfId="3409" priority="3384" operator="containsText" text="Mid">
      <formula>NOT(ISERROR(SEARCH("Mid",Q62)))</formula>
    </cfRule>
    <cfRule type="containsText" dxfId="3408" priority="3385" operator="containsText" text="Large">
      <formula>NOT(ISERROR(SEARCH("Large",Q62)))</formula>
    </cfRule>
  </conditionalFormatting>
  <conditionalFormatting sqref="Q62">
    <cfRule type="containsText" dxfId="3407" priority="3380" operator="containsText" text="Small">
      <formula>NOT(ISERROR(SEARCH("Small",Q62)))</formula>
    </cfRule>
    <cfRule type="containsText" dxfId="3406" priority="3381" operator="containsText" text="Mid">
      <formula>NOT(ISERROR(SEARCH("Mid",Q62)))</formula>
    </cfRule>
    <cfRule type="containsText" dxfId="3405" priority="3382" operator="containsText" text="Large">
      <formula>NOT(ISERROR(SEARCH("Large",Q62)))</formula>
    </cfRule>
  </conditionalFormatting>
  <conditionalFormatting sqref="Q62">
    <cfRule type="containsText" dxfId="3404" priority="3377" operator="containsText" text="Small">
      <formula>NOT(ISERROR(SEARCH("Small",Q62)))</formula>
    </cfRule>
    <cfRule type="containsText" dxfId="3403" priority="3378" operator="containsText" text="Mid">
      <formula>NOT(ISERROR(SEARCH("Mid",Q62)))</formula>
    </cfRule>
    <cfRule type="containsText" dxfId="3402" priority="3379" operator="containsText" text="Large">
      <formula>NOT(ISERROR(SEARCH("Large",Q62)))</formula>
    </cfRule>
  </conditionalFormatting>
  <conditionalFormatting sqref="Q62">
    <cfRule type="containsText" dxfId="3401" priority="3374" operator="containsText" text="Small">
      <formula>NOT(ISERROR(SEARCH("Small",Q62)))</formula>
    </cfRule>
    <cfRule type="containsText" dxfId="3400" priority="3375" operator="containsText" text="Mid">
      <formula>NOT(ISERROR(SEARCH("Mid",Q62)))</formula>
    </cfRule>
    <cfRule type="containsText" dxfId="3399" priority="3376" operator="containsText" text="Large">
      <formula>NOT(ISERROR(SEARCH("Large",Q62)))</formula>
    </cfRule>
  </conditionalFormatting>
  <conditionalFormatting sqref="Q62">
    <cfRule type="containsText" dxfId="3398" priority="3371" operator="containsText" text="Small">
      <formula>NOT(ISERROR(SEARCH("Small",Q62)))</formula>
    </cfRule>
    <cfRule type="containsText" dxfId="3397" priority="3372" operator="containsText" text="Mid">
      <formula>NOT(ISERROR(SEARCH("Mid",Q62)))</formula>
    </cfRule>
    <cfRule type="containsText" dxfId="3396" priority="3373" operator="containsText" text="Large">
      <formula>NOT(ISERROR(SEARCH("Large",Q62)))</formula>
    </cfRule>
  </conditionalFormatting>
  <conditionalFormatting sqref="Q62">
    <cfRule type="containsText" dxfId="3395" priority="3368" operator="containsText" text="Small">
      <formula>NOT(ISERROR(SEARCH("Small",Q62)))</formula>
    </cfRule>
    <cfRule type="containsText" dxfId="3394" priority="3369" operator="containsText" text="Mid">
      <formula>NOT(ISERROR(SEARCH("Mid",Q62)))</formula>
    </cfRule>
    <cfRule type="containsText" dxfId="3393" priority="3370" operator="containsText" text="Large">
      <formula>NOT(ISERROR(SEARCH("Large",Q62)))</formula>
    </cfRule>
  </conditionalFormatting>
  <conditionalFormatting sqref="Q62">
    <cfRule type="containsText" dxfId="3392" priority="3365" operator="containsText" text="Small">
      <formula>NOT(ISERROR(SEARCH("Small",Q62)))</formula>
    </cfRule>
    <cfRule type="containsText" dxfId="3391" priority="3366" operator="containsText" text="Mid">
      <formula>NOT(ISERROR(SEARCH("Mid",Q62)))</formula>
    </cfRule>
    <cfRule type="containsText" dxfId="3390" priority="3367" operator="containsText" text="Large">
      <formula>NOT(ISERROR(SEARCH("Large",Q62)))</formula>
    </cfRule>
  </conditionalFormatting>
  <conditionalFormatting sqref="Q62">
    <cfRule type="containsText" dxfId="3389" priority="3362" operator="containsText" text="Small">
      <formula>NOT(ISERROR(SEARCH("Small",Q62)))</formula>
    </cfRule>
    <cfRule type="containsText" dxfId="3388" priority="3363" operator="containsText" text="Mid">
      <formula>NOT(ISERROR(SEARCH("Mid",Q62)))</formula>
    </cfRule>
    <cfRule type="containsText" dxfId="3387" priority="3364" operator="containsText" text="Large">
      <formula>NOT(ISERROR(SEARCH("Large",Q62)))</formula>
    </cfRule>
  </conditionalFormatting>
  <conditionalFormatting sqref="Q62">
    <cfRule type="containsText" dxfId="3386" priority="3359" operator="containsText" text="Small">
      <formula>NOT(ISERROR(SEARCH("Small",Q62)))</formula>
    </cfRule>
    <cfRule type="containsText" dxfId="3385" priority="3360" operator="containsText" text="Mid">
      <formula>NOT(ISERROR(SEARCH("Mid",Q62)))</formula>
    </cfRule>
    <cfRule type="containsText" dxfId="3384" priority="3361" operator="containsText" text="Large">
      <formula>NOT(ISERROR(SEARCH("Large",Q62)))</formula>
    </cfRule>
  </conditionalFormatting>
  <conditionalFormatting sqref="Q62">
    <cfRule type="containsText" dxfId="3383" priority="3356" operator="containsText" text="Small">
      <formula>NOT(ISERROR(SEARCH("Small",Q62)))</formula>
    </cfRule>
    <cfRule type="containsText" dxfId="3382" priority="3357" operator="containsText" text="Mid">
      <formula>NOT(ISERROR(SEARCH("Mid",Q62)))</formula>
    </cfRule>
    <cfRule type="containsText" dxfId="3381" priority="3358" operator="containsText" text="Large">
      <formula>NOT(ISERROR(SEARCH("Large",Q62)))</formula>
    </cfRule>
  </conditionalFormatting>
  <conditionalFormatting sqref="Q62">
    <cfRule type="containsText" dxfId="3380" priority="3353" operator="containsText" text="Small">
      <formula>NOT(ISERROR(SEARCH("Small",Q62)))</formula>
    </cfRule>
    <cfRule type="containsText" dxfId="3379" priority="3354" operator="containsText" text="Mid">
      <formula>NOT(ISERROR(SEARCH("Mid",Q62)))</formula>
    </cfRule>
    <cfRule type="containsText" dxfId="3378" priority="3355" operator="containsText" text="Large">
      <formula>NOT(ISERROR(SEARCH("Large",Q62)))</formula>
    </cfRule>
  </conditionalFormatting>
  <conditionalFormatting sqref="Q62">
    <cfRule type="containsText" dxfId="3377" priority="3350" operator="containsText" text="Small">
      <formula>NOT(ISERROR(SEARCH("Small",Q62)))</formula>
    </cfRule>
    <cfRule type="containsText" dxfId="3376" priority="3351" operator="containsText" text="Mid">
      <formula>NOT(ISERROR(SEARCH("Mid",Q62)))</formula>
    </cfRule>
    <cfRule type="containsText" dxfId="3375" priority="3352" operator="containsText" text="Large">
      <formula>NOT(ISERROR(SEARCH("Large",Q62)))</formula>
    </cfRule>
  </conditionalFormatting>
  <conditionalFormatting sqref="Q62">
    <cfRule type="containsText" dxfId="3374" priority="3347" operator="containsText" text="Small">
      <formula>NOT(ISERROR(SEARCH("Small",Q62)))</formula>
    </cfRule>
    <cfRule type="containsText" dxfId="3373" priority="3348" operator="containsText" text="Mid">
      <formula>NOT(ISERROR(SEARCH("Mid",Q62)))</formula>
    </cfRule>
    <cfRule type="containsText" dxfId="3372" priority="3349" operator="containsText" text="Large">
      <formula>NOT(ISERROR(SEARCH("Large",Q62)))</formula>
    </cfRule>
  </conditionalFormatting>
  <conditionalFormatting sqref="Q62">
    <cfRule type="containsText" dxfId="3371" priority="3344" operator="containsText" text="Small">
      <formula>NOT(ISERROR(SEARCH("Small",Q62)))</formula>
    </cfRule>
    <cfRule type="containsText" dxfId="3370" priority="3345" operator="containsText" text="Mid">
      <formula>NOT(ISERROR(SEARCH("Mid",Q62)))</formula>
    </cfRule>
    <cfRule type="containsText" dxfId="3369" priority="3346" operator="containsText" text="Large">
      <formula>NOT(ISERROR(SEARCH("Large",Q62)))</formula>
    </cfRule>
  </conditionalFormatting>
  <conditionalFormatting sqref="Q62">
    <cfRule type="containsText" dxfId="3368" priority="3341" operator="containsText" text="Small">
      <formula>NOT(ISERROR(SEARCH("Small",Q62)))</formula>
    </cfRule>
    <cfRule type="containsText" dxfId="3367" priority="3342" operator="containsText" text="Mid">
      <formula>NOT(ISERROR(SEARCH("Mid",Q62)))</formula>
    </cfRule>
    <cfRule type="containsText" dxfId="3366" priority="3343" operator="containsText" text="Large">
      <formula>NOT(ISERROR(SEARCH("Large",Q62)))</formula>
    </cfRule>
  </conditionalFormatting>
  <conditionalFormatting sqref="Q62">
    <cfRule type="containsText" dxfId="3365" priority="3338" operator="containsText" text="Small">
      <formula>NOT(ISERROR(SEARCH("Small",Q62)))</formula>
    </cfRule>
    <cfRule type="containsText" dxfId="3364" priority="3339" operator="containsText" text="Mid">
      <formula>NOT(ISERROR(SEARCH("Mid",Q62)))</formula>
    </cfRule>
    <cfRule type="containsText" dxfId="3363" priority="3340" operator="containsText" text="Large">
      <formula>NOT(ISERROR(SEARCH("Large",Q62)))</formula>
    </cfRule>
  </conditionalFormatting>
  <conditionalFormatting sqref="Q62">
    <cfRule type="containsText" dxfId="3362" priority="3335" operator="containsText" text="Small">
      <formula>NOT(ISERROR(SEARCH("Small",Q62)))</formula>
    </cfRule>
    <cfRule type="containsText" dxfId="3361" priority="3336" operator="containsText" text="Mid">
      <formula>NOT(ISERROR(SEARCH("Mid",Q62)))</formula>
    </cfRule>
    <cfRule type="containsText" dxfId="3360" priority="3337" operator="containsText" text="Large">
      <formula>NOT(ISERROR(SEARCH("Large",Q62)))</formula>
    </cfRule>
  </conditionalFormatting>
  <conditionalFormatting sqref="Q62">
    <cfRule type="containsText" dxfId="3359" priority="3332" operator="containsText" text="Small">
      <formula>NOT(ISERROR(SEARCH("Small",Q62)))</formula>
    </cfRule>
    <cfRule type="containsText" dxfId="3358" priority="3333" operator="containsText" text="Mid">
      <formula>NOT(ISERROR(SEARCH("Mid",Q62)))</formula>
    </cfRule>
    <cfRule type="containsText" dxfId="3357" priority="3334" operator="containsText" text="Large">
      <formula>NOT(ISERROR(SEARCH("Large",Q62)))</formula>
    </cfRule>
  </conditionalFormatting>
  <conditionalFormatting sqref="Q62">
    <cfRule type="containsText" dxfId="3356" priority="3329" operator="containsText" text="Small">
      <formula>NOT(ISERROR(SEARCH("Small",Q62)))</formula>
    </cfRule>
    <cfRule type="containsText" dxfId="3355" priority="3330" operator="containsText" text="Mid">
      <formula>NOT(ISERROR(SEARCH("Mid",Q62)))</formula>
    </cfRule>
    <cfRule type="containsText" dxfId="3354" priority="3331" operator="containsText" text="Large">
      <formula>NOT(ISERROR(SEARCH("Large",Q62)))</formula>
    </cfRule>
  </conditionalFormatting>
  <conditionalFormatting sqref="Q62">
    <cfRule type="containsText" dxfId="3353" priority="3326" operator="containsText" text="Small">
      <formula>NOT(ISERROR(SEARCH("Small",Q62)))</formula>
    </cfRule>
    <cfRule type="containsText" dxfId="3352" priority="3327" operator="containsText" text="Mid">
      <formula>NOT(ISERROR(SEARCH("Mid",Q62)))</formula>
    </cfRule>
    <cfRule type="containsText" dxfId="3351" priority="3328" operator="containsText" text="Large">
      <formula>NOT(ISERROR(SEARCH("Large",Q62)))</formula>
    </cfRule>
  </conditionalFormatting>
  <conditionalFormatting sqref="Q62">
    <cfRule type="containsText" dxfId="3350" priority="3323" operator="containsText" text="Small">
      <formula>NOT(ISERROR(SEARCH("Small",Q62)))</formula>
    </cfRule>
    <cfRule type="containsText" dxfId="3349" priority="3324" operator="containsText" text="Mid">
      <formula>NOT(ISERROR(SEARCH("Mid",Q62)))</formula>
    </cfRule>
    <cfRule type="containsText" dxfId="3348" priority="3325" operator="containsText" text="Large">
      <formula>NOT(ISERROR(SEARCH("Large",Q62)))</formula>
    </cfRule>
  </conditionalFormatting>
  <conditionalFormatting sqref="Q62">
    <cfRule type="containsText" dxfId="3347" priority="3320" operator="containsText" text="Small">
      <formula>NOT(ISERROR(SEARCH("Small",Q62)))</formula>
    </cfRule>
    <cfRule type="containsText" dxfId="3346" priority="3321" operator="containsText" text="Mid">
      <formula>NOT(ISERROR(SEARCH("Mid",Q62)))</formula>
    </cfRule>
    <cfRule type="containsText" dxfId="3345" priority="3322" operator="containsText" text="Large">
      <formula>NOT(ISERROR(SEARCH("Large",Q62)))</formula>
    </cfRule>
  </conditionalFormatting>
  <conditionalFormatting sqref="Q62">
    <cfRule type="containsText" dxfId="3344" priority="3317" operator="containsText" text="Small">
      <formula>NOT(ISERROR(SEARCH("Small",Q62)))</formula>
    </cfRule>
    <cfRule type="containsText" dxfId="3343" priority="3318" operator="containsText" text="Mid">
      <formula>NOT(ISERROR(SEARCH("Mid",Q62)))</formula>
    </cfRule>
    <cfRule type="containsText" dxfId="3342" priority="3319" operator="containsText" text="Large">
      <formula>NOT(ISERROR(SEARCH("Large",Q62)))</formula>
    </cfRule>
  </conditionalFormatting>
  <conditionalFormatting sqref="Q62">
    <cfRule type="containsText" dxfId="3341" priority="3314" operator="containsText" text="Small">
      <formula>NOT(ISERROR(SEARCH("Small",Q62)))</formula>
    </cfRule>
    <cfRule type="containsText" dxfId="3340" priority="3315" operator="containsText" text="Mid">
      <formula>NOT(ISERROR(SEARCH("Mid",Q62)))</formula>
    </cfRule>
    <cfRule type="containsText" dxfId="3339" priority="3316" operator="containsText" text="Large">
      <formula>NOT(ISERROR(SEARCH("Large",Q62)))</formula>
    </cfRule>
  </conditionalFormatting>
  <conditionalFormatting sqref="Q62">
    <cfRule type="containsText" dxfId="3338" priority="3311" operator="containsText" text="Small">
      <formula>NOT(ISERROR(SEARCH("Small",Q62)))</formula>
    </cfRule>
    <cfRule type="containsText" dxfId="3337" priority="3312" operator="containsText" text="Mid">
      <formula>NOT(ISERROR(SEARCH("Mid",Q62)))</formula>
    </cfRule>
    <cfRule type="containsText" dxfId="3336" priority="3313" operator="containsText" text="Large">
      <formula>NOT(ISERROR(SEARCH("Large",Q62)))</formula>
    </cfRule>
  </conditionalFormatting>
  <conditionalFormatting sqref="Q62">
    <cfRule type="containsText" dxfId="3335" priority="3308" operator="containsText" text="Small">
      <formula>NOT(ISERROR(SEARCH("Small",Q62)))</formula>
    </cfRule>
    <cfRule type="containsText" dxfId="3334" priority="3309" operator="containsText" text="Mid">
      <formula>NOT(ISERROR(SEARCH("Mid",Q62)))</formula>
    </cfRule>
    <cfRule type="containsText" dxfId="3333" priority="3310" operator="containsText" text="Large">
      <formula>NOT(ISERROR(SEARCH("Large",Q62)))</formula>
    </cfRule>
  </conditionalFormatting>
  <conditionalFormatting sqref="X20">
    <cfRule type="containsText" dxfId="3332" priority="3307" operator="containsText" text="No Cap">
      <formula>NOT(ISERROR(SEARCH("No Cap",X20)))</formula>
    </cfRule>
  </conditionalFormatting>
  <conditionalFormatting sqref="X20">
    <cfRule type="containsText" dxfId="3331" priority="3306" operator="containsText" text="No Cap">
      <formula>NOT(ISERROR(SEARCH("No Cap",X20)))</formula>
    </cfRule>
  </conditionalFormatting>
  <conditionalFormatting sqref="X20">
    <cfRule type="containsText" dxfId="3330" priority="3303" operator="containsText" text="Small">
      <formula>NOT(ISERROR(SEARCH("Small",X20)))</formula>
    </cfRule>
    <cfRule type="containsText" dxfId="3329" priority="3304" operator="containsText" text="Mid">
      <formula>NOT(ISERROR(SEARCH("Mid",X20)))</formula>
    </cfRule>
    <cfRule type="containsText" dxfId="3328" priority="3305" operator="containsText" text="Large">
      <formula>NOT(ISERROR(SEARCH("Large",X20)))</formula>
    </cfRule>
  </conditionalFormatting>
  <conditionalFormatting sqref="X20">
    <cfRule type="containsText" dxfId="3327" priority="3300" operator="containsText" text="Small">
      <formula>NOT(ISERROR(SEARCH("Small",X20)))</formula>
    </cfRule>
    <cfRule type="containsText" dxfId="3326" priority="3301" operator="containsText" text="Mid">
      <formula>NOT(ISERROR(SEARCH("Mid",X20)))</formula>
    </cfRule>
    <cfRule type="containsText" dxfId="3325" priority="3302" operator="containsText" text="Large">
      <formula>NOT(ISERROR(SEARCH("Large",X20)))</formula>
    </cfRule>
  </conditionalFormatting>
  <conditionalFormatting sqref="X20">
    <cfRule type="containsText" dxfId="3324" priority="3297" operator="containsText" text="Small">
      <formula>NOT(ISERROR(SEARCH("Small",X20)))</formula>
    </cfRule>
    <cfRule type="containsText" dxfId="3323" priority="3298" operator="containsText" text="Mid">
      <formula>NOT(ISERROR(SEARCH("Mid",X20)))</formula>
    </cfRule>
    <cfRule type="containsText" dxfId="3322" priority="3299" operator="containsText" text="Large">
      <formula>NOT(ISERROR(SEARCH("Large",X20)))</formula>
    </cfRule>
  </conditionalFormatting>
  <conditionalFormatting sqref="X20">
    <cfRule type="containsText" dxfId="3321" priority="3296" operator="containsText" text="NA">
      <formula>NOT(ISERROR(SEARCH("NA",X20)))</formula>
    </cfRule>
  </conditionalFormatting>
  <conditionalFormatting sqref="X20">
    <cfRule type="containsText" dxfId="3320" priority="3293" operator="containsText" text="Small">
      <formula>NOT(ISERROR(SEARCH("Small",X20)))</formula>
    </cfRule>
    <cfRule type="containsText" dxfId="3319" priority="3294" operator="containsText" text="Mid">
      <formula>NOT(ISERROR(SEARCH("Mid",X20)))</formula>
    </cfRule>
    <cfRule type="containsText" dxfId="3318" priority="3295" operator="containsText" text="Large">
      <formula>NOT(ISERROR(SEARCH("Large",X20)))</formula>
    </cfRule>
  </conditionalFormatting>
  <conditionalFormatting sqref="X20">
    <cfRule type="containsText" dxfId="3317" priority="3290" operator="containsText" text="Small">
      <formula>NOT(ISERROR(SEARCH("Small",X20)))</formula>
    </cfRule>
    <cfRule type="containsText" dxfId="3316" priority="3291" operator="containsText" text="Mid">
      <formula>NOT(ISERROR(SEARCH("Mid",X20)))</formula>
    </cfRule>
    <cfRule type="containsText" dxfId="3315" priority="3292" operator="containsText" text="Large">
      <formula>NOT(ISERROR(SEARCH("Large",X20)))</formula>
    </cfRule>
  </conditionalFormatting>
  <conditionalFormatting sqref="X20">
    <cfRule type="containsText" dxfId="3314" priority="3287" operator="containsText" text="Small">
      <formula>NOT(ISERROR(SEARCH("Small",X20)))</formula>
    </cfRule>
    <cfRule type="containsText" dxfId="3313" priority="3288" operator="containsText" text="Mid">
      <formula>NOT(ISERROR(SEARCH("Mid",X20)))</formula>
    </cfRule>
    <cfRule type="containsText" dxfId="3312" priority="3289" operator="containsText" text="Large">
      <formula>NOT(ISERROR(SEARCH("Large",X20)))</formula>
    </cfRule>
  </conditionalFormatting>
  <conditionalFormatting sqref="X20">
    <cfRule type="containsText" dxfId="3311" priority="3284" operator="containsText" text="Small">
      <formula>NOT(ISERROR(SEARCH("Small",X20)))</formula>
    </cfRule>
    <cfRule type="containsText" dxfId="3310" priority="3285" operator="containsText" text="Mid">
      <formula>NOT(ISERROR(SEARCH("Mid",X20)))</formula>
    </cfRule>
    <cfRule type="containsText" dxfId="3309" priority="3286" operator="containsText" text="Large">
      <formula>NOT(ISERROR(SEARCH("Large",X20)))</formula>
    </cfRule>
  </conditionalFormatting>
  <conditionalFormatting sqref="X20">
    <cfRule type="containsText" dxfId="3308" priority="3281" operator="containsText" text="Small">
      <formula>NOT(ISERROR(SEARCH("Small",X20)))</formula>
    </cfRule>
    <cfRule type="containsText" dxfId="3307" priority="3282" operator="containsText" text="Mid">
      <formula>NOT(ISERROR(SEARCH("Mid",X20)))</formula>
    </cfRule>
    <cfRule type="containsText" dxfId="3306" priority="3283" operator="containsText" text="Large">
      <formula>NOT(ISERROR(SEARCH("Large",X20)))</formula>
    </cfRule>
  </conditionalFormatting>
  <conditionalFormatting sqref="X20">
    <cfRule type="containsText" dxfId="3305" priority="3278" operator="containsText" text="Small">
      <formula>NOT(ISERROR(SEARCH("Small",X20)))</formula>
    </cfRule>
    <cfRule type="containsText" dxfId="3304" priority="3279" operator="containsText" text="Mid">
      <formula>NOT(ISERROR(SEARCH("Mid",X20)))</formula>
    </cfRule>
    <cfRule type="containsText" dxfId="3303" priority="3280" operator="containsText" text="Large">
      <formula>NOT(ISERROR(SEARCH("Large",X20)))</formula>
    </cfRule>
  </conditionalFormatting>
  <conditionalFormatting sqref="X20">
    <cfRule type="containsText" dxfId="3302" priority="3275" operator="containsText" text="Small">
      <formula>NOT(ISERROR(SEARCH("Small",X20)))</formula>
    </cfRule>
    <cfRule type="containsText" dxfId="3301" priority="3276" operator="containsText" text="Mid">
      <formula>NOT(ISERROR(SEARCH("Mid",X20)))</formula>
    </cfRule>
    <cfRule type="containsText" dxfId="3300" priority="3277" operator="containsText" text="Large">
      <formula>NOT(ISERROR(SEARCH("Large",X20)))</formula>
    </cfRule>
  </conditionalFormatting>
  <conditionalFormatting sqref="X20">
    <cfRule type="containsText" dxfId="3299" priority="3272" operator="containsText" text="Small">
      <formula>NOT(ISERROR(SEARCH("Small",X20)))</formula>
    </cfRule>
    <cfRule type="containsText" dxfId="3298" priority="3273" operator="containsText" text="Mid">
      <formula>NOT(ISERROR(SEARCH("Mid",X20)))</formula>
    </cfRule>
    <cfRule type="containsText" dxfId="3297" priority="3274" operator="containsText" text="Large">
      <formula>NOT(ISERROR(SEARCH("Large",X20)))</formula>
    </cfRule>
  </conditionalFormatting>
  <conditionalFormatting sqref="X20">
    <cfRule type="containsText" dxfId="3296" priority="3269" operator="containsText" text="Small">
      <formula>NOT(ISERROR(SEARCH("Small",X20)))</formula>
    </cfRule>
    <cfRule type="containsText" dxfId="3295" priority="3270" operator="containsText" text="Mid">
      <formula>NOT(ISERROR(SEARCH("Mid",X20)))</formula>
    </cfRule>
    <cfRule type="containsText" dxfId="3294" priority="3271" operator="containsText" text="Large">
      <formula>NOT(ISERROR(SEARCH("Large",X20)))</formula>
    </cfRule>
  </conditionalFormatting>
  <conditionalFormatting sqref="X20">
    <cfRule type="containsText" dxfId="3293" priority="3266" operator="containsText" text="Small">
      <formula>NOT(ISERROR(SEARCH("Small",X20)))</formula>
    </cfRule>
    <cfRule type="containsText" dxfId="3292" priority="3267" operator="containsText" text="Mid">
      <formula>NOT(ISERROR(SEARCH("Mid",X20)))</formula>
    </cfRule>
    <cfRule type="containsText" dxfId="3291" priority="3268" operator="containsText" text="Large">
      <formula>NOT(ISERROR(SEARCH("Large",X20)))</formula>
    </cfRule>
  </conditionalFormatting>
  <conditionalFormatting sqref="X20">
    <cfRule type="containsText" dxfId="3290" priority="3263" operator="containsText" text="Small">
      <formula>NOT(ISERROR(SEARCH("Small",X20)))</formula>
    </cfRule>
    <cfRule type="containsText" dxfId="3289" priority="3264" operator="containsText" text="Mid">
      <formula>NOT(ISERROR(SEARCH("Mid",X20)))</formula>
    </cfRule>
    <cfRule type="containsText" dxfId="3288" priority="3265" operator="containsText" text="Large">
      <formula>NOT(ISERROR(SEARCH("Large",X20)))</formula>
    </cfRule>
  </conditionalFormatting>
  <conditionalFormatting sqref="X20">
    <cfRule type="containsText" dxfId="3287" priority="3260" operator="containsText" text="Small">
      <formula>NOT(ISERROR(SEARCH("Small",X20)))</formula>
    </cfRule>
    <cfRule type="containsText" dxfId="3286" priority="3261" operator="containsText" text="Mid">
      <formula>NOT(ISERROR(SEARCH("Mid",X20)))</formula>
    </cfRule>
    <cfRule type="containsText" dxfId="3285" priority="3262" operator="containsText" text="Large">
      <formula>NOT(ISERROR(SEARCH("Large",X20)))</formula>
    </cfRule>
  </conditionalFormatting>
  <conditionalFormatting sqref="X20">
    <cfRule type="containsText" dxfId="3284" priority="3257" operator="containsText" text="Small">
      <formula>NOT(ISERROR(SEARCH("Small",X20)))</formula>
    </cfRule>
    <cfRule type="containsText" dxfId="3283" priority="3258" operator="containsText" text="Mid">
      <formula>NOT(ISERROR(SEARCH("Mid",X20)))</formula>
    </cfRule>
    <cfRule type="containsText" dxfId="3282" priority="3259" operator="containsText" text="Large">
      <formula>NOT(ISERROR(SEARCH("Large",X20)))</formula>
    </cfRule>
  </conditionalFormatting>
  <conditionalFormatting sqref="X20">
    <cfRule type="containsText" dxfId="3281" priority="3254" operator="containsText" text="Small">
      <formula>NOT(ISERROR(SEARCH("Small",X20)))</formula>
    </cfRule>
    <cfRule type="containsText" dxfId="3280" priority="3255" operator="containsText" text="Mid">
      <formula>NOT(ISERROR(SEARCH("Mid",X20)))</formula>
    </cfRule>
    <cfRule type="containsText" dxfId="3279" priority="3256" operator="containsText" text="Large">
      <formula>NOT(ISERROR(SEARCH("Large",X20)))</formula>
    </cfRule>
  </conditionalFormatting>
  <conditionalFormatting sqref="X20">
    <cfRule type="containsText" dxfId="3278" priority="3251" operator="containsText" text="Small">
      <formula>NOT(ISERROR(SEARCH("Small",X20)))</formula>
    </cfRule>
    <cfRule type="containsText" dxfId="3277" priority="3252" operator="containsText" text="Mid">
      <formula>NOT(ISERROR(SEARCH("Mid",X20)))</formula>
    </cfRule>
    <cfRule type="containsText" dxfId="3276" priority="3253" operator="containsText" text="Large">
      <formula>NOT(ISERROR(SEARCH("Large",X20)))</formula>
    </cfRule>
  </conditionalFormatting>
  <conditionalFormatting sqref="X20">
    <cfRule type="containsText" dxfId="3275" priority="3248" operator="containsText" text="Small">
      <formula>NOT(ISERROR(SEARCH("Small",X20)))</formula>
    </cfRule>
    <cfRule type="containsText" dxfId="3274" priority="3249" operator="containsText" text="Mid">
      <formula>NOT(ISERROR(SEARCH("Mid",X20)))</formula>
    </cfRule>
    <cfRule type="containsText" dxfId="3273" priority="3250" operator="containsText" text="Large">
      <formula>NOT(ISERROR(SEARCH("Large",X20)))</formula>
    </cfRule>
  </conditionalFormatting>
  <conditionalFormatting sqref="X20">
    <cfRule type="containsText" dxfId="3272" priority="3245" operator="containsText" text="Small">
      <formula>NOT(ISERROR(SEARCH("Small",X20)))</formula>
    </cfRule>
    <cfRule type="containsText" dxfId="3271" priority="3246" operator="containsText" text="Mid">
      <formula>NOT(ISERROR(SEARCH("Mid",X20)))</formula>
    </cfRule>
    <cfRule type="containsText" dxfId="3270" priority="3247" operator="containsText" text="Large">
      <formula>NOT(ISERROR(SEARCH("Large",X20)))</formula>
    </cfRule>
  </conditionalFormatting>
  <conditionalFormatting sqref="X20">
    <cfRule type="containsText" dxfId="3269" priority="3242" operator="containsText" text="Small">
      <formula>NOT(ISERROR(SEARCH("Small",X20)))</formula>
    </cfRule>
    <cfRule type="containsText" dxfId="3268" priority="3243" operator="containsText" text="Mid">
      <formula>NOT(ISERROR(SEARCH("Mid",X20)))</formula>
    </cfRule>
    <cfRule type="containsText" dxfId="3267" priority="3244" operator="containsText" text="Large">
      <formula>NOT(ISERROR(SEARCH("Large",X20)))</formula>
    </cfRule>
  </conditionalFormatting>
  <conditionalFormatting sqref="X20">
    <cfRule type="containsText" dxfId="3266" priority="3239" operator="containsText" text="Small">
      <formula>NOT(ISERROR(SEARCH("Small",X20)))</formula>
    </cfRule>
    <cfRule type="containsText" dxfId="3265" priority="3240" operator="containsText" text="Mid">
      <formula>NOT(ISERROR(SEARCH("Mid",X20)))</formula>
    </cfRule>
    <cfRule type="containsText" dxfId="3264" priority="3241" operator="containsText" text="Large">
      <formula>NOT(ISERROR(SEARCH("Large",X20)))</formula>
    </cfRule>
  </conditionalFormatting>
  <conditionalFormatting sqref="X20">
    <cfRule type="containsText" dxfId="3263" priority="3236" operator="containsText" text="Small">
      <formula>NOT(ISERROR(SEARCH("Small",X20)))</formula>
    </cfRule>
    <cfRule type="containsText" dxfId="3262" priority="3237" operator="containsText" text="Mid">
      <formula>NOT(ISERROR(SEARCH("Mid",X20)))</formula>
    </cfRule>
    <cfRule type="containsText" dxfId="3261" priority="3238" operator="containsText" text="Large">
      <formula>NOT(ISERROR(SEARCH("Large",X20)))</formula>
    </cfRule>
  </conditionalFormatting>
  <conditionalFormatting sqref="X20">
    <cfRule type="containsText" dxfId="3260" priority="3233" operator="containsText" text="Small">
      <formula>NOT(ISERROR(SEARCH("Small",X20)))</formula>
    </cfRule>
    <cfRule type="containsText" dxfId="3259" priority="3234" operator="containsText" text="Mid">
      <formula>NOT(ISERROR(SEARCH("Mid",X20)))</formula>
    </cfRule>
    <cfRule type="containsText" dxfId="3258" priority="3235" operator="containsText" text="Large">
      <formula>NOT(ISERROR(SEARCH("Large",X20)))</formula>
    </cfRule>
  </conditionalFormatting>
  <conditionalFormatting sqref="X20">
    <cfRule type="containsText" dxfId="3257" priority="3230" operator="containsText" text="Small">
      <formula>NOT(ISERROR(SEARCH("Small",X20)))</formula>
    </cfRule>
    <cfRule type="containsText" dxfId="3256" priority="3231" operator="containsText" text="Mid">
      <formula>NOT(ISERROR(SEARCH("Mid",X20)))</formula>
    </cfRule>
    <cfRule type="containsText" dxfId="3255" priority="3232" operator="containsText" text="Large">
      <formula>NOT(ISERROR(SEARCH("Large",X20)))</formula>
    </cfRule>
  </conditionalFormatting>
  <conditionalFormatting sqref="X20">
    <cfRule type="containsText" dxfId="3254" priority="3227" operator="containsText" text="Small">
      <formula>NOT(ISERROR(SEARCH("Small",X20)))</formula>
    </cfRule>
    <cfRule type="containsText" dxfId="3253" priority="3228" operator="containsText" text="Mid">
      <formula>NOT(ISERROR(SEARCH("Mid",X20)))</formula>
    </cfRule>
    <cfRule type="containsText" dxfId="3252" priority="3229" operator="containsText" text="Large">
      <formula>NOT(ISERROR(SEARCH("Large",X20)))</formula>
    </cfRule>
  </conditionalFormatting>
  <conditionalFormatting sqref="X20">
    <cfRule type="containsText" dxfId="3251" priority="3224" operator="containsText" text="Small">
      <formula>NOT(ISERROR(SEARCH("Small",X20)))</formula>
    </cfRule>
    <cfRule type="containsText" dxfId="3250" priority="3225" operator="containsText" text="Mid">
      <formula>NOT(ISERROR(SEARCH("Mid",X20)))</formula>
    </cfRule>
    <cfRule type="containsText" dxfId="3249" priority="3226" operator="containsText" text="Large">
      <formula>NOT(ISERROR(SEARCH("Large",X20)))</formula>
    </cfRule>
  </conditionalFormatting>
  <conditionalFormatting sqref="X20">
    <cfRule type="containsText" dxfId="3248" priority="3221" operator="containsText" text="Small">
      <formula>NOT(ISERROR(SEARCH("Small",X20)))</formula>
    </cfRule>
    <cfRule type="containsText" dxfId="3247" priority="3222" operator="containsText" text="Mid">
      <formula>NOT(ISERROR(SEARCH("Mid",X20)))</formula>
    </cfRule>
    <cfRule type="containsText" dxfId="3246" priority="3223" operator="containsText" text="Large">
      <formula>NOT(ISERROR(SEARCH("Large",X20)))</formula>
    </cfRule>
  </conditionalFormatting>
  <conditionalFormatting sqref="X20">
    <cfRule type="containsText" dxfId="3245" priority="3218" operator="containsText" text="Small">
      <formula>NOT(ISERROR(SEARCH("Small",X20)))</formula>
    </cfRule>
    <cfRule type="containsText" dxfId="3244" priority="3219" operator="containsText" text="Mid">
      <formula>NOT(ISERROR(SEARCH("Mid",X20)))</formula>
    </cfRule>
    <cfRule type="containsText" dxfId="3243" priority="3220" operator="containsText" text="Large">
      <formula>NOT(ISERROR(SEARCH("Large",X20)))</formula>
    </cfRule>
  </conditionalFormatting>
  <conditionalFormatting sqref="X20">
    <cfRule type="containsText" dxfId="3242" priority="3215" operator="containsText" text="Small">
      <formula>NOT(ISERROR(SEARCH("Small",X20)))</formula>
    </cfRule>
    <cfRule type="containsText" dxfId="3241" priority="3216" operator="containsText" text="Mid">
      <formula>NOT(ISERROR(SEARCH("Mid",X20)))</formula>
    </cfRule>
    <cfRule type="containsText" dxfId="3240" priority="3217" operator="containsText" text="Large">
      <formula>NOT(ISERROR(SEARCH("Large",X20)))</formula>
    </cfRule>
  </conditionalFormatting>
  <conditionalFormatting sqref="X34">
    <cfRule type="containsText" dxfId="3239" priority="3214" operator="containsText" text="No Cap">
      <formula>NOT(ISERROR(SEARCH("No Cap",X34)))</formula>
    </cfRule>
  </conditionalFormatting>
  <conditionalFormatting sqref="X34">
    <cfRule type="containsText" dxfId="3238" priority="3213" operator="containsText" text="No Cap">
      <formula>NOT(ISERROR(SEARCH("No Cap",X34)))</formula>
    </cfRule>
  </conditionalFormatting>
  <conditionalFormatting sqref="X34">
    <cfRule type="containsText" dxfId="3237" priority="3210" operator="containsText" text="Small">
      <formula>NOT(ISERROR(SEARCH("Small",X34)))</formula>
    </cfRule>
    <cfRule type="containsText" dxfId="3236" priority="3211" operator="containsText" text="Mid">
      <formula>NOT(ISERROR(SEARCH("Mid",X34)))</formula>
    </cfRule>
    <cfRule type="containsText" dxfId="3235" priority="3212" operator="containsText" text="Large">
      <formula>NOT(ISERROR(SEARCH("Large",X34)))</formula>
    </cfRule>
  </conditionalFormatting>
  <conditionalFormatting sqref="X34">
    <cfRule type="containsText" dxfId="3234" priority="3207" operator="containsText" text="Small">
      <formula>NOT(ISERROR(SEARCH("Small",X34)))</formula>
    </cfRule>
    <cfRule type="containsText" dxfId="3233" priority="3208" operator="containsText" text="Mid">
      <formula>NOT(ISERROR(SEARCH("Mid",X34)))</formula>
    </cfRule>
    <cfRule type="containsText" dxfId="3232" priority="3209" operator="containsText" text="Large">
      <formula>NOT(ISERROR(SEARCH("Large",X34)))</formula>
    </cfRule>
  </conditionalFormatting>
  <conditionalFormatting sqref="X34">
    <cfRule type="containsText" dxfId="3231" priority="3204" operator="containsText" text="Small">
      <formula>NOT(ISERROR(SEARCH("Small",X34)))</formula>
    </cfRule>
    <cfRule type="containsText" dxfId="3230" priority="3205" operator="containsText" text="Mid">
      <formula>NOT(ISERROR(SEARCH("Mid",X34)))</formula>
    </cfRule>
    <cfRule type="containsText" dxfId="3229" priority="3206" operator="containsText" text="Large">
      <formula>NOT(ISERROR(SEARCH("Large",X34)))</formula>
    </cfRule>
  </conditionalFormatting>
  <conditionalFormatting sqref="X34">
    <cfRule type="containsText" dxfId="3228" priority="3203" operator="containsText" text="No Cap">
      <formula>NOT(ISERROR(SEARCH("No Cap",X34)))</formula>
    </cfRule>
  </conditionalFormatting>
  <conditionalFormatting sqref="X34">
    <cfRule type="containsText" dxfId="3227" priority="3202" operator="containsText" text="No Cap">
      <formula>NOT(ISERROR(SEARCH("No Cap",X34)))</formula>
    </cfRule>
  </conditionalFormatting>
  <conditionalFormatting sqref="X34">
    <cfRule type="containsText" dxfId="3226" priority="3199" operator="containsText" text="Small">
      <formula>NOT(ISERROR(SEARCH("Small",X34)))</formula>
    </cfRule>
    <cfRule type="containsText" dxfId="3225" priority="3200" operator="containsText" text="Mid">
      <formula>NOT(ISERROR(SEARCH("Mid",X34)))</formula>
    </cfRule>
    <cfRule type="containsText" dxfId="3224" priority="3201" operator="containsText" text="Large">
      <formula>NOT(ISERROR(SEARCH("Large",X34)))</formula>
    </cfRule>
  </conditionalFormatting>
  <conditionalFormatting sqref="X34">
    <cfRule type="containsText" dxfId="3223" priority="3196" operator="containsText" text="Small">
      <formula>NOT(ISERROR(SEARCH("Small",X34)))</formula>
    </cfRule>
    <cfRule type="containsText" dxfId="3222" priority="3197" operator="containsText" text="Mid">
      <formula>NOT(ISERROR(SEARCH("Mid",X34)))</formula>
    </cfRule>
    <cfRule type="containsText" dxfId="3221" priority="3198" operator="containsText" text="Large">
      <formula>NOT(ISERROR(SEARCH("Large",X34)))</formula>
    </cfRule>
  </conditionalFormatting>
  <conditionalFormatting sqref="X34">
    <cfRule type="containsText" dxfId="3220" priority="3193" operator="containsText" text="Small">
      <formula>NOT(ISERROR(SEARCH("Small",X34)))</formula>
    </cfRule>
    <cfRule type="containsText" dxfId="3219" priority="3194" operator="containsText" text="Mid">
      <formula>NOT(ISERROR(SEARCH("Mid",X34)))</formula>
    </cfRule>
    <cfRule type="containsText" dxfId="3218" priority="3195" operator="containsText" text="Large">
      <formula>NOT(ISERROR(SEARCH("Large",X34)))</formula>
    </cfRule>
  </conditionalFormatting>
  <conditionalFormatting sqref="X34">
    <cfRule type="containsText" dxfId="3217" priority="3192" operator="containsText" text="NA">
      <formula>NOT(ISERROR(SEARCH("NA",X34)))</formula>
    </cfRule>
  </conditionalFormatting>
  <conditionalFormatting sqref="X34">
    <cfRule type="containsText" dxfId="3216" priority="3189" operator="containsText" text="Small">
      <formula>NOT(ISERROR(SEARCH("Small",X34)))</formula>
    </cfRule>
    <cfRule type="containsText" dxfId="3215" priority="3190" operator="containsText" text="Mid">
      <formula>NOT(ISERROR(SEARCH("Mid",X34)))</formula>
    </cfRule>
    <cfRule type="containsText" dxfId="3214" priority="3191" operator="containsText" text="Large">
      <formula>NOT(ISERROR(SEARCH("Large",X34)))</formula>
    </cfRule>
  </conditionalFormatting>
  <conditionalFormatting sqref="X34">
    <cfRule type="containsText" dxfId="3213" priority="3186" operator="containsText" text="Small">
      <formula>NOT(ISERROR(SEARCH("Small",X34)))</formula>
    </cfRule>
    <cfRule type="containsText" dxfId="3212" priority="3187" operator="containsText" text="Mid">
      <formula>NOT(ISERROR(SEARCH("Mid",X34)))</formula>
    </cfRule>
    <cfRule type="containsText" dxfId="3211" priority="3188" operator="containsText" text="Large">
      <formula>NOT(ISERROR(SEARCH("Large",X34)))</formula>
    </cfRule>
  </conditionalFormatting>
  <conditionalFormatting sqref="X34">
    <cfRule type="containsText" dxfId="3210" priority="3183" operator="containsText" text="Small">
      <formula>NOT(ISERROR(SEARCH("Small",X34)))</formula>
    </cfRule>
    <cfRule type="containsText" dxfId="3209" priority="3184" operator="containsText" text="Mid">
      <formula>NOT(ISERROR(SEARCH("Mid",X34)))</formula>
    </cfRule>
    <cfRule type="containsText" dxfId="3208" priority="3185" operator="containsText" text="Large">
      <formula>NOT(ISERROR(SEARCH("Large",X34)))</formula>
    </cfRule>
  </conditionalFormatting>
  <conditionalFormatting sqref="X34">
    <cfRule type="containsText" dxfId="3207" priority="3180" operator="containsText" text="Small">
      <formula>NOT(ISERROR(SEARCH("Small",X34)))</formula>
    </cfRule>
    <cfRule type="containsText" dxfId="3206" priority="3181" operator="containsText" text="Mid">
      <formula>NOT(ISERROR(SEARCH("Mid",X34)))</formula>
    </cfRule>
    <cfRule type="containsText" dxfId="3205" priority="3182" operator="containsText" text="Large">
      <formula>NOT(ISERROR(SEARCH("Large",X34)))</formula>
    </cfRule>
  </conditionalFormatting>
  <conditionalFormatting sqref="X34">
    <cfRule type="containsText" dxfId="3204" priority="3177" operator="containsText" text="Small">
      <formula>NOT(ISERROR(SEARCH("Small",X34)))</formula>
    </cfRule>
    <cfRule type="containsText" dxfId="3203" priority="3178" operator="containsText" text="Mid">
      <formula>NOT(ISERROR(SEARCH("Mid",X34)))</formula>
    </cfRule>
    <cfRule type="containsText" dxfId="3202" priority="3179" operator="containsText" text="Large">
      <formula>NOT(ISERROR(SEARCH("Large",X34)))</formula>
    </cfRule>
  </conditionalFormatting>
  <conditionalFormatting sqref="X34">
    <cfRule type="containsText" dxfId="3201" priority="3174" operator="containsText" text="Small">
      <formula>NOT(ISERROR(SEARCH("Small",X34)))</formula>
    </cfRule>
    <cfRule type="containsText" dxfId="3200" priority="3175" operator="containsText" text="Mid">
      <formula>NOT(ISERROR(SEARCH("Mid",X34)))</formula>
    </cfRule>
    <cfRule type="containsText" dxfId="3199" priority="3176" operator="containsText" text="Large">
      <formula>NOT(ISERROR(SEARCH("Large",X34)))</formula>
    </cfRule>
  </conditionalFormatting>
  <conditionalFormatting sqref="X34">
    <cfRule type="containsText" dxfId="3198" priority="3171" operator="containsText" text="Small">
      <formula>NOT(ISERROR(SEARCH("Small",X34)))</formula>
    </cfRule>
    <cfRule type="containsText" dxfId="3197" priority="3172" operator="containsText" text="Mid">
      <formula>NOT(ISERROR(SEARCH("Mid",X34)))</formula>
    </cfRule>
    <cfRule type="containsText" dxfId="3196" priority="3173" operator="containsText" text="Large">
      <formula>NOT(ISERROR(SEARCH("Large",X34)))</formula>
    </cfRule>
  </conditionalFormatting>
  <conditionalFormatting sqref="X34">
    <cfRule type="containsText" dxfId="3195" priority="3168" operator="containsText" text="Small">
      <formula>NOT(ISERROR(SEARCH("Small",X34)))</formula>
    </cfRule>
    <cfRule type="containsText" dxfId="3194" priority="3169" operator="containsText" text="Mid">
      <formula>NOT(ISERROR(SEARCH("Mid",X34)))</formula>
    </cfRule>
    <cfRule type="containsText" dxfId="3193" priority="3170" operator="containsText" text="Large">
      <formula>NOT(ISERROR(SEARCH("Large",X34)))</formula>
    </cfRule>
  </conditionalFormatting>
  <conditionalFormatting sqref="X34">
    <cfRule type="containsText" dxfId="3192" priority="3165" operator="containsText" text="Small">
      <formula>NOT(ISERROR(SEARCH("Small",X34)))</formula>
    </cfRule>
    <cfRule type="containsText" dxfId="3191" priority="3166" operator="containsText" text="Mid">
      <formula>NOT(ISERROR(SEARCH("Mid",X34)))</formula>
    </cfRule>
    <cfRule type="containsText" dxfId="3190" priority="3167" operator="containsText" text="Large">
      <formula>NOT(ISERROR(SEARCH("Large",X34)))</formula>
    </cfRule>
  </conditionalFormatting>
  <conditionalFormatting sqref="X34">
    <cfRule type="containsText" dxfId="3189" priority="3162" operator="containsText" text="Small">
      <formula>NOT(ISERROR(SEARCH("Small",X34)))</formula>
    </cfRule>
    <cfRule type="containsText" dxfId="3188" priority="3163" operator="containsText" text="Mid">
      <formula>NOT(ISERROR(SEARCH("Mid",X34)))</formula>
    </cfRule>
    <cfRule type="containsText" dxfId="3187" priority="3164" operator="containsText" text="Large">
      <formula>NOT(ISERROR(SEARCH("Large",X34)))</formula>
    </cfRule>
  </conditionalFormatting>
  <conditionalFormatting sqref="X34">
    <cfRule type="containsText" dxfId="3186" priority="3159" operator="containsText" text="Small">
      <formula>NOT(ISERROR(SEARCH("Small",X34)))</formula>
    </cfRule>
    <cfRule type="containsText" dxfId="3185" priority="3160" operator="containsText" text="Mid">
      <formula>NOT(ISERROR(SEARCH("Mid",X34)))</formula>
    </cfRule>
    <cfRule type="containsText" dxfId="3184" priority="3161" operator="containsText" text="Large">
      <formula>NOT(ISERROR(SEARCH("Large",X34)))</formula>
    </cfRule>
  </conditionalFormatting>
  <conditionalFormatting sqref="X34">
    <cfRule type="containsText" dxfId="3183" priority="3156" operator="containsText" text="Small">
      <formula>NOT(ISERROR(SEARCH("Small",X34)))</formula>
    </cfRule>
    <cfRule type="containsText" dxfId="3182" priority="3157" operator="containsText" text="Mid">
      <formula>NOT(ISERROR(SEARCH("Mid",X34)))</formula>
    </cfRule>
    <cfRule type="containsText" dxfId="3181" priority="3158" operator="containsText" text="Large">
      <formula>NOT(ISERROR(SEARCH("Large",X34)))</formula>
    </cfRule>
  </conditionalFormatting>
  <conditionalFormatting sqref="X34">
    <cfRule type="containsText" dxfId="3180" priority="3153" operator="containsText" text="Small">
      <formula>NOT(ISERROR(SEARCH("Small",X34)))</formula>
    </cfRule>
    <cfRule type="containsText" dxfId="3179" priority="3154" operator="containsText" text="Mid">
      <formula>NOT(ISERROR(SEARCH("Mid",X34)))</formula>
    </cfRule>
    <cfRule type="containsText" dxfId="3178" priority="3155" operator="containsText" text="Large">
      <formula>NOT(ISERROR(SEARCH("Large",X34)))</formula>
    </cfRule>
  </conditionalFormatting>
  <conditionalFormatting sqref="X34">
    <cfRule type="containsText" dxfId="3177" priority="3150" operator="containsText" text="Small">
      <formula>NOT(ISERROR(SEARCH("Small",X34)))</formula>
    </cfRule>
    <cfRule type="containsText" dxfId="3176" priority="3151" operator="containsText" text="Mid">
      <formula>NOT(ISERROR(SEARCH("Mid",X34)))</formula>
    </cfRule>
    <cfRule type="containsText" dxfId="3175" priority="3152" operator="containsText" text="Large">
      <formula>NOT(ISERROR(SEARCH("Large",X34)))</formula>
    </cfRule>
  </conditionalFormatting>
  <conditionalFormatting sqref="X34">
    <cfRule type="containsText" dxfId="3174" priority="3147" operator="containsText" text="Small">
      <formula>NOT(ISERROR(SEARCH("Small",X34)))</formula>
    </cfRule>
    <cfRule type="containsText" dxfId="3173" priority="3148" operator="containsText" text="Mid">
      <formula>NOT(ISERROR(SEARCH("Mid",X34)))</formula>
    </cfRule>
    <cfRule type="containsText" dxfId="3172" priority="3149" operator="containsText" text="Large">
      <formula>NOT(ISERROR(SEARCH("Large",X34)))</formula>
    </cfRule>
  </conditionalFormatting>
  <conditionalFormatting sqref="X34">
    <cfRule type="containsText" dxfId="3171" priority="3144" operator="containsText" text="Small">
      <formula>NOT(ISERROR(SEARCH("Small",X34)))</formula>
    </cfRule>
    <cfRule type="containsText" dxfId="3170" priority="3145" operator="containsText" text="Mid">
      <formula>NOT(ISERROR(SEARCH("Mid",X34)))</formula>
    </cfRule>
    <cfRule type="containsText" dxfId="3169" priority="3146" operator="containsText" text="Large">
      <formula>NOT(ISERROR(SEARCH("Large",X34)))</formula>
    </cfRule>
  </conditionalFormatting>
  <conditionalFormatting sqref="X34">
    <cfRule type="containsText" dxfId="3168" priority="3141" operator="containsText" text="Small">
      <formula>NOT(ISERROR(SEARCH("Small",X34)))</formula>
    </cfRule>
    <cfRule type="containsText" dxfId="3167" priority="3142" operator="containsText" text="Mid">
      <formula>NOT(ISERROR(SEARCH("Mid",X34)))</formula>
    </cfRule>
    <cfRule type="containsText" dxfId="3166" priority="3143" operator="containsText" text="Large">
      <formula>NOT(ISERROR(SEARCH("Large",X34)))</formula>
    </cfRule>
  </conditionalFormatting>
  <conditionalFormatting sqref="X34">
    <cfRule type="containsText" dxfId="3165" priority="3138" operator="containsText" text="Small">
      <formula>NOT(ISERROR(SEARCH("Small",X34)))</formula>
    </cfRule>
    <cfRule type="containsText" dxfId="3164" priority="3139" operator="containsText" text="Mid">
      <formula>NOT(ISERROR(SEARCH("Mid",X34)))</formula>
    </cfRule>
    <cfRule type="containsText" dxfId="3163" priority="3140" operator="containsText" text="Large">
      <formula>NOT(ISERROR(SEARCH("Large",X34)))</formula>
    </cfRule>
  </conditionalFormatting>
  <conditionalFormatting sqref="X34">
    <cfRule type="containsText" dxfId="3162" priority="3135" operator="containsText" text="Small">
      <formula>NOT(ISERROR(SEARCH("Small",X34)))</formula>
    </cfRule>
    <cfRule type="containsText" dxfId="3161" priority="3136" operator="containsText" text="Mid">
      <formula>NOT(ISERROR(SEARCH("Mid",X34)))</formula>
    </cfRule>
    <cfRule type="containsText" dxfId="3160" priority="3137" operator="containsText" text="Large">
      <formula>NOT(ISERROR(SEARCH("Large",X34)))</formula>
    </cfRule>
  </conditionalFormatting>
  <conditionalFormatting sqref="X34">
    <cfRule type="containsText" dxfId="3159" priority="3132" operator="containsText" text="Small">
      <formula>NOT(ISERROR(SEARCH("Small",X34)))</formula>
    </cfRule>
    <cfRule type="containsText" dxfId="3158" priority="3133" operator="containsText" text="Mid">
      <formula>NOT(ISERROR(SEARCH("Mid",X34)))</formula>
    </cfRule>
    <cfRule type="containsText" dxfId="3157" priority="3134" operator="containsText" text="Large">
      <formula>NOT(ISERROR(SEARCH("Large",X34)))</formula>
    </cfRule>
  </conditionalFormatting>
  <conditionalFormatting sqref="X34">
    <cfRule type="containsText" dxfId="3156" priority="3129" operator="containsText" text="Small">
      <formula>NOT(ISERROR(SEARCH("Small",X34)))</formula>
    </cfRule>
    <cfRule type="containsText" dxfId="3155" priority="3130" operator="containsText" text="Mid">
      <formula>NOT(ISERROR(SEARCH("Mid",X34)))</formula>
    </cfRule>
    <cfRule type="containsText" dxfId="3154" priority="3131" operator="containsText" text="Large">
      <formula>NOT(ISERROR(SEARCH("Large",X34)))</formula>
    </cfRule>
  </conditionalFormatting>
  <conditionalFormatting sqref="X34">
    <cfRule type="containsText" dxfId="3153" priority="3126" operator="containsText" text="Small">
      <formula>NOT(ISERROR(SEARCH("Small",X34)))</formula>
    </cfRule>
    <cfRule type="containsText" dxfId="3152" priority="3127" operator="containsText" text="Mid">
      <formula>NOT(ISERROR(SEARCH("Mid",X34)))</formula>
    </cfRule>
    <cfRule type="containsText" dxfId="3151" priority="3128" operator="containsText" text="Large">
      <formula>NOT(ISERROR(SEARCH("Large",X34)))</formula>
    </cfRule>
  </conditionalFormatting>
  <conditionalFormatting sqref="X34">
    <cfRule type="containsText" dxfId="3150" priority="3123" operator="containsText" text="Small">
      <formula>NOT(ISERROR(SEARCH("Small",X34)))</formula>
    </cfRule>
    <cfRule type="containsText" dxfId="3149" priority="3124" operator="containsText" text="Mid">
      <formula>NOT(ISERROR(SEARCH("Mid",X34)))</formula>
    </cfRule>
    <cfRule type="containsText" dxfId="3148" priority="3125" operator="containsText" text="Large">
      <formula>NOT(ISERROR(SEARCH("Large",X34)))</formula>
    </cfRule>
  </conditionalFormatting>
  <conditionalFormatting sqref="X34">
    <cfRule type="containsText" dxfId="3147" priority="3120" operator="containsText" text="Small">
      <formula>NOT(ISERROR(SEARCH("Small",X34)))</formula>
    </cfRule>
    <cfRule type="containsText" dxfId="3146" priority="3121" operator="containsText" text="Mid">
      <formula>NOT(ISERROR(SEARCH("Mid",X34)))</formula>
    </cfRule>
    <cfRule type="containsText" dxfId="3145" priority="3122" operator="containsText" text="Large">
      <formula>NOT(ISERROR(SEARCH("Large",X34)))</formula>
    </cfRule>
  </conditionalFormatting>
  <conditionalFormatting sqref="X34">
    <cfRule type="containsText" dxfId="3144" priority="3117" operator="containsText" text="Small">
      <formula>NOT(ISERROR(SEARCH("Small",X34)))</formula>
    </cfRule>
    <cfRule type="containsText" dxfId="3143" priority="3118" operator="containsText" text="Mid">
      <formula>NOT(ISERROR(SEARCH("Mid",X34)))</formula>
    </cfRule>
    <cfRule type="containsText" dxfId="3142" priority="3119" operator="containsText" text="Large">
      <formula>NOT(ISERROR(SEARCH("Large",X34)))</formula>
    </cfRule>
  </conditionalFormatting>
  <conditionalFormatting sqref="X34">
    <cfRule type="containsText" dxfId="3141" priority="3114" operator="containsText" text="Small">
      <formula>NOT(ISERROR(SEARCH("Small",X34)))</formula>
    </cfRule>
    <cfRule type="containsText" dxfId="3140" priority="3115" operator="containsText" text="Mid">
      <formula>NOT(ISERROR(SEARCH("Mid",X34)))</formula>
    </cfRule>
    <cfRule type="containsText" dxfId="3139" priority="3116" operator="containsText" text="Large">
      <formula>NOT(ISERROR(SEARCH("Large",X34)))</formula>
    </cfRule>
  </conditionalFormatting>
  <conditionalFormatting sqref="X34">
    <cfRule type="containsText" dxfId="3138" priority="3111" operator="containsText" text="Small">
      <formula>NOT(ISERROR(SEARCH("Small",X34)))</formula>
    </cfRule>
    <cfRule type="containsText" dxfId="3137" priority="3112" operator="containsText" text="Mid">
      <formula>NOT(ISERROR(SEARCH("Mid",X34)))</formula>
    </cfRule>
    <cfRule type="containsText" dxfId="3136" priority="3113" operator="containsText" text="Large">
      <formula>NOT(ISERROR(SEARCH("Large",X34)))</formula>
    </cfRule>
  </conditionalFormatting>
  <conditionalFormatting sqref="X48">
    <cfRule type="containsText" dxfId="3135" priority="3110" operator="containsText" text="No Cap">
      <formula>NOT(ISERROR(SEARCH("No Cap",X48)))</formula>
    </cfRule>
  </conditionalFormatting>
  <conditionalFormatting sqref="X48">
    <cfRule type="containsText" dxfId="3134" priority="3109" operator="containsText" text="No Cap">
      <formula>NOT(ISERROR(SEARCH("No Cap",X48)))</formula>
    </cfRule>
  </conditionalFormatting>
  <conditionalFormatting sqref="X48">
    <cfRule type="containsText" dxfId="3133" priority="3106" operator="containsText" text="Small">
      <formula>NOT(ISERROR(SEARCH("Small",X48)))</formula>
    </cfRule>
    <cfRule type="containsText" dxfId="3132" priority="3107" operator="containsText" text="Mid">
      <formula>NOT(ISERROR(SEARCH("Mid",X48)))</formula>
    </cfRule>
    <cfRule type="containsText" dxfId="3131" priority="3108" operator="containsText" text="Large">
      <formula>NOT(ISERROR(SEARCH("Large",X48)))</formula>
    </cfRule>
  </conditionalFormatting>
  <conditionalFormatting sqref="X48">
    <cfRule type="containsText" dxfId="3130" priority="3103" operator="containsText" text="Small">
      <formula>NOT(ISERROR(SEARCH("Small",X48)))</formula>
    </cfRule>
    <cfRule type="containsText" dxfId="3129" priority="3104" operator="containsText" text="Mid">
      <formula>NOT(ISERROR(SEARCH("Mid",X48)))</formula>
    </cfRule>
    <cfRule type="containsText" dxfId="3128" priority="3105" operator="containsText" text="Large">
      <formula>NOT(ISERROR(SEARCH("Large",X48)))</formula>
    </cfRule>
  </conditionalFormatting>
  <conditionalFormatting sqref="X48">
    <cfRule type="containsText" dxfId="3127" priority="3100" operator="containsText" text="Small">
      <formula>NOT(ISERROR(SEARCH("Small",X48)))</formula>
    </cfRule>
    <cfRule type="containsText" dxfId="3126" priority="3101" operator="containsText" text="Mid">
      <formula>NOT(ISERROR(SEARCH("Mid",X48)))</formula>
    </cfRule>
    <cfRule type="containsText" dxfId="3125" priority="3102" operator="containsText" text="Large">
      <formula>NOT(ISERROR(SEARCH("Large",X48)))</formula>
    </cfRule>
  </conditionalFormatting>
  <conditionalFormatting sqref="X48">
    <cfRule type="containsText" dxfId="3124" priority="3099" operator="containsText" text="No Cap">
      <formula>NOT(ISERROR(SEARCH("No Cap",X48)))</formula>
    </cfRule>
  </conditionalFormatting>
  <conditionalFormatting sqref="X48">
    <cfRule type="containsText" dxfId="3123" priority="3098" operator="containsText" text="No Cap">
      <formula>NOT(ISERROR(SEARCH("No Cap",X48)))</formula>
    </cfRule>
  </conditionalFormatting>
  <conditionalFormatting sqref="X48">
    <cfRule type="containsText" dxfId="3122" priority="3095" operator="containsText" text="Small">
      <formula>NOT(ISERROR(SEARCH("Small",X48)))</formula>
    </cfRule>
    <cfRule type="containsText" dxfId="3121" priority="3096" operator="containsText" text="Mid">
      <formula>NOT(ISERROR(SEARCH("Mid",X48)))</formula>
    </cfRule>
    <cfRule type="containsText" dxfId="3120" priority="3097" operator="containsText" text="Large">
      <formula>NOT(ISERROR(SEARCH("Large",X48)))</formula>
    </cfRule>
  </conditionalFormatting>
  <conditionalFormatting sqref="X48">
    <cfRule type="containsText" dxfId="3119" priority="3092" operator="containsText" text="Small">
      <formula>NOT(ISERROR(SEARCH("Small",X48)))</formula>
    </cfRule>
    <cfRule type="containsText" dxfId="3118" priority="3093" operator="containsText" text="Mid">
      <formula>NOT(ISERROR(SEARCH("Mid",X48)))</formula>
    </cfRule>
    <cfRule type="containsText" dxfId="3117" priority="3094" operator="containsText" text="Large">
      <formula>NOT(ISERROR(SEARCH("Large",X48)))</formula>
    </cfRule>
  </conditionalFormatting>
  <conditionalFormatting sqref="X48">
    <cfRule type="containsText" dxfId="3116" priority="3089" operator="containsText" text="Small">
      <formula>NOT(ISERROR(SEARCH("Small",X48)))</formula>
    </cfRule>
    <cfRule type="containsText" dxfId="3115" priority="3090" operator="containsText" text="Mid">
      <formula>NOT(ISERROR(SEARCH("Mid",X48)))</formula>
    </cfRule>
    <cfRule type="containsText" dxfId="3114" priority="3091" operator="containsText" text="Large">
      <formula>NOT(ISERROR(SEARCH("Large",X48)))</formula>
    </cfRule>
  </conditionalFormatting>
  <conditionalFormatting sqref="X48">
    <cfRule type="containsText" dxfId="3113" priority="3088" operator="containsText" text="No Cap">
      <formula>NOT(ISERROR(SEARCH("No Cap",X48)))</formula>
    </cfRule>
  </conditionalFormatting>
  <conditionalFormatting sqref="X48">
    <cfRule type="containsText" dxfId="3112" priority="3087" operator="containsText" text="No Cap">
      <formula>NOT(ISERROR(SEARCH("No Cap",X48)))</formula>
    </cfRule>
  </conditionalFormatting>
  <conditionalFormatting sqref="X48">
    <cfRule type="containsText" dxfId="3111" priority="3084" operator="containsText" text="Small">
      <formula>NOT(ISERROR(SEARCH("Small",X48)))</formula>
    </cfRule>
    <cfRule type="containsText" dxfId="3110" priority="3085" operator="containsText" text="Mid">
      <formula>NOT(ISERROR(SEARCH("Mid",X48)))</formula>
    </cfRule>
    <cfRule type="containsText" dxfId="3109" priority="3086" operator="containsText" text="Large">
      <formula>NOT(ISERROR(SEARCH("Large",X48)))</formula>
    </cfRule>
  </conditionalFormatting>
  <conditionalFormatting sqref="X48">
    <cfRule type="containsText" dxfId="3108" priority="3081" operator="containsText" text="Small">
      <formula>NOT(ISERROR(SEARCH("Small",X48)))</formula>
    </cfRule>
    <cfRule type="containsText" dxfId="3107" priority="3082" operator="containsText" text="Mid">
      <formula>NOT(ISERROR(SEARCH("Mid",X48)))</formula>
    </cfRule>
    <cfRule type="containsText" dxfId="3106" priority="3083" operator="containsText" text="Large">
      <formula>NOT(ISERROR(SEARCH("Large",X48)))</formula>
    </cfRule>
  </conditionalFormatting>
  <conditionalFormatting sqref="X48">
    <cfRule type="containsText" dxfId="3105" priority="3078" operator="containsText" text="Small">
      <formula>NOT(ISERROR(SEARCH("Small",X48)))</formula>
    </cfRule>
    <cfRule type="containsText" dxfId="3104" priority="3079" operator="containsText" text="Mid">
      <formula>NOT(ISERROR(SEARCH("Mid",X48)))</formula>
    </cfRule>
    <cfRule type="containsText" dxfId="3103" priority="3080" operator="containsText" text="Large">
      <formula>NOT(ISERROR(SEARCH("Large",X48)))</formula>
    </cfRule>
  </conditionalFormatting>
  <conditionalFormatting sqref="X48">
    <cfRule type="containsText" dxfId="3102" priority="3077" operator="containsText" text="NA">
      <formula>NOT(ISERROR(SEARCH("NA",X48)))</formula>
    </cfRule>
  </conditionalFormatting>
  <conditionalFormatting sqref="X48">
    <cfRule type="containsText" dxfId="3101" priority="3074" operator="containsText" text="Small">
      <formula>NOT(ISERROR(SEARCH("Small",X48)))</formula>
    </cfRule>
    <cfRule type="containsText" dxfId="3100" priority="3075" operator="containsText" text="Mid">
      <formula>NOT(ISERROR(SEARCH("Mid",X48)))</formula>
    </cfRule>
    <cfRule type="containsText" dxfId="3099" priority="3076" operator="containsText" text="Large">
      <formula>NOT(ISERROR(SEARCH("Large",X48)))</formula>
    </cfRule>
  </conditionalFormatting>
  <conditionalFormatting sqref="X48">
    <cfRule type="containsText" dxfId="3098" priority="3071" operator="containsText" text="Small">
      <formula>NOT(ISERROR(SEARCH("Small",X48)))</formula>
    </cfRule>
    <cfRule type="containsText" dxfId="3097" priority="3072" operator="containsText" text="Mid">
      <formula>NOT(ISERROR(SEARCH("Mid",X48)))</formula>
    </cfRule>
    <cfRule type="containsText" dxfId="3096" priority="3073" operator="containsText" text="Large">
      <formula>NOT(ISERROR(SEARCH("Large",X48)))</formula>
    </cfRule>
  </conditionalFormatting>
  <conditionalFormatting sqref="X48">
    <cfRule type="containsText" dxfId="3095" priority="3068" operator="containsText" text="Small">
      <formula>NOT(ISERROR(SEARCH("Small",X48)))</formula>
    </cfRule>
    <cfRule type="containsText" dxfId="3094" priority="3069" operator="containsText" text="Mid">
      <formula>NOT(ISERROR(SEARCH("Mid",X48)))</formula>
    </cfRule>
    <cfRule type="containsText" dxfId="3093" priority="3070" operator="containsText" text="Large">
      <formula>NOT(ISERROR(SEARCH("Large",X48)))</formula>
    </cfRule>
  </conditionalFormatting>
  <conditionalFormatting sqref="X48">
    <cfRule type="containsText" dxfId="3092" priority="3065" operator="containsText" text="Small">
      <formula>NOT(ISERROR(SEARCH("Small",X48)))</formula>
    </cfRule>
    <cfRule type="containsText" dxfId="3091" priority="3066" operator="containsText" text="Mid">
      <formula>NOT(ISERROR(SEARCH("Mid",X48)))</formula>
    </cfRule>
    <cfRule type="containsText" dxfId="3090" priority="3067" operator="containsText" text="Large">
      <formula>NOT(ISERROR(SEARCH("Large",X48)))</formula>
    </cfRule>
  </conditionalFormatting>
  <conditionalFormatting sqref="X48">
    <cfRule type="containsText" dxfId="3089" priority="3062" operator="containsText" text="Small">
      <formula>NOT(ISERROR(SEARCH("Small",X48)))</formula>
    </cfRule>
    <cfRule type="containsText" dxfId="3088" priority="3063" operator="containsText" text="Mid">
      <formula>NOT(ISERROR(SEARCH("Mid",X48)))</formula>
    </cfRule>
    <cfRule type="containsText" dxfId="3087" priority="3064" operator="containsText" text="Large">
      <formula>NOT(ISERROR(SEARCH("Large",X48)))</formula>
    </cfRule>
  </conditionalFormatting>
  <conditionalFormatting sqref="X48">
    <cfRule type="containsText" dxfId="3086" priority="3059" operator="containsText" text="Small">
      <formula>NOT(ISERROR(SEARCH("Small",X48)))</formula>
    </cfRule>
    <cfRule type="containsText" dxfId="3085" priority="3060" operator="containsText" text="Mid">
      <formula>NOT(ISERROR(SEARCH("Mid",X48)))</formula>
    </cfRule>
    <cfRule type="containsText" dxfId="3084" priority="3061" operator="containsText" text="Large">
      <formula>NOT(ISERROR(SEARCH("Large",X48)))</formula>
    </cfRule>
  </conditionalFormatting>
  <conditionalFormatting sqref="X48">
    <cfRule type="containsText" dxfId="3083" priority="3056" operator="containsText" text="Small">
      <formula>NOT(ISERROR(SEARCH("Small",X48)))</formula>
    </cfRule>
    <cfRule type="containsText" dxfId="3082" priority="3057" operator="containsText" text="Mid">
      <formula>NOT(ISERROR(SEARCH("Mid",X48)))</formula>
    </cfRule>
    <cfRule type="containsText" dxfId="3081" priority="3058" operator="containsText" text="Large">
      <formula>NOT(ISERROR(SEARCH("Large",X48)))</formula>
    </cfRule>
  </conditionalFormatting>
  <conditionalFormatting sqref="X48">
    <cfRule type="containsText" dxfId="3080" priority="3053" operator="containsText" text="Small">
      <formula>NOT(ISERROR(SEARCH("Small",X48)))</formula>
    </cfRule>
    <cfRule type="containsText" dxfId="3079" priority="3054" operator="containsText" text="Mid">
      <formula>NOT(ISERROR(SEARCH("Mid",X48)))</formula>
    </cfRule>
    <cfRule type="containsText" dxfId="3078" priority="3055" operator="containsText" text="Large">
      <formula>NOT(ISERROR(SEARCH("Large",X48)))</formula>
    </cfRule>
  </conditionalFormatting>
  <conditionalFormatting sqref="X48">
    <cfRule type="containsText" dxfId="3077" priority="3050" operator="containsText" text="Small">
      <formula>NOT(ISERROR(SEARCH("Small",X48)))</formula>
    </cfRule>
    <cfRule type="containsText" dxfId="3076" priority="3051" operator="containsText" text="Mid">
      <formula>NOT(ISERROR(SEARCH("Mid",X48)))</formula>
    </cfRule>
    <cfRule type="containsText" dxfId="3075" priority="3052" operator="containsText" text="Large">
      <formula>NOT(ISERROR(SEARCH("Large",X48)))</formula>
    </cfRule>
  </conditionalFormatting>
  <conditionalFormatting sqref="X48">
    <cfRule type="containsText" dxfId="3074" priority="3047" operator="containsText" text="Small">
      <formula>NOT(ISERROR(SEARCH("Small",X48)))</formula>
    </cfRule>
    <cfRule type="containsText" dxfId="3073" priority="3048" operator="containsText" text="Mid">
      <formula>NOT(ISERROR(SEARCH("Mid",X48)))</formula>
    </cfRule>
    <cfRule type="containsText" dxfId="3072" priority="3049" operator="containsText" text="Large">
      <formula>NOT(ISERROR(SEARCH("Large",X48)))</formula>
    </cfRule>
  </conditionalFormatting>
  <conditionalFormatting sqref="X48">
    <cfRule type="containsText" dxfId="3071" priority="3044" operator="containsText" text="Small">
      <formula>NOT(ISERROR(SEARCH("Small",X48)))</formula>
    </cfRule>
    <cfRule type="containsText" dxfId="3070" priority="3045" operator="containsText" text="Mid">
      <formula>NOT(ISERROR(SEARCH("Mid",X48)))</formula>
    </cfRule>
    <cfRule type="containsText" dxfId="3069" priority="3046" operator="containsText" text="Large">
      <formula>NOT(ISERROR(SEARCH("Large",X48)))</formula>
    </cfRule>
  </conditionalFormatting>
  <conditionalFormatting sqref="X48">
    <cfRule type="containsText" dxfId="3068" priority="3041" operator="containsText" text="Small">
      <formula>NOT(ISERROR(SEARCH("Small",X48)))</formula>
    </cfRule>
    <cfRule type="containsText" dxfId="3067" priority="3042" operator="containsText" text="Mid">
      <formula>NOT(ISERROR(SEARCH("Mid",X48)))</formula>
    </cfRule>
    <cfRule type="containsText" dxfId="3066" priority="3043" operator="containsText" text="Large">
      <formula>NOT(ISERROR(SEARCH("Large",X48)))</formula>
    </cfRule>
  </conditionalFormatting>
  <conditionalFormatting sqref="X48">
    <cfRule type="containsText" dxfId="3065" priority="3038" operator="containsText" text="Small">
      <formula>NOT(ISERROR(SEARCH("Small",X48)))</formula>
    </cfRule>
    <cfRule type="containsText" dxfId="3064" priority="3039" operator="containsText" text="Mid">
      <formula>NOT(ISERROR(SEARCH("Mid",X48)))</formula>
    </cfRule>
    <cfRule type="containsText" dxfId="3063" priority="3040" operator="containsText" text="Large">
      <formula>NOT(ISERROR(SEARCH("Large",X48)))</formula>
    </cfRule>
  </conditionalFormatting>
  <conditionalFormatting sqref="X48">
    <cfRule type="containsText" dxfId="3062" priority="3035" operator="containsText" text="Small">
      <formula>NOT(ISERROR(SEARCH("Small",X48)))</formula>
    </cfRule>
    <cfRule type="containsText" dxfId="3061" priority="3036" operator="containsText" text="Mid">
      <formula>NOT(ISERROR(SEARCH("Mid",X48)))</formula>
    </cfRule>
    <cfRule type="containsText" dxfId="3060" priority="3037" operator="containsText" text="Large">
      <formula>NOT(ISERROR(SEARCH("Large",X48)))</formula>
    </cfRule>
  </conditionalFormatting>
  <conditionalFormatting sqref="X48">
    <cfRule type="containsText" dxfId="3059" priority="3032" operator="containsText" text="Small">
      <formula>NOT(ISERROR(SEARCH("Small",X48)))</formula>
    </cfRule>
    <cfRule type="containsText" dxfId="3058" priority="3033" operator="containsText" text="Mid">
      <formula>NOT(ISERROR(SEARCH("Mid",X48)))</formula>
    </cfRule>
    <cfRule type="containsText" dxfId="3057" priority="3034" operator="containsText" text="Large">
      <formula>NOT(ISERROR(SEARCH("Large",X48)))</formula>
    </cfRule>
  </conditionalFormatting>
  <conditionalFormatting sqref="X48">
    <cfRule type="containsText" dxfId="3056" priority="3029" operator="containsText" text="Small">
      <formula>NOT(ISERROR(SEARCH("Small",X48)))</formula>
    </cfRule>
    <cfRule type="containsText" dxfId="3055" priority="3030" operator="containsText" text="Mid">
      <formula>NOT(ISERROR(SEARCH("Mid",X48)))</formula>
    </cfRule>
    <cfRule type="containsText" dxfId="3054" priority="3031" operator="containsText" text="Large">
      <formula>NOT(ISERROR(SEARCH("Large",X48)))</formula>
    </cfRule>
  </conditionalFormatting>
  <conditionalFormatting sqref="X48">
    <cfRule type="containsText" dxfId="3053" priority="3026" operator="containsText" text="Small">
      <formula>NOT(ISERROR(SEARCH("Small",X48)))</formula>
    </cfRule>
    <cfRule type="containsText" dxfId="3052" priority="3027" operator="containsText" text="Mid">
      <formula>NOT(ISERROR(SEARCH("Mid",X48)))</formula>
    </cfRule>
    <cfRule type="containsText" dxfId="3051" priority="3028" operator="containsText" text="Large">
      <formula>NOT(ISERROR(SEARCH("Large",X48)))</formula>
    </cfRule>
  </conditionalFormatting>
  <conditionalFormatting sqref="X48">
    <cfRule type="containsText" dxfId="3050" priority="3023" operator="containsText" text="Small">
      <formula>NOT(ISERROR(SEARCH("Small",X48)))</formula>
    </cfRule>
    <cfRule type="containsText" dxfId="3049" priority="3024" operator="containsText" text="Mid">
      <formula>NOT(ISERROR(SEARCH("Mid",X48)))</formula>
    </cfRule>
    <cfRule type="containsText" dxfId="3048" priority="3025" operator="containsText" text="Large">
      <formula>NOT(ISERROR(SEARCH("Large",X48)))</formula>
    </cfRule>
  </conditionalFormatting>
  <conditionalFormatting sqref="X48">
    <cfRule type="containsText" dxfId="3047" priority="3020" operator="containsText" text="Small">
      <formula>NOT(ISERROR(SEARCH("Small",X48)))</formula>
    </cfRule>
    <cfRule type="containsText" dxfId="3046" priority="3021" operator="containsText" text="Mid">
      <formula>NOT(ISERROR(SEARCH("Mid",X48)))</formula>
    </cfRule>
    <cfRule type="containsText" dxfId="3045" priority="3022" operator="containsText" text="Large">
      <formula>NOT(ISERROR(SEARCH("Large",X48)))</formula>
    </cfRule>
  </conditionalFormatting>
  <conditionalFormatting sqref="X48">
    <cfRule type="containsText" dxfId="3044" priority="3017" operator="containsText" text="Small">
      <formula>NOT(ISERROR(SEARCH("Small",X48)))</formula>
    </cfRule>
    <cfRule type="containsText" dxfId="3043" priority="3018" operator="containsText" text="Mid">
      <formula>NOT(ISERROR(SEARCH("Mid",X48)))</formula>
    </cfRule>
    <cfRule type="containsText" dxfId="3042" priority="3019" operator="containsText" text="Large">
      <formula>NOT(ISERROR(SEARCH("Large",X48)))</formula>
    </cfRule>
  </conditionalFormatting>
  <conditionalFormatting sqref="X48">
    <cfRule type="containsText" dxfId="3041" priority="3014" operator="containsText" text="Small">
      <formula>NOT(ISERROR(SEARCH("Small",X48)))</formula>
    </cfRule>
    <cfRule type="containsText" dxfId="3040" priority="3015" operator="containsText" text="Mid">
      <formula>NOT(ISERROR(SEARCH("Mid",X48)))</formula>
    </cfRule>
    <cfRule type="containsText" dxfId="3039" priority="3016" operator="containsText" text="Large">
      <formula>NOT(ISERROR(SEARCH("Large",X48)))</formula>
    </cfRule>
  </conditionalFormatting>
  <conditionalFormatting sqref="X48">
    <cfRule type="containsText" dxfId="3038" priority="3011" operator="containsText" text="Small">
      <formula>NOT(ISERROR(SEARCH("Small",X48)))</formula>
    </cfRule>
    <cfRule type="containsText" dxfId="3037" priority="3012" operator="containsText" text="Mid">
      <formula>NOT(ISERROR(SEARCH("Mid",X48)))</formula>
    </cfRule>
    <cfRule type="containsText" dxfId="3036" priority="3013" operator="containsText" text="Large">
      <formula>NOT(ISERROR(SEARCH("Large",X48)))</formula>
    </cfRule>
  </conditionalFormatting>
  <conditionalFormatting sqref="X48">
    <cfRule type="containsText" dxfId="3035" priority="3008" operator="containsText" text="Small">
      <formula>NOT(ISERROR(SEARCH("Small",X48)))</formula>
    </cfRule>
    <cfRule type="containsText" dxfId="3034" priority="3009" operator="containsText" text="Mid">
      <formula>NOT(ISERROR(SEARCH("Mid",X48)))</formula>
    </cfRule>
    <cfRule type="containsText" dxfId="3033" priority="3010" operator="containsText" text="Large">
      <formula>NOT(ISERROR(SEARCH("Large",X48)))</formula>
    </cfRule>
  </conditionalFormatting>
  <conditionalFormatting sqref="X48">
    <cfRule type="containsText" dxfId="3032" priority="3005" operator="containsText" text="Small">
      <formula>NOT(ISERROR(SEARCH("Small",X48)))</formula>
    </cfRule>
    <cfRule type="containsText" dxfId="3031" priority="3006" operator="containsText" text="Mid">
      <formula>NOT(ISERROR(SEARCH("Mid",X48)))</formula>
    </cfRule>
    <cfRule type="containsText" dxfId="3030" priority="3007" operator="containsText" text="Large">
      <formula>NOT(ISERROR(SEARCH("Large",X48)))</formula>
    </cfRule>
  </conditionalFormatting>
  <conditionalFormatting sqref="X48">
    <cfRule type="containsText" dxfId="3029" priority="3002" operator="containsText" text="Small">
      <formula>NOT(ISERROR(SEARCH("Small",X48)))</formula>
    </cfRule>
    <cfRule type="containsText" dxfId="3028" priority="3003" operator="containsText" text="Mid">
      <formula>NOT(ISERROR(SEARCH("Mid",X48)))</formula>
    </cfRule>
    <cfRule type="containsText" dxfId="3027" priority="3004" operator="containsText" text="Large">
      <formula>NOT(ISERROR(SEARCH("Large",X48)))</formula>
    </cfRule>
  </conditionalFormatting>
  <conditionalFormatting sqref="X48">
    <cfRule type="containsText" dxfId="3026" priority="2999" operator="containsText" text="Small">
      <formula>NOT(ISERROR(SEARCH("Small",X48)))</formula>
    </cfRule>
    <cfRule type="containsText" dxfId="3025" priority="3000" operator="containsText" text="Mid">
      <formula>NOT(ISERROR(SEARCH("Mid",X48)))</formula>
    </cfRule>
    <cfRule type="containsText" dxfId="3024" priority="3001" operator="containsText" text="Large">
      <formula>NOT(ISERROR(SEARCH("Large",X48)))</formula>
    </cfRule>
  </conditionalFormatting>
  <conditionalFormatting sqref="X48">
    <cfRule type="containsText" dxfId="3023" priority="2996" operator="containsText" text="Small">
      <formula>NOT(ISERROR(SEARCH("Small",X48)))</formula>
    </cfRule>
    <cfRule type="containsText" dxfId="3022" priority="2997" operator="containsText" text="Mid">
      <formula>NOT(ISERROR(SEARCH("Mid",X48)))</formula>
    </cfRule>
    <cfRule type="containsText" dxfId="3021" priority="2998" operator="containsText" text="Large">
      <formula>NOT(ISERROR(SEARCH("Large",X48)))</formula>
    </cfRule>
  </conditionalFormatting>
  <conditionalFormatting sqref="X62">
    <cfRule type="containsText" dxfId="3020" priority="2995" operator="containsText" text="No Cap">
      <formula>NOT(ISERROR(SEARCH("No Cap",X62)))</formula>
    </cfRule>
  </conditionalFormatting>
  <conditionalFormatting sqref="X62">
    <cfRule type="containsText" dxfId="3019" priority="2994" operator="containsText" text="No Cap">
      <formula>NOT(ISERROR(SEARCH("No Cap",X62)))</formula>
    </cfRule>
  </conditionalFormatting>
  <conditionalFormatting sqref="X62">
    <cfRule type="containsText" dxfId="3018" priority="2991" operator="containsText" text="Small">
      <formula>NOT(ISERROR(SEARCH("Small",X62)))</formula>
    </cfRule>
    <cfRule type="containsText" dxfId="3017" priority="2992" operator="containsText" text="Mid">
      <formula>NOT(ISERROR(SEARCH("Mid",X62)))</formula>
    </cfRule>
    <cfRule type="containsText" dxfId="3016" priority="2993" operator="containsText" text="Large">
      <formula>NOT(ISERROR(SEARCH("Large",X62)))</formula>
    </cfRule>
  </conditionalFormatting>
  <conditionalFormatting sqref="X62">
    <cfRule type="containsText" dxfId="3015" priority="2988" operator="containsText" text="Small">
      <formula>NOT(ISERROR(SEARCH("Small",X62)))</formula>
    </cfRule>
    <cfRule type="containsText" dxfId="3014" priority="2989" operator="containsText" text="Mid">
      <formula>NOT(ISERROR(SEARCH("Mid",X62)))</formula>
    </cfRule>
    <cfRule type="containsText" dxfId="3013" priority="2990" operator="containsText" text="Large">
      <formula>NOT(ISERROR(SEARCH("Large",X62)))</formula>
    </cfRule>
  </conditionalFormatting>
  <conditionalFormatting sqref="X62">
    <cfRule type="containsText" dxfId="3012" priority="2985" operator="containsText" text="Small">
      <formula>NOT(ISERROR(SEARCH("Small",X62)))</formula>
    </cfRule>
    <cfRule type="containsText" dxfId="3011" priority="2986" operator="containsText" text="Mid">
      <formula>NOT(ISERROR(SEARCH("Mid",X62)))</formula>
    </cfRule>
    <cfRule type="containsText" dxfId="3010" priority="2987" operator="containsText" text="Large">
      <formula>NOT(ISERROR(SEARCH("Large",X62)))</formula>
    </cfRule>
  </conditionalFormatting>
  <conditionalFormatting sqref="X62">
    <cfRule type="containsText" dxfId="3009" priority="2984" operator="containsText" text="No Cap">
      <formula>NOT(ISERROR(SEARCH("No Cap",X62)))</formula>
    </cfRule>
  </conditionalFormatting>
  <conditionalFormatting sqref="X62">
    <cfRule type="containsText" dxfId="3008" priority="2983" operator="containsText" text="No Cap">
      <formula>NOT(ISERROR(SEARCH("No Cap",X62)))</formula>
    </cfRule>
  </conditionalFormatting>
  <conditionalFormatting sqref="X62">
    <cfRule type="containsText" dxfId="3007" priority="2980" operator="containsText" text="Small">
      <formula>NOT(ISERROR(SEARCH("Small",X62)))</formula>
    </cfRule>
    <cfRule type="containsText" dxfId="3006" priority="2981" operator="containsText" text="Mid">
      <formula>NOT(ISERROR(SEARCH("Mid",X62)))</formula>
    </cfRule>
    <cfRule type="containsText" dxfId="3005" priority="2982" operator="containsText" text="Large">
      <formula>NOT(ISERROR(SEARCH("Large",X62)))</formula>
    </cfRule>
  </conditionalFormatting>
  <conditionalFormatting sqref="X62">
    <cfRule type="containsText" dxfId="3004" priority="2977" operator="containsText" text="Small">
      <formula>NOT(ISERROR(SEARCH("Small",X62)))</formula>
    </cfRule>
    <cfRule type="containsText" dxfId="3003" priority="2978" operator="containsText" text="Mid">
      <formula>NOT(ISERROR(SEARCH("Mid",X62)))</formula>
    </cfRule>
    <cfRule type="containsText" dxfId="3002" priority="2979" operator="containsText" text="Large">
      <formula>NOT(ISERROR(SEARCH("Large",X62)))</formula>
    </cfRule>
  </conditionalFormatting>
  <conditionalFormatting sqref="X62">
    <cfRule type="containsText" dxfId="3001" priority="2974" operator="containsText" text="Small">
      <formula>NOT(ISERROR(SEARCH("Small",X62)))</formula>
    </cfRule>
    <cfRule type="containsText" dxfId="3000" priority="2975" operator="containsText" text="Mid">
      <formula>NOT(ISERROR(SEARCH("Mid",X62)))</formula>
    </cfRule>
    <cfRule type="containsText" dxfId="2999" priority="2976" operator="containsText" text="Large">
      <formula>NOT(ISERROR(SEARCH("Large",X62)))</formula>
    </cfRule>
  </conditionalFormatting>
  <conditionalFormatting sqref="X62">
    <cfRule type="containsText" dxfId="2998" priority="2973" operator="containsText" text="No Cap">
      <formula>NOT(ISERROR(SEARCH("No Cap",X62)))</formula>
    </cfRule>
  </conditionalFormatting>
  <conditionalFormatting sqref="X62">
    <cfRule type="containsText" dxfId="2997" priority="2972" operator="containsText" text="No Cap">
      <formula>NOT(ISERROR(SEARCH("No Cap",X62)))</formula>
    </cfRule>
  </conditionalFormatting>
  <conditionalFormatting sqref="X62">
    <cfRule type="containsText" dxfId="2996" priority="2969" operator="containsText" text="Small">
      <formula>NOT(ISERROR(SEARCH("Small",X62)))</formula>
    </cfRule>
    <cfRule type="containsText" dxfId="2995" priority="2970" operator="containsText" text="Mid">
      <formula>NOT(ISERROR(SEARCH("Mid",X62)))</formula>
    </cfRule>
    <cfRule type="containsText" dxfId="2994" priority="2971" operator="containsText" text="Large">
      <formula>NOT(ISERROR(SEARCH("Large",X62)))</formula>
    </cfRule>
  </conditionalFormatting>
  <conditionalFormatting sqref="X62">
    <cfRule type="containsText" dxfId="2993" priority="2966" operator="containsText" text="Small">
      <formula>NOT(ISERROR(SEARCH("Small",X62)))</formula>
    </cfRule>
    <cfRule type="containsText" dxfId="2992" priority="2967" operator="containsText" text="Mid">
      <formula>NOT(ISERROR(SEARCH("Mid",X62)))</formula>
    </cfRule>
    <cfRule type="containsText" dxfId="2991" priority="2968" operator="containsText" text="Large">
      <formula>NOT(ISERROR(SEARCH("Large",X62)))</formula>
    </cfRule>
  </conditionalFormatting>
  <conditionalFormatting sqref="X62">
    <cfRule type="containsText" dxfId="2990" priority="2963" operator="containsText" text="Small">
      <formula>NOT(ISERROR(SEARCH("Small",X62)))</formula>
    </cfRule>
    <cfRule type="containsText" dxfId="2989" priority="2964" operator="containsText" text="Mid">
      <formula>NOT(ISERROR(SEARCH("Mid",X62)))</formula>
    </cfRule>
    <cfRule type="containsText" dxfId="2988" priority="2965" operator="containsText" text="Large">
      <formula>NOT(ISERROR(SEARCH("Large",X62)))</formula>
    </cfRule>
  </conditionalFormatting>
  <conditionalFormatting sqref="X62">
    <cfRule type="containsText" dxfId="2987" priority="2962" operator="containsText" text="No Cap">
      <formula>NOT(ISERROR(SEARCH("No Cap",X62)))</formula>
    </cfRule>
  </conditionalFormatting>
  <conditionalFormatting sqref="X62">
    <cfRule type="containsText" dxfId="2986" priority="2961" operator="containsText" text="No Cap">
      <formula>NOT(ISERROR(SEARCH("No Cap",X62)))</formula>
    </cfRule>
  </conditionalFormatting>
  <conditionalFormatting sqref="X62">
    <cfRule type="containsText" dxfId="2985" priority="2958" operator="containsText" text="Small">
      <formula>NOT(ISERROR(SEARCH("Small",X62)))</formula>
    </cfRule>
    <cfRule type="containsText" dxfId="2984" priority="2959" operator="containsText" text="Mid">
      <formula>NOT(ISERROR(SEARCH("Mid",X62)))</formula>
    </cfRule>
    <cfRule type="containsText" dxfId="2983" priority="2960" operator="containsText" text="Large">
      <formula>NOT(ISERROR(SEARCH("Large",X62)))</formula>
    </cfRule>
  </conditionalFormatting>
  <conditionalFormatting sqref="X62">
    <cfRule type="containsText" dxfId="2982" priority="2955" operator="containsText" text="Small">
      <formula>NOT(ISERROR(SEARCH("Small",X62)))</formula>
    </cfRule>
    <cfRule type="containsText" dxfId="2981" priority="2956" operator="containsText" text="Mid">
      <formula>NOT(ISERROR(SEARCH("Mid",X62)))</formula>
    </cfRule>
    <cfRule type="containsText" dxfId="2980" priority="2957" operator="containsText" text="Large">
      <formula>NOT(ISERROR(SEARCH("Large",X62)))</formula>
    </cfRule>
  </conditionalFormatting>
  <conditionalFormatting sqref="X62">
    <cfRule type="containsText" dxfId="2979" priority="2952" operator="containsText" text="Small">
      <formula>NOT(ISERROR(SEARCH("Small",X62)))</formula>
    </cfRule>
    <cfRule type="containsText" dxfId="2978" priority="2953" operator="containsText" text="Mid">
      <formula>NOT(ISERROR(SEARCH("Mid",X62)))</formula>
    </cfRule>
    <cfRule type="containsText" dxfId="2977" priority="2954" operator="containsText" text="Large">
      <formula>NOT(ISERROR(SEARCH("Large",X62)))</formula>
    </cfRule>
  </conditionalFormatting>
  <conditionalFormatting sqref="X62">
    <cfRule type="containsText" dxfId="2976" priority="2951" operator="containsText" text="NA">
      <formula>NOT(ISERROR(SEARCH("NA",X62)))</formula>
    </cfRule>
  </conditionalFormatting>
  <conditionalFormatting sqref="X62">
    <cfRule type="containsText" dxfId="2975" priority="2948" operator="containsText" text="Small">
      <formula>NOT(ISERROR(SEARCH("Small",X62)))</formula>
    </cfRule>
    <cfRule type="containsText" dxfId="2974" priority="2949" operator="containsText" text="Mid">
      <formula>NOT(ISERROR(SEARCH("Mid",X62)))</formula>
    </cfRule>
    <cfRule type="containsText" dxfId="2973" priority="2950" operator="containsText" text="Large">
      <formula>NOT(ISERROR(SEARCH("Large",X62)))</formula>
    </cfRule>
  </conditionalFormatting>
  <conditionalFormatting sqref="X62">
    <cfRule type="containsText" dxfId="2972" priority="2945" operator="containsText" text="Small">
      <formula>NOT(ISERROR(SEARCH("Small",X62)))</formula>
    </cfRule>
    <cfRule type="containsText" dxfId="2971" priority="2946" operator="containsText" text="Mid">
      <formula>NOT(ISERROR(SEARCH("Mid",X62)))</formula>
    </cfRule>
    <cfRule type="containsText" dxfId="2970" priority="2947" operator="containsText" text="Large">
      <formula>NOT(ISERROR(SEARCH("Large",X62)))</formula>
    </cfRule>
  </conditionalFormatting>
  <conditionalFormatting sqref="X62">
    <cfRule type="containsText" dxfId="2969" priority="2942" operator="containsText" text="Small">
      <formula>NOT(ISERROR(SEARCH("Small",X62)))</formula>
    </cfRule>
    <cfRule type="containsText" dxfId="2968" priority="2943" operator="containsText" text="Mid">
      <formula>NOT(ISERROR(SEARCH("Mid",X62)))</formula>
    </cfRule>
    <cfRule type="containsText" dxfId="2967" priority="2944" operator="containsText" text="Large">
      <formula>NOT(ISERROR(SEARCH("Large",X62)))</formula>
    </cfRule>
  </conditionalFormatting>
  <conditionalFormatting sqref="X62">
    <cfRule type="containsText" dxfId="2966" priority="2939" operator="containsText" text="Small">
      <formula>NOT(ISERROR(SEARCH("Small",X62)))</formula>
    </cfRule>
    <cfRule type="containsText" dxfId="2965" priority="2940" operator="containsText" text="Mid">
      <formula>NOT(ISERROR(SEARCH("Mid",X62)))</formula>
    </cfRule>
    <cfRule type="containsText" dxfId="2964" priority="2941" operator="containsText" text="Large">
      <formula>NOT(ISERROR(SEARCH("Large",X62)))</formula>
    </cfRule>
  </conditionalFormatting>
  <conditionalFormatting sqref="X62">
    <cfRule type="containsText" dxfId="2963" priority="2936" operator="containsText" text="Small">
      <formula>NOT(ISERROR(SEARCH("Small",X62)))</formula>
    </cfRule>
    <cfRule type="containsText" dxfId="2962" priority="2937" operator="containsText" text="Mid">
      <formula>NOT(ISERROR(SEARCH("Mid",X62)))</formula>
    </cfRule>
    <cfRule type="containsText" dxfId="2961" priority="2938" operator="containsText" text="Large">
      <formula>NOT(ISERROR(SEARCH("Large",X62)))</formula>
    </cfRule>
  </conditionalFormatting>
  <conditionalFormatting sqref="X62">
    <cfRule type="containsText" dxfId="2960" priority="2933" operator="containsText" text="Small">
      <formula>NOT(ISERROR(SEARCH("Small",X62)))</formula>
    </cfRule>
    <cfRule type="containsText" dxfId="2959" priority="2934" operator="containsText" text="Mid">
      <formula>NOT(ISERROR(SEARCH("Mid",X62)))</formula>
    </cfRule>
    <cfRule type="containsText" dxfId="2958" priority="2935" operator="containsText" text="Large">
      <formula>NOT(ISERROR(SEARCH("Large",X62)))</formula>
    </cfRule>
  </conditionalFormatting>
  <conditionalFormatting sqref="X62">
    <cfRule type="containsText" dxfId="2957" priority="2930" operator="containsText" text="Small">
      <formula>NOT(ISERROR(SEARCH("Small",X62)))</formula>
    </cfRule>
    <cfRule type="containsText" dxfId="2956" priority="2931" operator="containsText" text="Mid">
      <formula>NOT(ISERROR(SEARCH("Mid",X62)))</formula>
    </cfRule>
    <cfRule type="containsText" dxfId="2955" priority="2932" operator="containsText" text="Large">
      <formula>NOT(ISERROR(SEARCH("Large",X62)))</formula>
    </cfRule>
  </conditionalFormatting>
  <conditionalFormatting sqref="X62">
    <cfRule type="containsText" dxfId="2954" priority="2927" operator="containsText" text="Small">
      <formula>NOT(ISERROR(SEARCH("Small",X62)))</formula>
    </cfRule>
    <cfRule type="containsText" dxfId="2953" priority="2928" operator="containsText" text="Mid">
      <formula>NOT(ISERROR(SEARCH("Mid",X62)))</formula>
    </cfRule>
    <cfRule type="containsText" dxfId="2952" priority="2929" operator="containsText" text="Large">
      <formula>NOT(ISERROR(SEARCH("Large",X62)))</formula>
    </cfRule>
  </conditionalFormatting>
  <conditionalFormatting sqref="X62">
    <cfRule type="containsText" dxfId="2951" priority="2924" operator="containsText" text="Small">
      <formula>NOT(ISERROR(SEARCH("Small",X62)))</formula>
    </cfRule>
    <cfRule type="containsText" dxfId="2950" priority="2925" operator="containsText" text="Mid">
      <formula>NOT(ISERROR(SEARCH("Mid",X62)))</formula>
    </cfRule>
    <cfRule type="containsText" dxfId="2949" priority="2926" operator="containsText" text="Large">
      <formula>NOT(ISERROR(SEARCH("Large",X62)))</formula>
    </cfRule>
  </conditionalFormatting>
  <conditionalFormatting sqref="X62">
    <cfRule type="containsText" dxfId="2948" priority="2921" operator="containsText" text="Small">
      <formula>NOT(ISERROR(SEARCH("Small",X62)))</formula>
    </cfRule>
    <cfRule type="containsText" dxfId="2947" priority="2922" operator="containsText" text="Mid">
      <formula>NOT(ISERROR(SEARCH("Mid",X62)))</formula>
    </cfRule>
    <cfRule type="containsText" dxfId="2946" priority="2923" operator="containsText" text="Large">
      <formula>NOT(ISERROR(SEARCH("Large",X62)))</formula>
    </cfRule>
  </conditionalFormatting>
  <conditionalFormatting sqref="X62">
    <cfRule type="containsText" dxfId="2945" priority="2918" operator="containsText" text="Small">
      <formula>NOT(ISERROR(SEARCH("Small",X62)))</formula>
    </cfRule>
    <cfRule type="containsText" dxfId="2944" priority="2919" operator="containsText" text="Mid">
      <formula>NOT(ISERROR(SEARCH("Mid",X62)))</formula>
    </cfRule>
    <cfRule type="containsText" dxfId="2943" priority="2920" operator="containsText" text="Large">
      <formula>NOT(ISERROR(SEARCH("Large",X62)))</formula>
    </cfRule>
  </conditionalFormatting>
  <conditionalFormatting sqref="X62">
    <cfRule type="containsText" dxfId="2942" priority="2915" operator="containsText" text="Small">
      <formula>NOT(ISERROR(SEARCH("Small",X62)))</formula>
    </cfRule>
    <cfRule type="containsText" dxfId="2941" priority="2916" operator="containsText" text="Mid">
      <formula>NOT(ISERROR(SEARCH("Mid",X62)))</formula>
    </cfRule>
    <cfRule type="containsText" dxfId="2940" priority="2917" operator="containsText" text="Large">
      <formula>NOT(ISERROR(SEARCH("Large",X62)))</formula>
    </cfRule>
  </conditionalFormatting>
  <conditionalFormatting sqref="X62">
    <cfRule type="containsText" dxfId="2939" priority="2912" operator="containsText" text="Small">
      <formula>NOT(ISERROR(SEARCH("Small",X62)))</formula>
    </cfRule>
    <cfRule type="containsText" dxfId="2938" priority="2913" operator="containsText" text="Mid">
      <formula>NOT(ISERROR(SEARCH("Mid",X62)))</formula>
    </cfRule>
    <cfRule type="containsText" dxfId="2937" priority="2914" operator="containsText" text="Large">
      <formula>NOT(ISERROR(SEARCH("Large",X62)))</formula>
    </cfRule>
  </conditionalFormatting>
  <conditionalFormatting sqref="X62">
    <cfRule type="containsText" dxfId="2936" priority="2909" operator="containsText" text="Small">
      <formula>NOT(ISERROR(SEARCH("Small",X62)))</formula>
    </cfRule>
    <cfRule type="containsText" dxfId="2935" priority="2910" operator="containsText" text="Mid">
      <formula>NOT(ISERROR(SEARCH("Mid",X62)))</formula>
    </cfRule>
    <cfRule type="containsText" dxfId="2934" priority="2911" operator="containsText" text="Large">
      <formula>NOT(ISERROR(SEARCH("Large",X62)))</formula>
    </cfRule>
  </conditionalFormatting>
  <conditionalFormatting sqref="X62">
    <cfRule type="containsText" dxfId="2933" priority="2906" operator="containsText" text="Small">
      <formula>NOT(ISERROR(SEARCH("Small",X62)))</formula>
    </cfRule>
    <cfRule type="containsText" dxfId="2932" priority="2907" operator="containsText" text="Mid">
      <formula>NOT(ISERROR(SEARCH("Mid",X62)))</formula>
    </cfRule>
    <cfRule type="containsText" dxfId="2931" priority="2908" operator="containsText" text="Large">
      <formula>NOT(ISERROR(SEARCH("Large",X62)))</formula>
    </cfRule>
  </conditionalFormatting>
  <conditionalFormatting sqref="X62">
    <cfRule type="containsText" dxfId="2930" priority="2903" operator="containsText" text="Small">
      <formula>NOT(ISERROR(SEARCH("Small",X62)))</formula>
    </cfRule>
    <cfRule type="containsText" dxfId="2929" priority="2904" operator="containsText" text="Mid">
      <formula>NOT(ISERROR(SEARCH("Mid",X62)))</formula>
    </cfRule>
    <cfRule type="containsText" dxfId="2928" priority="2905" operator="containsText" text="Large">
      <formula>NOT(ISERROR(SEARCH("Large",X62)))</formula>
    </cfRule>
  </conditionalFormatting>
  <conditionalFormatting sqref="X62">
    <cfRule type="containsText" dxfId="2927" priority="2900" operator="containsText" text="Small">
      <formula>NOT(ISERROR(SEARCH("Small",X62)))</formula>
    </cfRule>
    <cfRule type="containsText" dxfId="2926" priority="2901" operator="containsText" text="Mid">
      <formula>NOT(ISERROR(SEARCH("Mid",X62)))</formula>
    </cfRule>
    <cfRule type="containsText" dxfId="2925" priority="2902" operator="containsText" text="Large">
      <formula>NOT(ISERROR(SEARCH("Large",X62)))</formula>
    </cfRule>
  </conditionalFormatting>
  <conditionalFormatting sqref="X62">
    <cfRule type="containsText" dxfId="2924" priority="2897" operator="containsText" text="Small">
      <formula>NOT(ISERROR(SEARCH("Small",X62)))</formula>
    </cfRule>
    <cfRule type="containsText" dxfId="2923" priority="2898" operator="containsText" text="Mid">
      <formula>NOT(ISERROR(SEARCH("Mid",X62)))</formula>
    </cfRule>
    <cfRule type="containsText" dxfId="2922" priority="2899" operator="containsText" text="Large">
      <formula>NOT(ISERROR(SEARCH("Large",X62)))</formula>
    </cfRule>
  </conditionalFormatting>
  <conditionalFormatting sqref="X62">
    <cfRule type="containsText" dxfId="2921" priority="2894" operator="containsText" text="Small">
      <formula>NOT(ISERROR(SEARCH("Small",X62)))</formula>
    </cfRule>
    <cfRule type="containsText" dxfId="2920" priority="2895" operator="containsText" text="Mid">
      <formula>NOT(ISERROR(SEARCH("Mid",X62)))</formula>
    </cfRule>
    <cfRule type="containsText" dxfId="2919" priority="2896" operator="containsText" text="Large">
      <formula>NOT(ISERROR(SEARCH("Large",X62)))</formula>
    </cfRule>
  </conditionalFormatting>
  <conditionalFormatting sqref="X62">
    <cfRule type="containsText" dxfId="2918" priority="2891" operator="containsText" text="Small">
      <formula>NOT(ISERROR(SEARCH("Small",X62)))</formula>
    </cfRule>
    <cfRule type="containsText" dxfId="2917" priority="2892" operator="containsText" text="Mid">
      <formula>NOT(ISERROR(SEARCH("Mid",X62)))</formula>
    </cfRule>
    <cfRule type="containsText" dxfId="2916" priority="2893" operator="containsText" text="Large">
      <formula>NOT(ISERROR(SEARCH("Large",X62)))</formula>
    </cfRule>
  </conditionalFormatting>
  <conditionalFormatting sqref="X62">
    <cfRule type="containsText" dxfId="2915" priority="2888" operator="containsText" text="Small">
      <formula>NOT(ISERROR(SEARCH("Small",X62)))</formula>
    </cfRule>
    <cfRule type="containsText" dxfId="2914" priority="2889" operator="containsText" text="Mid">
      <formula>NOT(ISERROR(SEARCH("Mid",X62)))</formula>
    </cfRule>
    <cfRule type="containsText" dxfId="2913" priority="2890" operator="containsText" text="Large">
      <formula>NOT(ISERROR(SEARCH("Large",X62)))</formula>
    </cfRule>
  </conditionalFormatting>
  <conditionalFormatting sqref="X62">
    <cfRule type="containsText" dxfId="2912" priority="2885" operator="containsText" text="Small">
      <formula>NOT(ISERROR(SEARCH("Small",X62)))</formula>
    </cfRule>
    <cfRule type="containsText" dxfId="2911" priority="2886" operator="containsText" text="Mid">
      <formula>NOT(ISERROR(SEARCH("Mid",X62)))</formula>
    </cfRule>
    <cfRule type="containsText" dxfId="2910" priority="2887" operator="containsText" text="Large">
      <formula>NOT(ISERROR(SEARCH("Large",X62)))</formula>
    </cfRule>
  </conditionalFormatting>
  <conditionalFormatting sqref="X62">
    <cfRule type="containsText" dxfId="2909" priority="2882" operator="containsText" text="Small">
      <formula>NOT(ISERROR(SEARCH("Small",X62)))</formula>
    </cfRule>
    <cfRule type="containsText" dxfId="2908" priority="2883" operator="containsText" text="Mid">
      <formula>NOT(ISERROR(SEARCH("Mid",X62)))</formula>
    </cfRule>
    <cfRule type="containsText" dxfId="2907" priority="2884" operator="containsText" text="Large">
      <formula>NOT(ISERROR(SEARCH("Large",X62)))</formula>
    </cfRule>
  </conditionalFormatting>
  <conditionalFormatting sqref="X62">
    <cfRule type="containsText" dxfId="2906" priority="2879" operator="containsText" text="Small">
      <formula>NOT(ISERROR(SEARCH("Small",X62)))</formula>
    </cfRule>
    <cfRule type="containsText" dxfId="2905" priority="2880" operator="containsText" text="Mid">
      <formula>NOT(ISERROR(SEARCH("Mid",X62)))</formula>
    </cfRule>
    <cfRule type="containsText" dxfId="2904" priority="2881" operator="containsText" text="Large">
      <formula>NOT(ISERROR(SEARCH("Large",X62)))</formula>
    </cfRule>
  </conditionalFormatting>
  <conditionalFormatting sqref="X62">
    <cfRule type="containsText" dxfId="2903" priority="2876" operator="containsText" text="Small">
      <formula>NOT(ISERROR(SEARCH("Small",X62)))</formula>
    </cfRule>
    <cfRule type="containsText" dxfId="2902" priority="2877" operator="containsText" text="Mid">
      <formula>NOT(ISERROR(SEARCH("Mid",X62)))</formula>
    </cfRule>
    <cfRule type="containsText" dxfId="2901" priority="2878" operator="containsText" text="Large">
      <formula>NOT(ISERROR(SEARCH("Large",X62)))</formula>
    </cfRule>
  </conditionalFormatting>
  <conditionalFormatting sqref="X62">
    <cfRule type="containsText" dxfId="2900" priority="2873" operator="containsText" text="Small">
      <formula>NOT(ISERROR(SEARCH("Small",X62)))</formula>
    </cfRule>
    <cfRule type="containsText" dxfId="2899" priority="2874" operator="containsText" text="Mid">
      <formula>NOT(ISERROR(SEARCH("Mid",X62)))</formula>
    </cfRule>
    <cfRule type="containsText" dxfId="2898" priority="2875" operator="containsText" text="Large">
      <formula>NOT(ISERROR(SEARCH("Large",X62)))</formula>
    </cfRule>
  </conditionalFormatting>
  <conditionalFormatting sqref="X62">
    <cfRule type="containsText" dxfId="2897" priority="2870" operator="containsText" text="Small">
      <formula>NOT(ISERROR(SEARCH("Small",X62)))</formula>
    </cfRule>
    <cfRule type="containsText" dxfId="2896" priority="2871" operator="containsText" text="Mid">
      <formula>NOT(ISERROR(SEARCH("Mid",X62)))</formula>
    </cfRule>
    <cfRule type="containsText" dxfId="2895" priority="2872" operator="containsText" text="Large">
      <formula>NOT(ISERROR(SEARCH("Large",X62)))</formula>
    </cfRule>
  </conditionalFormatting>
  <conditionalFormatting sqref="AE20">
    <cfRule type="containsText" dxfId="2894" priority="2869" operator="containsText" text="No Cap">
      <formula>NOT(ISERROR(SEARCH("No Cap",AE20)))</formula>
    </cfRule>
  </conditionalFormatting>
  <conditionalFormatting sqref="AE20">
    <cfRule type="containsText" dxfId="2893" priority="2868" operator="containsText" text="No Cap">
      <formula>NOT(ISERROR(SEARCH("No Cap",AE20)))</formula>
    </cfRule>
  </conditionalFormatting>
  <conditionalFormatting sqref="AE20">
    <cfRule type="containsText" dxfId="2892" priority="2865" operator="containsText" text="Small">
      <formula>NOT(ISERROR(SEARCH("Small",AE20)))</formula>
    </cfRule>
    <cfRule type="containsText" dxfId="2891" priority="2866" operator="containsText" text="Mid">
      <formula>NOT(ISERROR(SEARCH("Mid",AE20)))</formula>
    </cfRule>
    <cfRule type="containsText" dxfId="2890" priority="2867" operator="containsText" text="Large">
      <formula>NOT(ISERROR(SEARCH("Large",AE20)))</formula>
    </cfRule>
  </conditionalFormatting>
  <conditionalFormatting sqref="AE20">
    <cfRule type="containsText" dxfId="2889" priority="2862" operator="containsText" text="Small">
      <formula>NOT(ISERROR(SEARCH("Small",AE20)))</formula>
    </cfRule>
    <cfRule type="containsText" dxfId="2888" priority="2863" operator="containsText" text="Mid">
      <formula>NOT(ISERROR(SEARCH("Mid",AE20)))</formula>
    </cfRule>
    <cfRule type="containsText" dxfId="2887" priority="2864" operator="containsText" text="Large">
      <formula>NOT(ISERROR(SEARCH("Large",AE20)))</formula>
    </cfRule>
  </conditionalFormatting>
  <conditionalFormatting sqref="AE20">
    <cfRule type="containsText" dxfId="2886" priority="2859" operator="containsText" text="Small">
      <formula>NOT(ISERROR(SEARCH("Small",AE20)))</formula>
    </cfRule>
    <cfRule type="containsText" dxfId="2885" priority="2860" operator="containsText" text="Mid">
      <formula>NOT(ISERROR(SEARCH("Mid",AE20)))</formula>
    </cfRule>
    <cfRule type="containsText" dxfId="2884" priority="2861" operator="containsText" text="Large">
      <formula>NOT(ISERROR(SEARCH("Large",AE20)))</formula>
    </cfRule>
  </conditionalFormatting>
  <conditionalFormatting sqref="AE20">
    <cfRule type="containsText" dxfId="2883" priority="2858" operator="containsText" text="No Cap">
      <formula>NOT(ISERROR(SEARCH("No Cap",AE20)))</formula>
    </cfRule>
  </conditionalFormatting>
  <conditionalFormatting sqref="AE20">
    <cfRule type="containsText" dxfId="2882" priority="2857" operator="containsText" text="No Cap">
      <formula>NOT(ISERROR(SEARCH("No Cap",AE20)))</formula>
    </cfRule>
  </conditionalFormatting>
  <conditionalFormatting sqref="AE20">
    <cfRule type="containsText" dxfId="2881" priority="2854" operator="containsText" text="Small">
      <formula>NOT(ISERROR(SEARCH("Small",AE20)))</formula>
    </cfRule>
    <cfRule type="containsText" dxfId="2880" priority="2855" operator="containsText" text="Mid">
      <formula>NOT(ISERROR(SEARCH("Mid",AE20)))</formula>
    </cfRule>
    <cfRule type="containsText" dxfId="2879" priority="2856" operator="containsText" text="Large">
      <formula>NOT(ISERROR(SEARCH("Large",AE20)))</formula>
    </cfRule>
  </conditionalFormatting>
  <conditionalFormatting sqref="AE20">
    <cfRule type="containsText" dxfId="2878" priority="2851" operator="containsText" text="Small">
      <formula>NOT(ISERROR(SEARCH("Small",AE20)))</formula>
    </cfRule>
    <cfRule type="containsText" dxfId="2877" priority="2852" operator="containsText" text="Mid">
      <formula>NOT(ISERROR(SEARCH("Mid",AE20)))</formula>
    </cfRule>
    <cfRule type="containsText" dxfId="2876" priority="2853" operator="containsText" text="Large">
      <formula>NOT(ISERROR(SEARCH("Large",AE20)))</formula>
    </cfRule>
  </conditionalFormatting>
  <conditionalFormatting sqref="AE20">
    <cfRule type="containsText" dxfId="2875" priority="2848" operator="containsText" text="Small">
      <formula>NOT(ISERROR(SEARCH("Small",AE20)))</formula>
    </cfRule>
    <cfRule type="containsText" dxfId="2874" priority="2849" operator="containsText" text="Mid">
      <formula>NOT(ISERROR(SEARCH("Mid",AE20)))</formula>
    </cfRule>
    <cfRule type="containsText" dxfId="2873" priority="2850" operator="containsText" text="Large">
      <formula>NOT(ISERROR(SEARCH("Large",AE20)))</formula>
    </cfRule>
  </conditionalFormatting>
  <conditionalFormatting sqref="AE20">
    <cfRule type="containsText" dxfId="2872" priority="2847" operator="containsText" text="No Cap">
      <formula>NOT(ISERROR(SEARCH("No Cap",AE20)))</formula>
    </cfRule>
  </conditionalFormatting>
  <conditionalFormatting sqref="AE20">
    <cfRule type="containsText" dxfId="2871" priority="2846" operator="containsText" text="No Cap">
      <formula>NOT(ISERROR(SEARCH("No Cap",AE20)))</formula>
    </cfRule>
  </conditionalFormatting>
  <conditionalFormatting sqref="AE20">
    <cfRule type="containsText" dxfId="2870" priority="2843" operator="containsText" text="Small">
      <formula>NOT(ISERROR(SEARCH("Small",AE20)))</formula>
    </cfRule>
    <cfRule type="containsText" dxfId="2869" priority="2844" operator="containsText" text="Mid">
      <formula>NOT(ISERROR(SEARCH("Mid",AE20)))</formula>
    </cfRule>
    <cfRule type="containsText" dxfId="2868" priority="2845" operator="containsText" text="Large">
      <formula>NOT(ISERROR(SEARCH("Large",AE20)))</formula>
    </cfRule>
  </conditionalFormatting>
  <conditionalFormatting sqref="AE20">
    <cfRule type="containsText" dxfId="2867" priority="2840" operator="containsText" text="Small">
      <formula>NOT(ISERROR(SEARCH("Small",AE20)))</formula>
    </cfRule>
    <cfRule type="containsText" dxfId="2866" priority="2841" operator="containsText" text="Mid">
      <formula>NOT(ISERROR(SEARCH("Mid",AE20)))</formula>
    </cfRule>
    <cfRule type="containsText" dxfId="2865" priority="2842" operator="containsText" text="Large">
      <formula>NOT(ISERROR(SEARCH("Large",AE20)))</formula>
    </cfRule>
  </conditionalFormatting>
  <conditionalFormatting sqref="AE20">
    <cfRule type="containsText" dxfId="2864" priority="2837" operator="containsText" text="Small">
      <formula>NOT(ISERROR(SEARCH("Small",AE20)))</formula>
    </cfRule>
    <cfRule type="containsText" dxfId="2863" priority="2838" operator="containsText" text="Mid">
      <formula>NOT(ISERROR(SEARCH("Mid",AE20)))</formula>
    </cfRule>
    <cfRule type="containsText" dxfId="2862" priority="2839" operator="containsText" text="Large">
      <formula>NOT(ISERROR(SEARCH("Large",AE20)))</formula>
    </cfRule>
  </conditionalFormatting>
  <conditionalFormatting sqref="AE20">
    <cfRule type="containsText" dxfId="2861" priority="2836" operator="containsText" text="No Cap">
      <formula>NOT(ISERROR(SEARCH("No Cap",AE20)))</formula>
    </cfRule>
  </conditionalFormatting>
  <conditionalFormatting sqref="AE20">
    <cfRule type="containsText" dxfId="2860" priority="2835" operator="containsText" text="No Cap">
      <formula>NOT(ISERROR(SEARCH("No Cap",AE20)))</formula>
    </cfRule>
  </conditionalFormatting>
  <conditionalFormatting sqref="AE20">
    <cfRule type="containsText" dxfId="2859" priority="2832" operator="containsText" text="Small">
      <formula>NOT(ISERROR(SEARCH("Small",AE20)))</formula>
    </cfRule>
    <cfRule type="containsText" dxfId="2858" priority="2833" operator="containsText" text="Mid">
      <formula>NOT(ISERROR(SEARCH("Mid",AE20)))</formula>
    </cfRule>
    <cfRule type="containsText" dxfId="2857" priority="2834" operator="containsText" text="Large">
      <formula>NOT(ISERROR(SEARCH("Large",AE20)))</formula>
    </cfRule>
  </conditionalFormatting>
  <conditionalFormatting sqref="AE20">
    <cfRule type="containsText" dxfId="2856" priority="2829" operator="containsText" text="Small">
      <formula>NOT(ISERROR(SEARCH("Small",AE20)))</formula>
    </cfRule>
    <cfRule type="containsText" dxfId="2855" priority="2830" operator="containsText" text="Mid">
      <formula>NOT(ISERROR(SEARCH("Mid",AE20)))</formula>
    </cfRule>
    <cfRule type="containsText" dxfId="2854" priority="2831" operator="containsText" text="Large">
      <formula>NOT(ISERROR(SEARCH("Large",AE20)))</formula>
    </cfRule>
  </conditionalFormatting>
  <conditionalFormatting sqref="AE20">
    <cfRule type="containsText" dxfId="2853" priority="2826" operator="containsText" text="Small">
      <formula>NOT(ISERROR(SEARCH("Small",AE20)))</formula>
    </cfRule>
    <cfRule type="containsText" dxfId="2852" priority="2827" operator="containsText" text="Mid">
      <formula>NOT(ISERROR(SEARCH("Mid",AE20)))</formula>
    </cfRule>
    <cfRule type="containsText" dxfId="2851" priority="2828" operator="containsText" text="Large">
      <formula>NOT(ISERROR(SEARCH("Large",AE20)))</formula>
    </cfRule>
  </conditionalFormatting>
  <conditionalFormatting sqref="AE20">
    <cfRule type="containsText" dxfId="2850" priority="2825" operator="containsText" text="No Cap">
      <formula>NOT(ISERROR(SEARCH("No Cap",AE20)))</formula>
    </cfRule>
  </conditionalFormatting>
  <conditionalFormatting sqref="AE20">
    <cfRule type="containsText" dxfId="2849" priority="2824" operator="containsText" text="No Cap">
      <formula>NOT(ISERROR(SEARCH("No Cap",AE20)))</formula>
    </cfRule>
  </conditionalFormatting>
  <conditionalFormatting sqref="AE20">
    <cfRule type="containsText" dxfId="2848" priority="2821" operator="containsText" text="Small">
      <formula>NOT(ISERROR(SEARCH("Small",AE20)))</formula>
    </cfRule>
    <cfRule type="containsText" dxfId="2847" priority="2822" operator="containsText" text="Mid">
      <formula>NOT(ISERROR(SEARCH("Mid",AE20)))</formula>
    </cfRule>
    <cfRule type="containsText" dxfId="2846" priority="2823" operator="containsText" text="Large">
      <formula>NOT(ISERROR(SEARCH("Large",AE20)))</formula>
    </cfRule>
  </conditionalFormatting>
  <conditionalFormatting sqref="AE20">
    <cfRule type="containsText" dxfId="2845" priority="2818" operator="containsText" text="Small">
      <formula>NOT(ISERROR(SEARCH("Small",AE20)))</formula>
    </cfRule>
    <cfRule type="containsText" dxfId="2844" priority="2819" operator="containsText" text="Mid">
      <formula>NOT(ISERROR(SEARCH("Mid",AE20)))</formula>
    </cfRule>
    <cfRule type="containsText" dxfId="2843" priority="2820" operator="containsText" text="Large">
      <formula>NOT(ISERROR(SEARCH("Large",AE20)))</formula>
    </cfRule>
  </conditionalFormatting>
  <conditionalFormatting sqref="AE20">
    <cfRule type="containsText" dxfId="2842" priority="2815" operator="containsText" text="Small">
      <formula>NOT(ISERROR(SEARCH("Small",AE20)))</formula>
    </cfRule>
    <cfRule type="containsText" dxfId="2841" priority="2816" operator="containsText" text="Mid">
      <formula>NOT(ISERROR(SEARCH("Mid",AE20)))</formula>
    </cfRule>
    <cfRule type="containsText" dxfId="2840" priority="2817" operator="containsText" text="Large">
      <formula>NOT(ISERROR(SEARCH("Large",AE20)))</formula>
    </cfRule>
  </conditionalFormatting>
  <conditionalFormatting sqref="AE20">
    <cfRule type="containsText" dxfId="2839" priority="2814" operator="containsText" text="NA">
      <formula>NOT(ISERROR(SEARCH("NA",AE20)))</formula>
    </cfRule>
  </conditionalFormatting>
  <conditionalFormatting sqref="AE20">
    <cfRule type="containsText" dxfId="2838" priority="2811" operator="containsText" text="Small">
      <formula>NOT(ISERROR(SEARCH("Small",AE20)))</formula>
    </cfRule>
    <cfRule type="containsText" dxfId="2837" priority="2812" operator="containsText" text="Mid">
      <formula>NOT(ISERROR(SEARCH("Mid",AE20)))</formula>
    </cfRule>
    <cfRule type="containsText" dxfId="2836" priority="2813" operator="containsText" text="Large">
      <formula>NOT(ISERROR(SEARCH("Large",AE20)))</formula>
    </cfRule>
  </conditionalFormatting>
  <conditionalFormatting sqref="AE20">
    <cfRule type="containsText" dxfId="2835" priority="2808" operator="containsText" text="Small">
      <formula>NOT(ISERROR(SEARCH("Small",AE20)))</formula>
    </cfRule>
    <cfRule type="containsText" dxfId="2834" priority="2809" operator="containsText" text="Mid">
      <formula>NOT(ISERROR(SEARCH("Mid",AE20)))</formula>
    </cfRule>
    <cfRule type="containsText" dxfId="2833" priority="2810" operator="containsText" text="Large">
      <formula>NOT(ISERROR(SEARCH("Large",AE20)))</formula>
    </cfRule>
  </conditionalFormatting>
  <conditionalFormatting sqref="AE20">
    <cfRule type="containsText" dxfId="2832" priority="2805" operator="containsText" text="Small">
      <formula>NOT(ISERROR(SEARCH("Small",AE20)))</formula>
    </cfRule>
    <cfRule type="containsText" dxfId="2831" priority="2806" operator="containsText" text="Mid">
      <formula>NOT(ISERROR(SEARCH("Mid",AE20)))</formula>
    </cfRule>
    <cfRule type="containsText" dxfId="2830" priority="2807" operator="containsText" text="Large">
      <formula>NOT(ISERROR(SEARCH("Large",AE20)))</formula>
    </cfRule>
  </conditionalFormatting>
  <conditionalFormatting sqref="AE20">
    <cfRule type="containsText" dxfId="2829" priority="2802" operator="containsText" text="Small">
      <formula>NOT(ISERROR(SEARCH("Small",AE20)))</formula>
    </cfRule>
    <cfRule type="containsText" dxfId="2828" priority="2803" operator="containsText" text="Mid">
      <formula>NOT(ISERROR(SEARCH("Mid",AE20)))</formula>
    </cfRule>
    <cfRule type="containsText" dxfId="2827" priority="2804" operator="containsText" text="Large">
      <formula>NOT(ISERROR(SEARCH("Large",AE20)))</formula>
    </cfRule>
  </conditionalFormatting>
  <conditionalFormatting sqref="AE20">
    <cfRule type="containsText" dxfId="2826" priority="2799" operator="containsText" text="Small">
      <formula>NOT(ISERROR(SEARCH("Small",AE20)))</formula>
    </cfRule>
    <cfRule type="containsText" dxfId="2825" priority="2800" operator="containsText" text="Mid">
      <formula>NOT(ISERROR(SEARCH("Mid",AE20)))</formula>
    </cfRule>
    <cfRule type="containsText" dxfId="2824" priority="2801" operator="containsText" text="Large">
      <formula>NOT(ISERROR(SEARCH("Large",AE20)))</formula>
    </cfRule>
  </conditionalFormatting>
  <conditionalFormatting sqref="AE20">
    <cfRule type="containsText" dxfId="2823" priority="2796" operator="containsText" text="Small">
      <formula>NOT(ISERROR(SEARCH("Small",AE20)))</formula>
    </cfRule>
    <cfRule type="containsText" dxfId="2822" priority="2797" operator="containsText" text="Mid">
      <formula>NOT(ISERROR(SEARCH("Mid",AE20)))</formula>
    </cfRule>
    <cfRule type="containsText" dxfId="2821" priority="2798" operator="containsText" text="Large">
      <formula>NOT(ISERROR(SEARCH("Large",AE20)))</formula>
    </cfRule>
  </conditionalFormatting>
  <conditionalFormatting sqref="AE20">
    <cfRule type="containsText" dxfId="2820" priority="2793" operator="containsText" text="Small">
      <formula>NOT(ISERROR(SEARCH("Small",AE20)))</formula>
    </cfRule>
    <cfRule type="containsText" dxfId="2819" priority="2794" operator="containsText" text="Mid">
      <formula>NOT(ISERROR(SEARCH("Mid",AE20)))</formula>
    </cfRule>
    <cfRule type="containsText" dxfId="2818" priority="2795" operator="containsText" text="Large">
      <formula>NOT(ISERROR(SEARCH("Large",AE20)))</formula>
    </cfRule>
  </conditionalFormatting>
  <conditionalFormatting sqref="AE20">
    <cfRule type="containsText" dxfId="2817" priority="2790" operator="containsText" text="Small">
      <formula>NOT(ISERROR(SEARCH("Small",AE20)))</formula>
    </cfRule>
    <cfRule type="containsText" dxfId="2816" priority="2791" operator="containsText" text="Mid">
      <formula>NOT(ISERROR(SEARCH("Mid",AE20)))</formula>
    </cfRule>
    <cfRule type="containsText" dxfId="2815" priority="2792" operator="containsText" text="Large">
      <formula>NOT(ISERROR(SEARCH("Large",AE20)))</formula>
    </cfRule>
  </conditionalFormatting>
  <conditionalFormatting sqref="AE20">
    <cfRule type="containsText" dxfId="2814" priority="2787" operator="containsText" text="Small">
      <formula>NOT(ISERROR(SEARCH("Small",AE20)))</formula>
    </cfRule>
    <cfRule type="containsText" dxfId="2813" priority="2788" operator="containsText" text="Mid">
      <formula>NOT(ISERROR(SEARCH("Mid",AE20)))</formula>
    </cfRule>
    <cfRule type="containsText" dxfId="2812" priority="2789" operator="containsText" text="Large">
      <formula>NOT(ISERROR(SEARCH("Large",AE20)))</formula>
    </cfRule>
  </conditionalFormatting>
  <conditionalFormatting sqref="AE20">
    <cfRule type="containsText" dxfId="2811" priority="2784" operator="containsText" text="Small">
      <formula>NOT(ISERROR(SEARCH("Small",AE20)))</formula>
    </cfRule>
    <cfRule type="containsText" dxfId="2810" priority="2785" operator="containsText" text="Mid">
      <formula>NOT(ISERROR(SEARCH("Mid",AE20)))</formula>
    </cfRule>
    <cfRule type="containsText" dxfId="2809" priority="2786" operator="containsText" text="Large">
      <formula>NOT(ISERROR(SEARCH("Large",AE20)))</formula>
    </cfRule>
  </conditionalFormatting>
  <conditionalFormatting sqref="AE20">
    <cfRule type="containsText" dxfId="2808" priority="2781" operator="containsText" text="Small">
      <formula>NOT(ISERROR(SEARCH("Small",AE20)))</formula>
    </cfRule>
    <cfRule type="containsText" dxfId="2807" priority="2782" operator="containsText" text="Mid">
      <formula>NOT(ISERROR(SEARCH("Mid",AE20)))</formula>
    </cfRule>
    <cfRule type="containsText" dxfId="2806" priority="2783" operator="containsText" text="Large">
      <formula>NOT(ISERROR(SEARCH("Large",AE20)))</formula>
    </cfRule>
  </conditionalFormatting>
  <conditionalFormatting sqref="AE20">
    <cfRule type="containsText" dxfId="2805" priority="2778" operator="containsText" text="Small">
      <formula>NOT(ISERROR(SEARCH("Small",AE20)))</formula>
    </cfRule>
    <cfRule type="containsText" dxfId="2804" priority="2779" operator="containsText" text="Mid">
      <formula>NOT(ISERROR(SEARCH("Mid",AE20)))</formula>
    </cfRule>
    <cfRule type="containsText" dxfId="2803" priority="2780" operator="containsText" text="Large">
      <formula>NOT(ISERROR(SEARCH("Large",AE20)))</formula>
    </cfRule>
  </conditionalFormatting>
  <conditionalFormatting sqref="AE20">
    <cfRule type="containsText" dxfId="2802" priority="2775" operator="containsText" text="Small">
      <formula>NOT(ISERROR(SEARCH("Small",AE20)))</formula>
    </cfRule>
    <cfRule type="containsText" dxfId="2801" priority="2776" operator="containsText" text="Mid">
      <formula>NOT(ISERROR(SEARCH("Mid",AE20)))</formula>
    </cfRule>
    <cfRule type="containsText" dxfId="2800" priority="2777" operator="containsText" text="Large">
      <formula>NOT(ISERROR(SEARCH("Large",AE20)))</formula>
    </cfRule>
  </conditionalFormatting>
  <conditionalFormatting sqref="AE20">
    <cfRule type="containsText" dxfId="2799" priority="2772" operator="containsText" text="Small">
      <formula>NOT(ISERROR(SEARCH("Small",AE20)))</formula>
    </cfRule>
    <cfRule type="containsText" dxfId="2798" priority="2773" operator="containsText" text="Mid">
      <formula>NOT(ISERROR(SEARCH("Mid",AE20)))</formula>
    </cfRule>
    <cfRule type="containsText" dxfId="2797" priority="2774" operator="containsText" text="Large">
      <formula>NOT(ISERROR(SEARCH("Large",AE20)))</formula>
    </cfRule>
  </conditionalFormatting>
  <conditionalFormatting sqref="AE20">
    <cfRule type="containsText" dxfId="2796" priority="2769" operator="containsText" text="Small">
      <formula>NOT(ISERROR(SEARCH("Small",AE20)))</formula>
    </cfRule>
    <cfRule type="containsText" dxfId="2795" priority="2770" operator="containsText" text="Mid">
      <formula>NOT(ISERROR(SEARCH("Mid",AE20)))</formula>
    </cfRule>
    <cfRule type="containsText" dxfId="2794" priority="2771" operator="containsText" text="Large">
      <formula>NOT(ISERROR(SEARCH("Large",AE20)))</formula>
    </cfRule>
  </conditionalFormatting>
  <conditionalFormatting sqref="AE20">
    <cfRule type="containsText" dxfId="2793" priority="2766" operator="containsText" text="Small">
      <formula>NOT(ISERROR(SEARCH("Small",AE20)))</formula>
    </cfRule>
    <cfRule type="containsText" dxfId="2792" priority="2767" operator="containsText" text="Mid">
      <formula>NOT(ISERROR(SEARCH("Mid",AE20)))</formula>
    </cfRule>
    <cfRule type="containsText" dxfId="2791" priority="2768" operator="containsText" text="Large">
      <formula>NOT(ISERROR(SEARCH("Large",AE20)))</formula>
    </cfRule>
  </conditionalFormatting>
  <conditionalFormatting sqref="AE20">
    <cfRule type="containsText" dxfId="2790" priority="2763" operator="containsText" text="Small">
      <formula>NOT(ISERROR(SEARCH("Small",AE20)))</formula>
    </cfRule>
    <cfRule type="containsText" dxfId="2789" priority="2764" operator="containsText" text="Mid">
      <formula>NOT(ISERROR(SEARCH("Mid",AE20)))</formula>
    </cfRule>
    <cfRule type="containsText" dxfId="2788" priority="2765" operator="containsText" text="Large">
      <formula>NOT(ISERROR(SEARCH("Large",AE20)))</formula>
    </cfRule>
  </conditionalFormatting>
  <conditionalFormatting sqref="AE20">
    <cfRule type="containsText" dxfId="2787" priority="2760" operator="containsText" text="Small">
      <formula>NOT(ISERROR(SEARCH("Small",AE20)))</formula>
    </cfRule>
    <cfRule type="containsText" dxfId="2786" priority="2761" operator="containsText" text="Mid">
      <formula>NOT(ISERROR(SEARCH("Mid",AE20)))</formula>
    </cfRule>
    <cfRule type="containsText" dxfId="2785" priority="2762" operator="containsText" text="Large">
      <formula>NOT(ISERROR(SEARCH("Large",AE20)))</formula>
    </cfRule>
  </conditionalFormatting>
  <conditionalFormatting sqref="AE20">
    <cfRule type="containsText" dxfId="2784" priority="2757" operator="containsText" text="Small">
      <formula>NOT(ISERROR(SEARCH("Small",AE20)))</formula>
    </cfRule>
    <cfRule type="containsText" dxfId="2783" priority="2758" operator="containsText" text="Mid">
      <formula>NOT(ISERROR(SEARCH("Mid",AE20)))</formula>
    </cfRule>
    <cfRule type="containsText" dxfId="2782" priority="2759" operator="containsText" text="Large">
      <formula>NOT(ISERROR(SEARCH("Large",AE20)))</formula>
    </cfRule>
  </conditionalFormatting>
  <conditionalFormatting sqref="AE20">
    <cfRule type="containsText" dxfId="2781" priority="2754" operator="containsText" text="Small">
      <formula>NOT(ISERROR(SEARCH("Small",AE20)))</formula>
    </cfRule>
    <cfRule type="containsText" dxfId="2780" priority="2755" operator="containsText" text="Mid">
      <formula>NOT(ISERROR(SEARCH("Mid",AE20)))</formula>
    </cfRule>
    <cfRule type="containsText" dxfId="2779" priority="2756" operator="containsText" text="Large">
      <formula>NOT(ISERROR(SEARCH("Large",AE20)))</formula>
    </cfRule>
  </conditionalFormatting>
  <conditionalFormatting sqref="AE20">
    <cfRule type="containsText" dxfId="2778" priority="2751" operator="containsText" text="Small">
      <formula>NOT(ISERROR(SEARCH("Small",AE20)))</formula>
    </cfRule>
    <cfRule type="containsText" dxfId="2777" priority="2752" operator="containsText" text="Mid">
      <formula>NOT(ISERROR(SEARCH("Mid",AE20)))</formula>
    </cfRule>
    <cfRule type="containsText" dxfId="2776" priority="2753" operator="containsText" text="Large">
      <formula>NOT(ISERROR(SEARCH("Large",AE20)))</formula>
    </cfRule>
  </conditionalFormatting>
  <conditionalFormatting sqref="AE20">
    <cfRule type="containsText" dxfId="2775" priority="2748" operator="containsText" text="Small">
      <formula>NOT(ISERROR(SEARCH("Small",AE20)))</formula>
    </cfRule>
    <cfRule type="containsText" dxfId="2774" priority="2749" operator="containsText" text="Mid">
      <formula>NOT(ISERROR(SEARCH("Mid",AE20)))</formula>
    </cfRule>
    <cfRule type="containsText" dxfId="2773" priority="2750" operator="containsText" text="Large">
      <formula>NOT(ISERROR(SEARCH("Large",AE20)))</formula>
    </cfRule>
  </conditionalFormatting>
  <conditionalFormatting sqref="AE20">
    <cfRule type="containsText" dxfId="2772" priority="2745" operator="containsText" text="Small">
      <formula>NOT(ISERROR(SEARCH("Small",AE20)))</formula>
    </cfRule>
    <cfRule type="containsText" dxfId="2771" priority="2746" operator="containsText" text="Mid">
      <formula>NOT(ISERROR(SEARCH("Mid",AE20)))</formula>
    </cfRule>
    <cfRule type="containsText" dxfId="2770" priority="2747" operator="containsText" text="Large">
      <formula>NOT(ISERROR(SEARCH("Large",AE20)))</formula>
    </cfRule>
  </conditionalFormatting>
  <conditionalFormatting sqref="AE20">
    <cfRule type="containsText" dxfId="2769" priority="2742" operator="containsText" text="Small">
      <formula>NOT(ISERROR(SEARCH("Small",AE20)))</formula>
    </cfRule>
    <cfRule type="containsText" dxfId="2768" priority="2743" operator="containsText" text="Mid">
      <formula>NOT(ISERROR(SEARCH("Mid",AE20)))</formula>
    </cfRule>
    <cfRule type="containsText" dxfId="2767" priority="2744" operator="containsText" text="Large">
      <formula>NOT(ISERROR(SEARCH("Large",AE20)))</formula>
    </cfRule>
  </conditionalFormatting>
  <conditionalFormatting sqref="AE20">
    <cfRule type="containsText" dxfId="2766" priority="2739" operator="containsText" text="Small">
      <formula>NOT(ISERROR(SEARCH("Small",AE20)))</formula>
    </cfRule>
    <cfRule type="containsText" dxfId="2765" priority="2740" operator="containsText" text="Mid">
      <formula>NOT(ISERROR(SEARCH("Mid",AE20)))</formula>
    </cfRule>
    <cfRule type="containsText" dxfId="2764" priority="2741" operator="containsText" text="Large">
      <formula>NOT(ISERROR(SEARCH("Large",AE20)))</formula>
    </cfRule>
  </conditionalFormatting>
  <conditionalFormatting sqref="AE20">
    <cfRule type="containsText" dxfId="2763" priority="2736" operator="containsText" text="Small">
      <formula>NOT(ISERROR(SEARCH("Small",AE20)))</formula>
    </cfRule>
    <cfRule type="containsText" dxfId="2762" priority="2737" operator="containsText" text="Mid">
      <formula>NOT(ISERROR(SEARCH("Mid",AE20)))</formula>
    </cfRule>
    <cfRule type="containsText" dxfId="2761" priority="2738" operator="containsText" text="Large">
      <formula>NOT(ISERROR(SEARCH("Large",AE20)))</formula>
    </cfRule>
  </conditionalFormatting>
  <conditionalFormatting sqref="AE20">
    <cfRule type="containsText" dxfId="2760" priority="2733" operator="containsText" text="Small">
      <formula>NOT(ISERROR(SEARCH("Small",AE20)))</formula>
    </cfRule>
    <cfRule type="containsText" dxfId="2759" priority="2734" operator="containsText" text="Mid">
      <formula>NOT(ISERROR(SEARCH("Mid",AE20)))</formula>
    </cfRule>
    <cfRule type="containsText" dxfId="2758" priority="2735" operator="containsText" text="Large">
      <formula>NOT(ISERROR(SEARCH("Large",AE20)))</formula>
    </cfRule>
  </conditionalFormatting>
  <conditionalFormatting sqref="C34">
    <cfRule type="containsText" dxfId="2757" priority="2730" operator="containsText" text="Small">
      <formula>NOT(ISERROR(SEARCH("Small",C34)))</formula>
    </cfRule>
    <cfRule type="containsText" dxfId="2756" priority="2731" operator="containsText" text="Mid">
      <formula>NOT(ISERROR(SEARCH("Mid",C34)))</formula>
    </cfRule>
    <cfRule type="containsText" dxfId="2755" priority="2732" operator="containsText" text="Large">
      <formula>NOT(ISERROR(SEARCH("Large",C34)))</formula>
    </cfRule>
  </conditionalFormatting>
  <conditionalFormatting sqref="C48">
    <cfRule type="containsText" dxfId="2754" priority="2727" operator="containsText" text="Small">
      <formula>NOT(ISERROR(SEARCH("Small",C48)))</formula>
    </cfRule>
    <cfRule type="containsText" dxfId="2753" priority="2728" operator="containsText" text="Mid">
      <formula>NOT(ISERROR(SEARCH("Mid",C48)))</formula>
    </cfRule>
    <cfRule type="containsText" dxfId="2752" priority="2729" operator="containsText" text="Large">
      <formula>NOT(ISERROR(SEARCH("Large",C48)))</formula>
    </cfRule>
  </conditionalFormatting>
  <conditionalFormatting sqref="C48">
    <cfRule type="containsText" dxfId="2751" priority="2724" operator="containsText" text="Small">
      <formula>NOT(ISERROR(SEARCH("Small",C48)))</formula>
    </cfRule>
    <cfRule type="containsText" dxfId="2750" priority="2725" operator="containsText" text="Mid">
      <formula>NOT(ISERROR(SEARCH("Mid",C48)))</formula>
    </cfRule>
    <cfRule type="containsText" dxfId="2749" priority="2726" operator="containsText" text="Large">
      <formula>NOT(ISERROR(SEARCH("Large",C48)))</formula>
    </cfRule>
  </conditionalFormatting>
  <conditionalFormatting sqref="C48">
    <cfRule type="containsText" dxfId="2748" priority="2721" operator="containsText" text="Small">
      <formula>NOT(ISERROR(SEARCH("Small",C48)))</formula>
    </cfRule>
    <cfRule type="containsText" dxfId="2747" priority="2722" operator="containsText" text="Mid">
      <formula>NOT(ISERROR(SEARCH("Mid",C48)))</formula>
    </cfRule>
    <cfRule type="containsText" dxfId="2746" priority="2723" operator="containsText" text="Large">
      <formula>NOT(ISERROR(SEARCH("Large",C48)))</formula>
    </cfRule>
  </conditionalFormatting>
  <conditionalFormatting sqref="C48">
    <cfRule type="containsText" dxfId="2745" priority="2718" operator="containsText" text="Small">
      <formula>NOT(ISERROR(SEARCH("Small",C48)))</formula>
    </cfRule>
    <cfRule type="containsText" dxfId="2744" priority="2719" operator="containsText" text="Mid">
      <formula>NOT(ISERROR(SEARCH("Mid",C48)))</formula>
    </cfRule>
    <cfRule type="containsText" dxfId="2743" priority="2720" operator="containsText" text="Large">
      <formula>NOT(ISERROR(SEARCH("Large",C48)))</formula>
    </cfRule>
  </conditionalFormatting>
  <conditionalFormatting sqref="C62">
    <cfRule type="containsText" dxfId="2742" priority="2715" operator="containsText" text="Small">
      <formula>NOT(ISERROR(SEARCH("Small",C62)))</formula>
    </cfRule>
    <cfRule type="containsText" dxfId="2741" priority="2716" operator="containsText" text="Mid">
      <formula>NOT(ISERROR(SEARCH("Mid",C62)))</formula>
    </cfRule>
    <cfRule type="containsText" dxfId="2740" priority="2717" operator="containsText" text="Large">
      <formula>NOT(ISERROR(SEARCH("Large",C62)))</formula>
    </cfRule>
  </conditionalFormatting>
  <conditionalFormatting sqref="C62">
    <cfRule type="containsText" dxfId="2739" priority="2712" operator="containsText" text="Small">
      <formula>NOT(ISERROR(SEARCH("Small",C62)))</formula>
    </cfRule>
    <cfRule type="containsText" dxfId="2738" priority="2713" operator="containsText" text="Mid">
      <formula>NOT(ISERROR(SEARCH("Mid",C62)))</formula>
    </cfRule>
    <cfRule type="containsText" dxfId="2737" priority="2714" operator="containsText" text="Large">
      <formula>NOT(ISERROR(SEARCH("Large",C62)))</formula>
    </cfRule>
  </conditionalFormatting>
  <conditionalFormatting sqref="C62">
    <cfRule type="containsText" dxfId="2736" priority="2709" operator="containsText" text="Small">
      <formula>NOT(ISERROR(SEARCH("Small",C62)))</formula>
    </cfRule>
    <cfRule type="containsText" dxfId="2735" priority="2710" operator="containsText" text="Mid">
      <formula>NOT(ISERROR(SEARCH("Mid",C62)))</formula>
    </cfRule>
    <cfRule type="containsText" dxfId="2734" priority="2711" operator="containsText" text="Large">
      <formula>NOT(ISERROR(SEARCH("Large",C62)))</formula>
    </cfRule>
  </conditionalFormatting>
  <conditionalFormatting sqref="C62">
    <cfRule type="containsText" dxfId="2733" priority="2706" operator="containsText" text="Small">
      <formula>NOT(ISERROR(SEARCH("Small",C62)))</formula>
    </cfRule>
    <cfRule type="containsText" dxfId="2732" priority="2707" operator="containsText" text="Mid">
      <formula>NOT(ISERROR(SEARCH("Mid",C62)))</formula>
    </cfRule>
    <cfRule type="containsText" dxfId="2731" priority="2708" operator="containsText" text="Large">
      <formula>NOT(ISERROR(SEARCH("Large",C62)))</formula>
    </cfRule>
  </conditionalFormatting>
  <conditionalFormatting sqref="C62">
    <cfRule type="containsText" dxfId="2730" priority="2703" operator="containsText" text="Small">
      <formula>NOT(ISERROR(SEARCH("Small",C62)))</formula>
    </cfRule>
    <cfRule type="containsText" dxfId="2729" priority="2704" operator="containsText" text="Mid">
      <formula>NOT(ISERROR(SEARCH("Mid",C62)))</formula>
    </cfRule>
    <cfRule type="containsText" dxfId="2728" priority="2705" operator="containsText" text="Large">
      <formula>NOT(ISERROR(SEARCH("Large",C62)))</formula>
    </cfRule>
  </conditionalFormatting>
  <conditionalFormatting sqref="C62">
    <cfRule type="containsText" dxfId="2727" priority="2700" operator="containsText" text="Small">
      <formula>NOT(ISERROR(SEARCH("Small",C62)))</formula>
    </cfRule>
    <cfRule type="containsText" dxfId="2726" priority="2701" operator="containsText" text="Mid">
      <formula>NOT(ISERROR(SEARCH("Mid",C62)))</formula>
    </cfRule>
    <cfRule type="containsText" dxfId="2725" priority="2702" operator="containsText" text="Large">
      <formula>NOT(ISERROR(SEARCH("Large",C62)))</formula>
    </cfRule>
  </conditionalFormatting>
  <conditionalFormatting sqref="C62">
    <cfRule type="containsText" dxfId="2724" priority="2697" operator="containsText" text="Small">
      <formula>NOT(ISERROR(SEARCH("Small",C62)))</formula>
    </cfRule>
    <cfRule type="containsText" dxfId="2723" priority="2698" operator="containsText" text="Mid">
      <formula>NOT(ISERROR(SEARCH("Mid",C62)))</formula>
    </cfRule>
    <cfRule type="containsText" dxfId="2722" priority="2699" operator="containsText" text="Large">
      <formula>NOT(ISERROR(SEARCH("Large",C62)))</formula>
    </cfRule>
  </conditionalFormatting>
  <conditionalFormatting sqref="C62">
    <cfRule type="containsText" dxfId="2721" priority="2694" operator="containsText" text="Small">
      <formula>NOT(ISERROR(SEARCH("Small",C62)))</formula>
    </cfRule>
    <cfRule type="containsText" dxfId="2720" priority="2695" operator="containsText" text="Mid">
      <formula>NOT(ISERROR(SEARCH("Mid",C62)))</formula>
    </cfRule>
    <cfRule type="containsText" dxfId="2719" priority="2696" operator="containsText" text="Large">
      <formula>NOT(ISERROR(SEARCH("Large",C62)))</formula>
    </cfRule>
  </conditionalFormatting>
  <conditionalFormatting sqref="C62">
    <cfRule type="containsText" dxfId="2718" priority="2691" operator="containsText" text="Small">
      <formula>NOT(ISERROR(SEARCH("Small",C62)))</formula>
    </cfRule>
    <cfRule type="containsText" dxfId="2717" priority="2692" operator="containsText" text="Mid">
      <formula>NOT(ISERROR(SEARCH("Mid",C62)))</formula>
    </cfRule>
    <cfRule type="containsText" dxfId="2716" priority="2693" operator="containsText" text="Large">
      <formula>NOT(ISERROR(SEARCH("Large",C62)))</formula>
    </cfRule>
  </conditionalFormatting>
  <conditionalFormatting sqref="C62">
    <cfRule type="containsText" dxfId="2715" priority="2688" operator="containsText" text="Small">
      <formula>NOT(ISERROR(SEARCH("Small",C62)))</formula>
    </cfRule>
    <cfRule type="containsText" dxfId="2714" priority="2689" operator="containsText" text="Mid">
      <formula>NOT(ISERROR(SEARCH("Mid",C62)))</formula>
    </cfRule>
    <cfRule type="containsText" dxfId="2713" priority="2690" operator="containsText" text="Large">
      <formula>NOT(ISERROR(SEARCH("Large",C62)))</formula>
    </cfRule>
  </conditionalFormatting>
  <conditionalFormatting sqref="J20">
    <cfRule type="containsText" dxfId="2712" priority="2685" operator="containsText" text="Small">
      <formula>NOT(ISERROR(SEARCH("Small",J20)))</formula>
    </cfRule>
    <cfRule type="containsText" dxfId="2711" priority="2686" operator="containsText" text="Mid">
      <formula>NOT(ISERROR(SEARCH("Mid",J20)))</formula>
    </cfRule>
    <cfRule type="containsText" dxfId="2710" priority="2687" operator="containsText" text="Large">
      <formula>NOT(ISERROR(SEARCH("Large",J20)))</formula>
    </cfRule>
  </conditionalFormatting>
  <conditionalFormatting sqref="J34">
    <cfRule type="containsText" dxfId="2709" priority="2682" operator="containsText" text="Small">
      <formula>NOT(ISERROR(SEARCH("Small",J34)))</formula>
    </cfRule>
    <cfRule type="containsText" dxfId="2708" priority="2683" operator="containsText" text="Mid">
      <formula>NOT(ISERROR(SEARCH("Mid",J34)))</formula>
    </cfRule>
    <cfRule type="containsText" dxfId="2707" priority="2684" operator="containsText" text="Large">
      <formula>NOT(ISERROR(SEARCH("Large",J34)))</formula>
    </cfRule>
  </conditionalFormatting>
  <conditionalFormatting sqref="J48">
    <cfRule type="containsText" dxfId="2706" priority="2679" operator="containsText" text="Small">
      <formula>NOT(ISERROR(SEARCH("Small",J48)))</formula>
    </cfRule>
    <cfRule type="containsText" dxfId="2705" priority="2680" operator="containsText" text="Mid">
      <formula>NOT(ISERROR(SEARCH("Mid",J48)))</formula>
    </cfRule>
    <cfRule type="containsText" dxfId="2704" priority="2681" operator="containsText" text="Large">
      <formula>NOT(ISERROR(SEARCH("Large",J48)))</formula>
    </cfRule>
  </conditionalFormatting>
  <conditionalFormatting sqref="J34">
    <cfRule type="containsText" dxfId="2703" priority="2676" operator="containsText" text="Small">
      <formula>NOT(ISERROR(SEARCH("Small",J34)))</formula>
    </cfRule>
    <cfRule type="containsText" dxfId="2702" priority="2677" operator="containsText" text="Mid">
      <formula>NOT(ISERROR(SEARCH("Mid",J34)))</formula>
    </cfRule>
    <cfRule type="containsText" dxfId="2701" priority="2678" operator="containsText" text="Large">
      <formula>NOT(ISERROR(SEARCH("Large",J34)))</formula>
    </cfRule>
  </conditionalFormatting>
  <conditionalFormatting sqref="J48">
    <cfRule type="containsText" dxfId="2700" priority="2673" operator="containsText" text="Small">
      <formula>NOT(ISERROR(SEARCH("Small",J48)))</formula>
    </cfRule>
    <cfRule type="containsText" dxfId="2699" priority="2674" operator="containsText" text="Mid">
      <formula>NOT(ISERROR(SEARCH("Mid",J48)))</formula>
    </cfRule>
    <cfRule type="containsText" dxfId="2698" priority="2675" operator="containsText" text="Large">
      <formula>NOT(ISERROR(SEARCH("Large",J48)))</formula>
    </cfRule>
  </conditionalFormatting>
  <conditionalFormatting sqref="J48">
    <cfRule type="containsText" dxfId="2697" priority="2670" operator="containsText" text="Small">
      <formula>NOT(ISERROR(SEARCH("Small",J48)))</formula>
    </cfRule>
    <cfRule type="containsText" dxfId="2696" priority="2671" operator="containsText" text="Mid">
      <formula>NOT(ISERROR(SEARCH("Mid",J48)))</formula>
    </cfRule>
    <cfRule type="containsText" dxfId="2695" priority="2672" operator="containsText" text="Large">
      <formula>NOT(ISERROR(SEARCH("Large",J48)))</formula>
    </cfRule>
  </conditionalFormatting>
  <conditionalFormatting sqref="J62">
    <cfRule type="containsText" dxfId="2694" priority="2667" operator="containsText" text="Small">
      <formula>NOT(ISERROR(SEARCH("Small",J62)))</formula>
    </cfRule>
    <cfRule type="containsText" dxfId="2693" priority="2668" operator="containsText" text="Mid">
      <formula>NOT(ISERROR(SEARCH("Mid",J62)))</formula>
    </cfRule>
    <cfRule type="containsText" dxfId="2692" priority="2669" operator="containsText" text="Large">
      <formula>NOT(ISERROR(SEARCH("Large",J62)))</formula>
    </cfRule>
  </conditionalFormatting>
  <conditionalFormatting sqref="J62">
    <cfRule type="containsText" dxfId="2691" priority="2664" operator="containsText" text="Small">
      <formula>NOT(ISERROR(SEARCH("Small",J62)))</formula>
    </cfRule>
    <cfRule type="containsText" dxfId="2690" priority="2665" operator="containsText" text="Mid">
      <formula>NOT(ISERROR(SEARCH("Mid",J62)))</formula>
    </cfRule>
    <cfRule type="containsText" dxfId="2689" priority="2666" operator="containsText" text="Large">
      <formula>NOT(ISERROR(SEARCH("Large",J62)))</formula>
    </cfRule>
  </conditionalFormatting>
  <conditionalFormatting sqref="J62">
    <cfRule type="containsText" dxfId="2688" priority="2661" operator="containsText" text="Small">
      <formula>NOT(ISERROR(SEARCH("Small",J62)))</formula>
    </cfRule>
    <cfRule type="containsText" dxfId="2687" priority="2662" operator="containsText" text="Mid">
      <formula>NOT(ISERROR(SEARCH("Mid",J62)))</formula>
    </cfRule>
    <cfRule type="containsText" dxfId="2686" priority="2663" operator="containsText" text="Large">
      <formula>NOT(ISERROR(SEARCH("Large",J62)))</formula>
    </cfRule>
  </conditionalFormatting>
  <conditionalFormatting sqref="J34">
    <cfRule type="containsText" dxfId="2685" priority="2658" operator="containsText" text="Small">
      <formula>NOT(ISERROR(SEARCH("Small",J34)))</formula>
    </cfRule>
    <cfRule type="containsText" dxfId="2684" priority="2659" operator="containsText" text="Mid">
      <formula>NOT(ISERROR(SEARCH("Mid",J34)))</formula>
    </cfRule>
    <cfRule type="containsText" dxfId="2683" priority="2660" operator="containsText" text="Large">
      <formula>NOT(ISERROR(SEARCH("Large",J34)))</formula>
    </cfRule>
  </conditionalFormatting>
  <conditionalFormatting sqref="J48">
    <cfRule type="containsText" dxfId="2682" priority="2655" operator="containsText" text="Small">
      <formula>NOT(ISERROR(SEARCH("Small",J48)))</formula>
    </cfRule>
    <cfRule type="containsText" dxfId="2681" priority="2656" operator="containsText" text="Mid">
      <formula>NOT(ISERROR(SEARCH("Mid",J48)))</formula>
    </cfRule>
    <cfRule type="containsText" dxfId="2680" priority="2657" operator="containsText" text="Large">
      <formula>NOT(ISERROR(SEARCH("Large",J48)))</formula>
    </cfRule>
  </conditionalFormatting>
  <conditionalFormatting sqref="J48">
    <cfRule type="containsText" dxfId="2679" priority="2652" operator="containsText" text="Small">
      <formula>NOT(ISERROR(SEARCH("Small",J48)))</formula>
    </cfRule>
    <cfRule type="containsText" dxfId="2678" priority="2653" operator="containsText" text="Mid">
      <formula>NOT(ISERROR(SEARCH("Mid",J48)))</formula>
    </cfRule>
    <cfRule type="containsText" dxfId="2677" priority="2654" operator="containsText" text="Large">
      <formula>NOT(ISERROR(SEARCH("Large",J48)))</formula>
    </cfRule>
  </conditionalFormatting>
  <conditionalFormatting sqref="J48">
    <cfRule type="containsText" dxfId="2676" priority="2649" operator="containsText" text="Small">
      <formula>NOT(ISERROR(SEARCH("Small",J48)))</formula>
    </cfRule>
    <cfRule type="containsText" dxfId="2675" priority="2650" operator="containsText" text="Mid">
      <formula>NOT(ISERROR(SEARCH("Mid",J48)))</formula>
    </cfRule>
    <cfRule type="containsText" dxfId="2674" priority="2651" operator="containsText" text="Large">
      <formula>NOT(ISERROR(SEARCH("Large",J48)))</formula>
    </cfRule>
  </conditionalFormatting>
  <conditionalFormatting sqref="J62">
    <cfRule type="containsText" dxfId="2673" priority="2646" operator="containsText" text="Small">
      <formula>NOT(ISERROR(SEARCH("Small",J62)))</formula>
    </cfRule>
    <cfRule type="containsText" dxfId="2672" priority="2647" operator="containsText" text="Mid">
      <formula>NOT(ISERROR(SEARCH("Mid",J62)))</formula>
    </cfRule>
    <cfRule type="containsText" dxfId="2671" priority="2648" operator="containsText" text="Large">
      <formula>NOT(ISERROR(SEARCH("Large",J62)))</formula>
    </cfRule>
  </conditionalFormatting>
  <conditionalFormatting sqref="J62">
    <cfRule type="containsText" dxfId="2670" priority="2643" operator="containsText" text="Small">
      <formula>NOT(ISERROR(SEARCH("Small",J62)))</formula>
    </cfRule>
    <cfRule type="containsText" dxfId="2669" priority="2644" operator="containsText" text="Mid">
      <formula>NOT(ISERROR(SEARCH("Mid",J62)))</formula>
    </cfRule>
    <cfRule type="containsText" dxfId="2668" priority="2645" operator="containsText" text="Large">
      <formula>NOT(ISERROR(SEARCH("Large",J62)))</formula>
    </cfRule>
  </conditionalFormatting>
  <conditionalFormatting sqref="J62">
    <cfRule type="containsText" dxfId="2667" priority="2640" operator="containsText" text="Small">
      <formula>NOT(ISERROR(SEARCH("Small",J62)))</formula>
    </cfRule>
    <cfRule type="containsText" dxfId="2666" priority="2641" operator="containsText" text="Mid">
      <formula>NOT(ISERROR(SEARCH("Mid",J62)))</formula>
    </cfRule>
    <cfRule type="containsText" dxfId="2665" priority="2642" operator="containsText" text="Large">
      <formula>NOT(ISERROR(SEARCH("Large",J62)))</formula>
    </cfRule>
  </conditionalFormatting>
  <conditionalFormatting sqref="J62">
    <cfRule type="containsText" dxfId="2664" priority="2637" operator="containsText" text="Small">
      <formula>NOT(ISERROR(SEARCH("Small",J62)))</formula>
    </cfRule>
    <cfRule type="containsText" dxfId="2663" priority="2638" operator="containsText" text="Mid">
      <formula>NOT(ISERROR(SEARCH("Mid",J62)))</formula>
    </cfRule>
    <cfRule type="containsText" dxfId="2662" priority="2639" operator="containsText" text="Large">
      <formula>NOT(ISERROR(SEARCH("Large",J62)))</formula>
    </cfRule>
  </conditionalFormatting>
  <conditionalFormatting sqref="J62">
    <cfRule type="containsText" dxfId="2661" priority="2634" operator="containsText" text="Small">
      <formula>NOT(ISERROR(SEARCH("Small",J62)))</formula>
    </cfRule>
    <cfRule type="containsText" dxfId="2660" priority="2635" operator="containsText" text="Mid">
      <formula>NOT(ISERROR(SEARCH("Mid",J62)))</formula>
    </cfRule>
    <cfRule type="containsText" dxfId="2659" priority="2636" operator="containsText" text="Large">
      <formula>NOT(ISERROR(SEARCH("Large",J62)))</formula>
    </cfRule>
  </conditionalFormatting>
  <conditionalFormatting sqref="J62">
    <cfRule type="containsText" dxfId="2658" priority="2631" operator="containsText" text="Small">
      <formula>NOT(ISERROR(SEARCH("Small",J62)))</formula>
    </cfRule>
    <cfRule type="containsText" dxfId="2657" priority="2632" operator="containsText" text="Mid">
      <formula>NOT(ISERROR(SEARCH("Mid",J62)))</formula>
    </cfRule>
    <cfRule type="containsText" dxfId="2656" priority="2633" operator="containsText" text="Large">
      <formula>NOT(ISERROR(SEARCH("Large",J62)))</formula>
    </cfRule>
  </conditionalFormatting>
  <conditionalFormatting sqref="J34">
    <cfRule type="containsText" dxfId="2655" priority="2628" operator="containsText" text="Small">
      <formula>NOT(ISERROR(SEARCH("Small",J34)))</formula>
    </cfRule>
    <cfRule type="containsText" dxfId="2654" priority="2629" operator="containsText" text="Mid">
      <formula>NOT(ISERROR(SEARCH("Mid",J34)))</formula>
    </cfRule>
    <cfRule type="containsText" dxfId="2653" priority="2630" operator="containsText" text="Large">
      <formula>NOT(ISERROR(SEARCH("Large",J34)))</formula>
    </cfRule>
  </conditionalFormatting>
  <conditionalFormatting sqref="J48">
    <cfRule type="containsText" dxfId="2652" priority="2625" operator="containsText" text="Small">
      <formula>NOT(ISERROR(SEARCH("Small",J48)))</formula>
    </cfRule>
    <cfRule type="containsText" dxfId="2651" priority="2626" operator="containsText" text="Mid">
      <formula>NOT(ISERROR(SEARCH("Mid",J48)))</formula>
    </cfRule>
    <cfRule type="containsText" dxfId="2650" priority="2627" operator="containsText" text="Large">
      <formula>NOT(ISERROR(SEARCH("Large",J48)))</formula>
    </cfRule>
  </conditionalFormatting>
  <conditionalFormatting sqref="J48">
    <cfRule type="containsText" dxfId="2649" priority="2622" operator="containsText" text="Small">
      <formula>NOT(ISERROR(SEARCH("Small",J48)))</formula>
    </cfRule>
    <cfRule type="containsText" dxfId="2648" priority="2623" operator="containsText" text="Mid">
      <formula>NOT(ISERROR(SEARCH("Mid",J48)))</formula>
    </cfRule>
    <cfRule type="containsText" dxfId="2647" priority="2624" operator="containsText" text="Large">
      <formula>NOT(ISERROR(SEARCH("Large",J48)))</formula>
    </cfRule>
  </conditionalFormatting>
  <conditionalFormatting sqref="J48">
    <cfRule type="containsText" dxfId="2646" priority="2619" operator="containsText" text="Small">
      <formula>NOT(ISERROR(SEARCH("Small",J48)))</formula>
    </cfRule>
    <cfRule type="containsText" dxfId="2645" priority="2620" operator="containsText" text="Mid">
      <formula>NOT(ISERROR(SEARCH("Mid",J48)))</formula>
    </cfRule>
    <cfRule type="containsText" dxfId="2644" priority="2621" operator="containsText" text="Large">
      <formula>NOT(ISERROR(SEARCH("Large",J48)))</formula>
    </cfRule>
  </conditionalFormatting>
  <conditionalFormatting sqref="J48">
    <cfRule type="containsText" dxfId="2643" priority="2616" operator="containsText" text="Small">
      <formula>NOT(ISERROR(SEARCH("Small",J48)))</formula>
    </cfRule>
    <cfRule type="containsText" dxfId="2642" priority="2617" operator="containsText" text="Mid">
      <formula>NOT(ISERROR(SEARCH("Mid",J48)))</formula>
    </cfRule>
    <cfRule type="containsText" dxfId="2641" priority="2618" operator="containsText" text="Large">
      <formula>NOT(ISERROR(SEARCH("Large",J48)))</formula>
    </cfRule>
  </conditionalFormatting>
  <conditionalFormatting sqref="J62">
    <cfRule type="containsText" dxfId="2640" priority="2613" operator="containsText" text="Small">
      <formula>NOT(ISERROR(SEARCH("Small",J62)))</formula>
    </cfRule>
    <cfRule type="containsText" dxfId="2639" priority="2614" operator="containsText" text="Mid">
      <formula>NOT(ISERROR(SEARCH("Mid",J62)))</formula>
    </cfRule>
    <cfRule type="containsText" dxfId="2638" priority="2615" operator="containsText" text="Large">
      <formula>NOT(ISERROR(SEARCH("Large",J62)))</formula>
    </cfRule>
  </conditionalFormatting>
  <conditionalFormatting sqref="J62">
    <cfRule type="containsText" dxfId="2637" priority="2610" operator="containsText" text="Small">
      <formula>NOT(ISERROR(SEARCH("Small",J62)))</formula>
    </cfRule>
    <cfRule type="containsText" dxfId="2636" priority="2611" operator="containsText" text="Mid">
      <formula>NOT(ISERROR(SEARCH("Mid",J62)))</formula>
    </cfRule>
    <cfRule type="containsText" dxfId="2635" priority="2612" operator="containsText" text="Large">
      <formula>NOT(ISERROR(SEARCH("Large",J62)))</formula>
    </cfRule>
  </conditionalFormatting>
  <conditionalFormatting sqref="J62">
    <cfRule type="containsText" dxfId="2634" priority="2607" operator="containsText" text="Small">
      <formula>NOT(ISERROR(SEARCH("Small",J62)))</formula>
    </cfRule>
    <cfRule type="containsText" dxfId="2633" priority="2608" operator="containsText" text="Mid">
      <formula>NOT(ISERROR(SEARCH("Mid",J62)))</formula>
    </cfRule>
    <cfRule type="containsText" dxfId="2632" priority="2609" operator="containsText" text="Large">
      <formula>NOT(ISERROR(SEARCH("Large",J62)))</formula>
    </cfRule>
  </conditionalFormatting>
  <conditionalFormatting sqref="J62">
    <cfRule type="containsText" dxfId="2631" priority="2604" operator="containsText" text="Small">
      <formula>NOT(ISERROR(SEARCH("Small",J62)))</formula>
    </cfRule>
    <cfRule type="containsText" dxfId="2630" priority="2605" operator="containsText" text="Mid">
      <formula>NOT(ISERROR(SEARCH("Mid",J62)))</formula>
    </cfRule>
    <cfRule type="containsText" dxfId="2629" priority="2606" operator="containsText" text="Large">
      <formula>NOT(ISERROR(SEARCH("Large",J62)))</formula>
    </cfRule>
  </conditionalFormatting>
  <conditionalFormatting sqref="J62">
    <cfRule type="containsText" dxfId="2628" priority="2601" operator="containsText" text="Small">
      <formula>NOT(ISERROR(SEARCH("Small",J62)))</formula>
    </cfRule>
    <cfRule type="containsText" dxfId="2627" priority="2602" operator="containsText" text="Mid">
      <formula>NOT(ISERROR(SEARCH("Mid",J62)))</formula>
    </cfRule>
    <cfRule type="containsText" dxfId="2626" priority="2603" operator="containsText" text="Large">
      <formula>NOT(ISERROR(SEARCH("Large",J62)))</formula>
    </cfRule>
  </conditionalFormatting>
  <conditionalFormatting sqref="J62">
    <cfRule type="containsText" dxfId="2625" priority="2598" operator="containsText" text="Small">
      <formula>NOT(ISERROR(SEARCH("Small",J62)))</formula>
    </cfRule>
    <cfRule type="containsText" dxfId="2624" priority="2599" operator="containsText" text="Mid">
      <formula>NOT(ISERROR(SEARCH("Mid",J62)))</formula>
    </cfRule>
    <cfRule type="containsText" dxfId="2623" priority="2600" operator="containsText" text="Large">
      <formula>NOT(ISERROR(SEARCH("Large",J62)))</formula>
    </cfRule>
  </conditionalFormatting>
  <conditionalFormatting sqref="J62">
    <cfRule type="containsText" dxfId="2622" priority="2595" operator="containsText" text="Small">
      <formula>NOT(ISERROR(SEARCH("Small",J62)))</formula>
    </cfRule>
    <cfRule type="containsText" dxfId="2621" priority="2596" operator="containsText" text="Mid">
      <formula>NOT(ISERROR(SEARCH("Mid",J62)))</formula>
    </cfRule>
    <cfRule type="containsText" dxfId="2620" priority="2597" operator="containsText" text="Large">
      <formula>NOT(ISERROR(SEARCH("Large",J62)))</formula>
    </cfRule>
  </conditionalFormatting>
  <conditionalFormatting sqref="J62">
    <cfRule type="containsText" dxfId="2619" priority="2592" operator="containsText" text="Small">
      <formula>NOT(ISERROR(SEARCH("Small",J62)))</formula>
    </cfRule>
    <cfRule type="containsText" dxfId="2618" priority="2593" operator="containsText" text="Mid">
      <formula>NOT(ISERROR(SEARCH("Mid",J62)))</formula>
    </cfRule>
    <cfRule type="containsText" dxfId="2617" priority="2594" operator="containsText" text="Large">
      <formula>NOT(ISERROR(SEARCH("Large",J62)))</formula>
    </cfRule>
  </conditionalFormatting>
  <conditionalFormatting sqref="J62">
    <cfRule type="containsText" dxfId="2616" priority="2589" operator="containsText" text="Small">
      <formula>NOT(ISERROR(SEARCH("Small",J62)))</formula>
    </cfRule>
    <cfRule type="containsText" dxfId="2615" priority="2590" operator="containsText" text="Mid">
      <formula>NOT(ISERROR(SEARCH("Mid",J62)))</formula>
    </cfRule>
    <cfRule type="containsText" dxfId="2614" priority="2591" operator="containsText" text="Large">
      <formula>NOT(ISERROR(SEARCH("Large",J62)))</formula>
    </cfRule>
  </conditionalFormatting>
  <conditionalFormatting sqref="J62">
    <cfRule type="containsText" dxfId="2613" priority="2586" operator="containsText" text="Small">
      <formula>NOT(ISERROR(SEARCH("Small",J62)))</formula>
    </cfRule>
    <cfRule type="containsText" dxfId="2612" priority="2587" operator="containsText" text="Mid">
      <formula>NOT(ISERROR(SEARCH("Mid",J62)))</formula>
    </cfRule>
    <cfRule type="containsText" dxfId="2611" priority="2588" operator="containsText" text="Large">
      <formula>NOT(ISERROR(SEARCH("Large",J62)))</formula>
    </cfRule>
  </conditionalFormatting>
  <conditionalFormatting sqref="Q20">
    <cfRule type="containsText" dxfId="2610" priority="2583" operator="containsText" text="Small">
      <formula>NOT(ISERROR(SEARCH("Small",Q20)))</formula>
    </cfRule>
    <cfRule type="containsText" dxfId="2609" priority="2584" operator="containsText" text="Mid">
      <formula>NOT(ISERROR(SEARCH("Mid",Q20)))</formula>
    </cfRule>
    <cfRule type="containsText" dxfId="2608" priority="2585" operator="containsText" text="Large">
      <formula>NOT(ISERROR(SEARCH("Large",Q20)))</formula>
    </cfRule>
  </conditionalFormatting>
  <conditionalFormatting sqref="Q20">
    <cfRule type="containsText" dxfId="2607" priority="2580" operator="containsText" text="Small">
      <formula>NOT(ISERROR(SEARCH("Small",Q20)))</formula>
    </cfRule>
    <cfRule type="containsText" dxfId="2606" priority="2581" operator="containsText" text="Mid">
      <formula>NOT(ISERROR(SEARCH("Mid",Q20)))</formula>
    </cfRule>
    <cfRule type="containsText" dxfId="2605" priority="2582" operator="containsText" text="Large">
      <formula>NOT(ISERROR(SEARCH("Large",Q20)))</formula>
    </cfRule>
  </conditionalFormatting>
  <conditionalFormatting sqref="Q20">
    <cfRule type="containsText" dxfId="2604" priority="2577" operator="containsText" text="Small">
      <formula>NOT(ISERROR(SEARCH("Small",Q20)))</formula>
    </cfRule>
    <cfRule type="containsText" dxfId="2603" priority="2578" operator="containsText" text="Mid">
      <formula>NOT(ISERROR(SEARCH("Mid",Q20)))</formula>
    </cfRule>
    <cfRule type="containsText" dxfId="2602" priority="2579" operator="containsText" text="Large">
      <formula>NOT(ISERROR(SEARCH("Large",Q20)))</formula>
    </cfRule>
  </conditionalFormatting>
  <conditionalFormatting sqref="Q34">
    <cfRule type="containsText" dxfId="2601" priority="2574" operator="containsText" text="Small">
      <formula>NOT(ISERROR(SEARCH("Small",Q34)))</formula>
    </cfRule>
    <cfRule type="containsText" dxfId="2600" priority="2575" operator="containsText" text="Mid">
      <formula>NOT(ISERROR(SEARCH("Mid",Q34)))</formula>
    </cfRule>
    <cfRule type="containsText" dxfId="2599" priority="2576" operator="containsText" text="Large">
      <formula>NOT(ISERROR(SEARCH("Large",Q34)))</formula>
    </cfRule>
  </conditionalFormatting>
  <conditionalFormatting sqref="Q34">
    <cfRule type="containsText" dxfId="2598" priority="2571" operator="containsText" text="Small">
      <formula>NOT(ISERROR(SEARCH("Small",Q34)))</formula>
    </cfRule>
    <cfRule type="containsText" dxfId="2597" priority="2572" operator="containsText" text="Mid">
      <formula>NOT(ISERROR(SEARCH("Mid",Q34)))</formula>
    </cfRule>
    <cfRule type="containsText" dxfId="2596" priority="2573" operator="containsText" text="Large">
      <formula>NOT(ISERROR(SEARCH("Large",Q34)))</formula>
    </cfRule>
  </conditionalFormatting>
  <conditionalFormatting sqref="Q34">
    <cfRule type="containsText" dxfId="2595" priority="2568" operator="containsText" text="Small">
      <formula>NOT(ISERROR(SEARCH("Small",Q34)))</formula>
    </cfRule>
    <cfRule type="containsText" dxfId="2594" priority="2569" operator="containsText" text="Mid">
      <formula>NOT(ISERROR(SEARCH("Mid",Q34)))</formula>
    </cfRule>
    <cfRule type="containsText" dxfId="2593" priority="2570" operator="containsText" text="Large">
      <formula>NOT(ISERROR(SEARCH("Large",Q34)))</formula>
    </cfRule>
  </conditionalFormatting>
  <conditionalFormatting sqref="Q48">
    <cfRule type="containsText" dxfId="2592" priority="2565" operator="containsText" text="Small">
      <formula>NOT(ISERROR(SEARCH("Small",Q48)))</formula>
    </cfRule>
    <cfRule type="containsText" dxfId="2591" priority="2566" operator="containsText" text="Mid">
      <formula>NOT(ISERROR(SEARCH("Mid",Q48)))</formula>
    </cfRule>
    <cfRule type="containsText" dxfId="2590" priority="2567" operator="containsText" text="Large">
      <formula>NOT(ISERROR(SEARCH("Large",Q48)))</formula>
    </cfRule>
  </conditionalFormatting>
  <conditionalFormatting sqref="Q48">
    <cfRule type="containsText" dxfId="2589" priority="2562" operator="containsText" text="Small">
      <formula>NOT(ISERROR(SEARCH("Small",Q48)))</formula>
    </cfRule>
    <cfRule type="containsText" dxfId="2588" priority="2563" operator="containsText" text="Mid">
      <formula>NOT(ISERROR(SEARCH("Mid",Q48)))</formula>
    </cfRule>
    <cfRule type="containsText" dxfId="2587" priority="2564" operator="containsText" text="Large">
      <formula>NOT(ISERROR(SEARCH("Large",Q48)))</formula>
    </cfRule>
  </conditionalFormatting>
  <conditionalFormatting sqref="Q48">
    <cfRule type="containsText" dxfId="2586" priority="2559" operator="containsText" text="Small">
      <formula>NOT(ISERROR(SEARCH("Small",Q48)))</formula>
    </cfRule>
    <cfRule type="containsText" dxfId="2585" priority="2560" operator="containsText" text="Mid">
      <formula>NOT(ISERROR(SEARCH("Mid",Q48)))</formula>
    </cfRule>
    <cfRule type="containsText" dxfId="2584" priority="2561" operator="containsText" text="Large">
      <formula>NOT(ISERROR(SEARCH("Large",Q48)))</formula>
    </cfRule>
  </conditionalFormatting>
  <conditionalFormatting sqref="Q62">
    <cfRule type="containsText" dxfId="2583" priority="2556" operator="containsText" text="Small">
      <formula>NOT(ISERROR(SEARCH("Small",Q62)))</formula>
    </cfRule>
    <cfRule type="containsText" dxfId="2582" priority="2557" operator="containsText" text="Mid">
      <formula>NOT(ISERROR(SEARCH("Mid",Q62)))</formula>
    </cfRule>
    <cfRule type="containsText" dxfId="2581" priority="2558" operator="containsText" text="Large">
      <formula>NOT(ISERROR(SEARCH("Large",Q62)))</formula>
    </cfRule>
  </conditionalFormatting>
  <conditionalFormatting sqref="Q62">
    <cfRule type="containsText" dxfId="2580" priority="2553" operator="containsText" text="Small">
      <formula>NOT(ISERROR(SEARCH("Small",Q62)))</formula>
    </cfRule>
    <cfRule type="containsText" dxfId="2579" priority="2554" operator="containsText" text="Mid">
      <formula>NOT(ISERROR(SEARCH("Mid",Q62)))</formula>
    </cfRule>
    <cfRule type="containsText" dxfId="2578" priority="2555" operator="containsText" text="Large">
      <formula>NOT(ISERROR(SEARCH("Large",Q62)))</formula>
    </cfRule>
  </conditionalFormatting>
  <conditionalFormatting sqref="Q62">
    <cfRule type="containsText" dxfId="2577" priority="2550" operator="containsText" text="Small">
      <formula>NOT(ISERROR(SEARCH("Small",Q62)))</formula>
    </cfRule>
    <cfRule type="containsText" dxfId="2576" priority="2551" operator="containsText" text="Mid">
      <formula>NOT(ISERROR(SEARCH("Mid",Q62)))</formula>
    </cfRule>
    <cfRule type="containsText" dxfId="2575" priority="2552" operator="containsText" text="Large">
      <formula>NOT(ISERROR(SEARCH("Large",Q62)))</formula>
    </cfRule>
  </conditionalFormatting>
  <conditionalFormatting sqref="Q62">
    <cfRule type="containsText" dxfId="2574" priority="2547" operator="containsText" text="Small">
      <formula>NOT(ISERROR(SEARCH("Small",Q62)))</formula>
    </cfRule>
    <cfRule type="containsText" dxfId="2573" priority="2548" operator="containsText" text="Mid">
      <formula>NOT(ISERROR(SEARCH("Mid",Q62)))</formula>
    </cfRule>
    <cfRule type="containsText" dxfId="2572" priority="2549" operator="containsText" text="Large">
      <formula>NOT(ISERROR(SEARCH("Large",Q62)))</formula>
    </cfRule>
  </conditionalFormatting>
  <conditionalFormatting sqref="Q62">
    <cfRule type="containsText" dxfId="2571" priority="2544" operator="containsText" text="Small">
      <formula>NOT(ISERROR(SEARCH("Small",Q62)))</formula>
    </cfRule>
    <cfRule type="containsText" dxfId="2570" priority="2545" operator="containsText" text="Mid">
      <formula>NOT(ISERROR(SEARCH("Mid",Q62)))</formula>
    </cfRule>
    <cfRule type="containsText" dxfId="2569" priority="2546" operator="containsText" text="Large">
      <formula>NOT(ISERROR(SEARCH("Large",Q62)))</formula>
    </cfRule>
  </conditionalFormatting>
  <conditionalFormatting sqref="Q62">
    <cfRule type="containsText" dxfId="2568" priority="2541" operator="containsText" text="Small">
      <formula>NOT(ISERROR(SEARCH("Small",Q62)))</formula>
    </cfRule>
    <cfRule type="containsText" dxfId="2567" priority="2542" operator="containsText" text="Mid">
      <formula>NOT(ISERROR(SEARCH("Mid",Q62)))</formula>
    </cfRule>
    <cfRule type="containsText" dxfId="2566" priority="2543" operator="containsText" text="Large">
      <formula>NOT(ISERROR(SEARCH("Large",Q62)))</formula>
    </cfRule>
  </conditionalFormatting>
  <conditionalFormatting sqref="Q62">
    <cfRule type="containsText" dxfId="2565" priority="2538" operator="containsText" text="Small">
      <formula>NOT(ISERROR(SEARCH("Small",Q62)))</formula>
    </cfRule>
    <cfRule type="containsText" dxfId="2564" priority="2539" operator="containsText" text="Mid">
      <formula>NOT(ISERROR(SEARCH("Mid",Q62)))</formula>
    </cfRule>
    <cfRule type="containsText" dxfId="2563" priority="2540" operator="containsText" text="Large">
      <formula>NOT(ISERROR(SEARCH("Large",Q62)))</formula>
    </cfRule>
  </conditionalFormatting>
  <conditionalFormatting sqref="Q62">
    <cfRule type="containsText" dxfId="2562" priority="2535" operator="containsText" text="Small">
      <formula>NOT(ISERROR(SEARCH("Small",Q62)))</formula>
    </cfRule>
    <cfRule type="containsText" dxfId="2561" priority="2536" operator="containsText" text="Mid">
      <formula>NOT(ISERROR(SEARCH("Mid",Q62)))</formula>
    </cfRule>
    <cfRule type="containsText" dxfId="2560" priority="2537" operator="containsText" text="Large">
      <formula>NOT(ISERROR(SEARCH("Large",Q62)))</formula>
    </cfRule>
  </conditionalFormatting>
  <conditionalFormatting sqref="Q62">
    <cfRule type="containsText" dxfId="2559" priority="2532" operator="containsText" text="Small">
      <formula>NOT(ISERROR(SEARCH("Small",Q62)))</formula>
    </cfRule>
    <cfRule type="containsText" dxfId="2558" priority="2533" operator="containsText" text="Mid">
      <formula>NOT(ISERROR(SEARCH("Mid",Q62)))</formula>
    </cfRule>
    <cfRule type="containsText" dxfId="2557" priority="2534" operator="containsText" text="Large">
      <formula>NOT(ISERROR(SEARCH("Large",Q62)))</formula>
    </cfRule>
  </conditionalFormatting>
  <conditionalFormatting sqref="Q62">
    <cfRule type="containsText" dxfId="2556" priority="2529" operator="containsText" text="Small">
      <formula>NOT(ISERROR(SEARCH("Small",Q62)))</formula>
    </cfRule>
    <cfRule type="containsText" dxfId="2555" priority="2530" operator="containsText" text="Mid">
      <formula>NOT(ISERROR(SEARCH("Mid",Q62)))</formula>
    </cfRule>
    <cfRule type="containsText" dxfId="2554" priority="2531" operator="containsText" text="Large">
      <formula>NOT(ISERROR(SEARCH("Large",Q62)))</formula>
    </cfRule>
  </conditionalFormatting>
  <conditionalFormatting sqref="Q62">
    <cfRule type="containsText" dxfId="2553" priority="2526" operator="containsText" text="Small">
      <formula>NOT(ISERROR(SEARCH("Small",Q62)))</formula>
    </cfRule>
    <cfRule type="containsText" dxfId="2552" priority="2527" operator="containsText" text="Mid">
      <formula>NOT(ISERROR(SEARCH("Mid",Q62)))</formula>
    </cfRule>
    <cfRule type="containsText" dxfId="2551" priority="2528" operator="containsText" text="Large">
      <formula>NOT(ISERROR(SEARCH("Large",Q62)))</formula>
    </cfRule>
  </conditionalFormatting>
  <conditionalFormatting sqref="Q62">
    <cfRule type="containsText" dxfId="2550" priority="2523" operator="containsText" text="Small">
      <formula>NOT(ISERROR(SEARCH("Small",Q62)))</formula>
    </cfRule>
    <cfRule type="containsText" dxfId="2549" priority="2524" operator="containsText" text="Mid">
      <formula>NOT(ISERROR(SEARCH("Mid",Q62)))</formula>
    </cfRule>
    <cfRule type="containsText" dxfId="2548" priority="2525" operator="containsText" text="Large">
      <formula>NOT(ISERROR(SEARCH("Large",Q62)))</formula>
    </cfRule>
  </conditionalFormatting>
  <conditionalFormatting sqref="Q34">
    <cfRule type="containsText" dxfId="2547" priority="2520" operator="containsText" text="Small">
      <formula>NOT(ISERROR(SEARCH("Small",Q34)))</formula>
    </cfRule>
    <cfRule type="containsText" dxfId="2546" priority="2521" operator="containsText" text="Mid">
      <formula>NOT(ISERROR(SEARCH("Mid",Q34)))</formula>
    </cfRule>
    <cfRule type="containsText" dxfId="2545" priority="2522" operator="containsText" text="Large">
      <formula>NOT(ISERROR(SEARCH("Large",Q34)))</formula>
    </cfRule>
  </conditionalFormatting>
  <conditionalFormatting sqref="Q34">
    <cfRule type="containsText" dxfId="2544" priority="2517" operator="containsText" text="Small">
      <formula>NOT(ISERROR(SEARCH("Small",Q34)))</formula>
    </cfRule>
    <cfRule type="containsText" dxfId="2543" priority="2518" operator="containsText" text="Mid">
      <formula>NOT(ISERROR(SEARCH("Mid",Q34)))</formula>
    </cfRule>
    <cfRule type="containsText" dxfId="2542" priority="2519" operator="containsText" text="Large">
      <formula>NOT(ISERROR(SEARCH("Large",Q34)))</formula>
    </cfRule>
  </conditionalFormatting>
  <conditionalFormatting sqref="Q34">
    <cfRule type="containsText" dxfId="2541" priority="2514" operator="containsText" text="Small">
      <formula>NOT(ISERROR(SEARCH("Small",Q34)))</formula>
    </cfRule>
    <cfRule type="containsText" dxfId="2540" priority="2515" operator="containsText" text="Mid">
      <formula>NOT(ISERROR(SEARCH("Mid",Q34)))</formula>
    </cfRule>
    <cfRule type="containsText" dxfId="2539" priority="2516" operator="containsText" text="Large">
      <formula>NOT(ISERROR(SEARCH("Large",Q34)))</formula>
    </cfRule>
  </conditionalFormatting>
  <conditionalFormatting sqref="Q34">
    <cfRule type="containsText" dxfId="2538" priority="2511" operator="containsText" text="Small">
      <formula>NOT(ISERROR(SEARCH("Small",Q34)))</formula>
    </cfRule>
    <cfRule type="containsText" dxfId="2537" priority="2512" operator="containsText" text="Mid">
      <formula>NOT(ISERROR(SEARCH("Mid",Q34)))</formula>
    </cfRule>
    <cfRule type="containsText" dxfId="2536" priority="2513" operator="containsText" text="Large">
      <formula>NOT(ISERROR(SEARCH("Large",Q34)))</formula>
    </cfRule>
  </conditionalFormatting>
  <conditionalFormatting sqref="Q34">
    <cfRule type="containsText" dxfId="2535" priority="2508" operator="containsText" text="Small">
      <formula>NOT(ISERROR(SEARCH("Small",Q34)))</formula>
    </cfRule>
    <cfRule type="containsText" dxfId="2534" priority="2509" operator="containsText" text="Mid">
      <formula>NOT(ISERROR(SEARCH("Mid",Q34)))</formula>
    </cfRule>
    <cfRule type="containsText" dxfId="2533" priority="2510" operator="containsText" text="Large">
      <formula>NOT(ISERROR(SEARCH("Large",Q34)))</formula>
    </cfRule>
  </conditionalFormatting>
  <conditionalFormatting sqref="Q34">
    <cfRule type="containsText" dxfId="2532" priority="2505" operator="containsText" text="Small">
      <formula>NOT(ISERROR(SEARCH("Small",Q34)))</formula>
    </cfRule>
    <cfRule type="containsText" dxfId="2531" priority="2506" operator="containsText" text="Mid">
      <formula>NOT(ISERROR(SEARCH("Mid",Q34)))</formula>
    </cfRule>
    <cfRule type="containsText" dxfId="2530" priority="2507" operator="containsText" text="Large">
      <formula>NOT(ISERROR(SEARCH("Large",Q34)))</formula>
    </cfRule>
  </conditionalFormatting>
  <conditionalFormatting sqref="Q34">
    <cfRule type="containsText" dxfId="2529" priority="2502" operator="containsText" text="Small">
      <formula>NOT(ISERROR(SEARCH("Small",Q34)))</formula>
    </cfRule>
    <cfRule type="containsText" dxfId="2528" priority="2503" operator="containsText" text="Mid">
      <formula>NOT(ISERROR(SEARCH("Mid",Q34)))</formula>
    </cfRule>
    <cfRule type="containsText" dxfId="2527" priority="2504" operator="containsText" text="Large">
      <formula>NOT(ISERROR(SEARCH("Large",Q34)))</formula>
    </cfRule>
  </conditionalFormatting>
  <conditionalFormatting sqref="Q34">
    <cfRule type="containsText" dxfId="2526" priority="2499" operator="containsText" text="Small">
      <formula>NOT(ISERROR(SEARCH("Small",Q34)))</formula>
    </cfRule>
    <cfRule type="containsText" dxfId="2525" priority="2500" operator="containsText" text="Mid">
      <formula>NOT(ISERROR(SEARCH("Mid",Q34)))</formula>
    </cfRule>
    <cfRule type="containsText" dxfId="2524" priority="2501" operator="containsText" text="Large">
      <formula>NOT(ISERROR(SEARCH("Large",Q34)))</formula>
    </cfRule>
  </conditionalFormatting>
  <conditionalFormatting sqref="Q34">
    <cfRule type="containsText" dxfId="2523" priority="2496" operator="containsText" text="Small">
      <formula>NOT(ISERROR(SEARCH("Small",Q34)))</formula>
    </cfRule>
    <cfRule type="containsText" dxfId="2522" priority="2497" operator="containsText" text="Mid">
      <formula>NOT(ISERROR(SEARCH("Mid",Q34)))</formula>
    </cfRule>
    <cfRule type="containsText" dxfId="2521" priority="2498" operator="containsText" text="Large">
      <formula>NOT(ISERROR(SEARCH("Large",Q34)))</formula>
    </cfRule>
  </conditionalFormatting>
  <conditionalFormatting sqref="Q34">
    <cfRule type="containsText" dxfId="2520" priority="2493" operator="containsText" text="Small">
      <formula>NOT(ISERROR(SEARCH("Small",Q34)))</formula>
    </cfRule>
    <cfRule type="containsText" dxfId="2519" priority="2494" operator="containsText" text="Mid">
      <formula>NOT(ISERROR(SEARCH("Mid",Q34)))</formula>
    </cfRule>
    <cfRule type="containsText" dxfId="2518" priority="2495" operator="containsText" text="Large">
      <formula>NOT(ISERROR(SEARCH("Large",Q34)))</formula>
    </cfRule>
  </conditionalFormatting>
  <conditionalFormatting sqref="Q34">
    <cfRule type="containsText" dxfId="2517" priority="2490" operator="containsText" text="Small">
      <formula>NOT(ISERROR(SEARCH("Small",Q34)))</formula>
    </cfRule>
    <cfRule type="containsText" dxfId="2516" priority="2491" operator="containsText" text="Mid">
      <formula>NOT(ISERROR(SEARCH("Mid",Q34)))</formula>
    </cfRule>
    <cfRule type="containsText" dxfId="2515" priority="2492" operator="containsText" text="Large">
      <formula>NOT(ISERROR(SEARCH("Large",Q34)))</formula>
    </cfRule>
  </conditionalFormatting>
  <conditionalFormatting sqref="Q34">
    <cfRule type="containsText" dxfId="2514" priority="2487" operator="containsText" text="Small">
      <formula>NOT(ISERROR(SEARCH("Small",Q34)))</formula>
    </cfRule>
    <cfRule type="containsText" dxfId="2513" priority="2488" operator="containsText" text="Mid">
      <formula>NOT(ISERROR(SEARCH("Mid",Q34)))</formula>
    </cfRule>
    <cfRule type="containsText" dxfId="2512" priority="2489" operator="containsText" text="Large">
      <formula>NOT(ISERROR(SEARCH("Large",Q34)))</formula>
    </cfRule>
  </conditionalFormatting>
  <conditionalFormatting sqref="Q20">
    <cfRule type="containsText" dxfId="2511" priority="2484" operator="containsText" text="Small">
      <formula>NOT(ISERROR(SEARCH("Small",Q20)))</formula>
    </cfRule>
    <cfRule type="containsText" dxfId="2510" priority="2485" operator="containsText" text="Mid">
      <formula>NOT(ISERROR(SEARCH("Mid",Q20)))</formula>
    </cfRule>
    <cfRule type="containsText" dxfId="2509" priority="2486" operator="containsText" text="Large">
      <formula>NOT(ISERROR(SEARCH("Large",Q20)))</formula>
    </cfRule>
  </conditionalFormatting>
  <conditionalFormatting sqref="Q20">
    <cfRule type="containsText" dxfId="2508" priority="2481" operator="containsText" text="Small">
      <formula>NOT(ISERROR(SEARCH("Small",Q20)))</formula>
    </cfRule>
    <cfRule type="containsText" dxfId="2507" priority="2482" operator="containsText" text="Mid">
      <formula>NOT(ISERROR(SEARCH("Mid",Q20)))</formula>
    </cfRule>
    <cfRule type="containsText" dxfId="2506" priority="2483" operator="containsText" text="Large">
      <formula>NOT(ISERROR(SEARCH("Large",Q20)))</formula>
    </cfRule>
  </conditionalFormatting>
  <conditionalFormatting sqref="Q20">
    <cfRule type="containsText" dxfId="2505" priority="2478" operator="containsText" text="Small">
      <formula>NOT(ISERROR(SEARCH("Small",Q20)))</formula>
    </cfRule>
    <cfRule type="containsText" dxfId="2504" priority="2479" operator="containsText" text="Mid">
      <formula>NOT(ISERROR(SEARCH("Mid",Q20)))</formula>
    </cfRule>
    <cfRule type="containsText" dxfId="2503" priority="2480" operator="containsText" text="Large">
      <formula>NOT(ISERROR(SEARCH("Large",Q20)))</formula>
    </cfRule>
  </conditionalFormatting>
  <conditionalFormatting sqref="Q20">
    <cfRule type="containsText" dxfId="2502" priority="2475" operator="containsText" text="Small">
      <formula>NOT(ISERROR(SEARCH("Small",Q20)))</formula>
    </cfRule>
    <cfRule type="containsText" dxfId="2501" priority="2476" operator="containsText" text="Mid">
      <formula>NOT(ISERROR(SEARCH("Mid",Q20)))</formula>
    </cfRule>
    <cfRule type="containsText" dxfId="2500" priority="2477" operator="containsText" text="Large">
      <formula>NOT(ISERROR(SEARCH("Large",Q20)))</formula>
    </cfRule>
  </conditionalFormatting>
  <conditionalFormatting sqref="Q20">
    <cfRule type="containsText" dxfId="2499" priority="2472" operator="containsText" text="Small">
      <formula>NOT(ISERROR(SEARCH("Small",Q20)))</formula>
    </cfRule>
    <cfRule type="containsText" dxfId="2498" priority="2473" operator="containsText" text="Mid">
      <formula>NOT(ISERROR(SEARCH("Mid",Q20)))</formula>
    </cfRule>
    <cfRule type="containsText" dxfId="2497" priority="2474" operator="containsText" text="Large">
      <formula>NOT(ISERROR(SEARCH("Large",Q20)))</formula>
    </cfRule>
  </conditionalFormatting>
  <conditionalFormatting sqref="Q20">
    <cfRule type="containsText" dxfId="2496" priority="2469" operator="containsText" text="Small">
      <formula>NOT(ISERROR(SEARCH("Small",Q20)))</formula>
    </cfRule>
    <cfRule type="containsText" dxfId="2495" priority="2470" operator="containsText" text="Mid">
      <formula>NOT(ISERROR(SEARCH("Mid",Q20)))</formula>
    </cfRule>
    <cfRule type="containsText" dxfId="2494" priority="2471" operator="containsText" text="Large">
      <formula>NOT(ISERROR(SEARCH("Large",Q20)))</formula>
    </cfRule>
  </conditionalFormatting>
  <conditionalFormatting sqref="Q20">
    <cfRule type="containsText" dxfId="2493" priority="2466" operator="containsText" text="Small">
      <formula>NOT(ISERROR(SEARCH("Small",Q20)))</formula>
    </cfRule>
    <cfRule type="containsText" dxfId="2492" priority="2467" operator="containsText" text="Mid">
      <formula>NOT(ISERROR(SEARCH("Mid",Q20)))</formula>
    </cfRule>
    <cfRule type="containsText" dxfId="2491" priority="2468" operator="containsText" text="Large">
      <formula>NOT(ISERROR(SEARCH("Large",Q20)))</formula>
    </cfRule>
  </conditionalFormatting>
  <conditionalFormatting sqref="Q20">
    <cfRule type="containsText" dxfId="2490" priority="2463" operator="containsText" text="Small">
      <formula>NOT(ISERROR(SEARCH("Small",Q20)))</formula>
    </cfRule>
    <cfRule type="containsText" dxfId="2489" priority="2464" operator="containsText" text="Mid">
      <formula>NOT(ISERROR(SEARCH("Mid",Q20)))</formula>
    </cfRule>
    <cfRule type="containsText" dxfId="2488" priority="2465" operator="containsText" text="Large">
      <formula>NOT(ISERROR(SEARCH("Large",Q20)))</formula>
    </cfRule>
  </conditionalFormatting>
  <conditionalFormatting sqref="Q20">
    <cfRule type="containsText" dxfId="2487" priority="2460" operator="containsText" text="Small">
      <formula>NOT(ISERROR(SEARCH("Small",Q20)))</formula>
    </cfRule>
    <cfRule type="containsText" dxfId="2486" priority="2461" operator="containsText" text="Mid">
      <formula>NOT(ISERROR(SEARCH("Mid",Q20)))</formula>
    </cfRule>
    <cfRule type="containsText" dxfId="2485" priority="2462" operator="containsText" text="Large">
      <formula>NOT(ISERROR(SEARCH("Large",Q20)))</formula>
    </cfRule>
  </conditionalFormatting>
  <conditionalFormatting sqref="Q20">
    <cfRule type="containsText" dxfId="2484" priority="2457" operator="containsText" text="Small">
      <formula>NOT(ISERROR(SEARCH("Small",Q20)))</formula>
    </cfRule>
    <cfRule type="containsText" dxfId="2483" priority="2458" operator="containsText" text="Mid">
      <formula>NOT(ISERROR(SEARCH("Mid",Q20)))</formula>
    </cfRule>
    <cfRule type="containsText" dxfId="2482" priority="2459" operator="containsText" text="Large">
      <formula>NOT(ISERROR(SEARCH("Large",Q20)))</formula>
    </cfRule>
  </conditionalFormatting>
  <conditionalFormatting sqref="Q20">
    <cfRule type="containsText" dxfId="2481" priority="2454" operator="containsText" text="Small">
      <formula>NOT(ISERROR(SEARCH("Small",Q20)))</formula>
    </cfRule>
    <cfRule type="containsText" dxfId="2480" priority="2455" operator="containsText" text="Mid">
      <formula>NOT(ISERROR(SEARCH("Mid",Q20)))</formula>
    </cfRule>
    <cfRule type="containsText" dxfId="2479" priority="2456" operator="containsText" text="Large">
      <formula>NOT(ISERROR(SEARCH("Large",Q20)))</formula>
    </cfRule>
  </conditionalFormatting>
  <conditionalFormatting sqref="Q20">
    <cfRule type="containsText" dxfId="2478" priority="2451" operator="containsText" text="Small">
      <formula>NOT(ISERROR(SEARCH("Small",Q20)))</formula>
    </cfRule>
    <cfRule type="containsText" dxfId="2477" priority="2452" operator="containsText" text="Mid">
      <formula>NOT(ISERROR(SEARCH("Mid",Q20)))</formula>
    </cfRule>
    <cfRule type="containsText" dxfId="2476" priority="2453" operator="containsText" text="Large">
      <formula>NOT(ISERROR(SEARCH("Large",Q20)))</formula>
    </cfRule>
  </conditionalFormatting>
  <conditionalFormatting sqref="Q20">
    <cfRule type="containsText" dxfId="2475" priority="2448" operator="containsText" text="Small">
      <formula>NOT(ISERROR(SEARCH("Small",Q20)))</formula>
    </cfRule>
    <cfRule type="containsText" dxfId="2474" priority="2449" operator="containsText" text="Mid">
      <formula>NOT(ISERROR(SEARCH("Mid",Q20)))</formula>
    </cfRule>
    <cfRule type="containsText" dxfId="2473" priority="2450" operator="containsText" text="Large">
      <formula>NOT(ISERROR(SEARCH("Large",Q20)))</formula>
    </cfRule>
  </conditionalFormatting>
  <conditionalFormatting sqref="Q20">
    <cfRule type="containsText" dxfId="2472" priority="2445" operator="containsText" text="Small">
      <formula>NOT(ISERROR(SEARCH("Small",Q20)))</formula>
    </cfRule>
    <cfRule type="containsText" dxfId="2471" priority="2446" operator="containsText" text="Mid">
      <formula>NOT(ISERROR(SEARCH("Mid",Q20)))</formula>
    </cfRule>
    <cfRule type="containsText" dxfId="2470" priority="2447" operator="containsText" text="Large">
      <formula>NOT(ISERROR(SEARCH("Large",Q20)))</formula>
    </cfRule>
  </conditionalFormatting>
  <conditionalFormatting sqref="Q20">
    <cfRule type="containsText" dxfId="2469" priority="2442" operator="containsText" text="Small">
      <formula>NOT(ISERROR(SEARCH("Small",Q20)))</formula>
    </cfRule>
    <cfRule type="containsText" dxfId="2468" priority="2443" operator="containsText" text="Mid">
      <formula>NOT(ISERROR(SEARCH("Mid",Q20)))</formula>
    </cfRule>
    <cfRule type="containsText" dxfId="2467" priority="2444" operator="containsText" text="Large">
      <formula>NOT(ISERROR(SEARCH("Large",Q20)))</formula>
    </cfRule>
  </conditionalFormatting>
  <conditionalFormatting sqref="Q20">
    <cfRule type="containsText" dxfId="2466" priority="2439" operator="containsText" text="Small">
      <formula>NOT(ISERROR(SEARCH("Small",Q20)))</formula>
    </cfRule>
    <cfRule type="containsText" dxfId="2465" priority="2440" operator="containsText" text="Mid">
      <formula>NOT(ISERROR(SEARCH("Mid",Q20)))</formula>
    </cfRule>
    <cfRule type="containsText" dxfId="2464" priority="2441" operator="containsText" text="Large">
      <formula>NOT(ISERROR(SEARCH("Large",Q20)))</formula>
    </cfRule>
  </conditionalFormatting>
  <conditionalFormatting sqref="Q34">
    <cfRule type="containsText" dxfId="2463" priority="2436" operator="containsText" text="Small">
      <formula>NOT(ISERROR(SEARCH("Small",Q34)))</formula>
    </cfRule>
    <cfRule type="containsText" dxfId="2462" priority="2437" operator="containsText" text="Mid">
      <formula>NOT(ISERROR(SEARCH("Mid",Q34)))</formula>
    </cfRule>
    <cfRule type="containsText" dxfId="2461" priority="2438" operator="containsText" text="Large">
      <formula>NOT(ISERROR(SEARCH("Large",Q34)))</formula>
    </cfRule>
  </conditionalFormatting>
  <conditionalFormatting sqref="Q48">
    <cfRule type="containsText" dxfId="2460" priority="2433" operator="containsText" text="Small">
      <formula>NOT(ISERROR(SEARCH("Small",Q48)))</formula>
    </cfRule>
    <cfRule type="containsText" dxfId="2459" priority="2434" operator="containsText" text="Mid">
      <formula>NOT(ISERROR(SEARCH("Mid",Q48)))</formula>
    </cfRule>
    <cfRule type="containsText" dxfId="2458" priority="2435" operator="containsText" text="Large">
      <formula>NOT(ISERROR(SEARCH("Large",Q48)))</formula>
    </cfRule>
  </conditionalFormatting>
  <conditionalFormatting sqref="Q34">
    <cfRule type="containsText" dxfId="2457" priority="2430" operator="containsText" text="Small">
      <formula>NOT(ISERROR(SEARCH("Small",Q34)))</formula>
    </cfRule>
    <cfRule type="containsText" dxfId="2456" priority="2431" operator="containsText" text="Mid">
      <formula>NOT(ISERROR(SEARCH("Mid",Q34)))</formula>
    </cfRule>
    <cfRule type="containsText" dxfId="2455" priority="2432" operator="containsText" text="Large">
      <formula>NOT(ISERROR(SEARCH("Large",Q34)))</formula>
    </cfRule>
  </conditionalFormatting>
  <conditionalFormatting sqref="Q48">
    <cfRule type="containsText" dxfId="2454" priority="2427" operator="containsText" text="Small">
      <formula>NOT(ISERROR(SEARCH("Small",Q48)))</formula>
    </cfRule>
    <cfRule type="containsText" dxfId="2453" priority="2428" operator="containsText" text="Mid">
      <formula>NOT(ISERROR(SEARCH("Mid",Q48)))</formula>
    </cfRule>
    <cfRule type="containsText" dxfId="2452" priority="2429" operator="containsText" text="Large">
      <formula>NOT(ISERROR(SEARCH("Large",Q48)))</formula>
    </cfRule>
  </conditionalFormatting>
  <conditionalFormatting sqref="Q48">
    <cfRule type="containsText" dxfId="2451" priority="2424" operator="containsText" text="Small">
      <formula>NOT(ISERROR(SEARCH("Small",Q48)))</formula>
    </cfRule>
    <cfRule type="containsText" dxfId="2450" priority="2425" operator="containsText" text="Mid">
      <formula>NOT(ISERROR(SEARCH("Mid",Q48)))</formula>
    </cfRule>
    <cfRule type="containsText" dxfId="2449" priority="2426" operator="containsText" text="Large">
      <formula>NOT(ISERROR(SEARCH("Large",Q48)))</formula>
    </cfRule>
  </conditionalFormatting>
  <conditionalFormatting sqref="Q62">
    <cfRule type="containsText" dxfId="2448" priority="2421" operator="containsText" text="Small">
      <formula>NOT(ISERROR(SEARCH("Small",Q62)))</formula>
    </cfRule>
    <cfRule type="containsText" dxfId="2447" priority="2422" operator="containsText" text="Mid">
      <formula>NOT(ISERROR(SEARCH("Mid",Q62)))</formula>
    </cfRule>
    <cfRule type="containsText" dxfId="2446" priority="2423" operator="containsText" text="Large">
      <formula>NOT(ISERROR(SEARCH("Large",Q62)))</formula>
    </cfRule>
  </conditionalFormatting>
  <conditionalFormatting sqref="Q62">
    <cfRule type="containsText" dxfId="2445" priority="2418" operator="containsText" text="Small">
      <formula>NOT(ISERROR(SEARCH("Small",Q62)))</formula>
    </cfRule>
    <cfRule type="containsText" dxfId="2444" priority="2419" operator="containsText" text="Mid">
      <formula>NOT(ISERROR(SEARCH("Mid",Q62)))</formula>
    </cfRule>
    <cfRule type="containsText" dxfId="2443" priority="2420" operator="containsText" text="Large">
      <formula>NOT(ISERROR(SEARCH("Large",Q62)))</formula>
    </cfRule>
  </conditionalFormatting>
  <conditionalFormatting sqref="Q62">
    <cfRule type="containsText" dxfId="2442" priority="2415" operator="containsText" text="Small">
      <formula>NOT(ISERROR(SEARCH("Small",Q62)))</formula>
    </cfRule>
    <cfRule type="containsText" dxfId="2441" priority="2416" operator="containsText" text="Mid">
      <formula>NOT(ISERROR(SEARCH("Mid",Q62)))</formula>
    </cfRule>
    <cfRule type="containsText" dxfId="2440" priority="2417" operator="containsText" text="Large">
      <formula>NOT(ISERROR(SEARCH("Large",Q62)))</formula>
    </cfRule>
  </conditionalFormatting>
  <conditionalFormatting sqref="Q34">
    <cfRule type="containsText" dxfId="2439" priority="2412" operator="containsText" text="Small">
      <formula>NOT(ISERROR(SEARCH("Small",Q34)))</formula>
    </cfRule>
    <cfRule type="containsText" dxfId="2438" priority="2413" operator="containsText" text="Mid">
      <formula>NOT(ISERROR(SEARCH("Mid",Q34)))</formula>
    </cfRule>
    <cfRule type="containsText" dxfId="2437" priority="2414" operator="containsText" text="Large">
      <formula>NOT(ISERROR(SEARCH("Large",Q34)))</formula>
    </cfRule>
  </conditionalFormatting>
  <conditionalFormatting sqref="Q48">
    <cfRule type="containsText" dxfId="2436" priority="2409" operator="containsText" text="Small">
      <formula>NOT(ISERROR(SEARCH("Small",Q48)))</formula>
    </cfRule>
    <cfRule type="containsText" dxfId="2435" priority="2410" operator="containsText" text="Mid">
      <formula>NOT(ISERROR(SEARCH("Mid",Q48)))</formula>
    </cfRule>
    <cfRule type="containsText" dxfId="2434" priority="2411" operator="containsText" text="Large">
      <formula>NOT(ISERROR(SEARCH("Large",Q48)))</formula>
    </cfRule>
  </conditionalFormatting>
  <conditionalFormatting sqref="Q48">
    <cfRule type="containsText" dxfId="2433" priority="2406" operator="containsText" text="Small">
      <formula>NOT(ISERROR(SEARCH("Small",Q48)))</formula>
    </cfRule>
    <cfRule type="containsText" dxfId="2432" priority="2407" operator="containsText" text="Mid">
      <formula>NOT(ISERROR(SEARCH("Mid",Q48)))</formula>
    </cfRule>
    <cfRule type="containsText" dxfId="2431" priority="2408" operator="containsText" text="Large">
      <formula>NOT(ISERROR(SEARCH("Large",Q48)))</formula>
    </cfRule>
  </conditionalFormatting>
  <conditionalFormatting sqref="Q48">
    <cfRule type="containsText" dxfId="2430" priority="2403" operator="containsText" text="Small">
      <formula>NOT(ISERROR(SEARCH("Small",Q48)))</formula>
    </cfRule>
    <cfRule type="containsText" dxfId="2429" priority="2404" operator="containsText" text="Mid">
      <formula>NOT(ISERROR(SEARCH("Mid",Q48)))</formula>
    </cfRule>
    <cfRule type="containsText" dxfId="2428" priority="2405" operator="containsText" text="Large">
      <formula>NOT(ISERROR(SEARCH("Large",Q48)))</formula>
    </cfRule>
  </conditionalFormatting>
  <conditionalFormatting sqref="Q62">
    <cfRule type="containsText" dxfId="2427" priority="2400" operator="containsText" text="Small">
      <formula>NOT(ISERROR(SEARCH("Small",Q62)))</formula>
    </cfRule>
    <cfRule type="containsText" dxfId="2426" priority="2401" operator="containsText" text="Mid">
      <formula>NOT(ISERROR(SEARCH("Mid",Q62)))</formula>
    </cfRule>
    <cfRule type="containsText" dxfId="2425" priority="2402" operator="containsText" text="Large">
      <formula>NOT(ISERROR(SEARCH("Large",Q62)))</formula>
    </cfRule>
  </conditionalFormatting>
  <conditionalFormatting sqref="Q62">
    <cfRule type="containsText" dxfId="2424" priority="2397" operator="containsText" text="Small">
      <formula>NOT(ISERROR(SEARCH("Small",Q62)))</formula>
    </cfRule>
    <cfRule type="containsText" dxfId="2423" priority="2398" operator="containsText" text="Mid">
      <formula>NOT(ISERROR(SEARCH("Mid",Q62)))</formula>
    </cfRule>
    <cfRule type="containsText" dxfId="2422" priority="2399" operator="containsText" text="Large">
      <formula>NOT(ISERROR(SEARCH("Large",Q62)))</formula>
    </cfRule>
  </conditionalFormatting>
  <conditionalFormatting sqref="Q62">
    <cfRule type="containsText" dxfId="2421" priority="2394" operator="containsText" text="Small">
      <formula>NOT(ISERROR(SEARCH("Small",Q62)))</formula>
    </cfRule>
    <cfRule type="containsText" dxfId="2420" priority="2395" operator="containsText" text="Mid">
      <formula>NOT(ISERROR(SEARCH("Mid",Q62)))</formula>
    </cfRule>
    <cfRule type="containsText" dxfId="2419" priority="2396" operator="containsText" text="Large">
      <formula>NOT(ISERROR(SEARCH("Large",Q62)))</formula>
    </cfRule>
  </conditionalFormatting>
  <conditionalFormatting sqref="Q62">
    <cfRule type="containsText" dxfId="2418" priority="2391" operator="containsText" text="Small">
      <formula>NOT(ISERROR(SEARCH("Small",Q62)))</formula>
    </cfRule>
    <cfRule type="containsText" dxfId="2417" priority="2392" operator="containsText" text="Mid">
      <formula>NOT(ISERROR(SEARCH("Mid",Q62)))</formula>
    </cfRule>
    <cfRule type="containsText" dxfId="2416" priority="2393" operator="containsText" text="Large">
      <formula>NOT(ISERROR(SEARCH("Large",Q62)))</formula>
    </cfRule>
  </conditionalFormatting>
  <conditionalFormatting sqref="Q62">
    <cfRule type="containsText" dxfId="2415" priority="2388" operator="containsText" text="Small">
      <formula>NOT(ISERROR(SEARCH("Small",Q62)))</formula>
    </cfRule>
    <cfRule type="containsText" dxfId="2414" priority="2389" operator="containsText" text="Mid">
      <formula>NOT(ISERROR(SEARCH("Mid",Q62)))</formula>
    </cfRule>
    <cfRule type="containsText" dxfId="2413" priority="2390" operator="containsText" text="Large">
      <formula>NOT(ISERROR(SEARCH("Large",Q62)))</formula>
    </cfRule>
  </conditionalFormatting>
  <conditionalFormatting sqref="Q62">
    <cfRule type="containsText" dxfId="2412" priority="2385" operator="containsText" text="Small">
      <formula>NOT(ISERROR(SEARCH("Small",Q62)))</formula>
    </cfRule>
    <cfRule type="containsText" dxfId="2411" priority="2386" operator="containsText" text="Mid">
      <formula>NOT(ISERROR(SEARCH("Mid",Q62)))</formula>
    </cfRule>
    <cfRule type="containsText" dxfId="2410" priority="2387" operator="containsText" text="Large">
      <formula>NOT(ISERROR(SEARCH("Large",Q62)))</formula>
    </cfRule>
  </conditionalFormatting>
  <conditionalFormatting sqref="Q34">
    <cfRule type="containsText" dxfId="2409" priority="2382" operator="containsText" text="Small">
      <formula>NOT(ISERROR(SEARCH("Small",Q34)))</formula>
    </cfRule>
    <cfRule type="containsText" dxfId="2408" priority="2383" operator="containsText" text="Mid">
      <formula>NOT(ISERROR(SEARCH("Mid",Q34)))</formula>
    </cfRule>
    <cfRule type="containsText" dxfId="2407" priority="2384" operator="containsText" text="Large">
      <formula>NOT(ISERROR(SEARCH("Large",Q34)))</formula>
    </cfRule>
  </conditionalFormatting>
  <conditionalFormatting sqref="Q48">
    <cfRule type="containsText" dxfId="2406" priority="2379" operator="containsText" text="Small">
      <formula>NOT(ISERROR(SEARCH("Small",Q48)))</formula>
    </cfRule>
    <cfRule type="containsText" dxfId="2405" priority="2380" operator="containsText" text="Mid">
      <formula>NOT(ISERROR(SEARCH("Mid",Q48)))</formula>
    </cfRule>
    <cfRule type="containsText" dxfId="2404" priority="2381" operator="containsText" text="Large">
      <formula>NOT(ISERROR(SEARCH("Large",Q48)))</formula>
    </cfRule>
  </conditionalFormatting>
  <conditionalFormatting sqref="Q48">
    <cfRule type="containsText" dxfId="2403" priority="2376" operator="containsText" text="Small">
      <formula>NOT(ISERROR(SEARCH("Small",Q48)))</formula>
    </cfRule>
    <cfRule type="containsText" dxfId="2402" priority="2377" operator="containsText" text="Mid">
      <formula>NOT(ISERROR(SEARCH("Mid",Q48)))</formula>
    </cfRule>
    <cfRule type="containsText" dxfId="2401" priority="2378" operator="containsText" text="Large">
      <formula>NOT(ISERROR(SEARCH("Large",Q48)))</formula>
    </cfRule>
  </conditionalFormatting>
  <conditionalFormatting sqref="Q48">
    <cfRule type="containsText" dxfId="2400" priority="2373" operator="containsText" text="Small">
      <formula>NOT(ISERROR(SEARCH("Small",Q48)))</formula>
    </cfRule>
    <cfRule type="containsText" dxfId="2399" priority="2374" operator="containsText" text="Mid">
      <formula>NOT(ISERROR(SEARCH("Mid",Q48)))</formula>
    </cfRule>
    <cfRule type="containsText" dxfId="2398" priority="2375" operator="containsText" text="Large">
      <formula>NOT(ISERROR(SEARCH("Large",Q48)))</formula>
    </cfRule>
  </conditionalFormatting>
  <conditionalFormatting sqref="Q48">
    <cfRule type="containsText" dxfId="2397" priority="2370" operator="containsText" text="Small">
      <formula>NOT(ISERROR(SEARCH("Small",Q48)))</formula>
    </cfRule>
    <cfRule type="containsText" dxfId="2396" priority="2371" operator="containsText" text="Mid">
      <formula>NOT(ISERROR(SEARCH("Mid",Q48)))</formula>
    </cfRule>
    <cfRule type="containsText" dxfId="2395" priority="2372" operator="containsText" text="Large">
      <formula>NOT(ISERROR(SEARCH("Large",Q48)))</formula>
    </cfRule>
  </conditionalFormatting>
  <conditionalFormatting sqref="Q62">
    <cfRule type="containsText" dxfId="2394" priority="2367" operator="containsText" text="Small">
      <formula>NOT(ISERROR(SEARCH("Small",Q62)))</formula>
    </cfRule>
    <cfRule type="containsText" dxfId="2393" priority="2368" operator="containsText" text="Mid">
      <formula>NOT(ISERROR(SEARCH("Mid",Q62)))</formula>
    </cfRule>
    <cfRule type="containsText" dxfId="2392" priority="2369" operator="containsText" text="Large">
      <formula>NOT(ISERROR(SEARCH("Large",Q62)))</formula>
    </cfRule>
  </conditionalFormatting>
  <conditionalFormatting sqref="Q62">
    <cfRule type="containsText" dxfId="2391" priority="2364" operator="containsText" text="Small">
      <formula>NOT(ISERROR(SEARCH("Small",Q62)))</formula>
    </cfRule>
    <cfRule type="containsText" dxfId="2390" priority="2365" operator="containsText" text="Mid">
      <formula>NOT(ISERROR(SEARCH("Mid",Q62)))</formula>
    </cfRule>
    <cfRule type="containsText" dxfId="2389" priority="2366" operator="containsText" text="Large">
      <formula>NOT(ISERROR(SEARCH("Large",Q62)))</formula>
    </cfRule>
  </conditionalFormatting>
  <conditionalFormatting sqref="Q62">
    <cfRule type="containsText" dxfId="2388" priority="2361" operator="containsText" text="Small">
      <formula>NOT(ISERROR(SEARCH("Small",Q62)))</formula>
    </cfRule>
    <cfRule type="containsText" dxfId="2387" priority="2362" operator="containsText" text="Mid">
      <formula>NOT(ISERROR(SEARCH("Mid",Q62)))</formula>
    </cfRule>
    <cfRule type="containsText" dxfId="2386" priority="2363" operator="containsText" text="Large">
      <formula>NOT(ISERROR(SEARCH("Large",Q62)))</formula>
    </cfRule>
  </conditionalFormatting>
  <conditionalFormatting sqref="Q62">
    <cfRule type="containsText" dxfId="2385" priority="2358" operator="containsText" text="Small">
      <formula>NOT(ISERROR(SEARCH("Small",Q62)))</formula>
    </cfRule>
    <cfRule type="containsText" dxfId="2384" priority="2359" operator="containsText" text="Mid">
      <formula>NOT(ISERROR(SEARCH("Mid",Q62)))</formula>
    </cfRule>
    <cfRule type="containsText" dxfId="2383" priority="2360" operator="containsText" text="Large">
      <formula>NOT(ISERROR(SEARCH("Large",Q62)))</formula>
    </cfRule>
  </conditionalFormatting>
  <conditionalFormatting sqref="Q62">
    <cfRule type="containsText" dxfId="2382" priority="2355" operator="containsText" text="Small">
      <formula>NOT(ISERROR(SEARCH("Small",Q62)))</formula>
    </cfRule>
    <cfRule type="containsText" dxfId="2381" priority="2356" operator="containsText" text="Mid">
      <formula>NOT(ISERROR(SEARCH("Mid",Q62)))</formula>
    </cfRule>
    <cfRule type="containsText" dxfId="2380" priority="2357" operator="containsText" text="Large">
      <formula>NOT(ISERROR(SEARCH("Large",Q62)))</formula>
    </cfRule>
  </conditionalFormatting>
  <conditionalFormatting sqref="Q62">
    <cfRule type="containsText" dxfId="2379" priority="2352" operator="containsText" text="Small">
      <formula>NOT(ISERROR(SEARCH("Small",Q62)))</formula>
    </cfRule>
    <cfRule type="containsText" dxfId="2378" priority="2353" operator="containsText" text="Mid">
      <formula>NOT(ISERROR(SEARCH("Mid",Q62)))</formula>
    </cfRule>
    <cfRule type="containsText" dxfId="2377" priority="2354" operator="containsText" text="Large">
      <formula>NOT(ISERROR(SEARCH("Large",Q62)))</formula>
    </cfRule>
  </conditionalFormatting>
  <conditionalFormatting sqref="Q62">
    <cfRule type="containsText" dxfId="2376" priority="2349" operator="containsText" text="Small">
      <formula>NOT(ISERROR(SEARCH("Small",Q62)))</formula>
    </cfRule>
    <cfRule type="containsText" dxfId="2375" priority="2350" operator="containsText" text="Mid">
      <formula>NOT(ISERROR(SEARCH("Mid",Q62)))</formula>
    </cfRule>
    <cfRule type="containsText" dxfId="2374" priority="2351" operator="containsText" text="Large">
      <formula>NOT(ISERROR(SEARCH("Large",Q62)))</formula>
    </cfRule>
  </conditionalFormatting>
  <conditionalFormatting sqref="Q62">
    <cfRule type="containsText" dxfId="2373" priority="2346" operator="containsText" text="Small">
      <formula>NOT(ISERROR(SEARCH("Small",Q62)))</formula>
    </cfRule>
    <cfRule type="containsText" dxfId="2372" priority="2347" operator="containsText" text="Mid">
      <formula>NOT(ISERROR(SEARCH("Mid",Q62)))</formula>
    </cfRule>
    <cfRule type="containsText" dxfId="2371" priority="2348" operator="containsText" text="Large">
      <formula>NOT(ISERROR(SEARCH("Large",Q62)))</formula>
    </cfRule>
  </conditionalFormatting>
  <conditionalFormatting sqref="Q62">
    <cfRule type="containsText" dxfId="2370" priority="2343" operator="containsText" text="Small">
      <formula>NOT(ISERROR(SEARCH("Small",Q62)))</formula>
    </cfRule>
    <cfRule type="containsText" dxfId="2369" priority="2344" operator="containsText" text="Mid">
      <formula>NOT(ISERROR(SEARCH("Mid",Q62)))</formula>
    </cfRule>
    <cfRule type="containsText" dxfId="2368" priority="2345" operator="containsText" text="Large">
      <formula>NOT(ISERROR(SEARCH("Large",Q62)))</formula>
    </cfRule>
  </conditionalFormatting>
  <conditionalFormatting sqref="Q62">
    <cfRule type="containsText" dxfId="2367" priority="2340" operator="containsText" text="Small">
      <formula>NOT(ISERROR(SEARCH("Small",Q62)))</formula>
    </cfRule>
    <cfRule type="containsText" dxfId="2366" priority="2341" operator="containsText" text="Mid">
      <formula>NOT(ISERROR(SEARCH("Mid",Q62)))</formula>
    </cfRule>
    <cfRule type="containsText" dxfId="2365" priority="2342" operator="containsText" text="Large">
      <formula>NOT(ISERROR(SEARCH("Large",Q62)))</formula>
    </cfRule>
  </conditionalFormatting>
  <conditionalFormatting sqref="X62">
    <cfRule type="containsText" dxfId="2364" priority="2339" operator="containsText" text="No Cap">
      <formula>NOT(ISERROR(SEARCH("No Cap",X62)))</formula>
    </cfRule>
  </conditionalFormatting>
  <conditionalFormatting sqref="X20">
    <cfRule type="containsText" dxfId="2363" priority="2336" operator="containsText" text="Small">
      <formula>NOT(ISERROR(SEARCH("Small",X20)))</formula>
    </cfRule>
    <cfRule type="containsText" dxfId="2362" priority="2337" operator="containsText" text="Mid">
      <formula>NOT(ISERROR(SEARCH("Mid",X20)))</formula>
    </cfRule>
    <cfRule type="containsText" dxfId="2361" priority="2338" operator="containsText" text="Large">
      <formula>NOT(ISERROR(SEARCH("Large",X20)))</formula>
    </cfRule>
  </conditionalFormatting>
  <conditionalFormatting sqref="X20">
    <cfRule type="containsText" dxfId="2360" priority="2333" operator="containsText" text="Small">
      <formula>NOT(ISERROR(SEARCH("Small",X20)))</formula>
    </cfRule>
    <cfRule type="containsText" dxfId="2359" priority="2334" operator="containsText" text="Mid">
      <formula>NOT(ISERROR(SEARCH("Mid",X20)))</formula>
    </cfRule>
    <cfRule type="containsText" dxfId="2358" priority="2335" operator="containsText" text="Large">
      <formula>NOT(ISERROR(SEARCH("Large",X20)))</formula>
    </cfRule>
  </conditionalFormatting>
  <conditionalFormatting sqref="X20">
    <cfRule type="containsText" dxfId="2357" priority="2330" operator="containsText" text="Small">
      <formula>NOT(ISERROR(SEARCH("Small",X20)))</formula>
    </cfRule>
    <cfRule type="containsText" dxfId="2356" priority="2331" operator="containsText" text="Mid">
      <formula>NOT(ISERROR(SEARCH("Mid",X20)))</formula>
    </cfRule>
    <cfRule type="containsText" dxfId="2355" priority="2332" operator="containsText" text="Large">
      <formula>NOT(ISERROR(SEARCH("Large",X20)))</formula>
    </cfRule>
  </conditionalFormatting>
  <conditionalFormatting sqref="X34">
    <cfRule type="containsText" dxfId="2354" priority="2327" operator="containsText" text="Small">
      <formula>NOT(ISERROR(SEARCH("Small",X34)))</formula>
    </cfRule>
    <cfRule type="containsText" dxfId="2353" priority="2328" operator="containsText" text="Mid">
      <formula>NOT(ISERROR(SEARCH("Mid",X34)))</formula>
    </cfRule>
    <cfRule type="containsText" dxfId="2352" priority="2329" operator="containsText" text="Large">
      <formula>NOT(ISERROR(SEARCH("Large",X34)))</formula>
    </cfRule>
  </conditionalFormatting>
  <conditionalFormatting sqref="X34">
    <cfRule type="containsText" dxfId="2351" priority="2324" operator="containsText" text="Small">
      <formula>NOT(ISERROR(SEARCH("Small",X34)))</formula>
    </cfRule>
    <cfRule type="containsText" dxfId="2350" priority="2325" operator="containsText" text="Mid">
      <formula>NOT(ISERROR(SEARCH("Mid",X34)))</formula>
    </cfRule>
    <cfRule type="containsText" dxfId="2349" priority="2326" operator="containsText" text="Large">
      <formula>NOT(ISERROR(SEARCH("Large",X34)))</formula>
    </cfRule>
  </conditionalFormatting>
  <conditionalFormatting sqref="X34">
    <cfRule type="containsText" dxfId="2348" priority="2321" operator="containsText" text="Small">
      <formula>NOT(ISERROR(SEARCH("Small",X34)))</formula>
    </cfRule>
    <cfRule type="containsText" dxfId="2347" priority="2322" operator="containsText" text="Mid">
      <formula>NOT(ISERROR(SEARCH("Mid",X34)))</formula>
    </cfRule>
    <cfRule type="containsText" dxfId="2346" priority="2323" operator="containsText" text="Large">
      <formula>NOT(ISERROR(SEARCH("Large",X34)))</formula>
    </cfRule>
  </conditionalFormatting>
  <conditionalFormatting sqref="X48">
    <cfRule type="containsText" dxfId="2345" priority="2318" operator="containsText" text="Small">
      <formula>NOT(ISERROR(SEARCH("Small",X48)))</formula>
    </cfRule>
    <cfRule type="containsText" dxfId="2344" priority="2319" operator="containsText" text="Mid">
      <formula>NOT(ISERROR(SEARCH("Mid",X48)))</formula>
    </cfRule>
    <cfRule type="containsText" dxfId="2343" priority="2320" operator="containsText" text="Large">
      <formula>NOT(ISERROR(SEARCH("Large",X48)))</formula>
    </cfRule>
  </conditionalFormatting>
  <conditionalFormatting sqref="X48">
    <cfRule type="containsText" dxfId="2342" priority="2315" operator="containsText" text="Small">
      <formula>NOT(ISERROR(SEARCH("Small",X48)))</formula>
    </cfRule>
    <cfRule type="containsText" dxfId="2341" priority="2316" operator="containsText" text="Mid">
      <formula>NOT(ISERROR(SEARCH("Mid",X48)))</formula>
    </cfRule>
    <cfRule type="containsText" dxfId="2340" priority="2317" operator="containsText" text="Large">
      <formula>NOT(ISERROR(SEARCH("Large",X48)))</formula>
    </cfRule>
  </conditionalFormatting>
  <conditionalFormatting sqref="X48">
    <cfRule type="containsText" dxfId="2339" priority="2312" operator="containsText" text="Small">
      <formula>NOT(ISERROR(SEARCH("Small",X48)))</formula>
    </cfRule>
    <cfRule type="containsText" dxfId="2338" priority="2313" operator="containsText" text="Mid">
      <formula>NOT(ISERROR(SEARCH("Mid",X48)))</formula>
    </cfRule>
    <cfRule type="containsText" dxfId="2337" priority="2314" operator="containsText" text="Large">
      <formula>NOT(ISERROR(SEARCH("Large",X48)))</formula>
    </cfRule>
  </conditionalFormatting>
  <conditionalFormatting sqref="X62">
    <cfRule type="containsText" dxfId="2336" priority="2311" operator="containsText" text="No Cap">
      <formula>NOT(ISERROR(SEARCH("No Cap",X62)))</formula>
    </cfRule>
  </conditionalFormatting>
  <conditionalFormatting sqref="X62">
    <cfRule type="containsText" dxfId="2335" priority="2308" operator="containsText" text="Small">
      <formula>NOT(ISERROR(SEARCH("Small",X62)))</formula>
    </cfRule>
    <cfRule type="containsText" dxfId="2334" priority="2309" operator="containsText" text="Mid">
      <formula>NOT(ISERROR(SEARCH("Mid",X62)))</formula>
    </cfRule>
    <cfRule type="containsText" dxfId="2333" priority="2310" operator="containsText" text="Large">
      <formula>NOT(ISERROR(SEARCH("Large",X62)))</formula>
    </cfRule>
  </conditionalFormatting>
  <conditionalFormatting sqref="X62">
    <cfRule type="containsText" dxfId="2332" priority="2305" operator="containsText" text="Small">
      <formula>NOT(ISERROR(SEARCH("Small",X62)))</formula>
    </cfRule>
    <cfRule type="containsText" dxfId="2331" priority="2306" operator="containsText" text="Mid">
      <formula>NOT(ISERROR(SEARCH("Mid",X62)))</formula>
    </cfRule>
    <cfRule type="containsText" dxfId="2330" priority="2307" operator="containsText" text="Large">
      <formula>NOT(ISERROR(SEARCH("Large",X62)))</formula>
    </cfRule>
  </conditionalFormatting>
  <conditionalFormatting sqref="X62">
    <cfRule type="containsText" dxfId="2329" priority="2302" operator="containsText" text="Small">
      <formula>NOT(ISERROR(SEARCH("Small",X62)))</formula>
    </cfRule>
    <cfRule type="containsText" dxfId="2328" priority="2303" operator="containsText" text="Mid">
      <formula>NOT(ISERROR(SEARCH("Mid",X62)))</formula>
    </cfRule>
    <cfRule type="containsText" dxfId="2327" priority="2304" operator="containsText" text="Large">
      <formula>NOT(ISERROR(SEARCH("Large",X62)))</formula>
    </cfRule>
  </conditionalFormatting>
  <conditionalFormatting sqref="X20">
    <cfRule type="containsText" dxfId="2326" priority="2299" operator="containsText" text="Small">
      <formula>NOT(ISERROR(SEARCH("Small",X20)))</formula>
    </cfRule>
    <cfRule type="containsText" dxfId="2325" priority="2300" operator="containsText" text="Mid">
      <formula>NOT(ISERROR(SEARCH("Mid",X20)))</formula>
    </cfRule>
    <cfRule type="containsText" dxfId="2324" priority="2301" operator="containsText" text="Large">
      <formula>NOT(ISERROR(SEARCH("Large",X20)))</formula>
    </cfRule>
  </conditionalFormatting>
  <conditionalFormatting sqref="X20">
    <cfRule type="containsText" dxfId="2323" priority="2296" operator="containsText" text="Small">
      <formula>NOT(ISERROR(SEARCH("Small",X20)))</formula>
    </cfRule>
    <cfRule type="containsText" dxfId="2322" priority="2297" operator="containsText" text="Mid">
      <formula>NOT(ISERROR(SEARCH("Mid",X20)))</formula>
    </cfRule>
    <cfRule type="containsText" dxfId="2321" priority="2298" operator="containsText" text="Large">
      <formula>NOT(ISERROR(SEARCH("Large",X20)))</formula>
    </cfRule>
  </conditionalFormatting>
  <conditionalFormatting sqref="X20">
    <cfRule type="containsText" dxfId="2320" priority="2293" operator="containsText" text="Small">
      <formula>NOT(ISERROR(SEARCH("Small",X20)))</formula>
    </cfRule>
    <cfRule type="containsText" dxfId="2319" priority="2294" operator="containsText" text="Mid">
      <formula>NOT(ISERROR(SEARCH("Mid",X20)))</formula>
    </cfRule>
    <cfRule type="containsText" dxfId="2318" priority="2295" operator="containsText" text="Large">
      <formula>NOT(ISERROR(SEARCH("Large",X20)))</formula>
    </cfRule>
  </conditionalFormatting>
  <conditionalFormatting sqref="X20">
    <cfRule type="containsText" dxfId="2317" priority="2290" operator="containsText" text="Small">
      <formula>NOT(ISERROR(SEARCH("Small",X20)))</formula>
    </cfRule>
    <cfRule type="containsText" dxfId="2316" priority="2291" operator="containsText" text="Mid">
      <formula>NOT(ISERROR(SEARCH("Mid",X20)))</formula>
    </cfRule>
    <cfRule type="containsText" dxfId="2315" priority="2292" operator="containsText" text="Large">
      <formula>NOT(ISERROR(SEARCH("Large",X20)))</formula>
    </cfRule>
  </conditionalFormatting>
  <conditionalFormatting sqref="X20">
    <cfRule type="containsText" dxfId="2314" priority="2287" operator="containsText" text="Small">
      <formula>NOT(ISERROR(SEARCH("Small",X20)))</formula>
    </cfRule>
    <cfRule type="containsText" dxfId="2313" priority="2288" operator="containsText" text="Mid">
      <formula>NOT(ISERROR(SEARCH("Mid",X20)))</formula>
    </cfRule>
    <cfRule type="containsText" dxfId="2312" priority="2289" operator="containsText" text="Large">
      <formula>NOT(ISERROR(SEARCH("Large",X20)))</formula>
    </cfRule>
  </conditionalFormatting>
  <conditionalFormatting sqref="X20">
    <cfRule type="containsText" dxfId="2311" priority="2284" operator="containsText" text="Small">
      <formula>NOT(ISERROR(SEARCH("Small",X20)))</formula>
    </cfRule>
    <cfRule type="containsText" dxfId="2310" priority="2285" operator="containsText" text="Mid">
      <formula>NOT(ISERROR(SEARCH("Mid",X20)))</formula>
    </cfRule>
    <cfRule type="containsText" dxfId="2309" priority="2286" operator="containsText" text="Large">
      <formula>NOT(ISERROR(SEARCH("Large",X20)))</formula>
    </cfRule>
  </conditionalFormatting>
  <conditionalFormatting sqref="X20">
    <cfRule type="containsText" dxfId="2308" priority="2281" operator="containsText" text="Small">
      <formula>NOT(ISERROR(SEARCH("Small",X20)))</formula>
    </cfRule>
    <cfRule type="containsText" dxfId="2307" priority="2282" operator="containsText" text="Mid">
      <formula>NOT(ISERROR(SEARCH("Mid",X20)))</formula>
    </cfRule>
    <cfRule type="containsText" dxfId="2306" priority="2283" operator="containsText" text="Large">
      <formula>NOT(ISERROR(SEARCH("Large",X20)))</formula>
    </cfRule>
  </conditionalFormatting>
  <conditionalFormatting sqref="X20">
    <cfRule type="containsText" dxfId="2305" priority="2278" operator="containsText" text="Small">
      <formula>NOT(ISERROR(SEARCH("Small",X20)))</formula>
    </cfRule>
    <cfRule type="containsText" dxfId="2304" priority="2279" operator="containsText" text="Mid">
      <formula>NOT(ISERROR(SEARCH("Mid",X20)))</formula>
    </cfRule>
    <cfRule type="containsText" dxfId="2303" priority="2280" operator="containsText" text="Large">
      <formula>NOT(ISERROR(SEARCH("Large",X20)))</formula>
    </cfRule>
  </conditionalFormatting>
  <conditionalFormatting sqref="X20">
    <cfRule type="containsText" dxfId="2302" priority="2275" operator="containsText" text="Small">
      <formula>NOT(ISERROR(SEARCH("Small",X20)))</formula>
    </cfRule>
    <cfRule type="containsText" dxfId="2301" priority="2276" operator="containsText" text="Mid">
      <formula>NOT(ISERROR(SEARCH("Mid",X20)))</formula>
    </cfRule>
    <cfRule type="containsText" dxfId="2300" priority="2277" operator="containsText" text="Large">
      <formula>NOT(ISERROR(SEARCH("Large",X20)))</formula>
    </cfRule>
  </conditionalFormatting>
  <conditionalFormatting sqref="X20">
    <cfRule type="containsText" dxfId="2299" priority="2272" operator="containsText" text="Small">
      <formula>NOT(ISERROR(SEARCH("Small",X20)))</formula>
    </cfRule>
    <cfRule type="containsText" dxfId="2298" priority="2273" operator="containsText" text="Mid">
      <formula>NOT(ISERROR(SEARCH("Mid",X20)))</formula>
    </cfRule>
    <cfRule type="containsText" dxfId="2297" priority="2274" operator="containsText" text="Large">
      <formula>NOT(ISERROR(SEARCH("Large",X20)))</formula>
    </cfRule>
  </conditionalFormatting>
  <conditionalFormatting sqref="X20">
    <cfRule type="containsText" dxfId="2296" priority="2269" operator="containsText" text="Small">
      <formula>NOT(ISERROR(SEARCH("Small",X20)))</formula>
    </cfRule>
    <cfRule type="containsText" dxfId="2295" priority="2270" operator="containsText" text="Mid">
      <formula>NOT(ISERROR(SEARCH("Mid",X20)))</formula>
    </cfRule>
    <cfRule type="containsText" dxfId="2294" priority="2271" operator="containsText" text="Large">
      <formula>NOT(ISERROR(SEARCH("Large",X20)))</formula>
    </cfRule>
  </conditionalFormatting>
  <conditionalFormatting sqref="X20">
    <cfRule type="containsText" dxfId="2293" priority="2266" operator="containsText" text="Small">
      <formula>NOT(ISERROR(SEARCH("Small",X20)))</formula>
    </cfRule>
    <cfRule type="containsText" dxfId="2292" priority="2267" operator="containsText" text="Mid">
      <formula>NOT(ISERROR(SEARCH("Mid",X20)))</formula>
    </cfRule>
    <cfRule type="containsText" dxfId="2291" priority="2268" operator="containsText" text="Large">
      <formula>NOT(ISERROR(SEARCH("Large",X20)))</formula>
    </cfRule>
  </conditionalFormatting>
  <conditionalFormatting sqref="X20">
    <cfRule type="containsText" dxfId="2290" priority="2263" operator="containsText" text="Small">
      <formula>NOT(ISERROR(SEARCH("Small",X20)))</formula>
    </cfRule>
    <cfRule type="containsText" dxfId="2289" priority="2264" operator="containsText" text="Mid">
      <formula>NOT(ISERROR(SEARCH("Mid",X20)))</formula>
    </cfRule>
    <cfRule type="containsText" dxfId="2288" priority="2265" operator="containsText" text="Large">
      <formula>NOT(ISERROR(SEARCH("Large",X20)))</formula>
    </cfRule>
  </conditionalFormatting>
  <conditionalFormatting sqref="X20">
    <cfRule type="containsText" dxfId="2287" priority="2260" operator="containsText" text="Small">
      <formula>NOT(ISERROR(SEARCH("Small",X20)))</formula>
    </cfRule>
    <cfRule type="containsText" dxfId="2286" priority="2261" operator="containsText" text="Mid">
      <formula>NOT(ISERROR(SEARCH("Mid",X20)))</formula>
    </cfRule>
    <cfRule type="containsText" dxfId="2285" priority="2262" operator="containsText" text="Large">
      <formula>NOT(ISERROR(SEARCH("Large",X20)))</formula>
    </cfRule>
  </conditionalFormatting>
  <conditionalFormatting sqref="X20">
    <cfRule type="containsText" dxfId="2284" priority="2257" operator="containsText" text="Small">
      <formula>NOT(ISERROR(SEARCH("Small",X20)))</formula>
    </cfRule>
    <cfRule type="containsText" dxfId="2283" priority="2258" operator="containsText" text="Mid">
      <formula>NOT(ISERROR(SEARCH("Mid",X20)))</formula>
    </cfRule>
    <cfRule type="containsText" dxfId="2282" priority="2259" operator="containsText" text="Large">
      <formula>NOT(ISERROR(SEARCH("Large",X20)))</formula>
    </cfRule>
  </conditionalFormatting>
  <conditionalFormatting sqref="X20">
    <cfRule type="containsText" dxfId="2281" priority="2254" operator="containsText" text="Small">
      <formula>NOT(ISERROR(SEARCH("Small",X20)))</formula>
    </cfRule>
    <cfRule type="containsText" dxfId="2280" priority="2255" operator="containsText" text="Mid">
      <formula>NOT(ISERROR(SEARCH("Mid",X20)))</formula>
    </cfRule>
    <cfRule type="containsText" dxfId="2279" priority="2256" operator="containsText" text="Large">
      <formula>NOT(ISERROR(SEARCH("Large",X20)))</formula>
    </cfRule>
  </conditionalFormatting>
  <conditionalFormatting sqref="X20">
    <cfRule type="containsText" dxfId="2278" priority="2251" operator="containsText" text="Small">
      <formula>NOT(ISERROR(SEARCH("Small",X20)))</formula>
    </cfRule>
    <cfRule type="containsText" dxfId="2277" priority="2252" operator="containsText" text="Mid">
      <formula>NOT(ISERROR(SEARCH("Mid",X20)))</formula>
    </cfRule>
    <cfRule type="containsText" dxfId="2276" priority="2253" operator="containsText" text="Large">
      <formula>NOT(ISERROR(SEARCH("Large",X20)))</formula>
    </cfRule>
  </conditionalFormatting>
  <conditionalFormatting sqref="X20">
    <cfRule type="containsText" dxfId="2275" priority="2248" operator="containsText" text="Small">
      <formula>NOT(ISERROR(SEARCH("Small",X20)))</formula>
    </cfRule>
    <cfRule type="containsText" dxfId="2274" priority="2249" operator="containsText" text="Mid">
      <formula>NOT(ISERROR(SEARCH("Mid",X20)))</formula>
    </cfRule>
    <cfRule type="containsText" dxfId="2273" priority="2250" operator="containsText" text="Large">
      <formula>NOT(ISERROR(SEARCH("Large",X20)))</formula>
    </cfRule>
  </conditionalFormatting>
  <conditionalFormatting sqref="X34">
    <cfRule type="containsText" dxfId="2272" priority="2245" operator="containsText" text="Small">
      <formula>NOT(ISERROR(SEARCH("Small",X34)))</formula>
    </cfRule>
    <cfRule type="containsText" dxfId="2271" priority="2246" operator="containsText" text="Mid">
      <formula>NOT(ISERROR(SEARCH("Mid",X34)))</formula>
    </cfRule>
    <cfRule type="containsText" dxfId="2270" priority="2247" operator="containsText" text="Large">
      <formula>NOT(ISERROR(SEARCH("Large",X34)))</formula>
    </cfRule>
  </conditionalFormatting>
  <conditionalFormatting sqref="X34">
    <cfRule type="containsText" dxfId="2269" priority="2242" operator="containsText" text="Small">
      <formula>NOT(ISERROR(SEARCH("Small",X34)))</formula>
    </cfRule>
    <cfRule type="containsText" dxfId="2268" priority="2243" operator="containsText" text="Mid">
      <formula>NOT(ISERROR(SEARCH("Mid",X34)))</formula>
    </cfRule>
    <cfRule type="containsText" dxfId="2267" priority="2244" operator="containsText" text="Large">
      <formula>NOT(ISERROR(SEARCH("Large",X34)))</formula>
    </cfRule>
  </conditionalFormatting>
  <conditionalFormatting sqref="X34">
    <cfRule type="containsText" dxfId="2266" priority="2239" operator="containsText" text="Small">
      <formula>NOT(ISERROR(SEARCH("Small",X34)))</formula>
    </cfRule>
    <cfRule type="containsText" dxfId="2265" priority="2240" operator="containsText" text="Mid">
      <formula>NOT(ISERROR(SEARCH("Mid",X34)))</formula>
    </cfRule>
    <cfRule type="containsText" dxfId="2264" priority="2241" operator="containsText" text="Large">
      <formula>NOT(ISERROR(SEARCH("Large",X34)))</formula>
    </cfRule>
  </conditionalFormatting>
  <conditionalFormatting sqref="X34">
    <cfRule type="containsText" dxfId="2263" priority="2236" operator="containsText" text="Small">
      <formula>NOT(ISERROR(SEARCH("Small",X34)))</formula>
    </cfRule>
    <cfRule type="containsText" dxfId="2262" priority="2237" operator="containsText" text="Mid">
      <formula>NOT(ISERROR(SEARCH("Mid",X34)))</formula>
    </cfRule>
    <cfRule type="containsText" dxfId="2261" priority="2238" operator="containsText" text="Large">
      <formula>NOT(ISERROR(SEARCH("Large",X34)))</formula>
    </cfRule>
  </conditionalFormatting>
  <conditionalFormatting sqref="X34">
    <cfRule type="containsText" dxfId="2260" priority="2233" operator="containsText" text="Small">
      <formula>NOT(ISERROR(SEARCH("Small",X34)))</formula>
    </cfRule>
    <cfRule type="containsText" dxfId="2259" priority="2234" operator="containsText" text="Mid">
      <formula>NOT(ISERROR(SEARCH("Mid",X34)))</formula>
    </cfRule>
    <cfRule type="containsText" dxfId="2258" priority="2235" operator="containsText" text="Large">
      <formula>NOT(ISERROR(SEARCH("Large",X34)))</formula>
    </cfRule>
  </conditionalFormatting>
  <conditionalFormatting sqref="X34">
    <cfRule type="containsText" dxfId="2257" priority="2230" operator="containsText" text="Small">
      <formula>NOT(ISERROR(SEARCH("Small",X34)))</formula>
    </cfRule>
    <cfRule type="containsText" dxfId="2256" priority="2231" operator="containsText" text="Mid">
      <formula>NOT(ISERROR(SEARCH("Mid",X34)))</formula>
    </cfRule>
    <cfRule type="containsText" dxfId="2255" priority="2232" operator="containsText" text="Large">
      <formula>NOT(ISERROR(SEARCH("Large",X34)))</formula>
    </cfRule>
  </conditionalFormatting>
  <conditionalFormatting sqref="X34">
    <cfRule type="containsText" dxfId="2254" priority="2227" operator="containsText" text="Small">
      <formula>NOT(ISERROR(SEARCH("Small",X34)))</formula>
    </cfRule>
    <cfRule type="containsText" dxfId="2253" priority="2228" operator="containsText" text="Mid">
      <formula>NOT(ISERROR(SEARCH("Mid",X34)))</formula>
    </cfRule>
    <cfRule type="containsText" dxfId="2252" priority="2229" operator="containsText" text="Large">
      <formula>NOT(ISERROR(SEARCH("Large",X34)))</formula>
    </cfRule>
  </conditionalFormatting>
  <conditionalFormatting sqref="X34">
    <cfRule type="containsText" dxfId="2251" priority="2224" operator="containsText" text="Small">
      <formula>NOT(ISERROR(SEARCH("Small",X34)))</formula>
    </cfRule>
    <cfRule type="containsText" dxfId="2250" priority="2225" operator="containsText" text="Mid">
      <formula>NOT(ISERROR(SEARCH("Mid",X34)))</formula>
    </cfRule>
    <cfRule type="containsText" dxfId="2249" priority="2226" operator="containsText" text="Large">
      <formula>NOT(ISERROR(SEARCH("Large",X34)))</formula>
    </cfRule>
  </conditionalFormatting>
  <conditionalFormatting sqref="X34">
    <cfRule type="containsText" dxfId="2248" priority="2221" operator="containsText" text="Small">
      <formula>NOT(ISERROR(SEARCH("Small",X34)))</formula>
    </cfRule>
    <cfRule type="containsText" dxfId="2247" priority="2222" operator="containsText" text="Mid">
      <formula>NOT(ISERROR(SEARCH("Mid",X34)))</formula>
    </cfRule>
    <cfRule type="containsText" dxfId="2246" priority="2223" operator="containsText" text="Large">
      <formula>NOT(ISERROR(SEARCH("Large",X34)))</formula>
    </cfRule>
  </conditionalFormatting>
  <conditionalFormatting sqref="X34">
    <cfRule type="containsText" dxfId="2245" priority="2218" operator="containsText" text="Small">
      <formula>NOT(ISERROR(SEARCH("Small",X34)))</formula>
    </cfRule>
    <cfRule type="containsText" dxfId="2244" priority="2219" operator="containsText" text="Mid">
      <formula>NOT(ISERROR(SEARCH("Mid",X34)))</formula>
    </cfRule>
    <cfRule type="containsText" dxfId="2243" priority="2220" operator="containsText" text="Large">
      <formula>NOT(ISERROR(SEARCH("Large",X34)))</formula>
    </cfRule>
  </conditionalFormatting>
  <conditionalFormatting sqref="X34">
    <cfRule type="containsText" dxfId="2242" priority="2215" operator="containsText" text="Small">
      <formula>NOT(ISERROR(SEARCH("Small",X34)))</formula>
    </cfRule>
    <cfRule type="containsText" dxfId="2241" priority="2216" operator="containsText" text="Mid">
      <formula>NOT(ISERROR(SEARCH("Mid",X34)))</formula>
    </cfRule>
    <cfRule type="containsText" dxfId="2240" priority="2217" operator="containsText" text="Large">
      <formula>NOT(ISERROR(SEARCH("Large",X34)))</formula>
    </cfRule>
  </conditionalFormatting>
  <conditionalFormatting sqref="X34">
    <cfRule type="containsText" dxfId="2239" priority="2212" operator="containsText" text="Small">
      <formula>NOT(ISERROR(SEARCH("Small",X34)))</formula>
    </cfRule>
    <cfRule type="containsText" dxfId="2238" priority="2213" operator="containsText" text="Mid">
      <formula>NOT(ISERROR(SEARCH("Mid",X34)))</formula>
    </cfRule>
    <cfRule type="containsText" dxfId="2237" priority="2214" operator="containsText" text="Large">
      <formula>NOT(ISERROR(SEARCH("Large",X34)))</formula>
    </cfRule>
  </conditionalFormatting>
  <conditionalFormatting sqref="X34">
    <cfRule type="containsText" dxfId="2236" priority="2209" operator="containsText" text="Small">
      <formula>NOT(ISERROR(SEARCH("Small",X34)))</formula>
    </cfRule>
    <cfRule type="containsText" dxfId="2235" priority="2210" operator="containsText" text="Mid">
      <formula>NOT(ISERROR(SEARCH("Mid",X34)))</formula>
    </cfRule>
    <cfRule type="containsText" dxfId="2234" priority="2211" operator="containsText" text="Large">
      <formula>NOT(ISERROR(SEARCH("Large",X34)))</formula>
    </cfRule>
  </conditionalFormatting>
  <conditionalFormatting sqref="X34">
    <cfRule type="containsText" dxfId="2233" priority="2206" operator="containsText" text="Small">
      <formula>NOT(ISERROR(SEARCH("Small",X34)))</formula>
    </cfRule>
    <cfRule type="containsText" dxfId="2232" priority="2207" operator="containsText" text="Mid">
      <formula>NOT(ISERROR(SEARCH("Mid",X34)))</formula>
    </cfRule>
    <cfRule type="containsText" dxfId="2231" priority="2208" operator="containsText" text="Large">
      <formula>NOT(ISERROR(SEARCH("Large",X34)))</formula>
    </cfRule>
  </conditionalFormatting>
  <conditionalFormatting sqref="X34">
    <cfRule type="containsText" dxfId="2230" priority="2203" operator="containsText" text="Small">
      <formula>NOT(ISERROR(SEARCH("Small",X34)))</formula>
    </cfRule>
    <cfRule type="containsText" dxfId="2229" priority="2204" operator="containsText" text="Mid">
      <formula>NOT(ISERROR(SEARCH("Mid",X34)))</formula>
    </cfRule>
    <cfRule type="containsText" dxfId="2228" priority="2205" operator="containsText" text="Large">
      <formula>NOT(ISERROR(SEARCH("Large",X34)))</formula>
    </cfRule>
  </conditionalFormatting>
  <conditionalFormatting sqref="X34">
    <cfRule type="containsText" dxfId="2227" priority="2200" operator="containsText" text="Small">
      <formula>NOT(ISERROR(SEARCH("Small",X34)))</formula>
    </cfRule>
    <cfRule type="containsText" dxfId="2226" priority="2201" operator="containsText" text="Mid">
      <formula>NOT(ISERROR(SEARCH("Mid",X34)))</formula>
    </cfRule>
    <cfRule type="containsText" dxfId="2225" priority="2202" operator="containsText" text="Large">
      <formula>NOT(ISERROR(SEARCH("Large",X34)))</formula>
    </cfRule>
  </conditionalFormatting>
  <conditionalFormatting sqref="X34">
    <cfRule type="containsText" dxfId="2224" priority="2197" operator="containsText" text="Small">
      <formula>NOT(ISERROR(SEARCH("Small",X34)))</formula>
    </cfRule>
    <cfRule type="containsText" dxfId="2223" priority="2198" operator="containsText" text="Mid">
      <formula>NOT(ISERROR(SEARCH("Mid",X34)))</formula>
    </cfRule>
    <cfRule type="containsText" dxfId="2222" priority="2199" operator="containsText" text="Large">
      <formula>NOT(ISERROR(SEARCH("Large",X34)))</formula>
    </cfRule>
  </conditionalFormatting>
  <conditionalFormatting sqref="X34">
    <cfRule type="containsText" dxfId="2221" priority="2194" operator="containsText" text="Small">
      <formula>NOT(ISERROR(SEARCH("Small",X34)))</formula>
    </cfRule>
    <cfRule type="containsText" dxfId="2220" priority="2195" operator="containsText" text="Mid">
      <formula>NOT(ISERROR(SEARCH("Mid",X34)))</formula>
    </cfRule>
    <cfRule type="containsText" dxfId="2219" priority="2196" operator="containsText" text="Large">
      <formula>NOT(ISERROR(SEARCH("Large",X34)))</formula>
    </cfRule>
  </conditionalFormatting>
  <conditionalFormatting sqref="X34">
    <cfRule type="containsText" dxfId="2218" priority="2191" operator="containsText" text="Small">
      <formula>NOT(ISERROR(SEARCH("Small",X34)))</formula>
    </cfRule>
    <cfRule type="containsText" dxfId="2217" priority="2192" operator="containsText" text="Mid">
      <formula>NOT(ISERROR(SEARCH("Mid",X34)))</formula>
    </cfRule>
    <cfRule type="containsText" dxfId="2216" priority="2193" operator="containsText" text="Large">
      <formula>NOT(ISERROR(SEARCH("Large",X34)))</formula>
    </cfRule>
  </conditionalFormatting>
  <conditionalFormatting sqref="X34">
    <cfRule type="containsText" dxfId="2215" priority="2188" operator="containsText" text="Small">
      <formula>NOT(ISERROR(SEARCH("Small",X34)))</formula>
    </cfRule>
    <cfRule type="containsText" dxfId="2214" priority="2189" operator="containsText" text="Mid">
      <formula>NOT(ISERROR(SEARCH("Mid",X34)))</formula>
    </cfRule>
    <cfRule type="containsText" dxfId="2213" priority="2190" operator="containsText" text="Large">
      <formula>NOT(ISERROR(SEARCH("Large",X34)))</formula>
    </cfRule>
  </conditionalFormatting>
  <conditionalFormatting sqref="X34">
    <cfRule type="containsText" dxfId="2212" priority="2185" operator="containsText" text="Small">
      <formula>NOT(ISERROR(SEARCH("Small",X34)))</formula>
    </cfRule>
    <cfRule type="containsText" dxfId="2211" priority="2186" operator="containsText" text="Mid">
      <formula>NOT(ISERROR(SEARCH("Mid",X34)))</formula>
    </cfRule>
    <cfRule type="containsText" dxfId="2210" priority="2187" operator="containsText" text="Large">
      <formula>NOT(ISERROR(SEARCH("Large",X34)))</formula>
    </cfRule>
  </conditionalFormatting>
  <conditionalFormatting sqref="X48">
    <cfRule type="containsText" dxfId="2209" priority="2182" operator="containsText" text="Small">
      <formula>NOT(ISERROR(SEARCH("Small",X48)))</formula>
    </cfRule>
    <cfRule type="containsText" dxfId="2208" priority="2183" operator="containsText" text="Mid">
      <formula>NOT(ISERROR(SEARCH("Mid",X48)))</formula>
    </cfRule>
    <cfRule type="containsText" dxfId="2207" priority="2184" operator="containsText" text="Large">
      <formula>NOT(ISERROR(SEARCH("Large",X48)))</formula>
    </cfRule>
  </conditionalFormatting>
  <conditionalFormatting sqref="X48">
    <cfRule type="containsText" dxfId="2206" priority="2179" operator="containsText" text="Small">
      <formula>NOT(ISERROR(SEARCH("Small",X48)))</formula>
    </cfRule>
    <cfRule type="containsText" dxfId="2205" priority="2180" operator="containsText" text="Mid">
      <formula>NOT(ISERROR(SEARCH("Mid",X48)))</formula>
    </cfRule>
    <cfRule type="containsText" dxfId="2204" priority="2181" operator="containsText" text="Large">
      <formula>NOT(ISERROR(SEARCH("Large",X48)))</formula>
    </cfRule>
  </conditionalFormatting>
  <conditionalFormatting sqref="X48">
    <cfRule type="containsText" dxfId="2203" priority="2176" operator="containsText" text="Small">
      <formula>NOT(ISERROR(SEARCH("Small",X48)))</formula>
    </cfRule>
    <cfRule type="containsText" dxfId="2202" priority="2177" operator="containsText" text="Mid">
      <formula>NOT(ISERROR(SEARCH("Mid",X48)))</formula>
    </cfRule>
    <cfRule type="containsText" dxfId="2201" priority="2178" operator="containsText" text="Large">
      <formula>NOT(ISERROR(SEARCH("Large",X48)))</formula>
    </cfRule>
  </conditionalFormatting>
  <conditionalFormatting sqref="X48">
    <cfRule type="containsText" dxfId="2200" priority="2173" operator="containsText" text="Small">
      <formula>NOT(ISERROR(SEARCH("Small",X48)))</formula>
    </cfRule>
    <cfRule type="containsText" dxfId="2199" priority="2174" operator="containsText" text="Mid">
      <formula>NOT(ISERROR(SEARCH("Mid",X48)))</formula>
    </cfRule>
    <cfRule type="containsText" dxfId="2198" priority="2175" operator="containsText" text="Large">
      <formula>NOT(ISERROR(SEARCH("Large",X48)))</formula>
    </cfRule>
  </conditionalFormatting>
  <conditionalFormatting sqref="X48">
    <cfRule type="containsText" dxfId="2197" priority="2170" operator="containsText" text="Small">
      <formula>NOT(ISERROR(SEARCH("Small",X48)))</formula>
    </cfRule>
    <cfRule type="containsText" dxfId="2196" priority="2171" operator="containsText" text="Mid">
      <formula>NOT(ISERROR(SEARCH("Mid",X48)))</formula>
    </cfRule>
    <cfRule type="containsText" dxfId="2195" priority="2172" operator="containsText" text="Large">
      <formula>NOT(ISERROR(SEARCH("Large",X48)))</formula>
    </cfRule>
  </conditionalFormatting>
  <conditionalFormatting sqref="X48">
    <cfRule type="containsText" dxfId="2194" priority="2167" operator="containsText" text="Small">
      <formula>NOT(ISERROR(SEARCH("Small",X48)))</formula>
    </cfRule>
    <cfRule type="containsText" dxfId="2193" priority="2168" operator="containsText" text="Mid">
      <formula>NOT(ISERROR(SEARCH("Mid",X48)))</formula>
    </cfRule>
    <cfRule type="containsText" dxfId="2192" priority="2169" operator="containsText" text="Large">
      <formula>NOT(ISERROR(SEARCH("Large",X48)))</formula>
    </cfRule>
  </conditionalFormatting>
  <conditionalFormatting sqref="X48">
    <cfRule type="containsText" dxfId="2191" priority="2164" operator="containsText" text="Small">
      <formula>NOT(ISERROR(SEARCH("Small",X48)))</formula>
    </cfRule>
    <cfRule type="containsText" dxfId="2190" priority="2165" operator="containsText" text="Mid">
      <formula>NOT(ISERROR(SEARCH("Mid",X48)))</formula>
    </cfRule>
    <cfRule type="containsText" dxfId="2189" priority="2166" operator="containsText" text="Large">
      <formula>NOT(ISERROR(SEARCH("Large",X48)))</formula>
    </cfRule>
  </conditionalFormatting>
  <conditionalFormatting sqref="X48">
    <cfRule type="containsText" dxfId="2188" priority="2161" operator="containsText" text="Small">
      <formula>NOT(ISERROR(SEARCH("Small",X48)))</formula>
    </cfRule>
    <cfRule type="containsText" dxfId="2187" priority="2162" operator="containsText" text="Mid">
      <formula>NOT(ISERROR(SEARCH("Mid",X48)))</formula>
    </cfRule>
    <cfRule type="containsText" dxfId="2186" priority="2163" operator="containsText" text="Large">
      <formula>NOT(ISERROR(SEARCH("Large",X48)))</formula>
    </cfRule>
  </conditionalFormatting>
  <conditionalFormatting sqref="X48">
    <cfRule type="containsText" dxfId="2185" priority="2158" operator="containsText" text="Small">
      <formula>NOT(ISERROR(SEARCH("Small",X48)))</formula>
    </cfRule>
    <cfRule type="containsText" dxfId="2184" priority="2159" operator="containsText" text="Mid">
      <formula>NOT(ISERROR(SEARCH("Mid",X48)))</formula>
    </cfRule>
    <cfRule type="containsText" dxfId="2183" priority="2160" operator="containsText" text="Large">
      <formula>NOT(ISERROR(SEARCH("Large",X48)))</formula>
    </cfRule>
  </conditionalFormatting>
  <conditionalFormatting sqref="X48">
    <cfRule type="containsText" dxfId="2182" priority="2155" operator="containsText" text="Small">
      <formula>NOT(ISERROR(SEARCH("Small",X48)))</formula>
    </cfRule>
    <cfRule type="containsText" dxfId="2181" priority="2156" operator="containsText" text="Mid">
      <formula>NOT(ISERROR(SEARCH("Mid",X48)))</formula>
    </cfRule>
    <cfRule type="containsText" dxfId="2180" priority="2157" operator="containsText" text="Large">
      <formula>NOT(ISERROR(SEARCH("Large",X48)))</formula>
    </cfRule>
  </conditionalFormatting>
  <conditionalFormatting sqref="X48">
    <cfRule type="containsText" dxfId="2179" priority="2152" operator="containsText" text="Small">
      <formula>NOT(ISERROR(SEARCH("Small",X48)))</formula>
    </cfRule>
    <cfRule type="containsText" dxfId="2178" priority="2153" operator="containsText" text="Mid">
      <formula>NOT(ISERROR(SEARCH("Mid",X48)))</formula>
    </cfRule>
    <cfRule type="containsText" dxfId="2177" priority="2154" operator="containsText" text="Large">
      <formula>NOT(ISERROR(SEARCH("Large",X48)))</formula>
    </cfRule>
  </conditionalFormatting>
  <conditionalFormatting sqref="X48">
    <cfRule type="containsText" dxfId="2176" priority="2149" operator="containsText" text="Small">
      <formula>NOT(ISERROR(SEARCH("Small",X48)))</formula>
    </cfRule>
    <cfRule type="containsText" dxfId="2175" priority="2150" operator="containsText" text="Mid">
      <formula>NOT(ISERROR(SEARCH("Mid",X48)))</formula>
    </cfRule>
    <cfRule type="containsText" dxfId="2174" priority="2151" operator="containsText" text="Large">
      <formula>NOT(ISERROR(SEARCH("Large",X48)))</formula>
    </cfRule>
  </conditionalFormatting>
  <conditionalFormatting sqref="X48">
    <cfRule type="containsText" dxfId="2173" priority="2146" operator="containsText" text="Small">
      <formula>NOT(ISERROR(SEARCH("Small",X48)))</formula>
    </cfRule>
    <cfRule type="containsText" dxfId="2172" priority="2147" operator="containsText" text="Mid">
      <formula>NOT(ISERROR(SEARCH("Mid",X48)))</formula>
    </cfRule>
    <cfRule type="containsText" dxfId="2171" priority="2148" operator="containsText" text="Large">
      <formula>NOT(ISERROR(SEARCH("Large",X48)))</formula>
    </cfRule>
  </conditionalFormatting>
  <conditionalFormatting sqref="X48">
    <cfRule type="containsText" dxfId="2170" priority="2143" operator="containsText" text="Small">
      <formula>NOT(ISERROR(SEARCH("Small",X48)))</formula>
    </cfRule>
    <cfRule type="containsText" dxfId="2169" priority="2144" operator="containsText" text="Mid">
      <formula>NOT(ISERROR(SEARCH("Mid",X48)))</formula>
    </cfRule>
    <cfRule type="containsText" dxfId="2168" priority="2145" operator="containsText" text="Large">
      <formula>NOT(ISERROR(SEARCH("Large",X48)))</formula>
    </cfRule>
  </conditionalFormatting>
  <conditionalFormatting sqref="X48">
    <cfRule type="containsText" dxfId="2167" priority="2140" operator="containsText" text="Small">
      <formula>NOT(ISERROR(SEARCH("Small",X48)))</formula>
    </cfRule>
    <cfRule type="containsText" dxfId="2166" priority="2141" operator="containsText" text="Mid">
      <formula>NOT(ISERROR(SEARCH("Mid",X48)))</formula>
    </cfRule>
    <cfRule type="containsText" dxfId="2165" priority="2142" operator="containsText" text="Large">
      <formula>NOT(ISERROR(SEARCH("Large",X48)))</formula>
    </cfRule>
  </conditionalFormatting>
  <conditionalFormatting sqref="X48">
    <cfRule type="containsText" dxfId="2164" priority="2137" operator="containsText" text="Small">
      <formula>NOT(ISERROR(SEARCH("Small",X48)))</formula>
    </cfRule>
    <cfRule type="containsText" dxfId="2163" priority="2138" operator="containsText" text="Mid">
      <formula>NOT(ISERROR(SEARCH("Mid",X48)))</formula>
    </cfRule>
    <cfRule type="containsText" dxfId="2162" priority="2139" operator="containsText" text="Large">
      <formula>NOT(ISERROR(SEARCH("Large",X48)))</formula>
    </cfRule>
  </conditionalFormatting>
  <conditionalFormatting sqref="X48">
    <cfRule type="containsText" dxfId="2161" priority="2134" operator="containsText" text="Small">
      <formula>NOT(ISERROR(SEARCH("Small",X48)))</formula>
    </cfRule>
    <cfRule type="containsText" dxfId="2160" priority="2135" operator="containsText" text="Mid">
      <formula>NOT(ISERROR(SEARCH("Mid",X48)))</formula>
    </cfRule>
    <cfRule type="containsText" dxfId="2159" priority="2136" operator="containsText" text="Large">
      <formula>NOT(ISERROR(SEARCH("Large",X48)))</formula>
    </cfRule>
  </conditionalFormatting>
  <conditionalFormatting sqref="X48">
    <cfRule type="containsText" dxfId="2158" priority="2131" operator="containsText" text="Small">
      <formula>NOT(ISERROR(SEARCH("Small",X48)))</formula>
    </cfRule>
    <cfRule type="containsText" dxfId="2157" priority="2132" operator="containsText" text="Mid">
      <formula>NOT(ISERROR(SEARCH("Mid",X48)))</formula>
    </cfRule>
    <cfRule type="containsText" dxfId="2156" priority="2133" operator="containsText" text="Large">
      <formula>NOT(ISERROR(SEARCH("Large",X48)))</formula>
    </cfRule>
  </conditionalFormatting>
  <conditionalFormatting sqref="X48">
    <cfRule type="containsText" dxfId="2155" priority="2128" operator="containsText" text="Small">
      <formula>NOT(ISERROR(SEARCH("Small",X48)))</formula>
    </cfRule>
    <cfRule type="containsText" dxfId="2154" priority="2129" operator="containsText" text="Mid">
      <formula>NOT(ISERROR(SEARCH("Mid",X48)))</formula>
    </cfRule>
    <cfRule type="containsText" dxfId="2153" priority="2130" operator="containsText" text="Large">
      <formula>NOT(ISERROR(SEARCH("Large",X48)))</formula>
    </cfRule>
  </conditionalFormatting>
  <conditionalFormatting sqref="X48">
    <cfRule type="containsText" dxfId="2152" priority="2125" operator="containsText" text="Small">
      <formula>NOT(ISERROR(SEARCH("Small",X48)))</formula>
    </cfRule>
    <cfRule type="containsText" dxfId="2151" priority="2126" operator="containsText" text="Mid">
      <formula>NOT(ISERROR(SEARCH("Mid",X48)))</formula>
    </cfRule>
    <cfRule type="containsText" dxfId="2150" priority="2127" operator="containsText" text="Large">
      <formula>NOT(ISERROR(SEARCH("Large",X48)))</formula>
    </cfRule>
  </conditionalFormatting>
  <conditionalFormatting sqref="X48">
    <cfRule type="containsText" dxfId="2149" priority="2122" operator="containsText" text="Small">
      <formula>NOT(ISERROR(SEARCH("Small",X48)))</formula>
    </cfRule>
    <cfRule type="containsText" dxfId="2148" priority="2123" operator="containsText" text="Mid">
      <formula>NOT(ISERROR(SEARCH("Mid",X48)))</formula>
    </cfRule>
    <cfRule type="containsText" dxfId="2147" priority="2124" operator="containsText" text="Large">
      <formula>NOT(ISERROR(SEARCH("Large",X48)))</formula>
    </cfRule>
  </conditionalFormatting>
  <conditionalFormatting sqref="X48">
    <cfRule type="containsText" dxfId="2146" priority="2119" operator="containsText" text="Small">
      <formula>NOT(ISERROR(SEARCH("Small",X48)))</formula>
    </cfRule>
    <cfRule type="containsText" dxfId="2145" priority="2120" operator="containsText" text="Mid">
      <formula>NOT(ISERROR(SEARCH("Mid",X48)))</formula>
    </cfRule>
    <cfRule type="containsText" dxfId="2144" priority="2121" operator="containsText" text="Large">
      <formula>NOT(ISERROR(SEARCH("Large",X48)))</formula>
    </cfRule>
  </conditionalFormatting>
  <conditionalFormatting sqref="X48">
    <cfRule type="containsText" dxfId="2143" priority="2116" operator="containsText" text="Small">
      <formula>NOT(ISERROR(SEARCH("Small",X48)))</formula>
    </cfRule>
    <cfRule type="containsText" dxfId="2142" priority="2117" operator="containsText" text="Mid">
      <formula>NOT(ISERROR(SEARCH("Mid",X48)))</formula>
    </cfRule>
    <cfRule type="containsText" dxfId="2141" priority="2118" operator="containsText" text="Large">
      <formula>NOT(ISERROR(SEARCH("Large",X48)))</formula>
    </cfRule>
  </conditionalFormatting>
  <conditionalFormatting sqref="X48">
    <cfRule type="containsText" dxfId="2140" priority="2113" operator="containsText" text="Small">
      <formula>NOT(ISERROR(SEARCH("Small",X48)))</formula>
    </cfRule>
    <cfRule type="containsText" dxfId="2139" priority="2114" operator="containsText" text="Mid">
      <formula>NOT(ISERROR(SEARCH("Mid",X48)))</formula>
    </cfRule>
    <cfRule type="containsText" dxfId="2138" priority="2115" operator="containsText" text="Large">
      <formula>NOT(ISERROR(SEARCH("Large",X48)))</formula>
    </cfRule>
  </conditionalFormatting>
  <conditionalFormatting sqref="X62">
    <cfRule type="containsText" dxfId="2137" priority="2112" operator="containsText" text="NA">
      <formula>NOT(ISERROR(SEARCH("NA",X62)))</formula>
    </cfRule>
  </conditionalFormatting>
  <conditionalFormatting sqref="X62">
    <cfRule type="containsText" dxfId="2136" priority="2109" operator="containsText" text="Small">
      <formula>NOT(ISERROR(SEARCH("Small",X62)))</formula>
    </cfRule>
    <cfRule type="containsText" dxfId="2135" priority="2110" operator="containsText" text="Mid">
      <formula>NOT(ISERROR(SEARCH("Mid",X62)))</formula>
    </cfRule>
    <cfRule type="containsText" dxfId="2134" priority="2111" operator="containsText" text="Large">
      <formula>NOT(ISERROR(SEARCH("Large",X62)))</formula>
    </cfRule>
  </conditionalFormatting>
  <conditionalFormatting sqref="X62">
    <cfRule type="containsText" dxfId="2133" priority="2106" operator="containsText" text="Small">
      <formula>NOT(ISERROR(SEARCH("Small",X62)))</formula>
    </cfRule>
    <cfRule type="containsText" dxfId="2132" priority="2107" operator="containsText" text="Mid">
      <formula>NOT(ISERROR(SEARCH("Mid",X62)))</formula>
    </cfRule>
    <cfRule type="containsText" dxfId="2131" priority="2108" operator="containsText" text="Large">
      <formula>NOT(ISERROR(SEARCH("Large",X62)))</formula>
    </cfRule>
  </conditionalFormatting>
  <conditionalFormatting sqref="X62">
    <cfRule type="containsText" dxfId="2130" priority="2103" operator="containsText" text="Small">
      <formula>NOT(ISERROR(SEARCH("Small",X62)))</formula>
    </cfRule>
    <cfRule type="containsText" dxfId="2129" priority="2104" operator="containsText" text="Mid">
      <formula>NOT(ISERROR(SEARCH("Mid",X62)))</formula>
    </cfRule>
    <cfRule type="containsText" dxfId="2128" priority="2105" operator="containsText" text="Large">
      <formula>NOT(ISERROR(SEARCH("Large",X62)))</formula>
    </cfRule>
  </conditionalFormatting>
  <conditionalFormatting sqref="X62">
    <cfRule type="containsText" dxfId="2127" priority="2100" operator="containsText" text="Small">
      <formula>NOT(ISERROR(SEARCH("Small",X62)))</formula>
    </cfRule>
    <cfRule type="containsText" dxfId="2126" priority="2101" operator="containsText" text="Mid">
      <formula>NOT(ISERROR(SEARCH("Mid",X62)))</formula>
    </cfRule>
    <cfRule type="containsText" dxfId="2125" priority="2102" operator="containsText" text="Large">
      <formula>NOT(ISERROR(SEARCH("Large",X62)))</formula>
    </cfRule>
  </conditionalFormatting>
  <conditionalFormatting sqref="X62">
    <cfRule type="containsText" dxfId="2124" priority="2097" operator="containsText" text="Small">
      <formula>NOT(ISERROR(SEARCH("Small",X62)))</formula>
    </cfRule>
    <cfRule type="containsText" dxfId="2123" priority="2098" operator="containsText" text="Mid">
      <formula>NOT(ISERROR(SEARCH("Mid",X62)))</formula>
    </cfRule>
    <cfRule type="containsText" dxfId="2122" priority="2099" operator="containsText" text="Large">
      <formula>NOT(ISERROR(SEARCH("Large",X62)))</formula>
    </cfRule>
  </conditionalFormatting>
  <conditionalFormatting sqref="X62">
    <cfRule type="containsText" dxfId="2121" priority="2094" operator="containsText" text="Small">
      <formula>NOT(ISERROR(SEARCH("Small",X62)))</formula>
    </cfRule>
    <cfRule type="containsText" dxfId="2120" priority="2095" operator="containsText" text="Mid">
      <formula>NOT(ISERROR(SEARCH("Mid",X62)))</formula>
    </cfRule>
    <cfRule type="containsText" dxfId="2119" priority="2096" operator="containsText" text="Large">
      <formula>NOT(ISERROR(SEARCH("Large",X62)))</formula>
    </cfRule>
  </conditionalFormatting>
  <conditionalFormatting sqref="X62">
    <cfRule type="containsText" dxfId="2118" priority="2091" operator="containsText" text="Small">
      <formula>NOT(ISERROR(SEARCH("Small",X62)))</formula>
    </cfRule>
    <cfRule type="containsText" dxfId="2117" priority="2092" operator="containsText" text="Mid">
      <formula>NOT(ISERROR(SEARCH("Mid",X62)))</formula>
    </cfRule>
    <cfRule type="containsText" dxfId="2116" priority="2093" operator="containsText" text="Large">
      <formula>NOT(ISERROR(SEARCH("Large",X62)))</formula>
    </cfRule>
  </conditionalFormatting>
  <conditionalFormatting sqref="X62">
    <cfRule type="containsText" dxfId="2115" priority="2088" operator="containsText" text="Small">
      <formula>NOT(ISERROR(SEARCH("Small",X62)))</formula>
    </cfRule>
    <cfRule type="containsText" dxfId="2114" priority="2089" operator="containsText" text="Mid">
      <formula>NOT(ISERROR(SEARCH("Mid",X62)))</formula>
    </cfRule>
    <cfRule type="containsText" dxfId="2113" priority="2090" operator="containsText" text="Large">
      <formula>NOT(ISERROR(SEARCH("Large",X62)))</formula>
    </cfRule>
  </conditionalFormatting>
  <conditionalFormatting sqref="X62">
    <cfRule type="containsText" dxfId="2112" priority="2085" operator="containsText" text="Small">
      <formula>NOT(ISERROR(SEARCH("Small",X62)))</formula>
    </cfRule>
    <cfRule type="containsText" dxfId="2111" priority="2086" operator="containsText" text="Mid">
      <formula>NOT(ISERROR(SEARCH("Mid",X62)))</formula>
    </cfRule>
    <cfRule type="containsText" dxfId="2110" priority="2087" operator="containsText" text="Large">
      <formula>NOT(ISERROR(SEARCH("Large",X62)))</formula>
    </cfRule>
  </conditionalFormatting>
  <conditionalFormatting sqref="X62">
    <cfRule type="containsText" dxfId="2109" priority="2082" operator="containsText" text="Small">
      <formula>NOT(ISERROR(SEARCH("Small",X62)))</formula>
    </cfRule>
    <cfRule type="containsText" dxfId="2108" priority="2083" operator="containsText" text="Mid">
      <formula>NOT(ISERROR(SEARCH("Mid",X62)))</formula>
    </cfRule>
    <cfRule type="containsText" dxfId="2107" priority="2084" operator="containsText" text="Large">
      <formula>NOT(ISERROR(SEARCH("Large",X62)))</formula>
    </cfRule>
  </conditionalFormatting>
  <conditionalFormatting sqref="X62">
    <cfRule type="containsText" dxfId="2106" priority="2079" operator="containsText" text="Small">
      <formula>NOT(ISERROR(SEARCH("Small",X62)))</formula>
    </cfRule>
    <cfRule type="containsText" dxfId="2105" priority="2080" operator="containsText" text="Mid">
      <formula>NOT(ISERROR(SEARCH("Mid",X62)))</formula>
    </cfRule>
    <cfRule type="containsText" dxfId="2104" priority="2081" operator="containsText" text="Large">
      <formula>NOT(ISERROR(SEARCH("Large",X62)))</formula>
    </cfRule>
  </conditionalFormatting>
  <conditionalFormatting sqref="X62">
    <cfRule type="containsText" dxfId="2103" priority="2076" operator="containsText" text="Small">
      <formula>NOT(ISERROR(SEARCH("Small",X62)))</formula>
    </cfRule>
    <cfRule type="containsText" dxfId="2102" priority="2077" operator="containsText" text="Mid">
      <formula>NOT(ISERROR(SEARCH("Mid",X62)))</formula>
    </cfRule>
    <cfRule type="containsText" dxfId="2101" priority="2078" operator="containsText" text="Large">
      <formula>NOT(ISERROR(SEARCH("Large",X62)))</formula>
    </cfRule>
  </conditionalFormatting>
  <conditionalFormatting sqref="X62">
    <cfRule type="containsText" dxfId="2100" priority="2073" operator="containsText" text="Small">
      <formula>NOT(ISERROR(SEARCH("Small",X62)))</formula>
    </cfRule>
    <cfRule type="containsText" dxfId="2099" priority="2074" operator="containsText" text="Mid">
      <formula>NOT(ISERROR(SEARCH("Mid",X62)))</formula>
    </cfRule>
    <cfRule type="containsText" dxfId="2098" priority="2075" operator="containsText" text="Large">
      <formula>NOT(ISERROR(SEARCH("Large",X62)))</formula>
    </cfRule>
  </conditionalFormatting>
  <conditionalFormatting sqref="X62">
    <cfRule type="containsText" dxfId="2097" priority="2070" operator="containsText" text="Small">
      <formula>NOT(ISERROR(SEARCH("Small",X62)))</formula>
    </cfRule>
    <cfRule type="containsText" dxfId="2096" priority="2071" operator="containsText" text="Mid">
      <formula>NOT(ISERROR(SEARCH("Mid",X62)))</formula>
    </cfRule>
    <cfRule type="containsText" dxfId="2095" priority="2072" operator="containsText" text="Large">
      <formula>NOT(ISERROR(SEARCH("Large",X62)))</formula>
    </cfRule>
  </conditionalFormatting>
  <conditionalFormatting sqref="X62">
    <cfRule type="containsText" dxfId="2094" priority="2067" operator="containsText" text="Small">
      <formula>NOT(ISERROR(SEARCH("Small",X62)))</formula>
    </cfRule>
    <cfRule type="containsText" dxfId="2093" priority="2068" operator="containsText" text="Mid">
      <formula>NOT(ISERROR(SEARCH("Mid",X62)))</formula>
    </cfRule>
    <cfRule type="containsText" dxfId="2092" priority="2069" operator="containsText" text="Large">
      <formula>NOT(ISERROR(SEARCH("Large",X62)))</formula>
    </cfRule>
  </conditionalFormatting>
  <conditionalFormatting sqref="X62">
    <cfRule type="containsText" dxfId="2091" priority="2064" operator="containsText" text="Small">
      <formula>NOT(ISERROR(SEARCH("Small",X62)))</formula>
    </cfRule>
    <cfRule type="containsText" dxfId="2090" priority="2065" operator="containsText" text="Mid">
      <formula>NOT(ISERROR(SEARCH("Mid",X62)))</formula>
    </cfRule>
    <cfRule type="containsText" dxfId="2089" priority="2066" operator="containsText" text="Large">
      <formula>NOT(ISERROR(SEARCH("Large",X62)))</formula>
    </cfRule>
  </conditionalFormatting>
  <conditionalFormatting sqref="X62">
    <cfRule type="containsText" dxfId="2088" priority="2061" operator="containsText" text="Small">
      <formula>NOT(ISERROR(SEARCH("Small",X62)))</formula>
    </cfRule>
    <cfRule type="containsText" dxfId="2087" priority="2062" operator="containsText" text="Mid">
      <formula>NOT(ISERROR(SEARCH("Mid",X62)))</formula>
    </cfRule>
    <cfRule type="containsText" dxfId="2086" priority="2063" operator="containsText" text="Large">
      <formula>NOT(ISERROR(SEARCH("Large",X62)))</formula>
    </cfRule>
  </conditionalFormatting>
  <conditionalFormatting sqref="X62">
    <cfRule type="containsText" dxfId="2085" priority="2058" operator="containsText" text="Small">
      <formula>NOT(ISERROR(SEARCH("Small",X62)))</formula>
    </cfRule>
    <cfRule type="containsText" dxfId="2084" priority="2059" operator="containsText" text="Mid">
      <formula>NOT(ISERROR(SEARCH("Mid",X62)))</formula>
    </cfRule>
    <cfRule type="containsText" dxfId="2083" priority="2060" operator="containsText" text="Large">
      <formula>NOT(ISERROR(SEARCH("Large",X62)))</formula>
    </cfRule>
  </conditionalFormatting>
  <conditionalFormatting sqref="X62">
    <cfRule type="containsText" dxfId="2082" priority="2055" operator="containsText" text="Small">
      <formula>NOT(ISERROR(SEARCH("Small",X62)))</formula>
    </cfRule>
    <cfRule type="containsText" dxfId="2081" priority="2056" operator="containsText" text="Mid">
      <formula>NOT(ISERROR(SEARCH("Mid",X62)))</formula>
    </cfRule>
    <cfRule type="containsText" dxfId="2080" priority="2057" operator="containsText" text="Large">
      <formula>NOT(ISERROR(SEARCH("Large",X62)))</formula>
    </cfRule>
  </conditionalFormatting>
  <conditionalFormatting sqref="X62">
    <cfRule type="containsText" dxfId="2079" priority="2052" operator="containsText" text="Small">
      <formula>NOT(ISERROR(SEARCH("Small",X62)))</formula>
    </cfRule>
    <cfRule type="containsText" dxfId="2078" priority="2053" operator="containsText" text="Mid">
      <formula>NOT(ISERROR(SEARCH("Mid",X62)))</formula>
    </cfRule>
    <cfRule type="containsText" dxfId="2077" priority="2054" operator="containsText" text="Large">
      <formula>NOT(ISERROR(SEARCH("Large",X62)))</formula>
    </cfRule>
  </conditionalFormatting>
  <conditionalFormatting sqref="X62">
    <cfRule type="containsText" dxfId="2076" priority="2049" operator="containsText" text="Small">
      <formula>NOT(ISERROR(SEARCH("Small",X62)))</formula>
    </cfRule>
    <cfRule type="containsText" dxfId="2075" priority="2050" operator="containsText" text="Mid">
      <formula>NOT(ISERROR(SEARCH("Mid",X62)))</formula>
    </cfRule>
    <cfRule type="containsText" dxfId="2074" priority="2051" operator="containsText" text="Large">
      <formula>NOT(ISERROR(SEARCH("Large",X62)))</formula>
    </cfRule>
  </conditionalFormatting>
  <conditionalFormatting sqref="X62">
    <cfRule type="containsText" dxfId="2073" priority="2046" operator="containsText" text="Small">
      <formula>NOT(ISERROR(SEARCH("Small",X62)))</formula>
    </cfRule>
    <cfRule type="containsText" dxfId="2072" priority="2047" operator="containsText" text="Mid">
      <formula>NOT(ISERROR(SEARCH("Mid",X62)))</formula>
    </cfRule>
    <cfRule type="containsText" dxfId="2071" priority="2048" operator="containsText" text="Large">
      <formula>NOT(ISERROR(SEARCH("Large",X62)))</formula>
    </cfRule>
  </conditionalFormatting>
  <conditionalFormatting sqref="X62">
    <cfRule type="containsText" dxfId="2070" priority="2043" operator="containsText" text="Small">
      <formula>NOT(ISERROR(SEARCH("Small",X62)))</formula>
    </cfRule>
    <cfRule type="containsText" dxfId="2069" priority="2044" operator="containsText" text="Mid">
      <formula>NOT(ISERROR(SEARCH("Mid",X62)))</formula>
    </cfRule>
    <cfRule type="containsText" dxfId="2068" priority="2045" operator="containsText" text="Large">
      <formula>NOT(ISERROR(SEARCH("Large",X62)))</formula>
    </cfRule>
  </conditionalFormatting>
  <conditionalFormatting sqref="X62">
    <cfRule type="containsText" dxfId="2067" priority="2040" operator="containsText" text="Small">
      <formula>NOT(ISERROR(SEARCH("Small",X62)))</formula>
    </cfRule>
    <cfRule type="containsText" dxfId="2066" priority="2041" operator="containsText" text="Mid">
      <formula>NOT(ISERROR(SEARCH("Mid",X62)))</formula>
    </cfRule>
    <cfRule type="containsText" dxfId="2065" priority="2042" operator="containsText" text="Large">
      <formula>NOT(ISERROR(SEARCH("Large",X62)))</formula>
    </cfRule>
  </conditionalFormatting>
  <conditionalFormatting sqref="X62">
    <cfRule type="containsText" dxfId="2064" priority="2037" operator="containsText" text="Small">
      <formula>NOT(ISERROR(SEARCH("Small",X62)))</formula>
    </cfRule>
    <cfRule type="containsText" dxfId="2063" priority="2038" operator="containsText" text="Mid">
      <formula>NOT(ISERROR(SEARCH("Mid",X62)))</formula>
    </cfRule>
    <cfRule type="containsText" dxfId="2062" priority="2039" operator="containsText" text="Large">
      <formula>NOT(ISERROR(SEARCH("Large",X62)))</formula>
    </cfRule>
  </conditionalFormatting>
  <conditionalFormatting sqref="X62">
    <cfRule type="containsText" dxfId="2061" priority="2034" operator="containsText" text="Small">
      <formula>NOT(ISERROR(SEARCH("Small",X62)))</formula>
    </cfRule>
    <cfRule type="containsText" dxfId="2060" priority="2035" operator="containsText" text="Mid">
      <formula>NOT(ISERROR(SEARCH("Mid",X62)))</formula>
    </cfRule>
    <cfRule type="containsText" dxfId="2059" priority="2036" operator="containsText" text="Large">
      <formula>NOT(ISERROR(SEARCH("Large",X62)))</formula>
    </cfRule>
  </conditionalFormatting>
  <conditionalFormatting sqref="X62">
    <cfRule type="containsText" dxfId="2058" priority="2031" operator="containsText" text="Small">
      <formula>NOT(ISERROR(SEARCH("Small",X62)))</formula>
    </cfRule>
    <cfRule type="containsText" dxfId="2057" priority="2032" operator="containsText" text="Mid">
      <formula>NOT(ISERROR(SEARCH("Mid",X62)))</formula>
    </cfRule>
    <cfRule type="containsText" dxfId="2056" priority="2033" operator="containsText" text="Large">
      <formula>NOT(ISERROR(SEARCH("Large",X62)))</formula>
    </cfRule>
  </conditionalFormatting>
  <conditionalFormatting sqref="X20">
    <cfRule type="containsText" dxfId="2055" priority="2028" operator="containsText" text="Small">
      <formula>NOT(ISERROR(SEARCH("Small",X20)))</formula>
    </cfRule>
    <cfRule type="containsText" dxfId="2054" priority="2029" operator="containsText" text="Mid">
      <formula>NOT(ISERROR(SEARCH("Mid",X20)))</formula>
    </cfRule>
    <cfRule type="containsText" dxfId="2053" priority="2030" operator="containsText" text="Large">
      <formula>NOT(ISERROR(SEARCH("Large",X20)))</formula>
    </cfRule>
  </conditionalFormatting>
  <conditionalFormatting sqref="X20">
    <cfRule type="containsText" dxfId="2052" priority="2025" operator="containsText" text="Small">
      <formula>NOT(ISERROR(SEARCH("Small",X20)))</formula>
    </cfRule>
    <cfRule type="containsText" dxfId="2051" priority="2026" operator="containsText" text="Mid">
      <formula>NOT(ISERROR(SEARCH("Mid",X20)))</formula>
    </cfRule>
    <cfRule type="containsText" dxfId="2050" priority="2027" operator="containsText" text="Large">
      <formula>NOT(ISERROR(SEARCH("Large",X20)))</formula>
    </cfRule>
  </conditionalFormatting>
  <conditionalFormatting sqref="X20">
    <cfRule type="containsText" dxfId="2049" priority="2022" operator="containsText" text="Small">
      <formula>NOT(ISERROR(SEARCH("Small",X20)))</formula>
    </cfRule>
    <cfRule type="containsText" dxfId="2048" priority="2023" operator="containsText" text="Mid">
      <formula>NOT(ISERROR(SEARCH("Mid",X20)))</formula>
    </cfRule>
    <cfRule type="containsText" dxfId="2047" priority="2024" operator="containsText" text="Large">
      <formula>NOT(ISERROR(SEARCH("Large",X20)))</formula>
    </cfRule>
  </conditionalFormatting>
  <conditionalFormatting sqref="X34">
    <cfRule type="containsText" dxfId="2046" priority="2019" operator="containsText" text="Small">
      <formula>NOT(ISERROR(SEARCH("Small",X34)))</formula>
    </cfRule>
    <cfRule type="containsText" dxfId="2045" priority="2020" operator="containsText" text="Mid">
      <formula>NOT(ISERROR(SEARCH("Mid",X34)))</formula>
    </cfRule>
    <cfRule type="containsText" dxfId="2044" priority="2021" operator="containsText" text="Large">
      <formula>NOT(ISERROR(SEARCH("Large",X34)))</formula>
    </cfRule>
  </conditionalFormatting>
  <conditionalFormatting sqref="X34">
    <cfRule type="containsText" dxfId="2043" priority="2016" operator="containsText" text="Small">
      <formula>NOT(ISERROR(SEARCH("Small",X34)))</formula>
    </cfRule>
    <cfRule type="containsText" dxfId="2042" priority="2017" operator="containsText" text="Mid">
      <formula>NOT(ISERROR(SEARCH("Mid",X34)))</formula>
    </cfRule>
    <cfRule type="containsText" dxfId="2041" priority="2018" operator="containsText" text="Large">
      <formula>NOT(ISERROR(SEARCH("Large",X34)))</formula>
    </cfRule>
  </conditionalFormatting>
  <conditionalFormatting sqref="X34">
    <cfRule type="containsText" dxfId="2040" priority="2013" operator="containsText" text="Small">
      <formula>NOT(ISERROR(SEARCH("Small",X34)))</formula>
    </cfRule>
    <cfRule type="containsText" dxfId="2039" priority="2014" operator="containsText" text="Mid">
      <formula>NOT(ISERROR(SEARCH("Mid",X34)))</formula>
    </cfRule>
    <cfRule type="containsText" dxfId="2038" priority="2015" operator="containsText" text="Large">
      <formula>NOT(ISERROR(SEARCH("Large",X34)))</formula>
    </cfRule>
  </conditionalFormatting>
  <conditionalFormatting sqref="X48">
    <cfRule type="containsText" dxfId="2037" priority="2010" operator="containsText" text="Small">
      <formula>NOT(ISERROR(SEARCH("Small",X48)))</formula>
    </cfRule>
    <cfRule type="containsText" dxfId="2036" priority="2011" operator="containsText" text="Mid">
      <formula>NOT(ISERROR(SEARCH("Mid",X48)))</formula>
    </cfRule>
    <cfRule type="containsText" dxfId="2035" priority="2012" operator="containsText" text="Large">
      <formula>NOT(ISERROR(SEARCH("Large",X48)))</formula>
    </cfRule>
  </conditionalFormatting>
  <conditionalFormatting sqref="X48">
    <cfRule type="containsText" dxfId="2034" priority="2007" operator="containsText" text="Small">
      <formula>NOT(ISERROR(SEARCH("Small",X48)))</formula>
    </cfRule>
    <cfRule type="containsText" dxfId="2033" priority="2008" operator="containsText" text="Mid">
      <formula>NOT(ISERROR(SEARCH("Mid",X48)))</formula>
    </cfRule>
    <cfRule type="containsText" dxfId="2032" priority="2009" operator="containsText" text="Large">
      <formula>NOT(ISERROR(SEARCH("Large",X48)))</formula>
    </cfRule>
  </conditionalFormatting>
  <conditionalFormatting sqref="X48">
    <cfRule type="containsText" dxfId="2031" priority="2004" operator="containsText" text="Small">
      <formula>NOT(ISERROR(SEARCH("Small",X48)))</formula>
    </cfRule>
    <cfRule type="containsText" dxfId="2030" priority="2005" operator="containsText" text="Mid">
      <formula>NOT(ISERROR(SEARCH("Mid",X48)))</formula>
    </cfRule>
    <cfRule type="containsText" dxfId="2029" priority="2006" operator="containsText" text="Large">
      <formula>NOT(ISERROR(SEARCH("Large",X48)))</formula>
    </cfRule>
  </conditionalFormatting>
  <conditionalFormatting sqref="X62">
    <cfRule type="containsText" dxfId="2028" priority="2001" operator="containsText" text="Small">
      <formula>NOT(ISERROR(SEARCH("Small",X62)))</formula>
    </cfRule>
    <cfRule type="containsText" dxfId="2027" priority="2002" operator="containsText" text="Mid">
      <formula>NOT(ISERROR(SEARCH("Mid",X62)))</formula>
    </cfRule>
    <cfRule type="containsText" dxfId="2026" priority="2003" operator="containsText" text="Large">
      <formula>NOT(ISERROR(SEARCH("Large",X62)))</formula>
    </cfRule>
  </conditionalFormatting>
  <conditionalFormatting sqref="X62">
    <cfRule type="containsText" dxfId="2025" priority="1998" operator="containsText" text="Small">
      <formula>NOT(ISERROR(SEARCH("Small",X62)))</formula>
    </cfRule>
    <cfRule type="containsText" dxfId="2024" priority="1999" operator="containsText" text="Mid">
      <formula>NOT(ISERROR(SEARCH("Mid",X62)))</formula>
    </cfRule>
    <cfRule type="containsText" dxfId="2023" priority="2000" operator="containsText" text="Large">
      <formula>NOT(ISERROR(SEARCH("Large",X62)))</formula>
    </cfRule>
  </conditionalFormatting>
  <conditionalFormatting sqref="X62">
    <cfRule type="containsText" dxfId="2022" priority="1995" operator="containsText" text="Small">
      <formula>NOT(ISERROR(SEARCH("Small",X62)))</formula>
    </cfRule>
    <cfRule type="containsText" dxfId="2021" priority="1996" operator="containsText" text="Mid">
      <formula>NOT(ISERROR(SEARCH("Mid",X62)))</formula>
    </cfRule>
    <cfRule type="containsText" dxfId="2020" priority="1997" operator="containsText" text="Large">
      <formula>NOT(ISERROR(SEARCH("Large",X62)))</formula>
    </cfRule>
  </conditionalFormatting>
  <conditionalFormatting sqref="X62">
    <cfRule type="containsText" dxfId="2019" priority="1992" operator="containsText" text="Small">
      <formula>NOT(ISERROR(SEARCH("Small",X62)))</formula>
    </cfRule>
    <cfRule type="containsText" dxfId="2018" priority="1993" operator="containsText" text="Mid">
      <formula>NOT(ISERROR(SEARCH("Mid",X62)))</formula>
    </cfRule>
    <cfRule type="containsText" dxfId="2017" priority="1994" operator="containsText" text="Large">
      <formula>NOT(ISERROR(SEARCH("Large",X62)))</formula>
    </cfRule>
  </conditionalFormatting>
  <conditionalFormatting sqref="X62">
    <cfRule type="containsText" dxfId="2016" priority="1989" operator="containsText" text="Small">
      <formula>NOT(ISERROR(SEARCH("Small",X62)))</formula>
    </cfRule>
    <cfRule type="containsText" dxfId="2015" priority="1990" operator="containsText" text="Mid">
      <formula>NOT(ISERROR(SEARCH("Mid",X62)))</formula>
    </cfRule>
    <cfRule type="containsText" dxfId="2014" priority="1991" operator="containsText" text="Large">
      <formula>NOT(ISERROR(SEARCH("Large",X62)))</formula>
    </cfRule>
  </conditionalFormatting>
  <conditionalFormatting sqref="X62">
    <cfRule type="containsText" dxfId="2013" priority="1986" operator="containsText" text="Small">
      <formula>NOT(ISERROR(SEARCH("Small",X62)))</formula>
    </cfRule>
    <cfRule type="containsText" dxfId="2012" priority="1987" operator="containsText" text="Mid">
      <formula>NOT(ISERROR(SEARCH("Mid",X62)))</formula>
    </cfRule>
    <cfRule type="containsText" dxfId="2011" priority="1988" operator="containsText" text="Large">
      <formula>NOT(ISERROR(SEARCH("Large",X62)))</formula>
    </cfRule>
  </conditionalFormatting>
  <conditionalFormatting sqref="X62">
    <cfRule type="containsText" dxfId="2010" priority="1983" operator="containsText" text="Small">
      <formula>NOT(ISERROR(SEARCH("Small",X62)))</formula>
    </cfRule>
    <cfRule type="containsText" dxfId="2009" priority="1984" operator="containsText" text="Mid">
      <formula>NOT(ISERROR(SEARCH("Mid",X62)))</formula>
    </cfRule>
    <cfRule type="containsText" dxfId="2008" priority="1985" operator="containsText" text="Large">
      <formula>NOT(ISERROR(SEARCH("Large",X62)))</formula>
    </cfRule>
  </conditionalFormatting>
  <conditionalFormatting sqref="X62">
    <cfRule type="containsText" dxfId="2007" priority="1980" operator="containsText" text="Small">
      <formula>NOT(ISERROR(SEARCH("Small",X62)))</formula>
    </cfRule>
    <cfRule type="containsText" dxfId="2006" priority="1981" operator="containsText" text="Mid">
      <formula>NOT(ISERROR(SEARCH("Mid",X62)))</formula>
    </cfRule>
    <cfRule type="containsText" dxfId="2005" priority="1982" operator="containsText" text="Large">
      <formula>NOT(ISERROR(SEARCH("Large",X62)))</formula>
    </cfRule>
  </conditionalFormatting>
  <conditionalFormatting sqref="X62">
    <cfRule type="containsText" dxfId="2004" priority="1977" operator="containsText" text="Small">
      <formula>NOT(ISERROR(SEARCH("Small",X62)))</formula>
    </cfRule>
    <cfRule type="containsText" dxfId="2003" priority="1978" operator="containsText" text="Mid">
      <formula>NOT(ISERROR(SEARCH("Mid",X62)))</formula>
    </cfRule>
    <cfRule type="containsText" dxfId="2002" priority="1979" operator="containsText" text="Large">
      <formula>NOT(ISERROR(SEARCH("Large",X62)))</formula>
    </cfRule>
  </conditionalFormatting>
  <conditionalFormatting sqref="X62">
    <cfRule type="containsText" dxfId="2001" priority="1974" operator="containsText" text="Small">
      <formula>NOT(ISERROR(SEARCH("Small",X62)))</formula>
    </cfRule>
    <cfRule type="containsText" dxfId="2000" priority="1975" operator="containsText" text="Mid">
      <formula>NOT(ISERROR(SEARCH("Mid",X62)))</formula>
    </cfRule>
    <cfRule type="containsText" dxfId="1999" priority="1976" operator="containsText" text="Large">
      <formula>NOT(ISERROR(SEARCH("Large",X62)))</formula>
    </cfRule>
  </conditionalFormatting>
  <conditionalFormatting sqref="X62">
    <cfRule type="containsText" dxfId="1998" priority="1971" operator="containsText" text="Small">
      <formula>NOT(ISERROR(SEARCH("Small",X62)))</formula>
    </cfRule>
    <cfRule type="containsText" dxfId="1997" priority="1972" operator="containsText" text="Mid">
      <formula>NOT(ISERROR(SEARCH("Mid",X62)))</formula>
    </cfRule>
    <cfRule type="containsText" dxfId="1996" priority="1973" operator="containsText" text="Large">
      <formula>NOT(ISERROR(SEARCH("Large",X62)))</formula>
    </cfRule>
  </conditionalFormatting>
  <conditionalFormatting sqref="X62">
    <cfRule type="containsText" dxfId="1995" priority="1968" operator="containsText" text="Small">
      <formula>NOT(ISERROR(SEARCH("Small",X62)))</formula>
    </cfRule>
    <cfRule type="containsText" dxfId="1994" priority="1969" operator="containsText" text="Mid">
      <formula>NOT(ISERROR(SEARCH("Mid",X62)))</formula>
    </cfRule>
    <cfRule type="containsText" dxfId="1993" priority="1970" operator="containsText" text="Large">
      <formula>NOT(ISERROR(SEARCH("Large",X62)))</formula>
    </cfRule>
  </conditionalFormatting>
  <conditionalFormatting sqref="X34">
    <cfRule type="containsText" dxfId="1992" priority="1965" operator="containsText" text="Small">
      <formula>NOT(ISERROR(SEARCH("Small",X34)))</formula>
    </cfRule>
    <cfRule type="containsText" dxfId="1991" priority="1966" operator="containsText" text="Mid">
      <formula>NOT(ISERROR(SEARCH("Mid",X34)))</formula>
    </cfRule>
    <cfRule type="containsText" dxfId="1990" priority="1967" operator="containsText" text="Large">
      <formula>NOT(ISERROR(SEARCH("Large",X34)))</formula>
    </cfRule>
  </conditionalFormatting>
  <conditionalFormatting sqref="X34">
    <cfRule type="containsText" dxfId="1989" priority="1962" operator="containsText" text="Small">
      <formula>NOT(ISERROR(SEARCH("Small",X34)))</formula>
    </cfRule>
    <cfRule type="containsText" dxfId="1988" priority="1963" operator="containsText" text="Mid">
      <formula>NOT(ISERROR(SEARCH("Mid",X34)))</formula>
    </cfRule>
    <cfRule type="containsText" dxfId="1987" priority="1964" operator="containsText" text="Large">
      <formula>NOT(ISERROR(SEARCH("Large",X34)))</formula>
    </cfRule>
  </conditionalFormatting>
  <conditionalFormatting sqref="X34">
    <cfRule type="containsText" dxfId="1986" priority="1959" operator="containsText" text="Small">
      <formula>NOT(ISERROR(SEARCH("Small",X34)))</formula>
    </cfRule>
    <cfRule type="containsText" dxfId="1985" priority="1960" operator="containsText" text="Mid">
      <formula>NOT(ISERROR(SEARCH("Mid",X34)))</formula>
    </cfRule>
    <cfRule type="containsText" dxfId="1984" priority="1961" operator="containsText" text="Large">
      <formula>NOT(ISERROR(SEARCH("Large",X34)))</formula>
    </cfRule>
  </conditionalFormatting>
  <conditionalFormatting sqref="X34">
    <cfRule type="containsText" dxfId="1983" priority="1956" operator="containsText" text="Small">
      <formula>NOT(ISERROR(SEARCH("Small",X34)))</formula>
    </cfRule>
    <cfRule type="containsText" dxfId="1982" priority="1957" operator="containsText" text="Mid">
      <formula>NOT(ISERROR(SEARCH("Mid",X34)))</formula>
    </cfRule>
    <cfRule type="containsText" dxfId="1981" priority="1958" operator="containsText" text="Large">
      <formula>NOT(ISERROR(SEARCH("Large",X34)))</formula>
    </cfRule>
  </conditionalFormatting>
  <conditionalFormatting sqref="X34">
    <cfRule type="containsText" dxfId="1980" priority="1953" operator="containsText" text="Small">
      <formula>NOT(ISERROR(SEARCH("Small",X34)))</formula>
    </cfRule>
    <cfRule type="containsText" dxfId="1979" priority="1954" operator="containsText" text="Mid">
      <formula>NOT(ISERROR(SEARCH("Mid",X34)))</formula>
    </cfRule>
    <cfRule type="containsText" dxfId="1978" priority="1955" operator="containsText" text="Large">
      <formula>NOT(ISERROR(SEARCH("Large",X34)))</formula>
    </cfRule>
  </conditionalFormatting>
  <conditionalFormatting sqref="X34">
    <cfRule type="containsText" dxfId="1977" priority="1950" operator="containsText" text="Small">
      <formula>NOT(ISERROR(SEARCH("Small",X34)))</formula>
    </cfRule>
    <cfRule type="containsText" dxfId="1976" priority="1951" operator="containsText" text="Mid">
      <formula>NOT(ISERROR(SEARCH("Mid",X34)))</formula>
    </cfRule>
    <cfRule type="containsText" dxfId="1975" priority="1952" operator="containsText" text="Large">
      <formula>NOT(ISERROR(SEARCH("Large",X34)))</formula>
    </cfRule>
  </conditionalFormatting>
  <conditionalFormatting sqref="X34">
    <cfRule type="containsText" dxfId="1974" priority="1947" operator="containsText" text="Small">
      <formula>NOT(ISERROR(SEARCH("Small",X34)))</formula>
    </cfRule>
    <cfRule type="containsText" dxfId="1973" priority="1948" operator="containsText" text="Mid">
      <formula>NOT(ISERROR(SEARCH("Mid",X34)))</formula>
    </cfRule>
    <cfRule type="containsText" dxfId="1972" priority="1949" operator="containsText" text="Large">
      <formula>NOT(ISERROR(SEARCH("Large",X34)))</formula>
    </cfRule>
  </conditionalFormatting>
  <conditionalFormatting sqref="X34">
    <cfRule type="containsText" dxfId="1971" priority="1944" operator="containsText" text="Small">
      <formula>NOT(ISERROR(SEARCH("Small",X34)))</formula>
    </cfRule>
    <cfRule type="containsText" dxfId="1970" priority="1945" operator="containsText" text="Mid">
      <formula>NOT(ISERROR(SEARCH("Mid",X34)))</formula>
    </cfRule>
    <cfRule type="containsText" dxfId="1969" priority="1946" operator="containsText" text="Large">
      <formula>NOT(ISERROR(SEARCH("Large",X34)))</formula>
    </cfRule>
  </conditionalFormatting>
  <conditionalFormatting sqref="X34">
    <cfRule type="containsText" dxfId="1968" priority="1941" operator="containsText" text="Small">
      <formula>NOT(ISERROR(SEARCH("Small",X34)))</formula>
    </cfRule>
    <cfRule type="containsText" dxfId="1967" priority="1942" operator="containsText" text="Mid">
      <formula>NOT(ISERROR(SEARCH("Mid",X34)))</formula>
    </cfRule>
    <cfRule type="containsText" dxfId="1966" priority="1943" operator="containsText" text="Large">
      <formula>NOT(ISERROR(SEARCH("Large",X34)))</formula>
    </cfRule>
  </conditionalFormatting>
  <conditionalFormatting sqref="X34">
    <cfRule type="containsText" dxfId="1965" priority="1938" operator="containsText" text="Small">
      <formula>NOT(ISERROR(SEARCH("Small",X34)))</formula>
    </cfRule>
    <cfRule type="containsText" dxfId="1964" priority="1939" operator="containsText" text="Mid">
      <formula>NOT(ISERROR(SEARCH("Mid",X34)))</formula>
    </cfRule>
    <cfRule type="containsText" dxfId="1963" priority="1940" operator="containsText" text="Large">
      <formula>NOT(ISERROR(SEARCH("Large",X34)))</formula>
    </cfRule>
  </conditionalFormatting>
  <conditionalFormatting sqref="X34">
    <cfRule type="containsText" dxfId="1962" priority="1935" operator="containsText" text="Small">
      <formula>NOT(ISERROR(SEARCH("Small",X34)))</formula>
    </cfRule>
    <cfRule type="containsText" dxfId="1961" priority="1936" operator="containsText" text="Mid">
      <formula>NOT(ISERROR(SEARCH("Mid",X34)))</formula>
    </cfRule>
    <cfRule type="containsText" dxfId="1960" priority="1937" operator="containsText" text="Large">
      <formula>NOT(ISERROR(SEARCH("Large",X34)))</formula>
    </cfRule>
  </conditionalFormatting>
  <conditionalFormatting sqref="X34">
    <cfRule type="containsText" dxfId="1959" priority="1932" operator="containsText" text="Small">
      <formula>NOT(ISERROR(SEARCH("Small",X34)))</formula>
    </cfRule>
    <cfRule type="containsText" dxfId="1958" priority="1933" operator="containsText" text="Mid">
      <formula>NOT(ISERROR(SEARCH("Mid",X34)))</formula>
    </cfRule>
    <cfRule type="containsText" dxfId="1957" priority="1934" operator="containsText" text="Large">
      <formula>NOT(ISERROR(SEARCH("Large",X34)))</formula>
    </cfRule>
  </conditionalFormatting>
  <conditionalFormatting sqref="X20">
    <cfRule type="containsText" dxfId="1956" priority="1929" operator="containsText" text="Small">
      <formula>NOT(ISERROR(SEARCH("Small",X20)))</formula>
    </cfRule>
    <cfRule type="containsText" dxfId="1955" priority="1930" operator="containsText" text="Mid">
      <formula>NOT(ISERROR(SEARCH("Mid",X20)))</formula>
    </cfRule>
    <cfRule type="containsText" dxfId="1954" priority="1931" operator="containsText" text="Large">
      <formula>NOT(ISERROR(SEARCH("Large",X20)))</formula>
    </cfRule>
  </conditionalFormatting>
  <conditionalFormatting sqref="X20">
    <cfRule type="containsText" dxfId="1953" priority="1926" operator="containsText" text="Small">
      <formula>NOT(ISERROR(SEARCH("Small",X20)))</formula>
    </cfRule>
    <cfRule type="containsText" dxfId="1952" priority="1927" operator="containsText" text="Mid">
      <formula>NOT(ISERROR(SEARCH("Mid",X20)))</formula>
    </cfRule>
    <cfRule type="containsText" dxfId="1951" priority="1928" operator="containsText" text="Large">
      <formula>NOT(ISERROR(SEARCH("Large",X20)))</formula>
    </cfRule>
  </conditionalFormatting>
  <conditionalFormatting sqref="X20">
    <cfRule type="containsText" dxfId="1950" priority="1923" operator="containsText" text="Small">
      <formula>NOT(ISERROR(SEARCH("Small",X20)))</formula>
    </cfRule>
    <cfRule type="containsText" dxfId="1949" priority="1924" operator="containsText" text="Mid">
      <formula>NOT(ISERROR(SEARCH("Mid",X20)))</formula>
    </cfRule>
    <cfRule type="containsText" dxfId="1948" priority="1925" operator="containsText" text="Large">
      <formula>NOT(ISERROR(SEARCH("Large",X20)))</formula>
    </cfRule>
  </conditionalFormatting>
  <conditionalFormatting sqref="X20">
    <cfRule type="containsText" dxfId="1947" priority="1920" operator="containsText" text="Small">
      <formula>NOT(ISERROR(SEARCH("Small",X20)))</formula>
    </cfRule>
    <cfRule type="containsText" dxfId="1946" priority="1921" operator="containsText" text="Mid">
      <formula>NOT(ISERROR(SEARCH("Mid",X20)))</formula>
    </cfRule>
    <cfRule type="containsText" dxfId="1945" priority="1922" operator="containsText" text="Large">
      <formula>NOT(ISERROR(SEARCH("Large",X20)))</formula>
    </cfRule>
  </conditionalFormatting>
  <conditionalFormatting sqref="X20">
    <cfRule type="containsText" dxfId="1944" priority="1917" operator="containsText" text="Small">
      <formula>NOT(ISERROR(SEARCH("Small",X20)))</formula>
    </cfRule>
    <cfRule type="containsText" dxfId="1943" priority="1918" operator="containsText" text="Mid">
      <formula>NOT(ISERROR(SEARCH("Mid",X20)))</formula>
    </cfRule>
    <cfRule type="containsText" dxfId="1942" priority="1919" operator="containsText" text="Large">
      <formula>NOT(ISERROR(SEARCH("Large",X20)))</formula>
    </cfRule>
  </conditionalFormatting>
  <conditionalFormatting sqref="X20">
    <cfRule type="containsText" dxfId="1941" priority="1914" operator="containsText" text="Small">
      <formula>NOT(ISERROR(SEARCH("Small",X20)))</formula>
    </cfRule>
    <cfRule type="containsText" dxfId="1940" priority="1915" operator="containsText" text="Mid">
      <formula>NOT(ISERROR(SEARCH("Mid",X20)))</formula>
    </cfRule>
    <cfRule type="containsText" dxfId="1939" priority="1916" operator="containsText" text="Large">
      <formula>NOT(ISERROR(SEARCH("Large",X20)))</formula>
    </cfRule>
  </conditionalFormatting>
  <conditionalFormatting sqref="X20">
    <cfRule type="containsText" dxfId="1938" priority="1911" operator="containsText" text="Small">
      <formula>NOT(ISERROR(SEARCH("Small",X20)))</formula>
    </cfRule>
    <cfRule type="containsText" dxfId="1937" priority="1912" operator="containsText" text="Mid">
      <formula>NOT(ISERROR(SEARCH("Mid",X20)))</formula>
    </cfRule>
    <cfRule type="containsText" dxfId="1936" priority="1913" operator="containsText" text="Large">
      <formula>NOT(ISERROR(SEARCH("Large",X20)))</formula>
    </cfRule>
  </conditionalFormatting>
  <conditionalFormatting sqref="X20">
    <cfRule type="containsText" dxfId="1935" priority="1908" operator="containsText" text="Small">
      <formula>NOT(ISERROR(SEARCH("Small",X20)))</formula>
    </cfRule>
    <cfRule type="containsText" dxfId="1934" priority="1909" operator="containsText" text="Mid">
      <formula>NOT(ISERROR(SEARCH("Mid",X20)))</formula>
    </cfRule>
    <cfRule type="containsText" dxfId="1933" priority="1910" operator="containsText" text="Large">
      <formula>NOT(ISERROR(SEARCH("Large",X20)))</formula>
    </cfRule>
  </conditionalFormatting>
  <conditionalFormatting sqref="X20">
    <cfRule type="containsText" dxfId="1932" priority="1905" operator="containsText" text="Small">
      <formula>NOT(ISERROR(SEARCH("Small",X20)))</formula>
    </cfRule>
    <cfRule type="containsText" dxfId="1931" priority="1906" operator="containsText" text="Mid">
      <formula>NOT(ISERROR(SEARCH("Mid",X20)))</formula>
    </cfRule>
    <cfRule type="containsText" dxfId="1930" priority="1907" operator="containsText" text="Large">
      <formula>NOT(ISERROR(SEARCH("Large",X20)))</formula>
    </cfRule>
  </conditionalFormatting>
  <conditionalFormatting sqref="X20">
    <cfRule type="containsText" dxfId="1929" priority="1902" operator="containsText" text="Small">
      <formula>NOT(ISERROR(SEARCH("Small",X20)))</formula>
    </cfRule>
    <cfRule type="containsText" dxfId="1928" priority="1903" operator="containsText" text="Mid">
      <formula>NOT(ISERROR(SEARCH("Mid",X20)))</formula>
    </cfRule>
    <cfRule type="containsText" dxfId="1927" priority="1904" operator="containsText" text="Large">
      <formula>NOT(ISERROR(SEARCH("Large",X20)))</formula>
    </cfRule>
  </conditionalFormatting>
  <conditionalFormatting sqref="X20">
    <cfRule type="containsText" dxfId="1926" priority="1899" operator="containsText" text="Small">
      <formula>NOT(ISERROR(SEARCH("Small",X20)))</formula>
    </cfRule>
    <cfRule type="containsText" dxfId="1925" priority="1900" operator="containsText" text="Mid">
      <formula>NOT(ISERROR(SEARCH("Mid",X20)))</formula>
    </cfRule>
    <cfRule type="containsText" dxfId="1924" priority="1901" operator="containsText" text="Large">
      <formula>NOT(ISERROR(SEARCH("Large",X20)))</formula>
    </cfRule>
  </conditionalFormatting>
  <conditionalFormatting sqref="X20">
    <cfRule type="containsText" dxfId="1923" priority="1896" operator="containsText" text="Small">
      <formula>NOT(ISERROR(SEARCH("Small",X20)))</formula>
    </cfRule>
    <cfRule type="containsText" dxfId="1922" priority="1897" operator="containsText" text="Mid">
      <formula>NOT(ISERROR(SEARCH("Mid",X20)))</formula>
    </cfRule>
    <cfRule type="containsText" dxfId="1921" priority="1898" operator="containsText" text="Large">
      <formula>NOT(ISERROR(SEARCH("Large",X20)))</formula>
    </cfRule>
  </conditionalFormatting>
  <conditionalFormatting sqref="X20">
    <cfRule type="containsText" dxfId="1920" priority="1893" operator="containsText" text="Small">
      <formula>NOT(ISERROR(SEARCH("Small",X20)))</formula>
    </cfRule>
    <cfRule type="containsText" dxfId="1919" priority="1894" operator="containsText" text="Mid">
      <formula>NOT(ISERROR(SEARCH("Mid",X20)))</formula>
    </cfRule>
    <cfRule type="containsText" dxfId="1918" priority="1895" operator="containsText" text="Large">
      <formula>NOT(ISERROR(SEARCH("Large",X20)))</formula>
    </cfRule>
  </conditionalFormatting>
  <conditionalFormatting sqref="X20">
    <cfRule type="containsText" dxfId="1917" priority="1890" operator="containsText" text="Small">
      <formula>NOT(ISERROR(SEARCH("Small",X20)))</formula>
    </cfRule>
    <cfRule type="containsText" dxfId="1916" priority="1891" operator="containsText" text="Mid">
      <formula>NOT(ISERROR(SEARCH("Mid",X20)))</formula>
    </cfRule>
    <cfRule type="containsText" dxfId="1915" priority="1892" operator="containsText" text="Large">
      <formula>NOT(ISERROR(SEARCH("Large",X20)))</formula>
    </cfRule>
  </conditionalFormatting>
  <conditionalFormatting sqref="X20">
    <cfRule type="containsText" dxfId="1914" priority="1887" operator="containsText" text="Small">
      <formula>NOT(ISERROR(SEARCH("Small",X20)))</formula>
    </cfRule>
    <cfRule type="containsText" dxfId="1913" priority="1888" operator="containsText" text="Mid">
      <formula>NOT(ISERROR(SEARCH("Mid",X20)))</formula>
    </cfRule>
    <cfRule type="containsText" dxfId="1912" priority="1889" operator="containsText" text="Large">
      <formula>NOT(ISERROR(SEARCH("Large",X20)))</formula>
    </cfRule>
  </conditionalFormatting>
  <conditionalFormatting sqref="X20">
    <cfRule type="containsText" dxfId="1911" priority="1884" operator="containsText" text="Small">
      <formula>NOT(ISERROR(SEARCH("Small",X20)))</formula>
    </cfRule>
    <cfRule type="containsText" dxfId="1910" priority="1885" operator="containsText" text="Mid">
      <formula>NOT(ISERROR(SEARCH("Mid",X20)))</formula>
    </cfRule>
    <cfRule type="containsText" dxfId="1909" priority="1886" operator="containsText" text="Large">
      <formula>NOT(ISERROR(SEARCH("Large",X20)))</formula>
    </cfRule>
  </conditionalFormatting>
  <conditionalFormatting sqref="X34">
    <cfRule type="containsText" dxfId="1908" priority="1881" operator="containsText" text="Small">
      <formula>NOT(ISERROR(SEARCH("Small",X34)))</formula>
    </cfRule>
    <cfRule type="containsText" dxfId="1907" priority="1882" operator="containsText" text="Mid">
      <formula>NOT(ISERROR(SEARCH("Mid",X34)))</formula>
    </cfRule>
    <cfRule type="containsText" dxfId="1906" priority="1883" operator="containsText" text="Large">
      <formula>NOT(ISERROR(SEARCH("Large",X34)))</formula>
    </cfRule>
  </conditionalFormatting>
  <conditionalFormatting sqref="X48">
    <cfRule type="containsText" dxfId="1905" priority="1878" operator="containsText" text="Small">
      <formula>NOT(ISERROR(SEARCH("Small",X48)))</formula>
    </cfRule>
    <cfRule type="containsText" dxfId="1904" priority="1879" operator="containsText" text="Mid">
      <formula>NOT(ISERROR(SEARCH("Mid",X48)))</formula>
    </cfRule>
    <cfRule type="containsText" dxfId="1903" priority="1880" operator="containsText" text="Large">
      <formula>NOT(ISERROR(SEARCH("Large",X48)))</formula>
    </cfRule>
  </conditionalFormatting>
  <conditionalFormatting sqref="X34">
    <cfRule type="containsText" dxfId="1902" priority="1875" operator="containsText" text="Small">
      <formula>NOT(ISERROR(SEARCH("Small",X34)))</formula>
    </cfRule>
    <cfRule type="containsText" dxfId="1901" priority="1876" operator="containsText" text="Mid">
      <formula>NOT(ISERROR(SEARCH("Mid",X34)))</formula>
    </cfRule>
    <cfRule type="containsText" dxfId="1900" priority="1877" operator="containsText" text="Large">
      <formula>NOT(ISERROR(SEARCH("Large",X34)))</formula>
    </cfRule>
  </conditionalFormatting>
  <conditionalFormatting sqref="X48">
    <cfRule type="containsText" dxfId="1899" priority="1872" operator="containsText" text="Small">
      <formula>NOT(ISERROR(SEARCH("Small",X48)))</formula>
    </cfRule>
    <cfRule type="containsText" dxfId="1898" priority="1873" operator="containsText" text="Mid">
      <formula>NOT(ISERROR(SEARCH("Mid",X48)))</formula>
    </cfRule>
    <cfRule type="containsText" dxfId="1897" priority="1874" operator="containsText" text="Large">
      <formula>NOT(ISERROR(SEARCH("Large",X48)))</formula>
    </cfRule>
  </conditionalFormatting>
  <conditionalFormatting sqref="X48">
    <cfRule type="containsText" dxfId="1896" priority="1869" operator="containsText" text="Small">
      <formula>NOT(ISERROR(SEARCH("Small",X48)))</formula>
    </cfRule>
    <cfRule type="containsText" dxfId="1895" priority="1870" operator="containsText" text="Mid">
      <formula>NOT(ISERROR(SEARCH("Mid",X48)))</formula>
    </cfRule>
    <cfRule type="containsText" dxfId="1894" priority="1871" operator="containsText" text="Large">
      <formula>NOT(ISERROR(SEARCH("Large",X48)))</formula>
    </cfRule>
  </conditionalFormatting>
  <conditionalFormatting sqref="X62">
    <cfRule type="containsText" dxfId="1893" priority="1866" operator="containsText" text="Small">
      <formula>NOT(ISERROR(SEARCH("Small",X62)))</formula>
    </cfRule>
    <cfRule type="containsText" dxfId="1892" priority="1867" operator="containsText" text="Mid">
      <formula>NOT(ISERROR(SEARCH("Mid",X62)))</formula>
    </cfRule>
    <cfRule type="containsText" dxfId="1891" priority="1868" operator="containsText" text="Large">
      <formula>NOT(ISERROR(SEARCH("Large",X62)))</formula>
    </cfRule>
  </conditionalFormatting>
  <conditionalFormatting sqref="X62">
    <cfRule type="containsText" dxfId="1890" priority="1863" operator="containsText" text="Small">
      <formula>NOT(ISERROR(SEARCH("Small",X62)))</formula>
    </cfRule>
    <cfRule type="containsText" dxfId="1889" priority="1864" operator="containsText" text="Mid">
      <formula>NOT(ISERROR(SEARCH("Mid",X62)))</formula>
    </cfRule>
    <cfRule type="containsText" dxfId="1888" priority="1865" operator="containsText" text="Large">
      <formula>NOT(ISERROR(SEARCH("Large",X62)))</formula>
    </cfRule>
  </conditionalFormatting>
  <conditionalFormatting sqref="X62">
    <cfRule type="containsText" dxfId="1887" priority="1860" operator="containsText" text="Small">
      <formula>NOT(ISERROR(SEARCH("Small",X62)))</formula>
    </cfRule>
    <cfRule type="containsText" dxfId="1886" priority="1861" operator="containsText" text="Mid">
      <formula>NOT(ISERROR(SEARCH("Mid",X62)))</formula>
    </cfRule>
    <cfRule type="containsText" dxfId="1885" priority="1862" operator="containsText" text="Large">
      <formula>NOT(ISERROR(SEARCH("Large",X62)))</formula>
    </cfRule>
  </conditionalFormatting>
  <conditionalFormatting sqref="X34">
    <cfRule type="containsText" dxfId="1884" priority="1857" operator="containsText" text="Small">
      <formula>NOT(ISERROR(SEARCH("Small",X34)))</formula>
    </cfRule>
    <cfRule type="containsText" dxfId="1883" priority="1858" operator="containsText" text="Mid">
      <formula>NOT(ISERROR(SEARCH("Mid",X34)))</formula>
    </cfRule>
    <cfRule type="containsText" dxfId="1882" priority="1859" operator="containsText" text="Large">
      <formula>NOT(ISERROR(SEARCH("Large",X34)))</formula>
    </cfRule>
  </conditionalFormatting>
  <conditionalFormatting sqref="X48">
    <cfRule type="containsText" dxfId="1881" priority="1854" operator="containsText" text="Small">
      <formula>NOT(ISERROR(SEARCH("Small",X48)))</formula>
    </cfRule>
    <cfRule type="containsText" dxfId="1880" priority="1855" operator="containsText" text="Mid">
      <formula>NOT(ISERROR(SEARCH("Mid",X48)))</formula>
    </cfRule>
    <cfRule type="containsText" dxfId="1879" priority="1856" operator="containsText" text="Large">
      <formula>NOT(ISERROR(SEARCH("Large",X48)))</formula>
    </cfRule>
  </conditionalFormatting>
  <conditionalFormatting sqref="X48">
    <cfRule type="containsText" dxfId="1878" priority="1851" operator="containsText" text="Small">
      <formula>NOT(ISERROR(SEARCH("Small",X48)))</formula>
    </cfRule>
    <cfRule type="containsText" dxfId="1877" priority="1852" operator="containsText" text="Mid">
      <formula>NOT(ISERROR(SEARCH("Mid",X48)))</formula>
    </cfRule>
    <cfRule type="containsText" dxfId="1876" priority="1853" operator="containsText" text="Large">
      <formula>NOT(ISERROR(SEARCH("Large",X48)))</formula>
    </cfRule>
  </conditionalFormatting>
  <conditionalFormatting sqref="X48">
    <cfRule type="containsText" dxfId="1875" priority="1848" operator="containsText" text="Small">
      <formula>NOT(ISERROR(SEARCH("Small",X48)))</formula>
    </cfRule>
    <cfRule type="containsText" dxfId="1874" priority="1849" operator="containsText" text="Mid">
      <formula>NOT(ISERROR(SEARCH("Mid",X48)))</formula>
    </cfRule>
    <cfRule type="containsText" dxfId="1873" priority="1850" operator="containsText" text="Large">
      <formula>NOT(ISERROR(SEARCH("Large",X48)))</formula>
    </cfRule>
  </conditionalFormatting>
  <conditionalFormatting sqref="X62">
    <cfRule type="containsText" dxfId="1872" priority="1845" operator="containsText" text="Small">
      <formula>NOT(ISERROR(SEARCH("Small",X62)))</formula>
    </cfRule>
    <cfRule type="containsText" dxfId="1871" priority="1846" operator="containsText" text="Mid">
      <formula>NOT(ISERROR(SEARCH("Mid",X62)))</formula>
    </cfRule>
    <cfRule type="containsText" dxfId="1870" priority="1847" operator="containsText" text="Large">
      <formula>NOT(ISERROR(SEARCH("Large",X62)))</formula>
    </cfRule>
  </conditionalFormatting>
  <conditionalFormatting sqref="X62">
    <cfRule type="containsText" dxfId="1869" priority="1842" operator="containsText" text="Small">
      <formula>NOT(ISERROR(SEARCH("Small",X62)))</formula>
    </cfRule>
    <cfRule type="containsText" dxfId="1868" priority="1843" operator="containsText" text="Mid">
      <formula>NOT(ISERROR(SEARCH("Mid",X62)))</formula>
    </cfRule>
    <cfRule type="containsText" dxfId="1867" priority="1844" operator="containsText" text="Large">
      <formula>NOT(ISERROR(SEARCH("Large",X62)))</formula>
    </cfRule>
  </conditionalFormatting>
  <conditionalFormatting sqref="X62">
    <cfRule type="containsText" dxfId="1866" priority="1839" operator="containsText" text="Small">
      <formula>NOT(ISERROR(SEARCH("Small",X62)))</formula>
    </cfRule>
    <cfRule type="containsText" dxfId="1865" priority="1840" operator="containsText" text="Mid">
      <formula>NOT(ISERROR(SEARCH("Mid",X62)))</formula>
    </cfRule>
    <cfRule type="containsText" dxfId="1864" priority="1841" operator="containsText" text="Large">
      <formula>NOT(ISERROR(SEARCH("Large",X62)))</formula>
    </cfRule>
  </conditionalFormatting>
  <conditionalFormatting sqref="X62">
    <cfRule type="containsText" dxfId="1863" priority="1836" operator="containsText" text="Small">
      <formula>NOT(ISERROR(SEARCH("Small",X62)))</formula>
    </cfRule>
    <cfRule type="containsText" dxfId="1862" priority="1837" operator="containsText" text="Mid">
      <formula>NOT(ISERROR(SEARCH("Mid",X62)))</formula>
    </cfRule>
    <cfRule type="containsText" dxfId="1861" priority="1838" operator="containsText" text="Large">
      <formula>NOT(ISERROR(SEARCH("Large",X62)))</formula>
    </cfRule>
  </conditionalFormatting>
  <conditionalFormatting sqref="X62">
    <cfRule type="containsText" dxfId="1860" priority="1833" operator="containsText" text="Small">
      <formula>NOT(ISERROR(SEARCH("Small",X62)))</formula>
    </cfRule>
    <cfRule type="containsText" dxfId="1859" priority="1834" operator="containsText" text="Mid">
      <formula>NOT(ISERROR(SEARCH("Mid",X62)))</formula>
    </cfRule>
    <cfRule type="containsText" dxfId="1858" priority="1835" operator="containsText" text="Large">
      <formula>NOT(ISERROR(SEARCH("Large",X62)))</formula>
    </cfRule>
  </conditionalFormatting>
  <conditionalFormatting sqref="X62">
    <cfRule type="containsText" dxfId="1857" priority="1830" operator="containsText" text="Small">
      <formula>NOT(ISERROR(SEARCH("Small",X62)))</formula>
    </cfRule>
    <cfRule type="containsText" dxfId="1856" priority="1831" operator="containsText" text="Mid">
      <formula>NOT(ISERROR(SEARCH("Mid",X62)))</formula>
    </cfRule>
    <cfRule type="containsText" dxfId="1855" priority="1832" operator="containsText" text="Large">
      <formula>NOT(ISERROR(SEARCH("Large",X62)))</formula>
    </cfRule>
  </conditionalFormatting>
  <conditionalFormatting sqref="X34">
    <cfRule type="containsText" dxfId="1854" priority="1827" operator="containsText" text="Small">
      <formula>NOT(ISERROR(SEARCH("Small",X34)))</formula>
    </cfRule>
    <cfRule type="containsText" dxfId="1853" priority="1828" operator="containsText" text="Mid">
      <formula>NOT(ISERROR(SEARCH("Mid",X34)))</formula>
    </cfRule>
    <cfRule type="containsText" dxfId="1852" priority="1829" operator="containsText" text="Large">
      <formula>NOT(ISERROR(SEARCH("Large",X34)))</formula>
    </cfRule>
  </conditionalFormatting>
  <conditionalFormatting sqref="X48">
    <cfRule type="containsText" dxfId="1851" priority="1824" operator="containsText" text="Small">
      <formula>NOT(ISERROR(SEARCH("Small",X48)))</formula>
    </cfRule>
    <cfRule type="containsText" dxfId="1850" priority="1825" operator="containsText" text="Mid">
      <formula>NOT(ISERROR(SEARCH("Mid",X48)))</formula>
    </cfRule>
    <cfRule type="containsText" dxfId="1849" priority="1826" operator="containsText" text="Large">
      <formula>NOT(ISERROR(SEARCH("Large",X48)))</formula>
    </cfRule>
  </conditionalFormatting>
  <conditionalFormatting sqref="X48">
    <cfRule type="containsText" dxfId="1848" priority="1821" operator="containsText" text="Small">
      <formula>NOT(ISERROR(SEARCH("Small",X48)))</formula>
    </cfRule>
    <cfRule type="containsText" dxfId="1847" priority="1822" operator="containsText" text="Mid">
      <formula>NOT(ISERROR(SEARCH("Mid",X48)))</formula>
    </cfRule>
    <cfRule type="containsText" dxfId="1846" priority="1823" operator="containsText" text="Large">
      <formula>NOT(ISERROR(SEARCH("Large",X48)))</formula>
    </cfRule>
  </conditionalFormatting>
  <conditionalFormatting sqref="X48">
    <cfRule type="containsText" dxfId="1845" priority="1818" operator="containsText" text="Small">
      <formula>NOT(ISERROR(SEARCH("Small",X48)))</formula>
    </cfRule>
    <cfRule type="containsText" dxfId="1844" priority="1819" operator="containsText" text="Mid">
      <formula>NOT(ISERROR(SEARCH("Mid",X48)))</formula>
    </cfRule>
    <cfRule type="containsText" dxfId="1843" priority="1820" operator="containsText" text="Large">
      <formula>NOT(ISERROR(SEARCH("Large",X48)))</formula>
    </cfRule>
  </conditionalFormatting>
  <conditionalFormatting sqref="X48">
    <cfRule type="containsText" dxfId="1842" priority="1815" operator="containsText" text="Small">
      <formula>NOT(ISERROR(SEARCH("Small",X48)))</formula>
    </cfRule>
    <cfRule type="containsText" dxfId="1841" priority="1816" operator="containsText" text="Mid">
      <formula>NOT(ISERROR(SEARCH("Mid",X48)))</formula>
    </cfRule>
    <cfRule type="containsText" dxfId="1840" priority="1817" operator="containsText" text="Large">
      <formula>NOT(ISERROR(SEARCH("Large",X48)))</formula>
    </cfRule>
  </conditionalFormatting>
  <conditionalFormatting sqref="X62">
    <cfRule type="containsText" dxfId="1839" priority="1812" operator="containsText" text="Small">
      <formula>NOT(ISERROR(SEARCH("Small",X62)))</formula>
    </cfRule>
    <cfRule type="containsText" dxfId="1838" priority="1813" operator="containsText" text="Mid">
      <formula>NOT(ISERROR(SEARCH("Mid",X62)))</formula>
    </cfRule>
    <cfRule type="containsText" dxfId="1837" priority="1814" operator="containsText" text="Large">
      <formula>NOT(ISERROR(SEARCH("Large",X62)))</formula>
    </cfRule>
  </conditionalFormatting>
  <conditionalFormatting sqref="X62">
    <cfRule type="containsText" dxfId="1836" priority="1809" operator="containsText" text="Small">
      <formula>NOT(ISERROR(SEARCH("Small",X62)))</formula>
    </cfRule>
    <cfRule type="containsText" dxfId="1835" priority="1810" operator="containsText" text="Mid">
      <formula>NOT(ISERROR(SEARCH("Mid",X62)))</formula>
    </cfRule>
    <cfRule type="containsText" dxfId="1834" priority="1811" operator="containsText" text="Large">
      <formula>NOT(ISERROR(SEARCH("Large",X62)))</formula>
    </cfRule>
  </conditionalFormatting>
  <conditionalFormatting sqref="X62">
    <cfRule type="containsText" dxfId="1833" priority="1806" operator="containsText" text="Small">
      <formula>NOT(ISERROR(SEARCH("Small",X62)))</formula>
    </cfRule>
    <cfRule type="containsText" dxfId="1832" priority="1807" operator="containsText" text="Mid">
      <formula>NOT(ISERROR(SEARCH("Mid",X62)))</formula>
    </cfRule>
    <cfRule type="containsText" dxfId="1831" priority="1808" operator="containsText" text="Large">
      <formula>NOT(ISERROR(SEARCH("Large",X62)))</formula>
    </cfRule>
  </conditionalFormatting>
  <conditionalFormatting sqref="X62">
    <cfRule type="containsText" dxfId="1830" priority="1803" operator="containsText" text="Small">
      <formula>NOT(ISERROR(SEARCH("Small",X62)))</formula>
    </cfRule>
    <cfRule type="containsText" dxfId="1829" priority="1804" operator="containsText" text="Mid">
      <formula>NOT(ISERROR(SEARCH("Mid",X62)))</formula>
    </cfRule>
    <cfRule type="containsText" dxfId="1828" priority="1805" operator="containsText" text="Large">
      <formula>NOT(ISERROR(SEARCH("Large",X62)))</formula>
    </cfRule>
  </conditionalFormatting>
  <conditionalFormatting sqref="X62">
    <cfRule type="containsText" dxfId="1827" priority="1800" operator="containsText" text="Small">
      <formula>NOT(ISERROR(SEARCH("Small",X62)))</formula>
    </cfRule>
    <cfRule type="containsText" dxfId="1826" priority="1801" operator="containsText" text="Mid">
      <formula>NOT(ISERROR(SEARCH("Mid",X62)))</formula>
    </cfRule>
    <cfRule type="containsText" dxfId="1825" priority="1802" operator="containsText" text="Large">
      <formula>NOT(ISERROR(SEARCH("Large",X62)))</formula>
    </cfRule>
  </conditionalFormatting>
  <conditionalFormatting sqref="X62">
    <cfRule type="containsText" dxfId="1824" priority="1797" operator="containsText" text="Small">
      <formula>NOT(ISERROR(SEARCH("Small",X62)))</formula>
    </cfRule>
    <cfRule type="containsText" dxfId="1823" priority="1798" operator="containsText" text="Mid">
      <formula>NOT(ISERROR(SEARCH("Mid",X62)))</formula>
    </cfRule>
    <cfRule type="containsText" dxfId="1822" priority="1799" operator="containsText" text="Large">
      <formula>NOT(ISERROR(SEARCH("Large",X62)))</formula>
    </cfRule>
  </conditionalFormatting>
  <conditionalFormatting sqref="X62">
    <cfRule type="containsText" dxfId="1821" priority="1794" operator="containsText" text="Small">
      <formula>NOT(ISERROR(SEARCH("Small",X62)))</formula>
    </cfRule>
    <cfRule type="containsText" dxfId="1820" priority="1795" operator="containsText" text="Mid">
      <formula>NOT(ISERROR(SEARCH("Mid",X62)))</formula>
    </cfRule>
    <cfRule type="containsText" dxfId="1819" priority="1796" operator="containsText" text="Large">
      <formula>NOT(ISERROR(SEARCH("Large",X62)))</formula>
    </cfRule>
  </conditionalFormatting>
  <conditionalFormatting sqref="X62">
    <cfRule type="containsText" dxfId="1818" priority="1791" operator="containsText" text="Small">
      <formula>NOT(ISERROR(SEARCH("Small",X62)))</formula>
    </cfRule>
    <cfRule type="containsText" dxfId="1817" priority="1792" operator="containsText" text="Mid">
      <formula>NOT(ISERROR(SEARCH("Mid",X62)))</formula>
    </cfRule>
    <cfRule type="containsText" dxfId="1816" priority="1793" operator="containsText" text="Large">
      <formula>NOT(ISERROR(SEARCH("Large",X62)))</formula>
    </cfRule>
  </conditionalFormatting>
  <conditionalFormatting sqref="X62">
    <cfRule type="containsText" dxfId="1815" priority="1788" operator="containsText" text="Small">
      <formula>NOT(ISERROR(SEARCH("Small",X62)))</formula>
    </cfRule>
    <cfRule type="containsText" dxfId="1814" priority="1789" operator="containsText" text="Mid">
      <formula>NOT(ISERROR(SEARCH("Mid",X62)))</formula>
    </cfRule>
    <cfRule type="containsText" dxfId="1813" priority="1790" operator="containsText" text="Large">
      <formula>NOT(ISERROR(SEARCH("Large",X62)))</formula>
    </cfRule>
  </conditionalFormatting>
  <conditionalFormatting sqref="X62">
    <cfRule type="containsText" dxfId="1812" priority="1785" operator="containsText" text="Small">
      <formula>NOT(ISERROR(SEARCH("Small",X62)))</formula>
    </cfRule>
    <cfRule type="containsText" dxfId="1811" priority="1786" operator="containsText" text="Mid">
      <formula>NOT(ISERROR(SEARCH("Mid",X62)))</formula>
    </cfRule>
    <cfRule type="containsText" dxfId="1810" priority="1787" operator="containsText" text="Large">
      <formula>NOT(ISERROR(SEARCH("Large",X62)))</formula>
    </cfRule>
  </conditionalFormatting>
  <conditionalFormatting sqref="AE20">
    <cfRule type="containsText" dxfId="1809" priority="1784" operator="containsText" text="No Cap">
      <formula>NOT(ISERROR(SEARCH("No Cap",AE20)))</formula>
    </cfRule>
  </conditionalFormatting>
  <conditionalFormatting sqref="AE20">
    <cfRule type="containsText" dxfId="1808" priority="1783" operator="containsText" text="No Cap">
      <formula>NOT(ISERROR(SEARCH("No Cap",AE20)))</formula>
    </cfRule>
  </conditionalFormatting>
  <conditionalFormatting sqref="AE20">
    <cfRule type="containsText" dxfId="1807" priority="1780" operator="containsText" text="Small">
      <formula>NOT(ISERROR(SEARCH("Small",AE20)))</formula>
    </cfRule>
    <cfRule type="containsText" dxfId="1806" priority="1781" operator="containsText" text="Mid">
      <formula>NOT(ISERROR(SEARCH("Mid",AE20)))</formula>
    </cfRule>
    <cfRule type="containsText" dxfId="1805" priority="1782" operator="containsText" text="Large">
      <formula>NOT(ISERROR(SEARCH("Large",AE20)))</formula>
    </cfRule>
  </conditionalFormatting>
  <conditionalFormatting sqref="AE20">
    <cfRule type="containsText" dxfId="1804" priority="1777" operator="containsText" text="Small">
      <formula>NOT(ISERROR(SEARCH("Small",AE20)))</formula>
    </cfRule>
    <cfRule type="containsText" dxfId="1803" priority="1778" operator="containsText" text="Mid">
      <formula>NOT(ISERROR(SEARCH("Mid",AE20)))</formula>
    </cfRule>
    <cfRule type="containsText" dxfId="1802" priority="1779" operator="containsText" text="Large">
      <formula>NOT(ISERROR(SEARCH("Large",AE20)))</formula>
    </cfRule>
  </conditionalFormatting>
  <conditionalFormatting sqref="AE20">
    <cfRule type="containsText" dxfId="1801" priority="1774" operator="containsText" text="Small">
      <formula>NOT(ISERROR(SEARCH("Small",AE20)))</formula>
    </cfRule>
    <cfRule type="containsText" dxfId="1800" priority="1775" operator="containsText" text="Mid">
      <formula>NOT(ISERROR(SEARCH("Mid",AE20)))</formula>
    </cfRule>
    <cfRule type="containsText" dxfId="1799" priority="1776" operator="containsText" text="Large">
      <formula>NOT(ISERROR(SEARCH("Large",AE20)))</formula>
    </cfRule>
  </conditionalFormatting>
  <conditionalFormatting sqref="AE20">
    <cfRule type="containsText" dxfId="1798" priority="1773" operator="containsText" text="No Cap">
      <formula>NOT(ISERROR(SEARCH("No Cap",AE20)))</formula>
    </cfRule>
  </conditionalFormatting>
  <conditionalFormatting sqref="AE20">
    <cfRule type="containsText" dxfId="1797" priority="1772" operator="containsText" text="No Cap">
      <formula>NOT(ISERROR(SEARCH("No Cap",AE20)))</formula>
    </cfRule>
  </conditionalFormatting>
  <conditionalFormatting sqref="AE20">
    <cfRule type="containsText" dxfId="1796" priority="1769" operator="containsText" text="Small">
      <formula>NOT(ISERROR(SEARCH("Small",AE20)))</formula>
    </cfRule>
    <cfRule type="containsText" dxfId="1795" priority="1770" operator="containsText" text="Mid">
      <formula>NOT(ISERROR(SEARCH("Mid",AE20)))</formula>
    </cfRule>
    <cfRule type="containsText" dxfId="1794" priority="1771" operator="containsText" text="Large">
      <formula>NOT(ISERROR(SEARCH("Large",AE20)))</formula>
    </cfRule>
  </conditionalFormatting>
  <conditionalFormatting sqref="AE20">
    <cfRule type="containsText" dxfId="1793" priority="1766" operator="containsText" text="Small">
      <formula>NOT(ISERROR(SEARCH("Small",AE20)))</formula>
    </cfRule>
    <cfRule type="containsText" dxfId="1792" priority="1767" operator="containsText" text="Mid">
      <formula>NOT(ISERROR(SEARCH("Mid",AE20)))</formula>
    </cfRule>
    <cfRule type="containsText" dxfId="1791" priority="1768" operator="containsText" text="Large">
      <formula>NOT(ISERROR(SEARCH("Large",AE20)))</formula>
    </cfRule>
  </conditionalFormatting>
  <conditionalFormatting sqref="AE20">
    <cfRule type="containsText" dxfId="1790" priority="1763" operator="containsText" text="Small">
      <formula>NOT(ISERROR(SEARCH("Small",AE20)))</formula>
    </cfRule>
    <cfRule type="containsText" dxfId="1789" priority="1764" operator="containsText" text="Mid">
      <formula>NOT(ISERROR(SEARCH("Mid",AE20)))</formula>
    </cfRule>
    <cfRule type="containsText" dxfId="1788" priority="1765" operator="containsText" text="Large">
      <formula>NOT(ISERROR(SEARCH("Large",AE20)))</formula>
    </cfRule>
  </conditionalFormatting>
  <conditionalFormatting sqref="AE20">
    <cfRule type="containsText" dxfId="1787" priority="1762" operator="containsText" text="NA">
      <formula>NOT(ISERROR(SEARCH("NA",AE20)))</formula>
    </cfRule>
  </conditionalFormatting>
  <conditionalFormatting sqref="AE20">
    <cfRule type="containsText" dxfId="1786" priority="1759" operator="containsText" text="Small">
      <formula>NOT(ISERROR(SEARCH("Small",AE20)))</formula>
    </cfRule>
    <cfRule type="containsText" dxfId="1785" priority="1760" operator="containsText" text="Mid">
      <formula>NOT(ISERROR(SEARCH("Mid",AE20)))</formula>
    </cfRule>
    <cfRule type="containsText" dxfId="1784" priority="1761" operator="containsText" text="Large">
      <formula>NOT(ISERROR(SEARCH("Large",AE20)))</formula>
    </cfRule>
  </conditionalFormatting>
  <conditionalFormatting sqref="AE20">
    <cfRule type="containsText" dxfId="1783" priority="1756" operator="containsText" text="Small">
      <formula>NOT(ISERROR(SEARCH("Small",AE20)))</formula>
    </cfRule>
    <cfRule type="containsText" dxfId="1782" priority="1757" operator="containsText" text="Mid">
      <formula>NOT(ISERROR(SEARCH("Mid",AE20)))</formula>
    </cfRule>
    <cfRule type="containsText" dxfId="1781" priority="1758" operator="containsText" text="Large">
      <formula>NOT(ISERROR(SEARCH("Large",AE20)))</formula>
    </cfRule>
  </conditionalFormatting>
  <conditionalFormatting sqref="AE20">
    <cfRule type="containsText" dxfId="1780" priority="1753" operator="containsText" text="Small">
      <formula>NOT(ISERROR(SEARCH("Small",AE20)))</formula>
    </cfRule>
    <cfRule type="containsText" dxfId="1779" priority="1754" operator="containsText" text="Mid">
      <formula>NOT(ISERROR(SEARCH("Mid",AE20)))</formula>
    </cfRule>
    <cfRule type="containsText" dxfId="1778" priority="1755" operator="containsText" text="Large">
      <formula>NOT(ISERROR(SEARCH("Large",AE20)))</formula>
    </cfRule>
  </conditionalFormatting>
  <conditionalFormatting sqref="AE20">
    <cfRule type="containsText" dxfId="1777" priority="1750" operator="containsText" text="Small">
      <formula>NOT(ISERROR(SEARCH("Small",AE20)))</formula>
    </cfRule>
    <cfRule type="containsText" dxfId="1776" priority="1751" operator="containsText" text="Mid">
      <formula>NOT(ISERROR(SEARCH("Mid",AE20)))</formula>
    </cfRule>
    <cfRule type="containsText" dxfId="1775" priority="1752" operator="containsText" text="Large">
      <formula>NOT(ISERROR(SEARCH("Large",AE20)))</formula>
    </cfRule>
  </conditionalFormatting>
  <conditionalFormatting sqref="AE20">
    <cfRule type="containsText" dxfId="1774" priority="1747" operator="containsText" text="Small">
      <formula>NOT(ISERROR(SEARCH("Small",AE20)))</formula>
    </cfRule>
    <cfRule type="containsText" dxfId="1773" priority="1748" operator="containsText" text="Mid">
      <formula>NOT(ISERROR(SEARCH("Mid",AE20)))</formula>
    </cfRule>
    <cfRule type="containsText" dxfId="1772" priority="1749" operator="containsText" text="Large">
      <formula>NOT(ISERROR(SEARCH("Large",AE20)))</formula>
    </cfRule>
  </conditionalFormatting>
  <conditionalFormatting sqref="AE20">
    <cfRule type="containsText" dxfId="1771" priority="1744" operator="containsText" text="Small">
      <formula>NOT(ISERROR(SEARCH("Small",AE20)))</formula>
    </cfRule>
    <cfRule type="containsText" dxfId="1770" priority="1745" operator="containsText" text="Mid">
      <formula>NOT(ISERROR(SEARCH("Mid",AE20)))</formula>
    </cfRule>
    <cfRule type="containsText" dxfId="1769" priority="1746" operator="containsText" text="Large">
      <formula>NOT(ISERROR(SEARCH("Large",AE20)))</formula>
    </cfRule>
  </conditionalFormatting>
  <conditionalFormatting sqref="AE20">
    <cfRule type="containsText" dxfId="1768" priority="1741" operator="containsText" text="Small">
      <formula>NOT(ISERROR(SEARCH("Small",AE20)))</formula>
    </cfRule>
    <cfRule type="containsText" dxfId="1767" priority="1742" operator="containsText" text="Mid">
      <formula>NOT(ISERROR(SEARCH("Mid",AE20)))</formula>
    </cfRule>
    <cfRule type="containsText" dxfId="1766" priority="1743" operator="containsText" text="Large">
      <formula>NOT(ISERROR(SEARCH("Large",AE20)))</formula>
    </cfRule>
  </conditionalFormatting>
  <conditionalFormatting sqref="AE20">
    <cfRule type="containsText" dxfId="1765" priority="1738" operator="containsText" text="Small">
      <formula>NOT(ISERROR(SEARCH("Small",AE20)))</formula>
    </cfRule>
    <cfRule type="containsText" dxfId="1764" priority="1739" operator="containsText" text="Mid">
      <formula>NOT(ISERROR(SEARCH("Mid",AE20)))</formula>
    </cfRule>
    <cfRule type="containsText" dxfId="1763" priority="1740" operator="containsText" text="Large">
      <formula>NOT(ISERROR(SEARCH("Large",AE20)))</formula>
    </cfRule>
  </conditionalFormatting>
  <conditionalFormatting sqref="AE20">
    <cfRule type="containsText" dxfId="1762" priority="1735" operator="containsText" text="Small">
      <formula>NOT(ISERROR(SEARCH("Small",AE20)))</formula>
    </cfRule>
    <cfRule type="containsText" dxfId="1761" priority="1736" operator="containsText" text="Mid">
      <formula>NOT(ISERROR(SEARCH("Mid",AE20)))</formula>
    </cfRule>
    <cfRule type="containsText" dxfId="1760" priority="1737" operator="containsText" text="Large">
      <formula>NOT(ISERROR(SEARCH("Large",AE20)))</formula>
    </cfRule>
  </conditionalFormatting>
  <conditionalFormatting sqref="AE20">
    <cfRule type="containsText" dxfId="1759" priority="1732" operator="containsText" text="Small">
      <formula>NOT(ISERROR(SEARCH("Small",AE20)))</formula>
    </cfRule>
    <cfRule type="containsText" dxfId="1758" priority="1733" operator="containsText" text="Mid">
      <formula>NOT(ISERROR(SEARCH("Mid",AE20)))</formula>
    </cfRule>
    <cfRule type="containsText" dxfId="1757" priority="1734" operator="containsText" text="Large">
      <formula>NOT(ISERROR(SEARCH("Large",AE20)))</formula>
    </cfRule>
  </conditionalFormatting>
  <conditionalFormatting sqref="AE20">
    <cfRule type="containsText" dxfId="1756" priority="1729" operator="containsText" text="Small">
      <formula>NOT(ISERROR(SEARCH("Small",AE20)))</formula>
    </cfRule>
    <cfRule type="containsText" dxfId="1755" priority="1730" operator="containsText" text="Mid">
      <formula>NOT(ISERROR(SEARCH("Mid",AE20)))</formula>
    </cfRule>
    <cfRule type="containsText" dxfId="1754" priority="1731" operator="containsText" text="Large">
      <formula>NOT(ISERROR(SEARCH("Large",AE20)))</formula>
    </cfRule>
  </conditionalFormatting>
  <conditionalFormatting sqref="AE20">
    <cfRule type="containsText" dxfId="1753" priority="1726" operator="containsText" text="Small">
      <formula>NOT(ISERROR(SEARCH("Small",AE20)))</formula>
    </cfRule>
    <cfRule type="containsText" dxfId="1752" priority="1727" operator="containsText" text="Mid">
      <formula>NOT(ISERROR(SEARCH("Mid",AE20)))</formula>
    </cfRule>
    <cfRule type="containsText" dxfId="1751" priority="1728" operator="containsText" text="Large">
      <formula>NOT(ISERROR(SEARCH("Large",AE20)))</formula>
    </cfRule>
  </conditionalFormatting>
  <conditionalFormatting sqref="AE20">
    <cfRule type="containsText" dxfId="1750" priority="1723" operator="containsText" text="Small">
      <formula>NOT(ISERROR(SEARCH("Small",AE20)))</formula>
    </cfRule>
    <cfRule type="containsText" dxfId="1749" priority="1724" operator="containsText" text="Mid">
      <formula>NOT(ISERROR(SEARCH("Mid",AE20)))</formula>
    </cfRule>
    <cfRule type="containsText" dxfId="1748" priority="1725" operator="containsText" text="Large">
      <formula>NOT(ISERROR(SEARCH("Large",AE20)))</formula>
    </cfRule>
  </conditionalFormatting>
  <conditionalFormatting sqref="AE20">
    <cfRule type="containsText" dxfId="1747" priority="1720" operator="containsText" text="Small">
      <formula>NOT(ISERROR(SEARCH("Small",AE20)))</formula>
    </cfRule>
    <cfRule type="containsText" dxfId="1746" priority="1721" operator="containsText" text="Mid">
      <formula>NOT(ISERROR(SEARCH("Mid",AE20)))</formula>
    </cfRule>
    <cfRule type="containsText" dxfId="1745" priority="1722" operator="containsText" text="Large">
      <formula>NOT(ISERROR(SEARCH("Large",AE20)))</formula>
    </cfRule>
  </conditionalFormatting>
  <conditionalFormatting sqref="AE20">
    <cfRule type="containsText" dxfId="1744" priority="1717" operator="containsText" text="Small">
      <formula>NOT(ISERROR(SEARCH("Small",AE20)))</formula>
    </cfRule>
    <cfRule type="containsText" dxfId="1743" priority="1718" operator="containsText" text="Mid">
      <formula>NOT(ISERROR(SEARCH("Mid",AE20)))</formula>
    </cfRule>
    <cfRule type="containsText" dxfId="1742" priority="1719" operator="containsText" text="Large">
      <formula>NOT(ISERROR(SEARCH("Large",AE20)))</formula>
    </cfRule>
  </conditionalFormatting>
  <conditionalFormatting sqref="AE20">
    <cfRule type="containsText" dxfId="1741" priority="1714" operator="containsText" text="Small">
      <formula>NOT(ISERROR(SEARCH("Small",AE20)))</formula>
    </cfRule>
    <cfRule type="containsText" dxfId="1740" priority="1715" operator="containsText" text="Mid">
      <formula>NOT(ISERROR(SEARCH("Mid",AE20)))</formula>
    </cfRule>
    <cfRule type="containsText" dxfId="1739" priority="1716" operator="containsText" text="Large">
      <formula>NOT(ISERROR(SEARCH("Large",AE20)))</formula>
    </cfRule>
  </conditionalFormatting>
  <conditionalFormatting sqref="AE20">
    <cfRule type="containsText" dxfId="1738" priority="1711" operator="containsText" text="Small">
      <formula>NOT(ISERROR(SEARCH("Small",AE20)))</formula>
    </cfRule>
    <cfRule type="containsText" dxfId="1737" priority="1712" operator="containsText" text="Mid">
      <formula>NOT(ISERROR(SEARCH("Mid",AE20)))</formula>
    </cfRule>
    <cfRule type="containsText" dxfId="1736" priority="1713" operator="containsText" text="Large">
      <formula>NOT(ISERROR(SEARCH("Large",AE20)))</formula>
    </cfRule>
  </conditionalFormatting>
  <conditionalFormatting sqref="AE20">
    <cfRule type="containsText" dxfId="1735" priority="1708" operator="containsText" text="Small">
      <formula>NOT(ISERROR(SEARCH("Small",AE20)))</formula>
    </cfRule>
    <cfRule type="containsText" dxfId="1734" priority="1709" operator="containsText" text="Mid">
      <formula>NOT(ISERROR(SEARCH("Mid",AE20)))</formula>
    </cfRule>
    <cfRule type="containsText" dxfId="1733" priority="1710" operator="containsText" text="Large">
      <formula>NOT(ISERROR(SEARCH("Large",AE20)))</formula>
    </cfRule>
  </conditionalFormatting>
  <conditionalFormatting sqref="AE20">
    <cfRule type="containsText" dxfId="1732" priority="1705" operator="containsText" text="Small">
      <formula>NOT(ISERROR(SEARCH("Small",AE20)))</formula>
    </cfRule>
    <cfRule type="containsText" dxfId="1731" priority="1706" operator="containsText" text="Mid">
      <formula>NOT(ISERROR(SEARCH("Mid",AE20)))</formula>
    </cfRule>
    <cfRule type="containsText" dxfId="1730" priority="1707" operator="containsText" text="Large">
      <formula>NOT(ISERROR(SEARCH("Large",AE20)))</formula>
    </cfRule>
  </conditionalFormatting>
  <conditionalFormatting sqref="AE20">
    <cfRule type="containsText" dxfId="1729" priority="1702" operator="containsText" text="Small">
      <formula>NOT(ISERROR(SEARCH("Small",AE20)))</formula>
    </cfRule>
    <cfRule type="containsText" dxfId="1728" priority="1703" operator="containsText" text="Mid">
      <formula>NOT(ISERROR(SEARCH("Mid",AE20)))</formula>
    </cfRule>
    <cfRule type="containsText" dxfId="1727" priority="1704" operator="containsText" text="Large">
      <formula>NOT(ISERROR(SEARCH("Large",AE20)))</formula>
    </cfRule>
  </conditionalFormatting>
  <conditionalFormatting sqref="AE20">
    <cfRule type="containsText" dxfId="1726" priority="1699" operator="containsText" text="Small">
      <formula>NOT(ISERROR(SEARCH("Small",AE20)))</formula>
    </cfRule>
    <cfRule type="containsText" dxfId="1725" priority="1700" operator="containsText" text="Mid">
      <formula>NOT(ISERROR(SEARCH("Mid",AE20)))</formula>
    </cfRule>
    <cfRule type="containsText" dxfId="1724" priority="1701" operator="containsText" text="Large">
      <formula>NOT(ISERROR(SEARCH("Large",AE20)))</formula>
    </cfRule>
  </conditionalFormatting>
  <conditionalFormatting sqref="AE20">
    <cfRule type="containsText" dxfId="1723" priority="1696" operator="containsText" text="Small">
      <formula>NOT(ISERROR(SEARCH("Small",AE20)))</formula>
    </cfRule>
    <cfRule type="containsText" dxfId="1722" priority="1697" operator="containsText" text="Mid">
      <formula>NOT(ISERROR(SEARCH("Mid",AE20)))</formula>
    </cfRule>
    <cfRule type="containsText" dxfId="1721" priority="1698" operator="containsText" text="Large">
      <formula>NOT(ISERROR(SEARCH("Large",AE20)))</formula>
    </cfRule>
  </conditionalFormatting>
  <conditionalFormatting sqref="AE20">
    <cfRule type="containsText" dxfId="1720" priority="1693" operator="containsText" text="Small">
      <formula>NOT(ISERROR(SEARCH("Small",AE20)))</formula>
    </cfRule>
    <cfRule type="containsText" dxfId="1719" priority="1694" operator="containsText" text="Mid">
      <formula>NOT(ISERROR(SEARCH("Mid",AE20)))</formula>
    </cfRule>
    <cfRule type="containsText" dxfId="1718" priority="1695" operator="containsText" text="Large">
      <formula>NOT(ISERROR(SEARCH("Large",AE20)))</formula>
    </cfRule>
  </conditionalFormatting>
  <conditionalFormatting sqref="AE20">
    <cfRule type="containsText" dxfId="1717" priority="1690" operator="containsText" text="Small">
      <formula>NOT(ISERROR(SEARCH("Small",AE20)))</formula>
    </cfRule>
    <cfRule type="containsText" dxfId="1716" priority="1691" operator="containsText" text="Mid">
      <formula>NOT(ISERROR(SEARCH("Mid",AE20)))</formula>
    </cfRule>
    <cfRule type="containsText" dxfId="1715" priority="1692" operator="containsText" text="Large">
      <formula>NOT(ISERROR(SEARCH("Large",AE20)))</formula>
    </cfRule>
  </conditionalFormatting>
  <conditionalFormatting sqref="AE20">
    <cfRule type="containsText" dxfId="1714" priority="1687" operator="containsText" text="Small">
      <formula>NOT(ISERROR(SEARCH("Small",AE20)))</formula>
    </cfRule>
    <cfRule type="containsText" dxfId="1713" priority="1688" operator="containsText" text="Mid">
      <formula>NOT(ISERROR(SEARCH("Mid",AE20)))</formula>
    </cfRule>
    <cfRule type="containsText" dxfId="1712" priority="1689" operator="containsText" text="Large">
      <formula>NOT(ISERROR(SEARCH("Large",AE20)))</formula>
    </cfRule>
  </conditionalFormatting>
  <conditionalFormatting sqref="AE20">
    <cfRule type="containsText" dxfId="1711" priority="1684" operator="containsText" text="Small">
      <formula>NOT(ISERROR(SEARCH("Small",AE20)))</formula>
    </cfRule>
    <cfRule type="containsText" dxfId="1710" priority="1685" operator="containsText" text="Mid">
      <formula>NOT(ISERROR(SEARCH("Mid",AE20)))</formula>
    </cfRule>
    <cfRule type="containsText" dxfId="1709" priority="1686" operator="containsText" text="Large">
      <formula>NOT(ISERROR(SEARCH("Large",AE20)))</formula>
    </cfRule>
  </conditionalFormatting>
  <conditionalFormatting sqref="AE20">
    <cfRule type="containsText" dxfId="1708" priority="1681" operator="containsText" text="Small">
      <formula>NOT(ISERROR(SEARCH("Small",AE20)))</formula>
    </cfRule>
    <cfRule type="containsText" dxfId="1707" priority="1682" operator="containsText" text="Mid">
      <formula>NOT(ISERROR(SEARCH("Mid",AE20)))</formula>
    </cfRule>
    <cfRule type="containsText" dxfId="1706" priority="1683" operator="containsText" text="Large">
      <formula>NOT(ISERROR(SEARCH("Large",AE20)))</formula>
    </cfRule>
  </conditionalFormatting>
  <conditionalFormatting sqref="AE20">
    <cfRule type="containsText" dxfId="1705" priority="1678" operator="containsText" text="Small">
      <formula>NOT(ISERROR(SEARCH("Small",AE20)))</formula>
    </cfRule>
    <cfRule type="containsText" dxfId="1704" priority="1679" operator="containsText" text="Mid">
      <formula>NOT(ISERROR(SEARCH("Mid",AE20)))</formula>
    </cfRule>
    <cfRule type="containsText" dxfId="1703" priority="1680" operator="containsText" text="Large">
      <formula>NOT(ISERROR(SEARCH("Large",AE20)))</formula>
    </cfRule>
  </conditionalFormatting>
  <conditionalFormatting sqref="AE20">
    <cfRule type="containsText" dxfId="1702" priority="1675" operator="containsText" text="Small">
      <formula>NOT(ISERROR(SEARCH("Small",AE20)))</formula>
    </cfRule>
    <cfRule type="containsText" dxfId="1701" priority="1676" operator="containsText" text="Mid">
      <formula>NOT(ISERROR(SEARCH("Mid",AE20)))</formula>
    </cfRule>
    <cfRule type="containsText" dxfId="1700" priority="1677" operator="containsText" text="Large">
      <formula>NOT(ISERROR(SEARCH("Large",AE20)))</formula>
    </cfRule>
  </conditionalFormatting>
  <conditionalFormatting sqref="AE20">
    <cfRule type="containsText" dxfId="1699" priority="1672" operator="containsText" text="Small">
      <formula>NOT(ISERROR(SEARCH("Small",AE20)))</formula>
    </cfRule>
    <cfRule type="containsText" dxfId="1698" priority="1673" operator="containsText" text="Mid">
      <formula>NOT(ISERROR(SEARCH("Mid",AE20)))</formula>
    </cfRule>
    <cfRule type="containsText" dxfId="1697" priority="1674" operator="containsText" text="Large">
      <formula>NOT(ISERROR(SEARCH("Large",AE20)))</formula>
    </cfRule>
  </conditionalFormatting>
  <conditionalFormatting sqref="AE20">
    <cfRule type="containsText" dxfId="1696" priority="1669" operator="containsText" text="Small">
      <formula>NOT(ISERROR(SEARCH("Small",AE20)))</formula>
    </cfRule>
    <cfRule type="containsText" dxfId="1695" priority="1670" operator="containsText" text="Mid">
      <formula>NOT(ISERROR(SEARCH("Mid",AE20)))</formula>
    </cfRule>
    <cfRule type="containsText" dxfId="1694" priority="1671" operator="containsText" text="Large">
      <formula>NOT(ISERROR(SEARCH("Large",AE20)))</formula>
    </cfRule>
  </conditionalFormatting>
  <conditionalFormatting sqref="AE20">
    <cfRule type="containsText" dxfId="1693" priority="1666" operator="containsText" text="Small">
      <formula>NOT(ISERROR(SEARCH("Small",AE20)))</formula>
    </cfRule>
    <cfRule type="containsText" dxfId="1692" priority="1667" operator="containsText" text="Mid">
      <formula>NOT(ISERROR(SEARCH("Mid",AE20)))</formula>
    </cfRule>
    <cfRule type="containsText" dxfId="1691" priority="1668" operator="containsText" text="Large">
      <formula>NOT(ISERROR(SEARCH("Large",AE20)))</formula>
    </cfRule>
  </conditionalFormatting>
  <conditionalFormatting sqref="AE20">
    <cfRule type="containsText" dxfId="1690" priority="1663" operator="containsText" text="Small">
      <formula>NOT(ISERROR(SEARCH("Small",AE20)))</formula>
    </cfRule>
    <cfRule type="containsText" dxfId="1689" priority="1664" operator="containsText" text="Mid">
      <formula>NOT(ISERROR(SEARCH("Mid",AE20)))</formula>
    </cfRule>
    <cfRule type="containsText" dxfId="1688" priority="1665" operator="containsText" text="Large">
      <formula>NOT(ISERROR(SEARCH("Large",AE20)))</formula>
    </cfRule>
  </conditionalFormatting>
  <conditionalFormatting sqref="AE20">
    <cfRule type="containsText" dxfId="1687" priority="1660" operator="containsText" text="Small">
      <formula>NOT(ISERROR(SEARCH("Small",AE20)))</formula>
    </cfRule>
    <cfRule type="containsText" dxfId="1686" priority="1661" operator="containsText" text="Mid">
      <formula>NOT(ISERROR(SEARCH("Mid",AE20)))</formula>
    </cfRule>
    <cfRule type="containsText" dxfId="1685" priority="1662" operator="containsText" text="Large">
      <formula>NOT(ISERROR(SEARCH("Large",AE20)))</formula>
    </cfRule>
  </conditionalFormatting>
  <conditionalFormatting sqref="AE20">
    <cfRule type="containsText" dxfId="1684" priority="1657" operator="containsText" text="Small">
      <formula>NOT(ISERROR(SEARCH("Small",AE20)))</formula>
    </cfRule>
    <cfRule type="containsText" dxfId="1683" priority="1658" operator="containsText" text="Mid">
      <formula>NOT(ISERROR(SEARCH("Mid",AE20)))</formula>
    </cfRule>
    <cfRule type="containsText" dxfId="1682" priority="1659" operator="containsText" text="Large">
      <formula>NOT(ISERROR(SEARCH("Large",AE20)))</formula>
    </cfRule>
  </conditionalFormatting>
  <conditionalFormatting sqref="AE20">
    <cfRule type="containsText" dxfId="1681" priority="1654" operator="containsText" text="Small">
      <formula>NOT(ISERROR(SEARCH("Small",AE20)))</formula>
    </cfRule>
    <cfRule type="containsText" dxfId="1680" priority="1655" operator="containsText" text="Mid">
      <formula>NOT(ISERROR(SEARCH("Mid",AE20)))</formula>
    </cfRule>
    <cfRule type="containsText" dxfId="1679" priority="1656" operator="containsText" text="Large">
      <formula>NOT(ISERROR(SEARCH("Large",AE20)))</formula>
    </cfRule>
  </conditionalFormatting>
  <conditionalFormatting sqref="AE20">
    <cfRule type="containsText" dxfId="1678" priority="1651" operator="containsText" text="Small">
      <formula>NOT(ISERROR(SEARCH("Small",AE20)))</formula>
    </cfRule>
    <cfRule type="containsText" dxfId="1677" priority="1652" operator="containsText" text="Mid">
      <formula>NOT(ISERROR(SEARCH("Mid",AE20)))</formula>
    </cfRule>
    <cfRule type="containsText" dxfId="1676" priority="1653" operator="containsText" text="Large">
      <formula>NOT(ISERROR(SEARCH("Large",AE20)))</formula>
    </cfRule>
  </conditionalFormatting>
  <conditionalFormatting sqref="AE20">
    <cfRule type="containsText" dxfId="1675" priority="1648" operator="containsText" text="Small">
      <formula>NOT(ISERROR(SEARCH("Small",AE20)))</formula>
    </cfRule>
    <cfRule type="containsText" dxfId="1674" priority="1649" operator="containsText" text="Mid">
      <formula>NOT(ISERROR(SEARCH("Mid",AE20)))</formula>
    </cfRule>
    <cfRule type="containsText" dxfId="1673" priority="1650" operator="containsText" text="Large">
      <formula>NOT(ISERROR(SEARCH("Large",AE20)))</formula>
    </cfRule>
  </conditionalFormatting>
  <conditionalFormatting sqref="AE20">
    <cfRule type="containsText" dxfId="1672" priority="1645" operator="containsText" text="Small">
      <formula>NOT(ISERROR(SEARCH("Small",AE20)))</formula>
    </cfRule>
    <cfRule type="containsText" dxfId="1671" priority="1646" operator="containsText" text="Mid">
      <formula>NOT(ISERROR(SEARCH("Mid",AE20)))</formula>
    </cfRule>
    <cfRule type="containsText" dxfId="1670" priority="1647" operator="containsText" text="Large">
      <formula>NOT(ISERROR(SEARCH("Large",AE20)))</formula>
    </cfRule>
  </conditionalFormatting>
  <conditionalFormatting sqref="AE20">
    <cfRule type="containsText" dxfId="1669" priority="1642" operator="containsText" text="Small">
      <formula>NOT(ISERROR(SEARCH("Small",AE20)))</formula>
    </cfRule>
    <cfRule type="containsText" dxfId="1668" priority="1643" operator="containsText" text="Mid">
      <formula>NOT(ISERROR(SEARCH("Mid",AE20)))</formula>
    </cfRule>
    <cfRule type="containsText" dxfId="1667" priority="1644" operator="containsText" text="Large">
      <formula>NOT(ISERROR(SEARCH("Large",AE20)))</formula>
    </cfRule>
  </conditionalFormatting>
  <conditionalFormatting sqref="AE20">
    <cfRule type="containsText" dxfId="1666" priority="1639" operator="containsText" text="Small">
      <formula>NOT(ISERROR(SEARCH("Small",AE20)))</formula>
    </cfRule>
    <cfRule type="containsText" dxfId="1665" priority="1640" operator="containsText" text="Mid">
      <formula>NOT(ISERROR(SEARCH("Mid",AE20)))</formula>
    </cfRule>
    <cfRule type="containsText" dxfId="1664" priority="1641" operator="containsText" text="Large">
      <formula>NOT(ISERROR(SEARCH("Large",AE20)))</formula>
    </cfRule>
  </conditionalFormatting>
  <conditionalFormatting sqref="AE20">
    <cfRule type="containsText" dxfId="1663" priority="1636" operator="containsText" text="Small">
      <formula>NOT(ISERROR(SEARCH("Small",AE20)))</formula>
    </cfRule>
    <cfRule type="containsText" dxfId="1662" priority="1637" operator="containsText" text="Mid">
      <formula>NOT(ISERROR(SEARCH("Mid",AE20)))</formula>
    </cfRule>
    <cfRule type="containsText" dxfId="1661" priority="1638" operator="containsText" text="Large">
      <formula>NOT(ISERROR(SEARCH("Large",AE20)))</formula>
    </cfRule>
  </conditionalFormatting>
  <conditionalFormatting sqref="AE20">
    <cfRule type="containsText" dxfId="1660" priority="1633" operator="containsText" text="Small">
      <formula>NOT(ISERROR(SEARCH("Small",AE20)))</formula>
    </cfRule>
    <cfRule type="containsText" dxfId="1659" priority="1634" operator="containsText" text="Mid">
      <formula>NOT(ISERROR(SEARCH("Mid",AE20)))</formula>
    </cfRule>
    <cfRule type="containsText" dxfId="1658" priority="1635" operator="containsText" text="Large">
      <formula>NOT(ISERROR(SEARCH("Large",AE20)))</formula>
    </cfRule>
  </conditionalFormatting>
  <conditionalFormatting sqref="AE20">
    <cfRule type="containsText" dxfId="1657" priority="1630" operator="containsText" text="Small">
      <formula>NOT(ISERROR(SEARCH("Small",AE20)))</formula>
    </cfRule>
    <cfRule type="containsText" dxfId="1656" priority="1631" operator="containsText" text="Mid">
      <formula>NOT(ISERROR(SEARCH("Mid",AE20)))</formula>
    </cfRule>
    <cfRule type="containsText" dxfId="1655" priority="1632" operator="containsText" text="Large">
      <formula>NOT(ISERROR(SEARCH("Large",AE20)))</formula>
    </cfRule>
  </conditionalFormatting>
  <conditionalFormatting sqref="AE20">
    <cfRule type="containsText" dxfId="1654" priority="1627" operator="containsText" text="Small">
      <formula>NOT(ISERROR(SEARCH("Small",AE20)))</formula>
    </cfRule>
    <cfRule type="containsText" dxfId="1653" priority="1628" operator="containsText" text="Mid">
      <formula>NOT(ISERROR(SEARCH("Mid",AE20)))</formula>
    </cfRule>
    <cfRule type="containsText" dxfId="1652" priority="1629" operator="containsText" text="Large">
      <formula>NOT(ISERROR(SEARCH("Large",AE20)))</formula>
    </cfRule>
  </conditionalFormatting>
  <conditionalFormatting sqref="AE20">
    <cfRule type="containsText" dxfId="1651" priority="1624" operator="containsText" text="Small">
      <formula>NOT(ISERROR(SEARCH("Small",AE20)))</formula>
    </cfRule>
    <cfRule type="containsText" dxfId="1650" priority="1625" operator="containsText" text="Mid">
      <formula>NOT(ISERROR(SEARCH("Mid",AE20)))</formula>
    </cfRule>
    <cfRule type="containsText" dxfId="1649" priority="1626" operator="containsText" text="Large">
      <formula>NOT(ISERROR(SEARCH("Large",AE20)))</formula>
    </cfRule>
  </conditionalFormatting>
  <conditionalFormatting sqref="AE20">
    <cfRule type="containsText" dxfId="1648" priority="1621" operator="containsText" text="Small">
      <formula>NOT(ISERROR(SEARCH("Small",AE20)))</formula>
    </cfRule>
    <cfRule type="containsText" dxfId="1647" priority="1622" operator="containsText" text="Mid">
      <formula>NOT(ISERROR(SEARCH("Mid",AE20)))</formula>
    </cfRule>
    <cfRule type="containsText" dxfId="1646" priority="1623" operator="containsText" text="Large">
      <formula>NOT(ISERROR(SEARCH("Large",AE20)))</formula>
    </cfRule>
  </conditionalFormatting>
  <conditionalFormatting sqref="AE20">
    <cfRule type="containsText" dxfId="1645" priority="1618" operator="containsText" text="Small">
      <formula>NOT(ISERROR(SEARCH("Small",AE20)))</formula>
    </cfRule>
    <cfRule type="containsText" dxfId="1644" priority="1619" operator="containsText" text="Mid">
      <formula>NOT(ISERROR(SEARCH("Mid",AE20)))</formula>
    </cfRule>
    <cfRule type="containsText" dxfId="1643" priority="1620" operator="containsText" text="Large">
      <formula>NOT(ISERROR(SEARCH("Large",AE20)))</formula>
    </cfRule>
  </conditionalFormatting>
  <conditionalFormatting sqref="AE20">
    <cfRule type="containsText" dxfId="1642" priority="1615" operator="containsText" text="Small">
      <formula>NOT(ISERROR(SEARCH("Small",AE20)))</formula>
    </cfRule>
    <cfRule type="containsText" dxfId="1641" priority="1616" operator="containsText" text="Mid">
      <formula>NOT(ISERROR(SEARCH("Mid",AE20)))</formula>
    </cfRule>
    <cfRule type="containsText" dxfId="1640" priority="1617" operator="containsText" text="Large">
      <formula>NOT(ISERROR(SEARCH("Large",AE20)))</formula>
    </cfRule>
  </conditionalFormatting>
  <conditionalFormatting sqref="AE20">
    <cfRule type="containsText" dxfId="1639" priority="1612" operator="containsText" text="Small">
      <formula>NOT(ISERROR(SEARCH("Small",AE20)))</formula>
    </cfRule>
    <cfRule type="containsText" dxfId="1638" priority="1613" operator="containsText" text="Mid">
      <formula>NOT(ISERROR(SEARCH("Mid",AE20)))</formula>
    </cfRule>
    <cfRule type="containsText" dxfId="1637" priority="1614" operator="containsText" text="Large">
      <formula>NOT(ISERROR(SEARCH("Large",AE20)))</formula>
    </cfRule>
  </conditionalFormatting>
  <conditionalFormatting sqref="AE20">
    <cfRule type="containsText" dxfId="1636" priority="1609" operator="containsText" text="Small">
      <formula>NOT(ISERROR(SEARCH("Small",AE20)))</formula>
    </cfRule>
    <cfRule type="containsText" dxfId="1635" priority="1610" operator="containsText" text="Mid">
      <formula>NOT(ISERROR(SEARCH("Mid",AE20)))</formula>
    </cfRule>
    <cfRule type="containsText" dxfId="1634" priority="1611" operator="containsText" text="Large">
      <formula>NOT(ISERROR(SEARCH("Large",AE20)))</formula>
    </cfRule>
  </conditionalFormatting>
  <conditionalFormatting sqref="AE20">
    <cfRule type="containsText" dxfId="1633" priority="1606" operator="containsText" text="Small">
      <formula>NOT(ISERROR(SEARCH("Small",AE20)))</formula>
    </cfRule>
    <cfRule type="containsText" dxfId="1632" priority="1607" operator="containsText" text="Mid">
      <formula>NOT(ISERROR(SEARCH("Mid",AE20)))</formula>
    </cfRule>
    <cfRule type="containsText" dxfId="1631" priority="1608" operator="containsText" text="Large">
      <formula>NOT(ISERROR(SEARCH("Large",AE20)))</formula>
    </cfRule>
  </conditionalFormatting>
  <conditionalFormatting sqref="AE20">
    <cfRule type="containsText" dxfId="1630" priority="1603" operator="containsText" text="Small">
      <formula>NOT(ISERROR(SEARCH("Small",AE20)))</formula>
    </cfRule>
    <cfRule type="containsText" dxfId="1629" priority="1604" operator="containsText" text="Mid">
      <formula>NOT(ISERROR(SEARCH("Mid",AE20)))</formula>
    </cfRule>
    <cfRule type="containsText" dxfId="1628" priority="1605" operator="containsText" text="Large">
      <formula>NOT(ISERROR(SEARCH("Large",AE20)))</formula>
    </cfRule>
  </conditionalFormatting>
  <conditionalFormatting sqref="AE20">
    <cfRule type="containsText" dxfId="1627" priority="1600" operator="containsText" text="Small">
      <formula>NOT(ISERROR(SEARCH("Small",AE20)))</formula>
    </cfRule>
    <cfRule type="containsText" dxfId="1626" priority="1601" operator="containsText" text="Mid">
      <formula>NOT(ISERROR(SEARCH("Mid",AE20)))</formula>
    </cfRule>
    <cfRule type="containsText" dxfId="1625" priority="1602" operator="containsText" text="Large">
      <formula>NOT(ISERROR(SEARCH("Large",AE20)))</formula>
    </cfRule>
  </conditionalFormatting>
  <conditionalFormatting sqref="AE20">
    <cfRule type="containsText" dxfId="1624" priority="1597" operator="containsText" text="Small">
      <formula>NOT(ISERROR(SEARCH("Small",AE20)))</formula>
    </cfRule>
    <cfRule type="containsText" dxfId="1623" priority="1598" operator="containsText" text="Mid">
      <formula>NOT(ISERROR(SEARCH("Mid",AE20)))</formula>
    </cfRule>
    <cfRule type="containsText" dxfId="1622" priority="1599" operator="containsText" text="Large">
      <formula>NOT(ISERROR(SEARCH("Large",AE20)))</formula>
    </cfRule>
  </conditionalFormatting>
  <conditionalFormatting sqref="AE20">
    <cfRule type="containsText" dxfId="1621" priority="1594" operator="containsText" text="Small">
      <formula>NOT(ISERROR(SEARCH("Small",AE20)))</formula>
    </cfRule>
    <cfRule type="containsText" dxfId="1620" priority="1595" operator="containsText" text="Mid">
      <formula>NOT(ISERROR(SEARCH("Mid",AE20)))</formula>
    </cfRule>
    <cfRule type="containsText" dxfId="1619" priority="1596" operator="containsText" text="Large">
      <formula>NOT(ISERROR(SEARCH("Large",AE20)))</formula>
    </cfRule>
  </conditionalFormatting>
  <conditionalFormatting sqref="AE20">
    <cfRule type="containsText" dxfId="1618" priority="1591" operator="containsText" text="Small">
      <formula>NOT(ISERROR(SEARCH("Small",AE20)))</formula>
    </cfRule>
    <cfRule type="containsText" dxfId="1617" priority="1592" operator="containsText" text="Mid">
      <formula>NOT(ISERROR(SEARCH("Mid",AE20)))</formula>
    </cfRule>
    <cfRule type="containsText" dxfId="1616" priority="1593" operator="containsText" text="Large">
      <formula>NOT(ISERROR(SEARCH("Large",AE20)))</formula>
    </cfRule>
  </conditionalFormatting>
  <conditionalFormatting sqref="AE20">
    <cfRule type="containsText" dxfId="1615" priority="1588" operator="containsText" text="Small">
      <formula>NOT(ISERROR(SEARCH("Small",AE20)))</formula>
    </cfRule>
    <cfRule type="containsText" dxfId="1614" priority="1589" operator="containsText" text="Mid">
      <formula>NOT(ISERROR(SEARCH("Mid",AE20)))</formula>
    </cfRule>
    <cfRule type="containsText" dxfId="1613" priority="1590" operator="containsText" text="Large">
      <formula>NOT(ISERROR(SEARCH("Large",AE20)))</formula>
    </cfRule>
  </conditionalFormatting>
  <conditionalFormatting sqref="AE20">
    <cfRule type="containsText" dxfId="1612" priority="1585" operator="containsText" text="Small">
      <formula>NOT(ISERROR(SEARCH("Small",AE20)))</formula>
    </cfRule>
    <cfRule type="containsText" dxfId="1611" priority="1586" operator="containsText" text="Mid">
      <formula>NOT(ISERROR(SEARCH("Mid",AE20)))</formula>
    </cfRule>
    <cfRule type="containsText" dxfId="1610" priority="1587" operator="containsText" text="Large">
      <formula>NOT(ISERROR(SEARCH("Large",AE20)))</formula>
    </cfRule>
  </conditionalFormatting>
  <conditionalFormatting sqref="AE20">
    <cfRule type="containsText" dxfId="1609" priority="1582" operator="containsText" text="Small">
      <formula>NOT(ISERROR(SEARCH("Small",AE20)))</formula>
    </cfRule>
    <cfRule type="containsText" dxfId="1608" priority="1583" operator="containsText" text="Mid">
      <formula>NOT(ISERROR(SEARCH("Mid",AE20)))</formula>
    </cfRule>
    <cfRule type="containsText" dxfId="1607" priority="1584" operator="containsText" text="Large">
      <formula>NOT(ISERROR(SEARCH("Large",AE20)))</formula>
    </cfRule>
  </conditionalFormatting>
  <conditionalFormatting sqref="AE20">
    <cfRule type="containsText" dxfId="1606" priority="1579" operator="containsText" text="Small">
      <formula>NOT(ISERROR(SEARCH("Small",AE20)))</formula>
    </cfRule>
    <cfRule type="containsText" dxfId="1605" priority="1580" operator="containsText" text="Mid">
      <formula>NOT(ISERROR(SEARCH("Mid",AE20)))</formula>
    </cfRule>
    <cfRule type="containsText" dxfId="1604" priority="1581" operator="containsText" text="Large">
      <formula>NOT(ISERROR(SEARCH("Large",AE20)))</formula>
    </cfRule>
  </conditionalFormatting>
  <conditionalFormatting sqref="AE20">
    <cfRule type="containsText" dxfId="1603" priority="1576" operator="containsText" text="Small">
      <formula>NOT(ISERROR(SEARCH("Small",AE20)))</formula>
    </cfRule>
    <cfRule type="containsText" dxfId="1602" priority="1577" operator="containsText" text="Mid">
      <formula>NOT(ISERROR(SEARCH("Mid",AE20)))</formula>
    </cfRule>
    <cfRule type="containsText" dxfId="1601" priority="1578" operator="containsText" text="Large">
      <formula>NOT(ISERROR(SEARCH("Large",AE20)))</formula>
    </cfRule>
  </conditionalFormatting>
  <conditionalFormatting sqref="AE20">
    <cfRule type="containsText" dxfId="1600" priority="1573" operator="containsText" text="Small">
      <formula>NOT(ISERROR(SEARCH("Small",AE20)))</formula>
    </cfRule>
    <cfRule type="containsText" dxfId="1599" priority="1574" operator="containsText" text="Mid">
      <formula>NOT(ISERROR(SEARCH("Mid",AE20)))</formula>
    </cfRule>
    <cfRule type="containsText" dxfId="1598" priority="1575" operator="containsText" text="Large">
      <formula>NOT(ISERROR(SEARCH("Large",AE20)))</formula>
    </cfRule>
  </conditionalFormatting>
  <conditionalFormatting sqref="AE20">
    <cfRule type="containsText" dxfId="1597" priority="1570" operator="containsText" text="Small">
      <formula>NOT(ISERROR(SEARCH("Small",AE20)))</formula>
    </cfRule>
    <cfRule type="containsText" dxfId="1596" priority="1571" operator="containsText" text="Mid">
      <formula>NOT(ISERROR(SEARCH("Mid",AE20)))</formula>
    </cfRule>
    <cfRule type="containsText" dxfId="1595" priority="1572" operator="containsText" text="Large">
      <formula>NOT(ISERROR(SEARCH("Large",AE20)))</formula>
    </cfRule>
  </conditionalFormatting>
  <conditionalFormatting sqref="AE20">
    <cfRule type="containsText" dxfId="1594" priority="1567" operator="containsText" text="Small">
      <formula>NOT(ISERROR(SEARCH("Small",AE20)))</formula>
    </cfRule>
    <cfRule type="containsText" dxfId="1593" priority="1568" operator="containsText" text="Mid">
      <formula>NOT(ISERROR(SEARCH("Mid",AE20)))</formula>
    </cfRule>
    <cfRule type="containsText" dxfId="1592" priority="1569" operator="containsText" text="Large">
      <formula>NOT(ISERROR(SEARCH("Large",AE20)))</formula>
    </cfRule>
  </conditionalFormatting>
  <conditionalFormatting sqref="AE20">
    <cfRule type="containsText" dxfId="1591" priority="1564" operator="containsText" text="Small">
      <formula>NOT(ISERROR(SEARCH("Small",AE20)))</formula>
    </cfRule>
    <cfRule type="containsText" dxfId="1590" priority="1565" operator="containsText" text="Mid">
      <formula>NOT(ISERROR(SEARCH("Mid",AE20)))</formula>
    </cfRule>
    <cfRule type="containsText" dxfId="1589" priority="1566" operator="containsText" text="Large">
      <formula>NOT(ISERROR(SEARCH("Large",AE20)))</formula>
    </cfRule>
  </conditionalFormatting>
  <conditionalFormatting sqref="AE20">
    <cfRule type="containsText" dxfId="1588" priority="1561" operator="containsText" text="Small">
      <formula>NOT(ISERROR(SEARCH("Small",AE20)))</formula>
    </cfRule>
    <cfRule type="containsText" dxfId="1587" priority="1562" operator="containsText" text="Mid">
      <formula>NOT(ISERROR(SEARCH("Mid",AE20)))</formula>
    </cfRule>
    <cfRule type="containsText" dxfId="1586" priority="1563" operator="containsText" text="Large">
      <formula>NOT(ISERROR(SEARCH("Large",AE20)))</formula>
    </cfRule>
  </conditionalFormatting>
  <conditionalFormatting sqref="AE34">
    <cfRule type="containsText" dxfId="1585" priority="1560" operator="containsText" text="No Cap">
      <formula>NOT(ISERROR(SEARCH("No Cap",AE34)))</formula>
    </cfRule>
  </conditionalFormatting>
  <conditionalFormatting sqref="AE34">
    <cfRule type="containsText" dxfId="1584" priority="1559" operator="containsText" text="No Cap">
      <formula>NOT(ISERROR(SEARCH("No Cap",AE34)))</formula>
    </cfRule>
  </conditionalFormatting>
  <conditionalFormatting sqref="AE34">
    <cfRule type="containsText" dxfId="1583" priority="1556" operator="containsText" text="Small">
      <formula>NOT(ISERROR(SEARCH("Small",AE34)))</formula>
    </cfRule>
    <cfRule type="containsText" dxfId="1582" priority="1557" operator="containsText" text="Mid">
      <formula>NOT(ISERROR(SEARCH("Mid",AE34)))</formula>
    </cfRule>
    <cfRule type="containsText" dxfId="1581" priority="1558" operator="containsText" text="Large">
      <formula>NOT(ISERROR(SEARCH("Large",AE34)))</formula>
    </cfRule>
  </conditionalFormatting>
  <conditionalFormatting sqref="AE34">
    <cfRule type="containsText" dxfId="1580" priority="1553" operator="containsText" text="Small">
      <formula>NOT(ISERROR(SEARCH("Small",AE34)))</formula>
    </cfRule>
    <cfRule type="containsText" dxfId="1579" priority="1554" operator="containsText" text="Mid">
      <formula>NOT(ISERROR(SEARCH("Mid",AE34)))</formula>
    </cfRule>
    <cfRule type="containsText" dxfId="1578" priority="1555" operator="containsText" text="Large">
      <formula>NOT(ISERROR(SEARCH("Large",AE34)))</formula>
    </cfRule>
  </conditionalFormatting>
  <conditionalFormatting sqref="AE34">
    <cfRule type="containsText" dxfId="1577" priority="1550" operator="containsText" text="Small">
      <formula>NOT(ISERROR(SEARCH("Small",AE34)))</formula>
    </cfRule>
    <cfRule type="containsText" dxfId="1576" priority="1551" operator="containsText" text="Mid">
      <formula>NOT(ISERROR(SEARCH("Mid",AE34)))</formula>
    </cfRule>
    <cfRule type="containsText" dxfId="1575" priority="1552" operator="containsText" text="Large">
      <formula>NOT(ISERROR(SEARCH("Large",AE34)))</formula>
    </cfRule>
  </conditionalFormatting>
  <conditionalFormatting sqref="AE34">
    <cfRule type="containsText" dxfId="1574" priority="1549" operator="containsText" text="No Cap">
      <formula>NOT(ISERROR(SEARCH("No Cap",AE34)))</formula>
    </cfRule>
  </conditionalFormatting>
  <conditionalFormatting sqref="AE34">
    <cfRule type="containsText" dxfId="1573" priority="1548" operator="containsText" text="No Cap">
      <formula>NOT(ISERROR(SEARCH("No Cap",AE34)))</formula>
    </cfRule>
  </conditionalFormatting>
  <conditionalFormatting sqref="AE34">
    <cfRule type="containsText" dxfId="1572" priority="1545" operator="containsText" text="Small">
      <formula>NOT(ISERROR(SEARCH("Small",AE34)))</formula>
    </cfRule>
    <cfRule type="containsText" dxfId="1571" priority="1546" operator="containsText" text="Mid">
      <formula>NOT(ISERROR(SEARCH("Mid",AE34)))</formula>
    </cfRule>
    <cfRule type="containsText" dxfId="1570" priority="1547" operator="containsText" text="Large">
      <formula>NOT(ISERROR(SEARCH("Large",AE34)))</formula>
    </cfRule>
  </conditionalFormatting>
  <conditionalFormatting sqref="AE34">
    <cfRule type="containsText" dxfId="1569" priority="1542" operator="containsText" text="Small">
      <formula>NOT(ISERROR(SEARCH("Small",AE34)))</formula>
    </cfRule>
    <cfRule type="containsText" dxfId="1568" priority="1543" operator="containsText" text="Mid">
      <formula>NOT(ISERROR(SEARCH("Mid",AE34)))</formula>
    </cfRule>
    <cfRule type="containsText" dxfId="1567" priority="1544" operator="containsText" text="Large">
      <formula>NOT(ISERROR(SEARCH("Large",AE34)))</formula>
    </cfRule>
  </conditionalFormatting>
  <conditionalFormatting sqref="AE34">
    <cfRule type="containsText" dxfId="1566" priority="1539" operator="containsText" text="Small">
      <formula>NOT(ISERROR(SEARCH("Small",AE34)))</formula>
    </cfRule>
    <cfRule type="containsText" dxfId="1565" priority="1540" operator="containsText" text="Mid">
      <formula>NOT(ISERROR(SEARCH("Mid",AE34)))</formula>
    </cfRule>
    <cfRule type="containsText" dxfId="1564" priority="1541" operator="containsText" text="Large">
      <formula>NOT(ISERROR(SEARCH("Large",AE34)))</formula>
    </cfRule>
  </conditionalFormatting>
  <conditionalFormatting sqref="AE34">
    <cfRule type="containsText" dxfId="1563" priority="1538" operator="containsText" text="No Cap">
      <formula>NOT(ISERROR(SEARCH("No Cap",AE34)))</formula>
    </cfRule>
  </conditionalFormatting>
  <conditionalFormatting sqref="AE34">
    <cfRule type="containsText" dxfId="1562" priority="1537" operator="containsText" text="No Cap">
      <formula>NOT(ISERROR(SEARCH("No Cap",AE34)))</formula>
    </cfRule>
  </conditionalFormatting>
  <conditionalFormatting sqref="AE34">
    <cfRule type="containsText" dxfId="1561" priority="1534" operator="containsText" text="Small">
      <formula>NOT(ISERROR(SEARCH("Small",AE34)))</formula>
    </cfRule>
    <cfRule type="containsText" dxfId="1560" priority="1535" operator="containsText" text="Mid">
      <formula>NOT(ISERROR(SEARCH("Mid",AE34)))</formula>
    </cfRule>
    <cfRule type="containsText" dxfId="1559" priority="1536" operator="containsText" text="Large">
      <formula>NOT(ISERROR(SEARCH("Large",AE34)))</formula>
    </cfRule>
  </conditionalFormatting>
  <conditionalFormatting sqref="AE34">
    <cfRule type="containsText" dxfId="1558" priority="1531" operator="containsText" text="Small">
      <formula>NOT(ISERROR(SEARCH("Small",AE34)))</formula>
    </cfRule>
    <cfRule type="containsText" dxfId="1557" priority="1532" operator="containsText" text="Mid">
      <formula>NOT(ISERROR(SEARCH("Mid",AE34)))</formula>
    </cfRule>
    <cfRule type="containsText" dxfId="1556" priority="1533" operator="containsText" text="Large">
      <formula>NOT(ISERROR(SEARCH("Large",AE34)))</formula>
    </cfRule>
  </conditionalFormatting>
  <conditionalFormatting sqref="AE34">
    <cfRule type="containsText" dxfId="1555" priority="1528" operator="containsText" text="Small">
      <formula>NOT(ISERROR(SEARCH("Small",AE34)))</formula>
    </cfRule>
    <cfRule type="containsText" dxfId="1554" priority="1529" operator="containsText" text="Mid">
      <formula>NOT(ISERROR(SEARCH("Mid",AE34)))</formula>
    </cfRule>
    <cfRule type="containsText" dxfId="1553" priority="1530" operator="containsText" text="Large">
      <formula>NOT(ISERROR(SEARCH("Large",AE34)))</formula>
    </cfRule>
  </conditionalFormatting>
  <conditionalFormatting sqref="AE34">
    <cfRule type="containsText" dxfId="1552" priority="1527" operator="containsText" text="No Cap">
      <formula>NOT(ISERROR(SEARCH("No Cap",AE34)))</formula>
    </cfRule>
  </conditionalFormatting>
  <conditionalFormatting sqref="AE34">
    <cfRule type="containsText" dxfId="1551" priority="1526" operator="containsText" text="No Cap">
      <formula>NOT(ISERROR(SEARCH("No Cap",AE34)))</formula>
    </cfRule>
  </conditionalFormatting>
  <conditionalFormatting sqref="AE34">
    <cfRule type="containsText" dxfId="1550" priority="1523" operator="containsText" text="Small">
      <formula>NOT(ISERROR(SEARCH("Small",AE34)))</formula>
    </cfRule>
    <cfRule type="containsText" dxfId="1549" priority="1524" operator="containsText" text="Mid">
      <formula>NOT(ISERROR(SEARCH("Mid",AE34)))</formula>
    </cfRule>
    <cfRule type="containsText" dxfId="1548" priority="1525" operator="containsText" text="Large">
      <formula>NOT(ISERROR(SEARCH("Large",AE34)))</formula>
    </cfRule>
  </conditionalFormatting>
  <conditionalFormatting sqref="AE34">
    <cfRule type="containsText" dxfId="1547" priority="1520" operator="containsText" text="Small">
      <formula>NOT(ISERROR(SEARCH("Small",AE34)))</formula>
    </cfRule>
    <cfRule type="containsText" dxfId="1546" priority="1521" operator="containsText" text="Mid">
      <formula>NOT(ISERROR(SEARCH("Mid",AE34)))</formula>
    </cfRule>
    <cfRule type="containsText" dxfId="1545" priority="1522" operator="containsText" text="Large">
      <formula>NOT(ISERROR(SEARCH("Large",AE34)))</formula>
    </cfRule>
  </conditionalFormatting>
  <conditionalFormatting sqref="AE34">
    <cfRule type="containsText" dxfId="1544" priority="1517" operator="containsText" text="Small">
      <formula>NOT(ISERROR(SEARCH("Small",AE34)))</formula>
    </cfRule>
    <cfRule type="containsText" dxfId="1543" priority="1518" operator="containsText" text="Mid">
      <formula>NOT(ISERROR(SEARCH("Mid",AE34)))</formula>
    </cfRule>
    <cfRule type="containsText" dxfId="1542" priority="1519" operator="containsText" text="Large">
      <formula>NOT(ISERROR(SEARCH("Large",AE34)))</formula>
    </cfRule>
  </conditionalFormatting>
  <conditionalFormatting sqref="AE34">
    <cfRule type="containsText" dxfId="1541" priority="1516" operator="containsText" text="No Cap">
      <formula>NOT(ISERROR(SEARCH("No Cap",AE34)))</formula>
    </cfRule>
  </conditionalFormatting>
  <conditionalFormatting sqref="AE34">
    <cfRule type="containsText" dxfId="1540" priority="1515" operator="containsText" text="No Cap">
      <formula>NOT(ISERROR(SEARCH("No Cap",AE34)))</formula>
    </cfRule>
  </conditionalFormatting>
  <conditionalFormatting sqref="AE34">
    <cfRule type="containsText" dxfId="1539" priority="1512" operator="containsText" text="Small">
      <formula>NOT(ISERROR(SEARCH("Small",AE34)))</formula>
    </cfRule>
    <cfRule type="containsText" dxfId="1538" priority="1513" operator="containsText" text="Mid">
      <formula>NOT(ISERROR(SEARCH("Mid",AE34)))</formula>
    </cfRule>
    <cfRule type="containsText" dxfId="1537" priority="1514" operator="containsText" text="Large">
      <formula>NOT(ISERROR(SEARCH("Large",AE34)))</formula>
    </cfRule>
  </conditionalFormatting>
  <conditionalFormatting sqref="AE34">
    <cfRule type="containsText" dxfId="1536" priority="1509" operator="containsText" text="Small">
      <formula>NOT(ISERROR(SEARCH("Small",AE34)))</formula>
    </cfRule>
    <cfRule type="containsText" dxfId="1535" priority="1510" operator="containsText" text="Mid">
      <formula>NOT(ISERROR(SEARCH("Mid",AE34)))</formula>
    </cfRule>
    <cfRule type="containsText" dxfId="1534" priority="1511" operator="containsText" text="Large">
      <formula>NOT(ISERROR(SEARCH("Large",AE34)))</formula>
    </cfRule>
  </conditionalFormatting>
  <conditionalFormatting sqref="AE34">
    <cfRule type="containsText" dxfId="1533" priority="1506" operator="containsText" text="Small">
      <formula>NOT(ISERROR(SEARCH("Small",AE34)))</formula>
    </cfRule>
    <cfRule type="containsText" dxfId="1532" priority="1507" operator="containsText" text="Mid">
      <formula>NOT(ISERROR(SEARCH("Mid",AE34)))</formula>
    </cfRule>
    <cfRule type="containsText" dxfId="1531" priority="1508" operator="containsText" text="Large">
      <formula>NOT(ISERROR(SEARCH("Large",AE34)))</formula>
    </cfRule>
  </conditionalFormatting>
  <conditionalFormatting sqref="AE34">
    <cfRule type="containsText" dxfId="1530" priority="1505" operator="containsText" text="No Cap">
      <formula>NOT(ISERROR(SEARCH("No Cap",AE34)))</formula>
    </cfRule>
  </conditionalFormatting>
  <conditionalFormatting sqref="AE34">
    <cfRule type="containsText" dxfId="1529" priority="1504" operator="containsText" text="No Cap">
      <formula>NOT(ISERROR(SEARCH("No Cap",AE34)))</formula>
    </cfRule>
  </conditionalFormatting>
  <conditionalFormatting sqref="AE34">
    <cfRule type="containsText" dxfId="1528" priority="1501" operator="containsText" text="Small">
      <formula>NOT(ISERROR(SEARCH("Small",AE34)))</formula>
    </cfRule>
    <cfRule type="containsText" dxfId="1527" priority="1502" operator="containsText" text="Mid">
      <formula>NOT(ISERROR(SEARCH("Mid",AE34)))</formula>
    </cfRule>
    <cfRule type="containsText" dxfId="1526" priority="1503" operator="containsText" text="Large">
      <formula>NOT(ISERROR(SEARCH("Large",AE34)))</formula>
    </cfRule>
  </conditionalFormatting>
  <conditionalFormatting sqref="AE34">
    <cfRule type="containsText" dxfId="1525" priority="1498" operator="containsText" text="Small">
      <formula>NOT(ISERROR(SEARCH("Small",AE34)))</formula>
    </cfRule>
    <cfRule type="containsText" dxfId="1524" priority="1499" operator="containsText" text="Mid">
      <formula>NOT(ISERROR(SEARCH("Mid",AE34)))</formula>
    </cfRule>
    <cfRule type="containsText" dxfId="1523" priority="1500" operator="containsText" text="Large">
      <formula>NOT(ISERROR(SEARCH("Large",AE34)))</formula>
    </cfRule>
  </conditionalFormatting>
  <conditionalFormatting sqref="AE34">
    <cfRule type="containsText" dxfId="1522" priority="1495" operator="containsText" text="Small">
      <formula>NOT(ISERROR(SEARCH("Small",AE34)))</formula>
    </cfRule>
    <cfRule type="containsText" dxfId="1521" priority="1496" operator="containsText" text="Mid">
      <formula>NOT(ISERROR(SEARCH("Mid",AE34)))</formula>
    </cfRule>
    <cfRule type="containsText" dxfId="1520" priority="1497" operator="containsText" text="Large">
      <formula>NOT(ISERROR(SEARCH("Large",AE34)))</formula>
    </cfRule>
  </conditionalFormatting>
  <conditionalFormatting sqref="AE34">
    <cfRule type="containsText" dxfId="1519" priority="1494" operator="containsText" text="NA">
      <formula>NOT(ISERROR(SEARCH("NA",AE34)))</formula>
    </cfRule>
  </conditionalFormatting>
  <conditionalFormatting sqref="AE34">
    <cfRule type="containsText" dxfId="1518" priority="1491" operator="containsText" text="Small">
      <formula>NOT(ISERROR(SEARCH("Small",AE34)))</formula>
    </cfRule>
    <cfRule type="containsText" dxfId="1517" priority="1492" operator="containsText" text="Mid">
      <formula>NOT(ISERROR(SEARCH("Mid",AE34)))</formula>
    </cfRule>
    <cfRule type="containsText" dxfId="1516" priority="1493" operator="containsText" text="Large">
      <formula>NOT(ISERROR(SEARCH("Large",AE34)))</formula>
    </cfRule>
  </conditionalFormatting>
  <conditionalFormatting sqref="AE34">
    <cfRule type="containsText" dxfId="1515" priority="1488" operator="containsText" text="Small">
      <formula>NOT(ISERROR(SEARCH("Small",AE34)))</formula>
    </cfRule>
    <cfRule type="containsText" dxfId="1514" priority="1489" operator="containsText" text="Mid">
      <formula>NOT(ISERROR(SEARCH("Mid",AE34)))</formula>
    </cfRule>
    <cfRule type="containsText" dxfId="1513" priority="1490" operator="containsText" text="Large">
      <formula>NOT(ISERROR(SEARCH("Large",AE34)))</formula>
    </cfRule>
  </conditionalFormatting>
  <conditionalFormatting sqref="AE34">
    <cfRule type="containsText" dxfId="1512" priority="1485" operator="containsText" text="Small">
      <formula>NOT(ISERROR(SEARCH("Small",AE34)))</formula>
    </cfRule>
    <cfRule type="containsText" dxfId="1511" priority="1486" operator="containsText" text="Mid">
      <formula>NOT(ISERROR(SEARCH("Mid",AE34)))</formula>
    </cfRule>
    <cfRule type="containsText" dxfId="1510" priority="1487" operator="containsText" text="Large">
      <formula>NOT(ISERROR(SEARCH("Large",AE34)))</formula>
    </cfRule>
  </conditionalFormatting>
  <conditionalFormatting sqref="AE34">
    <cfRule type="containsText" dxfId="1509" priority="1482" operator="containsText" text="Small">
      <formula>NOT(ISERROR(SEARCH("Small",AE34)))</formula>
    </cfRule>
    <cfRule type="containsText" dxfId="1508" priority="1483" operator="containsText" text="Mid">
      <formula>NOT(ISERROR(SEARCH("Mid",AE34)))</formula>
    </cfRule>
    <cfRule type="containsText" dxfId="1507" priority="1484" operator="containsText" text="Large">
      <formula>NOT(ISERROR(SEARCH("Large",AE34)))</formula>
    </cfRule>
  </conditionalFormatting>
  <conditionalFormatting sqref="AE34">
    <cfRule type="containsText" dxfId="1506" priority="1479" operator="containsText" text="Small">
      <formula>NOT(ISERROR(SEARCH("Small",AE34)))</formula>
    </cfRule>
    <cfRule type="containsText" dxfId="1505" priority="1480" operator="containsText" text="Mid">
      <formula>NOT(ISERROR(SEARCH("Mid",AE34)))</formula>
    </cfRule>
    <cfRule type="containsText" dxfId="1504" priority="1481" operator="containsText" text="Large">
      <formula>NOT(ISERROR(SEARCH("Large",AE34)))</formula>
    </cfRule>
  </conditionalFormatting>
  <conditionalFormatting sqref="AE34">
    <cfRule type="containsText" dxfId="1503" priority="1476" operator="containsText" text="Small">
      <formula>NOT(ISERROR(SEARCH("Small",AE34)))</formula>
    </cfRule>
    <cfRule type="containsText" dxfId="1502" priority="1477" operator="containsText" text="Mid">
      <formula>NOT(ISERROR(SEARCH("Mid",AE34)))</formula>
    </cfRule>
    <cfRule type="containsText" dxfId="1501" priority="1478" operator="containsText" text="Large">
      <formula>NOT(ISERROR(SEARCH("Large",AE34)))</formula>
    </cfRule>
  </conditionalFormatting>
  <conditionalFormatting sqref="AE34">
    <cfRule type="containsText" dxfId="1500" priority="1473" operator="containsText" text="Small">
      <formula>NOT(ISERROR(SEARCH("Small",AE34)))</formula>
    </cfRule>
    <cfRule type="containsText" dxfId="1499" priority="1474" operator="containsText" text="Mid">
      <formula>NOT(ISERROR(SEARCH("Mid",AE34)))</formula>
    </cfRule>
    <cfRule type="containsText" dxfId="1498" priority="1475" operator="containsText" text="Large">
      <formula>NOT(ISERROR(SEARCH("Large",AE34)))</formula>
    </cfRule>
  </conditionalFormatting>
  <conditionalFormatting sqref="AE34">
    <cfRule type="containsText" dxfId="1497" priority="1470" operator="containsText" text="Small">
      <formula>NOT(ISERROR(SEARCH("Small",AE34)))</formula>
    </cfRule>
    <cfRule type="containsText" dxfId="1496" priority="1471" operator="containsText" text="Mid">
      <formula>NOT(ISERROR(SEARCH("Mid",AE34)))</formula>
    </cfRule>
    <cfRule type="containsText" dxfId="1495" priority="1472" operator="containsText" text="Large">
      <formula>NOT(ISERROR(SEARCH("Large",AE34)))</formula>
    </cfRule>
  </conditionalFormatting>
  <conditionalFormatting sqref="AE34">
    <cfRule type="containsText" dxfId="1494" priority="1467" operator="containsText" text="Small">
      <formula>NOT(ISERROR(SEARCH("Small",AE34)))</formula>
    </cfRule>
    <cfRule type="containsText" dxfId="1493" priority="1468" operator="containsText" text="Mid">
      <formula>NOT(ISERROR(SEARCH("Mid",AE34)))</formula>
    </cfRule>
    <cfRule type="containsText" dxfId="1492" priority="1469" operator="containsText" text="Large">
      <formula>NOT(ISERROR(SEARCH("Large",AE34)))</formula>
    </cfRule>
  </conditionalFormatting>
  <conditionalFormatting sqref="AE34">
    <cfRule type="containsText" dxfId="1491" priority="1464" operator="containsText" text="Small">
      <formula>NOT(ISERROR(SEARCH("Small",AE34)))</formula>
    </cfRule>
    <cfRule type="containsText" dxfId="1490" priority="1465" operator="containsText" text="Mid">
      <formula>NOT(ISERROR(SEARCH("Mid",AE34)))</formula>
    </cfRule>
    <cfRule type="containsText" dxfId="1489" priority="1466" operator="containsText" text="Large">
      <formula>NOT(ISERROR(SEARCH("Large",AE34)))</formula>
    </cfRule>
  </conditionalFormatting>
  <conditionalFormatting sqref="AE34">
    <cfRule type="containsText" dxfId="1488" priority="1461" operator="containsText" text="Small">
      <formula>NOT(ISERROR(SEARCH("Small",AE34)))</formula>
    </cfRule>
    <cfRule type="containsText" dxfId="1487" priority="1462" operator="containsText" text="Mid">
      <formula>NOT(ISERROR(SEARCH("Mid",AE34)))</formula>
    </cfRule>
    <cfRule type="containsText" dxfId="1486" priority="1463" operator="containsText" text="Large">
      <formula>NOT(ISERROR(SEARCH("Large",AE34)))</formula>
    </cfRule>
  </conditionalFormatting>
  <conditionalFormatting sqref="AE34">
    <cfRule type="containsText" dxfId="1485" priority="1458" operator="containsText" text="Small">
      <formula>NOT(ISERROR(SEARCH("Small",AE34)))</formula>
    </cfRule>
    <cfRule type="containsText" dxfId="1484" priority="1459" operator="containsText" text="Mid">
      <formula>NOT(ISERROR(SEARCH("Mid",AE34)))</formula>
    </cfRule>
    <cfRule type="containsText" dxfId="1483" priority="1460" operator="containsText" text="Large">
      <formula>NOT(ISERROR(SEARCH("Large",AE34)))</formula>
    </cfRule>
  </conditionalFormatting>
  <conditionalFormatting sqref="AE34">
    <cfRule type="containsText" dxfId="1482" priority="1455" operator="containsText" text="Small">
      <formula>NOT(ISERROR(SEARCH("Small",AE34)))</formula>
    </cfRule>
    <cfRule type="containsText" dxfId="1481" priority="1456" operator="containsText" text="Mid">
      <formula>NOT(ISERROR(SEARCH("Mid",AE34)))</formula>
    </cfRule>
    <cfRule type="containsText" dxfId="1480" priority="1457" operator="containsText" text="Large">
      <formula>NOT(ISERROR(SEARCH("Large",AE34)))</formula>
    </cfRule>
  </conditionalFormatting>
  <conditionalFormatting sqref="AE34">
    <cfRule type="containsText" dxfId="1479" priority="1452" operator="containsText" text="Small">
      <formula>NOT(ISERROR(SEARCH("Small",AE34)))</formula>
    </cfRule>
    <cfRule type="containsText" dxfId="1478" priority="1453" operator="containsText" text="Mid">
      <formula>NOT(ISERROR(SEARCH("Mid",AE34)))</formula>
    </cfRule>
    <cfRule type="containsText" dxfId="1477" priority="1454" operator="containsText" text="Large">
      <formula>NOT(ISERROR(SEARCH("Large",AE34)))</formula>
    </cfRule>
  </conditionalFormatting>
  <conditionalFormatting sqref="AE34">
    <cfRule type="containsText" dxfId="1476" priority="1449" operator="containsText" text="Small">
      <formula>NOT(ISERROR(SEARCH("Small",AE34)))</formula>
    </cfRule>
    <cfRule type="containsText" dxfId="1475" priority="1450" operator="containsText" text="Mid">
      <formula>NOT(ISERROR(SEARCH("Mid",AE34)))</formula>
    </cfRule>
    <cfRule type="containsText" dxfId="1474" priority="1451" operator="containsText" text="Large">
      <formula>NOT(ISERROR(SEARCH("Large",AE34)))</formula>
    </cfRule>
  </conditionalFormatting>
  <conditionalFormatting sqref="AE34">
    <cfRule type="containsText" dxfId="1473" priority="1446" operator="containsText" text="Small">
      <formula>NOT(ISERROR(SEARCH("Small",AE34)))</formula>
    </cfRule>
    <cfRule type="containsText" dxfId="1472" priority="1447" operator="containsText" text="Mid">
      <formula>NOT(ISERROR(SEARCH("Mid",AE34)))</formula>
    </cfRule>
    <cfRule type="containsText" dxfId="1471" priority="1448" operator="containsText" text="Large">
      <formula>NOT(ISERROR(SEARCH("Large",AE34)))</formula>
    </cfRule>
  </conditionalFormatting>
  <conditionalFormatting sqref="AE34">
    <cfRule type="containsText" dxfId="1470" priority="1443" operator="containsText" text="Small">
      <formula>NOT(ISERROR(SEARCH("Small",AE34)))</formula>
    </cfRule>
    <cfRule type="containsText" dxfId="1469" priority="1444" operator="containsText" text="Mid">
      <formula>NOT(ISERROR(SEARCH("Mid",AE34)))</formula>
    </cfRule>
    <cfRule type="containsText" dxfId="1468" priority="1445" operator="containsText" text="Large">
      <formula>NOT(ISERROR(SEARCH("Large",AE34)))</formula>
    </cfRule>
  </conditionalFormatting>
  <conditionalFormatting sqref="AE34">
    <cfRule type="containsText" dxfId="1467" priority="1440" operator="containsText" text="Small">
      <formula>NOT(ISERROR(SEARCH("Small",AE34)))</formula>
    </cfRule>
    <cfRule type="containsText" dxfId="1466" priority="1441" operator="containsText" text="Mid">
      <formula>NOT(ISERROR(SEARCH("Mid",AE34)))</formula>
    </cfRule>
    <cfRule type="containsText" dxfId="1465" priority="1442" operator="containsText" text="Large">
      <formula>NOT(ISERROR(SEARCH("Large",AE34)))</formula>
    </cfRule>
  </conditionalFormatting>
  <conditionalFormatting sqref="AE34">
    <cfRule type="containsText" dxfId="1464" priority="1437" operator="containsText" text="Small">
      <formula>NOT(ISERROR(SEARCH("Small",AE34)))</formula>
    </cfRule>
    <cfRule type="containsText" dxfId="1463" priority="1438" operator="containsText" text="Mid">
      <formula>NOT(ISERROR(SEARCH("Mid",AE34)))</formula>
    </cfRule>
    <cfRule type="containsText" dxfId="1462" priority="1439" operator="containsText" text="Large">
      <formula>NOT(ISERROR(SEARCH("Large",AE34)))</formula>
    </cfRule>
  </conditionalFormatting>
  <conditionalFormatting sqref="AE34">
    <cfRule type="containsText" dxfId="1461" priority="1434" operator="containsText" text="Small">
      <formula>NOT(ISERROR(SEARCH("Small",AE34)))</formula>
    </cfRule>
    <cfRule type="containsText" dxfId="1460" priority="1435" operator="containsText" text="Mid">
      <formula>NOT(ISERROR(SEARCH("Mid",AE34)))</formula>
    </cfRule>
    <cfRule type="containsText" dxfId="1459" priority="1436" operator="containsText" text="Large">
      <formula>NOT(ISERROR(SEARCH("Large",AE34)))</formula>
    </cfRule>
  </conditionalFormatting>
  <conditionalFormatting sqref="AE34">
    <cfRule type="containsText" dxfId="1458" priority="1431" operator="containsText" text="Small">
      <formula>NOT(ISERROR(SEARCH("Small",AE34)))</formula>
    </cfRule>
    <cfRule type="containsText" dxfId="1457" priority="1432" operator="containsText" text="Mid">
      <formula>NOT(ISERROR(SEARCH("Mid",AE34)))</formula>
    </cfRule>
    <cfRule type="containsText" dxfId="1456" priority="1433" operator="containsText" text="Large">
      <formula>NOT(ISERROR(SEARCH("Large",AE34)))</formula>
    </cfRule>
  </conditionalFormatting>
  <conditionalFormatting sqref="AE34">
    <cfRule type="containsText" dxfId="1455" priority="1428" operator="containsText" text="Small">
      <formula>NOT(ISERROR(SEARCH("Small",AE34)))</formula>
    </cfRule>
    <cfRule type="containsText" dxfId="1454" priority="1429" operator="containsText" text="Mid">
      <formula>NOT(ISERROR(SEARCH("Mid",AE34)))</formula>
    </cfRule>
    <cfRule type="containsText" dxfId="1453" priority="1430" operator="containsText" text="Large">
      <formula>NOT(ISERROR(SEARCH("Large",AE34)))</formula>
    </cfRule>
  </conditionalFormatting>
  <conditionalFormatting sqref="AE34">
    <cfRule type="containsText" dxfId="1452" priority="1425" operator="containsText" text="Small">
      <formula>NOT(ISERROR(SEARCH("Small",AE34)))</formula>
    </cfRule>
    <cfRule type="containsText" dxfId="1451" priority="1426" operator="containsText" text="Mid">
      <formula>NOT(ISERROR(SEARCH("Mid",AE34)))</formula>
    </cfRule>
    <cfRule type="containsText" dxfId="1450" priority="1427" operator="containsText" text="Large">
      <formula>NOT(ISERROR(SEARCH("Large",AE34)))</formula>
    </cfRule>
  </conditionalFormatting>
  <conditionalFormatting sqref="AE34">
    <cfRule type="containsText" dxfId="1449" priority="1422" operator="containsText" text="Small">
      <formula>NOT(ISERROR(SEARCH("Small",AE34)))</formula>
    </cfRule>
    <cfRule type="containsText" dxfId="1448" priority="1423" operator="containsText" text="Mid">
      <formula>NOT(ISERROR(SEARCH("Mid",AE34)))</formula>
    </cfRule>
    <cfRule type="containsText" dxfId="1447" priority="1424" operator="containsText" text="Large">
      <formula>NOT(ISERROR(SEARCH("Large",AE34)))</formula>
    </cfRule>
  </conditionalFormatting>
  <conditionalFormatting sqref="AE34">
    <cfRule type="containsText" dxfId="1446" priority="1419" operator="containsText" text="Small">
      <formula>NOT(ISERROR(SEARCH("Small",AE34)))</formula>
    </cfRule>
    <cfRule type="containsText" dxfId="1445" priority="1420" operator="containsText" text="Mid">
      <formula>NOT(ISERROR(SEARCH("Mid",AE34)))</formula>
    </cfRule>
    <cfRule type="containsText" dxfId="1444" priority="1421" operator="containsText" text="Large">
      <formula>NOT(ISERROR(SEARCH("Large",AE34)))</formula>
    </cfRule>
  </conditionalFormatting>
  <conditionalFormatting sqref="AE34">
    <cfRule type="containsText" dxfId="1443" priority="1416" operator="containsText" text="Small">
      <formula>NOT(ISERROR(SEARCH("Small",AE34)))</formula>
    </cfRule>
    <cfRule type="containsText" dxfId="1442" priority="1417" operator="containsText" text="Mid">
      <formula>NOT(ISERROR(SEARCH("Mid",AE34)))</formula>
    </cfRule>
    <cfRule type="containsText" dxfId="1441" priority="1418" operator="containsText" text="Large">
      <formula>NOT(ISERROR(SEARCH("Large",AE34)))</formula>
    </cfRule>
  </conditionalFormatting>
  <conditionalFormatting sqref="AE34">
    <cfRule type="containsText" dxfId="1440" priority="1413" operator="containsText" text="Small">
      <formula>NOT(ISERROR(SEARCH("Small",AE34)))</formula>
    </cfRule>
    <cfRule type="containsText" dxfId="1439" priority="1414" operator="containsText" text="Mid">
      <formula>NOT(ISERROR(SEARCH("Mid",AE34)))</formula>
    </cfRule>
    <cfRule type="containsText" dxfId="1438" priority="1415" operator="containsText" text="Large">
      <formula>NOT(ISERROR(SEARCH("Large",AE34)))</formula>
    </cfRule>
  </conditionalFormatting>
  <conditionalFormatting sqref="AE34">
    <cfRule type="containsText" dxfId="1437" priority="1412" operator="containsText" text="No Cap">
      <formula>NOT(ISERROR(SEARCH("No Cap",AE34)))</formula>
    </cfRule>
  </conditionalFormatting>
  <conditionalFormatting sqref="AE34">
    <cfRule type="containsText" dxfId="1436" priority="1411" operator="containsText" text="No Cap">
      <formula>NOT(ISERROR(SEARCH("No Cap",AE34)))</formula>
    </cfRule>
  </conditionalFormatting>
  <conditionalFormatting sqref="AE34">
    <cfRule type="containsText" dxfId="1435" priority="1408" operator="containsText" text="Small">
      <formula>NOT(ISERROR(SEARCH("Small",AE34)))</formula>
    </cfRule>
    <cfRule type="containsText" dxfId="1434" priority="1409" operator="containsText" text="Mid">
      <formula>NOT(ISERROR(SEARCH("Mid",AE34)))</formula>
    </cfRule>
    <cfRule type="containsText" dxfId="1433" priority="1410" operator="containsText" text="Large">
      <formula>NOT(ISERROR(SEARCH("Large",AE34)))</formula>
    </cfRule>
  </conditionalFormatting>
  <conditionalFormatting sqref="AE34">
    <cfRule type="containsText" dxfId="1432" priority="1405" operator="containsText" text="Small">
      <formula>NOT(ISERROR(SEARCH("Small",AE34)))</formula>
    </cfRule>
    <cfRule type="containsText" dxfId="1431" priority="1406" operator="containsText" text="Mid">
      <formula>NOT(ISERROR(SEARCH("Mid",AE34)))</formula>
    </cfRule>
    <cfRule type="containsText" dxfId="1430" priority="1407" operator="containsText" text="Large">
      <formula>NOT(ISERROR(SEARCH("Large",AE34)))</formula>
    </cfRule>
  </conditionalFormatting>
  <conditionalFormatting sqref="AE34">
    <cfRule type="containsText" dxfId="1429" priority="1402" operator="containsText" text="Small">
      <formula>NOT(ISERROR(SEARCH("Small",AE34)))</formula>
    </cfRule>
    <cfRule type="containsText" dxfId="1428" priority="1403" operator="containsText" text="Mid">
      <formula>NOT(ISERROR(SEARCH("Mid",AE34)))</formula>
    </cfRule>
    <cfRule type="containsText" dxfId="1427" priority="1404" operator="containsText" text="Large">
      <formula>NOT(ISERROR(SEARCH("Large",AE34)))</formula>
    </cfRule>
  </conditionalFormatting>
  <conditionalFormatting sqref="AE34">
    <cfRule type="containsText" dxfId="1426" priority="1401" operator="containsText" text="No Cap">
      <formula>NOT(ISERROR(SEARCH("No Cap",AE34)))</formula>
    </cfRule>
  </conditionalFormatting>
  <conditionalFormatting sqref="AE34">
    <cfRule type="containsText" dxfId="1425" priority="1400" operator="containsText" text="No Cap">
      <formula>NOT(ISERROR(SEARCH("No Cap",AE34)))</formula>
    </cfRule>
  </conditionalFormatting>
  <conditionalFormatting sqref="AE34">
    <cfRule type="containsText" dxfId="1424" priority="1397" operator="containsText" text="Small">
      <formula>NOT(ISERROR(SEARCH("Small",AE34)))</formula>
    </cfRule>
    <cfRule type="containsText" dxfId="1423" priority="1398" operator="containsText" text="Mid">
      <formula>NOT(ISERROR(SEARCH("Mid",AE34)))</formula>
    </cfRule>
    <cfRule type="containsText" dxfId="1422" priority="1399" operator="containsText" text="Large">
      <formula>NOT(ISERROR(SEARCH("Large",AE34)))</formula>
    </cfRule>
  </conditionalFormatting>
  <conditionalFormatting sqref="AE34">
    <cfRule type="containsText" dxfId="1421" priority="1394" operator="containsText" text="Small">
      <formula>NOT(ISERROR(SEARCH("Small",AE34)))</formula>
    </cfRule>
    <cfRule type="containsText" dxfId="1420" priority="1395" operator="containsText" text="Mid">
      <formula>NOT(ISERROR(SEARCH("Mid",AE34)))</formula>
    </cfRule>
    <cfRule type="containsText" dxfId="1419" priority="1396" operator="containsText" text="Large">
      <formula>NOT(ISERROR(SEARCH("Large",AE34)))</formula>
    </cfRule>
  </conditionalFormatting>
  <conditionalFormatting sqref="AE34">
    <cfRule type="containsText" dxfId="1418" priority="1391" operator="containsText" text="Small">
      <formula>NOT(ISERROR(SEARCH("Small",AE34)))</formula>
    </cfRule>
    <cfRule type="containsText" dxfId="1417" priority="1392" operator="containsText" text="Mid">
      <formula>NOT(ISERROR(SEARCH("Mid",AE34)))</formula>
    </cfRule>
    <cfRule type="containsText" dxfId="1416" priority="1393" operator="containsText" text="Large">
      <formula>NOT(ISERROR(SEARCH("Large",AE34)))</formula>
    </cfRule>
  </conditionalFormatting>
  <conditionalFormatting sqref="AE34">
    <cfRule type="containsText" dxfId="1415" priority="1390" operator="containsText" text="NA">
      <formula>NOT(ISERROR(SEARCH("NA",AE34)))</formula>
    </cfRule>
  </conditionalFormatting>
  <conditionalFormatting sqref="AE34">
    <cfRule type="containsText" dxfId="1414" priority="1387" operator="containsText" text="Small">
      <formula>NOT(ISERROR(SEARCH("Small",AE34)))</formula>
    </cfRule>
    <cfRule type="containsText" dxfId="1413" priority="1388" operator="containsText" text="Mid">
      <formula>NOT(ISERROR(SEARCH("Mid",AE34)))</formula>
    </cfRule>
    <cfRule type="containsText" dxfId="1412" priority="1389" operator="containsText" text="Large">
      <formula>NOT(ISERROR(SEARCH("Large",AE34)))</formula>
    </cfRule>
  </conditionalFormatting>
  <conditionalFormatting sqref="AE34">
    <cfRule type="containsText" dxfId="1411" priority="1384" operator="containsText" text="Small">
      <formula>NOT(ISERROR(SEARCH("Small",AE34)))</formula>
    </cfRule>
    <cfRule type="containsText" dxfId="1410" priority="1385" operator="containsText" text="Mid">
      <formula>NOT(ISERROR(SEARCH("Mid",AE34)))</formula>
    </cfRule>
    <cfRule type="containsText" dxfId="1409" priority="1386" operator="containsText" text="Large">
      <formula>NOT(ISERROR(SEARCH("Large",AE34)))</formula>
    </cfRule>
  </conditionalFormatting>
  <conditionalFormatting sqref="AE34">
    <cfRule type="containsText" dxfId="1408" priority="1381" operator="containsText" text="Small">
      <formula>NOT(ISERROR(SEARCH("Small",AE34)))</formula>
    </cfRule>
    <cfRule type="containsText" dxfId="1407" priority="1382" operator="containsText" text="Mid">
      <formula>NOT(ISERROR(SEARCH("Mid",AE34)))</formula>
    </cfRule>
    <cfRule type="containsText" dxfId="1406" priority="1383" operator="containsText" text="Large">
      <formula>NOT(ISERROR(SEARCH("Large",AE34)))</formula>
    </cfRule>
  </conditionalFormatting>
  <conditionalFormatting sqref="AE34">
    <cfRule type="containsText" dxfId="1405" priority="1378" operator="containsText" text="Small">
      <formula>NOT(ISERROR(SEARCH("Small",AE34)))</formula>
    </cfRule>
    <cfRule type="containsText" dxfId="1404" priority="1379" operator="containsText" text="Mid">
      <formula>NOT(ISERROR(SEARCH("Mid",AE34)))</formula>
    </cfRule>
    <cfRule type="containsText" dxfId="1403" priority="1380" operator="containsText" text="Large">
      <formula>NOT(ISERROR(SEARCH("Large",AE34)))</formula>
    </cfRule>
  </conditionalFormatting>
  <conditionalFormatting sqref="AE34">
    <cfRule type="containsText" dxfId="1402" priority="1375" operator="containsText" text="Small">
      <formula>NOT(ISERROR(SEARCH("Small",AE34)))</formula>
    </cfRule>
    <cfRule type="containsText" dxfId="1401" priority="1376" operator="containsText" text="Mid">
      <formula>NOT(ISERROR(SEARCH("Mid",AE34)))</formula>
    </cfRule>
    <cfRule type="containsText" dxfId="1400" priority="1377" operator="containsText" text="Large">
      <formula>NOT(ISERROR(SEARCH("Large",AE34)))</formula>
    </cfRule>
  </conditionalFormatting>
  <conditionalFormatting sqref="AE34">
    <cfRule type="containsText" dxfId="1399" priority="1372" operator="containsText" text="Small">
      <formula>NOT(ISERROR(SEARCH("Small",AE34)))</formula>
    </cfRule>
    <cfRule type="containsText" dxfId="1398" priority="1373" operator="containsText" text="Mid">
      <formula>NOT(ISERROR(SEARCH("Mid",AE34)))</formula>
    </cfRule>
    <cfRule type="containsText" dxfId="1397" priority="1374" operator="containsText" text="Large">
      <formula>NOT(ISERROR(SEARCH("Large",AE34)))</formula>
    </cfRule>
  </conditionalFormatting>
  <conditionalFormatting sqref="AE34">
    <cfRule type="containsText" dxfId="1396" priority="1369" operator="containsText" text="Small">
      <formula>NOT(ISERROR(SEARCH("Small",AE34)))</formula>
    </cfRule>
    <cfRule type="containsText" dxfId="1395" priority="1370" operator="containsText" text="Mid">
      <formula>NOT(ISERROR(SEARCH("Mid",AE34)))</formula>
    </cfRule>
    <cfRule type="containsText" dxfId="1394" priority="1371" operator="containsText" text="Large">
      <formula>NOT(ISERROR(SEARCH("Large",AE34)))</formula>
    </cfRule>
  </conditionalFormatting>
  <conditionalFormatting sqref="AE34">
    <cfRule type="containsText" dxfId="1393" priority="1366" operator="containsText" text="Small">
      <formula>NOT(ISERROR(SEARCH("Small",AE34)))</formula>
    </cfRule>
    <cfRule type="containsText" dxfId="1392" priority="1367" operator="containsText" text="Mid">
      <formula>NOT(ISERROR(SEARCH("Mid",AE34)))</formula>
    </cfRule>
    <cfRule type="containsText" dxfId="1391" priority="1368" operator="containsText" text="Large">
      <formula>NOT(ISERROR(SEARCH("Large",AE34)))</formula>
    </cfRule>
  </conditionalFormatting>
  <conditionalFormatting sqref="AE34">
    <cfRule type="containsText" dxfId="1390" priority="1363" operator="containsText" text="Small">
      <formula>NOT(ISERROR(SEARCH("Small",AE34)))</formula>
    </cfRule>
    <cfRule type="containsText" dxfId="1389" priority="1364" operator="containsText" text="Mid">
      <formula>NOT(ISERROR(SEARCH("Mid",AE34)))</formula>
    </cfRule>
    <cfRule type="containsText" dxfId="1388" priority="1365" operator="containsText" text="Large">
      <formula>NOT(ISERROR(SEARCH("Large",AE34)))</formula>
    </cfRule>
  </conditionalFormatting>
  <conditionalFormatting sqref="AE34">
    <cfRule type="containsText" dxfId="1387" priority="1360" operator="containsText" text="Small">
      <formula>NOT(ISERROR(SEARCH("Small",AE34)))</formula>
    </cfRule>
    <cfRule type="containsText" dxfId="1386" priority="1361" operator="containsText" text="Mid">
      <formula>NOT(ISERROR(SEARCH("Mid",AE34)))</formula>
    </cfRule>
    <cfRule type="containsText" dxfId="1385" priority="1362" operator="containsText" text="Large">
      <formula>NOT(ISERROR(SEARCH("Large",AE34)))</formula>
    </cfRule>
  </conditionalFormatting>
  <conditionalFormatting sqref="AE34">
    <cfRule type="containsText" dxfId="1384" priority="1357" operator="containsText" text="Small">
      <formula>NOT(ISERROR(SEARCH("Small",AE34)))</formula>
    </cfRule>
    <cfRule type="containsText" dxfId="1383" priority="1358" operator="containsText" text="Mid">
      <formula>NOT(ISERROR(SEARCH("Mid",AE34)))</formula>
    </cfRule>
    <cfRule type="containsText" dxfId="1382" priority="1359" operator="containsText" text="Large">
      <formula>NOT(ISERROR(SEARCH("Large",AE34)))</formula>
    </cfRule>
  </conditionalFormatting>
  <conditionalFormatting sqref="AE34">
    <cfRule type="containsText" dxfId="1381" priority="1354" operator="containsText" text="Small">
      <formula>NOT(ISERROR(SEARCH("Small",AE34)))</formula>
    </cfRule>
    <cfRule type="containsText" dxfId="1380" priority="1355" operator="containsText" text="Mid">
      <formula>NOT(ISERROR(SEARCH("Mid",AE34)))</formula>
    </cfRule>
    <cfRule type="containsText" dxfId="1379" priority="1356" operator="containsText" text="Large">
      <formula>NOT(ISERROR(SEARCH("Large",AE34)))</formula>
    </cfRule>
  </conditionalFormatting>
  <conditionalFormatting sqref="AE34">
    <cfRule type="containsText" dxfId="1378" priority="1351" operator="containsText" text="Small">
      <formula>NOT(ISERROR(SEARCH("Small",AE34)))</formula>
    </cfRule>
    <cfRule type="containsText" dxfId="1377" priority="1352" operator="containsText" text="Mid">
      <formula>NOT(ISERROR(SEARCH("Mid",AE34)))</formula>
    </cfRule>
    <cfRule type="containsText" dxfId="1376" priority="1353" operator="containsText" text="Large">
      <formula>NOT(ISERROR(SEARCH("Large",AE34)))</formula>
    </cfRule>
  </conditionalFormatting>
  <conditionalFormatting sqref="AE34">
    <cfRule type="containsText" dxfId="1375" priority="1348" operator="containsText" text="Small">
      <formula>NOT(ISERROR(SEARCH("Small",AE34)))</formula>
    </cfRule>
    <cfRule type="containsText" dxfId="1374" priority="1349" operator="containsText" text="Mid">
      <formula>NOT(ISERROR(SEARCH("Mid",AE34)))</formula>
    </cfRule>
    <cfRule type="containsText" dxfId="1373" priority="1350" operator="containsText" text="Large">
      <formula>NOT(ISERROR(SEARCH("Large",AE34)))</formula>
    </cfRule>
  </conditionalFormatting>
  <conditionalFormatting sqref="AE34">
    <cfRule type="containsText" dxfId="1372" priority="1345" operator="containsText" text="Small">
      <formula>NOT(ISERROR(SEARCH("Small",AE34)))</formula>
    </cfRule>
    <cfRule type="containsText" dxfId="1371" priority="1346" operator="containsText" text="Mid">
      <formula>NOT(ISERROR(SEARCH("Mid",AE34)))</formula>
    </cfRule>
    <cfRule type="containsText" dxfId="1370" priority="1347" operator="containsText" text="Large">
      <formula>NOT(ISERROR(SEARCH("Large",AE34)))</formula>
    </cfRule>
  </conditionalFormatting>
  <conditionalFormatting sqref="AE34">
    <cfRule type="containsText" dxfId="1369" priority="1342" operator="containsText" text="Small">
      <formula>NOT(ISERROR(SEARCH("Small",AE34)))</formula>
    </cfRule>
    <cfRule type="containsText" dxfId="1368" priority="1343" operator="containsText" text="Mid">
      <formula>NOT(ISERROR(SEARCH("Mid",AE34)))</formula>
    </cfRule>
    <cfRule type="containsText" dxfId="1367" priority="1344" operator="containsText" text="Large">
      <formula>NOT(ISERROR(SEARCH("Large",AE34)))</formula>
    </cfRule>
  </conditionalFormatting>
  <conditionalFormatting sqref="AE34">
    <cfRule type="containsText" dxfId="1366" priority="1339" operator="containsText" text="Small">
      <formula>NOT(ISERROR(SEARCH("Small",AE34)))</formula>
    </cfRule>
    <cfRule type="containsText" dxfId="1365" priority="1340" operator="containsText" text="Mid">
      <formula>NOT(ISERROR(SEARCH("Mid",AE34)))</formula>
    </cfRule>
    <cfRule type="containsText" dxfId="1364" priority="1341" operator="containsText" text="Large">
      <formula>NOT(ISERROR(SEARCH("Large",AE34)))</formula>
    </cfRule>
  </conditionalFormatting>
  <conditionalFormatting sqref="AE34">
    <cfRule type="containsText" dxfId="1363" priority="1336" operator="containsText" text="Small">
      <formula>NOT(ISERROR(SEARCH("Small",AE34)))</formula>
    </cfRule>
    <cfRule type="containsText" dxfId="1362" priority="1337" operator="containsText" text="Mid">
      <formula>NOT(ISERROR(SEARCH("Mid",AE34)))</formula>
    </cfRule>
    <cfRule type="containsText" dxfId="1361" priority="1338" operator="containsText" text="Large">
      <formula>NOT(ISERROR(SEARCH("Large",AE34)))</formula>
    </cfRule>
  </conditionalFormatting>
  <conditionalFormatting sqref="AE34">
    <cfRule type="containsText" dxfId="1360" priority="1333" operator="containsText" text="Small">
      <formula>NOT(ISERROR(SEARCH("Small",AE34)))</formula>
    </cfRule>
    <cfRule type="containsText" dxfId="1359" priority="1334" operator="containsText" text="Mid">
      <formula>NOT(ISERROR(SEARCH("Mid",AE34)))</formula>
    </cfRule>
    <cfRule type="containsText" dxfId="1358" priority="1335" operator="containsText" text="Large">
      <formula>NOT(ISERROR(SEARCH("Large",AE34)))</formula>
    </cfRule>
  </conditionalFormatting>
  <conditionalFormatting sqref="AE34">
    <cfRule type="containsText" dxfId="1357" priority="1330" operator="containsText" text="Small">
      <formula>NOT(ISERROR(SEARCH("Small",AE34)))</formula>
    </cfRule>
    <cfRule type="containsText" dxfId="1356" priority="1331" operator="containsText" text="Mid">
      <formula>NOT(ISERROR(SEARCH("Mid",AE34)))</formula>
    </cfRule>
    <cfRule type="containsText" dxfId="1355" priority="1332" operator="containsText" text="Large">
      <formula>NOT(ISERROR(SEARCH("Large",AE34)))</formula>
    </cfRule>
  </conditionalFormatting>
  <conditionalFormatting sqref="AE34">
    <cfRule type="containsText" dxfId="1354" priority="1327" operator="containsText" text="Small">
      <formula>NOT(ISERROR(SEARCH("Small",AE34)))</formula>
    </cfRule>
    <cfRule type="containsText" dxfId="1353" priority="1328" operator="containsText" text="Mid">
      <formula>NOT(ISERROR(SEARCH("Mid",AE34)))</formula>
    </cfRule>
    <cfRule type="containsText" dxfId="1352" priority="1329" operator="containsText" text="Large">
      <formula>NOT(ISERROR(SEARCH("Large",AE34)))</formula>
    </cfRule>
  </conditionalFormatting>
  <conditionalFormatting sqref="AE34">
    <cfRule type="containsText" dxfId="1351" priority="1324" operator="containsText" text="Small">
      <formula>NOT(ISERROR(SEARCH("Small",AE34)))</formula>
    </cfRule>
    <cfRule type="containsText" dxfId="1350" priority="1325" operator="containsText" text="Mid">
      <formula>NOT(ISERROR(SEARCH("Mid",AE34)))</formula>
    </cfRule>
    <cfRule type="containsText" dxfId="1349" priority="1326" operator="containsText" text="Large">
      <formula>NOT(ISERROR(SEARCH("Large",AE34)))</formula>
    </cfRule>
  </conditionalFormatting>
  <conditionalFormatting sqref="AE34">
    <cfRule type="containsText" dxfId="1348" priority="1321" operator="containsText" text="Small">
      <formula>NOT(ISERROR(SEARCH("Small",AE34)))</formula>
    </cfRule>
    <cfRule type="containsText" dxfId="1347" priority="1322" operator="containsText" text="Mid">
      <formula>NOT(ISERROR(SEARCH("Mid",AE34)))</formula>
    </cfRule>
    <cfRule type="containsText" dxfId="1346" priority="1323" operator="containsText" text="Large">
      <formula>NOT(ISERROR(SEARCH("Large",AE34)))</formula>
    </cfRule>
  </conditionalFormatting>
  <conditionalFormatting sqref="AE34">
    <cfRule type="containsText" dxfId="1345" priority="1318" operator="containsText" text="Small">
      <formula>NOT(ISERROR(SEARCH("Small",AE34)))</formula>
    </cfRule>
    <cfRule type="containsText" dxfId="1344" priority="1319" operator="containsText" text="Mid">
      <formula>NOT(ISERROR(SEARCH("Mid",AE34)))</formula>
    </cfRule>
    <cfRule type="containsText" dxfId="1343" priority="1320" operator="containsText" text="Large">
      <formula>NOT(ISERROR(SEARCH("Large",AE34)))</formula>
    </cfRule>
  </conditionalFormatting>
  <conditionalFormatting sqref="AE34">
    <cfRule type="containsText" dxfId="1342" priority="1315" operator="containsText" text="Small">
      <formula>NOT(ISERROR(SEARCH("Small",AE34)))</formula>
    </cfRule>
    <cfRule type="containsText" dxfId="1341" priority="1316" operator="containsText" text="Mid">
      <formula>NOT(ISERROR(SEARCH("Mid",AE34)))</formula>
    </cfRule>
    <cfRule type="containsText" dxfId="1340" priority="1317" operator="containsText" text="Large">
      <formula>NOT(ISERROR(SEARCH("Large",AE34)))</formula>
    </cfRule>
  </conditionalFormatting>
  <conditionalFormatting sqref="AE34">
    <cfRule type="containsText" dxfId="1339" priority="1312" operator="containsText" text="Small">
      <formula>NOT(ISERROR(SEARCH("Small",AE34)))</formula>
    </cfRule>
    <cfRule type="containsText" dxfId="1338" priority="1313" operator="containsText" text="Mid">
      <formula>NOT(ISERROR(SEARCH("Mid",AE34)))</formula>
    </cfRule>
    <cfRule type="containsText" dxfId="1337" priority="1314" operator="containsText" text="Large">
      <formula>NOT(ISERROR(SEARCH("Large",AE34)))</formula>
    </cfRule>
  </conditionalFormatting>
  <conditionalFormatting sqref="AE34">
    <cfRule type="containsText" dxfId="1336" priority="1309" operator="containsText" text="Small">
      <formula>NOT(ISERROR(SEARCH("Small",AE34)))</formula>
    </cfRule>
    <cfRule type="containsText" dxfId="1335" priority="1310" operator="containsText" text="Mid">
      <formula>NOT(ISERROR(SEARCH("Mid",AE34)))</formula>
    </cfRule>
    <cfRule type="containsText" dxfId="1334" priority="1311" operator="containsText" text="Large">
      <formula>NOT(ISERROR(SEARCH("Large",AE34)))</formula>
    </cfRule>
  </conditionalFormatting>
  <conditionalFormatting sqref="AE34">
    <cfRule type="containsText" dxfId="1333" priority="1306" operator="containsText" text="Small">
      <formula>NOT(ISERROR(SEARCH("Small",AE34)))</formula>
    </cfRule>
    <cfRule type="containsText" dxfId="1332" priority="1307" operator="containsText" text="Mid">
      <formula>NOT(ISERROR(SEARCH("Mid",AE34)))</formula>
    </cfRule>
    <cfRule type="containsText" dxfId="1331" priority="1308" operator="containsText" text="Large">
      <formula>NOT(ISERROR(SEARCH("Large",AE34)))</formula>
    </cfRule>
  </conditionalFormatting>
  <conditionalFormatting sqref="AE34">
    <cfRule type="containsText" dxfId="1330" priority="1303" operator="containsText" text="Small">
      <formula>NOT(ISERROR(SEARCH("Small",AE34)))</formula>
    </cfRule>
    <cfRule type="containsText" dxfId="1329" priority="1304" operator="containsText" text="Mid">
      <formula>NOT(ISERROR(SEARCH("Mid",AE34)))</formula>
    </cfRule>
    <cfRule type="containsText" dxfId="1328" priority="1305" operator="containsText" text="Large">
      <formula>NOT(ISERROR(SEARCH("Large",AE34)))</formula>
    </cfRule>
  </conditionalFormatting>
  <conditionalFormatting sqref="AE34">
    <cfRule type="containsText" dxfId="1327" priority="1300" operator="containsText" text="Small">
      <formula>NOT(ISERROR(SEARCH("Small",AE34)))</formula>
    </cfRule>
    <cfRule type="containsText" dxfId="1326" priority="1301" operator="containsText" text="Mid">
      <formula>NOT(ISERROR(SEARCH("Mid",AE34)))</formula>
    </cfRule>
    <cfRule type="containsText" dxfId="1325" priority="1302" operator="containsText" text="Large">
      <formula>NOT(ISERROR(SEARCH("Large",AE34)))</formula>
    </cfRule>
  </conditionalFormatting>
  <conditionalFormatting sqref="AE34">
    <cfRule type="containsText" dxfId="1324" priority="1297" operator="containsText" text="Small">
      <formula>NOT(ISERROR(SEARCH("Small",AE34)))</formula>
    </cfRule>
    <cfRule type="containsText" dxfId="1323" priority="1298" operator="containsText" text="Mid">
      <formula>NOT(ISERROR(SEARCH("Mid",AE34)))</formula>
    </cfRule>
    <cfRule type="containsText" dxfId="1322" priority="1299" operator="containsText" text="Large">
      <formula>NOT(ISERROR(SEARCH("Large",AE34)))</formula>
    </cfRule>
  </conditionalFormatting>
  <conditionalFormatting sqref="AE34">
    <cfRule type="containsText" dxfId="1321" priority="1294" operator="containsText" text="Small">
      <formula>NOT(ISERROR(SEARCH("Small",AE34)))</formula>
    </cfRule>
    <cfRule type="containsText" dxfId="1320" priority="1295" operator="containsText" text="Mid">
      <formula>NOT(ISERROR(SEARCH("Mid",AE34)))</formula>
    </cfRule>
    <cfRule type="containsText" dxfId="1319" priority="1296" operator="containsText" text="Large">
      <formula>NOT(ISERROR(SEARCH("Large",AE34)))</formula>
    </cfRule>
  </conditionalFormatting>
  <conditionalFormatting sqref="AE34">
    <cfRule type="containsText" dxfId="1318" priority="1291" operator="containsText" text="Small">
      <formula>NOT(ISERROR(SEARCH("Small",AE34)))</formula>
    </cfRule>
    <cfRule type="containsText" dxfId="1317" priority="1292" operator="containsText" text="Mid">
      <formula>NOT(ISERROR(SEARCH("Mid",AE34)))</formula>
    </cfRule>
    <cfRule type="containsText" dxfId="1316" priority="1293" operator="containsText" text="Large">
      <formula>NOT(ISERROR(SEARCH("Large",AE34)))</formula>
    </cfRule>
  </conditionalFormatting>
  <conditionalFormatting sqref="AE34">
    <cfRule type="containsText" dxfId="1315" priority="1288" operator="containsText" text="Small">
      <formula>NOT(ISERROR(SEARCH("Small",AE34)))</formula>
    </cfRule>
    <cfRule type="containsText" dxfId="1314" priority="1289" operator="containsText" text="Mid">
      <formula>NOT(ISERROR(SEARCH("Mid",AE34)))</formula>
    </cfRule>
    <cfRule type="containsText" dxfId="1313" priority="1290" operator="containsText" text="Large">
      <formula>NOT(ISERROR(SEARCH("Large",AE34)))</formula>
    </cfRule>
  </conditionalFormatting>
  <conditionalFormatting sqref="AE34">
    <cfRule type="containsText" dxfId="1312" priority="1285" operator="containsText" text="Small">
      <formula>NOT(ISERROR(SEARCH("Small",AE34)))</formula>
    </cfRule>
    <cfRule type="containsText" dxfId="1311" priority="1286" operator="containsText" text="Mid">
      <formula>NOT(ISERROR(SEARCH("Mid",AE34)))</formula>
    </cfRule>
    <cfRule type="containsText" dxfId="1310" priority="1287" operator="containsText" text="Large">
      <formula>NOT(ISERROR(SEARCH("Large",AE34)))</formula>
    </cfRule>
  </conditionalFormatting>
  <conditionalFormatting sqref="AE34">
    <cfRule type="containsText" dxfId="1309" priority="1282" operator="containsText" text="Small">
      <formula>NOT(ISERROR(SEARCH("Small",AE34)))</formula>
    </cfRule>
    <cfRule type="containsText" dxfId="1308" priority="1283" operator="containsText" text="Mid">
      <formula>NOT(ISERROR(SEARCH("Mid",AE34)))</formula>
    </cfRule>
    <cfRule type="containsText" dxfId="1307" priority="1284" operator="containsText" text="Large">
      <formula>NOT(ISERROR(SEARCH("Large",AE34)))</formula>
    </cfRule>
  </conditionalFormatting>
  <conditionalFormatting sqref="AE34">
    <cfRule type="containsText" dxfId="1306" priority="1279" operator="containsText" text="Small">
      <formula>NOT(ISERROR(SEARCH("Small",AE34)))</formula>
    </cfRule>
    <cfRule type="containsText" dxfId="1305" priority="1280" operator="containsText" text="Mid">
      <formula>NOT(ISERROR(SEARCH("Mid",AE34)))</formula>
    </cfRule>
    <cfRule type="containsText" dxfId="1304" priority="1281" operator="containsText" text="Large">
      <formula>NOT(ISERROR(SEARCH("Large",AE34)))</formula>
    </cfRule>
  </conditionalFormatting>
  <conditionalFormatting sqref="AE34">
    <cfRule type="containsText" dxfId="1303" priority="1276" operator="containsText" text="Small">
      <formula>NOT(ISERROR(SEARCH("Small",AE34)))</formula>
    </cfRule>
    <cfRule type="containsText" dxfId="1302" priority="1277" operator="containsText" text="Mid">
      <formula>NOT(ISERROR(SEARCH("Mid",AE34)))</formula>
    </cfRule>
    <cfRule type="containsText" dxfId="1301" priority="1278" operator="containsText" text="Large">
      <formula>NOT(ISERROR(SEARCH("Large",AE34)))</formula>
    </cfRule>
  </conditionalFormatting>
  <conditionalFormatting sqref="AE34">
    <cfRule type="containsText" dxfId="1300" priority="1273" operator="containsText" text="Small">
      <formula>NOT(ISERROR(SEARCH("Small",AE34)))</formula>
    </cfRule>
    <cfRule type="containsText" dxfId="1299" priority="1274" operator="containsText" text="Mid">
      <formula>NOT(ISERROR(SEARCH("Mid",AE34)))</formula>
    </cfRule>
    <cfRule type="containsText" dxfId="1298" priority="1275" operator="containsText" text="Large">
      <formula>NOT(ISERROR(SEARCH("Large",AE34)))</formula>
    </cfRule>
  </conditionalFormatting>
  <conditionalFormatting sqref="AE34">
    <cfRule type="containsText" dxfId="1297" priority="1270" operator="containsText" text="Small">
      <formula>NOT(ISERROR(SEARCH("Small",AE34)))</formula>
    </cfRule>
    <cfRule type="containsText" dxfId="1296" priority="1271" operator="containsText" text="Mid">
      <formula>NOT(ISERROR(SEARCH("Mid",AE34)))</formula>
    </cfRule>
    <cfRule type="containsText" dxfId="1295" priority="1272" operator="containsText" text="Large">
      <formula>NOT(ISERROR(SEARCH("Large",AE34)))</formula>
    </cfRule>
  </conditionalFormatting>
  <conditionalFormatting sqref="AE34">
    <cfRule type="containsText" dxfId="1294" priority="1267" operator="containsText" text="Small">
      <formula>NOT(ISERROR(SEARCH("Small",AE34)))</formula>
    </cfRule>
    <cfRule type="containsText" dxfId="1293" priority="1268" operator="containsText" text="Mid">
      <formula>NOT(ISERROR(SEARCH("Mid",AE34)))</formula>
    </cfRule>
    <cfRule type="containsText" dxfId="1292" priority="1269" operator="containsText" text="Large">
      <formula>NOT(ISERROR(SEARCH("Large",AE34)))</formula>
    </cfRule>
  </conditionalFormatting>
  <conditionalFormatting sqref="AE34">
    <cfRule type="containsText" dxfId="1291" priority="1264" operator="containsText" text="Small">
      <formula>NOT(ISERROR(SEARCH("Small",AE34)))</formula>
    </cfRule>
    <cfRule type="containsText" dxfId="1290" priority="1265" operator="containsText" text="Mid">
      <formula>NOT(ISERROR(SEARCH("Mid",AE34)))</formula>
    </cfRule>
    <cfRule type="containsText" dxfId="1289" priority="1266" operator="containsText" text="Large">
      <formula>NOT(ISERROR(SEARCH("Large",AE34)))</formula>
    </cfRule>
  </conditionalFormatting>
  <conditionalFormatting sqref="AE34">
    <cfRule type="containsText" dxfId="1288" priority="1261" operator="containsText" text="Small">
      <formula>NOT(ISERROR(SEARCH("Small",AE34)))</formula>
    </cfRule>
    <cfRule type="containsText" dxfId="1287" priority="1262" operator="containsText" text="Mid">
      <formula>NOT(ISERROR(SEARCH("Mid",AE34)))</formula>
    </cfRule>
    <cfRule type="containsText" dxfId="1286" priority="1263" operator="containsText" text="Large">
      <formula>NOT(ISERROR(SEARCH("Large",AE34)))</formula>
    </cfRule>
  </conditionalFormatting>
  <conditionalFormatting sqref="AE34">
    <cfRule type="containsText" dxfId="1285" priority="1258" operator="containsText" text="Small">
      <formula>NOT(ISERROR(SEARCH("Small",AE34)))</formula>
    </cfRule>
    <cfRule type="containsText" dxfId="1284" priority="1259" operator="containsText" text="Mid">
      <formula>NOT(ISERROR(SEARCH("Mid",AE34)))</formula>
    </cfRule>
    <cfRule type="containsText" dxfId="1283" priority="1260" operator="containsText" text="Large">
      <formula>NOT(ISERROR(SEARCH("Large",AE34)))</formula>
    </cfRule>
  </conditionalFormatting>
  <conditionalFormatting sqref="AE34">
    <cfRule type="containsText" dxfId="1282" priority="1255" operator="containsText" text="Small">
      <formula>NOT(ISERROR(SEARCH("Small",AE34)))</formula>
    </cfRule>
    <cfRule type="containsText" dxfId="1281" priority="1256" operator="containsText" text="Mid">
      <formula>NOT(ISERROR(SEARCH("Mid",AE34)))</formula>
    </cfRule>
    <cfRule type="containsText" dxfId="1280" priority="1257" operator="containsText" text="Large">
      <formula>NOT(ISERROR(SEARCH("Large",AE34)))</formula>
    </cfRule>
  </conditionalFormatting>
  <conditionalFormatting sqref="AE34">
    <cfRule type="containsText" dxfId="1279" priority="1252" operator="containsText" text="Small">
      <formula>NOT(ISERROR(SEARCH("Small",AE34)))</formula>
    </cfRule>
    <cfRule type="containsText" dxfId="1278" priority="1253" operator="containsText" text="Mid">
      <formula>NOT(ISERROR(SEARCH("Mid",AE34)))</formula>
    </cfRule>
    <cfRule type="containsText" dxfId="1277" priority="1254" operator="containsText" text="Large">
      <formula>NOT(ISERROR(SEARCH("Large",AE34)))</formula>
    </cfRule>
  </conditionalFormatting>
  <conditionalFormatting sqref="AE34">
    <cfRule type="containsText" dxfId="1276" priority="1249" operator="containsText" text="Small">
      <formula>NOT(ISERROR(SEARCH("Small",AE34)))</formula>
    </cfRule>
    <cfRule type="containsText" dxfId="1275" priority="1250" operator="containsText" text="Mid">
      <formula>NOT(ISERROR(SEARCH("Mid",AE34)))</formula>
    </cfRule>
    <cfRule type="containsText" dxfId="1274" priority="1251" operator="containsText" text="Large">
      <formula>NOT(ISERROR(SEARCH("Large",AE34)))</formula>
    </cfRule>
  </conditionalFormatting>
  <conditionalFormatting sqref="AE34">
    <cfRule type="containsText" dxfId="1273" priority="1246" operator="containsText" text="Small">
      <formula>NOT(ISERROR(SEARCH("Small",AE34)))</formula>
    </cfRule>
    <cfRule type="containsText" dxfId="1272" priority="1247" operator="containsText" text="Mid">
      <formula>NOT(ISERROR(SEARCH("Mid",AE34)))</formula>
    </cfRule>
    <cfRule type="containsText" dxfId="1271" priority="1248" operator="containsText" text="Large">
      <formula>NOT(ISERROR(SEARCH("Large",AE34)))</formula>
    </cfRule>
  </conditionalFormatting>
  <conditionalFormatting sqref="AE34">
    <cfRule type="containsText" dxfId="1270" priority="1243" operator="containsText" text="Small">
      <formula>NOT(ISERROR(SEARCH("Small",AE34)))</formula>
    </cfRule>
    <cfRule type="containsText" dxfId="1269" priority="1244" operator="containsText" text="Mid">
      <formula>NOT(ISERROR(SEARCH("Mid",AE34)))</formula>
    </cfRule>
    <cfRule type="containsText" dxfId="1268" priority="1245" operator="containsText" text="Large">
      <formula>NOT(ISERROR(SEARCH("Large",AE34)))</formula>
    </cfRule>
  </conditionalFormatting>
  <conditionalFormatting sqref="AE34">
    <cfRule type="containsText" dxfId="1267" priority="1240" operator="containsText" text="Small">
      <formula>NOT(ISERROR(SEARCH("Small",AE34)))</formula>
    </cfRule>
    <cfRule type="containsText" dxfId="1266" priority="1241" operator="containsText" text="Mid">
      <formula>NOT(ISERROR(SEARCH("Mid",AE34)))</formula>
    </cfRule>
    <cfRule type="containsText" dxfId="1265" priority="1242" operator="containsText" text="Large">
      <formula>NOT(ISERROR(SEARCH("Large",AE34)))</formula>
    </cfRule>
  </conditionalFormatting>
  <conditionalFormatting sqref="AE34">
    <cfRule type="containsText" dxfId="1264" priority="1237" operator="containsText" text="Small">
      <formula>NOT(ISERROR(SEARCH("Small",AE34)))</formula>
    </cfRule>
    <cfRule type="containsText" dxfId="1263" priority="1238" operator="containsText" text="Mid">
      <formula>NOT(ISERROR(SEARCH("Mid",AE34)))</formula>
    </cfRule>
    <cfRule type="containsText" dxfId="1262" priority="1239" operator="containsText" text="Large">
      <formula>NOT(ISERROR(SEARCH("Large",AE34)))</formula>
    </cfRule>
  </conditionalFormatting>
  <conditionalFormatting sqref="AE34">
    <cfRule type="containsText" dxfId="1261" priority="1234" operator="containsText" text="Small">
      <formula>NOT(ISERROR(SEARCH("Small",AE34)))</formula>
    </cfRule>
    <cfRule type="containsText" dxfId="1260" priority="1235" operator="containsText" text="Mid">
      <formula>NOT(ISERROR(SEARCH("Mid",AE34)))</formula>
    </cfRule>
    <cfRule type="containsText" dxfId="1259" priority="1236" operator="containsText" text="Large">
      <formula>NOT(ISERROR(SEARCH("Large",AE34)))</formula>
    </cfRule>
  </conditionalFormatting>
  <conditionalFormatting sqref="AE34">
    <cfRule type="containsText" dxfId="1258" priority="1231" operator="containsText" text="Small">
      <formula>NOT(ISERROR(SEARCH("Small",AE34)))</formula>
    </cfRule>
    <cfRule type="containsText" dxfId="1257" priority="1232" operator="containsText" text="Mid">
      <formula>NOT(ISERROR(SEARCH("Mid",AE34)))</formula>
    </cfRule>
    <cfRule type="containsText" dxfId="1256" priority="1233" operator="containsText" text="Large">
      <formula>NOT(ISERROR(SEARCH("Large",AE34)))</formula>
    </cfRule>
  </conditionalFormatting>
  <conditionalFormatting sqref="AE34">
    <cfRule type="containsText" dxfId="1255" priority="1228" operator="containsText" text="Small">
      <formula>NOT(ISERROR(SEARCH("Small",AE34)))</formula>
    </cfRule>
    <cfRule type="containsText" dxfId="1254" priority="1229" operator="containsText" text="Mid">
      <formula>NOT(ISERROR(SEARCH("Mid",AE34)))</formula>
    </cfRule>
    <cfRule type="containsText" dxfId="1253" priority="1230" operator="containsText" text="Large">
      <formula>NOT(ISERROR(SEARCH("Large",AE34)))</formula>
    </cfRule>
  </conditionalFormatting>
  <conditionalFormatting sqref="AE34">
    <cfRule type="containsText" dxfId="1252" priority="1225" operator="containsText" text="Small">
      <formula>NOT(ISERROR(SEARCH("Small",AE34)))</formula>
    </cfRule>
    <cfRule type="containsText" dxfId="1251" priority="1226" operator="containsText" text="Mid">
      <formula>NOT(ISERROR(SEARCH("Mid",AE34)))</formula>
    </cfRule>
    <cfRule type="containsText" dxfId="1250" priority="1227" operator="containsText" text="Large">
      <formula>NOT(ISERROR(SEARCH("Large",AE34)))</formula>
    </cfRule>
  </conditionalFormatting>
  <conditionalFormatting sqref="AE34">
    <cfRule type="containsText" dxfId="1249" priority="1222" operator="containsText" text="Small">
      <formula>NOT(ISERROR(SEARCH("Small",AE34)))</formula>
    </cfRule>
    <cfRule type="containsText" dxfId="1248" priority="1223" operator="containsText" text="Mid">
      <formula>NOT(ISERROR(SEARCH("Mid",AE34)))</formula>
    </cfRule>
    <cfRule type="containsText" dxfId="1247" priority="1224" operator="containsText" text="Large">
      <formula>NOT(ISERROR(SEARCH("Large",AE34)))</formula>
    </cfRule>
  </conditionalFormatting>
  <conditionalFormatting sqref="AE34">
    <cfRule type="containsText" dxfId="1246" priority="1219" operator="containsText" text="Small">
      <formula>NOT(ISERROR(SEARCH("Small",AE34)))</formula>
    </cfRule>
    <cfRule type="containsText" dxfId="1245" priority="1220" operator="containsText" text="Mid">
      <formula>NOT(ISERROR(SEARCH("Mid",AE34)))</formula>
    </cfRule>
    <cfRule type="containsText" dxfId="1244" priority="1221" operator="containsText" text="Large">
      <formula>NOT(ISERROR(SEARCH("Large",AE34)))</formula>
    </cfRule>
  </conditionalFormatting>
  <conditionalFormatting sqref="AE34">
    <cfRule type="containsText" dxfId="1243" priority="1216" operator="containsText" text="Small">
      <formula>NOT(ISERROR(SEARCH("Small",AE34)))</formula>
    </cfRule>
    <cfRule type="containsText" dxfId="1242" priority="1217" operator="containsText" text="Mid">
      <formula>NOT(ISERROR(SEARCH("Mid",AE34)))</formula>
    </cfRule>
    <cfRule type="containsText" dxfId="1241" priority="1218" operator="containsText" text="Large">
      <formula>NOT(ISERROR(SEARCH("Large",AE34)))</formula>
    </cfRule>
  </conditionalFormatting>
  <conditionalFormatting sqref="AE34">
    <cfRule type="containsText" dxfId="1240" priority="1213" operator="containsText" text="Small">
      <formula>NOT(ISERROR(SEARCH("Small",AE34)))</formula>
    </cfRule>
    <cfRule type="containsText" dxfId="1239" priority="1214" operator="containsText" text="Mid">
      <formula>NOT(ISERROR(SEARCH("Mid",AE34)))</formula>
    </cfRule>
    <cfRule type="containsText" dxfId="1238" priority="1215" operator="containsText" text="Large">
      <formula>NOT(ISERROR(SEARCH("Large",AE34)))</formula>
    </cfRule>
  </conditionalFormatting>
  <conditionalFormatting sqref="AE34">
    <cfRule type="containsText" dxfId="1237" priority="1210" operator="containsText" text="Small">
      <formula>NOT(ISERROR(SEARCH("Small",AE34)))</formula>
    </cfRule>
    <cfRule type="containsText" dxfId="1236" priority="1211" operator="containsText" text="Mid">
      <formula>NOT(ISERROR(SEARCH("Mid",AE34)))</formula>
    </cfRule>
    <cfRule type="containsText" dxfId="1235" priority="1212" operator="containsText" text="Large">
      <formula>NOT(ISERROR(SEARCH("Large",AE34)))</formula>
    </cfRule>
  </conditionalFormatting>
  <conditionalFormatting sqref="AE34">
    <cfRule type="containsText" dxfId="1234" priority="1207" operator="containsText" text="Small">
      <formula>NOT(ISERROR(SEARCH("Small",AE34)))</formula>
    </cfRule>
    <cfRule type="containsText" dxfId="1233" priority="1208" operator="containsText" text="Mid">
      <formula>NOT(ISERROR(SEARCH("Mid",AE34)))</formula>
    </cfRule>
    <cfRule type="containsText" dxfId="1232" priority="1209" operator="containsText" text="Large">
      <formula>NOT(ISERROR(SEARCH("Large",AE34)))</formula>
    </cfRule>
  </conditionalFormatting>
  <conditionalFormatting sqref="AE34">
    <cfRule type="containsText" dxfId="1231" priority="1204" operator="containsText" text="Small">
      <formula>NOT(ISERROR(SEARCH("Small",AE34)))</formula>
    </cfRule>
    <cfRule type="containsText" dxfId="1230" priority="1205" operator="containsText" text="Mid">
      <formula>NOT(ISERROR(SEARCH("Mid",AE34)))</formula>
    </cfRule>
    <cfRule type="containsText" dxfId="1229" priority="1206" operator="containsText" text="Large">
      <formula>NOT(ISERROR(SEARCH("Large",AE34)))</formula>
    </cfRule>
  </conditionalFormatting>
  <conditionalFormatting sqref="AE34">
    <cfRule type="containsText" dxfId="1228" priority="1201" operator="containsText" text="Small">
      <formula>NOT(ISERROR(SEARCH("Small",AE34)))</formula>
    </cfRule>
    <cfRule type="containsText" dxfId="1227" priority="1202" operator="containsText" text="Mid">
      <formula>NOT(ISERROR(SEARCH("Mid",AE34)))</formula>
    </cfRule>
    <cfRule type="containsText" dxfId="1226" priority="1203" operator="containsText" text="Large">
      <formula>NOT(ISERROR(SEARCH("Large",AE34)))</formula>
    </cfRule>
  </conditionalFormatting>
  <conditionalFormatting sqref="AE34">
    <cfRule type="containsText" dxfId="1225" priority="1198" operator="containsText" text="Small">
      <formula>NOT(ISERROR(SEARCH("Small",AE34)))</formula>
    </cfRule>
    <cfRule type="containsText" dxfId="1224" priority="1199" operator="containsText" text="Mid">
      <formula>NOT(ISERROR(SEARCH("Mid",AE34)))</formula>
    </cfRule>
    <cfRule type="containsText" dxfId="1223" priority="1200" operator="containsText" text="Large">
      <formula>NOT(ISERROR(SEARCH("Large",AE34)))</formula>
    </cfRule>
  </conditionalFormatting>
  <conditionalFormatting sqref="AE34">
    <cfRule type="containsText" dxfId="1222" priority="1195" operator="containsText" text="Small">
      <formula>NOT(ISERROR(SEARCH("Small",AE34)))</formula>
    </cfRule>
    <cfRule type="containsText" dxfId="1221" priority="1196" operator="containsText" text="Mid">
      <formula>NOT(ISERROR(SEARCH("Mid",AE34)))</formula>
    </cfRule>
    <cfRule type="containsText" dxfId="1220" priority="1197" operator="containsText" text="Large">
      <formula>NOT(ISERROR(SEARCH("Large",AE34)))</formula>
    </cfRule>
  </conditionalFormatting>
  <conditionalFormatting sqref="AE34">
    <cfRule type="containsText" dxfId="1219" priority="1192" operator="containsText" text="Small">
      <formula>NOT(ISERROR(SEARCH("Small",AE34)))</formula>
    </cfRule>
    <cfRule type="containsText" dxfId="1218" priority="1193" operator="containsText" text="Mid">
      <formula>NOT(ISERROR(SEARCH("Mid",AE34)))</formula>
    </cfRule>
    <cfRule type="containsText" dxfId="1217" priority="1194" operator="containsText" text="Large">
      <formula>NOT(ISERROR(SEARCH("Large",AE34)))</formula>
    </cfRule>
  </conditionalFormatting>
  <conditionalFormatting sqref="AE34">
    <cfRule type="containsText" dxfId="1216" priority="1189" operator="containsText" text="Small">
      <formula>NOT(ISERROR(SEARCH("Small",AE34)))</formula>
    </cfRule>
    <cfRule type="containsText" dxfId="1215" priority="1190" operator="containsText" text="Mid">
      <formula>NOT(ISERROR(SEARCH("Mid",AE34)))</formula>
    </cfRule>
    <cfRule type="containsText" dxfId="1214" priority="1191" operator="containsText" text="Large">
      <formula>NOT(ISERROR(SEARCH("Large",AE34)))</formula>
    </cfRule>
  </conditionalFormatting>
  <conditionalFormatting sqref="T9">
    <cfRule type="cellIs" dxfId="1213" priority="1188" operator="lessThan">
      <formula>0</formula>
    </cfRule>
  </conditionalFormatting>
  <conditionalFormatting sqref="T9">
    <cfRule type="cellIs" dxfId="1212" priority="1187" operator="greaterThan">
      <formula>0</formula>
    </cfRule>
  </conditionalFormatting>
  <conditionalFormatting sqref="T9">
    <cfRule type="cellIs" dxfId="1211" priority="1186" operator="greaterThan">
      <formula>0</formula>
    </cfRule>
  </conditionalFormatting>
  <conditionalFormatting sqref="AE34">
    <cfRule type="containsText" dxfId="1210" priority="1185" operator="containsText" text="No Cap">
      <formula>NOT(ISERROR(SEARCH("No Cap",AE34)))</formula>
    </cfRule>
  </conditionalFormatting>
  <conditionalFormatting sqref="AE34">
    <cfRule type="containsText" dxfId="1209" priority="1184" operator="containsText" text="No Cap">
      <formula>NOT(ISERROR(SEARCH("No Cap",AE34)))</formula>
    </cfRule>
  </conditionalFormatting>
  <conditionalFormatting sqref="AE34">
    <cfRule type="containsText" dxfId="1208" priority="1181" operator="containsText" text="Small">
      <formula>NOT(ISERROR(SEARCH("Small",AE34)))</formula>
    </cfRule>
    <cfRule type="containsText" dxfId="1207" priority="1182" operator="containsText" text="Mid">
      <formula>NOT(ISERROR(SEARCH("Mid",AE34)))</formula>
    </cfRule>
    <cfRule type="containsText" dxfId="1206" priority="1183" operator="containsText" text="Large">
      <formula>NOT(ISERROR(SEARCH("Large",AE34)))</formula>
    </cfRule>
  </conditionalFormatting>
  <conditionalFormatting sqref="AE34">
    <cfRule type="containsText" dxfId="1205" priority="1178" operator="containsText" text="Small">
      <formula>NOT(ISERROR(SEARCH("Small",AE34)))</formula>
    </cfRule>
    <cfRule type="containsText" dxfId="1204" priority="1179" operator="containsText" text="Mid">
      <formula>NOT(ISERROR(SEARCH("Mid",AE34)))</formula>
    </cfRule>
    <cfRule type="containsText" dxfId="1203" priority="1180" operator="containsText" text="Large">
      <formula>NOT(ISERROR(SEARCH("Large",AE34)))</formula>
    </cfRule>
  </conditionalFormatting>
  <conditionalFormatting sqref="AE34">
    <cfRule type="containsText" dxfId="1202" priority="1175" operator="containsText" text="Small">
      <formula>NOT(ISERROR(SEARCH("Small",AE34)))</formula>
    </cfRule>
    <cfRule type="containsText" dxfId="1201" priority="1176" operator="containsText" text="Mid">
      <formula>NOT(ISERROR(SEARCH("Mid",AE34)))</formula>
    </cfRule>
    <cfRule type="containsText" dxfId="1200" priority="1177" operator="containsText" text="Large">
      <formula>NOT(ISERROR(SEARCH("Large",AE34)))</formula>
    </cfRule>
  </conditionalFormatting>
  <conditionalFormatting sqref="AE34">
    <cfRule type="containsText" dxfId="1199" priority="1174" operator="containsText" text="No Cap">
      <formula>NOT(ISERROR(SEARCH("No Cap",AE34)))</formula>
    </cfRule>
  </conditionalFormatting>
  <conditionalFormatting sqref="AE34">
    <cfRule type="containsText" dxfId="1198" priority="1173" operator="containsText" text="No Cap">
      <formula>NOT(ISERROR(SEARCH("No Cap",AE34)))</formula>
    </cfRule>
  </conditionalFormatting>
  <conditionalFormatting sqref="AE34">
    <cfRule type="containsText" dxfId="1197" priority="1170" operator="containsText" text="Small">
      <formula>NOT(ISERROR(SEARCH("Small",AE34)))</formula>
    </cfRule>
    <cfRule type="containsText" dxfId="1196" priority="1171" operator="containsText" text="Mid">
      <formula>NOT(ISERROR(SEARCH("Mid",AE34)))</formula>
    </cfRule>
    <cfRule type="containsText" dxfId="1195" priority="1172" operator="containsText" text="Large">
      <formula>NOT(ISERROR(SEARCH("Large",AE34)))</formula>
    </cfRule>
  </conditionalFormatting>
  <conditionalFormatting sqref="AE34">
    <cfRule type="containsText" dxfId="1194" priority="1167" operator="containsText" text="Small">
      <formula>NOT(ISERROR(SEARCH("Small",AE34)))</formula>
    </cfRule>
    <cfRule type="containsText" dxfId="1193" priority="1168" operator="containsText" text="Mid">
      <formula>NOT(ISERROR(SEARCH("Mid",AE34)))</formula>
    </cfRule>
    <cfRule type="containsText" dxfId="1192" priority="1169" operator="containsText" text="Large">
      <formula>NOT(ISERROR(SEARCH("Large",AE34)))</formula>
    </cfRule>
  </conditionalFormatting>
  <conditionalFormatting sqref="AE34">
    <cfRule type="containsText" dxfId="1191" priority="1164" operator="containsText" text="Small">
      <formula>NOT(ISERROR(SEARCH("Small",AE34)))</formula>
    </cfRule>
    <cfRule type="containsText" dxfId="1190" priority="1165" operator="containsText" text="Mid">
      <formula>NOT(ISERROR(SEARCH("Mid",AE34)))</formula>
    </cfRule>
    <cfRule type="containsText" dxfId="1189" priority="1166" operator="containsText" text="Large">
      <formula>NOT(ISERROR(SEARCH("Large",AE34)))</formula>
    </cfRule>
  </conditionalFormatting>
  <conditionalFormatting sqref="AE34">
    <cfRule type="containsText" dxfId="1188" priority="1163" operator="containsText" text="No Cap">
      <formula>NOT(ISERROR(SEARCH("No Cap",AE34)))</formula>
    </cfRule>
  </conditionalFormatting>
  <conditionalFormatting sqref="AE34">
    <cfRule type="containsText" dxfId="1187" priority="1162" operator="containsText" text="No Cap">
      <formula>NOT(ISERROR(SEARCH("No Cap",AE34)))</formula>
    </cfRule>
  </conditionalFormatting>
  <conditionalFormatting sqref="AE34">
    <cfRule type="containsText" dxfId="1186" priority="1159" operator="containsText" text="Small">
      <formula>NOT(ISERROR(SEARCH("Small",AE34)))</formula>
    </cfRule>
    <cfRule type="containsText" dxfId="1185" priority="1160" operator="containsText" text="Mid">
      <formula>NOT(ISERROR(SEARCH("Mid",AE34)))</formula>
    </cfRule>
    <cfRule type="containsText" dxfId="1184" priority="1161" operator="containsText" text="Large">
      <formula>NOT(ISERROR(SEARCH("Large",AE34)))</formula>
    </cfRule>
  </conditionalFormatting>
  <conditionalFormatting sqref="AE34">
    <cfRule type="containsText" dxfId="1183" priority="1156" operator="containsText" text="Small">
      <formula>NOT(ISERROR(SEARCH("Small",AE34)))</formula>
    </cfRule>
    <cfRule type="containsText" dxfId="1182" priority="1157" operator="containsText" text="Mid">
      <formula>NOT(ISERROR(SEARCH("Mid",AE34)))</formula>
    </cfRule>
    <cfRule type="containsText" dxfId="1181" priority="1158" operator="containsText" text="Large">
      <formula>NOT(ISERROR(SEARCH("Large",AE34)))</formula>
    </cfRule>
  </conditionalFormatting>
  <conditionalFormatting sqref="AE34">
    <cfRule type="containsText" dxfId="1180" priority="1153" operator="containsText" text="Small">
      <formula>NOT(ISERROR(SEARCH("Small",AE34)))</formula>
    </cfRule>
    <cfRule type="containsText" dxfId="1179" priority="1154" operator="containsText" text="Mid">
      <formula>NOT(ISERROR(SEARCH("Mid",AE34)))</formula>
    </cfRule>
    <cfRule type="containsText" dxfId="1178" priority="1155" operator="containsText" text="Large">
      <formula>NOT(ISERROR(SEARCH("Large",AE34)))</formula>
    </cfRule>
  </conditionalFormatting>
  <conditionalFormatting sqref="AE34">
    <cfRule type="containsText" dxfId="1177" priority="1152" operator="containsText" text="No Cap">
      <formula>NOT(ISERROR(SEARCH("No Cap",AE34)))</formula>
    </cfRule>
  </conditionalFormatting>
  <conditionalFormatting sqref="AE34">
    <cfRule type="containsText" dxfId="1176" priority="1151" operator="containsText" text="No Cap">
      <formula>NOT(ISERROR(SEARCH("No Cap",AE34)))</formula>
    </cfRule>
  </conditionalFormatting>
  <conditionalFormatting sqref="AE34">
    <cfRule type="containsText" dxfId="1175" priority="1148" operator="containsText" text="Small">
      <formula>NOT(ISERROR(SEARCH("Small",AE34)))</formula>
    </cfRule>
    <cfRule type="containsText" dxfId="1174" priority="1149" operator="containsText" text="Mid">
      <formula>NOT(ISERROR(SEARCH("Mid",AE34)))</formula>
    </cfRule>
    <cfRule type="containsText" dxfId="1173" priority="1150" operator="containsText" text="Large">
      <formula>NOT(ISERROR(SEARCH("Large",AE34)))</formula>
    </cfRule>
  </conditionalFormatting>
  <conditionalFormatting sqref="AE34">
    <cfRule type="containsText" dxfId="1172" priority="1145" operator="containsText" text="Small">
      <formula>NOT(ISERROR(SEARCH("Small",AE34)))</formula>
    </cfRule>
    <cfRule type="containsText" dxfId="1171" priority="1146" operator="containsText" text="Mid">
      <formula>NOT(ISERROR(SEARCH("Mid",AE34)))</formula>
    </cfRule>
    <cfRule type="containsText" dxfId="1170" priority="1147" operator="containsText" text="Large">
      <formula>NOT(ISERROR(SEARCH("Large",AE34)))</formula>
    </cfRule>
  </conditionalFormatting>
  <conditionalFormatting sqref="AE34">
    <cfRule type="containsText" dxfId="1169" priority="1142" operator="containsText" text="Small">
      <formula>NOT(ISERROR(SEARCH("Small",AE34)))</formula>
    </cfRule>
    <cfRule type="containsText" dxfId="1168" priority="1143" operator="containsText" text="Mid">
      <formula>NOT(ISERROR(SEARCH("Mid",AE34)))</formula>
    </cfRule>
    <cfRule type="containsText" dxfId="1167" priority="1144" operator="containsText" text="Large">
      <formula>NOT(ISERROR(SEARCH("Large",AE34)))</formula>
    </cfRule>
  </conditionalFormatting>
  <conditionalFormatting sqref="AE34">
    <cfRule type="containsText" dxfId="1166" priority="1141" operator="containsText" text="No Cap">
      <formula>NOT(ISERROR(SEARCH("No Cap",AE34)))</formula>
    </cfRule>
  </conditionalFormatting>
  <conditionalFormatting sqref="AE34">
    <cfRule type="containsText" dxfId="1165" priority="1140" operator="containsText" text="No Cap">
      <formula>NOT(ISERROR(SEARCH("No Cap",AE34)))</formula>
    </cfRule>
  </conditionalFormatting>
  <conditionalFormatting sqref="AE34">
    <cfRule type="containsText" dxfId="1164" priority="1137" operator="containsText" text="Small">
      <formula>NOT(ISERROR(SEARCH("Small",AE34)))</formula>
    </cfRule>
    <cfRule type="containsText" dxfId="1163" priority="1138" operator="containsText" text="Mid">
      <formula>NOT(ISERROR(SEARCH("Mid",AE34)))</formula>
    </cfRule>
    <cfRule type="containsText" dxfId="1162" priority="1139" operator="containsText" text="Large">
      <formula>NOT(ISERROR(SEARCH("Large",AE34)))</formula>
    </cfRule>
  </conditionalFormatting>
  <conditionalFormatting sqref="AE34">
    <cfRule type="containsText" dxfId="1161" priority="1134" operator="containsText" text="Small">
      <formula>NOT(ISERROR(SEARCH("Small",AE34)))</formula>
    </cfRule>
    <cfRule type="containsText" dxfId="1160" priority="1135" operator="containsText" text="Mid">
      <formula>NOT(ISERROR(SEARCH("Mid",AE34)))</formula>
    </cfRule>
    <cfRule type="containsText" dxfId="1159" priority="1136" operator="containsText" text="Large">
      <formula>NOT(ISERROR(SEARCH("Large",AE34)))</formula>
    </cfRule>
  </conditionalFormatting>
  <conditionalFormatting sqref="AE34">
    <cfRule type="containsText" dxfId="1158" priority="1131" operator="containsText" text="Small">
      <formula>NOT(ISERROR(SEARCH("Small",AE34)))</formula>
    </cfRule>
    <cfRule type="containsText" dxfId="1157" priority="1132" operator="containsText" text="Mid">
      <formula>NOT(ISERROR(SEARCH("Mid",AE34)))</formula>
    </cfRule>
    <cfRule type="containsText" dxfId="1156" priority="1133" operator="containsText" text="Large">
      <formula>NOT(ISERROR(SEARCH("Large",AE34)))</formula>
    </cfRule>
  </conditionalFormatting>
  <conditionalFormatting sqref="AE34">
    <cfRule type="containsText" dxfId="1155" priority="1130" operator="containsText" text="No Cap">
      <formula>NOT(ISERROR(SEARCH("No Cap",AE34)))</formula>
    </cfRule>
  </conditionalFormatting>
  <conditionalFormatting sqref="AE34">
    <cfRule type="containsText" dxfId="1154" priority="1129" operator="containsText" text="No Cap">
      <formula>NOT(ISERROR(SEARCH("No Cap",AE34)))</formula>
    </cfRule>
  </conditionalFormatting>
  <conditionalFormatting sqref="AE34">
    <cfRule type="containsText" dxfId="1153" priority="1126" operator="containsText" text="Small">
      <formula>NOT(ISERROR(SEARCH("Small",AE34)))</formula>
    </cfRule>
    <cfRule type="containsText" dxfId="1152" priority="1127" operator="containsText" text="Mid">
      <formula>NOT(ISERROR(SEARCH("Mid",AE34)))</formula>
    </cfRule>
    <cfRule type="containsText" dxfId="1151" priority="1128" operator="containsText" text="Large">
      <formula>NOT(ISERROR(SEARCH("Large",AE34)))</formula>
    </cfRule>
  </conditionalFormatting>
  <conditionalFormatting sqref="AE34">
    <cfRule type="containsText" dxfId="1150" priority="1123" operator="containsText" text="Small">
      <formula>NOT(ISERROR(SEARCH("Small",AE34)))</formula>
    </cfRule>
    <cfRule type="containsText" dxfId="1149" priority="1124" operator="containsText" text="Mid">
      <formula>NOT(ISERROR(SEARCH("Mid",AE34)))</formula>
    </cfRule>
    <cfRule type="containsText" dxfId="1148" priority="1125" operator="containsText" text="Large">
      <formula>NOT(ISERROR(SEARCH("Large",AE34)))</formula>
    </cfRule>
  </conditionalFormatting>
  <conditionalFormatting sqref="AE34">
    <cfRule type="containsText" dxfId="1147" priority="1120" operator="containsText" text="Small">
      <formula>NOT(ISERROR(SEARCH("Small",AE34)))</formula>
    </cfRule>
    <cfRule type="containsText" dxfId="1146" priority="1121" operator="containsText" text="Mid">
      <formula>NOT(ISERROR(SEARCH("Mid",AE34)))</formula>
    </cfRule>
    <cfRule type="containsText" dxfId="1145" priority="1122" operator="containsText" text="Large">
      <formula>NOT(ISERROR(SEARCH("Large",AE34)))</formula>
    </cfRule>
  </conditionalFormatting>
  <conditionalFormatting sqref="AE34">
    <cfRule type="containsText" dxfId="1144" priority="1119" operator="containsText" text="NA">
      <formula>NOT(ISERROR(SEARCH("NA",AE34)))</formula>
    </cfRule>
  </conditionalFormatting>
  <conditionalFormatting sqref="AE34">
    <cfRule type="containsText" dxfId="1143" priority="1116" operator="containsText" text="Small">
      <formula>NOT(ISERROR(SEARCH("Small",AE34)))</formula>
    </cfRule>
    <cfRule type="containsText" dxfId="1142" priority="1117" operator="containsText" text="Mid">
      <formula>NOT(ISERROR(SEARCH("Mid",AE34)))</formula>
    </cfRule>
    <cfRule type="containsText" dxfId="1141" priority="1118" operator="containsText" text="Large">
      <formula>NOT(ISERROR(SEARCH("Large",AE34)))</formula>
    </cfRule>
  </conditionalFormatting>
  <conditionalFormatting sqref="AE34">
    <cfRule type="containsText" dxfId="1140" priority="1113" operator="containsText" text="Small">
      <formula>NOT(ISERROR(SEARCH("Small",AE34)))</formula>
    </cfRule>
    <cfRule type="containsText" dxfId="1139" priority="1114" operator="containsText" text="Mid">
      <formula>NOT(ISERROR(SEARCH("Mid",AE34)))</formula>
    </cfRule>
    <cfRule type="containsText" dxfId="1138" priority="1115" operator="containsText" text="Large">
      <formula>NOT(ISERROR(SEARCH("Large",AE34)))</formula>
    </cfRule>
  </conditionalFormatting>
  <conditionalFormatting sqref="AE34">
    <cfRule type="containsText" dxfId="1137" priority="1110" operator="containsText" text="Small">
      <formula>NOT(ISERROR(SEARCH("Small",AE34)))</formula>
    </cfRule>
    <cfRule type="containsText" dxfId="1136" priority="1111" operator="containsText" text="Mid">
      <formula>NOT(ISERROR(SEARCH("Mid",AE34)))</formula>
    </cfRule>
    <cfRule type="containsText" dxfId="1135" priority="1112" operator="containsText" text="Large">
      <formula>NOT(ISERROR(SEARCH("Large",AE34)))</formula>
    </cfRule>
  </conditionalFormatting>
  <conditionalFormatting sqref="AE34">
    <cfRule type="containsText" dxfId="1134" priority="1107" operator="containsText" text="Small">
      <formula>NOT(ISERROR(SEARCH("Small",AE34)))</formula>
    </cfRule>
    <cfRule type="containsText" dxfId="1133" priority="1108" operator="containsText" text="Mid">
      <formula>NOT(ISERROR(SEARCH("Mid",AE34)))</formula>
    </cfRule>
    <cfRule type="containsText" dxfId="1132" priority="1109" operator="containsText" text="Large">
      <formula>NOT(ISERROR(SEARCH("Large",AE34)))</formula>
    </cfRule>
  </conditionalFormatting>
  <conditionalFormatting sqref="AE34">
    <cfRule type="containsText" dxfId="1131" priority="1104" operator="containsText" text="Small">
      <formula>NOT(ISERROR(SEARCH("Small",AE34)))</formula>
    </cfRule>
    <cfRule type="containsText" dxfId="1130" priority="1105" operator="containsText" text="Mid">
      <formula>NOT(ISERROR(SEARCH("Mid",AE34)))</formula>
    </cfRule>
    <cfRule type="containsText" dxfId="1129" priority="1106" operator="containsText" text="Large">
      <formula>NOT(ISERROR(SEARCH("Large",AE34)))</formula>
    </cfRule>
  </conditionalFormatting>
  <conditionalFormatting sqref="AE34">
    <cfRule type="containsText" dxfId="1128" priority="1101" operator="containsText" text="Small">
      <formula>NOT(ISERROR(SEARCH("Small",AE34)))</formula>
    </cfRule>
    <cfRule type="containsText" dxfId="1127" priority="1102" operator="containsText" text="Mid">
      <formula>NOT(ISERROR(SEARCH("Mid",AE34)))</formula>
    </cfRule>
    <cfRule type="containsText" dxfId="1126" priority="1103" operator="containsText" text="Large">
      <formula>NOT(ISERROR(SEARCH("Large",AE34)))</formula>
    </cfRule>
  </conditionalFormatting>
  <conditionalFormatting sqref="AE34">
    <cfRule type="containsText" dxfId="1125" priority="1098" operator="containsText" text="Small">
      <formula>NOT(ISERROR(SEARCH("Small",AE34)))</formula>
    </cfRule>
    <cfRule type="containsText" dxfId="1124" priority="1099" operator="containsText" text="Mid">
      <formula>NOT(ISERROR(SEARCH("Mid",AE34)))</formula>
    </cfRule>
    <cfRule type="containsText" dxfId="1123" priority="1100" operator="containsText" text="Large">
      <formula>NOT(ISERROR(SEARCH("Large",AE34)))</formula>
    </cfRule>
  </conditionalFormatting>
  <conditionalFormatting sqref="AE34">
    <cfRule type="containsText" dxfId="1122" priority="1095" operator="containsText" text="Small">
      <formula>NOT(ISERROR(SEARCH("Small",AE34)))</formula>
    </cfRule>
    <cfRule type="containsText" dxfId="1121" priority="1096" operator="containsText" text="Mid">
      <formula>NOT(ISERROR(SEARCH("Mid",AE34)))</formula>
    </cfRule>
    <cfRule type="containsText" dxfId="1120" priority="1097" operator="containsText" text="Large">
      <formula>NOT(ISERROR(SEARCH("Large",AE34)))</formula>
    </cfRule>
  </conditionalFormatting>
  <conditionalFormatting sqref="AE34">
    <cfRule type="containsText" dxfId="1119" priority="1092" operator="containsText" text="Small">
      <formula>NOT(ISERROR(SEARCH("Small",AE34)))</formula>
    </cfRule>
    <cfRule type="containsText" dxfId="1118" priority="1093" operator="containsText" text="Mid">
      <formula>NOT(ISERROR(SEARCH("Mid",AE34)))</formula>
    </cfRule>
    <cfRule type="containsText" dxfId="1117" priority="1094" operator="containsText" text="Large">
      <formula>NOT(ISERROR(SEARCH("Large",AE34)))</formula>
    </cfRule>
  </conditionalFormatting>
  <conditionalFormatting sqref="AE34">
    <cfRule type="containsText" dxfId="1116" priority="1089" operator="containsText" text="Small">
      <formula>NOT(ISERROR(SEARCH("Small",AE34)))</formula>
    </cfRule>
    <cfRule type="containsText" dxfId="1115" priority="1090" operator="containsText" text="Mid">
      <formula>NOT(ISERROR(SEARCH("Mid",AE34)))</formula>
    </cfRule>
    <cfRule type="containsText" dxfId="1114" priority="1091" operator="containsText" text="Large">
      <formula>NOT(ISERROR(SEARCH("Large",AE34)))</formula>
    </cfRule>
  </conditionalFormatting>
  <conditionalFormatting sqref="AE34">
    <cfRule type="containsText" dxfId="1113" priority="1086" operator="containsText" text="Small">
      <formula>NOT(ISERROR(SEARCH("Small",AE34)))</formula>
    </cfRule>
    <cfRule type="containsText" dxfId="1112" priority="1087" operator="containsText" text="Mid">
      <formula>NOT(ISERROR(SEARCH("Mid",AE34)))</formula>
    </cfRule>
    <cfRule type="containsText" dxfId="1111" priority="1088" operator="containsText" text="Large">
      <formula>NOT(ISERROR(SEARCH("Large",AE34)))</formula>
    </cfRule>
  </conditionalFormatting>
  <conditionalFormatting sqref="AE34">
    <cfRule type="containsText" dxfId="1110" priority="1083" operator="containsText" text="Small">
      <formula>NOT(ISERROR(SEARCH("Small",AE34)))</formula>
    </cfRule>
    <cfRule type="containsText" dxfId="1109" priority="1084" operator="containsText" text="Mid">
      <formula>NOT(ISERROR(SEARCH("Mid",AE34)))</formula>
    </cfRule>
    <cfRule type="containsText" dxfId="1108" priority="1085" operator="containsText" text="Large">
      <formula>NOT(ISERROR(SEARCH("Large",AE34)))</formula>
    </cfRule>
  </conditionalFormatting>
  <conditionalFormatting sqref="AE34">
    <cfRule type="containsText" dxfId="1107" priority="1080" operator="containsText" text="Small">
      <formula>NOT(ISERROR(SEARCH("Small",AE34)))</formula>
    </cfRule>
    <cfRule type="containsText" dxfId="1106" priority="1081" operator="containsText" text="Mid">
      <formula>NOT(ISERROR(SEARCH("Mid",AE34)))</formula>
    </cfRule>
    <cfRule type="containsText" dxfId="1105" priority="1082" operator="containsText" text="Large">
      <formula>NOT(ISERROR(SEARCH("Large",AE34)))</formula>
    </cfRule>
  </conditionalFormatting>
  <conditionalFormatting sqref="AE34">
    <cfRule type="containsText" dxfId="1104" priority="1077" operator="containsText" text="Small">
      <formula>NOT(ISERROR(SEARCH("Small",AE34)))</formula>
    </cfRule>
    <cfRule type="containsText" dxfId="1103" priority="1078" operator="containsText" text="Mid">
      <formula>NOT(ISERROR(SEARCH("Mid",AE34)))</formula>
    </cfRule>
    <cfRule type="containsText" dxfId="1102" priority="1079" operator="containsText" text="Large">
      <formula>NOT(ISERROR(SEARCH("Large",AE34)))</formula>
    </cfRule>
  </conditionalFormatting>
  <conditionalFormatting sqref="AE34">
    <cfRule type="containsText" dxfId="1101" priority="1074" operator="containsText" text="Small">
      <formula>NOT(ISERROR(SEARCH("Small",AE34)))</formula>
    </cfRule>
    <cfRule type="containsText" dxfId="1100" priority="1075" operator="containsText" text="Mid">
      <formula>NOT(ISERROR(SEARCH("Mid",AE34)))</formula>
    </cfRule>
    <cfRule type="containsText" dxfId="1099" priority="1076" operator="containsText" text="Large">
      <formula>NOT(ISERROR(SEARCH("Large",AE34)))</formula>
    </cfRule>
  </conditionalFormatting>
  <conditionalFormatting sqref="AE34">
    <cfRule type="containsText" dxfId="1098" priority="1071" operator="containsText" text="Small">
      <formula>NOT(ISERROR(SEARCH("Small",AE34)))</formula>
    </cfRule>
    <cfRule type="containsText" dxfId="1097" priority="1072" operator="containsText" text="Mid">
      <formula>NOT(ISERROR(SEARCH("Mid",AE34)))</formula>
    </cfRule>
    <cfRule type="containsText" dxfId="1096" priority="1073" operator="containsText" text="Large">
      <formula>NOT(ISERROR(SEARCH("Large",AE34)))</formula>
    </cfRule>
  </conditionalFormatting>
  <conditionalFormatting sqref="AE34">
    <cfRule type="containsText" dxfId="1095" priority="1068" operator="containsText" text="Small">
      <formula>NOT(ISERROR(SEARCH("Small",AE34)))</formula>
    </cfRule>
    <cfRule type="containsText" dxfId="1094" priority="1069" operator="containsText" text="Mid">
      <formula>NOT(ISERROR(SEARCH("Mid",AE34)))</formula>
    </cfRule>
    <cfRule type="containsText" dxfId="1093" priority="1070" operator="containsText" text="Large">
      <formula>NOT(ISERROR(SEARCH("Large",AE34)))</formula>
    </cfRule>
  </conditionalFormatting>
  <conditionalFormatting sqref="AE34">
    <cfRule type="containsText" dxfId="1092" priority="1065" operator="containsText" text="Small">
      <formula>NOT(ISERROR(SEARCH("Small",AE34)))</formula>
    </cfRule>
    <cfRule type="containsText" dxfId="1091" priority="1066" operator="containsText" text="Mid">
      <formula>NOT(ISERROR(SEARCH("Mid",AE34)))</formula>
    </cfRule>
    <cfRule type="containsText" dxfId="1090" priority="1067" operator="containsText" text="Large">
      <formula>NOT(ISERROR(SEARCH("Large",AE34)))</formula>
    </cfRule>
  </conditionalFormatting>
  <conditionalFormatting sqref="AE34">
    <cfRule type="containsText" dxfId="1089" priority="1062" operator="containsText" text="Small">
      <formula>NOT(ISERROR(SEARCH("Small",AE34)))</formula>
    </cfRule>
    <cfRule type="containsText" dxfId="1088" priority="1063" operator="containsText" text="Mid">
      <formula>NOT(ISERROR(SEARCH("Mid",AE34)))</formula>
    </cfRule>
    <cfRule type="containsText" dxfId="1087" priority="1064" operator="containsText" text="Large">
      <formula>NOT(ISERROR(SEARCH("Large",AE34)))</formula>
    </cfRule>
  </conditionalFormatting>
  <conditionalFormatting sqref="AE34">
    <cfRule type="containsText" dxfId="1086" priority="1059" operator="containsText" text="Small">
      <formula>NOT(ISERROR(SEARCH("Small",AE34)))</formula>
    </cfRule>
    <cfRule type="containsText" dxfId="1085" priority="1060" operator="containsText" text="Mid">
      <formula>NOT(ISERROR(SEARCH("Mid",AE34)))</formula>
    </cfRule>
    <cfRule type="containsText" dxfId="1084" priority="1061" operator="containsText" text="Large">
      <formula>NOT(ISERROR(SEARCH("Large",AE34)))</formula>
    </cfRule>
  </conditionalFormatting>
  <conditionalFormatting sqref="AE34">
    <cfRule type="containsText" dxfId="1083" priority="1056" operator="containsText" text="Small">
      <formula>NOT(ISERROR(SEARCH("Small",AE34)))</formula>
    </cfRule>
    <cfRule type="containsText" dxfId="1082" priority="1057" operator="containsText" text="Mid">
      <formula>NOT(ISERROR(SEARCH("Mid",AE34)))</formula>
    </cfRule>
    <cfRule type="containsText" dxfId="1081" priority="1058" operator="containsText" text="Large">
      <formula>NOT(ISERROR(SEARCH("Large",AE34)))</formula>
    </cfRule>
  </conditionalFormatting>
  <conditionalFormatting sqref="AE34">
    <cfRule type="containsText" dxfId="1080" priority="1053" operator="containsText" text="Small">
      <formula>NOT(ISERROR(SEARCH("Small",AE34)))</formula>
    </cfRule>
    <cfRule type="containsText" dxfId="1079" priority="1054" operator="containsText" text="Mid">
      <formula>NOT(ISERROR(SEARCH("Mid",AE34)))</formula>
    </cfRule>
    <cfRule type="containsText" dxfId="1078" priority="1055" operator="containsText" text="Large">
      <formula>NOT(ISERROR(SEARCH("Large",AE34)))</formula>
    </cfRule>
  </conditionalFormatting>
  <conditionalFormatting sqref="AE34">
    <cfRule type="containsText" dxfId="1077" priority="1050" operator="containsText" text="Small">
      <formula>NOT(ISERROR(SEARCH("Small",AE34)))</formula>
    </cfRule>
    <cfRule type="containsText" dxfId="1076" priority="1051" operator="containsText" text="Mid">
      <formula>NOT(ISERROR(SEARCH("Mid",AE34)))</formula>
    </cfRule>
    <cfRule type="containsText" dxfId="1075" priority="1052" operator="containsText" text="Large">
      <formula>NOT(ISERROR(SEARCH("Large",AE34)))</formula>
    </cfRule>
  </conditionalFormatting>
  <conditionalFormatting sqref="AE34">
    <cfRule type="containsText" dxfId="1074" priority="1047" operator="containsText" text="Small">
      <formula>NOT(ISERROR(SEARCH("Small",AE34)))</formula>
    </cfRule>
    <cfRule type="containsText" dxfId="1073" priority="1048" operator="containsText" text="Mid">
      <formula>NOT(ISERROR(SEARCH("Mid",AE34)))</formula>
    </cfRule>
    <cfRule type="containsText" dxfId="1072" priority="1049" operator="containsText" text="Large">
      <formula>NOT(ISERROR(SEARCH("Large",AE34)))</formula>
    </cfRule>
  </conditionalFormatting>
  <conditionalFormatting sqref="AE34">
    <cfRule type="containsText" dxfId="1071" priority="1044" operator="containsText" text="Small">
      <formula>NOT(ISERROR(SEARCH("Small",AE34)))</formula>
    </cfRule>
    <cfRule type="containsText" dxfId="1070" priority="1045" operator="containsText" text="Mid">
      <formula>NOT(ISERROR(SEARCH("Mid",AE34)))</formula>
    </cfRule>
    <cfRule type="containsText" dxfId="1069" priority="1046" operator="containsText" text="Large">
      <formula>NOT(ISERROR(SEARCH("Large",AE34)))</formula>
    </cfRule>
  </conditionalFormatting>
  <conditionalFormatting sqref="AE34">
    <cfRule type="containsText" dxfId="1068" priority="1041" operator="containsText" text="Small">
      <formula>NOT(ISERROR(SEARCH("Small",AE34)))</formula>
    </cfRule>
    <cfRule type="containsText" dxfId="1067" priority="1042" operator="containsText" text="Mid">
      <formula>NOT(ISERROR(SEARCH("Mid",AE34)))</formula>
    </cfRule>
    <cfRule type="containsText" dxfId="1066" priority="1043" operator="containsText" text="Large">
      <formula>NOT(ISERROR(SEARCH("Large",AE34)))</formula>
    </cfRule>
  </conditionalFormatting>
  <conditionalFormatting sqref="AE34">
    <cfRule type="containsText" dxfId="1065" priority="1038" operator="containsText" text="Small">
      <formula>NOT(ISERROR(SEARCH("Small",AE34)))</formula>
    </cfRule>
    <cfRule type="containsText" dxfId="1064" priority="1039" operator="containsText" text="Mid">
      <formula>NOT(ISERROR(SEARCH("Mid",AE34)))</formula>
    </cfRule>
    <cfRule type="containsText" dxfId="1063" priority="1040" operator="containsText" text="Large">
      <formula>NOT(ISERROR(SEARCH("Large",AE34)))</formula>
    </cfRule>
  </conditionalFormatting>
  <conditionalFormatting sqref="AE34">
    <cfRule type="containsText" dxfId="1062" priority="1037" operator="containsText" text="No Cap">
      <formula>NOT(ISERROR(SEARCH("No Cap",AE34)))</formula>
    </cfRule>
  </conditionalFormatting>
  <conditionalFormatting sqref="AE34">
    <cfRule type="containsText" dxfId="1061" priority="1036" operator="containsText" text="No Cap">
      <formula>NOT(ISERROR(SEARCH("No Cap",AE34)))</formula>
    </cfRule>
  </conditionalFormatting>
  <conditionalFormatting sqref="AE34">
    <cfRule type="containsText" dxfId="1060" priority="1033" operator="containsText" text="Small">
      <formula>NOT(ISERROR(SEARCH("Small",AE34)))</formula>
    </cfRule>
    <cfRule type="containsText" dxfId="1059" priority="1034" operator="containsText" text="Mid">
      <formula>NOT(ISERROR(SEARCH("Mid",AE34)))</formula>
    </cfRule>
    <cfRule type="containsText" dxfId="1058" priority="1035" operator="containsText" text="Large">
      <formula>NOT(ISERROR(SEARCH("Large",AE34)))</formula>
    </cfRule>
  </conditionalFormatting>
  <conditionalFormatting sqref="AE34">
    <cfRule type="containsText" dxfId="1057" priority="1030" operator="containsText" text="Small">
      <formula>NOT(ISERROR(SEARCH("Small",AE34)))</formula>
    </cfRule>
    <cfRule type="containsText" dxfId="1056" priority="1031" operator="containsText" text="Mid">
      <formula>NOT(ISERROR(SEARCH("Mid",AE34)))</formula>
    </cfRule>
    <cfRule type="containsText" dxfId="1055" priority="1032" operator="containsText" text="Large">
      <formula>NOT(ISERROR(SEARCH("Large",AE34)))</formula>
    </cfRule>
  </conditionalFormatting>
  <conditionalFormatting sqref="AE34">
    <cfRule type="containsText" dxfId="1054" priority="1027" operator="containsText" text="Small">
      <formula>NOT(ISERROR(SEARCH("Small",AE34)))</formula>
    </cfRule>
    <cfRule type="containsText" dxfId="1053" priority="1028" operator="containsText" text="Mid">
      <formula>NOT(ISERROR(SEARCH("Mid",AE34)))</formula>
    </cfRule>
    <cfRule type="containsText" dxfId="1052" priority="1029" operator="containsText" text="Large">
      <formula>NOT(ISERROR(SEARCH("Large",AE34)))</formula>
    </cfRule>
  </conditionalFormatting>
  <conditionalFormatting sqref="AE34">
    <cfRule type="containsText" dxfId="1051" priority="1026" operator="containsText" text="No Cap">
      <formula>NOT(ISERROR(SEARCH("No Cap",AE34)))</formula>
    </cfRule>
  </conditionalFormatting>
  <conditionalFormatting sqref="AE34">
    <cfRule type="containsText" dxfId="1050" priority="1025" operator="containsText" text="No Cap">
      <formula>NOT(ISERROR(SEARCH("No Cap",AE34)))</formula>
    </cfRule>
  </conditionalFormatting>
  <conditionalFormatting sqref="AE34">
    <cfRule type="containsText" dxfId="1049" priority="1022" operator="containsText" text="Small">
      <formula>NOT(ISERROR(SEARCH("Small",AE34)))</formula>
    </cfRule>
    <cfRule type="containsText" dxfId="1048" priority="1023" operator="containsText" text="Mid">
      <formula>NOT(ISERROR(SEARCH("Mid",AE34)))</formula>
    </cfRule>
    <cfRule type="containsText" dxfId="1047" priority="1024" operator="containsText" text="Large">
      <formula>NOT(ISERROR(SEARCH("Large",AE34)))</formula>
    </cfRule>
  </conditionalFormatting>
  <conditionalFormatting sqref="AE34">
    <cfRule type="containsText" dxfId="1046" priority="1019" operator="containsText" text="Small">
      <formula>NOT(ISERROR(SEARCH("Small",AE34)))</formula>
    </cfRule>
    <cfRule type="containsText" dxfId="1045" priority="1020" operator="containsText" text="Mid">
      <formula>NOT(ISERROR(SEARCH("Mid",AE34)))</formula>
    </cfRule>
    <cfRule type="containsText" dxfId="1044" priority="1021" operator="containsText" text="Large">
      <formula>NOT(ISERROR(SEARCH("Large",AE34)))</formula>
    </cfRule>
  </conditionalFormatting>
  <conditionalFormatting sqref="AE34">
    <cfRule type="containsText" dxfId="1043" priority="1016" operator="containsText" text="Small">
      <formula>NOT(ISERROR(SEARCH("Small",AE34)))</formula>
    </cfRule>
    <cfRule type="containsText" dxfId="1042" priority="1017" operator="containsText" text="Mid">
      <formula>NOT(ISERROR(SEARCH("Mid",AE34)))</formula>
    </cfRule>
    <cfRule type="containsText" dxfId="1041" priority="1018" operator="containsText" text="Large">
      <formula>NOT(ISERROR(SEARCH("Large",AE34)))</formula>
    </cfRule>
  </conditionalFormatting>
  <conditionalFormatting sqref="AE34">
    <cfRule type="containsText" dxfId="1040" priority="1015" operator="containsText" text="NA">
      <formula>NOT(ISERROR(SEARCH("NA",AE34)))</formula>
    </cfRule>
  </conditionalFormatting>
  <conditionalFormatting sqref="AE34">
    <cfRule type="containsText" dxfId="1039" priority="1012" operator="containsText" text="Small">
      <formula>NOT(ISERROR(SEARCH("Small",AE34)))</formula>
    </cfRule>
    <cfRule type="containsText" dxfId="1038" priority="1013" operator="containsText" text="Mid">
      <formula>NOT(ISERROR(SEARCH("Mid",AE34)))</formula>
    </cfRule>
    <cfRule type="containsText" dxfId="1037" priority="1014" operator="containsText" text="Large">
      <formula>NOT(ISERROR(SEARCH("Large",AE34)))</formula>
    </cfRule>
  </conditionalFormatting>
  <conditionalFormatting sqref="AE34">
    <cfRule type="containsText" dxfId="1036" priority="1009" operator="containsText" text="Small">
      <formula>NOT(ISERROR(SEARCH("Small",AE34)))</formula>
    </cfRule>
    <cfRule type="containsText" dxfId="1035" priority="1010" operator="containsText" text="Mid">
      <formula>NOT(ISERROR(SEARCH("Mid",AE34)))</formula>
    </cfRule>
    <cfRule type="containsText" dxfId="1034" priority="1011" operator="containsText" text="Large">
      <formula>NOT(ISERROR(SEARCH("Large",AE34)))</formula>
    </cfRule>
  </conditionalFormatting>
  <conditionalFormatting sqref="AE34">
    <cfRule type="containsText" dxfId="1033" priority="1006" operator="containsText" text="Small">
      <formula>NOT(ISERROR(SEARCH("Small",AE34)))</formula>
    </cfRule>
    <cfRule type="containsText" dxfId="1032" priority="1007" operator="containsText" text="Mid">
      <formula>NOT(ISERROR(SEARCH("Mid",AE34)))</formula>
    </cfRule>
    <cfRule type="containsText" dxfId="1031" priority="1008" operator="containsText" text="Large">
      <formula>NOT(ISERROR(SEARCH("Large",AE34)))</formula>
    </cfRule>
  </conditionalFormatting>
  <conditionalFormatting sqref="AE34">
    <cfRule type="containsText" dxfId="1030" priority="1003" operator="containsText" text="Small">
      <formula>NOT(ISERROR(SEARCH("Small",AE34)))</formula>
    </cfRule>
    <cfRule type="containsText" dxfId="1029" priority="1004" operator="containsText" text="Mid">
      <formula>NOT(ISERROR(SEARCH("Mid",AE34)))</formula>
    </cfRule>
    <cfRule type="containsText" dxfId="1028" priority="1005" operator="containsText" text="Large">
      <formula>NOT(ISERROR(SEARCH("Large",AE34)))</formula>
    </cfRule>
  </conditionalFormatting>
  <conditionalFormatting sqref="AE34">
    <cfRule type="containsText" dxfId="1027" priority="1000" operator="containsText" text="Small">
      <formula>NOT(ISERROR(SEARCH("Small",AE34)))</formula>
    </cfRule>
    <cfRule type="containsText" dxfId="1026" priority="1001" operator="containsText" text="Mid">
      <formula>NOT(ISERROR(SEARCH("Mid",AE34)))</formula>
    </cfRule>
    <cfRule type="containsText" dxfId="1025" priority="1002" operator="containsText" text="Large">
      <formula>NOT(ISERROR(SEARCH("Large",AE34)))</formula>
    </cfRule>
  </conditionalFormatting>
  <conditionalFormatting sqref="AE34">
    <cfRule type="containsText" dxfId="1024" priority="997" operator="containsText" text="Small">
      <formula>NOT(ISERROR(SEARCH("Small",AE34)))</formula>
    </cfRule>
    <cfRule type="containsText" dxfId="1023" priority="998" operator="containsText" text="Mid">
      <formula>NOT(ISERROR(SEARCH("Mid",AE34)))</formula>
    </cfRule>
    <cfRule type="containsText" dxfId="1022" priority="999" operator="containsText" text="Large">
      <formula>NOT(ISERROR(SEARCH("Large",AE34)))</formula>
    </cfRule>
  </conditionalFormatting>
  <conditionalFormatting sqref="AE34">
    <cfRule type="containsText" dxfId="1021" priority="994" operator="containsText" text="Small">
      <formula>NOT(ISERROR(SEARCH("Small",AE34)))</formula>
    </cfRule>
    <cfRule type="containsText" dxfId="1020" priority="995" operator="containsText" text="Mid">
      <formula>NOT(ISERROR(SEARCH("Mid",AE34)))</formula>
    </cfRule>
    <cfRule type="containsText" dxfId="1019" priority="996" operator="containsText" text="Large">
      <formula>NOT(ISERROR(SEARCH("Large",AE34)))</formula>
    </cfRule>
  </conditionalFormatting>
  <conditionalFormatting sqref="AE34">
    <cfRule type="containsText" dxfId="1018" priority="991" operator="containsText" text="Small">
      <formula>NOT(ISERROR(SEARCH("Small",AE34)))</formula>
    </cfRule>
    <cfRule type="containsText" dxfId="1017" priority="992" operator="containsText" text="Mid">
      <formula>NOT(ISERROR(SEARCH("Mid",AE34)))</formula>
    </cfRule>
    <cfRule type="containsText" dxfId="1016" priority="993" operator="containsText" text="Large">
      <formula>NOT(ISERROR(SEARCH("Large",AE34)))</formula>
    </cfRule>
  </conditionalFormatting>
  <conditionalFormatting sqref="AE34">
    <cfRule type="containsText" dxfId="1015" priority="988" operator="containsText" text="Small">
      <formula>NOT(ISERROR(SEARCH("Small",AE34)))</formula>
    </cfRule>
    <cfRule type="containsText" dxfId="1014" priority="989" operator="containsText" text="Mid">
      <formula>NOT(ISERROR(SEARCH("Mid",AE34)))</formula>
    </cfRule>
    <cfRule type="containsText" dxfId="1013" priority="990" operator="containsText" text="Large">
      <formula>NOT(ISERROR(SEARCH("Large",AE34)))</formula>
    </cfRule>
  </conditionalFormatting>
  <conditionalFormatting sqref="AE34">
    <cfRule type="containsText" dxfId="1012" priority="985" operator="containsText" text="Small">
      <formula>NOT(ISERROR(SEARCH("Small",AE34)))</formula>
    </cfRule>
    <cfRule type="containsText" dxfId="1011" priority="986" operator="containsText" text="Mid">
      <formula>NOT(ISERROR(SEARCH("Mid",AE34)))</formula>
    </cfRule>
    <cfRule type="containsText" dxfId="1010" priority="987" operator="containsText" text="Large">
      <formula>NOT(ISERROR(SEARCH("Large",AE34)))</formula>
    </cfRule>
  </conditionalFormatting>
  <conditionalFormatting sqref="AE34">
    <cfRule type="containsText" dxfId="1009" priority="982" operator="containsText" text="Small">
      <formula>NOT(ISERROR(SEARCH("Small",AE34)))</formula>
    </cfRule>
    <cfRule type="containsText" dxfId="1008" priority="983" operator="containsText" text="Mid">
      <formula>NOT(ISERROR(SEARCH("Mid",AE34)))</formula>
    </cfRule>
    <cfRule type="containsText" dxfId="1007" priority="984" operator="containsText" text="Large">
      <formula>NOT(ISERROR(SEARCH("Large",AE34)))</formula>
    </cfRule>
  </conditionalFormatting>
  <conditionalFormatting sqref="AE34">
    <cfRule type="containsText" dxfId="1006" priority="979" operator="containsText" text="Small">
      <formula>NOT(ISERROR(SEARCH("Small",AE34)))</formula>
    </cfRule>
    <cfRule type="containsText" dxfId="1005" priority="980" operator="containsText" text="Mid">
      <formula>NOT(ISERROR(SEARCH("Mid",AE34)))</formula>
    </cfRule>
    <cfRule type="containsText" dxfId="1004" priority="981" operator="containsText" text="Large">
      <formula>NOT(ISERROR(SEARCH("Large",AE34)))</formula>
    </cfRule>
  </conditionalFormatting>
  <conditionalFormatting sqref="AE34">
    <cfRule type="containsText" dxfId="1003" priority="976" operator="containsText" text="Small">
      <formula>NOT(ISERROR(SEARCH("Small",AE34)))</formula>
    </cfRule>
    <cfRule type="containsText" dxfId="1002" priority="977" operator="containsText" text="Mid">
      <formula>NOT(ISERROR(SEARCH("Mid",AE34)))</formula>
    </cfRule>
    <cfRule type="containsText" dxfId="1001" priority="978" operator="containsText" text="Large">
      <formula>NOT(ISERROR(SEARCH("Large",AE34)))</formula>
    </cfRule>
  </conditionalFormatting>
  <conditionalFormatting sqref="AE34">
    <cfRule type="containsText" dxfId="1000" priority="973" operator="containsText" text="Small">
      <formula>NOT(ISERROR(SEARCH("Small",AE34)))</formula>
    </cfRule>
    <cfRule type="containsText" dxfId="999" priority="974" operator="containsText" text="Mid">
      <formula>NOT(ISERROR(SEARCH("Mid",AE34)))</formula>
    </cfRule>
    <cfRule type="containsText" dxfId="998" priority="975" operator="containsText" text="Large">
      <formula>NOT(ISERROR(SEARCH("Large",AE34)))</formula>
    </cfRule>
  </conditionalFormatting>
  <conditionalFormatting sqref="AE34">
    <cfRule type="containsText" dxfId="997" priority="970" operator="containsText" text="Small">
      <formula>NOT(ISERROR(SEARCH("Small",AE34)))</formula>
    </cfRule>
    <cfRule type="containsText" dxfId="996" priority="971" operator="containsText" text="Mid">
      <formula>NOT(ISERROR(SEARCH("Mid",AE34)))</formula>
    </cfRule>
    <cfRule type="containsText" dxfId="995" priority="972" operator="containsText" text="Large">
      <formula>NOT(ISERROR(SEARCH("Large",AE34)))</formula>
    </cfRule>
  </conditionalFormatting>
  <conditionalFormatting sqref="AE34">
    <cfRule type="containsText" dxfId="994" priority="967" operator="containsText" text="Small">
      <formula>NOT(ISERROR(SEARCH("Small",AE34)))</formula>
    </cfRule>
    <cfRule type="containsText" dxfId="993" priority="968" operator="containsText" text="Mid">
      <formula>NOT(ISERROR(SEARCH("Mid",AE34)))</formula>
    </cfRule>
    <cfRule type="containsText" dxfId="992" priority="969" operator="containsText" text="Large">
      <formula>NOT(ISERROR(SEARCH("Large",AE34)))</formula>
    </cfRule>
  </conditionalFormatting>
  <conditionalFormatting sqref="AE34">
    <cfRule type="containsText" dxfId="991" priority="964" operator="containsText" text="Small">
      <formula>NOT(ISERROR(SEARCH("Small",AE34)))</formula>
    </cfRule>
    <cfRule type="containsText" dxfId="990" priority="965" operator="containsText" text="Mid">
      <formula>NOT(ISERROR(SEARCH("Mid",AE34)))</formula>
    </cfRule>
    <cfRule type="containsText" dxfId="989" priority="966" operator="containsText" text="Large">
      <formula>NOT(ISERROR(SEARCH("Large",AE34)))</formula>
    </cfRule>
  </conditionalFormatting>
  <conditionalFormatting sqref="AE34">
    <cfRule type="containsText" dxfId="988" priority="961" operator="containsText" text="Small">
      <formula>NOT(ISERROR(SEARCH("Small",AE34)))</formula>
    </cfRule>
    <cfRule type="containsText" dxfId="987" priority="962" operator="containsText" text="Mid">
      <formula>NOT(ISERROR(SEARCH("Mid",AE34)))</formula>
    </cfRule>
    <cfRule type="containsText" dxfId="986" priority="963" operator="containsText" text="Large">
      <formula>NOT(ISERROR(SEARCH("Large",AE34)))</formula>
    </cfRule>
  </conditionalFormatting>
  <conditionalFormatting sqref="AE34">
    <cfRule type="containsText" dxfId="985" priority="958" operator="containsText" text="Small">
      <formula>NOT(ISERROR(SEARCH("Small",AE34)))</formula>
    </cfRule>
    <cfRule type="containsText" dxfId="984" priority="959" operator="containsText" text="Mid">
      <formula>NOT(ISERROR(SEARCH("Mid",AE34)))</formula>
    </cfRule>
    <cfRule type="containsText" dxfId="983" priority="960" operator="containsText" text="Large">
      <formula>NOT(ISERROR(SEARCH("Large",AE34)))</formula>
    </cfRule>
  </conditionalFormatting>
  <conditionalFormatting sqref="AE34">
    <cfRule type="containsText" dxfId="982" priority="955" operator="containsText" text="Small">
      <formula>NOT(ISERROR(SEARCH("Small",AE34)))</formula>
    </cfRule>
    <cfRule type="containsText" dxfId="981" priority="956" operator="containsText" text="Mid">
      <formula>NOT(ISERROR(SEARCH("Mid",AE34)))</formula>
    </cfRule>
    <cfRule type="containsText" dxfId="980" priority="957" operator="containsText" text="Large">
      <formula>NOT(ISERROR(SEARCH("Large",AE34)))</formula>
    </cfRule>
  </conditionalFormatting>
  <conditionalFormatting sqref="AE34">
    <cfRule type="containsText" dxfId="979" priority="952" operator="containsText" text="Small">
      <formula>NOT(ISERROR(SEARCH("Small",AE34)))</formula>
    </cfRule>
    <cfRule type="containsText" dxfId="978" priority="953" operator="containsText" text="Mid">
      <formula>NOT(ISERROR(SEARCH("Mid",AE34)))</formula>
    </cfRule>
    <cfRule type="containsText" dxfId="977" priority="954" operator="containsText" text="Large">
      <formula>NOT(ISERROR(SEARCH("Large",AE34)))</formula>
    </cfRule>
  </conditionalFormatting>
  <conditionalFormatting sqref="AE34">
    <cfRule type="containsText" dxfId="976" priority="949" operator="containsText" text="Small">
      <formula>NOT(ISERROR(SEARCH("Small",AE34)))</formula>
    </cfRule>
    <cfRule type="containsText" dxfId="975" priority="950" operator="containsText" text="Mid">
      <formula>NOT(ISERROR(SEARCH("Mid",AE34)))</formula>
    </cfRule>
    <cfRule type="containsText" dxfId="974" priority="951" operator="containsText" text="Large">
      <formula>NOT(ISERROR(SEARCH("Large",AE34)))</formula>
    </cfRule>
  </conditionalFormatting>
  <conditionalFormatting sqref="AE34">
    <cfRule type="containsText" dxfId="973" priority="946" operator="containsText" text="Small">
      <formula>NOT(ISERROR(SEARCH("Small",AE34)))</formula>
    </cfRule>
    <cfRule type="containsText" dxfId="972" priority="947" operator="containsText" text="Mid">
      <formula>NOT(ISERROR(SEARCH("Mid",AE34)))</formula>
    </cfRule>
    <cfRule type="containsText" dxfId="971" priority="948" operator="containsText" text="Large">
      <formula>NOT(ISERROR(SEARCH("Large",AE34)))</formula>
    </cfRule>
  </conditionalFormatting>
  <conditionalFormatting sqref="AE34">
    <cfRule type="containsText" dxfId="970" priority="943" operator="containsText" text="Small">
      <formula>NOT(ISERROR(SEARCH("Small",AE34)))</formula>
    </cfRule>
    <cfRule type="containsText" dxfId="969" priority="944" operator="containsText" text="Mid">
      <formula>NOT(ISERROR(SEARCH("Mid",AE34)))</formula>
    </cfRule>
    <cfRule type="containsText" dxfId="968" priority="945" operator="containsText" text="Large">
      <formula>NOT(ISERROR(SEARCH("Large",AE34)))</formula>
    </cfRule>
  </conditionalFormatting>
  <conditionalFormatting sqref="AE34">
    <cfRule type="containsText" dxfId="967" priority="940" operator="containsText" text="Small">
      <formula>NOT(ISERROR(SEARCH("Small",AE34)))</formula>
    </cfRule>
    <cfRule type="containsText" dxfId="966" priority="941" operator="containsText" text="Mid">
      <formula>NOT(ISERROR(SEARCH("Mid",AE34)))</formula>
    </cfRule>
    <cfRule type="containsText" dxfId="965" priority="942" operator="containsText" text="Large">
      <formula>NOT(ISERROR(SEARCH("Large",AE34)))</formula>
    </cfRule>
  </conditionalFormatting>
  <conditionalFormatting sqref="AE34">
    <cfRule type="containsText" dxfId="964" priority="937" operator="containsText" text="Small">
      <formula>NOT(ISERROR(SEARCH("Small",AE34)))</formula>
    </cfRule>
    <cfRule type="containsText" dxfId="963" priority="938" operator="containsText" text="Mid">
      <formula>NOT(ISERROR(SEARCH("Mid",AE34)))</formula>
    </cfRule>
    <cfRule type="containsText" dxfId="962" priority="939" operator="containsText" text="Large">
      <formula>NOT(ISERROR(SEARCH("Large",AE34)))</formula>
    </cfRule>
  </conditionalFormatting>
  <conditionalFormatting sqref="AE34">
    <cfRule type="containsText" dxfId="961" priority="934" operator="containsText" text="Small">
      <formula>NOT(ISERROR(SEARCH("Small",AE34)))</formula>
    </cfRule>
    <cfRule type="containsText" dxfId="960" priority="935" operator="containsText" text="Mid">
      <formula>NOT(ISERROR(SEARCH("Mid",AE34)))</formula>
    </cfRule>
    <cfRule type="containsText" dxfId="959" priority="936" operator="containsText" text="Large">
      <formula>NOT(ISERROR(SEARCH("Large",AE34)))</formula>
    </cfRule>
  </conditionalFormatting>
  <conditionalFormatting sqref="AE34">
    <cfRule type="containsText" dxfId="958" priority="931" operator="containsText" text="Small">
      <formula>NOT(ISERROR(SEARCH("Small",AE34)))</formula>
    </cfRule>
    <cfRule type="containsText" dxfId="957" priority="932" operator="containsText" text="Mid">
      <formula>NOT(ISERROR(SEARCH("Mid",AE34)))</formula>
    </cfRule>
    <cfRule type="containsText" dxfId="956" priority="933" operator="containsText" text="Large">
      <formula>NOT(ISERROR(SEARCH("Large",AE34)))</formula>
    </cfRule>
  </conditionalFormatting>
  <conditionalFormatting sqref="AE34">
    <cfRule type="containsText" dxfId="955" priority="928" operator="containsText" text="Small">
      <formula>NOT(ISERROR(SEARCH("Small",AE34)))</formula>
    </cfRule>
    <cfRule type="containsText" dxfId="954" priority="929" operator="containsText" text="Mid">
      <formula>NOT(ISERROR(SEARCH("Mid",AE34)))</formula>
    </cfRule>
    <cfRule type="containsText" dxfId="953" priority="930" operator="containsText" text="Large">
      <formula>NOT(ISERROR(SEARCH("Large",AE34)))</formula>
    </cfRule>
  </conditionalFormatting>
  <conditionalFormatting sqref="AE34">
    <cfRule type="containsText" dxfId="952" priority="925" operator="containsText" text="Small">
      <formula>NOT(ISERROR(SEARCH("Small",AE34)))</formula>
    </cfRule>
    <cfRule type="containsText" dxfId="951" priority="926" operator="containsText" text="Mid">
      <formula>NOT(ISERROR(SEARCH("Mid",AE34)))</formula>
    </cfRule>
    <cfRule type="containsText" dxfId="950" priority="927" operator="containsText" text="Large">
      <formula>NOT(ISERROR(SEARCH("Large",AE34)))</formula>
    </cfRule>
  </conditionalFormatting>
  <conditionalFormatting sqref="AE34">
    <cfRule type="containsText" dxfId="949" priority="922" operator="containsText" text="Small">
      <formula>NOT(ISERROR(SEARCH("Small",AE34)))</formula>
    </cfRule>
    <cfRule type="containsText" dxfId="948" priority="923" operator="containsText" text="Mid">
      <formula>NOT(ISERROR(SEARCH("Mid",AE34)))</formula>
    </cfRule>
    <cfRule type="containsText" dxfId="947" priority="924" operator="containsText" text="Large">
      <formula>NOT(ISERROR(SEARCH("Large",AE34)))</formula>
    </cfRule>
  </conditionalFormatting>
  <conditionalFormatting sqref="AE34">
    <cfRule type="containsText" dxfId="946" priority="919" operator="containsText" text="Small">
      <formula>NOT(ISERROR(SEARCH("Small",AE34)))</formula>
    </cfRule>
    <cfRule type="containsText" dxfId="945" priority="920" operator="containsText" text="Mid">
      <formula>NOT(ISERROR(SEARCH("Mid",AE34)))</formula>
    </cfRule>
    <cfRule type="containsText" dxfId="944" priority="921" operator="containsText" text="Large">
      <formula>NOT(ISERROR(SEARCH("Large",AE34)))</formula>
    </cfRule>
  </conditionalFormatting>
  <conditionalFormatting sqref="AE34">
    <cfRule type="containsText" dxfId="943" priority="916" operator="containsText" text="Small">
      <formula>NOT(ISERROR(SEARCH("Small",AE34)))</formula>
    </cfRule>
    <cfRule type="containsText" dxfId="942" priority="917" operator="containsText" text="Mid">
      <formula>NOT(ISERROR(SEARCH("Mid",AE34)))</formula>
    </cfRule>
    <cfRule type="containsText" dxfId="941" priority="918" operator="containsText" text="Large">
      <formula>NOT(ISERROR(SEARCH("Large",AE34)))</formula>
    </cfRule>
  </conditionalFormatting>
  <conditionalFormatting sqref="AE34">
    <cfRule type="containsText" dxfId="940" priority="913" operator="containsText" text="Small">
      <formula>NOT(ISERROR(SEARCH("Small",AE34)))</formula>
    </cfRule>
    <cfRule type="containsText" dxfId="939" priority="914" operator="containsText" text="Mid">
      <formula>NOT(ISERROR(SEARCH("Mid",AE34)))</formula>
    </cfRule>
    <cfRule type="containsText" dxfId="938" priority="915" operator="containsText" text="Large">
      <formula>NOT(ISERROR(SEARCH("Large",AE34)))</formula>
    </cfRule>
  </conditionalFormatting>
  <conditionalFormatting sqref="AE34">
    <cfRule type="containsText" dxfId="937" priority="910" operator="containsText" text="Small">
      <formula>NOT(ISERROR(SEARCH("Small",AE34)))</formula>
    </cfRule>
    <cfRule type="containsText" dxfId="936" priority="911" operator="containsText" text="Mid">
      <formula>NOT(ISERROR(SEARCH("Mid",AE34)))</formula>
    </cfRule>
    <cfRule type="containsText" dxfId="935" priority="912" operator="containsText" text="Large">
      <formula>NOT(ISERROR(SEARCH("Large",AE34)))</formula>
    </cfRule>
  </conditionalFormatting>
  <conditionalFormatting sqref="AE34">
    <cfRule type="containsText" dxfId="934" priority="907" operator="containsText" text="Small">
      <formula>NOT(ISERROR(SEARCH("Small",AE34)))</formula>
    </cfRule>
    <cfRule type="containsText" dxfId="933" priority="908" operator="containsText" text="Mid">
      <formula>NOT(ISERROR(SEARCH("Mid",AE34)))</formula>
    </cfRule>
    <cfRule type="containsText" dxfId="932" priority="909" operator="containsText" text="Large">
      <formula>NOT(ISERROR(SEARCH("Large",AE34)))</formula>
    </cfRule>
  </conditionalFormatting>
  <conditionalFormatting sqref="AE34">
    <cfRule type="containsText" dxfId="931" priority="904" operator="containsText" text="Small">
      <formula>NOT(ISERROR(SEARCH("Small",AE34)))</formula>
    </cfRule>
    <cfRule type="containsText" dxfId="930" priority="905" operator="containsText" text="Mid">
      <formula>NOT(ISERROR(SEARCH("Mid",AE34)))</formula>
    </cfRule>
    <cfRule type="containsText" dxfId="929" priority="906" operator="containsText" text="Large">
      <formula>NOT(ISERROR(SEARCH("Large",AE34)))</formula>
    </cfRule>
  </conditionalFormatting>
  <conditionalFormatting sqref="AE34">
    <cfRule type="containsText" dxfId="928" priority="901" operator="containsText" text="Small">
      <formula>NOT(ISERROR(SEARCH("Small",AE34)))</formula>
    </cfRule>
    <cfRule type="containsText" dxfId="927" priority="902" operator="containsText" text="Mid">
      <formula>NOT(ISERROR(SEARCH("Mid",AE34)))</formula>
    </cfRule>
    <cfRule type="containsText" dxfId="926" priority="903" operator="containsText" text="Large">
      <formula>NOT(ISERROR(SEARCH("Large",AE34)))</formula>
    </cfRule>
  </conditionalFormatting>
  <conditionalFormatting sqref="AE34">
    <cfRule type="containsText" dxfId="925" priority="898" operator="containsText" text="Small">
      <formula>NOT(ISERROR(SEARCH("Small",AE34)))</formula>
    </cfRule>
    <cfRule type="containsText" dxfId="924" priority="899" operator="containsText" text="Mid">
      <formula>NOT(ISERROR(SEARCH("Mid",AE34)))</formula>
    </cfRule>
    <cfRule type="containsText" dxfId="923" priority="900" operator="containsText" text="Large">
      <formula>NOT(ISERROR(SEARCH("Large",AE34)))</formula>
    </cfRule>
  </conditionalFormatting>
  <conditionalFormatting sqref="AE34">
    <cfRule type="containsText" dxfId="922" priority="895" operator="containsText" text="Small">
      <formula>NOT(ISERROR(SEARCH("Small",AE34)))</formula>
    </cfRule>
    <cfRule type="containsText" dxfId="921" priority="896" operator="containsText" text="Mid">
      <formula>NOT(ISERROR(SEARCH("Mid",AE34)))</formula>
    </cfRule>
    <cfRule type="containsText" dxfId="920" priority="897" operator="containsText" text="Large">
      <formula>NOT(ISERROR(SEARCH("Large",AE34)))</formula>
    </cfRule>
  </conditionalFormatting>
  <conditionalFormatting sqref="AE34">
    <cfRule type="containsText" dxfId="919" priority="892" operator="containsText" text="Small">
      <formula>NOT(ISERROR(SEARCH("Small",AE34)))</formula>
    </cfRule>
    <cfRule type="containsText" dxfId="918" priority="893" operator="containsText" text="Mid">
      <formula>NOT(ISERROR(SEARCH("Mid",AE34)))</formula>
    </cfRule>
    <cfRule type="containsText" dxfId="917" priority="894" operator="containsText" text="Large">
      <formula>NOT(ISERROR(SEARCH("Large",AE34)))</formula>
    </cfRule>
  </conditionalFormatting>
  <conditionalFormatting sqref="AE34">
    <cfRule type="containsText" dxfId="916" priority="889" operator="containsText" text="Small">
      <formula>NOT(ISERROR(SEARCH("Small",AE34)))</formula>
    </cfRule>
    <cfRule type="containsText" dxfId="915" priority="890" operator="containsText" text="Mid">
      <formula>NOT(ISERROR(SEARCH("Mid",AE34)))</formula>
    </cfRule>
    <cfRule type="containsText" dxfId="914" priority="891" operator="containsText" text="Large">
      <formula>NOT(ISERROR(SEARCH("Large",AE34)))</formula>
    </cfRule>
  </conditionalFormatting>
  <conditionalFormatting sqref="AE34">
    <cfRule type="containsText" dxfId="913" priority="886" operator="containsText" text="Small">
      <formula>NOT(ISERROR(SEARCH("Small",AE34)))</formula>
    </cfRule>
    <cfRule type="containsText" dxfId="912" priority="887" operator="containsText" text="Mid">
      <formula>NOT(ISERROR(SEARCH("Mid",AE34)))</formula>
    </cfRule>
    <cfRule type="containsText" dxfId="911" priority="888" operator="containsText" text="Large">
      <formula>NOT(ISERROR(SEARCH("Large",AE34)))</formula>
    </cfRule>
  </conditionalFormatting>
  <conditionalFormatting sqref="AE34">
    <cfRule type="containsText" dxfId="910" priority="883" operator="containsText" text="Small">
      <formula>NOT(ISERROR(SEARCH("Small",AE34)))</formula>
    </cfRule>
    <cfRule type="containsText" dxfId="909" priority="884" operator="containsText" text="Mid">
      <formula>NOT(ISERROR(SEARCH("Mid",AE34)))</formula>
    </cfRule>
    <cfRule type="containsText" dxfId="908" priority="885" operator="containsText" text="Large">
      <formula>NOT(ISERROR(SEARCH("Large",AE34)))</formula>
    </cfRule>
  </conditionalFormatting>
  <conditionalFormatting sqref="AE34">
    <cfRule type="containsText" dxfId="907" priority="880" operator="containsText" text="Small">
      <formula>NOT(ISERROR(SEARCH("Small",AE34)))</formula>
    </cfRule>
    <cfRule type="containsText" dxfId="906" priority="881" operator="containsText" text="Mid">
      <formula>NOT(ISERROR(SEARCH("Mid",AE34)))</formula>
    </cfRule>
    <cfRule type="containsText" dxfId="905" priority="882" operator="containsText" text="Large">
      <formula>NOT(ISERROR(SEARCH("Large",AE34)))</formula>
    </cfRule>
  </conditionalFormatting>
  <conditionalFormatting sqref="AE34">
    <cfRule type="containsText" dxfId="904" priority="877" operator="containsText" text="Small">
      <formula>NOT(ISERROR(SEARCH("Small",AE34)))</formula>
    </cfRule>
    <cfRule type="containsText" dxfId="903" priority="878" operator="containsText" text="Mid">
      <formula>NOT(ISERROR(SEARCH("Mid",AE34)))</formula>
    </cfRule>
    <cfRule type="containsText" dxfId="902" priority="879" operator="containsText" text="Large">
      <formula>NOT(ISERROR(SEARCH("Large",AE34)))</formula>
    </cfRule>
  </conditionalFormatting>
  <conditionalFormatting sqref="AE34">
    <cfRule type="containsText" dxfId="901" priority="874" operator="containsText" text="Small">
      <formula>NOT(ISERROR(SEARCH("Small",AE34)))</formula>
    </cfRule>
    <cfRule type="containsText" dxfId="900" priority="875" operator="containsText" text="Mid">
      <formula>NOT(ISERROR(SEARCH("Mid",AE34)))</formula>
    </cfRule>
    <cfRule type="containsText" dxfId="899" priority="876" operator="containsText" text="Large">
      <formula>NOT(ISERROR(SEARCH("Large",AE34)))</formula>
    </cfRule>
  </conditionalFormatting>
  <conditionalFormatting sqref="AE34">
    <cfRule type="containsText" dxfId="898" priority="871" operator="containsText" text="Small">
      <formula>NOT(ISERROR(SEARCH("Small",AE34)))</formula>
    </cfRule>
    <cfRule type="containsText" dxfId="897" priority="872" operator="containsText" text="Mid">
      <formula>NOT(ISERROR(SEARCH("Mid",AE34)))</formula>
    </cfRule>
    <cfRule type="containsText" dxfId="896" priority="873" operator="containsText" text="Large">
      <formula>NOT(ISERROR(SEARCH("Large",AE34)))</formula>
    </cfRule>
  </conditionalFormatting>
  <conditionalFormatting sqref="AE34">
    <cfRule type="containsText" dxfId="895" priority="868" operator="containsText" text="Small">
      <formula>NOT(ISERROR(SEARCH("Small",AE34)))</formula>
    </cfRule>
    <cfRule type="containsText" dxfId="894" priority="869" operator="containsText" text="Mid">
      <formula>NOT(ISERROR(SEARCH("Mid",AE34)))</formula>
    </cfRule>
    <cfRule type="containsText" dxfId="893" priority="870" operator="containsText" text="Large">
      <formula>NOT(ISERROR(SEARCH("Large",AE34)))</formula>
    </cfRule>
  </conditionalFormatting>
  <conditionalFormatting sqref="AE34">
    <cfRule type="containsText" dxfId="892" priority="865" operator="containsText" text="Small">
      <formula>NOT(ISERROR(SEARCH("Small",AE34)))</formula>
    </cfRule>
    <cfRule type="containsText" dxfId="891" priority="866" operator="containsText" text="Mid">
      <formula>NOT(ISERROR(SEARCH("Mid",AE34)))</formula>
    </cfRule>
    <cfRule type="containsText" dxfId="890" priority="867" operator="containsText" text="Large">
      <formula>NOT(ISERROR(SEARCH("Large",AE34)))</formula>
    </cfRule>
  </conditionalFormatting>
  <conditionalFormatting sqref="AE34">
    <cfRule type="containsText" dxfId="889" priority="862" operator="containsText" text="Small">
      <formula>NOT(ISERROR(SEARCH("Small",AE34)))</formula>
    </cfRule>
    <cfRule type="containsText" dxfId="888" priority="863" operator="containsText" text="Mid">
      <formula>NOT(ISERROR(SEARCH("Mid",AE34)))</formula>
    </cfRule>
    <cfRule type="containsText" dxfId="887" priority="864" operator="containsText" text="Large">
      <formula>NOT(ISERROR(SEARCH("Large",AE34)))</formula>
    </cfRule>
  </conditionalFormatting>
  <conditionalFormatting sqref="AE34">
    <cfRule type="containsText" dxfId="886" priority="859" operator="containsText" text="Small">
      <formula>NOT(ISERROR(SEARCH("Small",AE34)))</formula>
    </cfRule>
    <cfRule type="containsText" dxfId="885" priority="860" operator="containsText" text="Mid">
      <formula>NOT(ISERROR(SEARCH("Mid",AE34)))</formula>
    </cfRule>
    <cfRule type="containsText" dxfId="884" priority="861" operator="containsText" text="Large">
      <formula>NOT(ISERROR(SEARCH("Large",AE34)))</formula>
    </cfRule>
  </conditionalFormatting>
  <conditionalFormatting sqref="AE34">
    <cfRule type="containsText" dxfId="883" priority="856" operator="containsText" text="Small">
      <formula>NOT(ISERROR(SEARCH("Small",AE34)))</formula>
    </cfRule>
    <cfRule type="containsText" dxfId="882" priority="857" operator="containsText" text="Mid">
      <formula>NOT(ISERROR(SEARCH("Mid",AE34)))</formula>
    </cfRule>
    <cfRule type="containsText" dxfId="881" priority="858" operator="containsText" text="Large">
      <formula>NOT(ISERROR(SEARCH("Large",AE34)))</formula>
    </cfRule>
  </conditionalFormatting>
  <conditionalFormatting sqref="AE34">
    <cfRule type="containsText" dxfId="880" priority="853" operator="containsText" text="Small">
      <formula>NOT(ISERROR(SEARCH("Small",AE34)))</formula>
    </cfRule>
    <cfRule type="containsText" dxfId="879" priority="854" operator="containsText" text="Mid">
      <formula>NOT(ISERROR(SEARCH("Mid",AE34)))</formula>
    </cfRule>
    <cfRule type="containsText" dxfId="878" priority="855" operator="containsText" text="Large">
      <formula>NOT(ISERROR(SEARCH("Large",AE34)))</formula>
    </cfRule>
  </conditionalFormatting>
  <conditionalFormatting sqref="AE34">
    <cfRule type="containsText" dxfId="877" priority="850" operator="containsText" text="Small">
      <formula>NOT(ISERROR(SEARCH("Small",AE34)))</formula>
    </cfRule>
    <cfRule type="containsText" dxfId="876" priority="851" operator="containsText" text="Mid">
      <formula>NOT(ISERROR(SEARCH("Mid",AE34)))</formula>
    </cfRule>
    <cfRule type="containsText" dxfId="875" priority="852" operator="containsText" text="Large">
      <formula>NOT(ISERROR(SEARCH("Large",AE34)))</formula>
    </cfRule>
  </conditionalFormatting>
  <conditionalFormatting sqref="AE34">
    <cfRule type="containsText" dxfId="874" priority="847" operator="containsText" text="Small">
      <formula>NOT(ISERROR(SEARCH("Small",AE34)))</formula>
    </cfRule>
    <cfRule type="containsText" dxfId="873" priority="848" operator="containsText" text="Mid">
      <formula>NOT(ISERROR(SEARCH("Mid",AE34)))</formula>
    </cfRule>
    <cfRule type="containsText" dxfId="872" priority="849" operator="containsText" text="Large">
      <formula>NOT(ISERROR(SEARCH("Large",AE34)))</formula>
    </cfRule>
  </conditionalFormatting>
  <conditionalFormatting sqref="AE34">
    <cfRule type="containsText" dxfId="871" priority="844" operator="containsText" text="Small">
      <formula>NOT(ISERROR(SEARCH("Small",AE34)))</formula>
    </cfRule>
    <cfRule type="containsText" dxfId="870" priority="845" operator="containsText" text="Mid">
      <formula>NOT(ISERROR(SEARCH("Mid",AE34)))</formula>
    </cfRule>
    <cfRule type="containsText" dxfId="869" priority="846" operator="containsText" text="Large">
      <formula>NOT(ISERROR(SEARCH("Large",AE34)))</formula>
    </cfRule>
  </conditionalFormatting>
  <conditionalFormatting sqref="AE34">
    <cfRule type="containsText" dxfId="868" priority="841" operator="containsText" text="Small">
      <formula>NOT(ISERROR(SEARCH("Small",AE34)))</formula>
    </cfRule>
    <cfRule type="containsText" dxfId="867" priority="842" operator="containsText" text="Mid">
      <formula>NOT(ISERROR(SEARCH("Mid",AE34)))</formula>
    </cfRule>
    <cfRule type="containsText" dxfId="866" priority="843" operator="containsText" text="Large">
      <formula>NOT(ISERROR(SEARCH("Large",AE34)))</formula>
    </cfRule>
  </conditionalFormatting>
  <conditionalFormatting sqref="AE34">
    <cfRule type="containsText" dxfId="865" priority="838" operator="containsText" text="Small">
      <formula>NOT(ISERROR(SEARCH("Small",AE34)))</formula>
    </cfRule>
    <cfRule type="containsText" dxfId="864" priority="839" operator="containsText" text="Mid">
      <formula>NOT(ISERROR(SEARCH("Mid",AE34)))</formula>
    </cfRule>
    <cfRule type="containsText" dxfId="863" priority="840" operator="containsText" text="Large">
      <formula>NOT(ISERROR(SEARCH("Large",AE34)))</formula>
    </cfRule>
  </conditionalFormatting>
  <conditionalFormatting sqref="AE34">
    <cfRule type="containsText" dxfId="862" priority="835" operator="containsText" text="Small">
      <formula>NOT(ISERROR(SEARCH("Small",AE34)))</formula>
    </cfRule>
    <cfRule type="containsText" dxfId="861" priority="836" operator="containsText" text="Mid">
      <formula>NOT(ISERROR(SEARCH("Mid",AE34)))</formula>
    </cfRule>
    <cfRule type="containsText" dxfId="860" priority="837" operator="containsText" text="Large">
      <formula>NOT(ISERROR(SEARCH("Large",AE34)))</formula>
    </cfRule>
  </conditionalFormatting>
  <conditionalFormatting sqref="AE34">
    <cfRule type="containsText" dxfId="859" priority="832" operator="containsText" text="Small">
      <formula>NOT(ISERROR(SEARCH("Small",AE34)))</formula>
    </cfRule>
    <cfRule type="containsText" dxfId="858" priority="833" operator="containsText" text="Mid">
      <formula>NOT(ISERROR(SEARCH("Mid",AE34)))</formula>
    </cfRule>
    <cfRule type="containsText" dxfId="857" priority="834" operator="containsText" text="Large">
      <formula>NOT(ISERROR(SEARCH("Large",AE34)))</formula>
    </cfRule>
  </conditionalFormatting>
  <conditionalFormatting sqref="AE34">
    <cfRule type="containsText" dxfId="856" priority="829" operator="containsText" text="Small">
      <formula>NOT(ISERROR(SEARCH("Small",AE34)))</formula>
    </cfRule>
    <cfRule type="containsText" dxfId="855" priority="830" operator="containsText" text="Mid">
      <formula>NOT(ISERROR(SEARCH("Mid",AE34)))</formula>
    </cfRule>
    <cfRule type="containsText" dxfId="854" priority="831" operator="containsText" text="Large">
      <formula>NOT(ISERROR(SEARCH("Large",AE34)))</formula>
    </cfRule>
  </conditionalFormatting>
  <conditionalFormatting sqref="AE34">
    <cfRule type="containsText" dxfId="853" priority="826" operator="containsText" text="Small">
      <formula>NOT(ISERROR(SEARCH("Small",AE34)))</formula>
    </cfRule>
    <cfRule type="containsText" dxfId="852" priority="827" operator="containsText" text="Mid">
      <formula>NOT(ISERROR(SEARCH("Mid",AE34)))</formula>
    </cfRule>
    <cfRule type="containsText" dxfId="851" priority="828" operator="containsText" text="Large">
      <formula>NOT(ISERROR(SEARCH("Large",AE34)))</formula>
    </cfRule>
  </conditionalFormatting>
  <conditionalFormatting sqref="AE34">
    <cfRule type="containsText" dxfId="850" priority="823" operator="containsText" text="Small">
      <formula>NOT(ISERROR(SEARCH("Small",AE34)))</formula>
    </cfRule>
    <cfRule type="containsText" dxfId="849" priority="824" operator="containsText" text="Mid">
      <formula>NOT(ISERROR(SEARCH("Mid",AE34)))</formula>
    </cfRule>
    <cfRule type="containsText" dxfId="848" priority="825" operator="containsText" text="Large">
      <formula>NOT(ISERROR(SEARCH("Large",AE34)))</formula>
    </cfRule>
  </conditionalFormatting>
  <conditionalFormatting sqref="AE34">
    <cfRule type="containsText" dxfId="847" priority="820" operator="containsText" text="Small">
      <formula>NOT(ISERROR(SEARCH("Small",AE34)))</formula>
    </cfRule>
    <cfRule type="containsText" dxfId="846" priority="821" operator="containsText" text="Mid">
      <formula>NOT(ISERROR(SEARCH("Mid",AE34)))</formula>
    </cfRule>
    <cfRule type="containsText" dxfId="845" priority="822" operator="containsText" text="Large">
      <formula>NOT(ISERROR(SEARCH("Large",AE34)))</formula>
    </cfRule>
  </conditionalFormatting>
  <conditionalFormatting sqref="AE34">
    <cfRule type="containsText" dxfId="844" priority="817" operator="containsText" text="Small">
      <formula>NOT(ISERROR(SEARCH("Small",AE34)))</formula>
    </cfRule>
    <cfRule type="containsText" dxfId="843" priority="818" operator="containsText" text="Mid">
      <formula>NOT(ISERROR(SEARCH("Mid",AE34)))</formula>
    </cfRule>
    <cfRule type="containsText" dxfId="842" priority="819" operator="containsText" text="Large">
      <formula>NOT(ISERROR(SEARCH("Large",AE34)))</formula>
    </cfRule>
  </conditionalFormatting>
  <conditionalFormatting sqref="AE34">
    <cfRule type="containsText" dxfId="841" priority="814" operator="containsText" text="Small">
      <formula>NOT(ISERROR(SEARCH("Small",AE34)))</formula>
    </cfRule>
    <cfRule type="containsText" dxfId="840" priority="815" operator="containsText" text="Mid">
      <formula>NOT(ISERROR(SEARCH("Mid",AE34)))</formula>
    </cfRule>
    <cfRule type="containsText" dxfId="839" priority="816" operator="containsText" text="Large">
      <formula>NOT(ISERROR(SEARCH("Large",AE34)))</formula>
    </cfRule>
  </conditionalFormatting>
  <conditionalFormatting sqref="AE20">
    <cfRule type="containsText" dxfId="838" priority="813" operator="containsText" text="No Cap">
      <formula>NOT(ISERROR(SEARCH("No Cap",AE20)))</formula>
    </cfRule>
  </conditionalFormatting>
  <conditionalFormatting sqref="AE20">
    <cfRule type="containsText" dxfId="837" priority="812" operator="containsText" text="No Cap">
      <formula>NOT(ISERROR(SEARCH("No Cap",AE20)))</formula>
    </cfRule>
  </conditionalFormatting>
  <conditionalFormatting sqref="AE20">
    <cfRule type="containsText" dxfId="836" priority="809" operator="containsText" text="Small">
      <formula>NOT(ISERROR(SEARCH("Small",AE20)))</formula>
    </cfRule>
    <cfRule type="containsText" dxfId="835" priority="810" operator="containsText" text="Mid">
      <formula>NOT(ISERROR(SEARCH("Mid",AE20)))</formula>
    </cfRule>
    <cfRule type="containsText" dxfId="834" priority="811" operator="containsText" text="Large">
      <formula>NOT(ISERROR(SEARCH("Large",AE20)))</formula>
    </cfRule>
  </conditionalFormatting>
  <conditionalFormatting sqref="AE20">
    <cfRule type="containsText" dxfId="833" priority="806" operator="containsText" text="Small">
      <formula>NOT(ISERROR(SEARCH("Small",AE20)))</formula>
    </cfRule>
    <cfRule type="containsText" dxfId="832" priority="807" operator="containsText" text="Mid">
      <formula>NOT(ISERROR(SEARCH("Mid",AE20)))</formula>
    </cfRule>
    <cfRule type="containsText" dxfId="831" priority="808" operator="containsText" text="Large">
      <formula>NOT(ISERROR(SEARCH("Large",AE20)))</formula>
    </cfRule>
  </conditionalFormatting>
  <conditionalFormatting sqref="AE20">
    <cfRule type="containsText" dxfId="830" priority="803" operator="containsText" text="Small">
      <formula>NOT(ISERROR(SEARCH("Small",AE20)))</formula>
    </cfRule>
    <cfRule type="containsText" dxfId="829" priority="804" operator="containsText" text="Mid">
      <formula>NOT(ISERROR(SEARCH("Mid",AE20)))</formula>
    </cfRule>
    <cfRule type="containsText" dxfId="828" priority="805" operator="containsText" text="Large">
      <formula>NOT(ISERROR(SEARCH("Large",AE20)))</formula>
    </cfRule>
  </conditionalFormatting>
  <conditionalFormatting sqref="AE20">
    <cfRule type="containsText" dxfId="827" priority="802" operator="containsText" text="No Cap">
      <formula>NOT(ISERROR(SEARCH("No Cap",AE20)))</formula>
    </cfRule>
  </conditionalFormatting>
  <conditionalFormatting sqref="AE20">
    <cfRule type="containsText" dxfId="826" priority="801" operator="containsText" text="No Cap">
      <formula>NOT(ISERROR(SEARCH("No Cap",AE20)))</formula>
    </cfRule>
  </conditionalFormatting>
  <conditionalFormatting sqref="AE20">
    <cfRule type="containsText" dxfId="825" priority="798" operator="containsText" text="Small">
      <formula>NOT(ISERROR(SEARCH("Small",AE20)))</formula>
    </cfRule>
    <cfRule type="containsText" dxfId="824" priority="799" operator="containsText" text="Mid">
      <formula>NOT(ISERROR(SEARCH("Mid",AE20)))</formula>
    </cfRule>
    <cfRule type="containsText" dxfId="823" priority="800" operator="containsText" text="Large">
      <formula>NOT(ISERROR(SEARCH("Large",AE20)))</formula>
    </cfRule>
  </conditionalFormatting>
  <conditionalFormatting sqref="AE20">
    <cfRule type="containsText" dxfId="822" priority="795" operator="containsText" text="Small">
      <formula>NOT(ISERROR(SEARCH("Small",AE20)))</formula>
    </cfRule>
    <cfRule type="containsText" dxfId="821" priority="796" operator="containsText" text="Mid">
      <formula>NOT(ISERROR(SEARCH("Mid",AE20)))</formula>
    </cfRule>
    <cfRule type="containsText" dxfId="820" priority="797" operator="containsText" text="Large">
      <formula>NOT(ISERROR(SEARCH("Large",AE20)))</formula>
    </cfRule>
  </conditionalFormatting>
  <conditionalFormatting sqref="AE20">
    <cfRule type="containsText" dxfId="819" priority="792" operator="containsText" text="Small">
      <formula>NOT(ISERROR(SEARCH("Small",AE20)))</formula>
    </cfRule>
    <cfRule type="containsText" dxfId="818" priority="793" operator="containsText" text="Mid">
      <formula>NOT(ISERROR(SEARCH("Mid",AE20)))</formula>
    </cfRule>
    <cfRule type="containsText" dxfId="817" priority="794" operator="containsText" text="Large">
      <formula>NOT(ISERROR(SEARCH("Large",AE20)))</formula>
    </cfRule>
  </conditionalFormatting>
  <conditionalFormatting sqref="AE20">
    <cfRule type="containsText" dxfId="816" priority="791" operator="containsText" text="No Cap">
      <formula>NOT(ISERROR(SEARCH("No Cap",AE20)))</formula>
    </cfRule>
  </conditionalFormatting>
  <conditionalFormatting sqref="AE20">
    <cfRule type="containsText" dxfId="815" priority="790" operator="containsText" text="No Cap">
      <formula>NOT(ISERROR(SEARCH("No Cap",AE20)))</formula>
    </cfRule>
  </conditionalFormatting>
  <conditionalFormatting sqref="AE20">
    <cfRule type="containsText" dxfId="814" priority="787" operator="containsText" text="Small">
      <formula>NOT(ISERROR(SEARCH("Small",AE20)))</formula>
    </cfRule>
    <cfRule type="containsText" dxfId="813" priority="788" operator="containsText" text="Mid">
      <formula>NOT(ISERROR(SEARCH("Mid",AE20)))</formula>
    </cfRule>
    <cfRule type="containsText" dxfId="812" priority="789" operator="containsText" text="Large">
      <formula>NOT(ISERROR(SEARCH("Large",AE20)))</formula>
    </cfRule>
  </conditionalFormatting>
  <conditionalFormatting sqref="AE20">
    <cfRule type="containsText" dxfId="811" priority="784" operator="containsText" text="Small">
      <formula>NOT(ISERROR(SEARCH("Small",AE20)))</formula>
    </cfRule>
    <cfRule type="containsText" dxfId="810" priority="785" operator="containsText" text="Mid">
      <formula>NOT(ISERROR(SEARCH("Mid",AE20)))</formula>
    </cfRule>
    <cfRule type="containsText" dxfId="809" priority="786" operator="containsText" text="Large">
      <formula>NOT(ISERROR(SEARCH("Large",AE20)))</formula>
    </cfRule>
  </conditionalFormatting>
  <conditionalFormatting sqref="AE20">
    <cfRule type="containsText" dxfId="808" priority="781" operator="containsText" text="Small">
      <formula>NOT(ISERROR(SEARCH("Small",AE20)))</formula>
    </cfRule>
    <cfRule type="containsText" dxfId="807" priority="782" operator="containsText" text="Mid">
      <formula>NOT(ISERROR(SEARCH("Mid",AE20)))</formula>
    </cfRule>
    <cfRule type="containsText" dxfId="806" priority="783" operator="containsText" text="Large">
      <formula>NOT(ISERROR(SEARCH("Large",AE20)))</formula>
    </cfRule>
  </conditionalFormatting>
  <conditionalFormatting sqref="AE20">
    <cfRule type="containsText" dxfId="805" priority="780" operator="containsText" text="No Cap">
      <formula>NOT(ISERROR(SEARCH("No Cap",AE20)))</formula>
    </cfRule>
  </conditionalFormatting>
  <conditionalFormatting sqref="AE20">
    <cfRule type="containsText" dxfId="804" priority="779" operator="containsText" text="No Cap">
      <formula>NOT(ISERROR(SEARCH("No Cap",AE20)))</formula>
    </cfRule>
  </conditionalFormatting>
  <conditionalFormatting sqref="AE20">
    <cfRule type="containsText" dxfId="803" priority="776" operator="containsText" text="Small">
      <formula>NOT(ISERROR(SEARCH("Small",AE20)))</formula>
    </cfRule>
    <cfRule type="containsText" dxfId="802" priority="777" operator="containsText" text="Mid">
      <formula>NOT(ISERROR(SEARCH("Mid",AE20)))</formula>
    </cfRule>
    <cfRule type="containsText" dxfId="801" priority="778" operator="containsText" text="Large">
      <formula>NOT(ISERROR(SEARCH("Large",AE20)))</formula>
    </cfRule>
  </conditionalFormatting>
  <conditionalFormatting sqref="AE20">
    <cfRule type="containsText" dxfId="800" priority="773" operator="containsText" text="Small">
      <formula>NOT(ISERROR(SEARCH("Small",AE20)))</formula>
    </cfRule>
    <cfRule type="containsText" dxfId="799" priority="774" operator="containsText" text="Mid">
      <formula>NOT(ISERROR(SEARCH("Mid",AE20)))</formula>
    </cfRule>
    <cfRule type="containsText" dxfId="798" priority="775" operator="containsText" text="Large">
      <formula>NOT(ISERROR(SEARCH("Large",AE20)))</formula>
    </cfRule>
  </conditionalFormatting>
  <conditionalFormatting sqref="AE20">
    <cfRule type="containsText" dxfId="797" priority="770" operator="containsText" text="Small">
      <formula>NOT(ISERROR(SEARCH("Small",AE20)))</formula>
    </cfRule>
    <cfRule type="containsText" dxfId="796" priority="771" operator="containsText" text="Mid">
      <formula>NOT(ISERROR(SEARCH("Mid",AE20)))</formula>
    </cfRule>
    <cfRule type="containsText" dxfId="795" priority="772" operator="containsText" text="Large">
      <formula>NOT(ISERROR(SEARCH("Large",AE20)))</formula>
    </cfRule>
  </conditionalFormatting>
  <conditionalFormatting sqref="AE20">
    <cfRule type="containsText" dxfId="794" priority="769" operator="containsText" text="No Cap">
      <formula>NOT(ISERROR(SEARCH("No Cap",AE20)))</formula>
    </cfRule>
  </conditionalFormatting>
  <conditionalFormatting sqref="AE20">
    <cfRule type="containsText" dxfId="793" priority="768" operator="containsText" text="No Cap">
      <formula>NOT(ISERROR(SEARCH("No Cap",AE20)))</formula>
    </cfRule>
  </conditionalFormatting>
  <conditionalFormatting sqref="AE20">
    <cfRule type="containsText" dxfId="792" priority="765" operator="containsText" text="Small">
      <formula>NOT(ISERROR(SEARCH("Small",AE20)))</formula>
    </cfRule>
    <cfRule type="containsText" dxfId="791" priority="766" operator="containsText" text="Mid">
      <formula>NOT(ISERROR(SEARCH("Mid",AE20)))</formula>
    </cfRule>
    <cfRule type="containsText" dxfId="790" priority="767" operator="containsText" text="Large">
      <formula>NOT(ISERROR(SEARCH("Large",AE20)))</formula>
    </cfRule>
  </conditionalFormatting>
  <conditionalFormatting sqref="AE20">
    <cfRule type="containsText" dxfId="789" priority="762" operator="containsText" text="Small">
      <formula>NOT(ISERROR(SEARCH("Small",AE20)))</formula>
    </cfRule>
    <cfRule type="containsText" dxfId="788" priority="763" operator="containsText" text="Mid">
      <formula>NOT(ISERROR(SEARCH("Mid",AE20)))</formula>
    </cfRule>
    <cfRule type="containsText" dxfId="787" priority="764" operator="containsText" text="Large">
      <formula>NOT(ISERROR(SEARCH("Large",AE20)))</formula>
    </cfRule>
  </conditionalFormatting>
  <conditionalFormatting sqref="AE20">
    <cfRule type="containsText" dxfId="786" priority="759" operator="containsText" text="Small">
      <formula>NOT(ISERROR(SEARCH("Small",AE20)))</formula>
    </cfRule>
    <cfRule type="containsText" dxfId="785" priority="760" operator="containsText" text="Mid">
      <formula>NOT(ISERROR(SEARCH("Mid",AE20)))</formula>
    </cfRule>
    <cfRule type="containsText" dxfId="784" priority="761" operator="containsText" text="Large">
      <formula>NOT(ISERROR(SEARCH("Large",AE20)))</formula>
    </cfRule>
  </conditionalFormatting>
  <conditionalFormatting sqref="AE20">
    <cfRule type="containsText" dxfId="783" priority="758" operator="containsText" text="NA">
      <formula>NOT(ISERROR(SEARCH("NA",AE20)))</formula>
    </cfRule>
  </conditionalFormatting>
  <conditionalFormatting sqref="AE20">
    <cfRule type="containsText" dxfId="782" priority="755" operator="containsText" text="Small">
      <formula>NOT(ISERROR(SEARCH("Small",AE20)))</formula>
    </cfRule>
    <cfRule type="containsText" dxfId="781" priority="756" operator="containsText" text="Mid">
      <formula>NOT(ISERROR(SEARCH("Mid",AE20)))</formula>
    </cfRule>
    <cfRule type="containsText" dxfId="780" priority="757" operator="containsText" text="Large">
      <formula>NOT(ISERROR(SEARCH("Large",AE20)))</formula>
    </cfRule>
  </conditionalFormatting>
  <conditionalFormatting sqref="AE20">
    <cfRule type="containsText" dxfId="779" priority="752" operator="containsText" text="Small">
      <formula>NOT(ISERROR(SEARCH("Small",AE20)))</formula>
    </cfRule>
    <cfRule type="containsText" dxfId="778" priority="753" operator="containsText" text="Mid">
      <formula>NOT(ISERROR(SEARCH("Mid",AE20)))</formula>
    </cfRule>
    <cfRule type="containsText" dxfId="777" priority="754" operator="containsText" text="Large">
      <formula>NOT(ISERROR(SEARCH("Large",AE20)))</formula>
    </cfRule>
  </conditionalFormatting>
  <conditionalFormatting sqref="AE20">
    <cfRule type="containsText" dxfId="776" priority="749" operator="containsText" text="Small">
      <formula>NOT(ISERROR(SEARCH("Small",AE20)))</formula>
    </cfRule>
    <cfRule type="containsText" dxfId="775" priority="750" operator="containsText" text="Mid">
      <formula>NOT(ISERROR(SEARCH("Mid",AE20)))</formula>
    </cfRule>
    <cfRule type="containsText" dxfId="774" priority="751" operator="containsText" text="Large">
      <formula>NOT(ISERROR(SEARCH("Large",AE20)))</formula>
    </cfRule>
  </conditionalFormatting>
  <conditionalFormatting sqref="AE20">
    <cfRule type="containsText" dxfId="773" priority="746" operator="containsText" text="Small">
      <formula>NOT(ISERROR(SEARCH("Small",AE20)))</formula>
    </cfRule>
    <cfRule type="containsText" dxfId="772" priority="747" operator="containsText" text="Mid">
      <formula>NOT(ISERROR(SEARCH("Mid",AE20)))</formula>
    </cfRule>
    <cfRule type="containsText" dxfId="771" priority="748" operator="containsText" text="Large">
      <formula>NOT(ISERROR(SEARCH("Large",AE20)))</formula>
    </cfRule>
  </conditionalFormatting>
  <conditionalFormatting sqref="AE20">
    <cfRule type="containsText" dxfId="770" priority="743" operator="containsText" text="Small">
      <formula>NOT(ISERROR(SEARCH("Small",AE20)))</formula>
    </cfRule>
    <cfRule type="containsText" dxfId="769" priority="744" operator="containsText" text="Mid">
      <formula>NOT(ISERROR(SEARCH("Mid",AE20)))</formula>
    </cfRule>
    <cfRule type="containsText" dxfId="768" priority="745" operator="containsText" text="Large">
      <formula>NOT(ISERROR(SEARCH("Large",AE20)))</formula>
    </cfRule>
  </conditionalFormatting>
  <conditionalFormatting sqref="AE20">
    <cfRule type="containsText" dxfId="767" priority="740" operator="containsText" text="Small">
      <formula>NOT(ISERROR(SEARCH("Small",AE20)))</formula>
    </cfRule>
    <cfRule type="containsText" dxfId="766" priority="741" operator="containsText" text="Mid">
      <formula>NOT(ISERROR(SEARCH("Mid",AE20)))</formula>
    </cfRule>
    <cfRule type="containsText" dxfId="765" priority="742" operator="containsText" text="Large">
      <formula>NOT(ISERROR(SEARCH("Large",AE20)))</formula>
    </cfRule>
  </conditionalFormatting>
  <conditionalFormatting sqref="AE20">
    <cfRule type="containsText" dxfId="764" priority="737" operator="containsText" text="Small">
      <formula>NOT(ISERROR(SEARCH("Small",AE20)))</formula>
    </cfRule>
    <cfRule type="containsText" dxfId="763" priority="738" operator="containsText" text="Mid">
      <formula>NOT(ISERROR(SEARCH("Mid",AE20)))</formula>
    </cfRule>
    <cfRule type="containsText" dxfId="762" priority="739" operator="containsText" text="Large">
      <formula>NOT(ISERROR(SEARCH("Large",AE20)))</formula>
    </cfRule>
  </conditionalFormatting>
  <conditionalFormatting sqref="AE20">
    <cfRule type="containsText" dxfId="761" priority="734" operator="containsText" text="Small">
      <formula>NOT(ISERROR(SEARCH("Small",AE20)))</formula>
    </cfRule>
    <cfRule type="containsText" dxfId="760" priority="735" operator="containsText" text="Mid">
      <formula>NOT(ISERROR(SEARCH("Mid",AE20)))</formula>
    </cfRule>
    <cfRule type="containsText" dxfId="759" priority="736" operator="containsText" text="Large">
      <formula>NOT(ISERROR(SEARCH("Large",AE20)))</formula>
    </cfRule>
  </conditionalFormatting>
  <conditionalFormatting sqref="AE20">
    <cfRule type="containsText" dxfId="758" priority="731" operator="containsText" text="Small">
      <formula>NOT(ISERROR(SEARCH("Small",AE20)))</formula>
    </cfRule>
    <cfRule type="containsText" dxfId="757" priority="732" operator="containsText" text="Mid">
      <formula>NOT(ISERROR(SEARCH("Mid",AE20)))</formula>
    </cfRule>
    <cfRule type="containsText" dxfId="756" priority="733" operator="containsText" text="Large">
      <formula>NOT(ISERROR(SEARCH("Large",AE20)))</formula>
    </cfRule>
  </conditionalFormatting>
  <conditionalFormatting sqref="AE20">
    <cfRule type="containsText" dxfId="755" priority="728" operator="containsText" text="Small">
      <formula>NOT(ISERROR(SEARCH("Small",AE20)))</formula>
    </cfRule>
    <cfRule type="containsText" dxfId="754" priority="729" operator="containsText" text="Mid">
      <formula>NOT(ISERROR(SEARCH("Mid",AE20)))</formula>
    </cfRule>
    <cfRule type="containsText" dxfId="753" priority="730" operator="containsText" text="Large">
      <formula>NOT(ISERROR(SEARCH("Large",AE20)))</formula>
    </cfRule>
  </conditionalFormatting>
  <conditionalFormatting sqref="AE20">
    <cfRule type="containsText" dxfId="752" priority="725" operator="containsText" text="Small">
      <formula>NOT(ISERROR(SEARCH("Small",AE20)))</formula>
    </cfRule>
    <cfRule type="containsText" dxfId="751" priority="726" operator="containsText" text="Mid">
      <formula>NOT(ISERROR(SEARCH("Mid",AE20)))</formula>
    </cfRule>
    <cfRule type="containsText" dxfId="750" priority="727" operator="containsText" text="Large">
      <formula>NOT(ISERROR(SEARCH("Large",AE20)))</formula>
    </cfRule>
  </conditionalFormatting>
  <conditionalFormatting sqref="AE20">
    <cfRule type="containsText" dxfId="749" priority="722" operator="containsText" text="Small">
      <formula>NOT(ISERROR(SEARCH("Small",AE20)))</formula>
    </cfRule>
    <cfRule type="containsText" dxfId="748" priority="723" operator="containsText" text="Mid">
      <formula>NOT(ISERROR(SEARCH("Mid",AE20)))</formula>
    </cfRule>
    <cfRule type="containsText" dxfId="747" priority="724" operator="containsText" text="Large">
      <formula>NOT(ISERROR(SEARCH("Large",AE20)))</formula>
    </cfRule>
  </conditionalFormatting>
  <conditionalFormatting sqref="AE20">
    <cfRule type="containsText" dxfId="746" priority="719" operator="containsText" text="Small">
      <formula>NOT(ISERROR(SEARCH("Small",AE20)))</formula>
    </cfRule>
    <cfRule type="containsText" dxfId="745" priority="720" operator="containsText" text="Mid">
      <formula>NOT(ISERROR(SEARCH("Mid",AE20)))</formula>
    </cfRule>
    <cfRule type="containsText" dxfId="744" priority="721" operator="containsText" text="Large">
      <formula>NOT(ISERROR(SEARCH("Large",AE20)))</formula>
    </cfRule>
  </conditionalFormatting>
  <conditionalFormatting sqref="AE20">
    <cfRule type="containsText" dxfId="743" priority="716" operator="containsText" text="Small">
      <formula>NOT(ISERROR(SEARCH("Small",AE20)))</formula>
    </cfRule>
    <cfRule type="containsText" dxfId="742" priority="717" operator="containsText" text="Mid">
      <formula>NOT(ISERROR(SEARCH("Mid",AE20)))</formula>
    </cfRule>
    <cfRule type="containsText" dxfId="741" priority="718" operator="containsText" text="Large">
      <formula>NOT(ISERROR(SEARCH("Large",AE20)))</formula>
    </cfRule>
  </conditionalFormatting>
  <conditionalFormatting sqref="AE20">
    <cfRule type="containsText" dxfId="740" priority="713" operator="containsText" text="Small">
      <formula>NOT(ISERROR(SEARCH("Small",AE20)))</formula>
    </cfRule>
    <cfRule type="containsText" dxfId="739" priority="714" operator="containsText" text="Mid">
      <formula>NOT(ISERROR(SEARCH("Mid",AE20)))</formula>
    </cfRule>
    <cfRule type="containsText" dxfId="738" priority="715" operator="containsText" text="Large">
      <formula>NOT(ISERROR(SEARCH("Large",AE20)))</formula>
    </cfRule>
  </conditionalFormatting>
  <conditionalFormatting sqref="AE20">
    <cfRule type="containsText" dxfId="737" priority="710" operator="containsText" text="Small">
      <formula>NOT(ISERROR(SEARCH("Small",AE20)))</formula>
    </cfRule>
    <cfRule type="containsText" dxfId="736" priority="711" operator="containsText" text="Mid">
      <formula>NOT(ISERROR(SEARCH("Mid",AE20)))</formula>
    </cfRule>
    <cfRule type="containsText" dxfId="735" priority="712" operator="containsText" text="Large">
      <formula>NOT(ISERROR(SEARCH("Large",AE20)))</formula>
    </cfRule>
  </conditionalFormatting>
  <conditionalFormatting sqref="AE20">
    <cfRule type="containsText" dxfId="734" priority="707" operator="containsText" text="Small">
      <formula>NOT(ISERROR(SEARCH("Small",AE20)))</formula>
    </cfRule>
    <cfRule type="containsText" dxfId="733" priority="708" operator="containsText" text="Mid">
      <formula>NOT(ISERROR(SEARCH("Mid",AE20)))</formula>
    </cfRule>
    <cfRule type="containsText" dxfId="732" priority="709" operator="containsText" text="Large">
      <formula>NOT(ISERROR(SEARCH("Large",AE20)))</formula>
    </cfRule>
  </conditionalFormatting>
  <conditionalFormatting sqref="AE20">
    <cfRule type="containsText" dxfId="731" priority="704" operator="containsText" text="Small">
      <formula>NOT(ISERROR(SEARCH("Small",AE20)))</formula>
    </cfRule>
    <cfRule type="containsText" dxfId="730" priority="705" operator="containsText" text="Mid">
      <formula>NOT(ISERROR(SEARCH("Mid",AE20)))</formula>
    </cfRule>
    <cfRule type="containsText" dxfId="729" priority="706" operator="containsText" text="Large">
      <formula>NOT(ISERROR(SEARCH("Large",AE20)))</formula>
    </cfRule>
  </conditionalFormatting>
  <conditionalFormatting sqref="AE20">
    <cfRule type="containsText" dxfId="728" priority="701" operator="containsText" text="Small">
      <formula>NOT(ISERROR(SEARCH("Small",AE20)))</formula>
    </cfRule>
    <cfRule type="containsText" dxfId="727" priority="702" operator="containsText" text="Mid">
      <formula>NOT(ISERROR(SEARCH("Mid",AE20)))</formula>
    </cfRule>
    <cfRule type="containsText" dxfId="726" priority="703" operator="containsText" text="Large">
      <formula>NOT(ISERROR(SEARCH("Large",AE20)))</formula>
    </cfRule>
  </conditionalFormatting>
  <conditionalFormatting sqref="AE20">
    <cfRule type="containsText" dxfId="725" priority="698" operator="containsText" text="Small">
      <formula>NOT(ISERROR(SEARCH("Small",AE20)))</formula>
    </cfRule>
    <cfRule type="containsText" dxfId="724" priority="699" operator="containsText" text="Mid">
      <formula>NOT(ISERROR(SEARCH("Mid",AE20)))</formula>
    </cfRule>
    <cfRule type="containsText" dxfId="723" priority="700" operator="containsText" text="Large">
      <formula>NOT(ISERROR(SEARCH("Large",AE20)))</formula>
    </cfRule>
  </conditionalFormatting>
  <conditionalFormatting sqref="AE20">
    <cfRule type="containsText" dxfId="722" priority="695" operator="containsText" text="Small">
      <formula>NOT(ISERROR(SEARCH("Small",AE20)))</formula>
    </cfRule>
    <cfRule type="containsText" dxfId="721" priority="696" operator="containsText" text="Mid">
      <formula>NOT(ISERROR(SEARCH("Mid",AE20)))</formula>
    </cfRule>
    <cfRule type="containsText" dxfId="720" priority="697" operator="containsText" text="Large">
      <formula>NOT(ISERROR(SEARCH("Large",AE20)))</formula>
    </cfRule>
  </conditionalFormatting>
  <conditionalFormatting sqref="AE20">
    <cfRule type="containsText" dxfId="719" priority="692" operator="containsText" text="Small">
      <formula>NOT(ISERROR(SEARCH("Small",AE20)))</formula>
    </cfRule>
    <cfRule type="containsText" dxfId="718" priority="693" operator="containsText" text="Mid">
      <formula>NOT(ISERROR(SEARCH("Mid",AE20)))</formula>
    </cfRule>
    <cfRule type="containsText" dxfId="717" priority="694" operator="containsText" text="Large">
      <formula>NOT(ISERROR(SEARCH("Large",AE20)))</formula>
    </cfRule>
  </conditionalFormatting>
  <conditionalFormatting sqref="AE20">
    <cfRule type="containsText" dxfId="716" priority="689" operator="containsText" text="Small">
      <formula>NOT(ISERROR(SEARCH("Small",AE20)))</formula>
    </cfRule>
    <cfRule type="containsText" dxfId="715" priority="690" operator="containsText" text="Mid">
      <formula>NOT(ISERROR(SEARCH("Mid",AE20)))</formula>
    </cfRule>
    <cfRule type="containsText" dxfId="714" priority="691" operator="containsText" text="Large">
      <formula>NOT(ISERROR(SEARCH("Large",AE20)))</formula>
    </cfRule>
  </conditionalFormatting>
  <conditionalFormatting sqref="AE20">
    <cfRule type="containsText" dxfId="713" priority="686" operator="containsText" text="Small">
      <formula>NOT(ISERROR(SEARCH("Small",AE20)))</formula>
    </cfRule>
    <cfRule type="containsText" dxfId="712" priority="687" operator="containsText" text="Mid">
      <formula>NOT(ISERROR(SEARCH("Mid",AE20)))</formula>
    </cfRule>
    <cfRule type="containsText" dxfId="711" priority="688" operator="containsText" text="Large">
      <formula>NOT(ISERROR(SEARCH("Large",AE20)))</formula>
    </cfRule>
  </conditionalFormatting>
  <conditionalFormatting sqref="AE20">
    <cfRule type="containsText" dxfId="710" priority="683" operator="containsText" text="Small">
      <formula>NOT(ISERROR(SEARCH("Small",AE20)))</formula>
    </cfRule>
    <cfRule type="containsText" dxfId="709" priority="684" operator="containsText" text="Mid">
      <formula>NOT(ISERROR(SEARCH("Mid",AE20)))</formula>
    </cfRule>
    <cfRule type="containsText" dxfId="708" priority="685" operator="containsText" text="Large">
      <formula>NOT(ISERROR(SEARCH("Large",AE20)))</formula>
    </cfRule>
  </conditionalFormatting>
  <conditionalFormatting sqref="AE20">
    <cfRule type="containsText" dxfId="707" priority="680" operator="containsText" text="Small">
      <formula>NOT(ISERROR(SEARCH("Small",AE20)))</formula>
    </cfRule>
    <cfRule type="containsText" dxfId="706" priority="681" operator="containsText" text="Mid">
      <formula>NOT(ISERROR(SEARCH("Mid",AE20)))</formula>
    </cfRule>
    <cfRule type="containsText" dxfId="705" priority="682" operator="containsText" text="Large">
      <formula>NOT(ISERROR(SEARCH("Large",AE20)))</formula>
    </cfRule>
  </conditionalFormatting>
  <conditionalFormatting sqref="AE20">
    <cfRule type="containsText" dxfId="704" priority="677" operator="containsText" text="Small">
      <formula>NOT(ISERROR(SEARCH("Small",AE20)))</formula>
    </cfRule>
    <cfRule type="containsText" dxfId="703" priority="678" operator="containsText" text="Mid">
      <formula>NOT(ISERROR(SEARCH("Mid",AE20)))</formula>
    </cfRule>
    <cfRule type="containsText" dxfId="702" priority="679" operator="containsText" text="Large">
      <formula>NOT(ISERROR(SEARCH("Large",AE20)))</formula>
    </cfRule>
  </conditionalFormatting>
  <conditionalFormatting sqref="AE20">
    <cfRule type="containsText" dxfId="701" priority="676" operator="containsText" text="No Cap">
      <formula>NOT(ISERROR(SEARCH("No Cap",AE20)))</formula>
    </cfRule>
  </conditionalFormatting>
  <conditionalFormatting sqref="AE20">
    <cfRule type="containsText" dxfId="700" priority="675" operator="containsText" text="No Cap">
      <formula>NOT(ISERROR(SEARCH("No Cap",AE20)))</formula>
    </cfRule>
  </conditionalFormatting>
  <conditionalFormatting sqref="AE20">
    <cfRule type="containsText" dxfId="699" priority="672" operator="containsText" text="Small">
      <formula>NOT(ISERROR(SEARCH("Small",AE20)))</formula>
    </cfRule>
    <cfRule type="containsText" dxfId="698" priority="673" operator="containsText" text="Mid">
      <formula>NOT(ISERROR(SEARCH("Mid",AE20)))</formula>
    </cfRule>
    <cfRule type="containsText" dxfId="697" priority="674" operator="containsText" text="Large">
      <formula>NOT(ISERROR(SEARCH("Large",AE20)))</formula>
    </cfRule>
  </conditionalFormatting>
  <conditionalFormatting sqref="AE20">
    <cfRule type="containsText" dxfId="696" priority="669" operator="containsText" text="Small">
      <formula>NOT(ISERROR(SEARCH("Small",AE20)))</formula>
    </cfRule>
    <cfRule type="containsText" dxfId="695" priority="670" operator="containsText" text="Mid">
      <formula>NOT(ISERROR(SEARCH("Mid",AE20)))</formula>
    </cfRule>
    <cfRule type="containsText" dxfId="694" priority="671" operator="containsText" text="Large">
      <formula>NOT(ISERROR(SEARCH("Large",AE20)))</formula>
    </cfRule>
  </conditionalFormatting>
  <conditionalFormatting sqref="AE20">
    <cfRule type="containsText" dxfId="693" priority="666" operator="containsText" text="Small">
      <formula>NOT(ISERROR(SEARCH("Small",AE20)))</formula>
    </cfRule>
    <cfRule type="containsText" dxfId="692" priority="667" operator="containsText" text="Mid">
      <formula>NOT(ISERROR(SEARCH("Mid",AE20)))</formula>
    </cfRule>
    <cfRule type="containsText" dxfId="691" priority="668" operator="containsText" text="Large">
      <formula>NOT(ISERROR(SEARCH("Large",AE20)))</formula>
    </cfRule>
  </conditionalFormatting>
  <conditionalFormatting sqref="AE20">
    <cfRule type="containsText" dxfId="690" priority="665" operator="containsText" text="NA">
      <formula>NOT(ISERROR(SEARCH("NA",AE20)))</formula>
    </cfRule>
  </conditionalFormatting>
  <conditionalFormatting sqref="AE20">
    <cfRule type="containsText" dxfId="689" priority="662" operator="containsText" text="Small">
      <formula>NOT(ISERROR(SEARCH("Small",AE20)))</formula>
    </cfRule>
    <cfRule type="containsText" dxfId="688" priority="663" operator="containsText" text="Mid">
      <formula>NOT(ISERROR(SEARCH("Mid",AE20)))</formula>
    </cfRule>
    <cfRule type="containsText" dxfId="687" priority="664" operator="containsText" text="Large">
      <formula>NOT(ISERROR(SEARCH("Large",AE20)))</formula>
    </cfRule>
  </conditionalFormatting>
  <conditionalFormatting sqref="AE20">
    <cfRule type="containsText" dxfId="686" priority="659" operator="containsText" text="Small">
      <formula>NOT(ISERROR(SEARCH("Small",AE20)))</formula>
    </cfRule>
    <cfRule type="containsText" dxfId="685" priority="660" operator="containsText" text="Mid">
      <formula>NOT(ISERROR(SEARCH("Mid",AE20)))</formula>
    </cfRule>
    <cfRule type="containsText" dxfId="684" priority="661" operator="containsText" text="Large">
      <formula>NOT(ISERROR(SEARCH("Large",AE20)))</formula>
    </cfRule>
  </conditionalFormatting>
  <conditionalFormatting sqref="AE20">
    <cfRule type="containsText" dxfId="683" priority="656" operator="containsText" text="Small">
      <formula>NOT(ISERROR(SEARCH("Small",AE20)))</formula>
    </cfRule>
    <cfRule type="containsText" dxfId="682" priority="657" operator="containsText" text="Mid">
      <formula>NOT(ISERROR(SEARCH("Mid",AE20)))</formula>
    </cfRule>
    <cfRule type="containsText" dxfId="681" priority="658" operator="containsText" text="Large">
      <formula>NOT(ISERROR(SEARCH("Large",AE20)))</formula>
    </cfRule>
  </conditionalFormatting>
  <conditionalFormatting sqref="AE20">
    <cfRule type="containsText" dxfId="680" priority="653" operator="containsText" text="Small">
      <formula>NOT(ISERROR(SEARCH("Small",AE20)))</formula>
    </cfRule>
    <cfRule type="containsText" dxfId="679" priority="654" operator="containsText" text="Mid">
      <formula>NOT(ISERROR(SEARCH("Mid",AE20)))</formula>
    </cfRule>
    <cfRule type="containsText" dxfId="678" priority="655" operator="containsText" text="Large">
      <formula>NOT(ISERROR(SEARCH("Large",AE20)))</formula>
    </cfRule>
  </conditionalFormatting>
  <conditionalFormatting sqref="AE20">
    <cfRule type="containsText" dxfId="677" priority="650" operator="containsText" text="Small">
      <formula>NOT(ISERROR(SEARCH("Small",AE20)))</formula>
    </cfRule>
    <cfRule type="containsText" dxfId="676" priority="651" operator="containsText" text="Mid">
      <formula>NOT(ISERROR(SEARCH("Mid",AE20)))</formula>
    </cfRule>
    <cfRule type="containsText" dxfId="675" priority="652" operator="containsText" text="Large">
      <formula>NOT(ISERROR(SEARCH("Large",AE20)))</formula>
    </cfRule>
  </conditionalFormatting>
  <conditionalFormatting sqref="AE20">
    <cfRule type="containsText" dxfId="674" priority="647" operator="containsText" text="Small">
      <formula>NOT(ISERROR(SEARCH("Small",AE20)))</formula>
    </cfRule>
    <cfRule type="containsText" dxfId="673" priority="648" operator="containsText" text="Mid">
      <formula>NOT(ISERROR(SEARCH("Mid",AE20)))</formula>
    </cfRule>
    <cfRule type="containsText" dxfId="672" priority="649" operator="containsText" text="Large">
      <formula>NOT(ISERROR(SEARCH("Large",AE20)))</formula>
    </cfRule>
  </conditionalFormatting>
  <conditionalFormatting sqref="AE20">
    <cfRule type="containsText" dxfId="671" priority="644" operator="containsText" text="Small">
      <formula>NOT(ISERROR(SEARCH("Small",AE20)))</formula>
    </cfRule>
    <cfRule type="containsText" dxfId="670" priority="645" operator="containsText" text="Mid">
      <formula>NOT(ISERROR(SEARCH("Mid",AE20)))</formula>
    </cfRule>
    <cfRule type="containsText" dxfId="669" priority="646" operator="containsText" text="Large">
      <formula>NOT(ISERROR(SEARCH("Large",AE20)))</formula>
    </cfRule>
  </conditionalFormatting>
  <conditionalFormatting sqref="AE20">
    <cfRule type="containsText" dxfId="668" priority="641" operator="containsText" text="Small">
      <formula>NOT(ISERROR(SEARCH("Small",AE20)))</formula>
    </cfRule>
    <cfRule type="containsText" dxfId="667" priority="642" operator="containsText" text="Mid">
      <formula>NOT(ISERROR(SEARCH("Mid",AE20)))</formula>
    </cfRule>
    <cfRule type="containsText" dxfId="666" priority="643" operator="containsText" text="Large">
      <formula>NOT(ISERROR(SEARCH("Large",AE20)))</formula>
    </cfRule>
  </conditionalFormatting>
  <conditionalFormatting sqref="AE20">
    <cfRule type="containsText" dxfId="665" priority="638" operator="containsText" text="Small">
      <formula>NOT(ISERROR(SEARCH("Small",AE20)))</formula>
    </cfRule>
    <cfRule type="containsText" dxfId="664" priority="639" operator="containsText" text="Mid">
      <formula>NOT(ISERROR(SEARCH("Mid",AE20)))</formula>
    </cfRule>
    <cfRule type="containsText" dxfId="663" priority="640" operator="containsText" text="Large">
      <formula>NOT(ISERROR(SEARCH("Large",AE20)))</formula>
    </cfRule>
  </conditionalFormatting>
  <conditionalFormatting sqref="AE20">
    <cfRule type="containsText" dxfId="662" priority="635" operator="containsText" text="Small">
      <formula>NOT(ISERROR(SEARCH("Small",AE20)))</formula>
    </cfRule>
    <cfRule type="containsText" dxfId="661" priority="636" operator="containsText" text="Mid">
      <formula>NOT(ISERROR(SEARCH("Mid",AE20)))</formula>
    </cfRule>
    <cfRule type="containsText" dxfId="660" priority="637" operator="containsText" text="Large">
      <formula>NOT(ISERROR(SEARCH("Large",AE20)))</formula>
    </cfRule>
  </conditionalFormatting>
  <conditionalFormatting sqref="AE20">
    <cfRule type="containsText" dxfId="659" priority="632" operator="containsText" text="Small">
      <formula>NOT(ISERROR(SEARCH("Small",AE20)))</formula>
    </cfRule>
    <cfRule type="containsText" dxfId="658" priority="633" operator="containsText" text="Mid">
      <formula>NOT(ISERROR(SEARCH("Mid",AE20)))</formula>
    </cfRule>
    <cfRule type="containsText" dxfId="657" priority="634" operator="containsText" text="Large">
      <formula>NOT(ISERROR(SEARCH("Large",AE20)))</formula>
    </cfRule>
  </conditionalFormatting>
  <conditionalFormatting sqref="AE20">
    <cfRule type="containsText" dxfId="656" priority="629" operator="containsText" text="Small">
      <formula>NOT(ISERROR(SEARCH("Small",AE20)))</formula>
    </cfRule>
    <cfRule type="containsText" dxfId="655" priority="630" operator="containsText" text="Mid">
      <formula>NOT(ISERROR(SEARCH("Mid",AE20)))</formula>
    </cfRule>
    <cfRule type="containsText" dxfId="654" priority="631" operator="containsText" text="Large">
      <formula>NOT(ISERROR(SEARCH("Large",AE20)))</formula>
    </cfRule>
  </conditionalFormatting>
  <conditionalFormatting sqref="AE20">
    <cfRule type="containsText" dxfId="653" priority="626" operator="containsText" text="Small">
      <formula>NOT(ISERROR(SEARCH("Small",AE20)))</formula>
    </cfRule>
    <cfRule type="containsText" dxfId="652" priority="627" operator="containsText" text="Mid">
      <formula>NOT(ISERROR(SEARCH("Mid",AE20)))</formula>
    </cfRule>
    <cfRule type="containsText" dxfId="651" priority="628" operator="containsText" text="Large">
      <formula>NOT(ISERROR(SEARCH("Large",AE20)))</formula>
    </cfRule>
  </conditionalFormatting>
  <conditionalFormatting sqref="AE20">
    <cfRule type="containsText" dxfId="650" priority="623" operator="containsText" text="Small">
      <formula>NOT(ISERROR(SEARCH("Small",AE20)))</formula>
    </cfRule>
    <cfRule type="containsText" dxfId="649" priority="624" operator="containsText" text="Mid">
      <formula>NOT(ISERROR(SEARCH("Mid",AE20)))</formula>
    </cfRule>
    <cfRule type="containsText" dxfId="648" priority="625" operator="containsText" text="Large">
      <formula>NOT(ISERROR(SEARCH("Large",AE20)))</formula>
    </cfRule>
  </conditionalFormatting>
  <conditionalFormatting sqref="AE20">
    <cfRule type="containsText" dxfId="647" priority="620" operator="containsText" text="Small">
      <formula>NOT(ISERROR(SEARCH("Small",AE20)))</formula>
    </cfRule>
    <cfRule type="containsText" dxfId="646" priority="621" operator="containsText" text="Mid">
      <formula>NOT(ISERROR(SEARCH("Mid",AE20)))</formula>
    </cfRule>
    <cfRule type="containsText" dxfId="645" priority="622" operator="containsText" text="Large">
      <formula>NOT(ISERROR(SEARCH("Large",AE20)))</formula>
    </cfRule>
  </conditionalFormatting>
  <conditionalFormatting sqref="AE20">
    <cfRule type="containsText" dxfId="644" priority="617" operator="containsText" text="Small">
      <formula>NOT(ISERROR(SEARCH("Small",AE20)))</formula>
    </cfRule>
    <cfRule type="containsText" dxfId="643" priority="618" operator="containsText" text="Mid">
      <formula>NOT(ISERROR(SEARCH("Mid",AE20)))</formula>
    </cfRule>
    <cfRule type="containsText" dxfId="642" priority="619" operator="containsText" text="Large">
      <formula>NOT(ISERROR(SEARCH("Large",AE20)))</formula>
    </cfRule>
  </conditionalFormatting>
  <conditionalFormatting sqref="AE20">
    <cfRule type="containsText" dxfId="641" priority="614" operator="containsText" text="Small">
      <formula>NOT(ISERROR(SEARCH("Small",AE20)))</formula>
    </cfRule>
    <cfRule type="containsText" dxfId="640" priority="615" operator="containsText" text="Mid">
      <formula>NOT(ISERROR(SEARCH("Mid",AE20)))</formula>
    </cfRule>
    <cfRule type="containsText" dxfId="639" priority="616" operator="containsText" text="Large">
      <formula>NOT(ISERROR(SEARCH("Large",AE20)))</formula>
    </cfRule>
  </conditionalFormatting>
  <conditionalFormatting sqref="AE20">
    <cfRule type="containsText" dxfId="638" priority="611" operator="containsText" text="Small">
      <formula>NOT(ISERROR(SEARCH("Small",AE20)))</formula>
    </cfRule>
    <cfRule type="containsText" dxfId="637" priority="612" operator="containsText" text="Mid">
      <formula>NOT(ISERROR(SEARCH("Mid",AE20)))</formula>
    </cfRule>
    <cfRule type="containsText" dxfId="636" priority="613" operator="containsText" text="Large">
      <formula>NOT(ISERROR(SEARCH("Large",AE20)))</formula>
    </cfRule>
  </conditionalFormatting>
  <conditionalFormatting sqref="AE20">
    <cfRule type="containsText" dxfId="635" priority="608" operator="containsText" text="Small">
      <formula>NOT(ISERROR(SEARCH("Small",AE20)))</formula>
    </cfRule>
    <cfRule type="containsText" dxfId="634" priority="609" operator="containsText" text="Mid">
      <formula>NOT(ISERROR(SEARCH("Mid",AE20)))</formula>
    </cfRule>
    <cfRule type="containsText" dxfId="633" priority="610" operator="containsText" text="Large">
      <formula>NOT(ISERROR(SEARCH("Large",AE20)))</formula>
    </cfRule>
  </conditionalFormatting>
  <conditionalFormatting sqref="AE20">
    <cfRule type="containsText" dxfId="632" priority="605" operator="containsText" text="Small">
      <formula>NOT(ISERROR(SEARCH("Small",AE20)))</formula>
    </cfRule>
    <cfRule type="containsText" dxfId="631" priority="606" operator="containsText" text="Mid">
      <formula>NOT(ISERROR(SEARCH("Mid",AE20)))</formula>
    </cfRule>
    <cfRule type="containsText" dxfId="630" priority="607" operator="containsText" text="Large">
      <formula>NOT(ISERROR(SEARCH("Large",AE20)))</formula>
    </cfRule>
  </conditionalFormatting>
  <conditionalFormatting sqref="AE20">
    <cfRule type="containsText" dxfId="629" priority="602" operator="containsText" text="Small">
      <formula>NOT(ISERROR(SEARCH("Small",AE20)))</formula>
    </cfRule>
    <cfRule type="containsText" dxfId="628" priority="603" operator="containsText" text="Mid">
      <formula>NOT(ISERROR(SEARCH("Mid",AE20)))</formula>
    </cfRule>
    <cfRule type="containsText" dxfId="627" priority="604" operator="containsText" text="Large">
      <formula>NOT(ISERROR(SEARCH("Large",AE20)))</formula>
    </cfRule>
  </conditionalFormatting>
  <conditionalFormatting sqref="AE20">
    <cfRule type="containsText" dxfId="626" priority="599" operator="containsText" text="Small">
      <formula>NOT(ISERROR(SEARCH("Small",AE20)))</formula>
    </cfRule>
    <cfRule type="containsText" dxfId="625" priority="600" operator="containsText" text="Mid">
      <formula>NOT(ISERROR(SEARCH("Mid",AE20)))</formula>
    </cfRule>
    <cfRule type="containsText" dxfId="624" priority="601" operator="containsText" text="Large">
      <formula>NOT(ISERROR(SEARCH("Large",AE20)))</formula>
    </cfRule>
  </conditionalFormatting>
  <conditionalFormatting sqref="AE20">
    <cfRule type="containsText" dxfId="623" priority="596" operator="containsText" text="Small">
      <formula>NOT(ISERROR(SEARCH("Small",AE20)))</formula>
    </cfRule>
    <cfRule type="containsText" dxfId="622" priority="597" operator="containsText" text="Mid">
      <formula>NOT(ISERROR(SEARCH("Mid",AE20)))</formula>
    </cfRule>
    <cfRule type="containsText" dxfId="621" priority="598" operator="containsText" text="Large">
      <formula>NOT(ISERROR(SEARCH("Large",AE20)))</formula>
    </cfRule>
  </conditionalFormatting>
  <conditionalFormatting sqref="AE20">
    <cfRule type="containsText" dxfId="620" priority="593" operator="containsText" text="Small">
      <formula>NOT(ISERROR(SEARCH("Small",AE20)))</formula>
    </cfRule>
    <cfRule type="containsText" dxfId="619" priority="594" operator="containsText" text="Mid">
      <formula>NOT(ISERROR(SEARCH("Mid",AE20)))</formula>
    </cfRule>
    <cfRule type="containsText" dxfId="618" priority="595" operator="containsText" text="Large">
      <formula>NOT(ISERROR(SEARCH("Large",AE20)))</formula>
    </cfRule>
  </conditionalFormatting>
  <conditionalFormatting sqref="AE20">
    <cfRule type="containsText" dxfId="617" priority="590" operator="containsText" text="Small">
      <formula>NOT(ISERROR(SEARCH("Small",AE20)))</formula>
    </cfRule>
    <cfRule type="containsText" dxfId="616" priority="591" operator="containsText" text="Mid">
      <formula>NOT(ISERROR(SEARCH("Mid",AE20)))</formula>
    </cfRule>
    <cfRule type="containsText" dxfId="615" priority="592" operator="containsText" text="Large">
      <formula>NOT(ISERROR(SEARCH("Large",AE20)))</formula>
    </cfRule>
  </conditionalFormatting>
  <conditionalFormatting sqref="AE20">
    <cfRule type="containsText" dxfId="614" priority="587" operator="containsText" text="Small">
      <formula>NOT(ISERROR(SEARCH("Small",AE20)))</formula>
    </cfRule>
    <cfRule type="containsText" dxfId="613" priority="588" operator="containsText" text="Mid">
      <formula>NOT(ISERROR(SEARCH("Mid",AE20)))</formula>
    </cfRule>
    <cfRule type="containsText" dxfId="612" priority="589" operator="containsText" text="Large">
      <formula>NOT(ISERROR(SEARCH("Large",AE20)))</formula>
    </cfRule>
  </conditionalFormatting>
  <conditionalFormatting sqref="AE20">
    <cfRule type="containsText" dxfId="611" priority="584" operator="containsText" text="Small">
      <formula>NOT(ISERROR(SEARCH("Small",AE20)))</formula>
    </cfRule>
    <cfRule type="containsText" dxfId="610" priority="585" operator="containsText" text="Mid">
      <formula>NOT(ISERROR(SEARCH("Mid",AE20)))</formula>
    </cfRule>
    <cfRule type="containsText" dxfId="609" priority="586" operator="containsText" text="Large">
      <formula>NOT(ISERROR(SEARCH("Large",AE20)))</formula>
    </cfRule>
  </conditionalFormatting>
  <conditionalFormatting sqref="AE20">
    <cfRule type="containsText" dxfId="608" priority="581" operator="containsText" text="Small">
      <formula>NOT(ISERROR(SEARCH("Small",AE20)))</formula>
    </cfRule>
    <cfRule type="containsText" dxfId="607" priority="582" operator="containsText" text="Mid">
      <formula>NOT(ISERROR(SEARCH("Mid",AE20)))</formula>
    </cfRule>
    <cfRule type="containsText" dxfId="606" priority="583" operator="containsText" text="Large">
      <formula>NOT(ISERROR(SEARCH("Large",AE20)))</formula>
    </cfRule>
  </conditionalFormatting>
  <conditionalFormatting sqref="AE20">
    <cfRule type="containsText" dxfId="605" priority="578" operator="containsText" text="Small">
      <formula>NOT(ISERROR(SEARCH("Small",AE20)))</formula>
    </cfRule>
    <cfRule type="containsText" dxfId="604" priority="579" operator="containsText" text="Mid">
      <formula>NOT(ISERROR(SEARCH("Mid",AE20)))</formula>
    </cfRule>
    <cfRule type="containsText" dxfId="603" priority="580" operator="containsText" text="Large">
      <formula>NOT(ISERROR(SEARCH("Large",AE20)))</formula>
    </cfRule>
  </conditionalFormatting>
  <conditionalFormatting sqref="AE20">
    <cfRule type="containsText" dxfId="602" priority="575" operator="containsText" text="Small">
      <formula>NOT(ISERROR(SEARCH("Small",AE20)))</formula>
    </cfRule>
    <cfRule type="containsText" dxfId="601" priority="576" operator="containsText" text="Mid">
      <formula>NOT(ISERROR(SEARCH("Mid",AE20)))</formula>
    </cfRule>
    <cfRule type="containsText" dxfId="600" priority="577" operator="containsText" text="Large">
      <formula>NOT(ISERROR(SEARCH("Large",AE20)))</formula>
    </cfRule>
  </conditionalFormatting>
  <conditionalFormatting sqref="AE20">
    <cfRule type="containsText" dxfId="599" priority="572" operator="containsText" text="Small">
      <formula>NOT(ISERROR(SEARCH("Small",AE20)))</formula>
    </cfRule>
    <cfRule type="containsText" dxfId="598" priority="573" operator="containsText" text="Mid">
      <formula>NOT(ISERROR(SEARCH("Mid",AE20)))</formula>
    </cfRule>
    <cfRule type="containsText" dxfId="597" priority="574" operator="containsText" text="Large">
      <formula>NOT(ISERROR(SEARCH("Large",AE20)))</formula>
    </cfRule>
  </conditionalFormatting>
  <conditionalFormatting sqref="AE20">
    <cfRule type="containsText" dxfId="596" priority="569" operator="containsText" text="Small">
      <formula>NOT(ISERROR(SEARCH("Small",AE20)))</formula>
    </cfRule>
    <cfRule type="containsText" dxfId="595" priority="570" operator="containsText" text="Mid">
      <formula>NOT(ISERROR(SEARCH("Mid",AE20)))</formula>
    </cfRule>
    <cfRule type="containsText" dxfId="594" priority="571" operator="containsText" text="Large">
      <formula>NOT(ISERROR(SEARCH("Large",AE20)))</formula>
    </cfRule>
  </conditionalFormatting>
  <conditionalFormatting sqref="AE20">
    <cfRule type="containsText" dxfId="593" priority="566" operator="containsText" text="Small">
      <formula>NOT(ISERROR(SEARCH("Small",AE20)))</formula>
    </cfRule>
    <cfRule type="containsText" dxfId="592" priority="567" operator="containsText" text="Mid">
      <formula>NOT(ISERROR(SEARCH("Mid",AE20)))</formula>
    </cfRule>
    <cfRule type="containsText" dxfId="591" priority="568" operator="containsText" text="Large">
      <formula>NOT(ISERROR(SEARCH("Large",AE20)))</formula>
    </cfRule>
  </conditionalFormatting>
  <conditionalFormatting sqref="AE20">
    <cfRule type="containsText" dxfId="590" priority="563" operator="containsText" text="Small">
      <formula>NOT(ISERROR(SEARCH("Small",AE20)))</formula>
    </cfRule>
    <cfRule type="containsText" dxfId="589" priority="564" operator="containsText" text="Mid">
      <formula>NOT(ISERROR(SEARCH("Mid",AE20)))</formula>
    </cfRule>
    <cfRule type="containsText" dxfId="588" priority="565" operator="containsText" text="Large">
      <formula>NOT(ISERROR(SEARCH("Large",AE20)))</formula>
    </cfRule>
  </conditionalFormatting>
  <conditionalFormatting sqref="AE20">
    <cfRule type="containsText" dxfId="587" priority="560" operator="containsText" text="Small">
      <formula>NOT(ISERROR(SEARCH("Small",AE20)))</formula>
    </cfRule>
    <cfRule type="containsText" dxfId="586" priority="561" operator="containsText" text="Mid">
      <formula>NOT(ISERROR(SEARCH("Mid",AE20)))</formula>
    </cfRule>
    <cfRule type="containsText" dxfId="585" priority="562" operator="containsText" text="Large">
      <formula>NOT(ISERROR(SEARCH("Large",AE20)))</formula>
    </cfRule>
  </conditionalFormatting>
  <conditionalFormatting sqref="AE20">
    <cfRule type="containsText" dxfId="584" priority="557" operator="containsText" text="Small">
      <formula>NOT(ISERROR(SEARCH("Small",AE20)))</formula>
    </cfRule>
    <cfRule type="containsText" dxfId="583" priority="558" operator="containsText" text="Mid">
      <formula>NOT(ISERROR(SEARCH("Mid",AE20)))</formula>
    </cfRule>
    <cfRule type="containsText" dxfId="582" priority="559" operator="containsText" text="Large">
      <formula>NOT(ISERROR(SEARCH("Large",AE20)))</formula>
    </cfRule>
  </conditionalFormatting>
  <conditionalFormatting sqref="AE20">
    <cfRule type="containsText" dxfId="581" priority="554" operator="containsText" text="Small">
      <formula>NOT(ISERROR(SEARCH("Small",AE20)))</formula>
    </cfRule>
    <cfRule type="containsText" dxfId="580" priority="555" operator="containsText" text="Mid">
      <formula>NOT(ISERROR(SEARCH("Mid",AE20)))</formula>
    </cfRule>
    <cfRule type="containsText" dxfId="579" priority="556" operator="containsText" text="Large">
      <formula>NOT(ISERROR(SEARCH("Large",AE20)))</formula>
    </cfRule>
  </conditionalFormatting>
  <conditionalFormatting sqref="AE20">
    <cfRule type="containsText" dxfId="578" priority="551" operator="containsText" text="Small">
      <formula>NOT(ISERROR(SEARCH("Small",AE20)))</formula>
    </cfRule>
    <cfRule type="containsText" dxfId="577" priority="552" operator="containsText" text="Mid">
      <formula>NOT(ISERROR(SEARCH("Mid",AE20)))</formula>
    </cfRule>
    <cfRule type="containsText" dxfId="576" priority="553" operator="containsText" text="Large">
      <formula>NOT(ISERROR(SEARCH("Large",AE20)))</formula>
    </cfRule>
  </conditionalFormatting>
  <conditionalFormatting sqref="AE20">
    <cfRule type="containsText" dxfId="575" priority="548" operator="containsText" text="Small">
      <formula>NOT(ISERROR(SEARCH("Small",AE20)))</formula>
    </cfRule>
    <cfRule type="containsText" dxfId="574" priority="549" operator="containsText" text="Mid">
      <formula>NOT(ISERROR(SEARCH("Mid",AE20)))</formula>
    </cfRule>
    <cfRule type="containsText" dxfId="573" priority="550" operator="containsText" text="Large">
      <formula>NOT(ISERROR(SEARCH("Large",AE20)))</formula>
    </cfRule>
  </conditionalFormatting>
  <conditionalFormatting sqref="AE20">
    <cfRule type="containsText" dxfId="572" priority="545" operator="containsText" text="Small">
      <formula>NOT(ISERROR(SEARCH("Small",AE20)))</formula>
    </cfRule>
    <cfRule type="containsText" dxfId="571" priority="546" operator="containsText" text="Mid">
      <formula>NOT(ISERROR(SEARCH("Mid",AE20)))</formula>
    </cfRule>
    <cfRule type="containsText" dxfId="570" priority="547" operator="containsText" text="Large">
      <formula>NOT(ISERROR(SEARCH("Large",AE20)))</formula>
    </cfRule>
  </conditionalFormatting>
  <conditionalFormatting sqref="AE20">
    <cfRule type="containsText" dxfId="569" priority="542" operator="containsText" text="Small">
      <formula>NOT(ISERROR(SEARCH("Small",AE20)))</formula>
    </cfRule>
    <cfRule type="containsText" dxfId="568" priority="543" operator="containsText" text="Mid">
      <formula>NOT(ISERROR(SEARCH("Mid",AE20)))</formula>
    </cfRule>
    <cfRule type="containsText" dxfId="567" priority="544" operator="containsText" text="Large">
      <formula>NOT(ISERROR(SEARCH("Large",AE20)))</formula>
    </cfRule>
  </conditionalFormatting>
  <conditionalFormatting sqref="AE20">
    <cfRule type="containsText" dxfId="566" priority="539" operator="containsText" text="Small">
      <formula>NOT(ISERROR(SEARCH("Small",AE20)))</formula>
    </cfRule>
    <cfRule type="containsText" dxfId="565" priority="540" operator="containsText" text="Mid">
      <formula>NOT(ISERROR(SEARCH("Mid",AE20)))</formula>
    </cfRule>
    <cfRule type="containsText" dxfId="564" priority="541" operator="containsText" text="Large">
      <formula>NOT(ISERROR(SEARCH("Large",AE20)))</formula>
    </cfRule>
  </conditionalFormatting>
  <conditionalFormatting sqref="AE20">
    <cfRule type="containsText" dxfId="563" priority="536" operator="containsText" text="Small">
      <formula>NOT(ISERROR(SEARCH("Small",AE20)))</formula>
    </cfRule>
    <cfRule type="containsText" dxfId="562" priority="537" operator="containsText" text="Mid">
      <formula>NOT(ISERROR(SEARCH("Mid",AE20)))</formula>
    </cfRule>
    <cfRule type="containsText" dxfId="561" priority="538" operator="containsText" text="Large">
      <formula>NOT(ISERROR(SEARCH("Large",AE20)))</formula>
    </cfRule>
  </conditionalFormatting>
  <conditionalFormatting sqref="AE20">
    <cfRule type="containsText" dxfId="560" priority="533" operator="containsText" text="Small">
      <formula>NOT(ISERROR(SEARCH("Small",AE20)))</formula>
    </cfRule>
    <cfRule type="containsText" dxfId="559" priority="534" operator="containsText" text="Mid">
      <formula>NOT(ISERROR(SEARCH("Mid",AE20)))</formula>
    </cfRule>
    <cfRule type="containsText" dxfId="558" priority="535" operator="containsText" text="Large">
      <formula>NOT(ISERROR(SEARCH("Large",AE20)))</formula>
    </cfRule>
  </conditionalFormatting>
  <conditionalFormatting sqref="AE20">
    <cfRule type="containsText" dxfId="557" priority="530" operator="containsText" text="Small">
      <formula>NOT(ISERROR(SEARCH("Small",AE20)))</formula>
    </cfRule>
    <cfRule type="containsText" dxfId="556" priority="531" operator="containsText" text="Mid">
      <formula>NOT(ISERROR(SEARCH("Mid",AE20)))</formula>
    </cfRule>
    <cfRule type="containsText" dxfId="555" priority="532" operator="containsText" text="Large">
      <formula>NOT(ISERROR(SEARCH("Large",AE20)))</formula>
    </cfRule>
  </conditionalFormatting>
  <conditionalFormatting sqref="AE20">
    <cfRule type="containsText" dxfId="554" priority="527" operator="containsText" text="Small">
      <formula>NOT(ISERROR(SEARCH("Small",AE20)))</formula>
    </cfRule>
    <cfRule type="containsText" dxfId="553" priority="528" operator="containsText" text="Mid">
      <formula>NOT(ISERROR(SEARCH("Mid",AE20)))</formula>
    </cfRule>
    <cfRule type="containsText" dxfId="552" priority="529" operator="containsText" text="Large">
      <formula>NOT(ISERROR(SEARCH("Large",AE20)))</formula>
    </cfRule>
  </conditionalFormatting>
  <conditionalFormatting sqref="AE20">
    <cfRule type="containsText" dxfId="551" priority="524" operator="containsText" text="Small">
      <formula>NOT(ISERROR(SEARCH("Small",AE20)))</formula>
    </cfRule>
    <cfRule type="containsText" dxfId="550" priority="525" operator="containsText" text="Mid">
      <formula>NOT(ISERROR(SEARCH("Mid",AE20)))</formula>
    </cfRule>
    <cfRule type="containsText" dxfId="549" priority="526" operator="containsText" text="Large">
      <formula>NOT(ISERROR(SEARCH("Large",AE20)))</formula>
    </cfRule>
  </conditionalFormatting>
  <conditionalFormatting sqref="AE20">
    <cfRule type="containsText" dxfId="548" priority="521" operator="containsText" text="Small">
      <formula>NOT(ISERROR(SEARCH("Small",AE20)))</formula>
    </cfRule>
    <cfRule type="containsText" dxfId="547" priority="522" operator="containsText" text="Mid">
      <formula>NOT(ISERROR(SEARCH("Mid",AE20)))</formula>
    </cfRule>
    <cfRule type="containsText" dxfId="546" priority="523" operator="containsText" text="Large">
      <formula>NOT(ISERROR(SEARCH("Large",AE20)))</formula>
    </cfRule>
  </conditionalFormatting>
  <conditionalFormatting sqref="AE20">
    <cfRule type="containsText" dxfId="545" priority="518" operator="containsText" text="Small">
      <formula>NOT(ISERROR(SEARCH("Small",AE20)))</formula>
    </cfRule>
    <cfRule type="containsText" dxfId="544" priority="519" operator="containsText" text="Mid">
      <formula>NOT(ISERROR(SEARCH("Mid",AE20)))</formula>
    </cfRule>
    <cfRule type="containsText" dxfId="543" priority="520" operator="containsText" text="Large">
      <formula>NOT(ISERROR(SEARCH("Large",AE20)))</formula>
    </cfRule>
  </conditionalFormatting>
  <conditionalFormatting sqref="AE20">
    <cfRule type="containsText" dxfId="542" priority="515" operator="containsText" text="Small">
      <formula>NOT(ISERROR(SEARCH("Small",AE20)))</formula>
    </cfRule>
    <cfRule type="containsText" dxfId="541" priority="516" operator="containsText" text="Mid">
      <formula>NOT(ISERROR(SEARCH("Mid",AE20)))</formula>
    </cfRule>
    <cfRule type="containsText" dxfId="540" priority="517" operator="containsText" text="Large">
      <formula>NOT(ISERROR(SEARCH("Large",AE20)))</formula>
    </cfRule>
  </conditionalFormatting>
  <conditionalFormatting sqref="AE20">
    <cfRule type="containsText" dxfId="539" priority="512" operator="containsText" text="Small">
      <formula>NOT(ISERROR(SEARCH("Small",AE20)))</formula>
    </cfRule>
    <cfRule type="containsText" dxfId="538" priority="513" operator="containsText" text="Mid">
      <formula>NOT(ISERROR(SEARCH("Mid",AE20)))</formula>
    </cfRule>
    <cfRule type="containsText" dxfId="537" priority="514" operator="containsText" text="Large">
      <formula>NOT(ISERROR(SEARCH("Large",AE20)))</formula>
    </cfRule>
  </conditionalFormatting>
  <conditionalFormatting sqref="AE20">
    <cfRule type="containsText" dxfId="536" priority="509" operator="containsText" text="Small">
      <formula>NOT(ISERROR(SEARCH("Small",AE20)))</formula>
    </cfRule>
    <cfRule type="containsText" dxfId="535" priority="510" operator="containsText" text="Mid">
      <formula>NOT(ISERROR(SEARCH("Mid",AE20)))</formula>
    </cfRule>
    <cfRule type="containsText" dxfId="534" priority="511" operator="containsText" text="Large">
      <formula>NOT(ISERROR(SEARCH("Large",AE20)))</formula>
    </cfRule>
  </conditionalFormatting>
  <conditionalFormatting sqref="AE20">
    <cfRule type="containsText" dxfId="533" priority="506" operator="containsText" text="Small">
      <formula>NOT(ISERROR(SEARCH("Small",AE20)))</formula>
    </cfRule>
    <cfRule type="containsText" dxfId="532" priority="507" operator="containsText" text="Mid">
      <formula>NOT(ISERROR(SEARCH("Mid",AE20)))</formula>
    </cfRule>
    <cfRule type="containsText" dxfId="531" priority="508" operator="containsText" text="Large">
      <formula>NOT(ISERROR(SEARCH("Large",AE20)))</formula>
    </cfRule>
  </conditionalFormatting>
  <conditionalFormatting sqref="AE20">
    <cfRule type="containsText" dxfId="530" priority="503" operator="containsText" text="Small">
      <formula>NOT(ISERROR(SEARCH("Small",AE20)))</formula>
    </cfRule>
    <cfRule type="containsText" dxfId="529" priority="504" operator="containsText" text="Mid">
      <formula>NOT(ISERROR(SEARCH("Mid",AE20)))</formula>
    </cfRule>
    <cfRule type="containsText" dxfId="528" priority="505" operator="containsText" text="Large">
      <formula>NOT(ISERROR(SEARCH("Large",AE20)))</formula>
    </cfRule>
  </conditionalFormatting>
  <conditionalFormatting sqref="AE20">
    <cfRule type="containsText" dxfId="527" priority="500" operator="containsText" text="Small">
      <formula>NOT(ISERROR(SEARCH("Small",AE20)))</formula>
    </cfRule>
    <cfRule type="containsText" dxfId="526" priority="501" operator="containsText" text="Mid">
      <formula>NOT(ISERROR(SEARCH("Mid",AE20)))</formula>
    </cfRule>
    <cfRule type="containsText" dxfId="525" priority="502" operator="containsText" text="Large">
      <formula>NOT(ISERROR(SEARCH("Large",AE20)))</formula>
    </cfRule>
  </conditionalFormatting>
  <conditionalFormatting sqref="AE20">
    <cfRule type="containsText" dxfId="524" priority="497" operator="containsText" text="Small">
      <formula>NOT(ISERROR(SEARCH("Small",AE20)))</formula>
    </cfRule>
    <cfRule type="containsText" dxfId="523" priority="498" operator="containsText" text="Mid">
      <formula>NOT(ISERROR(SEARCH("Mid",AE20)))</formula>
    </cfRule>
    <cfRule type="containsText" dxfId="522" priority="499" operator="containsText" text="Large">
      <formula>NOT(ISERROR(SEARCH("Large",AE20)))</formula>
    </cfRule>
  </conditionalFormatting>
  <conditionalFormatting sqref="AE20">
    <cfRule type="containsText" dxfId="521" priority="494" operator="containsText" text="Small">
      <formula>NOT(ISERROR(SEARCH("Small",AE20)))</formula>
    </cfRule>
    <cfRule type="containsText" dxfId="520" priority="495" operator="containsText" text="Mid">
      <formula>NOT(ISERROR(SEARCH("Mid",AE20)))</formula>
    </cfRule>
    <cfRule type="containsText" dxfId="519" priority="496" operator="containsText" text="Large">
      <formula>NOT(ISERROR(SEARCH("Large",AE20)))</formula>
    </cfRule>
  </conditionalFormatting>
  <conditionalFormatting sqref="AE20">
    <cfRule type="containsText" dxfId="518" priority="491" operator="containsText" text="Small">
      <formula>NOT(ISERROR(SEARCH("Small",AE20)))</formula>
    </cfRule>
    <cfRule type="containsText" dxfId="517" priority="492" operator="containsText" text="Mid">
      <formula>NOT(ISERROR(SEARCH("Mid",AE20)))</formula>
    </cfRule>
    <cfRule type="containsText" dxfId="516" priority="493" operator="containsText" text="Large">
      <formula>NOT(ISERROR(SEARCH("Large",AE20)))</formula>
    </cfRule>
  </conditionalFormatting>
  <conditionalFormatting sqref="X62">
    <cfRule type="containsText" dxfId="515" priority="490" operator="containsText" text="No Cap">
      <formula>NOT(ISERROR(SEARCH("No Cap",X62)))</formula>
    </cfRule>
  </conditionalFormatting>
  <conditionalFormatting sqref="X62">
    <cfRule type="containsText" dxfId="514" priority="489" operator="containsText" text="No Cap">
      <formula>NOT(ISERROR(SEARCH("No Cap",X62)))</formula>
    </cfRule>
  </conditionalFormatting>
  <conditionalFormatting sqref="X62">
    <cfRule type="containsText" dxfId="513" priority="486" operator="containsText" text="Small">
      <formula>NOT(ISERROR(SEARCH("Small",X62)))</formula>
    </cfRule>
    <cfRule type="containsText" dxfId="512" priority="487" operator="containsText" text="Mid">
      <formula>NOT(ISERROR(SEARCH("Mid",X62)))</formula>
    </cfRule>
    <cfRule type="containsText" dxfId="511" priority="488" operator="containsText" text="Large">
      <formula>NOT(ISERROR(SEARCH("Large",X62)))</formula>
    </cfRule>
  </conditionalFormatting>
  <conditionalFormatting sqref="X62">
    <cfRule type="containsText" dxfId="510" priority="483" operator="containsText" text="Small">
      <formula>NOT(ISERROR(SEARCH("Small",X62)))</formula>
    </cfRule>
    <cfRule type="containsText" dxfId="509" priority="484" operator="containsText" text="Mid">
      <formula>NOT(ISERROR(SEARCH("Mid",X62)))</formula>
    </cfRule>
    <cfRule type="containsText" dxfId="508" priority="485" operator="containsText" text="Large">
      <formula>NOT(ISERROR(SEARCH("Large",X62)))</formula>
    </cfRule>
  </conditionalFormatting>
  <conditionalFormatting sqref="X62">
    <cfRule type="containsText" dxfId="507" priority="480" operator="containsText" text="Small">
      <formula>NOT(ISERROR(SEARCH("Small",X62)))</formula>
    </cfRule>
    <cfRule type="containsText" dxfId="506" priority="481" operator="containsText" text="Mid">
      <formula>NOT(ISERROR(SEARCH("Mid",X62)))</formula>
    </cfRule>
    <cfRule type="containsText" dxfId="505" priority="482" operator="containsText" text="Large">
      <formula>NOT(ISERROR(SEARCH("Large",X62)))</formula>
    </cfRule>
  </conditionalFormatting>
  <conditionalFormatting sqref="X62">
    <cfRule type="containsText" dxfId="504" priority="479" operator="containsText" text="No Cap">
      <formula>NOT(ISERROR(SEARCH("No Cap",X62)))</formula>
    </cfRule>
  </conditionalFormatting>
  <conditionalFormatting sqref="X62">
    <cfRule type="containsText" dxfId="503" priority="478" operator="containsText" text="No Cap">
      <formula>NOT(ISERROR(SEARCH("No Cap",X62)))</formula>
    </cfRule>
  </conditionalFormatting>
  <conditionalFormatting sqref="X62">
    <cfRule type="containsText" dxfId="502" priority="475" operator="containsText" text="Small">
      <formula>NOT(ISERROR(SEARCH("Small",X62)))</formula>
    </cfRule>
    <cfRule type="containsText" dxfId="501" priority="476" operator="containsText" text="Mid">
      <formula>NOT(ISERROR(SEARCH("Mid",X62)))</formula>
    </cfRule>
    <cfRule type="containsText" dxfId="500" priority="477" operator="containsText" text="Large">
      <formula>NOT(ISERROR(SEARCH("Large",X62)))</formula>
    </cfRule>
  </conditionalFormatting>
  <conditionalFormatting sqref="X62">
    <cfRule type="containsText" dxfId="499" priority="472" operator="containsText" text="Small">
      <formula>NOT(ISERROR(SEARCH("Small",X62)))</formula>
    </cfRule>
    <cfRule type="containsText" dxfId="498" priority="473" operator="containsText" text="Mid">
      <formula>NOT(ISERROR(SEARCH("Mid",X62)))</formula>
    </cfRule>
    <cfRule type="containsText" dxfId="497" priority="474" operator="containsText" text="Large">
      <formula>NOT(ISERROR(SEARCH("Large",X62)))</formula>
    </cfRule>
  </conditionalFormatting>
  <conditionalFormatting sqref="X62">
    <cfRule type="containsText" dxfId="496" priority="469" operator="containsText" text="Small">
      <formula>NOT(ISERROR(SEARCH("Small",X62)))</formula>
    </cfRule>
    <cfRule type="containsText" dxfId="495" priority="470" operator="containsText" text="Mid">
      <formula>NOT(ISERROR(SEARCH("Mid",X62)))</formula>
    </cfRule>
    <cfRule type="containsText" dxfId="494" priority="471" operator="containsText" text="Large">
      <formula>NOT(ISERROR(SEARCH("Large",X62)))</formula>
    </cfRule>
  </conditionalFormatting>
  <conditionalFormatting sqref="X62">
    <cfRule type="containsText" dxfId="493" priority="468" operator="containsText" text="No Cap">
      <formula>NOT(ISERROR(SEARCH("No Cap",X62)))</formula>
    </cfRule>
  </conditionalFormatting>
  <conditionalFormatting sqref="X62">
    <cfRule type="containsText" dxfId="492" priority="467" operator="containsText" text="No Cap">
      <formula>NOT(ISERROR(SEARCH("No Cap",X62)))</formula>
    </cfRule>
  </conditionalFormatting>
  <conditionalFormatting sqref="X62">
    <cfRule type="containsText" dxfId="491" priority="464" operator="containsText" text="Small">
      <formula>NOT(ISERROR(SEARCH("Small",X62)))</formula>
    </cfRule>
    <cfRule type="containsText" dxfId="490" priority="465" operator="containsText" text="Mid">
      <formula>NOT(ISERROR(SEARCH("Mid",X62)))</formula>
    </cfRule>
    <cfRule type="containsText" dxfId="489" priority="466" operator="containsText" text="Large">
      <formula>NOT(ISERROR(SEARCH("Large",X62)))</formula>
    </cfRule>
  </conditionalFormatting>
  <conditionalFormatting sqref="X62">
    <cfRule type="containsText" dxfId="488" priority="461" operator="containsText" text="Small">
      <formula>NOT(ISERROR(SEARCH("Small",X62)))</formula>
    </cfRule>
    <cfRule type="containsText" dxfId="487" priority="462" operator="containsText" text="Mid">
      <formula>NOT(ISERROR(SEARCH("Mid",X62)))</formula>
    </cfRule>
    <cfRule type="containsText" dxfId="486" priority="463" operator="containsText" text="Large">
      <formula>NOT(ISERROR(SEARCH("Large",X62)))</formula>
    </cfRule>
  </conditionalFormatting>
  <conditionalFormatting sqref="X62">
    <cfRule type="containsText" dxfId="485" priority="458" operator="containsText" text="Small">
      <formula>NOT(ISERROR(SEARCH("Small",X62)))</formula>
    </cfRule>
    <cfRule type="containsText" dxfId="484" priority="459" operator="containsText" text="Mid">
      <formula>NOT(ISERROR(SEARCH("Mid",X62)))</formula>
    </cfRule>
    <cfRule type="containsText" dxfId="483" priority="460" operator="containsText" text="Large">
      <formula>NOT(ISERROR(SEARCH("Large",X62)))</formula>
    </cfRule>
  </conditionalFormatting>
  <conditionalFormatting sqref="X62">
    <cfRule type="containsText" dxfId="482" priority="457" operator="containsText" text="No Cap">
      <formula>NOT(ISERROR(SEARCH("No Cap",X62)))</formula>
    </cfRule>
  </conditionalFormatting>
  <conditionalFormatting sqref="X62">
    <cfRule type="containsText" dxfId="481" priority="456" operator="containsText" text="No Cap">
      <formula>NOT(ISERROR(SEARCH("No Cap",X62)))</formula>
    </cfRule>
  </conditionalFormatting>
  <conditionalFormatting sqref="X62">
    <cfRule type="containsText" dxfId="480" priority="453" operator="containsText" text="Small">
      <formula>NOT(ISERROR(SEARCH("Small",X62)))</formula>
    </cfRule>
    <cfRule type="containsText" dxfId="479" priority="454" operator="containsText" text="Mid">
      <formula>NOT(ISERROR(SEARCH("Mid",X62)))</formula>
    </cfRule>
    <cfRule type="containsText" dxfId="478" priority="455" operator="containsText" text="Large">
      <formula>NOT(ISERROR(SEARCH("Large",X62)))</formula>
    </cfRule>
  </conditionalFormatting>
  <conditionalFormatting sqref="X62">
    <cfRule type="containsText" dxfId="477" priority="450" operator="containsText" text="Small">
      <formula>NOT(ISERROR(SEARCH("Small",X62)))</formula>
    </cfRule>
    <cfRule type="containsText" dxfId="476" priority="451" operator="containsText" text="Mid">
      <formula>NOT(ISERROR(SEARCH("Mid",X62)))</formula>
    </cfRule>
    <cfRule type="containsText" dxfId="475" priority="452" operator="containsText" text="Large">
      <formula>NOT(ISERROR(SEARCH("Large",X62)))</formula>
    </cfRule>
  </conditionalFormatting>
  <conditionalFormatting sqref="X62">
    <cfRule type="containsText" dxfId="474" priority="447" operator="containsText" text="Small">
      <formula>NOT(ISERROR(SEARCH("Small",X62)))</formula>
    </cfRule>
    <cfRule type="containsText" dxfId="473" priority="448" operator="containsText" text="Mid">
      <formula>NOT(ISERROR(SEARCH("Mid",X62)))</formula>
    </cfRule>
    <cfRule type="containsText" dxfId="472" priority="449" operator="containsText" text="Large">
      <formula>NOT(ISERROR(SEARCH("Large",X62)))</formula>
    </cfRule>
  </conditionalFormatting>
  <conditionalFormatting sqref="X62">
    <cfRule type="containsText" dxfId="471" priority="446" operator="containsText" text="NA">
      <formula>NOT(ISERROR(SEARCH("NA",X62)))</formula>
    </cfRule>
  </conditionalFormatting>
  <conditionalFormatting sqref="X62">
    <cfRule type="containsText" dxfId="470" priority="443" operator="containsText" text="Small">
      <formula>NOT(ISERROR(SEARCH("Small",X62)))</formula>
    </cfRule>
    <cfRule type="containsText" dxfId="469" priority="444" operator="containsText" text="Mid">
      <formula>NOT(ISERROR(SEARCH("Mid",X62)))</formula>
    </cfRule>
    <cfRule type="containsText" dxfId="468" priority="445" operator="containsText" text="Large">
      <formula>NOT(ISERROR(SEARCH("Large",X62)))</formula>
    </cfRule>
  </conditionalFormatting>
  <conditionalFormatting sqref="X62">
    <cfRule type="containsText" dxfId="467" priority="440" operator="containsText" text="Small">
      <formula>NOT(ISERROR(SEARCH("Small",X62)))</formula>
    </cfRule>
    <cfRule type="containsText" dxfId="466" priority="441" operator="containsText" text="Mid">
      <formula>NOT(ISERROR(SEARCH("Mid",X62)))</formula>
    </cfRule>
    <cfRule type="containsText" dxfId="465" priority="442" operator="containsText" text="Large">
      <formula>NOT(ISERROR(SEARCH("Large",X62)))</formula>
    </cfRule>
  </conditionalFormatting>
  <conditionalFormatting sqref="X62">
    <cfRule type="containsText" dxfId="464" priority="437" operator="containsText" text="Small">
      <formula>NOT(ISERROR(SEARCH("Small",X62)))</formula>
    </cfRule>
    <cfRule type="containsText" dxfId="463" priority="438" operator="containsText" text="Mid">
      <formula>NOT(ISERROR(SEARCH("Mid",X62)))</formula>
    </cfRule>
    <cfRule type="containsText" dxfId="462" priority="439" operator="containsText" text="Large">
      <formula>NOT(ISERROR(SEARCH("Large",X62)))</formula>
    </cfRule>
  </conditionalFormatting>
  <conditionalFormatting sqref="X62">
    <cfRule type="containsText" dxfId="461" priority="434" operator="containsText" text="Small">
      <formula>NOT(ISERROR(SEARCH("Small",X62)))</formula>
    </cfRule>
    <cfRule type="containsText" dxfId="460" priority="435" operator="containsText" text="Mid">
      <formula>NOT(ISERROR(SEARCH("Mid",X62)))</formula>
    </cfRule>
    <cfRule type="containsText" dxfId="459" priority="436" operator="containsText" text="Large">
      <formula>NOT(ISERROR(SEARCH("Large",X62)))</formula>
    </cfRule>
  </conditionalFormatting>
  <conditionalFormatting sqref="X62">
    <cfRule type="containsText" dxfId="458" priority="431" operator="containsText" text="Small">
      <formula>NOT(ISERROR(SEARCH("Small",X62)))</formula>
    </cfRule>
    <cfRule type="containsText" dxfId="457" priority="432" operator="containsText" text="Mid">
      <formula>NOT(ISERROR(SEARCH("Mid",X62)))</formula>
    </cfRule>
    <cfRule type="containsText" dxfId="456" priority="433" operator="containsText" text="Large">
      <formula>NOT(ISERROR(SEARCH("Large",X62)))</formula>
    </cfRule>
  </conditionalFormatting>
  <conditionalFormatting sqref="X62">
    <cfRule type="containsText" dxfId="455" priority="428" operator="containsText" text="Small">
      <formula>NOT(ISERROR(SEARCH("Small",X62)))</formula>
    </cfRule>
    <cfRule type="containsText" dxfId="454" priority="429" operator="containsText" text="Mid">
      <formula>NOT(ISERROR(SEARCH("Mid",X62)))</formula>
    </cfRule>
    <cfRule type="containsText" dxfId="453" priority="430" operator="containsText" text="Large">
      <formula>NOT(ISERROR(SEARCH("Large",X62)))</formula>
    </cfRule>
  </conditionalFormatting>
  <conditionalFormatting sqref="X62">
    <cfRule type="containsText" dxfId="452" priority="425" operator="containsText" text="Small">
      <formula>NOT(ISERROR(SEARCH("Small",X62)))</formula>
    </cfRule>
    <cfRule type="containsText" dxfId="451" priority="426" operator="containsText" text="Mid">
      <formula>NOT(ISERROR(SEARCH("Mid",X62)))</formula>
    </cfRule>
    <cfRule type="containsText" dxfId="450" priority="427" operator="containsText" text="Large">
      <formula>NOT(ISERROR(SEARCH("Large",X62)))</formula>
    </cfRule>
  </conditionalFormatting>
  <conditionalFormatting sqref="X62">
    <cfRule type="containsText" dxfId="449" priority="422" operator="containsText" text="Small">
      <formula>NOT(ISERROR(SEARCH("Small",X62)))</formula>
    </cfRule>
    <cfRule type="containsText" dxfId="448" priority="423" operator="containsText" text="Mid">
      <formula>NOT(ISERROR(SEARCH("Mid",X62)))</formula>
    </cfRule>
    <cfRule type="containsText" dxfId="447" priority="424" operator="containsText" text="Large">
      <formula>NOT(ISERROR(SEARCH("Large",X62)))</formula>
    </cfRule>
  </conditionalFormatting>
  <conditionalFormatting sqref="X62">
    <cfRule type="containsText" dxfId="446" priority="419" operator="containsText" text="Small">
      <formula>NOT(ISERROR(SEARCH("Small",X62)))</formula>
    </cfRule>
    <cfRule type="containsText" dxfId="445" priority="420" operator="containsText" text="Mid">
      <formula>NOT(ISERROR(SEARCH("Mid",X62)))</formula>
    </cfRule>
    <cfRule type="containsText" dxfId="444" priority="421" operator="containsText" text="Large">
      <formula>NOT(ISERROR(SEARCH("Large",X62)))</formula>
    </cfRule>
  </conditionalFormatting>
  <conditionalFormatting sqref="X62">
    <cfRule type="containsText" dxfId="443" priority="416" operator="containsText" text="Small">
      <formula>NOT(ISERROR(SEARCH("Small",X62)))</formula>
    </cfRule>
    <cfRule type="containsText" dxfId="442" priority="417" operator="containsText" text="Mid">
      <formula>NOT(ISERROR(SEARCH("Mid",X62)))</formula>
    </cfRule>
    <cfRule type="containsText" dxfId="441" priority="418" operator="containsText" text="Large">
      <formula>NOT(ISERROR(SEARCH("Large",X62)))</formula>
    </cfRule>
  </conditionalFormatting>
  <conditionalFormatting sqref="X62">
    <cfRule type="containsText" dxfId="440" priority="413" operator="containsText" text="Small">
      <formula>NOT(ISERROR(SEARCH("Small",X62)))</formula>
    </cfRule>
    <cfRule type="containsText" dxfId="439" priority="414" operator="containsText" text="Mid">
      <formula>NOT(ISERROR(SEARCH("Mid",X62)))</formula>
    </cfRule>
    <cfRule type="containsText" dxfId="438" priority="415" operator="containsText" text="Large">
      <formula>NOT(ISERROR(SEARCH("Large",X62)))</formula>
    </cfRule>
  </conditionalFormatting>
  <conditionalFormatting sqref="X62">
    <cfRule type="containsText" dxfId="437" priority="410" operator="containsText" text="Small">
      <formula>NOT(ISERROR(SEARCH("Small",X62)))</formula>
    </cfRule>
    <cfRule type="containsText" dxfId="436" priority="411" operator="containsText" text="Mid">
      <formula>NOT(ISERROR(SEARCH("Mid",X62)))</formula>
    </cfRule>
    <cfRule type="containsText" dxfId="435" priority="412" operator="containsText" text="Large">
      <formula>NOT(ISERROR(SEARCH("Large",X62)))</formula>
    </cfRule>
  </conditionalFormatting>
  <conditionalFormatting sqref="X62">
    <cfRule type="containsText" dxfId="434" priority="407" operator="containsText" text="Small">
      <formula>NOT(ISERROR(SEARCH("Small",X62)))</formula>
    </cfRule>
    <cfRule type="containsText" dxfId="433" priority="408" operator="containsText" text="Mid">
      <formula>NOT(ISERROR(SEARCH("Mid",X62)))</formula>
    </cfRule>
    <cfRule type="containsText" dxfId="432" priority="409" operator="containsText" text="Large">
      <formula>NOT(ISERROR(SEARCH("Large",X62)))</formula>
    </cfRule>
  </conditionalFormatting>
  <conditionalFormatting sqref="X62">
    <cfRule type="containsText" dxfId="431" priority="404" operator="containsText" text="Small">
      <formula>NOT(ISERROR(SEARCH("Small",X62)))</formula>
    </cfRule>
    <cfRule type="containsText" dxfId="430" priority="405" operator="containsText" text="Mid">
      <formula>NOT(ISERROR(SEARCH("Mid",X62)))</formula>
    </cfRule>
    <cfRule type="containsText" dxfId="429" priority="406" operator="containsText" text="Large">
      <formula>NOT(ISERROR(SEARCH("Large",X62)))</formula>
    </cfRule>
  </conditionalFormatting>
  <conditionalFormatting sqref="X62">
    <cfRule type="containsText" dxfId="428" priority="401" operator="containsText" text="Small">
      <formula>NOT(ISERROR(SEARCH("Small",X62)))</formula>
    </cfRule>
    <cfRule type="containsText" dxfId="427" priority="402" operator="containsText" text="Mid">
      <formula>NOT(ISERROR(SEARCH("Mid",X62)))</formula>
    </cfRule>
    <cfRule type="containsText" dxfId="426" priority="403" operator="containsText" text="Large">
      <formula>NOT(ISERROR(SEARCH("Large",X62)))</formula>
    </cfRule>
  </conditionalFormatting>
  <conditionalFormatting sqref="X62">
    <cfRule type="containsText" dxfId="425" priority="398" operator="containsText" text="Small">
      <formula>NOT(ISERROR(SEARCH("Small",X62)))</formula>
    </cfRule>
    <cfRule type="containsText" dxfId="424" priority="399" operator="containsText" text="Mid">
      <formula>NOT(ISERROR(SEARCH("Mid",X62)))</formula>
    </cfRule>
    <cfRule type="containsText" dxfId="423" priority="400" operator="containsText" text="Large">
      <formula>NOT(ISERROR(SEARCH("Large",X62)))</formula>
    </cfRule>
  </conditionalFormatting>
  <conditionalFormatting sqref="X62">
    <cfRule type="containsText" dxfId="422" priority="395" operator="containsText" text="Small">
      <formula>NOT(ISERROR(SEARCH("Small",X62)))</formula>
    </cfRule>
    <cfRule type="containsText" dxfId="421" priority="396" operator="containsText" text="Mid">
      <formula>NOT(ISERROR(SEARCH("Mid",X62)))</formula>
    </cfRule>
    <cfRule type="containsText" dxfId="420" priority="397" operator="containsText" text="Large">
      <formula>NOT(ISERROR(SEARCH("Large",X62)))</formula>
    </cfRule>
  </conditionalFormatting>
  <conditionalFormatting sqref="X62">
    <cfRule type="containsText" dxfId="419" priority="392" operator="containsText" text="Small">
      <formula>NOT(ISERROR(SEARCH("Small",X62)))</formula>
    </cfRule>
    <cfRule type="containsText" dxfId="418" priority="393" operator="containsText" text="Mid">
      <formula>NOT(ISERROR(SEARCH("Mid",X62)))</formula>
    </cfRule>
    <cfRule type="containsText" dxfId="417" priority="394" operator="containsText" text="Large">
      <formula>NOT(ISERROR(SEARCH("Large",X62)))</formula>
    </cfRule>
  </conditionalFormatting>
  <conditionalFormatting sqref="X62">
    <cfRule type="containsText" dxfId="416" priority="389" operator="containsText" text="Small">
      <formula>NOT(ISERROR(SEARCH("Small",X62)))</formula>
    </cfRule>
    <cfRule type="containsText" dxfId="415" priority="390" operator="containsText" text="Mid">
      <formula>NOT(ISERROR(SEARCH("Mid",X62)))</formula>
    </cfRule>
    <cfRule type="containsText" dxfId="414" priority="391" operator="containsText" text="Large">
      <formula>NOT(ISERROR(SEARCH("Large",X62)))</formula>
    </cfRule>
  </conditionalFormatting>
  <conditionalFormatting sqref="X62">
    <cfRule type="containsText" dxfId="413" priority="386" operator="containsText" text="Small">
      <formula>NOT(ISERROR(SEARCH("Small",X62)))</formula>
    </cfRule>
    <cfRule type="containsText" dxfId="412" priority="387" operator="containsText" text="Mid">
      <formula>NOT(ISERROR(SEARCH("Mid",X62)))</formula>
    </cfRule>
    <cfRule type="containsText" dxfId="411" priority="388" operator="containsText" text="Large">
      <formula>NOT(ISERROR(SEARCH("Large",X62)))</formula>
    </cfRule>
  </conditionalFormatting>
  <conditionalFormatting sqref="X62">
    <cfRule type="containsText" dxfId="410" priority="383" operator="containsText" text="Small">
      <formula>NOT(ISERROR(SEARCH("Small",X62)))</formula>
    </cfRule>
    <cfRule type="containsText" dxfId="409" priority="384" operator="containsText" text="Mid">
      <formula>NOT(ISERROR(SEARCH("Mid",X62)))</formula>
    </cfRule>
    <cfRule type="containsText" dxfId="408" priority="385" operator="containsText" text="Large">
      <formula>NOT(ISERROR(SEARCH("Large",X62)))</formula>
    </cfRule>
  </conditionalFormatting>
  <conditionalFormatting sqref="X62">
    <cfRule type="containsText" dxfId="407" priority="380" operator="containsText" text="Small">
      <formula>NOT(ISERROR(SEARCH("Small",X62)))</formula>
    </cfRule>
    <cfRule type="containsText" dxfId="406" priority="381" operator="containsText" text="Mid">
      <formula>NOT(ISERROR(SEARCH("Mid",X62)))</formula>
    </cfRule>
    <cfRule type="containsText" dxfId="405" priority="382" operator="containsText" text="Large">
      <formula>NOT(ISERROR(SEARCH("Large",X62)))</formula>
    </cfRule>
  </conditionalFormatting>
  <conditionalFormatting sqref="X62">
    <cfRule type="containsText" dxfId="404" priority="377" operator="containsText" text="Small">
      <formula>NOT(ISERROR(SEARCH("Small",X62)))</formula>
    </cfRule>
    <cfRule type="containsText" dxfId="403" priority="378" operator="containsText" text="Mid">
      <formula>NOT(ISERROR(SEARCH("Mid",X62)))</formula>
    </cfRule>
    <cfRule type="containsText" dxfId="402" priority="379" operator="containsText" text="Large">
      <formula>NOT(ISERROR(SEARCH("Large",X62)))</formula>
    </cfRule>
  </conditionalFormatting>
  <conditionalFormatting sqref="X62">
    <cfRule type="containsText" dxfId="401" priority="374" operator="containsText" text="Small">
      <formula>NOT(ISERROR(SEARCH("Small",X62)))</formula>
    </cfRule>
    <cfRule type="containsText" dxfId="400" priority="375" operator="containsText" text="Mid">
      <formula>NOT(ISERROR(SEARCH("Mid",X62)))</formula>
    </cfRule>
    <cfRule type="containsText" dxfId="399" priority="376" operator="containsText" text="Large">
      <formula>NOT(ISERROR(SEARCH("Large",X62)))</formula>
    </cfRule>
  </conditionalFormatting>
  <conditionalFormatting sqref="X62">
    <cfRule type="containsText" dxfId="398" priority="371" operator="containsText" text="Small">
      <formula>NOT(ISERROR(SEARCH("Small",X62)))</formula>
    </cfRule>
    <cfRule type="containsText" dxfId="397" priority="372" operator="containsText" text="Mid">
      <formula>NOT(ISERROR(SEARCH("Mid",X62)))</formula>
    </cfRule>
    <cfRule type="containsText" dxfId="396" priority="373" operator="containsText" text="Large">
      <formula>NOT(ISERROR(SEARCH("Large",X62)))</formula>
    </cfRule>
  </conditionalFormatting>
  <conditionalFormatting sqref="X62">
    <cfRule type="containsText" dxfId="395" priority="368" operator="containsText" text="Small">
      <formula>NOT(ISERROR(SEARCH("Small",X62)))</formula>
    </cfRule>
    <cfRule type="containsText" dxfId="394" priority="369" operator="containsText" text="Mid">
      <formula>NOT(ISERROR(SEARCH("Mid",X62)))</formula>
    </cfRule>
    <cfRule type="containsText" dxfId="393" priority="370" operator="containsText" text="Large">
      <formula>NOT(ISERROR(SEARCH("Large",X62)))</formula>
    </cfRule>
  </conditionalFormatting>
  <conditionalFormatting sqref="X62">
    <cfRule type="containsText" dxfId="392" priority="365" operator="containsText" text="Small">
      <formula>NOT(ISERROR(SEARCH("Small",X62)))</formula>
    </cfRule>
    <cfRule type="containsText" dxfId="391" priority="366" operator="containsText" text="Mid">
      <formula>NOT(ISERROR(SEARCH("Mid",X62)))</formula>
    </cfRule>
    <cfRule type="containsText" dxfId="390" priority="367" operator="containsText" text="Large">
      <formula>NOT(ISERROR(SEARCH("Large",X62)))</formula>
    </cfRule>
  </conditionalFormatting>
  <conditionalFormatting sqref="X62">
    <cfRule type="containsText" dxfId="389" priority="362" operator="containsText" text="Small">
      <formula>NOT(ISERROR(SEARCH("Small",X62)))</formula>
    </cfRule>
    <cfRule type="containsText" dxfId="388" priority="363" operator="containsText" text="Mid">
      <formula>NOT(ISERROR(SEARCH("Mid",X62)))</formula>
    </cfRule>
    <cfRule type="containsText" dxfId="387" priority="364" operator="containsText" text="Large">
      <formula>NOT(ISERROR(SEARCH("Large",X62)))</formula>
    </cfRule>
  </conditionalFormatting>
  <conditionalFormatting sqref="X62">
    <cfRule type="containsText" dxfId="386" priority="359" operator="containsText" text="Small">
      <formula>NOT(ISERROR(SEARCH("Small",X62)))</formula>
    </cfRule>
    <cfRule type="containsText" dxfId="385" priority="360" operator="containsText" text="Mid">
      <formula>NOT(ISERROR(SEARCH("Mid",X62)))</formula>
    </cfRule>
    <cfRule type="containsText" dxfId="384" priority="361" operator="containsText" text="Large">
      <formula>NOT(ISERROR(SEARCH("Large",X62)))</formula>
    </cfRule>
  </conditionalFormatting>
  <conditionalFormatting sqref="X62">
    <cfRule type="containsText" dxfId="383" priority="356" operator="containsText" text="Small">
      <formula>NOT(ISERROR(SEARCH("Small",X62)))</formula>
    </cfRule>
    <cfRule type="containsText" dxfId="382" priority="357" operator="containsText" text="Mid">
      <formula>NOT(ISERROR(SEARCH("Mid",X62)))</formula>
    </cfRule>
    <cfRule type="containsText" dxfId="381" priority="358" operator="containsText" text="Large">
      <formula>NOT(ISERROR(SEARCH("Large",X62)))</formula>
    </cfRule>
  </conditionalFormatting>
  <conditionalFormatting sqref="X62">
    <cfRule type="containsText" dxfId="380" priority="353" operator="containsText" text="Small">
      <formula>NOT(ISERROR(SEARCH("Small",X62)))</formula>
    </cfRule>
    <cfRule type="containsText" dxfId="379" priority="354" operator="containsText" text="Mid">
      <formula>NOT(ISERROR(SEARCH("Mid",X62)))</formula>
    </cfRule>
    <cfRule type="containsText" dxfId="378" priority="355" operator="containsText" text="Large">
      <formula>NOT(ISERROR(SEARCH("Large",X62)))</formula>
    </cfRule>
  </conditionalFormatting>
  <conditionalFormatting sqref="X62">
    <cfRule type="containsText" dxfId="377" priority="350" operator="containsText" text="Small">
      <formula>NOT(ISERROR(SEARCH("Small",X62)))</formula>
    </cfRule>
    <cfRule type="containsText" dxfId="376" priority="351" operator="containsText" text="Mid">
      <formula>NOT(ISERROR(SEARCH("Mid",X62)))</formula>
    </cfRule>
    <cfRule type="containsText" dxfId="375" priority="352" operator="containsText" text="Large">
      <formula>NOT(ISERROR(SEARCH("Large",X62)))</formula>
    </cfRule>
  </conditionalFormatting>
  <conditionalFormatting sqref="X62">
    <cfRule type="containsText" dxfId="374" priority="347" operator="containsText" text="Small">
      <formula>NOT(ISERROR(SEARCH("Small",X62)))</formula>
    </cfRule>
    <cfRule type="containsText" dxfId="373" priority="348" operator="containsText" text="Mid">
      <formula>NOT(ISERROR(SEARCH("Mid",X62)))</formula>
    </cfRule>
    <cfRule type="containsText" dxfId="372" priority="349" operator="containsText" text="Large">
      <formula>NOT(ISERROR(SEARCH("Large",X62)))</formula>
    </cfRule>
  </conditionalFormatting>
  <conditionalFormatting sqref="X62">
    <cfRule type="containsText" dxfId="371" priority="344" operator="containsText" text="Small">
      <formula>NOT(ISERROR(SEARCH("Small",X62)))</formula>
    </cfRule>
    <cfRule type="containsText" dxfId="370" priority="345" operator="containsText" text="Mid">
      <formula>NOT(ISERROR(SEARCH("Mid",X62)))</formula>
    </cfRule>
    <cfRule type="containsText" dxfId="369" priority="346" operator="containsText" text="Large">
      <formula>NOT(ISERROR(SEARCH("Large",X62)))</formula>
    </cfRule>
  </conditionalFormatting>
  <conditionalFormatting sqref="X62">
    <cfRule type="containsText" dxfId="368" priority="341" operator="containsText" text="Small">
      <formula>NOT(ISERROR(SEARCH("Small",X62)))</formula>
    </cfRule>
    <cfRule type="containsText" dxfId="367" priority="342" operator="containsText" text="Mid">
      <formula>NOT(ISERROR(SEARCH("Mid",X62)))</formula>
    </cfRule>
    <cfRule type="containsText" dxfId="366" priority="343" operator="containsText" text="Large">
      <formula>NOT(ISERROR(SEARCH("Large",X62)))</formula>
    </cfRule>
  </conditionalFormatting>
  <conditionalFormatting sqref="X62">
    <cfRule type="containsText" dxfId="365" priority="338" operator="containsText" text="Small">
      <formula>NOT(ISERROR(SEARCH("Small",X62)))</formula>
    </cfRule>
    <cfRule type="containsText" dxfId="364" priority="339" operator="containsText" text="Mid">
      <formula>NOT(ISERROR(SEARCH("Mid",X62)))</formula>
    </cfRule>
    <cfRule type="containsText" dxfId="363" priority="340" operator="containsText" text="Large">
      <formula>NOT(ISERROR(SEARCH("Large",X62)))</formula>
    </cfRule>
  </conditionalFormatting>
  <conditionalFormatting sqref="X62">
    <cfRule type="containsText" dxfId="362" priority="335" operator="containsText" text="Small">
      <formula>NOT(ISERROR(SEARCH("Small",X62)))</formula>
    </cfRule>
    <cfRule type="containsText" dxfId="361" priority="336" operator="containsText" text="Mid">
      <formula>NOT(ISERROR(SEARCH("Mid",X62)))</formula>
    </cfRule>
    <cfRule type="containsText" dxfId="360" priority="337" operator="containsText" text="Large">
      <formula>NOT(ISERROR(SEARCH("Large",X62)))</formula>
    </cfRule>
  </conditionalFormatting>
  <conditionalFormatting sqref="X62">
    <cfRule type="containsText" dxfId="359" priority="332" operator="containsText" text="Small">
      <formula>NOT(ISERROR(SEARCH("Small",X62)))</formula>
    </cfRule>
    <cfRule type="containsText" dxfId="358" priority="333" operator="containsText" text="Mid">
      <formula>NOT(ISERROR(SEARCH("Mid",X62)))</formula>
    </cfRule>
    <cfRule type="containsText" dxfId="357" priority="334" operator="containsText" text="Large">
      <formula>NOT(ISERROR(SEARCH("Large",X62)))</formula>
    </cfRule>
  </conditionalFormatting>
  <conditionalFormatting sqref="X62">
    <cfRule type="containsText" dxfId="356" priority="329" operator="containsText" text="Small">
      <formula>NOT(ISERROR(SEARCH("Small",X62)))</formula>
    </cfRule>
    <cfRule type="containsText" dxfId="355" priority="330" operator="containsText" text="Mid">
      <formula>NOT(ISERROR(SEARCH("Mid",X62)))</formula>
    </cfRule>
    <cfRule type="containsText" dxfId="354" priority="331" operator="containsText" text="Large">
      <formula>NOT(ISERROR(SEARCH("Large",X62)))</formula>
    </cfRule>
  </conditionalFormatting>
  <conditionalFormatting sqref="X62">
    <cfRule type="containsText" dxfId="353" priority="326" operator="containsText" text="Small">
      <formula>NOT(ISERROR(SEARCH("Small",X62)))</formula>
    </cfRule>
    <cfRule type="containsText" dxfId="352" priority="327" operator="containsText" text="Mid">
      <formula>NOT(ISERROR(SEARCH("Mid",X62)))</formula>
    </cfRule>
    <cfRule type="containsText" dxfId="351" priority="328" operator="containsText" text="Large">
      <formula>NOT(ISERROR(SEARCH("Large",X62)))</formula>
    </cfRule>
  </conditionalFormatting>
  <conditionalFormatting sqref="X62">
    <cfRule type="containsText" dxfId="350" priority="323" operator="containsText" text="Small">
      <formula>NOT(ISERROR(SEARCH("Small",X62)))</formula>
    </cfRule>
    <cfRule type="containsText" dxfId="349" priority="324" operator="containsText" text="Mid">
      <formula>NOT(ISERROR(SEARCH("Mid",X62)))</formula>
    </cfRule>
    <cfRule type="containsText" dxfId="348" priority="325" operator="containsText" text="Large">
      <formula>NOT(ISERROR(SEARCH("Large",X62)))</formula>
    </cfRule>
  </conditionalFormatting>
  <conditionalFormatting sqref="X62">
    <cfRule type="containsText" dxfId="347" priority="320" operator="containsText" text="Small">
      <formula>NOT(ISERROR(SEARCH("Small",X62)))</formula>
    </cfRule>
    <cfRule type="containsText" dxfId="346" priority="321" operator="containsText" text="Mid">
      <formula>NOT(ISERROR(SEARCH("Mid",X62)))</formula>
    </cfRule>
    <cfRule type="containsText" dxfId="345" priority="322" operator="containsText" text="Large">
      <formula>NOT(ISERROR(SEARCH("Large",X62)))</formula>
    </cfRule>
  </conditionalFormatting>
  <conditionalFormatting sqref="X62">
    <cfRule type="containsText" dxfId="344" priority="317" operator="containsText" text="Small">
      <formula>NOT(ISERROR(SEARCH("Small",X62)))</formula>
    </cfRule>
    <cfRule type="containsText" dxfId="343" priority="318" operator="containsText" text="Mid">
      <formula>NOT(ISERROR(SEARCH("Mid",X62)))</formula>
    </cfRule>
    <cfRule type="containsText" dxfId="342" priority="319" operator="containsText" text="Large">
      <formula>NOT(ISERROR(SEARCH("Large",X62)))</formula>
    </cfRule>
  </conditionalFormatting>
  <conditionalFormatting sqref="X62">
    <cfRule type="containsText" dxfId="341" priority="314" operator="containsText" text="Small">
      <formula>NOT(ISERROR(SEARCH("Small",X62)))</formula>
    </cfRule>
    <cfRule type="containsText" dxfId="340" priority="315" operator="containsText" text="Mid">
      <formula>NOT(ISERROR(SEARCH("Mid",X62)))</formula>
    </cfRule>
    <cfRule type="containsText" dxfId="339" priority="316" operator="containsText" text="Large">
      <formula>NOT(ISERROR(SEARCH("Large",X62)))</formula>
    </cfRule>
  </conditionalFormatting>
  <conditionalFormatting sqref="X62">
    <cfRule type="containsText" dxfId="338" priority="311" operator="containsText" text="Small">
      <formula>NOT(ISERROR(SEARCH("Small",X62)))</formula>
    </cfRule>
    <cfRule type="containsText" dxfId="337" priority="312" operator="containsText" text="Mid">
      <formula>NOT(ISERROR(SEARCH("Mid",X62)))</formula>
    </cfRule>
    <cfRule type="containsText" dxfId="336" priority="313" operator="containsText" text="Large">
      <formula>NOT(ISERROR(SEARCH("Large",X62)))</formula>
    </cfRule>
  </conditionalFormatting>
  <conditionalFormatting sqref="X62">
    <cfRule type="containsText" dxfId="335" priority="308" operator="containsText" text="Small">
      <formula>NOT(ISERROR(SEARCH("Small",X62)))</formula>
    </cfRule>
    <cfRule type="containsText" dxfId="334" priority="309" operator="containsText" text="Mid">
      <formula>NOT(ISERROR(SEARCH("Mid",X62)))</formula>
    </cfRule>
    <cfRule type="containsText" dxfId="333" priority="310" operator="containsText" text="Large">
      <formula>NOT(ISERROR(SEARCH("Large",X62)))</formula>
    </cfRule>
  </conditionalFormatting>
  <conditionalFormatting sqref="X62">
    <cfRule type="containsText" dxfId="332" priority="305" operator="containsText" text="Small">
      <formula>NOT(ISERROR(SEARCH("Small",X62)))</formula>
    </cfRule>
    <cfRule type="containsText" dxfId="331" priority="306" operator="containsText" text="Mid">
      <formula>NOT(ISERROR(SEARCH("Mid",X62)))</formula>
    </cfRule>
    <cfRule type="containsText" dxfId="330" priority="307" operator="containsText" text="Large">
      <formula>NOT(ISERROR(SEARCH("Large",X62)))</formula>
    </cfRule>
  </conditionalFormatting>
  <conditionalFormatting sqref="X62">
    <cfRule type="containsText" dxfId="329" priority="302" operator="containsText" text="Small">
      <formula>NOT(ISERROR(SEARCH("Small",X62)))</formula>
    </cfRule>
    <cfRule type="containsText" dxfId="328" priority="303" operator="containsText" text="Mid">
      <formula>NOT(ISERROR(SEARCH("Mid",X62)))</formula>
    </cfRule>
    <cfRule type="containsText" dxfId="327" priority="304" operator="containsText" text="Large">
      <formula>NOT(ISERROR(SEARCH("Large",X62)))</formula>
    </cfRule>
  </conditionalFormatting>
  <conditionalFormatting sqref="X62">
    <cfRule type="containsText" dxfId="326" priority="299" operator="containsText" text="Small">
      <formula>NOT(ISERROR(SEARCH("Small",X62)))</formula>
    </cfRule>
    <cfRule type="containsText" dxfId="325" priority="300" operator="containsText" text="Mid">
      <formula>NOT(ISERROR(SEARCH("Mid",X62)))</formula>
    </cfRule>
    <cfRule type="containsText" dxfId="324" priority="301" operator="containsText" text="Large">
      <formula>NOT(ISERROR(SEARCH("Large",X62)))</formula>
    </cfRule>
  </conditionalFormatting>
  <conditionalFormatting sqref="X62">
    <cfRule type="containsText" dxfId="323" priority="296" operator="containsText" text="Small">
      <formula>NOT(ISERROR(SEARCH("Small",X62)))</formula>
    </cfRule>
    <cfRule type="containsText" dxfId="322" priority="297" operator="containsText" text="Mid">
      <formula>NOT(ISERROR(SEARCH("Mid",X62)))</formula>
    </cfRule>
    <cfRule type="containsText" dxfId="321" priority="298" operator="containsText" text="Large">
      <formula>NOT(ISERROR(SEARCH("Large",X62)))</formula>
    </cfRule>
  </conditionalFormatting>
  <conditionalFormatting sqref="X62">
    <cfRule type="containsText" dxfId="320" priority="293" operator="containsText" text="Small">
      <formula>NOT(ISERROR(SEARCH("Small",X62)))</formula>
    </cfRule>
    <cfRule type="containsText" dxfId="319" priority="294" operator="containsText" text="Mid">
      <formula>NOT(ISERROR(SEARCH("Mid",X62)))</formula>
    </cfRule>
    <cfRule type="containsText" dxfId="318" priority="295" operator="containsText" text="Large">
      <formula>NOT(ISERROR(SEARCH("Large",X62)))</formula>
    </cfRule>
  </conditionalFormatting>
  <conditionalFormatting sqref="X62">
    <cfRule type="containsText" dxfId="317" priority="290" operator="containsText" text="Small">
      <formula>NOT(ISERROR(SEARCH("Small",X62)))</formula>
    </cfRule>
    <cfRule type="containsText" dxfId="316" priority="291" operator="containsText" text="Mid">
      <formula>NOT(ISERROR(SEARCH("Mid",X62)))</formula>
    </cfRule>
    <cfRule type="containsText" dxfId="315" priority="292" operator="containsText" text="Large">
      <formula>NOT(ISERROR(SEARCH("Large",X62)))</formula>
    </cfRule>
  </conditionalFormatting>
  <conditionalFormatting sqref="X62">
    <cfRule type="containsText" dxfId="314" priority="287" operator="containsText" text="Small">
      <formula>NOT(ISERROR(SEARCH("Small",X62)))</formula>
    </cfRule>
    <cfRule type="containsText" dxfId="313" priority="288" operator="containsText" text="Mid">
      <formula>NOT(ISERROR(SEARCH("Mid",X62)))</formula>
    </cfRule>
    <cfRule type="containsText" dxfId="312" priority="289" operator="containsText" text="Large">
      <formula>NOT(ISERROR(SEARCH("Large",X62)))</formula>
    </cfRule>
  </conditionalFormatting>
  <conditionalFormatting sqref="X62">
    <cfRule type="containsText" dxfId="311" priority="284" operator="containsText" text="Small">
      <formula>NOT(ISERROR(SEARCH("Small",X62)))</formula>
    </cfRule>
    <cfRule type="containsText" dxfId="310" priority="285" operator="containsText" text="Mid">
      <formula>NOT(ISERROR(SEARCH("Mid",X62)))</formula>
    </cfRule>
    <cfRule type="containsText" dxfId="309" priority="286" operator="containsText" text="Large">
      <formula>NOT(ISERROR(SEARCH("Large",X62)))</formula>
    </cfRule>
  </conditionalFormatting>
  <conditionalFormatting sqref="X62">
    <cfRule type="containsText" dxfId="308" priority="281" operator="containsText" text="Small">
      <formula>NOT(ISERROR(SEARCH("Small",X62)))</formula>
    </cfRule>
    <cfRule type="containsText" dxfId="307" priority="282" operator="containsText" text="Mid">
      <formula>NOT(ISERROR(SEARCH("Mid",X62)))</formula>
    </cfRule>
    <cfRule type="containsText" dxfId="306" priority="283" operator="containsText" text="Large">
      <formula>NOT(ISERROR(SEARCH("Large",X62)))</formula>
    </cfRule>
  </conditionalFormatting>
  <conditionalFormatting sqref="X62">
    <cfRule type="containsText" dxfId="305" priority="278" operator="containsText" text="Small">
      <formula>NOT(ISERROR(SEARCH("Small",X62)))</formula>
    </cfRule>
    <cfRule type="containsText" dxfId="304" priority="279" operator="containsText" text="Mid">
      <formula>NOT(ISERROR(SEARCH("Mid",X62)))</formula>
    </cfRule>
    <cfRule type="containsText" dxfId="303" priority="280" operator="containsText" text="Large">
      <formula>NOT(ISERROR(SEARCH("Large",X62)))</formula>
    </cfRule>
  </conditionalFormatting>
  <conditionalFormatting sqref="X62">
    <cfRule type="containsText" dxfId="302" priority="275" operator="containsText" text="Small">
      <formula>NOT(ISERROR(SEARCH("Small",X62)))</formula>
    </cfRule>
    <cfRule type="containsText" dxfId="301" priority="276" operator="containsText" text="Mid">
      <formula>NOT(ISERROR(SEARCH("Mid",X62)))</formula>
    </cfRule>
    <cfRule type="containsText" dxfId="300" priority="277" operator="containsText" text="Large">
      <formula>NOT(ISERROR(SEARCH("Large",X62)))</formula>
    </cfRule>
  </conditionalFormatting>
  <conditionalFormatting sqref="X62">
    <cfRule type="containsText" dxfId="299" priority="272" operator="containsText" text="Small">
      <formula>NOT(ISERROR(SEARCH("Small",X62)))</formula>
    </cfRule>
    <cfRule type="containsText" dxfId="298" priority="273" operator="containsText" text="Mid">
      <formula>NOT(ISERROR(SEARCH("Mid",X62)))</formula>
    </cfRule>
    <cfRule type="containsText" dxfId="297" priority="274" operator="containsText" text="Large">
      <formula>NOT(ISERROR(SEARCH("Large",X62)))</formula>
    </cfRule>
  </conditionalFormatting>
  <conditionalFormatting sqref="X62">
    <cfRule type="containsText" dxfId="296" priority="269" operator="containsText" text="Small">
      <formula>NOT(ISERROR(SEARCH("Small",X62)))</formula>
    </cfRule>
    <cfRule type="containsText" dxfId="295" priority="270" operator="containsText" text="Mid">
      <formula>NOT(ISERROR(SEARCH("Mid",X62)))</formula>
    </cfRule>
    <cfRule type="containsText" dxfId="294" priority="271" operator="containsText" text="Large">
      <formula>NOT(ISERROR(SEARCH("Large",X62)))</formula>
    </cfRule>
  </conditionalFormatting>
  <conditionalFormatting sqref="X62">
    <cfRule type="containsText" dxfId="293" priority="266" operator="containsText" text="Small">
      <formula>NOT(ISERROR(SEARCH("Small",X62)))</formula>
    </cfRule>
    <cfRule type="containsText" dxfId="292" priority="267" operator="containsText" text="Mid">
      <formula>NOT(ISERROR(SEARCH("Mid",X62)))</formula>
    </cfRule>
    <cfRule type="containsText" dxfId="291" priority="268" operator="containsText" text="Large">
      <formula>NOT(ISERROR(SEARCH("Large",X62)))</formula>
    </cfRule>
  </conditionalFormatting>
  <conditionalFormatting sqref="X62">
    <cfRule type="containsText" dxfId="290" priority="263" operator="containsText" text="Small">
      <formula>NOT(ISERROR(SEARCH("Small",X62)))</formula>
    </cfRule>
    <cfRule type="containsText" dxfId="289" priority="264" operator="containsText" text="Mid">
      <formula>NOT(ISERROR(SEARCH("Mid",X62)))</formula>
    </cfRule>
    <cfRule type="containsText" dxfId="288" priority="265" operator="containsText" text="Large">
      <formula>NOT(ISERROR(SEARCH("Large",X62)))</formula>
    </cfRule>
  </conditionalFormatting>
  <conditionalFormatting sqref="X62">
    <cfRule type="containsText" dxfId="287" priority="260" operator="containsText" text="Small">
      <formula>NOT(ISERROR(SEARCH("Small",X62)))</formula>
    </cfRule>
    <cfRule type="containsText" dxfId="286" priority="261" operator="containsText" text="Mid">
      <formula>NOT(ISERROR(SEARCH("Mid",X62)))</formula>
    </cfRule>
    <cfRule type="containsText" dxfId="285" priority="262" operator="containsText" text="Large">
      <formula>NOT(ISERROR(SEARCH("Large",X62)))</formula>
    </cfRule>
  </conditionalFormatting>
  <conditionalFormatting sqref="X62">
    <cfRule type="containsText" dxfId="284" priority="257" operator="containsText" text="Small">
      <formula>NOT(ISERROR(SEARCH("Small",X62)))</formula>
    </cfRule>
    <cfRule type="containsText" dxfId="283" priority="258" operator="containsText" text="Mid">
      <formula>NOT(ISERROR(SEARCH("Mid",X62)))</formula>
    </cfRule>
    <cfRule type="containsText" dxfId="282" priority="259" operator="containsText" text="Large">
      <formula>NOT(ISERROR(SEARCH("Large",X62)))</formula>
    </cfRule>
  </conditionalFormatting>
  <conditionalFormatting sqref="X62">
    <cfRule type="containsText" dxfId="281" priority="254" operator="containsText" text="Small">
      <formula>NOT(ISERROR(SEARCH("Small",X62)))</formula>
    </cfRule>
    <cfRule type="containsText" dxfId="280" priority="255" operator="containsText" text="Mid">
      <formula>NOT(ISERROR(SEARCH("Mid",X62)))</formula>
    </cfRule>
    <cfRule type="containsText" dxfId="279" priority="256" operator="containsText" text="Large">
      <formula>NOT(ISERROR(SEARCH("Large",X62)))</formula>
    </cfRule>
  </conditionalFormatting>
  <conditionalFormatting sqref="X62">
    <cfRule type="containsText" dxfId="278" priority="251" operator="containsText" text="Small">
      <formula>NOT(ISERROR(SEARCH("Small",X62)))</formula>
    </cfRule>
    <cfRule type="containsText" dxfId="277" priority="252" operator="containsText" text="Mid">
      <formula>NOT(ISERROR(SEARCH("Mid",X62)))</formula>
    </cfRule>
    <cfRule type="containsText" dxfId="276" priority="253" operator="containsText" text="Large">
      <formula>NOT(ISERROR(SEARCH("Large",X62)))</formula>
    </cfRule>
  </conditionalFormatting>
  <conditionalFormatting sqref="X62">
    <cfRule type="containsText" dxfId="275" priority="248" operator="containsText" text="Small">
      <formula>NOT(ISERROR(SEARCH("Small",X62)))</formula>
    </cfRule>
    <cfRule type="containsText" dxfId="274" priority="249" operator="containsText" text="Mid">
      <formula>NOT(ISERROR(SEARCH("Mid",X62)))</formula>
    </cfRule>
    <cfRule type="containsText" dxfId="273" priority="250" operator="containsText" text="Large">
      <formula>NOT(ISERROR(SEARCH("Large",X62)))</formula>
    </cfRule>
  </conditionalFormatting>
  <conditionalFormatting sqref="X62">
    <cfRule type="containsText" dxfId="272" priority="245" operator="containsText" text="Small">
      <formula>NOT(ISERROR(SEARCH("Small",X62)))</formula>
    </cfRule>
    <cfRule type="containsText" dxfId="271" priority="246" operator="containsText" text="Mid">
      <formula>NOT(ISERROR(SEARCH("Mid",X62)))</formula>
    </cfRule>
    <cfRule type="containsText" dxfId="270" priority="247" operator="containsText" text="Large">
      <formula>NOT(ISERROR(SEARCH("Large",X62)))</formula>
    </cfRule>
  </conditionalFormatting>
  <conditionalFormatting sqref="X48">
    <cfRule type="containsText" dxfId="269" priority="244" operator="containsText" text="No Cap">
      <formula>NOT(ISERROR(SEARCH("No Cap",X48)))</formula>
    </cfRule>
  </conditionalFormatting>
  <conditionalFormatting sqref="X48">
    <cfRule type="containsText" dxfId="268" priority="243" operator="containsText" text="No Cap">
      <formula>NOT(ISERROR(SEARCH("No Cap",X48)))</formula>
    </cfRule>
  </conditionalFormatting>
  <conditionalFormatting sqref="X48">
    <cfRule type="containsText" dxfId="267" priority="240" operator="containsText" text="Small">
      <formula>NOT(ISERROR(SEARCH("Small",X48)))</formula>
    </cfRule>
    <cfRule type="containsText" dxfId="266" priority="241" operator="containsText" text="Mid">
      <formula>NOT(ISERROR(SEARCH("Mid",X48)))</formula>
    </cfRule>
    <cfRule type="containsText" dxfId="265" priority="242" operator="containsText" text="Large">
      <formula>NOT(ISERROR(SEARCH("Large",X48)))</formula>
    </cfRule>
  </conditionalFormatting>
  <conditionalFormatting sqref="X48">
    <cfRule type="containsText" dxfId="264" priority="237" operator="containsText" text="Small">
      <formula>NOT(ISERROR(SEARCH("Small",X48)))</formula>
    </cfRule>
    <cfRule type="containsText" dxfId="263" priority="238" operator="containsText" text="Mid">
      <formula>NOT(ISERROR(SEARCH("Mid",X48)))</formula>
    </cfRule>
    <cfRule type="containsText" dxfId="262" priority="239" operator="containsText" text="Large">
      <formula>NOT(ISERROR(SEARCH("Large",X48)))</formula>
    </cfRule>
  </conditionalFormatting>
  <conditionalFormatting sqref="X48">
    <cfRule type="containsText" dxfId="261" priority="234" operator="containsText" text="Small">
      <formula>NOT(ISERROR(SEARCH("Small",X48)))</formula>
    </cfRule>
    <cfRule type="containsText" dxfId="260" priority="235" operator="containsText" text="Mid">
      <formula>NOT(ISERROR(SEARCH("Mid",X48)))</formula>
    </cfRule>
    <cfRule type="containsText" dxfId="259" priority="236" operator="containsText" text="Large">
      <formula>NOT(ISERROR(SEARCH("Large",X48)))</formula>
    </cfRule>
  </conditionalFormatting>
  <conditionalFormatting sqref="X48">
    <cfRule type="containsText" dxfId="258" priority="233" operator="containsText" text="No Cap">
      <formula>NOT(ISERROR(SEARCH("No Cap",X48)))</formula>
    </cfRule>
  </conditionalFormatting>
  <conditionalFormatting sqref="X48">
    <cfRule type="containsText" dxfId="257" priority="232" operator="containsText" text="No Cap">
      <formula>NOT(ISERROR(SEARCH("No Cap",X48)))</formula>
    </cfRule>
  </conditionalFormatting>
  <conditionalFormatting sqref="X48">
    <cfRule type="containsText" dxfId="256" priority="229" operator="containsText" text="Small">
      <formula>NOT(ISERROR(SEARCH("Small",X48)))</formula>
    </cfRule>
    <cfRule type="containsText" dxfId="255" priority="230" operator="containsText" text="Mid">
      <formula>NOT(ISERROR(SEARCH("Mid",X48)))</formula>
    </cfRule>
    <cfRule type="containsText" dxfId="254" priority="231" operator="containsText" text="Large">
      <formula>NOT(ISERROR(SEARCH("Large",X48)))</formula>
    </cfRule>
  </conditionalFormatting>
  <conditionalFormatting sqref="X48">
    <cfRule type="containsText" dxfId="253" priority="226" operator="containsText" text="Small">
      <formula>NOT(ISERROR(SEARCH("Small",X48)))</formula>
    </cfRule>
    <cfRule type="containsText" dxfId="252" priority="227" operator="containsText" text="Mid">
      <formula>NOT(ISERROR(SEARCH("Mid",X48)))</formula>
    </cfRule>
    <cfRule type="containsText" dxfId="251" priority="228" operator="containsText" text="Large">
      <formula>NOT(ISERROR(SEARCH("Large",X48)))</formula>
    </cfRule>
  </conditionalFormatting>
  <conditionalFormatting sqref="X48">
    <cfRule type="containsText" dxfId="250" priority="223" operator="containsText" text="Small">
      <formula>NOT(ISERROR(SEARCH("Small",X48)))</formula>
    </cfRule>
    <cfRule type="containsText" dxfId="249" priority="224" operator="containsText" text="Mid">
      <formula>NOT(ISERROR(SEARCH("Mid",X48)))</formula>
    </cfRule>
    <cfRule type="containsText" dxfId="248" priority="225" operator="containsText" text="Large">
      <formula>NOT(ISERROR(SEARCH("Large",X48)))</formula>
    </cfRule>
  </conditionalFormatting>
  <conditionalFormatting sqref="X48">
    <cfRule type="containsText" dxfId="247" priority="222" operator="containsText" text="No Cap">
      <formula>NOT(ISERROR(SEARCH("No Cap",X48)))</formula>
    </cfRule>
  </conditionalFormatting>
  <conditionalFormatting sqref="X48">
    <cfRule type="containsText" dxfId="246" priority="221" operator="containsText" text="No Cap">
      <formula>NOT(ISERROR(SEARCH("No Cap",X48)))</formula>
    </cfRule>
  </conditionalFormatting>
  <conditionalFormatting sqref="X48">
    <cfRule type="containsText" dxfId="245" priority="218" operator="containsText" text="Small">
      <formula>NOT(ISERROR(SEARCH("Small",X48)))</formula>
    </cfRule>
    <cfRule type="containsText" dxfId="244" priority="219" operator="containsText" text="Mid">
      <formula>NOT(ISERROR(SEARCH("Mid",X48)))</formula>
    </cfRule>
    <cfRule type="containsText" dxfId="243" priority="220" operator="containsText" text="Large">
      <formula>NOT(ISERROR(SEARCH("Large",X48)))</formula>
    </cfRule>
  </conditionalFormatting>
  <conditionalFormatting sqref="X48">
    <cfRule type="containsText" dxfId="242" priority="215" operator="containsText" text="Small">
      <formula>NOT(ISERROR(SEARCH("Small",X48)))</formula>
    </cfRule>
    <cfRule type="containsText" dxfId="241" priority="216" operator="containsText" text="Mid">
      <formula>NOT(ISERROR(SEARCH("Mid",X48)))</formula>
    </cfRule>
    <cfRule type="containsText" dxfId="240" priority="217" operator="containsText" text="Large">
      <formula>NOT(ISERROR(SEARCH("Large",X48)))</formula>
    </cfRule>
  </conditionalFormatting>
  <conditionalFormatting sqref="X48">
    <cfRule type="containsText" dxfId="239" priority="212" operator="containsText" text="Small">
      <formula>NOT(ISERROR(SEARCH("Small",X48)))</formula>
    </cfRule>
    <cfRule type="containsText" dxfId="238" priority="213" operator="containsText" text="Mid">
      <formula>NOT(ISERROR(SEARCH("Mid",X48)))</formula>
    </cfRule>
    <cfRule type="containsText" dxfId="237" priority="214" operator="containsText" text="Large">
      <formula>NOT(ISERROR(SEARCH("Large",X48)))</formula>
    </cfRule>
  </conditionalFormatting>
  <conditionalFormatting sqref="X48">
    <cfRule type="containsText" dxfId="236" priority="211" operator="containsText" text="NA">
      <formula>NOT(ISERROR(SEARCH("NA",X48)))</formula>
    </cfRule>
  </conditionalFormatting>
  <conditionalFormatting sqref="X48">
    <cfRule type="containsText" dxfId="235" priority="208" operator="containsText" text="Small">
      <formula>NOT(ISERROR(SEARCH("Small",X48)))</formula>
    </cfRule>
    <cfRule type="containsText" dxfId="234" priority="209" operator="containsText" text="Mid">
      <formula>NOT(ISERROR(SEARCH("Mid",X48)))</formula>
    </cfRule>
    <cfRule type="containsText" dxfId="233" priority="210" operator="containsText" text="Large">
      <formula>NOT(ISERROR(SEARCH("Large",X48)))</formula>
    </cfRule>
  </conditionalFormatting>
  <conditionalFormatting sqref="X48">
    <cfRule type="containsText" dxfId="232" priority="205" operator="containsText" text="Small">
      <formula>NOT(ISERROR(SEARCH("Small",X48)))</formula>
    </cfRule>
    <cfRule type="containsText" dxfId="231" priority="206" operator="containsText" text="Mid">
      <formula>NOT(ISERROR(SEARCH("Mid",X48)))</formula>
    </cfRule>
    <cfRule type="containsText" dxfId="230" priority="207" operator="containsText" text="Large">
      <formula>NOT(ISERROR(SEARCH("Large",X48)))</formula>
    </cfRule>
  </conditionalFormatting>
  <conditionalFormatting sqref="X48">
    <cfRule type="containsText" dxfId="229" priority="202" operator="containsText" text="Small">
      <formula>NOT(ISERROR(SEARCH("Small",X48)))</formula>
    </cfRule>
    <cfRule type="containsText" dxfId="228" priority="203" operator="containsText" text="Mid">
      <formula>NOT(ISERROR(SEARCH("Mid",X48)))</formula>
    </cfRule>
    <cfRule type="containsText" dxfId="227" priority="204" operator="containsText" text="Large">
      <formula>NOT(ISERROR(SEARCH("Large",X48)))</formula>
    </cfRule>
  </conditionalFormatting>
  <conditionalFormatting sqref="X48">
    <cfRule type="containsText" dxfId="226" priority="199" operator="containsText" text="Small">
      <formula>NOT(ISERROR(SEARCH("Small",X48)))</formula>
    </cfRule>
    <cfRule type="containsText" dxfId="225" priority="200" operator="containsText" text="Mid">
      <formula>NOT(ISERROR(SEARCH("Mid",X48)))</formula>
    </cfRule>
    <cfRule type="containsText" dxfId="224" priority="201" operator="containsText" text="Large">
      <formula>NOT(ISERROR(SEARCH("Large",X48)))</formula>
    </cfRule>
  </conditionalFormatting>
  <conditionalFormatting sqref="X48">
    <cfRule type="containsText" dxfId="223" priority="196" operator="containsText" text="Small">
      <formula>NOT(ISERROR(SEARCH("Small",X48)))</formula>
    </cfRule>
    <cfRule type="containsText" dxfId="222" priority="197" operator="containsText" text="Mid">
      <formula>NOT(ISERROR(SEARCH("Mid",X48)))</formula>
    </cfRule>
    <cfRule type="containsText" dxfId="221" priority="198" operator="containsText" text="Large">
      <formula>NOT(ISERROR(SEARCH("Large",X48)))</formula>
    </cfRule>
  </conditionalFormatting>
  <conditionalFormatting sqref="X48">
    <cfRule type="containsText" dxfId="220" priority="193" operator="containsText" text="Small">
      <formula>NOT(ISERROR(SEARCH("Small",X48)))</formula>
    </cfRule>
    <cfRule type="containsText" dxfId="219" priority="194" operator="containsText" text="Mid">
      <formula>NOT(ISERROR(SEARCH("Mid",X48)))</formula>
    </cfRule>
    <cfRule type="containsText" dxfId="218" priority="195" operator="containsText" text="Large">
      <formula>NOT(ISERROR(SEARCH("Large",X48)))</formula>
    </cfRule>
  </conditionalFormatting>
  <conditionalFormatting sqref="X48">
    <cfRule type="containsText" dxfId="217" priority="190" operator="containsText" text="Small">
      <formula>NOT(ISERROR(SEARCH("Small",X48)))</formula>
    </cfRule>
    <cfRule type="containsText" dxfId="216" priority="191" operator="containsText" text="Mid">
      <formula>NOT(ISERROR(SEARCH("Mid",X48)))</formula>
    </cfRule>
    <cfRule type="containsText" dxfId="215" priority="192" operator="containsText" text="Large">
      <formula>NOT(ISERROR(SEARCH("Large",X48)))</formula>
    </cfRule>
  </conditionalFormatting>
  <conditionalFormatting sqref="X48">
    <cfRule type="containsText" dxfId="214" priority="187" operator="containsText" text="Small">
      <formula>NOT(ISERROR(SEARCH("Small",X48)))</formula>
    </cfRule>
    <cfRule type="containsText" dxfId="213" priority="188" operator="containsText" text="Mid">
      <formula>NOT(ISERROR(SEARCH("Mid",X48)))</formula>
    </cfRule>
    <cfRule type="containsText" dxfId="212" priority="189" operator="containsText" text="Large">
      <formula>NOT(ISERROR(SEARCH("Large",X48)))</formula>
    </cfRule>
  </conditionalFormatting>
  <conditionalFormatting sqref="X48">
    <cfRule type="containsText" dxfId="211" priority="184" operator="containsText" text="Small">
      <formula>NOT(ISERROR(SEARCH("Small",X48)))</formula>
    </cfRule>
    <cfRule type="containsText" dxfId="210" priority="185" operator="containsText" text="Mid">
      <formula>NOT(ISERROR(SEARCH("Mid",X48)))</formula>
    </cfRule>
    <cfRule type="containsText" dxfId="209" priority="186" operator="containsText" text="Large">
      <formula>NOT(ISERROR(SEARCH("Large",X48)))</formula>
    </cfRule>
  </conditionalFormatting>
  <conditionalFormatting sqref="X48">
    <cfRule type="containsText" dxfId="208" priority="181" operator="containsText" text="Small">
      <formula>NOT(ISERROR(SEARCH("Small",X48)))</formula>
    </cfRule>
    <cfRule type="containsText" dxfId="207" priority="182" operator="containsText" text="Mid">
      <formula>NOT(ISERROR(SEARCH("Mid",X48)))</formula>
    </cfRule>
    <cfRule type="containsText" dxfId="206" priority="183" operator="containsText" text="Large">
      <formula>NOT(ISERROR(SEARCH("Large",X48)))</formula>
    </cfRule>
  </conditionalFormatting>
  <conditionalFormatting sqref="X48">
    <cfRule type="containsText" dxfId="205" priority="178" operator="containsText" text="Small">
      <formula>NOT(ISERROR(SEARCH("Small",X48)))</formula>
    </cfRule>
    <cfRule type="containsText" dxfId="204" priority="179" operator="containsText" text="Mid">
      <formula>NOT(ISERROR(SEARCH("Mid",X48)))</formula>
    </cfRule>
    <cfRule type="containsText" dxfId="203" priority="180" operator="containsText" text="Large">
      <formula>NOT(ISERROR(SEARCH("Large",X48)))</formula>
    </cfRule>
  </conditionalFormatting>
  <conditionalFormatting sqref="X48">
    <cfRule type="containsText" dxfId="202" priority="175" operator="containsText" text="Small">
      <formula>NOT(ISERROR(SEARCH("Small",X48)))</formula>
    </cfRule>
    <cfRule type="containsText" dxfId="201" priority="176" operator="containsText" text="Mid">
      <formula>NOT(ISERROR(SEARCH("Mid",X48)))</formula>
    </cfRule>
    <cfRule type="containsText" dxfId="200" priority="177" operator="containsText" text="Large">
      <formula>NOT(ISERROR(SEARCH("Large",X48)))</formula>
    </cfRule>
  </conditionalFormatting>
  <conditionalFormatting sqref="X48">
    <cfRule type="containsText" dxfId="199" priority="172" operator="containsText" text="Small">
      <formula>NOT(ISERROR(SEARCH("Small",X48)))</formula>
    </cfRule>
    <cfRule type="containsText" dxfId="198" priority="173" operator="containsText" text="Mid">
      <formula>NOT(ISERROR(SEARCH("Mid",X48)))</formula>
    </cfRule>
    <cfRule type="containsText" dxfId="197" priority="174" operator="containsText" text="Large">
      <formula>NOT(ISERROR(SEARCH("Large",X48)))</formula>
    </cfRule>
  </conditionalFormatting>
  <conditionalFormatting sqref="X48">
    <cfRule type="containsText" dxfId="196" priority="169" operator="containsText" text="Small">
      <formula>NOT(ISERROR(SEARCH("Small",X48)))</formula>
    </cfRule>
    <cfRule type="containsText" dxfId="195" priority="170" operator="containsText" text="Mid">
      <formula>NOT(ISERROR(SEARCH("Mid",X48)))</formula>
    </cfRule>
    <cfRule type="containsText" dxfId="194" priority="171" operator="containsText" text="Large">
      <formula>NOT(ISERROR(SEARCH("Large",X48)))</formula>
    </cfRule>
  </conditionalFormatting>
  <conditionalFormatting sqref="X48">
    <cfRule type="containsText" dxfId="193" priority="166" operator="containsText" text="Small">
      <formula>NOT(ISERROR(SEARCH("Small",X48)))</formula>
    </cfRule>
    <cfRule type="containsText" dxfId="192" priority="167" operator="containsText" text="Mid">
      <formula>NOT(ISERROR(SEARCH("Mid",X48)))</formula>
    </cfRule>
    <cfRule type="containsText" dxfId="191" priority="168" operator="containsText" text="Large">
      <formula>NOT(ISERROR(SEARCH("Large",X48)))</formula>
    </cfRule>
  </conditionalFormatting>
  <conditionalFormatting sqref="X48">
    <cfRule type="containsText" dxfId="190" priority="163" operator="containsText" text="Small">
      <formula>NOT(ISERROR(SEARCH("Small",X48)))</formula>
    </cfRule>
    <cfRule type="containsText" dxfId="189" priority="164" operator="containsText" text="Mid">
      <formula>NOT(ISERROR(SEARCH("Mid",X48)))</formula>
    </cfRule>
    <cfRule type="containsText" dxfId="188" priority="165" operator="containsText" text="Large">
      <formula>NOT(ISERROR(SEARCH("Large",X48)))</formula>
    </cfRule>
  </conditionalFormatting>
  <conditionalFormatting sqref="X48">
    <cfRule type="containsText" dxfId="187" priority="160" operator="containsText" text="Small">
      <formula>NOT(ISERROR(SEARCH("Small",X48)))</formula>
    </cfRule>
    <cfRule type="containsText" dxfId="186" priority="161" operator="containsText" text="Mid">
      <formula>NOT(ISERROR(SEARCH("Mid",X48)))</formula>
    </cfRule>
    <cfRule type="containsText" dxfId="185" priority="162" operator="containsText" text="Large">
      <formula>NOT(ISERROR(SEARCH("Large",X48)))</formula>
    </cfRule>
  </conditionalFormatting>
  <conditionalFormatting sqref="X48">
    <cfRule type="containsText" dxfId="184" priority="157" operator="containsText" text="Small">
      <formula>NOT(ISERROR(SEARCH("Small",X48)))</formula>
    </cfRule>
    <cfRule type="containsText" dxfId="183" priority="158" operator="containsText" text="Mid">
      <formula>NOT(ISERROR(SEARCH("Mid",X48)))</formula>
    </cfRule>
    <cfRule type="containsText" dxfId="182" priority="159" operator="containsText" text="Large">
      <formula>NOT(ISERROR(SEARCH("Large",X48)))</formula>
    </cfRule>
  </conditionalFormatting>
  <conditionalFormatting sqref="X48">
    <cfRule type="containsText" dxfId="181" priority="154" operator="containsText" text="Small">
      <formula>NOT(ISERROR(SEARCH("Small",X48)))</formula>
    </cfRule>
    <cfRule type="containsText" dxfId="180" priority="155" operator="containsText" text="Mid">
      <formula>NOT(ISERROR(SEARCH("Mid",X48)))</formula>
    </cfRule>
    <cfRule type="containsText" dxfId="179" priority="156" operator="containsText" text="Large">
      <formula>NOT(ISERROR(SEARCH("Large",X48)))</formula>
    </cfRule>
  </conditionalFormatting>
  <conditionalFormatting sqref="X48">
    <cfRule type="containsText" dxfId="178" priority="151" operator="containsText" text="Small">
      <formula>NOT(ISERROR(SEARCH("Small",X48)))</formula>
    </cfRule>
    <cfRule type="containsText" dxfId="177" priority="152" operator="containsText" text="Mid">
      <formula>NOT(ISERROR(SEARCH("Mid",X48)))</formula>
    </cfRule>
    <cfRule type="containsText" dxfId="176" priority="153" operator="containsText" text="Large">
      <formula>NOT(ISERROR(SEARCH("Large",X48)))</formula>
    </cfRule>
  </conditionalFormatting>
  <conditionalFormatting sqref="X48">
    <cfRule type="containsText" dxfId="175" priority="148" operator="containsText" text="Small">
      <formula>NOT(ISERROR(SEARCH("Small",X48)))</formula>
    </cfRule>
    <cfRule type="containsText" dxfId="174" priority="149" operator="containsText" text="Mid">
      <formula>NOT(ISERROR(SEARCH("Mid",X48)))</formula>
    </cfRule>
    <cfRule type="containsText" dxfId="173" priority="150" operator="containsText" text="Large">
      <formula>NOT(ISERROR(SEARCH("Large",X48)))</formula>
    </cfRule>
  </conditionalFormatting>
  <conditionalFormatting sqref="X48">
    <cfRule type="containsText" dxfId="172" priority="145" operator="containsText" text="Small">
      <formula>NOT(ISERROR(SEARCH("Small",X48)))</formula>
    </cfRule>
    <cfRule type="containsText" dxfId="171" priority="146" operator="containsText" text="Mid">
      <formula>NOT(ISERROR(SEARCH("Mid",X48)))</formula>
    </cfRule>
    <cfRule type="containsText" dxfId="170" priority="147" operator="containsText" text="Large">
      <formula>NOT(ISERROR(SEARCH("Large",X48)))</formula>
    </cfRule>
  </conditionalFormatting>
  <conditionalFormatting sqref="X48">
    <cfRule type="containsText" dxfId="169" priority="142" operator="containsText" text="Small">
      <formula>NOT(ISERROR(SEARCH("Small",X48)))</formula>
    </cfRule>
    <cfRule type="containsText" dxfId="168" priority="143" operator="containsText" text="Mid">
      <formula>NOT(ISERROR(SEARCH("Mid",X48)))</formula>
    </cfRule>
    <cfRule type="containsText" dxfId="167" priority="144" operator="containsText" text="Large">
      <formula>NOT(ISERROR(SEARCH("Large",X48)))</formula>
    </cfRule>
  </conditionalFormatting>
  <conditionalFormatting sqref="X48">
    <cfRule type="containsText" dxfId="166" priority="139" operator="containsText" text="Small">
      <formula>NOT(ISERROR(SEARCH("Small",X48)))</formula>
    </cfRule>
    <cfRule type="containsText" dxfId="165" priority="140" operator="containsText" text="Mid">
      <formula>NOT(ISERROR(SEARCH("Mid",X48)))</formula>
    </cfRule>
    <cfRule type="containsText" dxfId="164" priority="141" operator="containsText" text="Large">
      <formula>NOT(ISERROR(SEARCH("Large",X48)))</formula>
    </cfRule>
  </conditionalFormatting>
  <conditionalFormatting sqref="X48">
    <cfRule type="containsText" dxfId="163" priority="136" operator="containsText" text="Small">
      <formula>NOT(ISERROR(SEARCH("Small",X48)))</formula>
    </cfRule>
    <cfRule type="containsText" dxfId="162" priority="137" operator="containsText" text="Mid">
      <formula>NOT(ISERROR(SEARCH("Mid",X48)))</formula>
    </cfRule>
    <cfRule type="containsText" dxfId="161" priority="138" operator="containsText" text="Large">
      <formula>NOT(ISERROR(SEARCH("Large",X48)))</formula>
    </cfRule>
  </conditionalFormatting>
  <conditionalFormatting sqref="X48">
    <cfRule type="containsText" dxfId="160" priority="133" operator="containsText" text="Small">
      <formula>NOT(ISERROR(SEARCH("Small",X48)))</formula>
    </cfRule>
    <cfRule type="containsText" dxfId="159" priority="134" operator="containsText" text="Mid">
      <formula>NOT(ISERROR(SEARCH("Mid",X48)))</formula>
    </cfRule>
    <cfRule type="containsText" dxfId="158" priority="135" operator="containsText" text="Large">
      <formula>NOT(ISERROR(SEARCH("Large",X48)))</formula>
    </cfRule>
  </conditionalFormatting>
  <conditionalFormatting sqref="X48">
    <cfRule type="containsText" dxfId="157" priority="130" operator="containsText" text="Small">
      <formula>NOT(ISERROR(SEARCH("Small",X48)))</formula>
    </cfRule>
    <cfRule type="containsText" dxfId="156" priority="131" operator="containsText" text="Mid">
      <formula>NOT(ISERROR(SEARCH("Mid",X48)))</formula>
    </cfRule>
    <cfRule type="containsText" dxfId="155" priority="132" operator="containsText" text="Large">
      <formula>NOT(ISERROR(SEARCH("Large",X48)))</formula>
    </cfRule>
  </conditionalFormatting>
  <conditionalFormatting sqref="X48">
    <cfRule type="containsText" dxfId="154" priority="127" operator="containsText" text="Small">
      <formula>NOT(ISERROR(SEARCH("Small",X48)))</formula>
    </cfRule>
    <cfRule type="containsText" dxfId="153" priority="128" operator="containsText" text="Mid">
      <formula>NOT(ISERROR(SEARCH("Mid",X48)))</formula>
    </cfRule>
    <cfRule type="containsText" dxfId="152" priority="129" operator="containsText" text="Large">
      <formula>NOT(ISERROR(SEARCH("Large",X48)))</formula>
    </cfRule>
  </conditionalFormatting>
  <conditionalFormatting sqref="X48">
    <cfRule type="containsText" dxfId="151" priority="124" operator="containsText" text="Small">
      <formula>NOT(ISERROR(SEARCH("Small",X48)))</formula>
    </cfRule>
    <cfRule type="containsText" dxfId="150" priority="125" operator="containsText" text="Mid">
      <formula>NOT(ISERROR(SEARCH("Mid",X48)))</formula>
    </cfRule>
    <cfRule type="containsText" dxfId="149" priority="126" operator="containsText" text="Large">
      <formula>NOT(ISERROR(SEARCH("Large",X48)))</formula>
    </cfRule>
  </conditionalFormatting>
  <conditionalFormatting sqref="X48">
    <cfRule type="containsText" dxfId="148" priority="121" operator="containsText" text="Small">
      <formula>NOT(ISERROR(SEARCH("Small",X48)))</formula>
    </cfRule>
    <cfRule type="containsText" dxfId="147" priority="122" operator="containsText" text="Mid">
      <formula>NOT(ISERROR(SEARCH("Mid",X48)))</formula>
    </cfRule>
    <cfRule type="containsText" dxfId="146" priority="123" operator="containsText" text="Large">
      <formula>NOT(ISERROR(SEARCH("Large",X48)))</formula>
    </cfRule>
  </conditionalFormatting>
  <conditionalFormatting sqref="X48">
    <cfRule type="containsText" dxfId="145" priority="118" operator="containsText" text="Small">
      <formula>NOT(ISERROR(SEARCH("Small",X48)))</formula>
    </cfRule>
    <cfRule type="containsText" dxfId="144" priority="119" operator="containsText" text="Mid">
      <formula>NOT(ISERROR(SEARCH("Mid",X48)))</formula>
    </cfRule>
    <cfRule type="containsText" dxfId="143" priority="120" operator="containsText" text="Large">
      <formula>NOT(ISERROR(SEARCH("Large",X48)))</formula>
    </cfRule>
  </conditionalFormatting>
  <conditionalFormatting sqref="X48">
    <cfRule type="containsText" dxfId="142" priority="115" operator="containsText" text="Small">
      <formula>NOT(ISERROR(SEARCH("Small",X48)))</formula>
    </cfRule>
    <cfRule type="containsText" dxfId="141" priority="116" operator="containsText" text="Mid">
      <formula>NOT(ISERROR(SEARCH("Mid",X48)))</formula>
    </cfRule>
    <cfRule type="containsText" dxfId="140" priority="117" operator="containsText" text="Large">
      <formula>NOT(ISERROR(SEARCH("Large",X48)))</formula>
    </cfRule>
  </conditionalFormatting>
  <conditionalFormatting sqref="X48">
    <cfRule type="containsText" dxfId="139" priority="112" operator="containsText" text="Small">
      <formula>NOT(ISERROR(SEARCH("Small",X48)))</formula>
    </cfRule>
    <cfRule type="containsText" dxfId="138" priority="113" operator="containsText" text="Mid">
      <formula>NOT(ISERROR(SEARCH("Mid",X48)))</formula>
    </cfRule>
    <cfRule type="containsText" dxfId="137" priority="114" operator="containsText" text="Large">
      <formula>NOT(ISERROR(SEARCH("Large",X48)))</formula>
    </cfRule>
  </conditionalFormatting>
  <conditionalFormatting sqref="X48">
    <cfRule type="containsText" dxfId="136" priority="109" operator="containsText" text="Small">
      <formula>NOT(ISERROR(SEARCH("Small",X48)))</formula>
    </cfRule>
    <cfRule type="containsText" dxfId="135" priority="110" operator="containsText" text="Mid">
      <formula>NOT(ISERROR(SEARCH("Mid",X48)))</formula>
    </cfRule>
    <cfRule type="containsText" dxfId="134" priority="111" operator="containsText" text="Large">
      <formula>NOT(ISERROR(SEARCH("Large",X48)))</formula>
    </cfRule>
  </conditionalFormatting>
  <conditionalFormatting sqref="X48">
    <cfRule type="containsText" dxfId="133" priority="106" operator="containsText" text="Small">
      <formula>NOT(ISERROR(SEARCH("Small",X48)))</formula>
    </cfRule>
    <cfRule type="containsText" dxfId="132" priority="107" operator="containsText" text="Mid">
      <formula>NOT(ISERROR(SEARCH("Mid",X48)))</formula>
    </cfRule>
    <cfRule type="containsText" dxfId="131" priority="108" operator="containsText" text="Large">
      <formula>NOT(ISERROR(SEARCH("Large",X48)))</formula>
    </cfRule>
  </conditionalFormatting>
  <conditionalFormatting sqref="X48">
    <cfRule type="containsText" dxfId="130" priority="103" operator="containsText" text="Small">
      <formula>NOT(ISERROR(SEARCH("Small",X48)))</formula>
    </cfRule>
    <cfRule type="containsText" dxfId="129" priority="104" operator="containsText" text="Mid">
      <formula>NOT(ISERROR(SEARCH("Mid",X48)))</formula>
    </cfRule>
    <cfRule type="containsText" dxfId="128" priority="105" operator="containsText" text="Large">
      <formula>NOT(ISERROR(SEARCH("Large",X48)))</formula>
    </cfRule>
  </conditionalFormatting>
  <conditionalFormatting sqref="X48">
    <cfRule type="containsText" dxfId="127" priority="100" operator="containsText" text="Small">
      <formula>NOT(ISERROR(SEARCH("Small",X48)))</formula>
    </cfRule>
    <cfRule type="containsText" dxfId="126" priority="101" operator="containsText" text="Mid">
      <formula>NOT(ISERROR(SEARCH("Mid",X48)))</formula>
    </cfRule>
    <cfRule type="containsText" dxfId="125" priority="102" operator="containsText" text="Large">
      <formula>NOT(ISERROR(SEARCH("Large",X48)))</formula>
    </cfRule>
  </conditionalFormatting>
  <conditionalFormatting sqref="X48">
    <cfRule type="containsText" dxfId="124" priority="97" operator="containsText" text="Small">
      <formula>NOT(ISERROR(SEARCH("Small",X48)))</formula>
    </cfRule>
    <cfRule type="containsText" dxfId="123" priority="98" operator="containsText" text="Mid">
      <formula>NOT(ISERROR(SEARCH("Mid",X48)))</formula>
    </cfRule>
    <cfRule type="containsText" dxfId="122" priority="99" operator="containsText" text="Large">
      <formula>NOT(ISERROR(SEARCH("Large",X48)))</formula>
    </cfRule>
  </conditionalFormatting>
  <conditionalFormatting sqref="X48">
    <cfRule type="containsText" dxfId="121" priority="94" operator="containsText" text="Small">
      <formula>NOT(ISERROR(SEARCH("Small",X48)))</formula>
    </cfRule>
    <cfRule type="containsText" dxfId="120" priority="95" operator="containsText" text="Mid">
      <formula>NOT(ISERROR(SEARCH("Mid",X48)))</formula>
    </cfRule>
    <cfRule type="containsText" dxfId="119" priority="96" operator="containsText" text="Large">
      <formula>NOT(ISERROR(SEARCH("Large",X48)))</formula>
    </cfRule>
  </conditionalFormatting>
  <conditionalFormatting sqref="X48">
    <cfRule type="containsText" dxfId="118" priority="91" operator="containsText" text="Small">
      <formula>NOT(ISERROR(SEARCH("Small",X48)))</formula>
    </cfRule>
    <cfRule type="containsText" dxfId="117" priority="92" operator="containsText" text="Mid">
      <formula>NOT(ISERROR(SEARCH("Mid",X48)))</formula>
    </cfRule>
    <cfRule type="containsText" dxfId="116" priority="93" operator="containsText" text="Large">
      <formula>NOT(ISERROR(SEARCH("Large",X48)))</formula>
    </cfRule>
  </conditionalFormatting>
  <conditionalFormatting sqref="X48">
    <cfRule type="containsText" dxfId="115" priority="88" operator="containsText" text="Small">
      <formula>NOT(ISERROR(SEARCH("Small",X48)))</formula>
    </cfRule>
    <cfRule type="containsText" dxfId="114" priority="89" operator="containsText" text="Mid">
      <formula>NOT(ISERROR(SEARCH("Mid",X48)))</formula>
    </cfRule>
    <cfRule type="containsText" dxfId="113" priority="90" operator="containsText" text="Large">
      <formula>NOT(ISERROR(SEARCH("Large",X48)))</formula>
    </cfRule>
  </conditionalFormatting>
  <conditionalFormatting sqref="X48">
    <cfRule type="containsText" dxfId="112" priority="85" operator="containsText" text="Small">
      <formula>NOT(ISERROR(SEARCH("Small",X48)))</formula>
    </cfRule>
    <cfRule type="containsText" dxfId="111" priority="86" operator="containsText" text="Mid">
      <formula>NOT(ISERROR(SEARCH("Mid",X48)))</formula>
    </cfRule>
    <cfRule type="containsText" dxfId="110" priority="87" operator="containsText" text="Large">
      <formula>NOT(ISERROR(SEARCH("Large",X48)))</formula>
    </cfRule>
  </conditionalFormatting>
  <conditionalFormatting sqref="X48">
    <cfRule type="containsText" dxfId="109" priority="82" operator="containsText" text="Small">
      <formula>NOT(ISERROR(SEARCH("Small",X48)))</formula>
    </cfRule>
    <cfRule type="containsText" dxfId="108" priority="83" operator="containsText" text="Mid">
      <formula>NOT(ISERROR(SEARCH("Mid",X48)))</formula>
    </cfRule>
    <cfRule type="containsText" dxfId="107" priority="84" operator="containsText" text="Large">
      <formula>NOT(ISERROR(SEARCH("Large",X48)))</formula>
    </cfRule>
  </conditionalFormatting>
  <conditionalFormatting sqref="X48">
    <cfRule type="containsText" dxfId="106" priority="79" operator="containsText" text="Small">
      <formula>NOT(ISERROR(SEARCH("Small",X48)))</formula>
    </cfRule>
    <cfRule type="containsText" dxfId="105" priority="80" operator="containsText" text="Mid">
      <formula>NOT(ISERROR(SEARCH("Mid",X48)))</formula>
    </cfRule>
    <cfRule type="containsText" dxfId="104" priority="81" operator="containsText" text="Large">
      <formula>NOT(ISERROR(SEARCH("Large",X48)))</formula>
    </cfRule>
  </conditionalFormatting>
  <conditionalFormatting sqref="X48">
    <cfRule type="containsText" dxfId="103" priority="76" operator="containsText" text="Small">
      <formula>NOT(ISERROR(SEARCH("Small",X48)))</formula>
    </cfRule>
    <cfRule type="containsText" dxfId="102" priority="77" operator="containsText" text="Mid">
      <formula>NOT(ISERROR(SEARCH("Mid",X48)))</formula>
    </cfRule>
    <cfRule type="containsText" dxfId="101" priority="78" operator="containsText" text="Large">
      <formula>NOT(ISERROR(SEARCH("Large",X48)))</formula>
    </cfRule>
  </conditionalFormatting>
  <conditionalFormatting sqref="X48">
    <cfRule type="containsText" dxfId="100" priority="73" operator="containsText" text="Small">
      <formula>NOT(ISERROR(SEARCH("Small",X48)))</formula>
    </cfRule>
    <cfRule type="containsText" dxfId="99" priority="74" operator="containsText" text="Mid">
      <formula>NOT(ISERROR(SEARCH("Mid",X48)))</formula>
    </cfRule>
    <cfRule type="containsText" dxfId="98" priority="75" operator="containsText" text="Large">
      <formula>NOT(ISERROR(SEARCH("Large",X48)))</formula>
    </cfRule>
  </conditionalFormatting>
  <conditionalFormatting sqref="X48">
    <cfRule type="containsText" dxfId="97" priority="70" operator="containsText" text="Small">
      <formula>NOT(ISERROR(SEARCH("Small",X48)))</formula>
    </cfRule>
    <cfRule type="containsText" dxfId="96" priority="71" operator="containsText" text="Mid">
      <formula>NOT(ISERROR(SEARCH("Mid",X48)))</formula>
    </cfRule>
    <cfRule type="containsText" dxfId="95" priority="72" operator="containsText" text="Large">
      <formula>NOT(ISERROR(SEARCH("Large",X48)))</formula>
    </cfRule>
  </conditionalFormatting>
  <conditionalFormatting sqref="X48">
    <cfRule type="containsText" dxfId="94" priority="67" operator="containsText" text="Small">
      <formula>NOT(ISERROR(SEARCH("Small",X48)))</formula>
    </cfRule>
    <cfRule type="containsText" dxfId="93" priority="68" operator="containsText" text="Mid">
      <formula>NOT(ISERROR(SEARCH("Mid",X48)))</formula>
    </cfRule>
    <cfRule type="containsText" dxfId="92" priority="69" operator="containsText" text="Large">
      <formula>NOT(ISERROR(SEARCH("Large",X48)))</formula>
    </cfRule>
  </conditionalFormatting>
  <conditionalFormatting sqref="X48">
    <cfRule type="containsText" dxfId="91" priority="64" operator="containsText" text="Small">
      <formula>NOT(ISERROR(SEARCH("Small",X48)))</formula>
    </cfRule>
    <cfRule type="containsText" dxfId="90" priority="65" operator="containsText" text="Mid">
      <formula>NOT(ISERROR(SEARCH("Mid",X48)))</formula>
    </cfRule>
    <cfRule type="containsText" dxfId="89" priority="66" operator="containsText" text="Large">
      <formula>NOT(ISERROR(SEARCH("Large",X48)))</formula>
    </cfRule>
  </conditionalFormatting>
  <conditionalFormatting sqref="X48">
    <cfRule type="containsText" dxfId="88" priority="61" operator="containsText" text="Small">
      <formula>NOT(ISERROR(SEARCH("Small",X48)))</formula>
    </cfRule>
    <cfRule type="containsText" dxfId="87" priority="62" operator="containsText" text="Mid">
      <formula>NOT(ISERROR(SEARCH("Mid",X48)))</formula>
    </cfRule>
    <cfRule type="containsText" dxfId="86" priority="63" operator="containsText" text="Large">
      <formula>NOT(ISERROR(SEARCH("Large",X48)))</formula>
    </cfRule>
  </conditionalFormatting>
  <conditionalFormatting sqref="X48">
    <cfRule type="containsText" dxfId="85" priority="58" operator="containsText" text="Small">
      <formula>NOT(ISERROR(SEARCH("Small",X48)))</formula>
    </cfRule>
    <cfRule type="containsText" dxfId="84" priority="59" operator="containsText" text="Mid">
      <formula>NOT(ISERROR(SEARCH("Mid",X48)))</formula>
    </cfRule>
    <cfRule type="containsText" dxfId="83" priority="60" operator="containsText" text="Large">
      <formula>NOT(ISERROR(SEARCH("Large",X48)))</formula>
    </cfRule>
  </conditionalFormatting>
  <conditionalFormatting sqref="X48">
    <cfRule type="containsText" dxfId="82" priority="55" operator="containsText" text="Small">
      <formula>NOT(ISERROR(SEARCH("Small",X48)))</formula>
    </cfRule>
    <cfRule type="containsText" dxfId="81" priority="56" operator="containsText" text="Mid">
      <formula>NOT(ISERROR(SEARCH("Mid",X48)))</formula>
    </cfRule>
    <cfRule type="containsText" dxfId="80" priority="57" operator="containsText" text="Large">
      <formula>NOT(ISERROR(SEARCH("Large",X48)))</formula>
    </cfRule>
  </conditionalFormatting>
  <conditionalFormatting sqref="X48">
    <cfRule type="containsText" dxfId="79" priority="52" operator="containsText" text="Small">
      <formula>NOT(ISERROR(SEARCH("Small",X48)))</formula>
    </cfRule>
    <cfRule type="containsText" dxfId="78" priority="53" operator="containsText" text="Mid">
      <formula>NOT(ISERROR(SEARCH("Mid",X48)))</formula>
    </cfRule>
    <cfRule type="containsText" dxfId="77" priority="54" operator="containsText" text="Large">
      <formula>NOT(ISERROR(SEARCH("Large",X48)))</formula>
    </cfRule>
  </conditionalFormatting>
  <conditionalFormatting sqref="X48">
    <cfRule type="containsText" dxfId="76" priority="49" operator="containsText" text="Small">
      <formula>NOT(ISERROR(SEARCH("Small",X48)))</formula>
    </cfRule>
    <cfRule type="containsText" dxfId="75" priority="50" operator="containsText" text="Mid">
      <formula>NOT(ISERROR(SEARCH("Mid",X48)))</formula>
    </cfRule>
    <cfRule type="containsText" dxfId="74" priority="51" operator="containsText" text="Large">
      <formula>NOT(ISERROR(SEARCH("Large",X48)))</formula>
    </cfRule>
  </conditionalFormatting>
  <conditionalFormatting sqref="X48">
    <cfRule type="containsText" dxfId="73" priority="46" operator="containsText" text="Small">
      <formula>NOT(ISERROR(SEARCH("Small",X48)))</formula>
    </cfRule>
    <cfRule type="containsText" dxfId="72" priority="47" operator="containsText" text="Mid">
      <formula>NOT(ISERROR(SEARCH("Mid",X48)))</formula>
    </cfRule>
    <cfRule type="containsText" dxfId="71" priority="48" operator="containsText" text="Large">
      <formula>NOT(ISERROR(SEARCH("Large",X48)))</formula>
    </cfRule>
  </conditionalFormatting>
  <conditionalFormatting sqref="X48">
    <cfRule type="containsText" dxfId="70" priority="43" operator="containsText" text="Small">
      <formula>NOT(ISERROR(SEARCH("Small",X48)))</formula>
    </cfRule>
    <cfRule type="containsText" dxfId="69" priority="44" operator="containsText" text="Mid">
      <formula>NOT(ISERROR(SEARCH("Mid",X48)))</formula>
    </cfRule>
    <cfRule type="containsText" dxfId="68" priority="45" operator="containsText" text="Large">
      <formula>NOT(ISERROR(SEARCH("Large",X48)))</formula>
    </cfRule>
  </conditionalFormatting>
  <conditionalFormatting sqref="X48">
    <cfRule type="containsText" dxfId="67" priority="40" operator="containsText" text="Small">
      <formula>NOT(ISERROR(SEARCH("Small",X48)))</formula>
    </cfRule>
    <cfRule type="containsText" dxfId="66" priority="41" operator="containsText" text="Mid">
      <formula>NOT(ISERROR(SEARCH("Mid",X48)))</formula>
    </cfRule>
    <cfRule type="containsText" dxfId="65" priority="42" operator="containsText" text="Large">
      <formula>NOT(ISERROR(SEARCH("Large",X48)))</formula>
    </cfRule>
  </conditionalFormatting>
  <conditionalFormatting sqref="X48">
    <cfRule type="containsText" dxfId="64" priority="37" operator="containsText" text="Small">
      <formula>NOT(ISERROR(SEARCH("Small",X48)))</formula>
    </cfRule>
    <cfRule type="containsText" dxfId="63" priority="38" operator="containsText" text="Mid">
      <formula>NOT(ISERROR(SEARCH("Mid",X48)))</formula>
    </cfRule>
    <cfRule type="containsText" dxfId="62" priority="39" operator="containsText" text="Large">
      <formula>NOT(ISERROR(SEARCH("Large",X48)))</formula>
    </cfRule>
  </conditionalFormatting>
  <conditionalFormatting sqref="X48">
    <cfRule type="containsText" dxfId="61" priority="34" operator="containsText" text="Small">
      <formula>NOT(ISERROR(SEARCH("Small",X48)))</formula>
    </cfRule>
    <cfRule type="containsText" dxfId="60" priority="35" operator="containsText" text="Mid">
      <formula>NOT(ISERROR(SEARCH("Mid",X48)))</formula>
    </cfRule>
    <cfRule type="containsText" dxfId="59" priority="36" operator="containsText" text="Large">
      <formula>NOT(ISERROR(SEARCH("Large",X48)))</formula>
    </cfRule>
  </conditionalFormatting>
  <conditionalFormatting sqref="X48">
    <cfRule type="containsText" dxfId="58" priority="31" operator="containsText" text="Small">
      <formula>NOT(ISERROR(SEARCH("Small",X48)))</formula>
    </cfRule>
    <cfRule type="containsText" dxfId="57" priority="32" operator="containsText" text="Mid">
      <formula>NOT(ISERROR(SEARCH("Mid",X48)))</formula>
    </cfRule>
    <cfRule type="containsText" dxfId="56" priority="33" operator="containsText" text="Large">
      <formula>NOT(ISERROR(SEARCH("Large",X48)))</formula>
    </cfRule>
  </conditionalFormatting>
  <conditionalFormatting sqref="X48">
    <cfRule type="containsText" dxfId="55" priority="28" operator="containsText" text="Small">
      <formula>NOT(ISERROR(SEARCH("Small",X48)))</formula>
    </cfRule>
    <cfRule type="containsText" dxfId="54" priority="29" operator="containsText" text="Mid">
      <formula>NOT(ISERROR(SEARCH("Mid",X48)))</formula>
    </cfRule>
    <cfRule type="containsText" dxfId="53" priority="30" operator="containsText" text="Large">
      <formula>NOT(ISERROR(SEARCH("Large",X48)))</formula>
    </cfRule>
  </conditionalFormatting>
  <conditionalFormatting sqref="X48">
    <cfRule type="containsText" dxfId="52" priority="25" operator="containsText" text="Small">
      <formula>NOT(ISERROR(SEARCH("Small",X48)))</formula>
    </cfRule>
    <cfRule type="containsText" dxfId="51" priority="26" operator="containsText" text="Mid">
      <formula>NOT(ISERROR(SEARCH("Mid",X48)))</formula>
    </cfRule>
    <cfRule type="containsText" dxfId="50" priority="27" operator="containsText" text="Large">
      <formula>NOT(ISERROR(SEARCH("Large",X48)))</formula>
    </cfRule>
  </conditionalFormatting>
  <conditionalFormatting sqref="X48">
    <cfRule type="containsText" dxfId="49" priority="22" operator="containsText" text="Small">
      <formula>NOT(ISERROR(SEARCH("Small",X48)))</formula>
    </cfRule>
    <cfRule type="containsText" dxfId="48" priority="23" operator="containsText" text="Mid">
      <formula>NOT(ISERROR(SEARCH("Mid",X48)))</formula>
    </cfRule>
    <cfRule type="containsText" dxfId="47" priority="24" operator="containsText" text="Large">
      <formula>NOT(ISERROR(SEARCH("Large",X48)))</formula>
    </cfRule>
  </conditionalFormatting>
  <conditionalFormatting sqref="X48">
    <cfRule type="containsText" dxfId="46" priority="19" operator="containsText" text="Small">
      <formula>NOT(ISERROR(SEARCH("Small",X48)))</formula>
    </cfRule>
    <cfRule type="containsText" dxfId="45" priority="20" operator="containsText" text="Mid">
      <formula>NOT(ISERROR(SEARCH("Mid",X48)))</formula>
    </cfRule>
    <cfRule type="containsText" dxfId="44" priority="21" operator="containsText" text="Large">
      <formula>NOT(ISERROR(SEARCH("Large",X48)))</formula>
    </cfRule>
  </conditionalFormatting>
  <conditionalFormatting sqref="X48">
    <cfRule type="containsText" dxfId="43" priority="16" operator="containsText" text="Small">
      <formula>NOT(ISERROR(SEARCH("Small",X48)))</formula>
    </cfRule>
    <cfRule type="containsText" dxfId="42" priority="17" operator="containsText" text="Mid">
      <formula>NOT(ISERROR(SEARCH("Mid",X48)))</formula>
    </cfRule>
    <cfRule type="containsText" dxfId="41" priority="18" operator="containsText" text="Large">
      <formula>NOT(ISERROR(SEARCH("Large",X48)))</formula>
    </cfRule>
  </conditionalFormatting>
  <conditionalFormatting sqref="X48">
    <cfRule type="containsText" dxfId="40" priority="13" operator="containsText" text="Small">
      <formula>NOT(ISERROR(SEARCH("Small",X48)))</formula>
    </cfRule>
    <cfRule type="containsText" dxfId="39" priority="14" operator="containsText" text="Mid">
      <formula>NOT(ISERROR(SEARCH("Mid",X48)))</formula>
    </cfRule>
    <cfRule type="containsText" dxfId="38" priority="15" operator="containsText" text="Large">
      <formula>NOT(ISERROR(SEARCH("Large",X48)))</formula>
    </cfRule>
  </conditionalFormatting>
  <conditionalFormatting sqref="X48">
    <cfRule type="containsText" dxfId="37" priority="10" operator="containsText" text="Small">
      <formula>NOT(ISERROR(SEARCH("Small",X48)))</formula>
    </cfRule>
    <cfRule type="containsText" dxfId="36" priority="11" operator="containsText" text="Mid">
      <formula>NOT(ISERROR(SEARCH("Mid",X48)))</formula>
    </cfRule>
    <cfRule type="containsText" dxfId="35" priority="12" operator="containsText" text="Large">
      <formula>NOT(ISERROR(SEARCH("Large",X48)))</formula>
    </cfRule>
  </conditionalFormatting>
  <conditionalFormatting sqref="X48">
    <cfRule type="containsText" dxfId="34" priority="7" operator="containsText" text="Small">
      <formula>NOT(ISERROR(SEARCH("Small",X48)))</formula>
    </cfRule>
    <cfRule type="containsText" dxfId="33" priority="8" operator="containsText" text="Mid">
      <formula>NOT(ISERROR(SEARCH("Mid",X48)))</formula>
    </cfRule>
    <cfRule type="containsText" dxfId="32" priority="9" operator="containsText" text="Large">
      <formula>NOT(ISERROR(SEARCH("Large",X48)))</formula>
    </cfRule>
  </conditionalFormatting>
  <conditionalFormatting sqref="X48">
    <cfRule type="containsText" dxfId="31" priority="4" operator="containsText" text="Small">
      <formula>NOT(ISERROR(SEARCH("Small",X48)))</formula>
    </cfRule>
    <cfRule type="containsText" dxfId="30" priority="5" operator="containsText" text="Mid">
      <formula>NOT(ISERROR(SEARCH("Mid",X48)))</formula>
    </cfRule>
    <cfRule type="containsText" dxfId="29" priority="6" operator="containsText" text="Large">
      <formula>NOT(ISERROR(SEARCH("Large",X48)))</formula>
    </cfRule>
  </conditionalFormatting>
  <conditionalFormatting sqref="X48">
    <cfRule type="containsText" dxfId="28" priority="1" operator="containsText" text="Small">
      <formula>NOT(ISERROR(SEARCH("Small",X48)))</formula>
    </cfRule>
    <cfRule type="containsText" dxfId="27" priority="2" operator="containsText" text="Mid">
      <formula>NOT(ISERROR(SEARCH("Mid",X48)))</formula>
    </cfRule>
    <cfRule type="containsText" dxfId="26" priority="3" operator="containsText" text="Large">
      <formula>NOT(ISERROR(SEARCH("Large",X48)))</formula>
    </cfRule>
  </conditionalFormatting>
  <hyperlinks>
    <hyperlink ref="AH83" r:id="rId1"/>
    <hyperlink ref="AF83" r:id="rId2"/>
  </hyperlinks>
  <pageMargins left="0.7" right="0.7" top="0.75" bottom="0.75" header="0.3" footer="0.3"/>
  <pageSetup scale="51" orientation="portrait" horizontalDpi="4294967292"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87" t="s">
        <v>272</v>
      </c>
      <c r="D3" s="487"/>
      <c r="E3" s="487"/>
      <c r="F3" s="487"/>
      <c r="G3" s="487"/>
      <c r="H3" s="487"/>
      <c r="I3" s="487"/>
      <c r="J3" s="487"/>
      <c r="K3" s="293"/>
      <c r="L3" s="293"/>
      <c r="M3" s="293"/>
      <c r="N3" s="293"/>
      <c r="O3" s="293"/>
    </row>
    <row r="4" spans="2:15" ht="31.5">
      <c r="B4" s="290"/>
      <c r="C4" s="292" t="s">
        <v>212</v>
      </c>
      <c r="D4" s="292" t="s">
        <v>115</v>
      </c>
      <c r="E4" s="292" t="s">
        <v>64</v>
      </c>
      <c r="F4" s="292" t="s">
        <v>267</v>
      </c>
      <c r="G4" s="447" t="s">
        <v>170</v>
      </c>
      <c r="H4" s="292"/>
      <c r="I4" s="448" t="s">
        <v>174</v>
      </c>
      <c r="J4" s="446" t="s">
        <v>264</v>
      </c>
      <c r="K4" s="446" t="s">
        <v>266</v>
      </c>
      <c r="L4" s="446" t="s">
        <v>263</v>
      </c>
      <c r="M4" s="446" t="s">
        <v>246</v>
      </c>
      <c r="N4" s="446" t="s">
        <v>265</v>
      </c>
      <c r="O4" s="293"/>
    </row>
    <row r="5" spans="2:15" ht="15.75">
      <c r="B5" s="290"/>
      <c r="C5" s="294" t="e">
        <f>Holdings!#REF!</f>
        <v>#REF!</v>
      </c>
      <c r="D5" s="443" t="e">
        <f>IF(Holdings!#REF!=0,"NA",Holdings!#REF!)</f>
        <v>#REF!</v>
      </c>
      <c r="E5" s="445" t="e">
        <f>Holdings!#REF!</f>
        <v>#REF!</v>
      </c>
      <c r="F5" s="444" t="e">
        <f>Holdings!#REF!</f>
        <v>#REF!</v>
      </c>
      <c r="G5" s="295" t="e">
        <f>Holdings!#REF!</f>
        <v>#REF!</v>
      </c>
      <c r="H5" s="295" t="e">
        <f t="shared" ref="H5:H23" si="0">(F5*G5)</f>
        <v>#REF!</v>
      </c>
      <c r="I5" s="295" t="e">
        <f>Holdings!#REF!</f>
        <v>#REF!</v>
      </c>
      <c r="J5" s="295" t="e">
        <f>Holdings!#REF!</f>
        <v>#REF!</v>
      </c>
      <c r="K5" s="295" t="e">
        <f>Holdings!#REF!</f>
        <v>#REF!</v>
      </c>
      <c r="L5" s="295" t="e">
        <f>($E5/Holdings!#REF!)-1</f>
        <v>#REF!</v>
      </c>
      <c r="M5" s="295" t="e">
        <f>Holdings!#REF!</f>
        <v>#REF!</v>
      </c>
      <c r="N5" s="295" t="e">
        <f>($E5/Holdings!#REF!)-1</f>
        <v>#REF!</v>
      </c>
      <c r="O5" s="293"/>
    </row>
    <row r="6" spans="2:15" ht="15.75">
      <c r="B6" s="290"/>
      <c r="C6" s="294" t="str">
        <f>Holdings!C9</f>
        <v>Delta Airlines</v>
      </c>
      <c r="D6" s="443" t="str">
        <f>IF(Holdings!D9=0,"NA",Holdings!D9)</f>
        <v>DAL</v>
      </c>
      <c r="E6" s="445">
        <f>Holdings!I9</f>
        <v>5090.21</v>
      </c>
      <c r="F6" s="444">
        <f>Holdings!W9</f>
        <v>8.3307239985440026E-2</v>
      </c>
      <c r="G6" s="295">
        <f>Holdings!U9</f>
        <v>-3.1600114909508759E-2</v>
      </c>
      <c r="H6" s="295">
        <f t="shared" si="0"/>
        <v>-2.6325183563339276E-3</v>
      </c>
      <c r="I6" s="295">
        <f>Holdings!T9</f>
        <v>-9.0110728920154592E-2</v>
      </c>
      <c r="J6" s="295">
        <f>Holdings!S9</f>
        <v>0.67578930041152274</v>
      </c>
      <c r="K6" s="295">
        <f>Holdings!R9</f>
        <v>0.24309392265193375</v>
      </c>
      <c r="L6" s="295">
        <f>($E6/Holdings!L9)-1</f>
        <v>1.0831634949866995</v>
      </c>
      <c r="M6" s="295">
        <f>Holdings!Q9</f>
        <v>-1.5507717597572857E-2</v>
      </c>
      <c r="N6" s="295">
        <f>($E6/Holdings!K9)-1</f>
        <v>1.0508583837968728</v>
      </c>
      <c r="O6" s="296"/>
    </row>
    <row r="7" spans="2:15" ht="15.75">
      <c r="B7" s="290"/>
      <c r="C7" s="294" t="str">
        <f>Holdings!C21</f>
        <v>Wells Fargo</v>
      </c>
      <c r="D7" s="443" t="str">
        <f>IF(Holdings!D22=0,"NA",Holdings!D22)</f>
        <v>YHOO</v>
      </c>
      <c r="E7" s="445">
        <f>Holdings!I21</f>
        <v>2760.48</v>
      </c>
      <c r="F7" s="444">
        <f>Holdings!W21</f>
        <v>4.5178483762950347E-2</v>
      </c>
      <c r="G7" s="295">
        <f>Holdings!U21</f>
        <v>-1.975071907957815E-2</v>
      </c>
      <c r="H7" s="295">
        <f t="shared" si="0"/>
        <v>-8.9230754124331509E-4</v>
      </c>
      <c r="I7" s="295">
        <f>Holdings!T21</f>
        <v>3.841039609325847E-2</v>
      </c>
      <c r="J7" s="295">
        <f>Holdings!S21</f>
        <v>0.24902755679263788</v>
      </c>
      <c r="K7" s="295">
        <f>Holdings!R21</f>
        <v>0.12659260375264414</v>
      </c>
      <c r="L7" s="295">
        <f>($E7/Holdings!L21)-1</f>
        <v>0.40714520736582149</v>
      </c>
      <c r="M7" s="295">
        <f>Holdings!Q21</f>
        <v>0.10318504635224346</v>
      </c>
      <c r="N7" s="295">
        <f>($E7/Holdings!K21)-1</f>
        <v>0.55234155081220093</v>
      </c>
      <c r="O7" s="296"/>
    </row>
    <row r="8" spans="2:15" ht="15.75">
      <c r="B8" s="290"/>
      <c r="C8" s="294" t="str">
        <f>Holdings!C17</f>
        <v>Range Resources</v>
      </c>
      <c r="D8" s="443" t="str">
        <f>IF(Holdings!D18=0,"NA",Holdings!D18)</f>
        <v>TPC</v>
      </c>
      <c r="E8" s="445">
        <f>Holdings!I17</f>
        <v>2665.32</v>
      </c>
      <c r="F8" s="444">
        <f>Holdings!W17</f>
        <v>4.3621079067070523E-2</v>
      </c>
      <c r="G8" s="295">
        <f>Holdings!U17</f>
        <v>-3.2636876620405597E-2</v>
      </c>
      <c r="H8" s="295">
        <f t="shared" si="0"/>
        <v>-1.423655775560938E-3</v>
      </c>
      <c r="I8" s="295">
        <f>Holdings!T17</f>
        <v>-0.28880421382942956</v>
      </c>
      <c r="J8" s="295">
        <f>Holdings!S17</f>
        <v>-0.26524603721571327</v>
      </c>
      <c r="K8" s="295">
        <f>Holdings!R17</f>
        <v>-0.24713714679531351</v>
      </c>
      <c r="L8" s="295">
        <f>($E8/Holdings!L17)-1</f>
        <v>-0.26524603721571327</v>
      </c>
      <c r="M8" s="295">
        <f>Holdings!Q17</f>
        <v>0</v>
      </c>
      <c r="N8" s="295">
        <f>(($E8/Holdings!K17)-1)*(2/3)</f>
        <v>-0.17683069147714217</v>
      </c>
      <c r="O8" s="296"/>
    </row>
    <row r="9" spans="2:15" ht="15.75">
      <c r="B9" s="290"/>
      <c r="C9" s="294" t="str">
        <f>Holdings!C16</f>
        <v>Perrigo</v>
      </c>
      <c r="D9" s="443" t="str">
        <f>IF(Holdings!D16=0,"NA",Holdings!D16)</f>
        <v>PRGO</v>
      </c>
      <c r="E9" s="445">
        <f>Holdings!I16</f>
        <v>2743.0199999999995</v>
      </c>
      <c r="F9" s="444">
        <f>Holdings!W16</f>
        <v>4.4892730442331781E-2</v>
      </c>
      <c r="G9" s="295">
        <f>Holdings!U16</f>
        <v>6.3395628343128063E-3</v>
      </c>
      <c r="H9" s="295">
        <f t="shared" si="0"/>
        <v>2.8460028544302965E-4</v>
      </c>
      <c r="I9" s="295">
        <f>Holdings!T16</f>
        <v>4.3044691800602441E-2</v>
      </c>
      <c r="J9" s="295">
        <f>Holdings!S16</f>
        <v>0.24323883336732588</v>
      </c>
      <c r="K9" s="295">
        <f>Holdings!R16</f>
        <v>0</v>
      </c>
      <c r="L9" s="295">
        <f>($E9/Holdings!L16)-1</f>
        <v>0.24323883336732588</v>
      </c>
      <c r="M9" s="295">
        <f>Holdings!Q16</f>
        <v>0</v>
      </c>
      <c r="N9" s="295">
        <f>($E9/Holdings!K16)-1</f>
        <v>0.24323883336732588</v>
      </c>
      <c r="O9" s="296"/>
    </row>
    <row r="10" spans="2:15" ht="15.75">
      <c r="B10" s="290"/>
      <c r="C10" s="294" t="str">
        <f>Holdings!C10</f>
        <v>Gentex</v>
      </c>
      <c r="D10" s="443" t="str">
        <f>IF(Holdings!D10=0,"NA",Holdings!D10)</f>
        <v>GNTX</v>
      </c>
      <c r="E10" s="445">
        <f>Holdings!I10</f>
        <v>2622.95</v>
      </c>
      <c r="F10" s="444">
        <f>Holdings!W10</f>
        <v>4.2927644462568325E-2</v>
      </c>
      <c r="G10" s="295">
        <f>Holdings!U10</f>
        <v>-2.4036762106751541E-2</v>
      </c>
      <c r="H10" s="295">
        <f t="shared" si="0"/>
        <v>-1.031841577749965E-3</v>
      </c>
      <c r="I10" s="295">
        <f>Holdings!T10</f>
        <v>-4.4735958856856661E-2</v>
      </c>
      <c r="J10" s="295">
        <f>Holdings!S10</f>
        <v>0.15972247307772092</v>
      </c>
      <c r="K10" s="295">
        <f>Holdings!R10</f>
        <v>7.5185858025525798E-2</v>
      </c>
      <c r="L10" s="295">
        <f>($E10/Holdings!L10)-1</f>
        <v>0.24691720228755432</v>
      </c>
      <c r="M10" s="295">
        <f>Holdings!Q10</f>
        <v>0.25984189760647491</v>
      </c>
      <c r="N10" s="295">
        <f>($E10/Holdings!K10)-1</f>
        <v>0.57091853428810935</v>
      </c>
      <c r="O10" s="296"/>
    </row>
    <row r="11" spans="2:15" ht="15.75">
      <c r="B11" s="290"/>
      <c r="C11" s="294" t="str">
        <f>Holdings!C18</f>
        <v>Tutor Perini</v>
      </c>
      <c r="D11" s="443" t="str">
        <f>IF(Holdings!D19=0,"NA",Holdings!D19)</f>
        <v>TSN</v>
      </c>
      <c r="E11" s="445">
        <f>Holdings!I18</f>
        <v>4814</v>
      </c>
      <c r="F11" s="444">
        <f>Holdings!W18</f>
        <v>7.8786740289675333E-2</v>
      </c>
      <c r="G11" s="295">
        <f>Holdings!U18</f>
        <v>-2.6688232915487275E-2</v>
      </c>
      <c r="H11" s="295">
        <f t="shared" si="0"/>
        <v>-2.1026788755028605E-3</v>
      </c>
      <c r="I11" s="295">
        <f>Holdings!T18</f>
        <v>-0.19820119920053303</v>
      </c>
      <c r="J11" s="295">
        <f>Holdings!S18</f>
        <v>0.28854389721627416</v>
      </c>
      <c r="K11" s="295">
        <f>Holdings!R18</f>
        <v>0.50130600763512145</v>
      </c>
      <c r="L11" s="295">
        <f>($E11/Holdings!L18)-1</f>
        <v>0.93449869399236496</v>
      </c>
      <c r="M11" s="295">
        <f>Holdings!Q18</f>
        <v>0.32758942623169451</v>
      </c>
      <c r="N11" s="295">
        <f>($E11/Holdings!K18)-1</f>
        <v>1.568220011203286</v>
      </c>
      <c r="O11" s="296"/>
    </row>
    <row r="12" spans="2:15" ht="15.75">
      <c r="B12" s="290"/>
      <c r="C12" s="294" t="str">
        <f>Holdings!C11</f>
        <v>Home Depot</v>
      </c>
      <c r="D12" s="443" t="str">
        <f>IF(Holdings!D11=0,"NA",Holdings!D11)</f>
        <v>HD</v>
      </c>
      <c r="E12" s="445">
        <f>Holdings!I11</f>
        <v>5677.2699999999995</v>
      </c>
      <c r="F12" s="444">
        <f>Holdings!W11</f>
        <v>9.2915163490728106E-2</v>
      </c>
      <c r="G12" s="295">
        <f>Holdings!U11</f>
        <v>-1.084068445105757E-2</v>
      </c>
      <c r="H12" s="295">
        <f t="shared" si="0"/>
        <v>-1.0072639681214081E-3</v>
      </c>
      <c r="I12" s="295">
        <f>Holdings!T11</f>
        <v>0.18731205032524834</v>
      </c>
      <c r="J12" s="295">
        <f>Holdings!S11</f>
        <v>0.3031997472504957</v>
      </c>
      <c r="K12" s="295">
        <f>Holdings!R11</f>
        <v>5.6889861610216474E-3</v>
      </c>
      <c r="L12" s="295">
        <f>($E12/Holdings!L11)-1</f>
        <v>0.31061363257765051</v>
      </c>
      <c r="M12" s="295">
        <f>Holdings!Q11</f>
        <v>0.28488898857709599</v>
      </c>
      <c r="N12" s="295">
        <f>($E12/Holdings!K11)-1</f>
        <v>0.68399302477805102</v>
      </c>
      <c r="O12" s="296"/>
    </row>
    <row r="13" spans="2:15" ht="15.75">
      <c r="B13" s="290"/>
      <c r="C13" s="294" t="str">
        <f>Holdings!C13</f>
        <v>Intel</v>
      </c>
      <c r="D13" s="443" t="str">
        <f>IF(Holdings!D13=0,"NA",Holdings!D13)</f>
        <v>INTC</v>
      </c>
      <c r="E13" s="445">
        <f>Holdings!I13</f>
        <v>3899.9199999999996</v>
      </c>
      <c r="F13" s="444">
        <f>Holdings!W13</f>
        <v>6.3826752012985169E-2</v>
      </c>
      <c r="G13" s="295">
        <f>Holdings!U13</f>
        <v>-1.8967026553837307E-2</v>
      </c>
      <c r="H13" s="295">
        <f t="shared" si="0"/>
        <v>-1.2106037002754784E-3</v>
      </c>
      <c r="I13" s="295">
        <f>Holdings!T13</f>
        <v>0.27943797008212412</v>
      </c>
      <c r="J13" s="295">
        <f>Holdings!S13</f>
        <v>0.52561959029623417</v>
      </c>
      <c r="K13" s="295">
        <f>Holdings!R13</f>
        <v>-7.6673071921865454E-2</v>
      </c>
      <c r="L13" s="295">
        <f>($E13/Holdings!L13)-1</f>
        <v>0.40864564972404427</v>
      </c>
      <c r="M13" s="295">
        <f>Holdings!Q13</f>
        <v>0</v>
      </c>
      <c r="N13" s="295">
        <f>($E13/Holdings!K13)-1</f>
        <v>0.40864564972404427</v>
      </c>
      <c r="O13" s="296"/>
    </row>
    <row r="14" spans="2:15" ht="15.75">
      <c r="B14" s="290"/>
      <c r="C14" s="294" t="str">
        <f>Holdings!C19</f>
        <v>Tyson Foods</v>
      </c>
      <c r="D14" s="443" t="str">
        <f>IF(Holdings!D20=0,"NA",Holdings!D20)</f>
        <v>NA</v>
      </c>
      <c r="E14" s="445">
        <f>Holdings!I19</f>
        <v>4177.92</v>
      </c>
      <c r="F14" s="444">
        <f>Holdings!W19</f>
        <v>6.8376547152272621E-2</v>
      </c>
      <c r="G14" s="295">
        <f>Holdings!U19</f>
        <v>-1.3487475915221592E-2</v>
      </c>
      <c r="H14" s="295">
        <f t="shared" si="0"/>
        <v>-9.222270328822905E-4</v>
      </c>
      <c r="I14" s="295">
        <f>Holdings!T19</f>
        <v>-2.9996209599302714E-2</v>
      </c>
      <c r="J14" s="295">
        <f>Holdings!S19</f>
        <v>0.38094724349983822</v>
      </c>
      <c r="K14" s="295">
        <f>Holdings!R19</f>
        <v>0.20431556665616846</v>
      </c>
      <c r="L14" s="295">
        <f>($E14/Holdings!L19)-1</f>
        <v>0.66309626207778138</v>
      </c>
      <c r="M14" s="295">
        <f>Holdings!Q19</f>
        <v>0.50878894894894877</v>
      </c>
      <c r="N14" s="295">
        <f>($E14/Holdings!K19)-1</f>
        <v>1.5092612612612615</v>
      </c>
      <c r="O14" s="296"/>
    </row>
    <row r="15" spans="2:15" ht="15.75">
      <c r="B15" s="290"/>
      <c r="C15" s="294" t="str">
        <f>Holdings!C14</f>
        <v>Medtronic</v>
      </c>
      <c r="D15" s="443" t="str">
        <f>IF(Holdings!D14=0,"NA",Holdings!D14)</f>
        <v>MDT</v>
      </c>
      <c r="E15" s="445">
        <f>Holdings!I14</f>
        <v>1845.85</v>
      </c>
      <c r="F15" s="444">
        <f>Holdings!W14</f>
        <v>3.0209494092999008E-2</v>
      </c>
      <c r="G15" s="295">
        <f>Holdings!U14</f>
        <v>-3.1644606724478996E-2</v>
      </c>
      <c r="H15" s="295">
        <f t="shared" si="0"/>
        <v>-9.5596755991842494E-4</v>
      </c>
      <c r="I15" s="295">
        <f>Holdings!T14</f>
        <v>8.2527698569395458E-2</v>
      </c>
      <c r="J15" s="295">
        <f>Holdings!S14</f>
        <v>0.2061358227142065</v>
      </c>
      <c r="K15" s="295">
        <f>Holdings!R14</f>
        <v>0.15314412635590391</v>
      </c>
      <c r="L15" s="295">
        <f>($E15/Holdings!L14)-1</f>
        <v>0.39084843955033288</v>
      </c>
      <c r="M15" s="295">
        <f>Holdings!Q14</f>
        <v>0.14552407029681214</v>
      </c>
      <c r="N15" s="295">
        <f>($E15/Holdings!K14)-1</f>
        <v>0.59325036563966682</v>
      </c>
      <c r="O15" s="296"/>
    </row>
    <row r="16" spans="2:15" ht="15.75">
      <c r="B16" s="290"/>
      <c r="C16" s="294" t="str">
        <f>Holdings!C6</f>
        <v>BlackRock Global</v>
      </c>
      <c r="D16" s="443" t="str">
        <f>IF(Holdings!D6=0,"NA",Holdings!D6)</f>
        <v>MCLOX</v>
      </c>
      <c r="E16" s="445">
        <f>Holdings!I6</f>
        <v>1932.71216</v>
      </c>
      <c r="F16" s="444">
        <f>Holdings!W6</f>
        <v>3.1631094932409107E-2</v>
      </c>
      <c r="G16" s="295">
        <f>Holdings!U6</f>
        <v>-1.3561024610748373E-2</v>
      </c>
      <c r="H16" s="295">
        <f t="shared" si="0"/>
        <v>-4.2895005684331808E-4</v>
      </c>
      <c r="I16" s="295">
        <f>Holdings!T6</f>
        <v>2.9847907921657812E-2</v>
      </c>
      <c r="J16" s="295">
        <f>Holdings!S6</f>
        <v>0.10967686742493643</v>
      </c>
      <c r="K16" s="295">
        <f>Holdings!R6</f>
        <v>3.8438461804473079E-3</v>
      </c>
      <c r="L16" s="295">
        <f>($E16/Holdings!L6)-1</f>
        <v>0.1139422946133184</v>
      </c>
      <c r="M16" s="295">
        <f>Holdings!Q6</f>
        <v>8.3002975717131777E-2</v>
      </c>
      <c r="N16" s="295">
        <f>($E16/Holdings!K6)-1</f>
        <v>0.20640281984339359</v>
      </c>
      <c r="O16" s="296"/>
    </row>
    <row r="17" spans="2:15" ht="15.75">
      <c r="B17" s="290"/>
      <c r="C17" s="294">
        <f>Holdings!C20</f>
        <v>0</v>
      </c>
      <c r="D17" s="443" t="str">
        <f>IF(Holdings!D21=0,"NA",Holdings!D21)</f>
        <v>WFC</v>
      </c>
      <c r="E17" s="445">
        <f>Holdings!I20</f>
        <v>0</v>
      </c>
      <c r="F17" s="444">
        <f>Holdings!W20</f>
        <v>0</v>
      </c>
      <c r="G17" s="295">
        <f>Holdings!U20</f>
        <v>0</v>
      </c>
      <c r="H17" s="295">
        <f t="shared" si="0"/>
        <v>0</v>
      </c>
      <c r="I17" s="295">
        <f>Holdings!T20</f>
        <v>0</v>
      </c>
      <c r="J17" s="295">
        <f>Holdings!S20</f>
        <v>0</v>
      </c>
      <c r="K17" s="295">
        <f>Holdings!R20</f>
        <v>0</v>
      </c>
      <c r="L17" s="295" t="e">
        <f>($E17/Holdings!L20)-1</f>
        <v>#DIV/0!</v>
      </c>
      <c r="M17" s="295">
        <f>Holdings!Q20</f>
        <v>0</v>
      </c>
      <c r="N17" s="295" t="e">
        <f>($E17/Holdings!K20)-1</f>
        <v>#DIV/0!</v>
      </c>
      <c r="O17" s="296"/>
    </row>
    <row r="18" spans="2:15" ht="15.75">
      <c r="B18" s="290"/>
      <c r="C18" s="294" t="str">
        <f>Holdings!C15</f>
        <v>Natural Grocers</v>
      </c>
      <c r="D18" s="443" t="str">
        <f>IF(Holdings!D15=0,"NA",Holdings!D15)</f>
        <v>NGVC</v>
      </c>
      <c r="E18" s="445">
        <f>Holdings!I15</f>
        <v>1214.25</v>
      </c>
      <c r="F18" s="444">
        <f>Holdings!W15</f>
        <v>1.9872621395250992E-2</v>
      </c>
      <c r="G18" s="295">
        <f>Holdings!U15</f>
        <v>-4.0876777251184659E-2</v>
      </c>
      <c r="H18" s="295">
        <f t="shared" si="0"/>
        <v>-8.1232871817080133E-4</v>
      </c>
      <c r="I18" s="295">
        <f>Holdings!T15</f>
        <v>-0.55643835616438353</v>
      </c>
      <c r="J18" s="295">
        <f>Holdings!S15</f>
        <v>-0.56243243243243235</v>
      </c>
      <c r="K18" s="295">
        <f>Holdings!R15</f>
        <v>0.48773622838761566</v>
      </c>
      <c r="L18" s="295">
        <f>($E18/Holdings!L15)-1</f>
        <v>-0.34901487736228387</v>
      </c>
      <c r="M18" s="295">
        <f>Holdings!Q15</f>
        <v>0.26741183665149171</v>
      </c>
      <c r="N18" s="295">
        <f>($E18/Holdings!K15)-1</f>
        <v>-0.17493375008493572</v>
      </c>
      <c r="O18" s="296"/>
    </row>
    <row r="19" spans="2:15" ht="15.75">
      <c r="B19" s="290"/>
      <c r="C19" s="294" t="str">
        <f>Holdings!C5</f>
        <v>Berkshire Hathaway</v>
      </c>
      <c r="D19" s="443" t="str">
        <f>IF(Holdings!D5=0,"NA",Holdings!D5)</f>
        <v>BRK.B</v>
      </c>
      <c r="E19" s="445">
        <f>Holdings!I5</f>
        <v>3564.34</v>
      </c>
      <c r="F19" s="444">
        <f>Holdings!W5</f>
        <v>5.83345928301E-2</v>
      </c>
      <c r="G19" s="295">
        <f>Holdings!U5</f>
        <v>-2.03658710876089E-2</v>
      </c>
      <c r="H19" s="295">
        <f t="shared" si="0"/>
        <v>-1.188034797525971E-3</v>
      </c>
      <c r="I19" s="295">
        <f>Holdings!T5</f>
        <v>6.2219122888579115E-2</v>
      </c>
      <c r="J19" s="295">
        <f>Holdings!S5</f>
        <v>0.221074196134319</v>
      </c>
      <c r="K19" s="295">
        <f>Holdings!R5</f>
        <v>4.4663627058714184E-2</v>
      </c>
      <c r="L19" s="295">
        <f>($E19/Holdings!L5)-1</f>
        <v>0.27561179864148144</v>
      </c>
      <c r="M19" s="295">
        <f>Holdings!Q5</f>
        <v>0.24285877741226392</v>
      </c>
      <c r="N19" s="295">
        <f>($E19/Holdings!K5)-1</f>
        <v>0.58540532051221073</v>
      </c>
      <c r="O19" s="296"/>
    </row>
    <row r="20" spans="2:15" ht="15.75">
      <c r="B20" s="290"/>
      <c r="C20" s="294" t="str">
        <f>Holdings!C7</f>
        <v>Cemex</v>
      </c>
      <c r="D20" s="443" t="str">
        <f>IF(Holdings!D7=0,"NA",Holdings!D7)</f>
        <v>CX</v>
      </c>
      <c r="E20" s="445">
        <f>Holdings!I7</f>
        <v>3172</v>
      </c>
      <c r="F20" s="444">
        <f>Holdings!W7</f>
        <v>5.1913489862661026E-2</v>
      </c>
      <c r="G20" s="295">
        <f>Holdings!U7</f>
        <v>-2.6336791699920203E-2</v>
      </c>
      <c r="H20" s="295">
        <f t="shared" si="0"/>
        <v>-1.3672347689288225E-3</v>
      </c>
      <c r="I20" s="295">
        <f>Holdings!T7</f>
        <v>-7.97498045347933E-3</v>
      </c>
      <c r="J20" s="295">
        <f>Holdings!S7</f>
        <v>0.14409377817853919</v>
      </c>
      <c r="K20" s="295">
        <f>Holdings!R7</f>
        <v>-9.1419830741079622E-3</v>
      </c>
      <c r="L20" s="295">
        <f>($E20/Holdings!L7)-1</f>
        <v>0.13363449222323887</v>
      </c>
      <c r="M20" s="295">
        <f>Holdings!Q7</f>
        <v>0</v>
      </c>
      <c r="N20" s="295">
        <f>($E20/Holdings!K7)-1</f>
        <v>0.13363449222323887</v>
      </c>
      <c r="O20" s="296"/>
    </row>
    <row r="21" spans="2:15" ht="15.75">
      <c r="B21" s="290"/>
      <c r="C21" s="294" t="str">
        <f>Holdings!C8</f>
        <v>Cisco</v>
      </c>
      <c r="D21" s="443" t="str">
        <f>IF(Holdings!D8=0,"NA",Holdings!D8)</f>
        <v>CSCO</v>
      </c>
      <c r="E21" s="445">
        <f>Holdings!I8</f>
        <v>1693.3000000000002</v>
      </c>
      <c r="F21" s="444">
        <f>Holdings!W8</f>
        <v>2.7712834925738943E-2</v>
      </c>
      <c r="G21" s="295">
        <f>Holdings!U8</f>
        <v>-1.905920519059201E-2</v>
      </c>
      <c r="H21" s="295">
        <f t="shared" si="0"/>
        <v>-5.2818460726266323E-4</v>
      </c>
      <c r="I21" s="295">
        <f>Holdings!T8</f>
        <v>5.7992748141692863E-2</v>
      </c>
      <c r="J21" s="295">
        <f>Holdings!S8</f>
        <v>4.3267943769650818E-2</v>
      </c>
      <c r="K21" s="295">
        <f>Holdings!R8</f>
        <v>0.16496187221785452</v>
      </c>
      <c r="L21" s="295">
        <f>($E21/Holdings!L8)-1</f>
        <v>0.21536737699876385</v>
      </c>
      <c r="M21" s="295">
        <f>Holdings!Q8</f>
        <v>6.2202356751199783E-2</v>
      </c>
      <c r="N21" s="295">
        <f>($E21/Holdings!K8)-1</f>
        <v>0.29096609216661085</v>
      </c>
      <c r="O21" s="296"/>
    </row>
    <row r="22" spans="2:15" ht="15.75">
      <c r="B22" s="290"/>
      <c r="C22" s="294" t="str">
        <f>Holdings!C12</f>
        <v>Immersion</v>
      </c>
      <c r="D22" s="443" t="str">
        <f>IF(Holdings!D12=0,"NA",Holdings!D12)</f>
        <v>IMMR</v>
      </c>
      <c r="E22" s="445">
        <f>Holdings!I12</f>
        <v>1067.8499999999999</v>
      </c>
      <c r="F22" s="444">
        <f>Holdings!W12</f>
        <v>1.7476614170820484E-2</v>
      </c>
      <c r="G22" s="295">
        <f>Holdings!U12</f>
        <v>-3.5365853658536506E-2</v>
      </c>
      <c r="H22" s="295">
        <f t="shared" si="0"/>
        <v>-6.180753792119426E-4</v>
      </c>
      <c r="I22" s="295">
        <f>Holdings!T12</f>
        <v>-0.26623376623376627</v>
      </c>
      <c r="J22" s="295">
        <f>Holdings!S12</f>
        <v>-0.40926064227035108</v>
      </c>
      <c r="K22" s="295">
        <f>Holdings!R12</f>
        <v>-0.11010190518387231</v>
      </c>
      <c r="L22" s="295">
        <f>($E22/Holdings!L12)-1</f>
        <v>-0.47430217102348249</v>
      </c>
      <c r="M22" s="295">
        <f>Holdings!Q12</f>
        <v>0</v>
      </c>
      <c r="N22" s="295">
        <f>($E22/Holdings!K12)-1</f>
        <v>-0.47430217102348249</v>
      </c>
      <c r="O22" s="296"/>
    </row>
    <row r="23" spans="2:15" ht="15.75">
      <c r="B23" s="290"/>
      <c r="C23" s="294" t="s">
        <v>271</v>
      </c>
      <c r="D23" s="443" t="str">
        <f>IF(Holdings!D4=0,"NA",Holdings!D4)</f>
        <v>NA</v>
      </c>
      <c r="E23" s="445">
        <f>Holdings!I4</f>
        <v>8050.26</v>
      </c>
      <c r="F23" s="444">
        <f>Holdings!W4</f>
        <v>0.13175192020863352</v>
      </c>
      <c r="G23" s="295">
        <v>0</v>
      </c>
      <c r="H23" s="295">
        <f t="shared" si="0"/>
        <v>0</v>
      </c>
      <c r="I23" s="349"/>
      <c r="J23" s="290"/>
      <c r="K23" s="296"/>
      <c r="L23" s="296"/>
      <c r="M23" s="296"/>
      <c r="N23" s="296"/>
      <c r="O23" s="296"/>
    </row>
    <row r="24" spans="2:15" ht="15.75">
      <c r="B24" s="290"/>
      <c r="C24" s="294"/>
      <c r="D24" s="294"/>
      <c r="E24" s="465" t="e">
        <f>SUM(E5:E23)</f>
        <v>#REF!</v>
      </c>
      <c r="F24" s="294"/>
      <c r="G24" s="295"/>
      <c r="H24" s="295" t="e">
        <f>SUM(H5:H22)</f>
        <v>#REF!</v>
      </c>
      <c r="I24" s="349"/>
      <c r="J24" s="290"/>
      <c r="K24" s="296"/>
      <c r="L24" s="296"/>
      <c r="M24" s="296"/>
      <c r="N24" s="296"/>
      <c r="O24" s="296"/>
    </row>
    <row r="25" spans="2:15" ht="15.75">
      <c r="B25" s="290"/>
      <c r="C25" s="294"/>
      <c r="D25" s="293"/>
      <c r="E25" s="293"/>
      <c r="F25" s="293"/>
      <c r="G25" s="293"/>
      <c r="H25" s="293"/>
      <c r="I25" s="349"/>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25" priority="10" operator="equal">
      <formula>"""Large"""</formula>
    </cfRule>
  </conditionalFormatting>
  <conditionalFormatting sqref="G24:H25 G5:N23">
    <cfRule type="cellIs" dxfId="24" priority="9" operator="lessThan">
      <formula>0</formula>
    </cfRule>
  </conditionalFormatting>
  <conditionalFormatting sqref="G24:H25 G5:N23">
    <cfRule type="cellIs" dxfId="23"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F38" sqref="F38"/>
    </sheetView>
  </sheetViews>
  <sheetFormatPr defaultRowHeight="12.75"/>
  <cols>
    <col min="1" max="5" width="9.140625" style="451"/>
    <col min="6" max="6" width="10.140625" style="451" bestFit="1" customWidth="1"/>
    <col min="7" max="16384" width="9.140625" style="451"/>
  </cols>
  <sheetData>
    <row r="36" spans="2:6">
      <c r="B36" s="449"/>
      <c r="C36" s="449"/>
      <c r="D36" s="449"/>
      <c r="E36" s="449"/>
      <c r="F36" s="450"/>
    </row>
    <row r="37" spans="2:6">
      <c r="B37" s="449"/>
      <c r="C37" s="449"/>
      <c r="D37" s="449"/>
      <c r="E37" s="449"/>
      <c r="F37" s="449"/>
    </row>
    <row r="38" spans="2:6" ht="14.25">
      <c r="B38" s="449"/>
      <c r="C38" s="449"/>
      <c r="D38" s="452"/>
      <c r="E38" s="452"/>
      <c r="F38" s="452"/>
    </row>
    <row r="39" spans="2:6" ht="14.25">
      <c r="B39" s="449"/>
      <c r="C39" s="449"/>
      <c r="D39" s="452"/>
      <c r="E39" s="452"/>
      <c r="F39" s="452"/>
    </row>
    <row r="40" spans="2:6" ht="14.25">
      <c r="B40" s="449"/>
      <c r="C40" s="449"/>
      <c r="D40" s="452"/>
      <c r="E40" s="452"/>
      <c r="F40" s="452"/>
    </row>
    <row r="41" spans="2:6" ht="14.25">
      <c r="B41" s="449"/>
      <c r="C41" s="449"/>
      <c r="D41" s="452"/>
      <c r="E41" s="452"/>
      <c r="F41" s="452"/>
    </row>
    <row r="42" spans="2:6" ht="14.25">
      <c r="B42" s="449"/>
      <c r="C42" s="449"/>
      <c r="D42" s="452"/>
      <c r="E42" s="452"/>
      <c r="F42" s="452"/>
    </row>
    <row r="43" spans="2:6">
      <c r="B43" s="449"/>
      <c r="C43" s="449"/>
      <c r="D43" s="449"/>
      <c r="E43" s="449"/>
      <c r="F43" s="449"/>
    </row>
    <row r="44" spans="2:6">
      <c r="B44" s="449"/>
      <c r="C44" s="449"/>
      <c r="D44" s="449"/>
      <c r="E44" s="449"/>
      <c r="F44" s="449"/>
    </row>
    <row r="45" spans="2:6" ht="14.25">
      <c r="B45" s="449"/>
      <c r="C45" s="449"/>
      <c r="D45" s="453"/>
      <c r="E45" s="449"/>
      <c r="F45" s="449"/>
    </row>
    <row r="46" spans="2:6">
      <c r="B46" s="449"/>
      <c r="C46" s="449"/>
      <c r="D46" s="449"/>
      <c r="E46" s="449"/>
      <c r="F46" s="449"/>
    </row>
    <row r="47" spans="2:6">
      <c r="B47" s="449"/>
      <c r="C47" s="449"/>
      <c r="D47" s="449"/>
      <c r="E47" s="449"/>
      <c r="F47" s="449"/>
    </row>
    <row r="48" spans="2:6">
      <c r="B48" s="449"/>
      <c r="C48" s="449"/>
      <c r="D48" s="449"/>
      <c r="E48" s="449"/>
      <c r="F48" s="4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4"/>
  <sheetViews>
    <sheetView zoomScaleNormal="100" workbookViewId="0">
      <pane xSplit="4" topLeftCell="E1" activePane="topRight" state="frozen"/>
      <selection pane="topRight" activeCell="F6" sqref="F6"/>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3.42578125" style="237" bestFit="1" customWidth="1"/>
    <col min="9" max="9" width="12.85546875" style="237" bestFit="1" customWidth="1"/>
    <col min="10" max="10" width="18.140625" style="237" customWidth="1"/>
    <col min="11" max="11" width="16.5703125" style="237" hidden="1" customWidth="1"/>
    <col min="12" max="12" width="17.85546875" style="237" hidden="1" customWidth="1"/>
    <col min="13" max="13" width="18.140625" style="237" hidden="1" customWidth="1"/>
    <col min="14" max="14" width="0.7109375" style="237" customWidth="1"/>
    <col min="15" max="15" width="14" style="237" customWidth="1"/>
    <col min="16" max="16" width="10" style="237" bestFit="1" customWidth="1"/>
    <col min="17" max="18" width="12" style="237" hidden="1"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117</v>
      </c>
      <c r="I3" s="274" t="s">
        <v>64</v>
      </c>
      <c r="J3" s="274" t="s">
        <v>214</v>
      </c>
      <c r="K3" s="274" t="s">
        <v>166</v>
      </c>
      <c r="L3" s="350" t="s">
        <v>229</v>
      </c>
      <c r="M3" s="373" t="s">
        <v>245</v>
      </c>
      <c r="N3" s="283"/>
      <c r="O3" s="274" t="s">
        <v>215</v>
      </c>
      <c r="P3" s="274" t="s">
        <v>175</v>
      </c>
      <c r="Q3" s="374" t="s">
        <v>246</v>
      </c>
      <c r="R3" s="374" t="s">
        <v>247</v>
      </c>
      <c r="S3" s="374" t="s">
        <v>264</v>
      </c>
      <c r="T3" s="274" t="s">
        <v>174</v>
      </c>
      <c r="U3" s="274" t="s">
        <v>170</v>
      </c>
      <c r="V3" s="274" t="s">
        <v>138</v>
      </c>
      <c r="W3" s="274" t="s">
        <v>216</v>
      </c>
      <c r="X3" s="491" t="s">
        <v>217</v>
      </c>
      <c r="Y3" s="491"/>
      <c r="Z3" s="274" t="s">
        <v>164</v>
      </c>
      <c r="AA3" s="274" t="s">
        <v>68</v>
      </c>
      <c r="AB3" s="278"/>
      <c r="AC3" s="279"/>
      <c r="AD3" s="244"/>
      <c r="AE3" s="464" t="s">
        <v>230</v>
      </c>
      <c r="AF3" s="464" t="s">
        <v>218</v>
      </c>
      <c r="AG3" s="242"/>
    </row>
    <row r="4" spans="2:33">
      <c r="B4" s="242"/>
      <c r="C4" s="243" t="s">
        <v>52</v>
      </c>
      <c r="D4" s="242"/>
      <c r="E4" s="268">
        <v>1</v>
      </c>
      <c r="F4" s="268">
        <v>1</v>
      </c>
      <c r="G4" s="369">
        <v>8050.26</v>
      </c>
      <c r="H4" s="269">
        <v>0</v>
      </c>
      <c r="I4" s="269">
        <f>E4*G4</f>
        <v>8050.26</v>
      </c>
      <c r="J4" s="269">
        <v>5786.2199999999993</v>
      </c>
      <c r="K4" s="269">
        <v>4804</v>
      </c>
      <c r="L4" s="269">
        <v>4361.76</v>
      </c>
      <c r="M4" s="269">
        <v>7658.58</v>
      </c>
      <c r="N4" s="280"/>
      <c r="O4" s="259"/>
      <c r="P4" s="240"/>
      <c r="Q4" s="240"/>
      <c r="R4" s="240"/>
      <c r="S4" s="354"/>
      <c r="T4" s="240"/>
      <c r="U4" s="240"/>
      <c r="V4" s="256" t="s">
        <v>52</v>
      </c>
      <c r="W4" s="357">
        <f t="shared" ref="W4:W22" si="0">I4/$I$24</f>
        <v>0.13175192020863352</v>
      </c>
      <c r="X4" s="269">
        <v>0</v>
      </c>
      <c r="Y4" s="272" t="s">
        <v>52</v>
      </c>
      <c r="Z4" s="269">
        <v>0</v>
      </c>
      <c r="AA4" s="269">
        <v>0</v>
      </c>
      <c r="AB4" s="269"/>
      <c r="AC4" s="280"/>
      <c r="AD4" s="244"/>
      <c r="AE4" s="276">
        <v>0</v>
      </c>
      <c r="AF4" s="276">
        <f>(0.01/365)*W4</f>
        <v>3.6096416495516034E-6</v>
      </c>
      <c r="AG4" s="242"/>
    </row>
    <row r="5" spans="2:33">
      <c r="B5" s="242"/>
      <c r="C5" s="243" t="s">
        <v>173</v>
      </c>
      <c r="D5" s="243" t="str">
        <f>'Holdings Pull Sheet'!B16</f>
        <v>BRK.B</v>
      </c>
      <c r="E5">
        <v>137.09</v>
      </c>
      <c r="F5" s="268">
        <v>77.89</v>
      </c>
      <c r="G5" s="369">
        <v>26</v>
      </c>
      <c r="H5" s="269">
        <v>2035.09</v>
      </c>
      <c r="I5" s="269">
        <f t="shared" ref="I5:I22" si="1">E5*G5</f>
        <v>3564.34</v>
      </c>
      <c r="J5" s="269">
        <v>3355.56</v>
      </c>
      <c r="K5" s="269">
        <v>2248.2200317382799</v>
      </c>
      <c r="L5" s="269">
        <v>2794.22</v>
      </c>
      <c r="M5" s="269">
        <v>2919.02</v>
      </c>
      <c r="N5" s="280"/>
      <c r="O5" s="270">
        <f t="shared" ref="O5:O21" si="2">I5-H5</f>
        <v>1529.2500000000002</v>
      </c>
      <c r="P5" s="240">
        <f t="shared" ref="P5:P21" si="3">(I5/H5)-1</f>
        <v>0.75144096821270812</v>
      </c>
      <c r="Q5" s="240">
        <f>(L5/K5)-1</f>
        <v>0.24285877741226392</v>
      </c>
      <c r="R5" s="240">
        <f>(M5/L5)-1</f>
        <v>4.4663627058714184E-2</v>
      </c>
      <c r="S5" s="354">
        <f t="shared" ref="S5:S22" si="4">(I5/M5)-1</f>
        <v>0.221074196134319</v>
      </c>
      <c r="T5" s="240">
        <f t="shared" ref="T5:T22" si="5">(I5/J5)-1</f>
        <v>6.2219122888579115E-2</v>
      </c>
      <c r="U5" s="240">
        <f>('Holdings Pull Sheet'!F16/'Holdings Pull Sheet'!G16)-1</f>
        <v>-2.03658710876089E-2</v>
      </c>
      <c r="V5" s="256" t="s">
        <v>3</v>
      </c>
      <c r="W5" s="357">
        <f t="shared" si="0"/>
        <v>5.83345928301E-2</v>
      </c>
      <c r="X5" s="271">
        <f>'Holdings Pull Sheet'!O16/1000000000</f>
        <v>319.364766003</v>
      </c>
      <c r="Y5" s="272" t="str">
        <f t="shared" ref="Y5:Y7" si="6">IF(X5&lt;2,"Small", IF(X5&lt;10, "Mid", IF(X5&gt;10, "Large")))</f>
        <v>Large</v>
      </c>
      <c r="Z5" s="271">
        <f>'Holdings Pull Sheet'!Q16</f>
        <v>15.19</v>
      </c>
      <c r="AA5" s="273">
        <f>'Holdings Pull Sheet'!P16</f>
        <v>9</v>
      </c>
      <c r="AB5" s="273"/>
      <c r="AC5" s="281"/>
      <c r="AD5" s="256"/>
      <c r="AE5" s="276">
        <f>W5*T5</f>
        <v>3.6295271999512179E-3</v>
      </c>
      <c r="AF5" s="276">
        <f t="shared" ref="AF5:AF21" si="7">W5*U5</f>
        <v>-1.188034797525971E-3</v>
      </c>
      <c r="AG5" s="242"/>
    </row>
    <row r="6" spans="2:33">
      <c r="B6" s="242"/>
      <c r="C6" s="243" t="s">
        <v>176</v>
      </c>
      <c r="D6" s="243" t="str">
        <f>'Holdings Pull Sheet'!B17</f>
        <v>MCLOX</v>
      </c>
      <c r="E6">
        <v>20.420000000000002</v>
      </c>
      <c r="F6" s="268">
        <v>17.23</v>
      </c>
      <c r="G6" s="369">
        <v>94.647999999999996</v>
      </c>
      <c r="H6" s="269">
        <v>1543.42</v>
      </c>
      <c r="I6" s="269">
        <f t="shared" si="1"/>
        <v>1932.71216</v>
      </c>
      <c r="J6" s="269">
        <v>1876.69669</v>
      </c>
      <c r="K6" s="269">
        <v>1602.045459617618</v>
      </c>
      <c r="L6" s="269">
        <v>1735.0200000000002</v>
      </c>
      <c r="M6" s="269">
        <v>1741.6891499999999</v>
      </c>
      <c r="N6" s="280"/>
      <c r="O6" s="270">
        <f t="shared" si="2"/>
        <v>389.29215999999997</v>
      </c>
      <c r="P6" s="240">
        <f t="shared" si="3"/>
        <v>0.2522269764548859</v>
      </c>
      <c r="Q6" s="354">
        <f t="shared" ref="Q6:Q18" si="8">(L6/K6)-1</f>
        <v>8.3002975717131777E-2</v>
      </c>
      <c r="R6" s="354">
        <f t="shared" ref="R6:R18" si="9">(M6/L6)-1</f>
        <v>3.8438461804473079E-3</v>
      </c>
      <c r="S6" s="354">
        <f t="shared" si="4"/>
        <v>0.10967686742493643</v>
      </c>
      <c r="T6" s="240">
        <f t="shared" si="5"/>
        <v>2.9847907921657812E-2</v>
      </c>
      <c r="U6" s="240">
        <f>('Holdings Pull Sheet'!F17/'Holdings Pull Sheet'!G17)-1</f>
        <v>-1.3561024610748373E-2</v>
      </c>
      <c r="V6" s="355" t="s">
        <v>155</v>
      </c>
      <c r="W6" s="357">
        <f t="shared" si="0"/>
        <v>3.1631094932409107E-2</v>
      </c>
      <c r="X6" s="358">
        <f>'Holdings Pull Sheet'!O17/1000000000</f>
        <v>0</v>
      </c>
      <c r="Y6" s="272" t="s">
        <v>109</v>
      </c>
      <c r="Z6" s="358">
        <f>'Holdings Pull Sheet'!Q17</f>
        <v>0</v>
      </c>
      <c r="AA6" s="359">
        <f>'Holdings Pull Sheet'!P17</f>
        <v>0</v>
      </c>
      <c r="AB6" s="273"/>
      <c r="AC6" s="281"/>
      <c r="AD6" s="256"/>
      <c r="AE6" s="360">
        <f t="shared" ref="AE6:AE21" si="10">W6*T6</f>
        <v>9.4412200900376403E-4</v>
      </c>
      <c r="AF6" s="360">
        <f t="shared" si="7"/>
        <v>-4.2895005684331808E-4</v>
      </c>
      <c r="AG6" s="242"/>
    </row>
    <row r="7" spans="2:33">
      <c r="B7" s="242"/>
      <c r="C7" s="243" t="s">
        <v>231</v>
      </c>
      <c r="D7" s="243" t="str">
        <f>'Holdings Pull Sheet'!B18</f>
        <v>CX</v>
      </c>
      <c r="E7">
        <v>12.2</v>
      </c>
      <c r="F7" s="268">
        <v>11.15</v>
      </c>
      <c r="G7" s="369">
        <v>260</v>
      </c>
      <c r="H7" s="269">
        <v>2798.08</v>
      </c>
      <c r="I7" s="269">
        <f t="shared" si="1"/>
        <v>3172</v>
      </c>
      <c r="J7" s="269">
        <v>3197.5</v>
      </c>
      <c r="K7" s="269">
        <v>2798.08</v>
      </c>
      <c r="L7" s="269">
        <v>2798.08</v>
      </c>
      <c r="M7" s="269">
        <v>2772.5</v>
      </c>
      <c r="N7" s="280"/>
      <c r="O7" s="356">
        <f t="shared" si="2"/>
        <v>373.92000000000007</v>
      </c>
      <c r="P7" s="354">
        <f t="shared" si="3"/>
        <v>0.13363449222323887</v>
      </c>
      <c r="Q7" s="354">
        <f t="shared" si="8"/>
        <v>0</v>
      </c>
      <c r="R7" s="354">
        <f t="shared" si="9"/>
        <v>-9.1419830741079622E-3</v>
      </c>
      <c r="S7" s="354">
        <f t="shared" si="4"/>
        <v>0.14409377817853919</v>
      </c>
      <c r="T7" s="354">
        <f t="shared" si="5"/>
        <v>-7.97498045347933E-3</v>
      </c>
      <c r="U7" s="354">
        <f>('Holdings Pull Sheet'!F18/'Holdings Pull Sheet'!G18)-1</f>
        <v>-2.6336791699920203E-2</v>
      </c>
      <c r="V7" s="355" t="s">
        <v>20</v>
      </c>
      <c r="W7" s="357">
        <f t="shared" si="0"/>
        <v>5.1913489862661026E-2</v>
      </c>
      <c r="X7" s="358">
        <f>'Holdings Pull Sheet'!O18/1000000000</f>
        <v>14.494176889</v>
      </c>
      <c r="Y7" s="272" t="str">
        <f t="shared" si="6"/>
        <v>Large</v>
      </c>
      <c r="Z7" s="358">
        <f>'Holdings Pull Sheet'!Q18</f>
        <v>-25.33</v>
      </c>
      <c r="AA7" s="359">
        <f>'Holdings Pull Sheet'!P18</f>
        <v>-6.46</v>
      </c>
      <c r="AB7" s="273"/>
      <c r="AC7" s="281"/>
      <c r="AD7" s="256"/>
      <c r="AE7" s="360">
        <f t="shared" si="10"/>
        <v>-4.1400906692661905E-4</v>
      </c>
      <c r="AF7" s="360">
        <f t="shared" si="7"/>
        <v>-1.3672347689288225E-3</v>
      </c>
      <c r="AG7" s="242"/>
    </row>
    <row r="8" spans="2:33">
      <c r="B8" s="242"/>
      <c r="C8" s="243" t="s">
        <v>179</v>
      </c>
      <c r="D8" s="243" t="str">
        <f>'Holdings Pull Sheet'!B19</f>
        <v>CSCO</v>
      </c>
      <c r="E8">
        <v>24.19</v>
      </c>
      <c r="F8" s="268">
        <v>18.670000000000002</v>
      </c>
      <c r="G8" s="369">
        <v>70</v>
      </c>
      <c r="H8" s="269">
        <v>1248.1100000000001</v>
      </c>
      <c r="I8" s="269">
        <f t="shared" si="1"/>
        <v>1693.3000000000002</v>
      </c>
      <c r="J8" s="269">
        <v>1600.4835600000001</v>
      </c>
      <c r="K8" s="269">
        <v>1311.6533503665908</v>
      </c>
      <c r="L8" s="269">
        <v>1393.24128</v>
      </c>
      <c r="M8" s="269">
        <v>1623.0729700000002</v>
      </c>
      <c r="O8" s="356">
        <f t="shared" si="2"/>
        <v>445.19000000000005</v>
      </c>
      <c r="P8" s="354">
        <f t="shared" si="3"/>
        <v>0.35669131727171477</v>
      </c>
      <c r="Q8" s="354">
        <f t="shared" si="8"/>
        <v>6.2202356751199783E-2</v>
      </c>
      <c r="R8" s="354">
        <f t="shared" si="9"/>
        <v>0.16496187221785452</v>
      </c>
      <c r="S8" s="354">
        <f t="shared" si="4"/>
        <v>4.3267943769650818E-2</v>
      </c>
      <c r="T8" s="354">
        <f t="shared" si="5"/>
        <v>5.7992748141692863E-2</v>
      </c>
      <c r="U8" s="354">
        <f>('Holdings Pull Sheet'!F19/'Holdings Pull Sheet'!G19)-1</f>
        <v>-1.905920519059201E-2</v>
      </c>
      <c r="V8" s="256" t="s">
        <v>97</v>
      </c>
      <c r="W8" s="357">
        <f t="shared" si="0"/>
        <v>2.7712834925738943E-2</v>
      </c>
      <c r="X8" s="358">
        <f>'Holdings Pull Sheet'!O19/1000000000</f>
        <v>123.349724658</v>
      </c>
      <c r="Y8" s="272" t="str">
        <f t="shared" ref="Y8" si="11">IF(X8&lt;2,"Small", IF(X8&lt;10, "Mid", IF(X8&gt;10, "Large")))</f>
        <v>Large</v>
      </c>
      <c r="Z8" s="358">
        <f>'Holdings Pull Sheet'!Q19</f>
        <v>16.27</v>
      </c>
      <c r="AA8" s="359">
        <f>'Holdings Pull Sheet'!P19</f>
        <v>1.49</v>
      </c>
      <c r="AB8" s="359"/>
      <c r="AD8" s="355"/>
      <c r="AE8" s="360">
        <f t="shared" si="10"/>
        <v>1.6071434561406881E-3</v>
      </c>
      <c r="AF8" s="360">
        <f t="shared" si="7"/>
        <v>-5.2818460726266323E-4</v>
      </c>
      <c r="AG8" s="242"/>
    </row>
    <row r="9" spans="2:33">
      <c r="B9" s="242"/>
      <c r="C9" s="243" t="s">
        <v>228</v>
      </c>
      <c r="D9" s="243" t="str">
        <f>'Holdings Pull Sheet'!B20</f>
        <v>DAL</v>
      </c>
      <c r="E9">
        <v>33.71</v>
      </c>
      <c r="F9" s="268">
        <v>16.579999999999998</v>
      </c>
      <c r="G9" s="369">
        <v>151</v>
      </c>
      <c r="H9" s="269">
        <v>2481.9899999999998</v>
      </c>
      <c r="I9" s="269">
        <f t="shared" si="1"/>
        <v>5090.21</v>
      </c>
      <c r="J9" s="269">
        <v>5594.31808</v>
      </c>
      <c r="K9" s="269">
        <v>2481.9899999999998</v>
      </c>
      <c r="L9" s="269">
        <v>2443.5</v>
      </c>
      <c r="M9" s="269">
        <v>3037.5</v>
      </c>
      <c r="N9" s="280"/>
      <c r="O9" s="356">
        <f t="shared" si="2"/>
        <v>2608.2200000000003</v>
      </c>
      <c r="P9" s="354">
        <f t="shared" si="3"/>
        <v>1.0508583837968728</v>
      </c>
      <c r="Q9" s="354">
        <f t="shared" si="8"/>
        <v>-1.5507717597572857E-2</v>
      </c>
      <c r="R9" s="354">
        <f t="shared" si="9"/>
        <v>0.24309392265193375</v>
      </c>
      <c r="S9" s="354">
        <f t="shared" si="4"/>
        <v>0.67578930041152274</v>
      </c>
      <c r="T9" s="354">
        <f t="shared" si="5"/>
        <v>-9.0110728920154592E-2</v>
      </c>
      <c r="U9" s="354">
        <f>('Holdings Pull Sheet'!F20/'Holdings Pull Sheet'!G20)-1</f>
        <v>-3.1600114909508759E-2</v>
      </c>
      <c r="V9" s="256" t="s">
        <v>95</v>
      </c>
      <c r="W9" s="357">
        <f t="shared" si="0"/>
        <v>8.3307239985440026E-2</v>
      </c>
      <c r="X9" s="358">
        <f>'Holdings Pull Sheet'!O20/1000000000</f>
        <v>28.249129921000002</v>
      </c>
      <c r="Y9" s="272" t="str">
        <f t="shared" ref="Y9:Y15" si="12">IF(X9&lt;2,"Small", IF(X9&lt;10, "Mid", IF(X9&gt;10, "Large")))</f>
        <v>Large</v>
      </c>
      <c r="Z9" s="358">
        <f>'Holdings Pull Sheet'!Q20</f>
        <v>2.64</v>
      </c>
      <c r="AA9" s="359">
        <f>'Holdings Pull Sheet'!P20</f>
        <v>12.69</v>
      </c>
      <c r="AB9" s="273"/>
      <c r="AC9" s="281"/>
      <c r="AD9" s="256"/>
      <c r="AE9" s="360">
        <f t="shared" si="10"/>
        <v>-7.5068761194142493E-3</v>
      </c>
      <c r="AF9" s="360">
        <f t="shared" si="7"/>
        <v>-2.6325183563339276E-3</v>
      </c>
      <c r="AG9" s="242"/>
    </row>
    <row r="10" spans="2:33">
      <c r="B10" s="242"/>
      <c r="C10" s="243" t="s">
        <v>177</v>
      </c>
      <c r="D10" s="243" t="str">
        <f>'Holdings Pull Sheet'!B21</f>
        <v>GNTX</v>
      </c>
      <c r="E10">
        <v>27.61</v>
      </c>
      <c r="F10" s="268">
        <v>17.059999999999999</v>
      </c>
      <c r="G10" s="369">
        <v>95</v>
      </c>
      <c r="H10" s="269">
        <v>1502.35</v>
      </c>
      <c r="I10" s="269">
        <f t="shared" si="1"/>
        <v>2622.95</v>
      </c>
      <c r="J10" s="269">
        <v>2745.7853399999999</v>
      </c>
      <c r="K10" s="269">
        <v>1669.6919303893999</v>
      </c>
      <c r="L10" s="269">
        <v>2103.5478499999999</v>
      </c>
      <c r="M10" s="269">
        <v>2261.7049000000002</v>
      </c>
      <c r="N10" s="280"/>
      <c r="O10" s="356">
        <f t="shared" si="2"/>
        <v>1120.5999999999999</v>
      </c>
      <c r="P10" s="240">
        <f t="shared" si="3"/>
        <v>0.74589809298765264</v>
      </c>
      <c r="Q10" s="354">
        <f t="shared" si="8"/>
        <v>0.25984189760647491</v>
      </c>
      <c r="R10" s="354">
        <f t="shared" si="9"/>
        <v>7.5185858025525798E-2</v>
      </c>
      <c r="S10" s="354">
        <f t="shared" si="4"/>
        <v>0.15972247307772092</v>
      </c>
      <c r="T10" s="240">
        <f t="shared" si="5"/>
        <v>-4.4735958856856661E-2</v>
      </c>
      <c r="U10" s="354">
        <f>('Holdings Pull Sheet'!F21/'Holdings Pull Sheet'!G21)-1</f>
        <v>-2.4036762106751541E-2</v>
      </c>
      <c r="V10" s="256" t="s">
        <v>95</v>
      </c>
      <c r="W10" s="357">
        <f t="shared" si="0"/>
        <v>4.2927644462568325E-2</v>
      </c>
      <c r="X10" s="358">
        <f>'Holdings Pull Sheet'!O21/1000000000</f>
        <v>4.03677712</v>
      </c>
      <c r="Y10" s="272" t="str">
        <f t="shared" si="12"/>
        <v>Mid</v>
      </c>
      <c r="Z10" s="358">
        <f>'Holdings Pull Sheet'!Q21</f>
        <v>14.87</v>
      </c>
      <c r="AA10" s="359">
        <f>'Holdings Pull Sheet'!P21</f>
        <v>1.86</v>
      </c>
      <c r="AB10" s="273"/>
      <c r="AC10" s="281"/>
      <c r="AD10" s="256"/>
      <c r="AE10" s="360">
        <f t="shared" si="10"/>
        <v>-1.9204093364992272E-3</v>
      </c>
      <c r="AF10" s="360">
        <f t="shared" si="7"/>
        <v>-1.031841577749965E-3</v>
      </c>
      <c r="AG10" s="242"/>
    </row>
    <row r="11" spans="2:33">
      <c r="B11" s="242"/>
      <c r="C11" s="243" t="s">
        <v>181</v>
      </c>
      <c r="D11" s="243" t="str">
        <f>'Holdings Pull Sheet'!B22</f>
        <v>HD</v>
      </c>
      <c r="E11">
        <v>93.07</v>
      </c>
      <c r="F11" s="268">
        <v>31.22</v>
      </c>
      <c r="G11" s="369">
        <v>61</v>
      </c>
      <c r="H11" s="269">
        <v>1668.7500000000002</v>
      </c>
      <c r="I11" s="269">
        <f t="shared" si="1"/>
        <v>5677.2699999999995</v>
      </c>
      <c r="J11" s="269">
        <v>4781.6157499999999</v>
      </c>
      <c r="K11" s="269">
        <v>3371.3144392318723</v>
      </c>
      <c r="L11" s="269">
        <v>4331.7647999999999</v>
      </c>
      <c r="M11" s="269">
        <v>4356.4081500000002</v>
      </c>
      <c r="N11" s="280"/>
      <c r="O11" s="356">
        <f t="shared" si="2"/>
        <v>4008.5199999999995</v>
      </c>
      <c r="P11" s="354">
        <f t="shared" si="3"/>
        <v>2.4021093632958794</v>
      </c>
      <c r="Q11" s="354">
        <f t="shared" si="8"/>
        <v>0.28488898857709599</v>
      </c>
      <c r="R11" s="354">
        <f t="shared" si="9"/>
        <v>5.6889861610216474E-3</v>
      </c>
      <c r="S11" s="354">
        <f t="shared" si="4"/>
        <v>0.3031997472504957</v>
      </c>
      <c r="T11" s="354">
        <f t="shared" si="5"/>
        <v>0.18731205032524834</v>
      </c>
      <c r="U11" s="354">
        <f>('Holdings Pull Sheet'!F22/'Holdings Pull Sheet'!G22)-1</f>
        <v>-1.084068445105757E-2</v>
      </c>
      <c r="V11" s="256" t="s">
        <v>95</v>
      </c>
      <c r="W11" s="357">
        <f t="shared" si="0"/>
        <v>9.2915163490728106E-2</v>
      </c>
      <c r="X11" s="358">
        <f>'Holdings Pull Sheet'!O22/1000000000</f>
        <v>125.264919496</v>
      </c>
      <c r="Y11" s="272" t="str">
        <f t="shared" si="12"/>
        <v>Large</v>
      </c>
      <c r="Z11" s="358">
        <f>'Holdings Pull Sheet'!Q22</f>
        <v>22.26</v>
      </c>
      <c r="AA11" s="359">
        <f>'Holdings Pull Sheet'!P22</f>
        <v>4.18</v>
      </c>
      <c r="AB11" s="273"/>
      <c r="AC11" s="281"/>
      <c r="AD11" s="256"/>
      <c r="AE11" s="360">
        <f t="shared" si="10"/>
        <v>1.7404129779753939E-2</v>
      </c>
      <c r="AF11" s="360">
        <f t="shared" si="7"/>
        <v>-1.0072639681214081E-3</v>
      </c>
      <c r="AG11" s="242"/>
    </row>
    <row r="12" spans="2:33">
      <c r="B12" s="242"/>
      <c r="C12" s="243" t="s">
        <v>234</v>
      </c>
      <c r="D12" s="243" t="str">
        <f>'Holdings Pull Sheet'!B23</f>
        <v>IMMR</v>
      </c>
      <c r="E12">
        <v>7.91</v>
      </c>
      <c r="F12" s="268">
        <v>15.05</v>
      </c>
      <c r="G12" s="369">
        <v>135</v>
      </c>
      <c r="H12" s="269">
        <v>2031.3</v>
      </c>
      <c r="I12" s="269">
        <f t="shared" si="1"/>
        <v>1067.8499999999999</v>
      </c>
      <c r="J12" s="269">
        <v>1455.3</v>
      </c>
      <c r="K12" s="269">
        <v>2031.3</v>
      </c>
      <c r="L12" s="269">
        <v>2031.3</v>
      </c>
      <c r="M12" s="269">
        <v>1807.65</v>
      </c>
      <c r="N12" s="280"/>
      <c r="O12" s="356">
        <f t="shared" si="2"/>
        <v>-963.45</v>
      </c>
      <c r="P12" s="354">
        <f t="shared" si="3"/>
        <v>-0.47430217102348249</v>
      </c>
      <c r="Q12" s="354">
        <f t="shared" si="8"/>
        <v>0</v>
      </c>
      <c r="R12" s="354">
        <f t="shared" si="9"/>
        <v>-0.11010190518387231</v>
      </c>
      <c r="S12" s="354">
        <f t="shared" si="4"/>
        <v>-0.40926064227035108</v>
      </c>
      <c r="T12" s="354">
        <f t="shared" si="5"/>
        <v>-0.26623376623376627</v>
      </c>
      <c r="U12" s="354">
        <f>('Holdings Pull Sheet'!F23/'Holdings Pull Sheet'!G23)-1</f>
        <v>-3.5365853658536506E-2</v>
      </c>
      <c r="V12" s="256" t="s">
        <v>97</v>
      </c>
      <c r="W12" s="357">
        <f t="shared" si="0"/>
        <v>1.7476614170820484E-2</v>
      </c>
      <c r="X12" s="358">
        <f>'Holdings Pull Sheet'!O23/1000000000</f>
        <v>0.225904356</v>
      </c>
      <c r="Y12" s="272" t="str">
        <f t="shared" si="12"/>
        <v>Small</v>
      </c>
      <c r="Z12" s="358">
        <f>'Holdings Pull Sheet'!Q23</f>
        <v>5.84</v>
      </c>
      <c r="AA12" s="359">
        <f>'Holdings Pull Sheet'!P23</f>
        <v>1.35</v>
      </c>
      <c r="AB12" s="273"/>
      <c r="AC12" s="281"/>
      <c r="AD12" s="256"/>
      <c r="AE12" s="360">
        <f t="shared" si="10"/>
        <v>-4.6528648117119473E-3</v>
      </c>
      <c r="AF12" s="360">
        <f t="shared" si="7"/>
        <v>-6.180753792119426E-4</v>
      </c>
      <c r="AG12" s="242"/>
    </row>
    <row r="13" spans="2:33">
      <c r="B13" s="242"/>
      <c r="C13" s="243" t="s">
        <v>235</v>
      </c>
      <c r="D13" s="243" t="str">
        <f>'Holdings Pull Sheet'!B24</f>
        <v>INTC</v>
      </c>
      <c r="E13">
        <v>33.619999999999997</v>
      </c>
      <c r="F13" s="268">
        <v>24.77</v>
      </c>
      <c r="G13" s="369">
        <v>116</v>
      </c>
      <c r="H13" s="269">
        <v>2768.56</v>
      </c>
      <c r="I13" s="269">
        <f t="shared" si="1"/>
        <v>3899.9199999999996</v>
      </c>
      <c r="J13" s="269">
        <v>3048.1509000000001</v>
      </c>
      <c r="K13" s="269">
        <v>2768.56</v>
      </c>
      <c r="L13" s="269">
        <v>2768.56</v>
      </c>
      <c r="M13" s="269">
        <v>2556.2860000000001</v>
      </c>
      <c r="N13" s="280"/>
      <c r="O13" s="356">
        <f t="shared" si="2"/>
        <v>1131.3599999999997</v>
      </c>
      <c r="P13" s="354">
        <f t="shared" si="3"/>
        <v>0.40864564972404427</v>
      </c>
      <c r="Q13" s="354">
        <f t="shared" si="8"/>
        <v>0</v>
      </c>
      <c r="R13" s="354">
        <f t="shared" si="9"/>
        <v>-7.6673071921865454E-2</v>
      </c>
      <c r="S13" s="354">
        <f t="shared" si="4"/>
        <v>0.52561959029623417</v>
      </c>
      <c r="T13" s="354">
        <f t="shared" si="5"/>
        <v>0.27943797008212412</v>
      </c>
      <c r="U13" s="354">
        <f>('Holdings Pull Sheet'!F24/'Holdings Pull Sheet'!G24)-1</f>
        <v>-1.8967026553837307E-2</v>
      </c>
      <c r="V13" s="355" t="s">
        <v>97</v>
      </c>
      <c r="W13" s="357">
        <f t="shared" si="0"/>
        <v>6.3826752012985169E-2</v>
      </c>
      <c r="X13" s="358">
        <f>'Holdings Pull Sheet'!O24/1000000000</f>
        <v>166.45262</v>
      </c>
      <c r="Y13" s="272" t="str">
        <f t="shared" si="12"/>
        <v>Large</v>
      </c>
      <c r="Z13" s="358">
        <f>'Holdings Pull Sheet'!Q24</f>
        <v>16.68</v>
      </c>
      <c r="AA13" s="359">
        <f>'Holdings Pull Sheet'!P24</f>
        <v>2.02</v>
      </c>
      <c r="AB13" s="273"/>
      <c r="AC13" s="281"/>
      <c r="AD13" s="256"/>
      <c r="AE13" s="360">
        <f t="shared" si="10"/>
        <v>1.7835618019443705E-2</v>
      </c>
      <c r="AF13" s="360">
        <f t="shared" si="7"/>
        <v>-1.2106037002754784E-3</v>
      </c>
      <c r="AG13" s="242"/>
    </row>
    <row r="14" spans="2:33">
      <c r="B14" s="242"/>
      <c r="C14" s="243" t="s">
        <v>178</v>
      </c>
      <c r="D14" s="243" t="str">
        <f>'Holdings Pull Sheet'!B25</f>
        <v>MDT</v>
      </c>
      <c r="E14">
        <v>63.65</v>
      </c>
      <c r="F14" s="268">
        <v>46.97</v>
      </c>
      <c r="G14" s="369">
        <v>29</v>
      </c>
      <c r="H14" s="269">
        <v>1330.71</v>
      </c>
      <c r="I14" s="269">
        <f>E14*G14</f>
        <v>1845.85</v>
      </c>
      <c r="J14" s="269">
        <v>1705.12958</v>
      </c>
      <c r="K14" s="269">
        <v>1158.543591018677</v>
      </c>
      <c r="L14" s="269">
        <v>1327.13957</v>
      </c>
      <c r="M14" s="269">
        <v>1530.3832</v>
      </c>
      <c r="N14" s="280"/>
      <c r="O14" s="356">
        <f t="shared" si="2"/>
        <v>515.13999999999987</v>
      </c>
      <c r="P14" s="354">
        <f t="shared" si="3"/>
        <v>0.38711665201283507</v>
      </c>
      <c r="Q14" s="354">
        <f t="shared" si="8"/>
        <v>0.14552407029681214</v>
      </c>
      <c r="R14" s="354">
        <f t="shared" si="9"/>
        <v>0.15314412635590391</v>
      </c>
      <c r="S14" s="354">
        <f t="shared" si="4"/>
        <v>0.2061358227142065</v>
      </c>
      <c r="T14" s="354">
        <f t="shared" si="5"/>
        <v>8.2527698569395458E-2</v>
      </c>
      <c r="U14" s="354">
        <f>('Holdings Pull Sheet'!F25/'Holdings Pull Sheet'!G25)-1</f>
        <v>-3.1644606724478996E-2</v>
      </c>
      <c r="V14" s="256" t="s">
        <v>135</v>
      </c>
      <c r="W14" s="357">
        <f t="shared" si="0"/>
        <v>3.0209494092999008E-2</v>
      </c>
      <c r="X14" s="358">
        <f>'Holdings Pull Sheet'!O25/1000000000</f>
        <v>62.356014852000001</v>
      </c>
      <c r="Y14" s="272" t="str">
        <f t="shared" si="12"/>
        <v>Large</v>
      </c>
      <c r="Z14" s="358">
        <f>'Holdings Pull Sheet'!Q25</f>
        <v>21.55</v>
      </c>
      <c r="AA14" s="359">
        <f>'Holdings Pull Sheet'!P25</f>
        <v>2.95</v>
      </c>
      <c r="AB14" s="359"/>
      <c r="AC14" s="281"/>
      <c r="AD14" s="355"/>
      <c r="AE14" s="360">
        <f t="shared" si="10"/>
        <v>2.4931200224409546E-3</v>
      </c>
      <c r="AF14" s="360">
        <f t="shared" si="7"/>
        <v>-9.5596755991842494E-4</v>
      </c>
      <c r="AG14" s="242"/>
    </row>
    <row r="15" spans="2:33">
      <c r="B15" s="242"/>
      <c r="C15" s="243" t="s">
        <v>211</v>
      </c>
      <c r="D15" s="243" t="str">
        <f>'Holdings Pull Sheet'!B26</f>
        <v>NGVC</v>
      </c>
      <c r="E15">
        <v>16.190000000000001</v>
      </c>
      <c r="F15" s="268">
        <v>19.489999999999998</v>
      </c>
      <c r="G15" s="369">
        <v>75</v>
      </c>
      <c r="H15" s="269">
        <v>1471.6999999999998</v>
      </c>
      <c r="I15" s="269">
        <f t="shared" si="1"/>
        <v>1214.25</v>
      </c>
      <c r="J15" s="269">
        <v>2737.5</v>
      </c>
      <c r="K15" s="269">
        <v>1471.6999999999998</v>
      </c>
      <c r="L15" s="269">
        <v>1865.25</v>
      </c>
      <c r="M15" s="269">
        <v>2775</v>
      </c>
      <c r="N15" s="280"/>
      <c r="O15" s="356">
        <f t="shared" si="2"/>
        <v>-257.44999999999982</v>
      </c>
      <c r="P15" s="354">
        <f t="shared" si="3"/>
        <v>-0.17493375008493572</v>
      </c>
      <c r="Q15" s="354">
        <f t="shared" si="8"/>
        <v>0.26741183665149171</v>
      </c>
      <c r="R15" s="354">
        <f t="shared" si="9"/>
        <v>0.48773622838761566</v>
      </c>
      <c r="S15" s="354">
        <f t="shared" si="4"/>
        <v>-0.56243243243243235</v>
      </c>
      <c r="T15" s="354">
        <f t="shared" si="5"/>
        <v>-0.55643835616438353</v>
      </c>
      <c r="U15" s="354">
        <f>('Holdings Pull Sheet'!F26/'Holdings Pull Sheet'!G26)-1</f>
        <v>-4.0876777251184659E-2</v>
      </c>
      <c r="V15" s="256" t="s">
        <v>96</v>
      </c>
      <c r="W15" s="357">
        <f t="shared" si="0"/>
        <v>1.9872621395250992E-2</v>
      </c>
      <c r="X15" s="358">
        <f>'Holdings Pull Sheet'!O26/1000000000</f>
        <v>0.36391768699999999</v>
      </c>
      <c r="Y15" s="272" t="str">
        <f t="shared" si="12"/>
        <v>Small</v>
      </c>
      <c r="Z15" s="358">
        <f>'Holdings Pull Sheet'!Q26</f>
        <v>29.08</v>
      </c>
      <c r="AA15" s="359">
        <f>'Holdings Pull Sheet'!P26</f>
        <v>0.56000000000000005</v>
      </c>
      <c r="AB15" s="273"/>
      <c r="AC15" s="281"/>
      <c r="AD15" s="256"/>
      <c r="AE15" s="360">
        <f t="shared" si="10"/>
        <v>-1.1057888781850619E-2</v>
      </c>
      <c r="AF15" s="360">
        <f t="shared" si="7"/>
        <v>-8.1232871817080133E-4</v>
      </c>
      <c r="AG15" s="242"/>
    </row>
    <row r="16" spans="2:33">
      <c r="B16" s="242"/>
      <c r="C16" s="243" t="s">
        <v>256</v>
      </c>
      <c r="D16" s="243" t="str">
        <f>'Holdings Pull Sheet'!B27</f>
        <v>PRGO</v>
      </c>
      <c r="E16">
        <v>152.38999999999999</v>
      </c>
      <c r="F16" s="268">
        <v>167.85</v>
      </c>
      <c r="G16" s="369">
        <v>18</v>
      </c>
      <c r="H16" s="269">
        <v>2206.35</v>
      </c>
      <c r="I16" s="269">
        <f t="shared" si="1"/>
        <v>2743.0199999999995</v>
      </c>
      <c r="J16" s="269">
        <v>2629.8202000000006</v>
      </c>
      <c r="K16" s="269">
        <v>2206.35</v>
      </c>
      <c r="L16" s="269">
        <v>2206.35</v>
      </c>
      <c r="M16" s="269">
        <v>2206.35</v>
      </c>
      <c r="N16" s="280"/>
      <c r="O16" s="356">
        <f t="shared" si="2"/>
        <v>536.66999999999962</v>
      </c>
      <c r="P16" s="354">
        <f t="shared" si="3"/>
        <v>0.24323883336732588</v>
      </c>
      <c r="Q16" s="354">
        <f>(L16/K16)-1</f>
        <v>0</v>
      </c>
      <c r="R16" s="354">
        <f t="shared" ref="R16" si="13">(M16/L16)-1</f>
        <v>0</v>
      </c>
      <c r="S16" s="354">
        <f t="shared" si="4"/>
        <v>0.24323883336732588</v>
      </c>
      <c r="T16" s="354">
        <f t="shared" si="5"/>
        <v>4.3044691800602441E-2</v>
      </c>
      <c r="U16" s="354">
        <f>('Holdings Pull Sheet'!F27/'Holdings Pull Sheet'!G27)-1</f>
        <v>6.3395628343128063E-3</v>
      </c>
      <c r="V16" s="355" t="s">
        <v>135</v>
      </c>
      <c r="W16" s="357">
        <f t="shared" si="0"/>
        <v>4.4892730442331781E-2</v>
      </c>
      <c r="X16" s="358">
        <f>'Holdings Pull Sheet'!O27/1000000000</f>
        <v>20.392486923</v>
      </c>
      <c r="Y16" s="272" t="str">
        <f t="shared" ref="Y16:Y21" si="14">IF(X16&lt;2,"Small", IF(X16&lt;10, "Mid", IF(X16&gt;10, "Large")))</f>
        <v>Large</v>
      </c>
      <c r="Z16" s="358">
        <f>'Holdings Pull Sheet'!Q27</f>
        <v>86.1</v>
      </c>
      <c r="AA16" s="359">
        <f>'Holdings Pull Sheet'!P27</f>
        <v>1.77</v>
      </c>
      <c r="AB16" s="359"/>
      <c r="AC16" s="281"/>
      <c r="AD16" s="355"/>
      <c r="AE16" s="360">
        <f t="shared" ref="AE16" si="15">W16*T16</f>
        <v>1.9323937459776945E-3</v>
      </c>
      <c r="AF16" s="360">
        <f t="shared" ref="AF16" si="16">W16*U16</f>
        <v>2.8460028544302965E-4</v>
      </c>
      <c r="AG16" s="242"/>
    </row>
    <row r="17" spans="2:33">
      <c r="B17" s="242"/>
      <c r="C17" s="243" t="s">
        <v>294</v>
      </c>
      <c r="D17" s="243" t="str">
        <f>'Holdings Pull Sheet'!B28</f>
        <v>RRC</v>
      </c>
      <c r="E17">
        <v>63.46</v>
      </c>
      <c r="F17" s="268">
        <v>86.37</v>
      </c>
      <c r="G17" s="369">
        <v>42</v>
      </c>
      <c r="H17" s="269">
        <v>3627.5</v>
      </c>
      <c r="I17" s="269">
        <f t="shared" si="1"/>
        <v>2665.32</v>
      </c>
      <c r="J17" s="269">
        <v>3747.6600000000003</v>
      </c>
      <c r="K17" s="269">
        <v>3627.5</v>
      </c>
      <c r="L17" s="269">
        <v>3627.5</v>
      </c>
      <c r="M17" s="269">
        <v>3627.5</v>
      </c>
      <c r="N17" s="280"/>
      <c r="O17" s="356">
        <f t="shared" si="2"/>
        <v>-962.17999999999984</v>
      </c>
      <c r="P17" s="354">
        <f t="shared" si="3"/>
        <v>-0.26524603721571327</v>
      </c>
      <c r="Q17" s="354">
        <f t="shared" si="8"/>
        <v>0</v>
      </c>
      <c r="R17" s="354">
        <f>((M17-896.49)/L17)-1</f>
        <v>-0.24713714679531351</v>
      </c>
      <c r="S17" s="354">
        <f t="shared" si="4"/>
        <v>-0.26524603721571327</v>
      </c>
      <c r="T17" s="354">
        <f t="shared" si="5"/>
        <v>-0.28880421382942956</v>
      </c>
      <c r="U17" s="354">
        <f>('Holdings Pull Sheet'!F28/'Holdings Pull Sheet'!G28)-1</f>
        <v>-3.2636876620405597E-2</v>
      </c>
      <c r="V17" s="355" t="s">
        <v>43</v>
      </c>
      <c r="W17" s="357">
        <f t="shared" si="0"/>
        <v>4.3621079067070523E-2</v>
      </c>
      <c r="X17" s="358">
        <f>'Holdings Pull Sheet'!O28/1000000000</f>
        <v>10.700486738</v>
      </c>
      <c r="Y17" s="272" t="str">
        <f t="shared" si="14"/>
        <v>Large</v>
      </c>
      <c r="Z17" s="358">
        <f>'Holdings Pull Sheet'!Q28</f>
        <v>40.89</v>
      </c>
      <c r="AA17" s="359">
        <f>'Holdings Pull Sheet'!P28</f>
        <v>1.55</v>
      </c>
      <c r="AB17" s="273"/>
      <c r="AC17" s="281"/>
      <c r="AD17" s="256"/>
      <c r="AE17" s="360">
        <f t="shared" si="10"/>
        <v>-1.2597951446356689E-2</v>
      </c>
      <c r="AF17" s="360">
        <f t="shared" si="7"/>
        <v>-1.423655775560938E-3</v>
      </c>
      <c r="AG17" s="242"/>
    </row>
    <row r="18" spans="2:33">
      <c r="B18" s="242"/>
      <c r="C18" s="243" t="s">
        <v>199</v>
      </c>
      <c r="D18" s="243" t="str">
        <f>'Holdings Pull Sheet'!B29</f>
        <v>TPC</v>
      </c>
      <c r="E18">
        <v>24.07</v>
      </c>
      <c r="F18" s="268">
        <v>13.76</v>
      </c>
      <c r="G18" s="369">
        <v>200</v>
      </c>
      <c r="H18" s="269">
        <v>2752.24</v>
      </c>
      <c r="I18" s="269">
        <f t="shared" si="1"/>
        <v>4814</v>
      </c>
      <c r="J18" s="269">
        <v>6004</v>
      </c>
      <c r="K18" s="269">
        <v>1874.45</v>
      </c>
      <c r="L18" s="269">
        <v>2488.5</v>
      </c>
      <c r="M18" s="269">
        <v>3736</v>
      </c>
      <c r="N18" s="280"/>
      <c r="O18" s="356">
        <f t="shared" si="2"/>
        <v>2061.7600000000002</v>
      </c>
      <c r="P18" s="354">
        <f t="shared" si="3"/>
        <v>0.74912071621660914</v>
      </c>
      <c r="Q18" s="354">
        <f t="shared" si="8"/>
        <v>0.32758942623169451</v>
      </c>
      <c r="R18" s="354">
        <f t="shared" si="9"/>
        <v>0.50130600763512145</v>
      </c>
      <c r="S18" s="354">
        <f t="shared" si="4"/>
        <v>0.28854389721627416</v>
      </c>
      <c r="T18" s="354">
        <f t="shared" si="5"/>
        <v>-0.19820119920053303</v>
      </c>
      <c r="U18" s="354">
        <f>('Holdings Pull Sheet'!F29/'Holdings Pull Sheet'!G29)-1</f>
        <v>-2.6688232915487275E-2</v>
      </c>
      <c r="V18" s="355" t="s">
        <v>20</v>
      </c>
      <c r="W18" s="357">
        <f t="shared" si="0"/>
        <v>7.8786740289675333E-2</v>
      </c>
      <c r="X18" s="358">
        <f>'Holdings Pull Sheet'!O29/1000000000</f>
        <v>1.1691218059999999</v>
      </c>
      <c r="Y18" s="272" t="str">
        <f t="shared" si="14"/>
        <v>Small</v>
      </c>
      <c r="Z18" s="358">
        <f>'Holdings Pull Sheet'!Q29</f>
        <v>11.57</v>
      </c>
      <c r="AA18" s="359">
        <f>'Holdings Pull Sheet'!P29</f>
        <v>2.08</v>
      </c>
      <c r="AB18" s="273"/>
      <c r="AC18" s="281"/>
      <c r="AD18" s="256"/>
      <c r="AE18" s="360">
        <f t="shared" si="10"/>
        <v>-1.5615626406514602E-2</v>
      </c>
      <c r="AF18" s="360">
        <f t="shared" si="7"/>
        <v>-2.1026788755028605E-3</v>
      </c>
      <c r="AG18" s="242"/>
    </row>
    <row r="19" spans="2:33">
      <c r="B19" s="242"/>
      <c r="C19" s="243" t="s">
        <v>186</v>
      </c>
      <c r="D19" s="243" t="str">
        <f>'Holdings Pull Sheet'!B30</f>
        <v>TSN</v>
      </c>
      <c r="E19">
        <v>40.96</v>
      </c>
      <c r="F19" s="268">
        <v>16.89</v>
      </c>
      <c r="G19" s="369">
        <v>102</v>
      </c>
      <c r="H19" s="269">
        <v>1674.9499999999998</v>
      </c>
      <c r="I19" s="269">
        <f t="shared" si="1"/>
        <v>4177.92</v>
      </c>
      <c r="J19" s="269">
        <v>4307.1171899999999</v>
      </c>
      <c r="K19" s="269">
        <v>1665</v>
      </c>
      <c r="L19" s="269">
        <v>2512.1335999999997</v>
      </c>
      <c r="M19" s="269">
        <v>3025.4016000000001</v>
      </c>
      <c r="N19" s="280"/>
      <c r="O19" s="356">
        <f t="shared" si="2"/>
        <v>2502.9700000000003</v>
      </c>
      <c r="P19" s="354">
        <f t="shared" si="3"/>
        <v>1.4943550553747875</v>
      </c>
      <c r="Q19" s="354">
        <f t="shared" ref="Q19:Q21" si="17">(L19/K19)-1</f>
        <v>0.50878894894894877</v>
      </c>
      <c r="R19" s="354">
        <f t="shared" ref="R19:R21" si="18">(M19/L19)-1</f>
        <v>0.20431556665616846</v>
      </c>
      <c r="S19" s="354">
        <f t="shared" si="4"/>
        <v>0.38094724349983822</v>
      </c>
      <c r="T19" s="354">
        <f t="shared" si="5"/>
        <v>-2.9996209599302714E-2</v>
      </c>
      <c r="U19" s="354">
        <f>('Holdings Pull Sheet'!F30/'Holdings Pull Sheet'!G30)-1</f>
        <v>-1.3487475915221592E-2</v>
      </c>
      <c r="V19" s="355" t="s">
        <v>96</v>
      </c>
      <c r="W19" s="357">
        <f t="shared" si="0"/>
        <v>6.8376547152272621E-2</v>
      </c>
      <c r="X19" s="358">
        <f>'Holdings Pull Sheet'!O30/1000000000</f>
        <v>14.405562696</v>
      </c>
      <c r="Y19" s="272" t="str">
        <f t="shared" si="14"/>
        <v>Large</v>
      </c>
      <c r="Z19" s="358">
        <f>'Holdings Pull Sheet'!Q30</f>
        <v>14.87</v>
      </c>
      <c r="AA19" s="359">
        <f>'Holdings Pull Sheet'!P30</f>
        <v>2.75</v>
      </c>
      <c r="AB19" s="359"/>
      <c r="AC19" s="281"/>
      <c r="AD19" s="355"/>
      <c r="AE19" s="360">
        <f t="shared" si="10"/>
        <v>-2.0510372400561745E-3</v>
      </c>
      <c r="AF19" s="360">
        <f t="shared" si="7"/>
        <v>-9.222270328822905E-4</v>
      </c>
      <c r="AG19" s="242"/>
    </row>
    <row r="20" spans="2:33">
      <c r="B20" s="242"/>
      <c r="C20" s="243"/>
      <c r="D20" s="243"/>
      <c r="E20"/>
      <c r="F20" s="268"/>
      <c r="G20" s="369"/>
      <c r="H20" s="269"/>
      <c r="I20" s="269"/>
      <c r="J20" s="269"/>
      <c r="K20" s="269"/>
      <c r="L20" s="269"/>
      <c r="M20" s="269"/>
      <c r="N20" s="280"/>
      <c r="O20" s="356"/>
      <c r="P20" s="354"/>
      <c r="Q20" s="354"/>
      <c r="R20" s="354"/>
      <c r="S20" s="354"/>
      <c r="T20" s="354"/>
      <c r="U20" s="354"/>
      <c r="V20" s="355"/>
      <c r="W20" s="357"/>
      <c r="X20" s="358"/>
      <c r="Y20" s="272"/>
      <c r="Z20" s="358"/>
      <c r="AA20" s="359"/>
      <c r="AB20" s="273"/>
      <c r="AC20" s="281"/>
      <c r="AD20" s="256"/>
      <c r="AE20" s="360"/>
      <c r="AF20" s="360"/>
      <c r="AG20" s="242"/>
    </row>
    <row r="21" spans="2:33">
      <c r="B21" s="242"/>
      <c r="C21" s="243" t="s">
        <v>180</v>
      </c>
      <c r="D21" s="243" t="str">
        <f>'Holdings Pull Sheet'!B32</f>
        <v>WFC</v>
      </c>
      <c r="E21">
        <v>51.12</v>
      </c>
      <c r="F21" s="268">
        <v>24.69</v>
      </c>
      <c r="G21" s="369">
        <v>54</v>
      </c>
      <c r="H21" s="269">
        <v>1204.3700000000001</v>
      </c>
      <c r="I21" s="269">
        <f t="shared" si="1"/>
        <v>2760.48</v>
      </c>
      <c r="J21" s="269">
        <v>2658.3709199999998</v>
      </c>
      <c r="K21" s="269">
        <v>1778.2684477882387</v>
      </c>
      <c r="L21" s="269">
        <v>1961.7591600000001</v>
      </c>
      <c r="M21" s="269">
        <v>2210.1033600000001</v>
      </c>
      <c r="N21" s="458"/>
      <c r="O21" s="356">
        <f t="shared" si="2"/>
        <v>1556.11</v>
      </c>
      <c r="P21" s="354">
        <f t="shared" si="3"/>
        <v>1.2920531066034524</v>
      </c>
      <c r="Q21" s="354">
        <f t="shared" si="17"/>
        <v>0.10318504635224346</v>
      </c>
      <c r="R21" s="354">
        <f t="shared" si="18"/>
        <v>0.12659260375264414</v>
      </c>
      <c r="S21" s="354">
        <f t="shared" si="4"/>
        <v>0.24902755679263788</v>
      </c>
      <c r="T21" s="354">
        <f t="shared" si="5"/>
        <v>3.841039609325847E-2</v>
      </c>
      <c r="U21" s="354">
        <f>('Holdings Pull Sheet'!F32/'Holdings Pull Sheet'!G32)-1</f>
        <v>-1.975071907957815E-2</v>
      </c>
      <c r="V21" s="355" t="s">
        <v>3</v>
      </c>
      <c r="W21" s="357">
        <f t="shared" si="0"/>
        <v>4.5178483762950347E-2</v>
      </c>
      <c r="X21" s="358">
        <f>'Holdings Pull Sheet'!O32/1000000000</f>
        <v>266.97161638400001</v>
      </c>
      <c r="Y21" s="272" t="str">
        <f t="shared" si="14"/>
        <v>Large</v>
      </c>
      <c r="Z21" s="358">
        <f>'Holdings Pull Sheet'!Q32</f>
        <v>12.63</v>
      </c>
      <c r="AA21" s="359">
        <f>'Holdings Pull Sheet'!P32</f>
        <v>4.05</v>
      </c>
      <c r="AB21" s="359"/>
      <c r="AC21" s="281"/>
      <c r="AD21" s="355"/>
      <c r="AE21" s="360">
        <f t="shared" si="10"/>
        <v>1.7353234562277693E-3</v>
      </c>
      <c r="AF21" s="360">
        <f t="shared" si="7"/>
        <v>-8.9230754124331509E-4</v>
      </c>
      <c r="AG21" s="242"/>
    </row>
    <row r="22" spans="2:33">
      <c r="B22" s="242"/>
      <c r="C22" s="243" t="s">
        <v>224</v>
      </c>
      <c r="D22" s="243" t="str">
        <f>'Holdings Pull Sheet'!B33</f>
        <v>YHOO</v>
      </c>
      <c r="E22">
        <v>41.1</v>
      </c>
      <c r="F22" s="454">
        <v>21.75</v>
      </c>
      <c r="G22" s="455">
        <v>100</v>
      </c>
      <c r="H22" s="456">
        <v>2174.9899999999998</v>
      </c>
      <c r="I22" s="269">
        <f t="shared" si="1"/>
        <v>4110</v>
      </c>
      <c r="J22" s="457">
        <v>3651</v>
      </c>
      <c r="K22" s="457">
        <v>2174.9899999999998</v>
      </c>
      <c r="L22" s="457">
        <v>2520</v>
      </c>
      <c r="M22" s="457">
        <v>2823</v>
      </c>
      <c r="N22" s="458"/>
      <c r="O22" s="356">
        <f t="shared" ref="O22" si="19">I22-H22</f>
        <v>1935.0100000000002</v>
      </c>
      <c r="P22" s="354">
        <f t="shared" ref="P22" si="20">(I22/H22)-1</f>
        <v>0.88966386052349677</v>
      </c>
      <c r="Q22" s="354">
        <f t="shared" ref="Q22" si="21">(L22/K22)-1</f>
        <v>0.15862601667134113</v>
      </c>
      <c r="R22" s="354">
        <f t="shared" ref="R22" si="22">(M22/L22)-1</f>
        <v>0.12023809523809526</v>
      </c>
      <c r="S22" s="354">
        <f t="shared" si="4"/>
        <v>0.45589798087141342</v>
      </c>
      <c r="T22" s="354">
        <f t="shared" si="5"/>
        <v>0.12571898110106816</v>
      </c>
      <c r="U22" s="354">
        <f>('Holdings Pull Sheet'!F33/'Holdings Pull Sheet'!G33)-1</f>
        <v>4.8685491723476915E-4</v>
      </c>
      <c r="V22" s="355" t="s">
        <v>97</v>
      </c>
      <c r="W22" s="357">
        <f t="shared" si="0"/>
        <v>6.7264956915364701E-2</v>
      </c>
      <c r="X22" s="358">
        <f>'Holdings Pull Sheet'!O33/1000000000</f>
        <v>40.878215687000001</v>
      </c>
      <c r="Y22" s="272" t="str">
        <f t="shared" ref="Y22" si="23">IF(X22&lt;2,"Small", IF(X22&lt;10, "Mid", IF(X22&gt;10, "Large")))</f>
        <v>Large</v>
      </c>
      <c r="Z22" s="358">
        <f>'Holdings Pull Sheet'!Q33</f>
        <v>34.590000000000003</v>
      </c>
      <c r="AA22" s="359">
        <f>'Holdings Pull Sheet'!P33</f>
        <v>1.19</v>
      </c>
      <c r="AB22" s="359"/>
      <c r="AC22" s="281"/>
      <c r="AD22" s="355"/>
      <c r="AE22" s="360">
        <f t="shared" ref="AE22" si="24">W22*T22</f>
        <v>8.4564818472068985E-3</v>
      </c>
      <c r="AF22" s="360">
        <f t="shared" ref="AF22" si="25">W22*U22</f>
        <v>3.2748275031830195E-5</v>
      </c>
      <c r="AG22" s="242"/>
    </row>
    <row r="23" spans="2:33" ht="3.75" customHeight="1">
      <c r="B23" s="242"/>
      <c r="C23" s="243"/>
      <c r="D23" s="243"/>
      <c r="E23" s="268"/>
      <c r="F23" s="454"/>
      <c r="G23" s="455"/>
      <c r="H23" s="456"/>
      <c r="I23" s="456"/>
      <c r="J23" s="457"/>
      <c r="K23" s="457"/>
      <c r="L23" s="457"/>
      <c r="M23" s="457"/>
      <c r="N23" s="458"/>
      <c r="O23" s="356"/>
      <c r="P23" s="354"/>
      <c r="Q23" s="354"/>
      <c r="R23" s="354"/>
      <c r="S23" s="354"/>
      <c r="T23" s="354"/>
      <c r="U23" s="354"/>
      <c r="V23" s="355"/>
      <c r="W23" s="357"/>
      <c r="X23" s="358"/>
      <c r="Y23" s="272"/>
      <c r="Z23" s="358"/>
      <c r="AA23" s="359"/>
      <c r="AB23" s="359"/>
      <c r="AC23" s="281"/>
      <c r="AD23" s="355"/>
      <c r="AE23" s="360"/>
      <c r="AF23" s="360"/>
      <c r="AG23" s="242"/>
    </row>
    <row r="24" spans="2:33">
      <c r="B24" s="242"/>
      <c r="C24" s="243"/>
      <c r="D24" s="243"/>
      <c r="E24" s="459"/>
      <c r="F24" s="459"/>
      <c r="G24" s="459"/>
      <c r="H24" s="460">
        <f>SUM(H4:H22)</f>
        <v>34520.46</v>
      </c>
      <c r="I24" s="460">
        <f>SUM(I4:I22)</f>
        <v>61101.652159999998</v>
      </c>
      <c r="J24" s="460">
        <v>62601.628210000003</v>
      </c>
      <c r="K24" s="460">
        <v>40381.870389354226</v>
      </c>
      <c r="L24" s="460">
        <v>46519.793840000006</v>
      </c>
      <c r="M24" s="460">
        <v>51641.85828</v>
      </c>
      <c r="N24" s="461"/>
      <c r="O24" s="462">
        <f>SUM(O5:O22)</f>
        <v>18530.932160000004</v>
      </c>
      <c r="P24" s="463">
        <f>(I24/H24)-1</f>
        <v>0.77001268696882952</v>
      </c>
      <c r="Q24" s="463">
        <f>(L24/K24)-1</f>
        <v>0.15199700735664545</v>
      </c>
      <c r="R24" s="463">
        <f>(M24/L24)-1</f>
        <v>0.11010505458422282</v>
      </c>
      <c r="S24" s="463">
        <f>(I24/M24)-1</f>
        <v>0.18318074126437112</v>
      </c>
      <c r="T24" s="463">
        <f>(I24/J24)-1</f>
        <v>-2.3960655543467158E-2</v>
      </c>
      <c r="U24" s="463">
        <f>AF24</f>
        <v>-1.6800914513407716E-2</v>
      </c>
      <c r="V24" s="428"/>
      <c r="W24" s="428">
        <f>SUM(W4:W22)</f>
        <v>1</v>
      </c>
      <c r="X24" s="428"/>
      <c r="Y24" s="428"/>
      <c r="Z24" s="428"/>
      <c r="AA24" s="428"/>
      <c r="AB24" s="428"/>
      <c r="AC24" s="429"/>
      <c r="AD24" s="428"/>
      <c r="AE24" s="430">
        <f>SUM(AE4:AE22)</f>
        <v>2.2119632681650084E-4</v>
      </c>
      <c r="AF24" s="430">
        <f>SUM(AF4:AF22)</f>
        <v>-1.6800914513407716E-2</v>
      </c>
      <c r="AG24" s="242"/>
    </row>
    <row r="25" spans="2:33">
      <c r="B25" s="242"/>
      <c r="C25" s="242"/>
      <c r="D25" s="242"/>
      <c r="E25" s="242"/>
      <c r="F25" s="242"/>
      <c r="G25" s="242"/>
      <c r="H25" s="342"/>
      <c r="I25" s="342"/>
      <c r="J25" s="342"/>
      <c r="K25" s="342"/>
      <c r="L25" s="342"/>
      <c r="M25" s="342"/>
      <c r="N25" s="284"/>
      <c r="O25" s="270"/>
      <c r="P25" s="240"/>
      <c r="Q25" s="240"/>
      <c r="R25" s="240"/>
      <c r="S25" s="354"/>
      <c r="T25" s="240"/>
      <c r="U25" s="240"/>
      <c r="V25" s="242"/>
      <c r="W25" s="256"/>
      <c r="X25" s="256"/>
      <c r="Y25" s="256"/>
      <c r="Z25" s="256"/>
      <c r="AA25" s="256"/>
      <c r="AB25" s="256"/>
      <c r="AC25" s="277"/>
      <c r="AD25" s="256"/>
      <c r="AE25" s="276"/>
      <c r="AF25" s="276"/>
      <c r="AG25" s="242"/>
    </row>
    <row r="26" spans="2:33">
      <c r="B26" s="242"/>
      <c r="C26" s="242"/>
      <c r="D26" s="242"/>
      <c r="E26" s="242"/>
      <c r="F26" s="242"/>
      <c r="G26" s="242"/>
      <c r="H26" s="242"/>
      <c r="I26" s="242"/>
      <c r="J26" s="269"/>
      <c r="K26" s="242"/>
      <c r="L26" s="242"/>
      <c r="M26" s="269"/>
      <c r="O26" s="259"/>
      <c r="P26" s="242"/>
      <c r="Q26" s="242"/>
      <c r="R26" s="242"/>
      <c r="S26" s="242"/>
      <c r="T26" s="242"/>
      <c r="U26" s="242"/>
      <c r="V26" s="242"/>
      <c r="W26" s="242"/>
      <c r="X26" s="242"/>
      <c r="Y26" s="242"/>
      <c r="Z26" s="242"/>
      <c r="AA26" s="242"/>
      <c r="AB26" s="242"/>
      <c r="AD26" s="242"/>
      <c r="AE26" s="242"/>
      <c r="AF26" s="242"/>
      <c r="AG26" s="242"/>
    </row>
    <row r="27" spans="2:33">
      <c r="B27" s="242"/>
      <c r="C27" s="488" t="s">
        <v>250</v>
      </c>
      <c r="D27" s="488"/>
      <c r="E27" s="492" t="s">
        <v>191</v>
      </c>
      <c r="F27" s="493"/>
      <c r="G27" s="282"/>
      <c r="H27" s="275" t="s">
        <v>192</v>
      </c>
      <c r="I27" s="275" t="s">
        <v>183</v>
      </c>
      <c r="J27" s="467" t="s">
        <v>131</v>
      </c>
      <c r="K27" s="242"/>
      <c r="L27" s="378"/>
      <c r="M27" s="342"/>
      <c r="N27" s="285"/>
      <c r="O27" s="268"/>
      <c r="P27" s="242"/>
      <c r="Q27" s="242"/>
      <c r="R27" s="242"/>
      <c r="S27" s="242"/>
      <c r="T27" s="242"/>
      <c r="U27" s="242"/>
      <c r="V27" s="242"/>
      <c r="W27" s="242"/>
      <c r="X27" s="242"/>
      <c r="Y27" s="242"/>
      <c r="Z27" s="242"/>
      <c r="AA27" s="242"/>
      <c r="AB27" s="242"/>
      <c r="AD27" s="242"/>
      <c r="AE27" s="242"/>
      <c r="AF27" s="242"/>
      <c r="AG27" s="242"/>
    </row>
    <row r="28" spans="2:33">
      <c r="B28" s="242"/>
      <c r="C28" s="243" t="str">
        <f>C19</f>
        <v>Tyson Foods</v>
      </c>
      <c r="D28" s="243">
        <f>D20</f>
        <v>0</v>
      </c>
      <c r="E28" s="489">
        <f>Transactions!B145</f>
        <v>41530</v>
      </c>
      <c r="F28" s="489"/>
      <c r="G28" s="242"/>
      <c r="H28" s="267">
        <f>F19</f>
        <v>16.89</v>
      </c>
      <c r="I28" s="267">
        <f>E19</f>
        <v>40.96</v>
      </c>
      <c r="J28" s="354">
        <f>(I28/H28)-1</f>
        <v>1.4251036116044995</v>
      </c>
      <c r="K28" s="242"/>
      <c r="L28" s="240"/>
      <c r="M28" s="342"/>
      <c r="N28" s="241"/>
      <c r="O28" s="242"/>
      <c r="P28" s="342"/>
      <c r="Q28" s="361"/>
      <c r="R28" s="366"/>
      <c r="S28" s="366"/>
      <c r="T28" s="242"/>
      <c r="U28" s="242"/>
      <c r="V28" s="242"/>
      <c r="W28" s="242"/>
      <c r="X28" s="242"/>
      <c r="Y28" s="242"/>
      <c r="Z28" s="242"/>
      <c r="AA28" s="242"/>
      <c r="AB28" s="242"/>
      <c r="AD28" s="242"/>
      <c r="AE28" s="242"/>
      <c r="AF28" s="242"/>
      <c r="AG28" s="242"/>
    </row>
    <row r="29" spans="2:33">
      <c r="B29" s="242"/>
      <c r="C29" s="243" t="str">
        <f>C16</f>
        <v>Perrigo</v>
      </c>
      <c r="D29" s="243" t="str">
        <f>D16</f>
        <v>PRGO</v>
      </c>
      <c r="E29" s="490">
        <f>Transactions!B147</f>
        <v>41544</v>
      </c>
      <c r="F29" s="490"/>
      <c r="G29" s="242"/>
      <c r="H29" s="267">
        <f>F16</f>
        <v>167.85</v>
      </c>
      <c r="I29" s="267">
        <f>E16</f>
        <v>152.38999999999999</v>
      </c>
      <c r="J29" s="354">
        <f>(I29/H29)-1</f>
        <v>-9.2106047065832586E-2</v>
      </c>
      <c r="K29" s="242"/>
      <c r="L29" s="354"/>
      <c r="M29" s="342"/>
      <c r="N29" s="241"/>
      <c r="O29" s="242"/>
      <c r="P29" s="242"/>
      <c r="Q29" s="366"/>
      <c r="R29" s="366"/>
      <c r="S29" s="366"/>
      <c r="T29" s="242"/>
      <c r="U29" s="242"/>
      <c r="V29" s="242"/>
      <c r="W29" s="242"/>
      <c r="X29" s="242"/>
      <c r="Y29" s="242"/>
      <c r="Z29" s="242"/>
      <c r="AA29" s="242"/>
      <c r="AB29" s="242"/>
      <c r="AD29" s="242"/>
      <c r="AE29" s="242"/>
      <c r="AF29" s="242"/>
      <c r="AG29" s="242"/>
    </row>
    <row r="30" spans="2:33">
      <c r="B30" s="242"/>
      <c r="C30" s="243" t="str">
        <f>C17</f>
        <v>Range Resources</v>
      </c>
      <c r="D30" s="243" t="str">
        <f>D17</f>
        <v>RRC</v>
      </c>
      <c r="E30" s="490">
        <v>41698</v>
      </c>
      <c r="F30" s="490"/>
      <c r="G30" s="242"/>
      <c r="H30" s="267">
        <f>F17</f>
        <v>86.37</v>
      </c>
      <c r="I30" s="267">
        <f>E17</f>
        <v>63.46</v>
      </c>
      <c r="J30" s="354">
        <f>(I30/H30)-1</f>
        <v>-0.26525413916869289</v>
      </c>
      <c r="K30" s="242"/>
      <c r="L30" s="354"/>
      <c r="M30" s="456"/>
      <c r="N30" s="241"/>
      <c r="O30" s="242"/>
      <c r="P30" s="242"/>
      <c r="Q30" s="366"/>
      <c r="R30" s="366"/>
      <c r="S30" s="366"/>
      <c r="T30" s="242"/>
      <c r="U30" s="242"/>
      <c r="V30" s="242"/>
      <c r="W30" s="242"/>
      <c r="X30" s="242"/>
      <c r="Y30" s="242"/>
      <c r="Z30" s="242"/>
      <c r="AA30" s="242"/>
      <c r="AB30" s="242"/>
      <c r="AD30" s="242"/>
      <c r="AE30" s="242"/>
      <c r="AF30" s="242"/>
      <c r="AG30" s="242"/>
    </row>
    <row r="31" spans="2:33">
      <c r="B31" s="242"/>
      <c r="C31" s="243"/>
      <c r="D31" s="243"/>
      <c r="E31" s="468"/>
      <c r="F31" s="468"/>
      <c r="G31" s="242"/>
      <c r="H31" s="267"/>
      <c r="I31" s="267"/>
      <c r="J31" s="354"/>
      <c r="K31" s="242"/>
      <c r="L31" s="354"/>
      <c r="M31" s="456"/>
      <c r="N31" s="241"/>
      <c r="O31" s="242"/>
      <c r="P31" s="242"/>
      <c r="Q31" s="366"/>
      <c r="R31" s="366"/>
      <c r="S31" s="366"/>
      <c r="T31" s="242"/>
      <c r="U31" s="242"/>
      <c r="V31" s="242"/>
      <c r="W31" s="242"/>
      <c r="X31" s="242"/>
      <c r="Y31" s="242"/>
      <c r="Z31" s="242"/>
      <c r="AA31" s="242"/>
      <c r="AB31" s="242"/>
      <c r="AD31" s="242"/>
      <c r="AE31" s="242"/>
      <c r="AF31" s="242"/>
      <c r="AG31" s="242"/>
    </row>
    <row r="32" spans="2:33">
      <c r="B32" s="242"/>
      <c r="C32" s="242"/>
      <c r="D32" s="242"/>
      <c r="E32" s="242"/>
      <c r="F32" s="242"/>
      <c r="G32" s="242"/>
      <c r="H32" s="242"/>
      <c r="I32" s="242"/>
      <c r="J32" s="242"/>
      <c r="K32" s="242"/>
      <c r="L32" s="242"/>
      <c r="M32" s="369"/>
      <c r="O32" s="242"/>
      <c r="P32" s="242"/>
      <c r="Q32" s="361"/>
      <c r="R32" s="342"/>
      <c r="S32" s="366"/>
      <c r="T32" s="242"/>
      <c r="U32" s="242"/>
      <c r="V32" s="242"/>
      <c r="W32" s="242"/>
      <c r="X32" s="242"/>
      <c r="Y32" s="242"/>
      <c r="Z32" s="242"/>
      <c r="AA32" s="242"/>
      <c r="AB32" s="242"/>
      <c r="AD32" s="242"/>
      <c r="AE32" s="242"/>
      <c r="AF32" s="242"/>
      <c r="AG32" s="242"/>
    </row>
    <row r="33" spans="2:33">
      <c r="B33" s="242"/>
      <c r="C33" s="488" t="s">
        <v>252</v>
      </c>
      <c r="D33" s="488"/>
      <c r="E33" s="492" t="s">
        <v>184</v>
      </c>
      <c r="F33" s="493"/>
      <c r="G33" s="282"/>
      <c r="H33" s="275" t="s">
        <v>213</v>
      </c>
      <c r="I33" s="275" t="s">
        <v>183</v>
      </c>
      <c r="J33" s="467" t="s">
        <v>131</v>
      </c>
      <c r="K33" s="242"/>
      <c r="L33" s="351"/>
      <c r="M33" s="342"/>
      <c r="N33" s="285"/>
      <c r="O33" s="242"/>
      <c r="P33" s="242"/>
      <c r="Q33" s="342"/>
      <c r="R33" s="342"/>
      <c r="S33" s="342"/>
      <c r="T33" s="242"/>
      <c r="U33" s="242"/>
      <c r="V33" s="242"/>
      <c r="W33" s="242"/>
      <c r="X33" s="242"/>
      <c r="Y33" s="242"/>
      <c r="Z33" s="242"/>
      <c r="AA33" s="242"/>
      <c r="AB33" s="242"/>
      <c r="AD33" s="242"/>
      <c r="AE33" s="242"/>
      <c r="AF33" s="242"/>
      <c r="AG33" s="242"/>
    </row>
    <row r="34" spans="2:33">
      <c r="B34" s="242"/>
      <c r="C34" s="243" t="s">
        <v>200</v>
      </c>
      <c r="D34" s="243">
        <f>'Holdings Pull Sheet'!B35</f>
        <v>0</v>
      </c>
      <c r="E34" s="489">
        <f>Transactions!B149</f>
        <v>41551</v>
      </c>
      <c r="F34" s="489"/>
      <c r="G34" s="242"/>
      <c r="H34" s="267">
        <f>Transactions!E149</f>
        <v>83.94</v>
      </c>
      <c r="I34" s="267">
        <f>'Holdings Pull Sheet'!F35</f>
        <v>93.5</v>
      </c>
      <c r="J34" s="354">
        <f>(I34/H34)-1</f>
        <v>0.1138908744341196</v>
      </c>
      <c r="K34" s="242"/>
      <c r="L34" s="240"/>
      <c r="M34" s="242"/>
      <c r="N34" s="241"/>
      <c r="O34" s="242"/>
      <c r="P34" s="242"/>
      <c r="Q34" s="242"/>
      <c r="R34" s="242"/>
      <c r="S34" s="242"/>
      <c r="T34" s="242"/>
      <c r="U34" s="242"/>
      <c r="V34" s="242"/>
      <c r="W34" s="242"/>
      <c r="X34" s="242"/>
      <c r="Y34" s="242"/>
      <c r="Z34" s="242"/>
      <c r="AA34" s="242"/>
      <c r="AB34" s="242"/>
      <c r="AD34" s="242"/>
      <c r="AE34" s="242"/>
      <c r="AF34" s="242"/>
      <c r="AG34" s="242"/>
    </row>
    <row r="35" spans="2:33">
      <c r="B35" s="242"/>
      <c r="C35" s="243" t="s">
        <v>226</v>
      </c>
      <c r="D35" s="243">
        <f>'Holdings Pull Sheet'!B36</f>
        <v>0</v>
      </c>
      <c r="E35" s="490">
        <f>Transactions!B151</f>
        <v>41576</v>
      </c>
      <c r="F35" s="490"/>
      <c r="G35" s="242"/>
      <c r="H35" s="267">
        <v>9.58</v>
      </c>
      <c r="I35" s="267">
        <f>'Holdings Pull Sheet'!F36</f>
        <v>17.3</v>
      </c>
      <c r="J35" s="354">
        <f>(I35/H35)-1</f>
        <v>0.80584551148225469</v>
      </c>
      <c r="K35" s="242"/>
      <c r="L35" s="354"/>
      <c r="M35" s="242"/>
      <c r="N35" s="241"/>
      <c r="O35" s="242"/>
      <c r="P35" s="242"/>
      <c r="Q35" s="242"/>
      <c r="R35" s="242"/>
      <c r="S35" s="242"/>
      <c r="T35" s="242"/>
      <c r="U35" s="242"/>
      <c r="V35" s="242"/>
      <c r="W35" s="242"/>
      <c r="X35" s="242"/>
      <c r="Y35" s="242"/>
      <c r="Z35" s="242"/>
      <c r="AA35" s="242"/>
      <c r="AB35" s="242"/>
      <c r="AD35" s="242"/>
      <c r="AE35" s="242"/>
      <c r="AF35" s="242"/>
      <c r="AG35" s="242"/>
    </row>
    <row r="36" spans="2:33">
      <c r="B36" s="242"/>
      <c r="C36" s="243" t="s">
        <v>268</v>
      </c>
      <c r="D36" s="243">
        <f>'Holdings Pull Sheet'!B37</f>
        <v>0</v>
      </c>
      <c r="E36" s="490">
        <f>Transactions!B155</f>
        <v>41614</v>
      </c>
      <c r="F36" s="490"/>
      <c r="G36" s="242"/>
      <c r="H36" s="267">
        <v>65.8</v>
      </c>
      <c r="I36" s="267">
        <f>'Holdings Pull Sheet'!F37</f>
        <v>0</v>
      </c>
      <c r="J36" s="354">
        <f>(I36/H36)-1</f>
        <v>-1</v>
      </c>
      <c r="K36" s="242"/>
      <c r="L36" s="354"/>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242"/>
      <c r="F37" s="242"/>
      <c r="G37" s="242"/>
      <c r="H37" s="242"/>
      <c r="I37" s="242"/>
      <c r="J37" s="242"/>
      <c r="K37" s="242"/>
      <c r="L37" s="242"/>
      <c r="M37" s="242"/>
      <c r="O37" s="242"/>
      <c r="P37" s="242"/>
      <c r="Q37" s="242"/>
      <c r="R37" s="242"/>
      <c r="S37" s="242"/>
      <c r="T37" s="242"/>
      <c r="U37" s="242"/>
      <c r="V37" s="242"/>
      <c r="W37" s="242"/>
      <c r="X37" s="242"/>
      <c r="Y37" s="242"/>
      <c r="Z37" s="242"/>
      <c r="AA37" s="242"/>
      <c r="AB37" s="242"/>
      <c r="AD37" s="242"/>
      <c r="AE37" s="242"/>
      <c r="AF37" s="242"/>
      <c r="AG37" s="242"/>
    </row>
    <row r="38" spans="2:33">
      <c r="B38" s="242"/>
      <c r="C38" s="488" t="s">
        <v>222</v>
      </c>
      <c r="D38" s="488"/>
      <c r="E38" s="492" t="s">
        <v>187</v>
      </c>
      <c r="F38" s="493"/>
      <c r="G38" s="286"/>
      <c r="H38" s="275" t="s">
        <v>193</v>
      </c>
      <c r="I38" s="275" t="s">
        <v>183</v>
      </c>
      <c r="J38" s="467" t="s">
        <v>131</v>
      </c>
      <c r="K38" s="242"/>
      <c r="L38" s="351"/>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249</v>
      </c>
      <c r="D39" s="243" t="s">
        <v>249</v>
      </c>
      <c r="E39" s="489" t="s">
        <v>249</v>
      </c>
      <c r="F39" s="489"/>
      <c r="G39" s="242"/>
      <c r="H39" s="267" t="s">
        <v>249</v>
      </c>
      <c r="I39" s="267" t="s">
        <v>249</v>
      </c>
      <c r="J39" s="354" t="e">
        <f>(I39/H39)-1</f>
        <v>#VALUE!</v>
      </c>
      <c r="K39" s="242"/>
      <c r="L39" s="240"/>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340"/>
      <c r="F40" s="260"/>
      <c r="G40" s="260"/>
      <c r="H40" s="253"/>
      <c r="I40" s="267"/>
      <c r="J40" s="242"/>
      <c r="K40" s="242"/>
      <c r="L40" s="242"/>
      <c r="M40" s="354"/>
      <c r="N40" s="241"/>
      <c r="O40" s="242"/>
      <c r="P40" s="242"/>
      <c r="Q40" s="242"/>
      <c r="R40" s="242"/>
      <c r="S40" s="242"/>
      <c r="T40" s="242"/>
      <c r="U40" s="242"/>
      <c r="V40" s="242"/>
      <c r="W40" s="242"/>
      <c r="X40" s="242"/>
      <c r="Y40" s="242"/>
      <c r="Z40" s="242"/>
      <c r="AA40" s="242"/>
      <c r="AB40" s="242"/>
      <c r="AD40" s="242"/>
      <c r="AE40" s="242"/>
      <c r="AF40" s="242"/>
      <c r="AG40" s="242"/>
    </row>
    <row r="41" spans="2:33">
      <c r="B41" s="242"/>
      <c r="C41" s="488" t="s">
        <v>251</v>
      </c>
      <c r="D41" s="488"/>
      <c r="E41" s="492" t="s">
        <v>187</v>
      </c>
      <c r="F41" s="493"/>
      <c r="G41" s="286"/>
      <c r="H41" s="275" t="s">
        <v>193</v>
      </c>
      <c r="I41" s="275" t="s">
        <v>183</v>
      </c>
      <c r="J41" s="467" t="s">
        <v>131</v>
      </c>
      <c r="K41" s="242"/>
      <c r="L41" s="351"/>
      <c r="M41" s="242"/>
      <c r="N41" s="285"/>
      <c r="O41" s="242"/>
      <c r="P41" s="242"/>
      <c r="Q41" s="242"/>
      <c r="R41" s="242"/>
      <c r="S41" s="242"/>
      <c r="T41" s="242"/>
      <c r="U41" s="242"/>
      <c r="V41" s="242"/>
      <c r="W41" s="242"/>
      <c r="X41" s="242"/>
      <c r="Y41" s="242"/>
      <c r="Z41" s="242"/>
      <c r="AA41" s="242"/>
      <c r="AB41" s="242"/>
      <c r="AD41" s="242"/>
      <c r="AE41" s="242"/>
      <c r="AF41" s="242"/>
      <c r="AG41" s="242"/>
    </row>
    <row r="42" spans="2:33">
      <c r="B42" s="242"/>
      <c r="C42" s="243" t="s">
        <v>249</v>
      </c>
      <c r="D42" s="243" t="s">
        <v>249</v>
      </c>
      <c r="E42" s="489" t="s">
        <v>249</v>
      </c>
      <c r="F42" s="489"/>
      <c r="G42" s="242"/>
      <c r="H42" s="267" t="s">
        <v>249</v>
      </c>
      <c r="I42" s="267" t="s">
        <v>249</v>
      </c>
      <c r="J42" s="354" t="e">
        <f>(I42/H42)-1</f>
        <v>#VALUE!</v>
      </c>
      <c r="K42" s="242"/>
      <c r="L42" s="240"/>
      <c r="M42" s="242"/>
      <c r="N42" s="241"/>
      <c r="O42" s="242"/>
      <c r="P42" s="242"/>
      <c r="Q42" s="242"/>
      <c r="R42" s="242"/>
      <c r="S42" s="242"/>
      <c r="T42" s="242"/>
      <c r="U42" s="242"/>
      <c r="V42" s="242"/>
      <c r="W42" s="242"/>
      <c r="X42" s="242"/>
      <c r="Y42" s="242"/>
      <c r="Z42" s="242"/>
      <c r="AA42" s="242"/>
      <c r="AB42" s="242"/>
      <c r="AD42" s="242"/>
      <c r="AE42" s="242"/>
      <c r="AF42" s="242"/>
      <c r="AG42" s="242"/>
    </row>
    <row r="43" spans="2:33">
      <c r="B43" s="242"/>
      <c r="C43" s="242"/>
      <c r="D43" s="242"/>
      <c r="E43" s="242"/>
      <c r="F43" s="242"/>
      <c r="G43" s="242"/>
      <c r="H43" s="242"/>
      <c r="I43" s="242"/>
      <c r="J43" s="242"/>
      <c r="K43" s="242"/>
      <c r="L43" s="242"/>
      <c r="M43" s="242"/>
      <c r="O43" s="242"/>
      <c r="P43" s="242"/>
      <c r="Q43" s="242"/>
      <c r="R43" s="242"/>
      <c r="S43" s="242"/>
      <c r="T43" s="242"/>
      <c r="U43" s="242"/>
      <c r="V43" s="242"/>
      <c r="W43" s="242"/>
      <c r="X43" s="242"/>
      <c r="Y43" s="242"/>
      <c r="Z43" s="242"/>
      <c r="AA43" s="242"/>
      <c r="AB43" s="242"/>
      <c r="AD43" s="242"/>
      <c r="AE43" s="242"/>
      <c r="AF43" s="242"/>
      <c r="AG43" s="242"/>
    </row>
    <row r="44" spans="2:33">
      <c r="B44" s="242"/>
      <c r="C44" s="242"/>
      <c r="D44" s="242"/>
      <c r="E44" s="242"/>
      <c r="F44" s="242"/>
      <c r="G44" s="242"/>
      <c r="H44" s="242"/>
      <c r="I44" s="242"/>
      <c r="J44" s="242"/>
      <c r="K44" s="242"/>
      <c r="L44" s="242"/>
      <c r="M44" s="242"/>
      <c r="O44" s="242"/>
      <c r="P44" s="242"/>
      <c r="Q44" s="242"/>
      <c r="R44" s="242"/>
      <c r="S44" s="242"/>
      <c r="T44" s="242"/>
      <c r="U44" s="242"/>
      <c r="V44" s="242"/>
      <c r="W44" s="242"/>
      <c r="X44" s="242"/>
      <c r="Y44" s="242"/>
      <c r="Z44" s="242"/>
      <c r="AA44" s="242"/>
      <c r="AB44" s="242"/>
      <c r="AD44" s="242"/>
      <c r="AE44" s="242"/>
      <c r="AF44" s="242"/>
      <c r="AG44" s="242"/>
    </row>
  </sheetData>
  <mergeCells count="17">
    <mergeCell ref="X3:Y3"/>
    <mergeCell ref="E42:F42"/>
    <mergeCell ref="E34:F34"/>
    <mergeCell ref="E39:F39"/>
    <mergeCell ref="E27:F27"/>
    <mergeCell ref="E33:F33"/>
    <mergeCell ref="E38:F38"/>
    <mergeCell ref="E41:F41"/>
    <mergeCell ref="E35:F35"/>
    <mergeCell ref="C27:D27"/>
    <mergeCell ref="C33:D33"/>
    <mergeCell ref="C38:D38"/>
    <mergeCell ref="C41:D41"/>
    <mergeCell ref="E28:F28"/>
    <mergeCell ref="E29:F29"/>
    <mergeCell ref="E30:F30"/>
    <mergeCell ref="E36:F36"/>
  </mergeCells>
  <conditionalFormatting sqref="X4 Z4:AC4 N4:N7 N9:N25 M26 J26 I39:I40 H41:H42 H28:I31 H39 H34:I36 M30:M31 I42 H4:M24">
    <cfRule type="cellIs" dxfId="22" priority="91" operator="equal">
      <formula>"""Large"""</formula>
    </cfRule>
  </conditionalFormatting>
  <conditionalFormatting sqref="N39:N42 O19:T20 O5:O18 P4:U6 P7:T18 U7:U23 N28:N31 AE4:AF25 O21:U25 M40 L42:M42 J42 L39:M39 J39 L28:M29 L30:L31 J28:J31 L34:N36 J34:J36">
    <cfRule type="cellIs" dxfId="21" priority="90" operator="lessThan">
      <formula>0</formula>
    </cfRule>
  </conditionalFormatting>
  <conditionalFormatting sqref="N39:N42 O19:T20 O5:O18 P4:U6 P7:T18 U7:U23 N28:N31 AE4:AF25 O21:U25 M40 L42:M42 J42 L39:M39 J39 L28:M29 L30:L31 J28:J31 L34:N36 J34:J36">
    <cfRule type="cellIs" dxfId="20" priority="89" operator="greaterThan">
      <formula>0</formula>
    </cfRule>
  </conditionalFormatting>
  <conditionalFormatting sqref="Y4:Y24">
    <cfRule type="containsText" dxfId="19" priority="70" operator="containsText" text="Mid">
      <formula>NOT(ISERROR(SEARCH("Mid",Y4)))</formula>
    </cfRule>
    <cfRule type="containsText" dxfId="18" priority="71" operator="containsText" text="Small">
      <formula>NOT(ISERROR(SEARCH("Small",Y4)))</formula>
    </cfRule>
    <cfRule type="containsText" dxfId="17" priority="72" operator="containsText" text="Large">
      <formula>NOT(ISERROR(SEARCH("Large",Y4)))</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topLeftCell="B1" workbookViewId="0">
      <selection activeCell="G12" sqref="G12"/>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292</v>
      </c>
    </row>
    <row r="9" spans="2:18" ht="23.25" customHeight="1" thickBot="1">
      <c r="C9" s="494" t="s">
        <v>124</v>
      </c>
      <c r="D9" s="494"/>
      <c r="E9" s="494"/>
      <c r="F9" s="494"/>
      <c r="G9" s="494"/>
      <c r="H9" s="494"/>
      <c r="I9" s="494"/>
      <c r="J9" s="494"/>
      <c r="K9" s="494"/>
      <c r="L9" s="494"/>
      <c r="M9" s="494"/>
      <c r="N9" s="494"/>
      <c r="O9" s="494"/>
      <c r="P9" s="494"/>
      <c r="Q9" s="494"/>
      <c r="R9" s="494"/>
    </row>
    <row r="10" spans="2:18" ht="12.75" customHeight="1">
      <c r="C10" s="495" t="s">
        <v>125</v>
      </c>
      <c r="D10" s="495"/>
      <c r="E10" s="495"/>
      <c r="F10" s="495"/>
      <c r="G10" s="495"/>
      <c r="H10" s="495"/>
      <c r="I10" s="495"/>
      <c r="J10" s="495"/>
      <c r="K10" s="495"/>
      <c r="L10" s="495"/>
      <c r="M10" s="495"/>
      <c r="N10" s="495"/>
      <c r="O10" s="495"/>
      <c r="P10" s="495"/>
      <c r="Q10" s="495"/>
      <c r="R10" s="495"/>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2" t="s">
        <v>236</v>
      </c>
      <c r="D12" s="363" t="s">
        <v>71</v>
      </c>
      <c r="E12" s="364" t="s">
        <v>72</v>
      </c>
      <c r="F12" s="469">
        <v>16659.25</v>
      </c>
      <c r="G12" s="470">
        <v>16994.22</v>
      </c>
      <c r="H12" s="470">
        <v>16989.37</v>
      </c>
      <c r="I12" s="470">
        <v>16649.04</v>
      </c>
      <c r="J12" s="471">
        <v>93214073</v>
      </c>
      <c r="K12" s="470">
        <v>-334.97</v>
      </c>
      <c r="L12" s="472">
        <v>-1.9699999999999999E-2</v>
      </c>
      <c r="M12" s="470">
        <v>17350.64</v>
      </c>
      <c r="N12" s="470">
        <v>14806.39</v>
      </c>
      <c r="O12" s="471">
        <v>0</v>
      </c>
      <c r="P12" s="470">
        <v>0</v>
      </c>
      <c r="Q12" s="470">
        <v>0</v>
      </c>
      <c r="R12" s="471">
        <v>0</v>
      </c>
    </row>
    <row r="13" spans="2:18">
      <c r="C13" s="362" t="s">
        <v>237</v>
      </c>
      <c r="D13" s="363" t="s">
        <v>71</v>
      </c>
      <c r="E13" s="364" t="s">
        <v>72</v>
      </c>
      <c r="F13" s="469">
        <v>4378.34</v>
      </c>
      <c r="G13" s="470">
        <v>4468.59</v>
      </c>
      <c r="H13" s="470">
        <v>4464.13</v>
      </c>
      <c r="I13" s="470">
        <v>4377.28</v>
      </c>
      <c r="J13" s="471">
        <v>0</v>
      </c>
      <c r="K13" s="470">
        <v>-90.26</v>
      </c>
      <c r="L13" s="472">
        <v>-2.0199999999999999E-2</v>
      </c>
      <c r="M13" s="470">
        <v>4610.57</v>
      </c>
      <c r="N13" s="470">
        <v>3721.11</v>
      </c>
      <c r="O13" s="471">
        <v>0</v>
      </c>
      <c r="P13" s="470">
        <v>0</v>
      </c>
      <c r="Q13" s="470">
        <v>0</v>
      </c>
      <c r="R13" s="471">
        <v>0</v>
      </c>
    </row>
    <row r="14" spans="2:18" ht="12.75" customHeight="1">
      <c r="C14" s="362" t="s">
        <v>238</v>
      </c>
      <c r="D14" s="363" t="s">
        <v>71</v>
      </c>
      <c r="E14" s="364" t="s">
        <v>72</v>
      </c>
      <c r="F14" s="469">
        <v>1928.21</v>
      </c>
      <c r="G14" s="470">
        <v>1968.89</v>
      </c>
      <c r="H14" s="470">
        <v>1967.68</v>
      </c>
      <c r="I14" s="470">
        <v>1927.56</v>
      </c>
      <c r="J14" s="471">
        <v>604573274</v>
      </c>
      <c r="K14" s="470">
        <v>-40.68</v>
      </c>
      <c r="L14" s="472">
        <v>-2.07E-2</v>
      </c>
      <c r="M14" s="470">
        <v>2019.26</v>
      </c>
      <c r="N14" s="470">
        <v>1660.88</v>
      </c>
      <c r="O14" s="471">
        <v>0</v>
      </c>
      <c r="P14" s="470">
        <v>0</v>
      </c>
      <c r="Q14" s="470">
        <v>0</v>
      </c>
      <c r="R14" s="471">
        <v>0</v>
      </c>
    </row>
    <row r="15" spans="2:18" ht="26.25" customHeight="1">
      <c r="C15" s="362" t="s">
        <v>237</v>
      </c>
      <c r="D15" s="363" t="s">
        <v>71</v>
      </c>
      <c r="E15" s="364" t="s">
        <v>72</v>
      </c>
      <c r="F15" s="469">
        <v>4378.34</v>
      </c>
      <c r="G15" s="470">
        <v>4468.59</v>
      </c>
      <c r="H15" s="470">
        <v>4464.13</v>
      </c>
      <c r="I15" s="470">
        <v>4377.28</v>
      </c>
      <c r="J15" s="471">
        <v>0</v>
      </c>
      <c r="K15" s="470">
        <v>-90.26</v>
      </c>
      <c r="L15" s="472">
        <v>-2.0199999999999999E-2</v>
      </c>
      <c r="M15" s="470">
        <v>4610.57</v>
      </c>
      <c r="N15" s="470">
        <v>3721.11</v>
      </c>
      <c r="O15" s="471">
        <v>0</v>
      </c>
      <c r="P15" s="470">
        <v>0</v>
      </c>
      <c r="Q15" s="470">
        <v>0</v>
      </c>
      <c r="R15" s="471">
        <v>0</v>
      </c>
    </row>
    <row r="16" spans="2:18" ht="25.5">
      <c r="B16" s="345" t="s">
        <v>50</v>
      </c>
      <c r="C16" s="362" t="s">
        <v>275</v>
      </c>
      <c r="D16" s="363" t="s">
        <v>71</v>
      </c>
      <c r="E16" s="364" t="s">
        <v>72</v>
      </c>
      <c r="F16" s="469">
        <v>137.09</v>
      </c>
      <c r="G16" s="470">
        <v>139.94</v>
      </c>
      <c r="H16" s="470">
        <v>140.29</v>
      </c>
      <c r="I16" s="470">
        <v>137.07</v>
      </c>
      <c r="J16" s="471">
        <v>6592808</v>
      </c>
      <c r="K16" s="470">
        <v>-2.85</v>
      </c>
      <c r="L16" s="472">
        <v>-2.0400000000000001E-2</v>
      </c>
      <c r="M16" s="470">
        <v>142.44999999999999</v>
      </c>
      <c r="N16" s="470">
        <v>108.12</v>
      </c>
      <c r="O16" s="471">
        <v>319364766003</v>
      </c>
      <c r="P16" s="470">
        <v>9</v>
      </c>
      <c r="Q16" s="470">
        <v>15.19</v>
      </c>
      <c r="R16" s="471">
        <v>2334708429</v>
      </c>
    </row>
    <row r="17" spans="2:18" ht="12.75" customHeight="1">
      <c r="B17" s="346" t="s">
        <v>158</v>
      </c>
      <c r="C17" s="362" t="s">
        <v>156</v>
      </c>
      <c r="D17" s="363" t="s">
        <v>71</v>
      </c>
      <c r="E17" s="364" t="s">
        <v>72</v>
      </c>
      <c r="F17" s="469">
        <v>19.64</v>
      </c>
      <c r="G17" s="470">
        <v>19.91</v>
      </c>
      <c r="H17" s="470">
        <v>19.64</v>
      </c>
      <c r="I17" s="470">
        <v>19.64</v>
      </c>
      <c r="J17" s="471">
        <v>0</v>
      </c>
      <c r="K17" s="470">
        <v>-0.27</v>
      </c>
      <c r="L17" s="472">
        <v>-1.3599999999999999E-2</v>
      </c>
      <c r="M17" s="470">
        <v>0</v>
      </c>
      <c r="N17" s="470">
        <v>0</v>
      </c>
      <c r="O17" s="471">
        <v>0</v>
      </c>
      <c r="P17" s="470">
        <v>0</v>
      </c>
      <c r="Q17" s="470">
        <v>0</v>
      </c>
      <c r="R17" s="471">
        <v>0</v>
      </c>
    </row>
    <row r="18" spans="2:18" ht="12.75" customHeight="1">
      <c r="B18" s="346" t="s">
        <v>232</v>
      </c>
      <c r="C18" s="362" t="s">
        <v>276</v>
      </c>
      <c r="D18" s="363" t="s">
        <v>71</v>
      </c>
      <c r="E18" s="364" t="s">
        <v>72</v>
      </c>
      <c r="F18" s="469">
        <v>12.2</v>
      </c>
      <c r="G18" s="470">
        <v>12.53</v>
      </c>
      <c r="H18" s="470">
        <v>12.54</v>
      </c>
      <c r="I18" s="470">
        <v>12.07</v>
      </c>
      <c r="J18" s="471">
        <v>13180275</v>
      </c>
      <c r="K18" s="470">
        <v>-0.33</v>
      </c>
      <c r="L18" s="472">
        <v>-2.63E-2</v>
      </c>
      <c r="M18" s="470">
        <v>14.37</v>
      </c>
      <c r="N18" s="470">
        <v>9.81</v>
      </c>
      <c r="O18" s="471">
        <v>14494176889</v>
      </c>
      <c r="P18" s="470">
        <v>-6.46</v>
      </c>
      <c r="Q18" s="470">
        <v>-25.33</v>
      </c>
      <c r="R18" s="471">
        <v>1188047286</v>
      </c>
    </row>
    <row r="19" spans="2:18">
      <c r="B19" s="346" t="s">
        <v>21</v>
      </c>
      <c r="C19" s="362" t="s">
        <v>277</v>
      </c>
      <c r="D19" s="363" t="s">
        <v>71</v>
      </c>
      <c r="E19" s="364" t="s">
        <v>72</v>
      </c>
      <c r="F19" s="469">
        <v>24.19</v>
      </c>
      <c r="G19" s="470">
        <v>24.66</v>
      </c>
      <c r="H19" s="470">
        <v>24.64</v>
      </c>
      <c r="I19" s="470">
        <v>24.18</v>
      </c>
      <c r="J19" s="471">
        <v>29340068</v>
      </c>
      <c r="K19" s="470">
        <v>-0.47</v>
      </c>
      <c r="L19" s="472">
        <v>-1.9099999999999999E-2</v>
      </c>
      <c r="M19" s="470">
        <v>26.08</v>
      </c>
      <c r="N19" s="470">
        <v>20.22</v>
      </c>
      <c r="O19" s="471">
        <v>123349724658</v>
      </c>
      <c r="P19" s="470">
        <v>1.49</v>
      </c>
      <c r="Q19" s="470">
        <v>16.27</v>
      </c>
      <c r="R19" s="471">
        <v>5099203169</v>
      </c>
    </row>
    <row r="20" spans="2:18" ht="12.75" customHeight="1">
      <c r="B20" s="346" t="s">
        <v>227</v>
      </c>
      <c r="C20" s="362" t="s">
        <v>278</v>
      </c>
      <c r="D20" s="363" t="s">
        <v>71</v>
      </c>
      <c r="E20" s="364" t="s">
        <v>72</v>
      </c>
      <c r="F20" s="469">
        <v>33.71</v>
      </c>
      <c r="G20" s="470">
        <v>34.81</v>
      </c>
      <c r="H20" s="470">
        <v>35.94</v>
      </c>
      <c r="I20" s="470">
        <v>33.61</v>
      </c>
      <c r="J20" s="471">
        <v>28215542</v>
      </c>
      <c r="K20" s="470">
        <v>-1.1000000000000001</v>
      </c>
      <c r="L20" s="472">
        <v>-3.1600000000000003E-2</v>
      </c>
      <c r="M20" s="470">
        <v>42.66</v>
      </c>
      <c r="N20" s="470">
        <v>23.72</v>
      </c>
      <c r="O20" s="471">
        <v>28249129921</v>
      </c>
      <c r="P20" s="470">
        <v>12.69</v>
      </c>
      <c r="Q20" s="470">
        <v>2.64</v>
      </c>
      <c r="R20" s="471">
        <v>843005966</v>
      </c>
    </row>
    <row r="21" spans="2:18">
      <c r="B21" s="346" t="s">
        <v>112</v>
      </c>
      <c r="C21" s="362" t="s">
        <v>279</v>
      </c>
      <c r="D21" s="363" t="s">
        <v>71</v>
      </c>
      <c r="E21" s="364" t="s">
        <v>72</v>
      </c>
      <c r="F21" s="469">
        <v>27.61</v>
      </c>
      <c r="G21" s="470">
        <v>28.29</v>
      </c>
      <c r="H21" s="470">
        <v>28.32</v>
      </c>
      <c r="I21" s="470">
        <v>27.36</v>
      </c>
      <c r="J21" s="471">
        <v>1397926</v>
      </c>
      <c r="K21" s="470">
        <v>-0.68</v>
      </c>
      <c r="L21" s="472">
        <v>-2.4E-2</v>
      </c>
      <c r="M21" s="470">
        <v>34.409999999999997</v>
      </c>
      <c r="N21" s="470">
        <v>24.63</v>
      </c>
      <c r="O21" s="471">
        <v>4036777120</v>
      </c>
      <c r="P21" s="470">
        <v>1.86</v>
      </c>
      <c r="Q21" s="470">
        <v>14.87</v>
      </c>
      <c r="R21" s="471">
        <v>146207067</v>
      </c>
    </row>
    <row r="22" spans="2:18" ht="38.25" customHeight="1">
      <c r="B22" s="346" t="s">
        <v>54</v>
      </c>
      <c r="C22" s="362" t="s">
        <v>280</v>
      </c>
      <c r="D22" s="363" t="s">
        <v>71</v>
      </c>
      <c r="E22" s="364" t="s">
        <v>72</v>
      </c>
      <c r="F22" s="469">
        <v>93.07</v>
      </c>
      <c r="G22" s="470">
        <v>94.09</v>
      </c>
      <c r="H22" s="470">
        <v>94.79</v>
      </c>
      <c r="I22" s="470">
        <v>93.02</v>
      </c>
      <c r="J22" s="471">
        <v>6674794</v>
      </c>
      <c r="K22" s="470">
        <v>-1.02</v>
      </c>
      <c r="L22" s="472">
        <v>-1.0800000000000001E-2</v>
      </c>
      <c r="M22" s="470">
        <v>94.79</v>
      </c>
      <c r="N22" s="470">
        <v>73.739999999999995</v>
      </c>
      <c r="O22" s="471">
        <v>125264919496</v>
      </c>
      <c r="P22" s="470">
        <v>4.18</v>
      </c>
      <c r="Q22" s="470">
        <v>22.26</v>
      </c>
      <c r="R22" s="471">
        <v>1345921559</v>
      </c>
    </row>
    <row r="23" spans="2:18">
      <c r="B23" s="347" t="s">
        <v>233</v>
      </c>
      <c r="C23" s="362" t="s">
        <v>281</v>
      </c>
      <c r="D23" s="363" t="s">
        <v>71</v>
      </c>
      <c r="E23" s="364" t="s">
        <v>72</v>
      </c>
      <c r="F23" s="469">
        <v>7.91</v>
      </c>
      <c r="G23" s="470">
        <v>8.1999999999999993</v>
      </c>
      <c r="H23" s="470">
        <v>8.1999999999999993</v>
      </c>
      <c r="I23" s="470">
        <v>7.9</v>
      </c>
      <c r="J23" s="471">
        <v>297585</v>
      </c>
      <c r="K23" s="470">
        <v>-0.28999999999999998</v>
      </c>
      <c r="L23" s="472">
        <v>-3.5400000000000001E-2</v>
      </c>
      <c r="M23" s="470">
        <v>14.72</v>
      </c>
      <c r="N23" s="470">
        <v>7.86</v>
      </c>
      <c r="O23" s="471">
        <v>225904356</v>
      </c>
      <c r="P23" s="470">
        <v>1.35</v>
      </c>
      <c r="Q23" s="470">
        <v>5.84</v>
      </c>
      <c r="R23" s="471">
        <v>28559337</v>
      </c>
    </row>
    <row r="24" spans="2:18">
      <c r="B24" s="347" t="s">
        <v>55</v>
      </c>
      <c r="C24" s="362" t="s">
        <v>282</v>
      </c>
      <c r="D24" s="363" t="s">
        <v>71</v>
      </c>
      <c r="E24" s="364" t="s">
        <v>72</v>
      </c>
      <c r="F24" s="469">
        <v>33.619999999999997</v>
      </c>
      <c r="G24" s="470">
        <v>34.270000000000003</v>
      </c>
      <c r="H24" s="470">
        <v>34.43</v>
      </c>
      <c r="I24" s="470">
        <v>33.58</v>
      </c>
      <c r="J24" s="471">
        <v>28157325</v>
      </c>
      <c r="K24" s="470">
        <v>-0.65</v>
      </c>
      <c r="L24" s="472">
        <v>-1.9E-2</v>
      </c>
      <c r="M24" s="470">
        <v>35.56</v>
      </c>
      <c r="N24" s="470">
        <v>22.48</v>
      </c>
      <c r="O24" s="471">
        <v>166452620000</v>
      </c>
      <c r="P24" s="470">
        <v>2.02</v>
      </c>
      <c r="Q24" s="470">
        <v>16.68</v>
      </c>
      <c r="R24" s="471">
        <v>4951000000</v>
      </c>
    </row>
    <row r="25" spans="2:18">
      <c r="B25" s="346" t="s">
        <v>57</v>
      </c>
      <c r="C25" s="362" t="s">
        <v>283</v>
      </c>
      <c r="D25" s="363" t="s">
        <v>71</v>
      </c>
      <c r="E25" s="364" t="s">
        <v>72</v>
      </c>
      <c r="F25" s="469">
        <v>63.65</v>
      </c>
      <c r="G25" s="470">
        <v>65.73</v>
      </c>
      <c r="H25" s="470">
        <v>65.599999999999994</v>
      </c>
      <c r="I25" s="470">
        <v>63.64</v>
      </c>
      <c r="J25" s="471">
        <v>9472607</v>
      </c>
      <c r="K25" s="470">
        <v>-2.08</v>
      </c>
      <c r="L25" s="472">
        <v>-3.1600000000000003E-2</v>
      </c>
      <c r="M25" s="470">
        <v>67.11</v>
      </c>
      <c r="N25" s="470">
        <v>52.53</v>
      </c>
      <c r="O25" s="471">
        <v>62356014852</v>
      </c>
      <c r="P25" s="470">
        <v>2.95</v>
      </c>
      <c r="Q25" s="470">
        <v>21.55</v>
      </c>
      <c r="R25" s="471">
        <v>979516413</v>
      </c>
    </row>
    <row r="26" spans="2:18" ht="25.5">
      <c r="B26" s="346" t="s">
        <v>210</v>
      </c>
      <c r="C26" s="362" t="s">
        <v>284</v>
      </c>
      <c r="D26" s="363" t="s">
        <v>71</v>
      </c>
      <c r="E26" s="364" t="s">
        <v>72</v>
      </c>
      <c r="F26" s="469">
        <v>16.190000000000001</v>
      </c>
      <c r="G26" s="470">
        <v>16.88</v>
      </c>
      <c r="H26" s="470">
        <v>16.73</v>
      </c>
      <c r="I26" s="470">
        <v>16.170000000000002</v>
      </c>
      <c r="J26" s="471">
        <v>69324</v>
      </c>
      <c r="K26" s="470">
        <v>-0.69</v>
      </c>
      <c r="L26" s="472">
        <v>-4.0899999999999999E-2</v>
      </c>
      <c r="M26" s="470">
        <v>44.6</v>
      </c>
      <c r="N26" s="470">
        <v>15.89</v>
      </c>
      <c r="O26" s="471">
        <v>363917687</v>
      </c>
      <c r="P26" s="470">
        <v>0.56000000000000005</v>
      </c>
      <c r="Q26" s="470">
        <v>29.08</v>
      </c>
      <c r="R26" s="471">
        <v>22477930</v>
      </c>
    </row>
    <row r="27" spans="2:18" ht="25.5">
      <c r="B27" s="346" t="s">
        <v>255</v>
      </c>
      <c r="C27" s="362" t="s">
        <v>285</v>
      </c>
      <c r="D27" s="363" t="s">
        <v>71</v>
      </c>
      <c r="E27" s="364" t="s">
        <v>72</v>
      </c>
      <c r="F27" s="469">
        <v>152.38999999999999</v>
      </c>
      <c r="G27" s="470">
        <v>151.43</v>
      </c>
      <c r="H27" s="470">
        <v>153.87</v>
      </c>
      <c r="I27" s="470">
        <v>150.5</v>
      </c>
      <c r="J27" s="471">
        <v>1099984</v>
      </c>
      <c r="K27" s="470">
        <v>0.96</v>
      </c>
      <c r="L27" s="472">
        <v>6.3E-3</v>
      </c>
      <c r="M27" s="470">
        <v>168.39</v>
      </c>
      <c r="N27" s="470">
        <v>125.37</v>
      </c>
      <c r="O27" s="471">
        <v>20392486923</v>
      </c>
      <c r="P27" s="470">
        <v>1.77</v>
      </c>
      <c r="Q27" s="470">
        <v>86.1</v>
      </c>
      <c r="R27" s="471">
        <v>133817750</v>
      </c>
    </row>
    <row r="28" spans="2:18">
      <c r="B28" s="370" t="s">
        <v>290</v>
      </c>
      <c r="C28" s="362" t="s">
        <v>293</v>
      </c>
      <c r="D28" s="363" t="s">
        <v>71</v>
      </c>
      <c r="E28" s="364" t="s">
        <v>72</v>
      </c>
      <c r="F28" s="469">
        <v>63.43</v>
      </c>
      <c r="G28" s="470">
        <v>65.569999999999993</v>
      </c>
      <c r="H28" s="470">
        <v>64.88</v>
      </c>
      <c r="I28" s="470">
        <v>63.43</v>
      </c>
      <c r="J28" s="471">
        <v>2167693</v>
      </c>
      <c r="K28" s="470">
        <v>-2.14</v>
      </c>
      <c r="L28" s="472">
        <v>-3.2599999999999997E-2</v>
      </c>
      <c r="M28" s="470">
        <v>95.41</v>
      </c>
      <c r="N28" s="470">
        <v>63.43</v>
      </c>
      <c r="O28" s="471">
        <v>10700486738</v>
      </c>
      <c r="P28" s="470">
        <v>1.55</v>
      </c>
      <c r="Q28" s="470">
        <v>40.89</v>
      </c>
      <c r="R28" s="471">
        <v>168697568</v>
      </c>
    </row>
    <row r="29" spans="2:18">
      <c r="B29" s="346" t="s">
        <v>198</v>
      </c>
      <c r="C29" s="362" t="s">
        <v>286</v>
      </c>
      <c r="D29" s="363" t="s">
        <v>71</v>
      </c>
      <c r="E29" s="364" t="s">
        <v>72</v>
      </c>
      <c r="F29" s="469">
        <v>24.07</v>
      </c>
      <c r="G29" s="470">
        <v>24.73</v>
      </c>
      <c r="H29" s="470">
        <v>24.94</v>
      </c>
      <c r="I29" s="470">
        <v>23.89</v>
      </c>
      <c r="J29" s="471">
        <v>206036</v>
      </c>
      <c r="K29" s="470">
        <v>-0.66</v>
      </c>
      <c r="L29" s="472">
        <v>-2.6700000000000002E-2</v>
      </c>
      <c r="M29" s="470">
        <v>32.51</v>
      </c>
      <c r="N29" s="470">
        <v>20.079999999999998</v>
      </c>
      <c r="O29" s="471">
        <v>1169121806</v>
      </c>
      <c r="P29" s="470">
        <v>2.08</v>
      </c>
      <c r="Q29" s="470">
        <v>11.57</v>
      </c>
      <c r="R29" s="471">
        <v>48571741</v>
      </c>
    </row>
    <row r="30" spans="2:18">
      <c r="B30" s="346" t="s">
        <v>190</v>
      </c>
      <c r="C30" s="362" t="s">
        <v>287</v>
      </c>
      <c r="D30" s="363" t="s">
        <v>71</v>
      </c>
      <c r="E30" s="364" t="s">
        <v>72</v>
      </c>
      <c r="F30" s="469">
        <v>40.96</v>
      </c>
      <c r="G30" s="470">
        <v>41.52</v>
      </c>
      <c r="H30" s="470">
        <v>42.1</v>
      </c>
      <c r="I30" s="470">
        <v>40.83</v>
      </c>
      <c r="J30" s="471">
        <v>3822251</v>
      </c>
      <c r="K30" s="470">
        <v>-0.56000000000000005</v>
      </c>
      <c r="L30" s="472">
        <v>-1.35E-2</v>
      </c>
      <c r="M30" s="470">
        <v>44.24</v>
      </c>
      <c r="N30" s="470">
        <v>27.33</v>
      </c>
      <c r="O30" s="471">
        <v>14405562696</v>
      </c>
      <c r="P30" s="470">
        <v>2.75</v>
      </c>
      <c r="Q30" s="470">
        <v>14.87</v>
      </c>
      <c r="R30" s="471">
        <v>351698308</v>
      </c>
    </row>
    <row r="31" spans="2:18" ht="25.5">
      <c r="B31" s="370"/>
      <c r="C31" s="362" t="s">
        <v>295</v>
      </c>
      <c r="D31" s="363" t="s">
        <v>71</v>
      </c>
      <c r="E31" s="364" t="s">
        <v>72</v>
      </c>
      <c r="F31" s="469">
        <v>114.77</v>
      </c>
      <c r="G31" s="470">
        <v>114.87</v>
      </c>
      <c r="H31" s="470">
        <v>115.75</v>
      </c>
      <c r="I31" s="470">
        <v>113.57</v>
      </c>
      <c r="J31" s="471">
        <v>750290</v>
      </c>
      <c r="K31" s="470">
        <v>-0.1</v>
      </c>
      <c r="L31" s="472">
        <v>-8.9999999999999998E-4</v>
      </c>
      <c r="M31" s="470">
        <v>132.72</v>
      </c>
      <c r="N31" s="470">
        <v>80.349999999999994</v>
      </c>
      <c r="O31" s="471">
        <v>7388523500</v>
      </c>
      <c r="P31" s="470">
        <v>3.51</v>
      </c>
      <c r="Q31" s="470">
        <v>32.68</v>
      </c>
      <c r="R31" s="471">
        <v>64376784</v>
      </c>
    </row>
    <row r="32" spans="2:18">
      <c r="B32" s="346" t="s">
        <v>61</v>
      </c>
      <c r="C32" s="362" t="s">
        <v>288</v>
      </c>
      <c r="D32" s="363" t="s">
        <v>71</v>
      </c>
      <c r="E32" s="364" t="s">
        <v>72</v>
      </c>
      <c r="F32" s="469">
        <v>51.12</v>
      </c>
      <c r="G32" s="470">
        <v>52.15</v>
      </c>
      <c r="H32" s="470">
        <v>52.21</v>
      </c>
      <c r="I32" s="470">
        <v>51.03</v>
      </c>
      <c r="J32" s="471">
        <v>18744179</v>
      </c>
      <c r="K32" s="470">
        <v>-1.03</v>
      </c>
      <c r="L32" s="472">
        <v>-1.9800000000000002E-2</v>
      </c>
      <c r="M32" s="470">
        <v>53.8</v>
      </c>
      <c r="N32" s="470">
        <v>40.07</v>
      </c>
      <c r="O32" s="471">
        <v>266971616384</v>
      </c>
      <c r="P32" s="470">
        <v>4.05</v>
      </c>
      <c r="Q32" s="470">
        <v>12.63</v>
      </c>
      <c r="R32" s="471">
        <v>5220407047</v>
      </c>
    </row>
    <row r="33" spans="2:18">
      <c r="B33" s="346" t="s">
        <v>223</v>
      </c>
      <c r="C33" s="362" t="s">
        <v>289</v>
      </c>
      <c r="D33" s="363" t="s">
        <v>71</v>
      </c>
      <c r="E33" s="364" t="s">
        <v>72</v>
      </c>
      <c r="F33" s="469">
        <v>41.1</v>
      </c>
      <c r="G33" s="470">
        <v>41.08</v>
      </c>
      <c r="H33" s="470">
        <v>41.25</v>
      </c>
      <c r="I33" s="470">
        <v>40.42</v>
      </c>
      <c r="J33" s="471">
        <v>33515066</v>
      </c>
      <c r="K33" s="470">
        <v>0.02</v>
      </c>
      <c r="L33" s="472">
        <v>5.0000000000000001E-4</v>
      </c>
      <c r="M33" s="470">
        <v>44.01</v>
      </c>
      <c r="N33" s="470">
        <v>31.7</v>
      </c>
      <c r="O33" s="471">
        <v>40878215687</v>
      </c>
      <c r="P33" s="470">
        <v>1.19</v>
      </c>
      <c r="Q33" s="470">
        <v>34.590000000000003</v>
      </c>
      <c r="R33" s="471">
        <v>994603788</v>
      </c>
    </row>
    <row r="34" spans="2:18">
      <c r="C34" s="362" t="s">
        <v>296</v>
      </c>
      <c r="D34" s="363" t="s">
        <v>71</v>
      </c>
      <c r="E34" s="364" t="s">
        <v>72</v>
      </c>
      <c r="F34" s="469">
        <v>24.78</v>
      </c>
      <c r="G34" s="470">
        <v>25.25</v>
      </c>
      <c r="H34" s="470">
        <v>25.31</v>
      </c>
      <c r="I34" s="470">
        <v>24.73</v>
      </c>
      <c r="J34" s="471">
        <v>34012297</v>
      </c>
      <c r="K34" s="470">
        <v>-0.47</v>
      </c>
      <c r="L34" s="472">
        <v>-1.8599999999999998E-2</v>
      </c>
      <c r="M34" s="470">
        <v>28.09</v>
      </c>
      <c r="N34" s="470">
        <v>23.5</v>
      </c>
      <c r="O34" s="471">
        <v>248539795987</v>
      </c>
      <c r="P34" s="470">
        <v>1.46</v>
      </c>
      <c r="Q34" s="470">
        <v>16.95</v>
      </c>
      <c r="R34" s="471">
        <v>10033903754</v>
      </c>
    </row>
    <row r="35" spans="2:18">
      <c r="B35" s="348"/>
      <c r="C35" s="362" t="s">
        <v>297</v>
      </c>
      <c r="D35" s="363" t="s">
        <v>71</v>
      </c>
      <c r="E35" s="364" t="s">
        <v>72</v>
      </c>
      <c r="F35" s="469">
        <v>93.5</v>
      </c>
      <c r="G35" s="470">
        <v>96.65</v>
      </c>
      <c r="H35" s="470">
        <v>96.52</v>
      </c>
      <c r="I35" s="470">
        <v>93.24</v>
      </c>
      <c r="J35" s="471">
        <v>6414828</v>
      </c>
      <c r="K35" s="470">
        <v>-3.15</v>
      </c>
      <c r="L35" s="472">
        <v>-3.2599999999999997E-2</v>
      </c>
      <c r="M35" s="470">
        <v>111.46</v>
      </c>
      <c r="N35" s="470">
        <v>81.87</v>
      </c>
      <c r="O35" s="471">
        <v>58703657287</v>
      </c>
      <c r="P35" s="470">
        <v>6</v>
      </c>
      <c r="Q35" s="470">
        <v>15.58</v>
      </c>
      <c r="R35" s="471">
        <v>627846602</v>
      </c>
    </row>
    <row r="36" spans="2:18" ht="12.75" customHeight="1">
      <c r="B36" s="347"/>
      <c r="C36" s="362" t="s">
        <v>298</v>
      </c>
      <c r="D36" s="363" t="s">
        <v>71</v>
      </c>
      <c r="E36" s="364" t="s">
        <v>72</v>
      </c>
      <c r="F36" s="469">
        <v>17.3</v>
      </c>
      <c r="G36" s="470">
        <v>18.91</v>
      </c>
      <c r="H36" s="470">
        <v>18.84</v>
      </c>
      <c r="I36" s="470">
        <v>16.95</v>
      </c>
      <c r="J36" s="471">
        <v>1147246</v>
      </c>
      <c r="K36" s="470">
        <v>-1.61</v>
      </c>
      <c r="L36" s="472">
        <v>-8.5099999999999995E-2</v>
      </c>
      <c r="M36" s="470">
        <v>29.21</v>
      </c>
      <c r="N36" s="470">
        <v>7.06</v>
      </c>
      <c r="O36" s="471">
        <v>540487240</v>
      </c>
      <c r="P36" s="470">
        <v>-7.5</v>
      </c>
      <c r="Q36" s="470">
        <v>-2.31</v>
      </c>
      <c r="R36" s="471">
        <v>31242037</v>
      </c>
    </row>
    <row r="37" spans="2:18" ht="25.5" customHeight="1" thickBot="1">
      <c r="B37" s="346"/>
      <c r="C37" s="195"/>
      <c r="D37" s="195"/>
      <c r="E37" s="196"/>
      <c r="F37" s="196"/>
      <c r="G37" s="196"/>
      <c r="H37" s="196"/>
      <c r="I37" s="196"/>
      <c r="J37" s="196"/>
      <c r="K37" s="196"/>
      <c r="L37" s="196"/>
      <c r="M37" s="196"/>
      <c r="N37" s="195"/>
      <c r="O37" s="195"/>
      <c r="P37" s="195"/>
      <c r="Q37" s="195"/>
      <c r="R37" s="195"/>
    </row>
    <row r="38" spans="2:18" ht="26.25" customHeight="1">
      <c r="B38" s="348"/>
      <c r="C38" s="365" t="s">
        <v>0</v>
      </c>
      <c r="D38" s="196"/>
      <c r="E38" s="500" t="s">
        <v>144</v>
      </c>
      <c r="F38" s="501"/>
      <c r="G38" s="502"/>
      <c r="H38" s="196"/>
      <c r="I38" s="500" t="s">
        <v>13</v>
      </c>
      <c r="J38" s="501"/>
      <c r="K38" s="502"/>
      <c r="L38" s="196"/>
      <c r="M38" s="196"/>
      <c r="N38" s="196"/>
      <c r="O38" s="196"/>
      <c r="P38" s="196"/>
      <c r="Q38" s="196"/>
      <c r="R38" s="196"/>
    </row>
    <row r="39" spans="2:18" ht="25.5" customHeight="1" thickBot="1">
      <c r="B39" s="348"/>
      <c r="C39" s="473" t="s">
        <v>14</v>
      </c>
      <c r="D39" s="197"/>
      <c r="E39" s="497" t="s">
        <v>8</v>
      </c>
      <c r="F39" s="498"/>
      <c r="G39" s="499"/>
      <c r="H39" s="198"/>
      <c r="I39" s="497" t="s">
        <v>9</v>
      </c>
      <c r="J39" s="498"/>
      <c r="K39" s="499"/>
      <c r="L39" s="196"/>
      <c r="M39" s="196"/>
      <c r="N39" s="196"/>
      <c r="O39" s="196"/>
      <c r="P39" s="196"/>
      <c r="Q39" s="196"/>
      <c r="R39" s="196"/>
    </row>
    <row r="40" spans="2:18" ht="25.5" customHeight="1">
      <c r="B40" s="348"/>
      <c r="C40" s="195"/>
      <c r="D40" s="195"/>
      <c r="E40" s="195"/>
      <c r="F40" s="195"/>
      <c r="G40" s="195"/>
      <c r="H40" s="195"/>
      <c r="I40" s="195"/>
      <c r="J40" s="195"/>
      <c r="K40" s="195"/>
      <c r="L40" s="195"/>
      <c r="M40" s="195"/>
      <c r="N40" s="195"/>
      <c r="O40" s="195"/>
      <c r="P40" s="195"/>
      <c r="Q40" s="195"/>
      <c r="R40" s="195"/>
    </row>
    <row r="41" spans="2:18" ht="25.5" customHeight="1">
      <c r="B41" s="348"/>
      <c r="C41" s="503" t="s">
        <v>273</v>
      </c>
      <c r="D41" s="503"/>
      <c r="E41" s="503"/>
      <c r="F41" s="503"/>
      <c r="G41" s="503"/>
      <c r="H41" s="503"/>
      <c r="I41" s="503"/>
      <c r="J41" s="503"/>
      <c r="K41" s="503"/>
      <c r="L41" s="503"/>
      <c r="M41" s="503"/>
      <c r="N41" s="503"/>
      <c r="O41" s="503"/>
      <c r="P41" s="503"/>
      <c r="Q41" s="503"/>
      <c r="R41" s="503"/>
    </row>
    <row r="42" spans="2:18" ht="25.5" customHeight="1">
      <c r="B42" s="346"/>
      <c r="C42" s="496" t="s">
        <v>165</v>
      </c>
      <c r="D42" s="496"/>
      <c r="E42" s="496"/>
      <c r="F42" s="496"/>
      <c r="G42" s="496"/>
      <c r="H42" s="496"/>
      <c r="I42" s="496"/>
      <c r="J42" s="496"/>
      <c r="K42" s="496"/>
      <c r="L42" s="496"/>
      <c r="M42" s="496"/>
      <c r="N42" s="496"/>
      <c r="O42" s="496"/>
      <c r="P42" s="496"/>
      <c r="Q42" s="496"/>
      <c r="R42" s="496"/>
    </row>
    <row r="43" spans="2:18" ht="25.5" customHeight="1">
      <c r="B43" s="346"/>
      <c r="C43" s="496"/>
      <c r="D43" s="496"/>
      <c r="E43" s="496"/>
      <c r="F43" s="496"/>
      <c r="G43" s="496"/>
      <c r="H43" s="496"/>
      <c r="I43" s="496"/>
      <c r="J43" s="496"/>
      <c r="K43" s="496"/>
      <c r="L43" s="496"/>
      <c r="M43" s="496"/>
      <c r="N43" s="496"/>
      <c r="O43" s="496"/>
      <c r="P43" s="496"/>
      <c r="Q43" s="496"/>
      <c r="R43" s="496"/>
    </row>
    <row r="44" spans="2:18" ht="38.25" customHeight="1">
      <c r="B44" s="370"/>
      <c r="C44" s="496" t="s">
        <v>274</v>
      </c>
      <c r="D44" s="496"/>
      <c r="E44" s="496"/>
      <c r="F44" s="496"/>
      <c r="G44" s="496"/>
      <c r="H44" s="496"/>
      <c r="I44" s="496"/>
      <c r="J44" s="496"/>
      <c r="K44" s="496"/>
      <c r="L44" s="496"/>
      <c r="M44" s="496"/>
      <c r="N44" s="496"/>
      <c r="O44" s="496"/>
      <c r="P44" s="496"/>
      <c r="Q44" s="496"/>
      <c r="R44" s="496"/>
    </row>
    <row r="45" spans="2:18" ht="38.25" customHeight="1">
      <c r="B45" s="346"/>
      <c r="C45" s="496"/>
      <c r="D45" s="496"/>
      <c r="E45" s="496"/>
      <c r="F45" s="496"/>
      <c r="G45" s="496"/>
      <c r="H45" s="496"/>
      <c r="I45" s="496"/>
      <c r="J45" s="496"/>
      <c r="K45" s="496"/>
      <c r="L45" s="496"/>
      <c r="M45" s="496"/>
      <c r="N45" s="496"/>
      <c r="O45" s="496"/>
      <c r="P45" s="496"/>
      <c r="Q45" s="496"/>
      <c r="R45" s="496"/>
    </row>
    <row r="46" spans="2:18" ht="38.25" customHeight="1">
      <c r="B46" s="346"/>
      <c r="C46" s="496" t="s">
        <v>239</v>
      </c>
      <c r="D46" s="496"/>
      <c r="E46" s="496"/>
      <c r="F46" s="496"/>
      <c r="G46" s="496"/>
      <c r="H46" s="496"/>
      <c r="I46" s="496"/>
      <c r="J46" s="496"/>
      <c r="K46" s="496"/>
      <c r="L46" s="496"/>
      <c r="M46" s="496"/>
      <c r="N46" s="496"/>
      <c r="O46" s="496"/>
      <c r="P46" s="496"/>
      <c r="Q46" s="496"/>
      <c r="R46" s="496"/>
    </row>
    <row r="47" spans="2:18" ht="38.25" customHeight="1">
      <c r="B47" s="346"/>
      <c r="C47" s="496"/>
      <c r="D47" s="496"/>
      <c r="E47" s="496"/>
      <c r="F47" s="496"/>
      <c r="G47" s="496"/>
      <c r="H47" s="496"/>
      <c r="I47" s="496"/>
      <c r="J47" s="496"/>
      <c r="K47" s="496"/>
      <c r="L47" s="496"/>
      <c r="M47" s="496"/>
      <c r="N47" s="496"/>
      <c r="O47" s="496"/>
      <c r="P47" s="496"/>
      <c r="Q47" s="496"/>
      <c r="R47" s="496"/>
    </row>
    <row r="48" spans="2:18" ht="25.5" customHeight="1">
      <c r="B48" s="348"/>
    </row>
    <row r="49" spans="2:4" ht="38.25" customHeight="1">
      <c r="B49" s="348"/>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7:R47"/>
    <mergeCell ref="E39:G39"/>
    <mergeCell ref="I39:K39"/>
    <mergeCell ref="C46:R46"/>
    <mergeCell ref="E38:G38"/>
    <mergeCell ref="I38:K38"/>
    <mergeCell ref="C41:R41"/>
    <mergeCell ref="C9:R9"/>
    <mergeCell ref="C10:R10"/>
    <mergeCell ref="C44:R44"/>
    <mergeCell ref="C45:R45"/>
    <mergeCell ref="C42:R42"/>
    <mergeCell ref="C43:R43"/>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RRC"/>
    <hyperlink ref="D28" r:id="rId51" display="http://investing.money.msn.com/investments/charts/?symbol=RRC"/>
    <hyperlink ref="E28" r:id="rId52" display="http://money.msn.com/business-news/news.aspx?symbol=RRC"/>
    <hyperlink ref="C29" r:id="rId53" display="http://investing.money.msn.com/investments/stock-price?symbol=TPC"/>
    <hyperlink ref="D29" r:id="rId54" display="http://investing.money.msn.com/investments/charts/?symbol=TPC"/>
    <hyperlink ref="E29" r:id="rId55" display="http://money.msn.com/business-news/news.aspx?symbol=TPC"/>
    <hyperlink ref="C30" r:id="rId56" display="http://investing.money.msn.com/investments/stock-price?symbol=TSN"/>
    <hyperlink ref="D30" r:id="rId57" display="http://investing.money.msn.com/investments/charts/?symbol=TSN"/>
    <hyperlink ref="E30" r:id="rId58" display="http://money.msn.com/business-news/news.aspx?symbol=TSN"/>
    <hyperlink ref="C31" r:id="rId59" display="http://investing.money.msn.com/investments/stock-price?symbol=ULTA"/>
    <hyperlink ref="D31" r:id="rId60" display="http://investing.money.msn.com/investments/charts/?symbol=ULTA"/>
    <hyperlink ref="E31" r:id="rId61" display="http://money.msn.com/business-news/news.aspx?symbol=ULTA"/>
    <hyperlink ref="C32" r:id="rId62" display="http://investing.money.msn.com/investments/stock-price?symbol=WFC"/>
    <hyperlink ref="D32" r:id="rId63" display="http://investing.money.msn.com/investments/charts/?symbol=WFC"/>
    <hyperlink ref="E32" r:id="rId64" display="http://money.msn.com/business-news/news.aspx?symbol=WFC"/>
    <hyperlink ref="C33" r:id="rId65" display="http://investing.money.msn.com/investments/stock-price?symbol=YHOO"/>
    <hyperlink ref="D33" r:id="rId66" display="http://investing.money.msn.com/investments/charts/?symbol=YHOO"/>
    <hyperlink ref="E33" r:id="rId67" display="http://money.msn.com/business-news/news.aspx?symbol=YHOO"/>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11"/>
    <pageSetUpPr fitToPage="1"/>
  </sheetPr>
  <dimension ref="A1:AB780"/>
  <sheetViews>
    <sheetView workbookViewId="0">
      <pane xSplit="2" ySplit="2" topLeftCell="C572" activePane="bottomRight" state="frozen"/>
      <selection pane="topRight" activeCell="C1" sqref="C1"/>
      <selection pane="bottomLeft" activeCell="A3" sqref="A3"/>
      <selection pane="bottomRight" activeCell="U588" sqref="U588"/>
    </sheetView>
  </sheetViews>
  <sheetFormatPr defaultColWidth="8.85546875" defaultRowHeight="12.75"/>
  <cols>
    <col min="1" max="1" width="5" style="387" hidden="1" customWidth="1"/>
    <col min="2" max="2" width="10.42578125" style="419" customWidth="1"/>
    <col min="3" max="3" width="2.140625" style="383" customWidth="1"/>
    <col min="4" max="4" width="12.28515625" style="411" bestFit="1" customWidth="1"/>
    <col min="5" max="5" width="11.42578125" style="408" bestFit="1" customWidth="1"/>
    <col min="6" max="6" width="10.42578125" style="408" bestFit="1" customWidth="1"/>
    <col min="7" max="7" width="9.28515625" style="409" customWidth="1"/>
    <col min="8" max="8" width="10.28515625" style="408" bestFit="1" customWidth="1"/>
    <col min="9" max="9" width="8.28515625" style="409" bestFit="1" customWidth="1"/>
    <col min="10" max="10" width="7.28515625" style="388" hidden="1" customWidth="1"/>
    <col min="11" max="11" width="2.140625" style="383" customWidth="1"/>
    <col min="12" max="12" width="8.7109375" style="382" bestFit="1" customWidth="1"/>
    <col min="13" max="13" width="9.85546875" style="415" bestFit="1" customWidth="1"/>
    <col min="14" max="14" width="9.140625" style="415" customWidth="1"/>
    <col min="15" max="15" width="6.42578125" style="416" customWidth="1"/>
    <col min="16" max="16" width="4.28515625" style="417" customWidth="1"/>
    <col min="17" max="17" width="9.140625" style="415" customWidth="1"/>
    <col min="18" max="18" width="2.140625" style="388" customWidth="1"/>
    <col min="19" max="19" width="9.7109375" style="382" bestFit="1" customWidth="1"/>
    <col min="20" max="20" width="9.85546875" style="415" bestFit="1" customWidth="1"/>
    <col min="21" max="21" width="9.140625" style="415" customWidth="1"/>
    <col min="22" max="22" width="6.42578125" style="416" customWidth="1"/>
    <col min="23" max="23" width="4.28515625" style="417" customWidth="1"/>
    <col min="24" max="24" width="9.140625" style="415" customWidth="1"/>
    <col min="25" max="25" width="4.28515625" style="383" customWidth="1"/>
    <col min="26" max="26" width="8.42578125" style="389" hidden="1" customWidth="1"/>
    <col min="27" max="27" width="7" style="390" hidden="1" customWidth="1"/>
    <col min="28" max="28" width="7.7109375" style="390" hidden="1" customWidth="1"/>
    <col min="29" max="29" width="8.85546875" style="387" customWidth="1"/>
    <col min="30" max="16384" width="8.85546875" style="387"/>
  </cols>
  <sheetData>
    <row r="1" spans="1:28" ht="27.75">
      <c r="D1" s="410" t="s">
        <v>2</v>
      </c>
      <c r="E1" s="406"/>
      <c r="F1" s="406"/>
      <c r="G1" s="407"/>
      <c r="H1" s="406"/>
      <c r="I1" s="407"/>
      <c r="L1" s="380" t="s">
        <v>1</v>
      </c>
      <c r="M1" s="412"/>
      <c r="N1" s="412"/>
      <c r="O1" s="413"/>
      <c r="P1" s="414"/>
      <c r="Q1" s="412"/>
      <c r="S1" s="380" t="s">
        <v>258</v>
      </c>
      <c r="T1" s="418"/>
      <c r="U1" s="418"/>
      <c r="V1" s="418"/>
      <c r="W1" s="418"/>
      <c r="X1" s="418"/>
    </row>
    <row r="2" spans="1:28" s="396" customFormat="1" ht="98.25" customHeight="1" thickBot="1">
      <c r="A2" s="391" t="s">
        <v>100</v>
      </c>
      <c r="B2" s="420" t="s">
        <v>114</v>
      </c>
      <c r="C2" s="384"/>
      <c r="D2" s="381" t="s">
        <v>118</v>
      </c>
      <c r="E2" s="379" t="s">
        <v>88</v>
      </c>
      <c r="F2" s="379" t="s">
        <v>119</v>
      </c>
      <c r="G2" s="379" t="s">
        <v>134</v>
      </c>
      <c r="H2" s="379" t="s">
        <v>120</v>
      </c>
      <c r="I2" s="379" t="s">
        <v>121</v>
      </c>
      <c r="J2" s="392"/>
      <c r="K2" s="384"/>
      <c r="L2" s="381" t="s">
        <v>122</v>
      </c>
      <c r="M2" s="379" t="s">
        <v>123</v>
      </c>
      <c r="N2" s="379" t="s">
        <v>73</v>
      </c>
      <c r="O2" s="379" t="s">
        <v>195</v>
      </c>
      <c r="P2" s="379" t="s">
        <v>204</v>
      </c>
      <c r="Q2" s="379" t="s">
        <v>197</v>
      </c>
      <c r="R2" s="393"/>
      <c r="S2" s="381" t="s">
        <v>74</v>
      </c>
      <c r="T2" s="379" t="s">
        <v>75</v>
      </c>
      <c r="U2" s="379" t="s">
        <v>76</v>
      </c>
      <c r="V2" s="379" t="s">
        <v>203</v>
      </c>
      <c r="W2" s="379" t="s">
        <v>204</v>
      </c>
      <c r="X2" s="379" t="s">
        <v>207</v>
      </c>
      <c r="Y2" s="384"/>
      <c r="Z2" s="394" t="s">
        <v>77</v>
      </c>
      <c r="AA2" s="395" t="s">
        <v>78</v>
      </c>
      <c r="AB2" s="395" t="s">
        <v>132</v>
      </c>
    </row>
    <row r="3" spans="1:28" s="402" customFormat="1" ht="12.75" customHeight="1">
      <c r="A3" s="397">
        <v>1</v>
      </c>
      <c r="B3" s="421">
        <v>37743</v>
      </c>
      <c r="C3" s="385"/>
      <c r="D3" s="411">
        <v>22855.85</v>
      </c>
      <c r="E3" s="408">
        <f>D3</f>
        <v>22855.85</v>
      </c>
      <c r="F3" s="408" t="s">
        <v>133</v>
      </c>
      <c r="G3" s="409" t="s">
        <v>133</v>
      </c>
      <c r="H3" s="408" t="s">
        <v>133</v>
      </c>
      <c r="I3" s="409" t="s">
        <v>133</v>
      </c>
      <c r="J3" s="398"/>
      <c r="K3" s="385"/>
      <c r="L3" s="382">
        <v>930.08</v>
      </c>
      <c r="M3" s="415" t="s">
        <v>133</v>
      </c>
      <c r="N3" s="415" t="s">
        <v>133</v>
      </c>
      <c r="O3" s="416"/>
      <c r="P3" s="417"/>
      <c r="Q3" s="415"/>
      <c r="R3" s="399"/>
      <c r="S3" s="382">
        <v>8582.68</v>
      </c>
      <c r="T3" s="415" t="s">
        <v>133</v>
      </c>
      <c r="U3" s="415" t="s">
        <v>133</v>
      </c>
      <c r="V3" s="416"/>
      <c r="W3" s="417"/>
      <c r="X3" s="415"/>
      <c r="Y3" s="383"/>
      <c r="Z3" s="400">
        <v>1502.88</v>
      </c>
      <c r="AA3" s="401" t="s">
        <v>133</v>
      </c>
      <c r="AB3" s="401" t="s">
        <v>133</v>
      </c>
    </row>
    <row r="4" spans="1:28">
      <c r="A4" s="403">
        <f>A3+1</f>
        <v>2</v>
      </c>
      <c r="B4" s="422">
        <v>37750</v>
      </c>
      <c r="C4" s="385"/>
      <c r="D4" s="411">
        <v>23075.51</v>
      </c>
      <c r="E4" s="408">
        <f>D4</f>
        <v>23075.51</v>
      </c>
      <c r="F4" s="408">
        <f t="shared" ref="F4:F40" si="0">D4-D3</f>
        <v>219.65999999999985</v>
      </c>
      <c r="G4" s="409">
        <f t="shared" ref="G4:G40" si="1">(D4/D3)-1</f>
        <v>9.6106686034429512E-3</v>
      </c>
      <c r="H4" s="408">
        <f t="shared" ref="H4:H40" si="2">D4-$D$3</f>
        <v>219.65999999999985</v>
      </c>
      <c r="I4" s="409">
        <f t="shared" ref="I4:I40" si="3">(D4/$D$3)-1</f>
        <v>9.6106686034429512E-3</v>
      </c>
      <c r="K4" s="385"/>
      <c r="L4" s="382">
        <v>933.41</v>
      </c>
      <c r="M4" s="415">
        <f>(L4/L3)-1</f>
        <v>3.5803371752967106E-3</v>
      </c>
      <c r="N4" s="415">
        <f t="shared" ref="N4:N67" si="4">(L4/$L$3)-1</f>
        <v>3.5803371752967106E-3</v>
      </c>
      <c r="O4" s="416" t="str">
        <f t="shared" ref="O4:O67" si="5">IF(G4&gt;M4,"Yes","No")</f>
        <v>Yes</v>
      </c>
      <c r="P4" s="417">
        <f>IF(O4="Yes",1,0)</f>
        <v>1</v>
      </c>
      <c r="Q4" s="415">
        <f>SUM(P4)/COUNT(P4)</f>
        <v>1</v>
      </c>
      <c r="S4" s="382">
        <v>8604.6</v>
      </c>
      <c r="T4" s="415">
        <f>(S4/S3)-1</f>
        <v>2.5539808078596238E-3</v>
      </c>
      <c r="U4" s="415">
        <f t="shared" ref="U4:U35" si="6">(S4/$S$3)-1</f>
        <v>2.5539808078596238E-3</v>
      </c>
      <c r="V4" s="416" t="str">
        <f t="shared" ref="V4:V35" si="7">IF(G4&gt;T4,"Yes","No")</f>
        <v>Yes</v>
      </c>
      <c r="W4" s="417">
        <f>IF(V4="Yes",1,0)</f>
        <v>1</v>
      </c>
      <c r="X4" s="415">
        <f>SUM(W4)/COUNT(W4)</f>
        <v>1</v>
      </c>
      <c r="Z4" s="389">
        <v>1520.15</v>
      </c>
      <c r="AA4" s="390">
        <f>(Z4/Z3)-1</f>
        <v>1.1491270094751371E-2</v>
      </c>
      <c r="AB4" s="390">
        <f>(Z4/$Z$3)-1</f>
        <v>1.1491270094751371E-2</v>
      </c>
    </row>
    <row r="5" spans="1:28">
      <c r="A5" s="403">
        <f t="shared" ref="A5:A68" si="8">A4+1</f>
        <v>3</v>
      </c>
      <c r="B5" s="422">
        <f>B4+7</f>
        <v>37757</v>
      </c>
      <c r="C5" s="385"/>
      <c r="D5" s="411">
        <v>23259.78</v>
      </c>
      <c r="E5" s="408">
        <f t="shared" ref="E5:E40" si="9">D5</f>
        <v>23259.78</v>
      </c>
      <c r="F5" s="408">
        <f t="shared" si="0"/>
        <v>184.27000000000044</v>
      </c>
      <c r="G5" s="409">
        <f t="shared" si="1"/>
        <v>7.98552231348304E-3</v>
      </c>
      <c r="H5" s="408">
        <f t="shared" si="2"/>
        <v>403.93000000000029</v>
      </c>
      <c r="I5" s="409">
        <f t="shared" si="3"/>
        <v>1.7672937125506216E-2</v>
      </c>
      <c r="K5" s="385"/>
      <c r="L5" s="382">
        <v>944.3</v>
      </c>
      <c r="M5" s="415">
        <f t="shared" ref="M5:M41" si="10">(L5/L4)-1</f>
        <v>1.1666898790456459E-2</v>
      </c>
      <c r="N5" s="415">
        <f t="shared" si="4"/>
        <v>1.528900739721295E-2</v>
      </c>
      <c r="O5" s="416" t="str">
        <f t="shared" si="5"/>
        <v>No</v>
      </c>
      <c r="P5" s="417">
        <f>IF(O5="Yes",1,0)</f>
        <v>0</v>
      </c>
      <c r="Q5" s="415">
        <f>SUM($P$4:P5)/COUNT($P$4:P5)</f>
        <v>0.5</v>
      </c>
      <c r="S5" s="382">
        <v>8678.9699999999993</v>
      </c>
      <c r="T5" s="415">
        <f t="shared" ref="T5:T41" si="11">(S5/S4)-1</f>
        <v>8.6430513911162077E-3</v>
      </c>
      <c r="U5" s="415">
        <f t="shared" si="6"/>
        <v>1.1219106386350042E-2</v>
      </c>
      <c r="V5" s="416" t="str">
        <f t="shared" si="7"/>
        <v>No</v>
      </c>
      <c r="W5" s="417">
        <f>IF(V5="Yes",1,0)</f>
        <v>0</v>
      </c>
      <c r="X5" s="415">
        <f>SUM($W$4:W5)/COUNT($W$4:W5)</f>
        <v>0.5</v>
      </c>
      <c r="Z5" s="389">
        <v>1538.53</v>
      </c>
      <c r="AA5" s="390">
        <f t="shared" ref="AA5:AA41" si="12">(Z5/Z4)-1</f>
        <v>1.2090912081044625E-2</v>
      </c>
      <c r="AB5" s="390">
        <f t="shared" ref="AB5:AB41" si="13">(Z5/$Z$3)-1</f>
        <v>2.3721122112211113E-2</v>
      </c>
    </row>
    <row r="6" spans="1:28">
      <c r="A6" s="403">
        <f t="shared" si="8"/>
        <v>4</v>
      </c>
      <c r="B6" s="422">
        <f t="shared" ref="B6:B41" si="14">B5+7</f>
        <v>37764</v>
      </c>
      <c r="C6" s="385"/>
      <c r="D6" s="411">
        <v>22880.42</v>
      </c>
      <c r="E6" s="408">
        <f t="shared" si="9"/>
        <v>22880.42</v>
      </c>
      <c r="F6" s="408">
        <f t="shared" si="0"/>
        <v>-379.36000000000058</v>
      </c>
      <c r="G6" s="409">
        <f t="shared" si="1"/>
        <v>-1.630969854401032E-2</v>
      </c>
      <c r="H6" s="408">
        <f t="shared" si="2"/>
        <v>24.569999999999709</v>
      </c>
      <c r="I6" s="409">
        <f t="shared" si="3"/>
        <v>1.0749983045916789E-3</v>
      </c>
      <c r="K6" s="385"/>
      <c r="L6" s="382">
        <v>921.29</v>
      </c>
      <c r="M6" s="415">
        <f t="shared" si="10"/>
        <v>-2.4367256168590479E-2</v>
      </c>
      <c r="N6" s="415">
        <f t="shared" si="4"/>
        <v>-9.4507999311888025E-3</v>
      </c>
      <c r="O6" s="416" t="str">
        <f t="shared" si="5"/>
        <v>Yes</v>
      </c>
      <c r="P6" s="417">
        <f t="shared" ref="P6:P69" si="15">IF(O6="Yes",1,0)</f>
        <v>1</v>
      </c>
      <c r="Q6" s="415">
        <f>SUM($P$4:P6)/COUNT($P$4:P6)</f>
        <v>0.66666666666666663</v>
      </c>
      <c r="S6" s="382">
        <v>8497.59</v>
      </c>
      <c r="T6" s="415">
        <f t="shared" si="11"/>
        <v>-2.0898793289987116E-2</v>
      </c>
      <c r="U6" s="415">
        <f t="shared" si="6"/>
        <v>-9.9141526889037213E-3</v>
      </c>
      <c r="V6" s="416" t="str">
        <f t="shared" si="7"/>
        <v>Yes</v>
      </c>
      <c r="W6" s="417">
        <f t="shared" ref="W6:W69" si="16">IF(V6="Yes",1,0)</f>
        <v>1</v>
      </c>
      <c r="X6" s="415">
        <f>SUM($W$4:W6)/COUNT($W$4:W6)</f>
        <v>0.66666666666666663</v>
      </c>
      <c r="Z6" s="389">
        <v>1483.2</v>
      </c>
      <c r="AA6" s="390">
        <f t="shared" si="12"/>
        <v>-3.5962899650965441E-2</v>
      </c>
      <c r="AB6" s="390">
        <f t="shared" si="13"/>
        <v>-1.3094857872884114E-2</v>
      </c>
    </row>
    <row r="7" spans="1:28">
      <c r="A7" s="403">
        <f t="shared" si="8"/>
        <v>5</v>
      </c>
      <c r="B7" s="422">
        <f t="shared" si="14"/>
        <v>37771</v>
      </c>
      <c r="C7" s="385"/>
      <c r="D7" s="411">
        <v>24142.6</v>
      </c>
      <c r="E7" s="408">
        <f t="shared" si="9"/>
        <v>24142.6</v>
      </c>
      <c r="F7" s="408">
        <f t="shared" si="0"/>
        <v>1262.1800000000003</v>
      </c>
      <c r="G7" s="409">
        <f t="shared" si="1"/>
        <v>5.5164197160716411E-2</v>
      </c>
      <c r="H7" s="408">
        <f t="shared" si="2"/>
        <v>1286.75</v>
      </c>
      <c r="I7" s="409">
        <f t="shared" si="3"/>
        <v>5.6298496883729898E-2</v>
      </c>
      <c r="K7" s="385"/>
      <c r="L7" s="382">
        <v>963.59</v>
      </c>
      <c r="M7" s="415">
        <f t="shared" si="10"/>
        <v>4.5913881622507757E-2</v>
      </c>
      <c r="N7" s="415">
        <f t="shared" si="4"/>
        <v>3.6029158782040271E-2</v>
      </c>
      <c r="O7" s="416" t="str">
        <f t="shared" si="5"/>
        <v>Yes</v>
      </c>
      <c r="P7" s="417">
        <f t="shared" si="15"/>
        <v>1</v>
      </c>
      <c r="Q7" s="415">
        <f>SUM($P$4:P7)/COUNT($P$4:P7)</f>
        <v>0.75</v>
      </c>
      <c r="S7" s="382">
        <v>8850.26</v>
      </c>
      <c r="T7" s="415">
        <f t="shared" si="11"/>
        <v>4.1502355373700173E-2</v>
      </c>
      <c r="U7" s="415">
        <f t="shared" si="6"/>
        <v>3.1176741996672419E-2</v>
      </c>
      <c r="V7" s="416" t="str">
        <f t="shared" si="7"/>
        <v>Yes</v>
      </c>
      <c r="W7" s="417">
        <f t="shared" si="16"/>
        <v>1</v>
      </c>
      <c r="X7" s="415">
        <f>SUM($W$4:W7)/COUNT($W$4:W7)</f>
        <v>0.75</v>
      </c>
      <c r="Z7" s="389">
        <v>1595.91</v>
      </c>
      <c r="AA7" s="390">
        <f t="shared" si="12"/>
        <v>7.5991100323624661E-2</v>
      </c>
      <c r="AB7" s="390">
        <f t="shared" si="13"/>
        <v>6.1901149792398469E-2</v>
      </c>
    </row>
    <row r="8" spans="1:28">
      <c r="A8" s="403">
        <f t="shared" si="8"/>
        <v>6</v>
      </c>
      <c r="B8" s="422">
        <f t="shared" si="14"/>
        <v>37778</v>
      </c>
      <c r="C8" s="385"/>
      <c r="D8" s="411">
        <v>24843.31</v>
      </c>
      <c r="E8" s="408">
        <f t="shared" si="9"/>
        <v>24843.31</v>
      </c>
      <c r="F8" s="408">
        <f t="shared" si="0"/>
        <v>700.71000000000276</v>
      </c>
      <c r="G8" s="409">
        <f t="shared" si="1"/>
        <v>2.9023800253493937E-2</v>
      </c>
      <c r="H8" s="408">
        <f t="shared" si="2"/>
        <v>1987.4600000000028</v>
      </c>
      <c r="I8" s="409">
        <f t="shared" si="3"/>
        <v>8.6956293465349166E-2</v>
      </c>
      <c r="K8" s="385"/>
      <c r="L8" s="382">
        <v>987.76</v>
      </c>
      <c r="M8" s="415">
        <f t="shared" si="10"/>
        <v>2.5083282308865806E-2</v>
      </c>
      <c r="N8" s="415">
        <f t="shared" si="4"/>
        <v>6.2016170651986835E-2</v>
      </c>
      <c r="O8" s="416" t="str">
        <f t="shared" si="5"/>
        <v>Yes</v>
      </c>
      <c r="P8" s="417">
        <f t="shared" si="15"/>
        <v>1</v>
      </c>
      <c r="Q8" s="415">
        <f>SUM($P$4:P8)/COUNT($P$4:P8)</f>
        <v>0.8</v>
      </c>
      <c r="S8" s="382">
        <v>9062.7900000000009</v>
      </c>
      <c r="T8" s="415">
        <f t="shared" si="11"/>
        <v>2.4013983769968439E-2</v>
      </c>
      <c r="U8" s="415">
        <f t="shared" si="6"/>
        <v>5.5939403542949462E-2</v>
      </c>
      <c r="V8" s="416" t="str">
        <f t="shared" si="7"/>
        <v>Yes</v>
      </c>
      <c r="W8" s="417">
        <f t="shared" si="16"/>
        <v>1</v>
      </c>
      <c r="X8" s="415">
        <f>SUM($W$4:W8)/COUNT($W$4:W8)</f>
        <v>0.8</v>
      </c>
      <c r="Z8" s="389">
        <v>1627.42</v>
      </c>
      <c r="AA8" s="390">
        <f t="shared" si="12"/>
        <v>1.9744221165354015E-2</v>
      </c>
      <c r="AB8" s="390">
        <f t="shared" si="13"/>
        <v>8.2867560949643426E-2</v>
      </c>
    </row>
    <row r="9" spans="1:28">
      <c r="A9" s="403">
        <f t="shared" si="8"/>
        <v>7</v>
      </c>
      <c r="B9" s="422">
        <f t="shared" si="14"/>
        <v>37785</v>
      </c>
      <c r="C9" s="385"/>
      <c r="D9" s="411">
        <v>24777.34</v>
      </c>
      <c r="E9" s="408">
        <f t="shared" si="9"/>
        <v>24777.34</v>
      </c>
      <c r="F9" s="408">
        <f t="shared" si="0"/>
        <v>-65.970000000001164</v>
      </c>
      <c r="G9" s="409">
        <f t="shared" si="1"/>
        <v>-2.6554432561523011E-3</v>
      </c>
      <c r="H9" s="408">
        <f t="shared" si="2"/>
        <v>1921.4900000000016</v>
      </c>
      <c r="I9" s="409">
        <f t="shared" si="3"/>
        <v>8.4069942706134437E-2</v>
      </c>
      <c r="K9" s="385"/>
      <c r="L9" s="382">
        <f>995.16-6.55</f>
        <v>988.61</v>
      </c>
      <c r="M9" s="415">
        <f t="shared" si="10"/>
        <v>8.6053292297716411E-4</v>
      </c>
      <c r="N9" s="415">
        <f t="shared" si="4"/>
        <v>6.2930070531567184E-2</v>
      </c>
      <c r="O9" s="416" t="str">
        <f t="shared" si="5"/>
        <v>No</v>
      </c>
      <c r="P9" s="417">
        <f t="shared" si="15"/>
        <v>0</v>
      </c>
      <c r="Q9" s="415">
        <f>SUM($P$4:P9)/COUNT($P$4:P9)</f>
        <v>0.66666666666666663</v>
      </c>
      <c r="S9" s="382">
        <f>9176.41-59.29</f>
        <v>9117.119999999999</v>
      </c>
      <c r="T9" s="415">
        <f t="shared" si="11"/>
        <v>5.9948426477935968E-3</v>
      </c>
      <c r="U9" s="415">
        <f t="shared" si="6"/>
        <v>6.2269594112794424E-2</v>
      </c>
      <c r="V9" s="416" t="str">
        <f t="shared" si="7"/>
        <v>No</v>
      </c>
      <c r="W9" s="417">
        <f t="shared" si="16"/>
        <v>0</v>
      </c>
      <c r="X9" s="415">
        <f>SUM($W$4:W9)/COUNT($W$4:W9)</f>
        <v>0.66666666666666663</v>
      </c>
      <c r="Z9" s="389">
        <f>1637.82-11.33</f>
        <v>1626.49</v>
      </c>
      <c r="AA9" s="390">
        <f t="shared" si="12"/>
        <v>-5.7145666146418694E-4</v>
      </c>
      <c r="AB9" s="390">
        <f t="shared" si="13"/>
        <v>8.224874906845514E-2</v>
      </c>
    </row>
    <row r="10" spans="1:28">
      <c r="A10" s="403">
        <f t="shared" si="8"/>
        <v>8</v>
      </c>
      <c r="B10" s="422">
        <f t="shared" si="14"/>
        <v>37792</v>
      </c>
      <c r="C10" s="385"/>
      <c r="D10" s="411">
        <v>25072.639999999999</v>
      </c>
      <c r="E10" s="408">
        <f t="shared" si="9"/>
        <v>25072.639999999999</v>
      </c>
      <c r="F10" s="408">
        <f t="shared" si="0"/>
        <v>295.29999999999927</v>
      </c>
      <c r="G10" s="409">
        <f t="shared" si="1"/>
        <v>1.191814779149003E-2</v>
      </c>
      <c r="H10" s="408">
        <f t="shared" si="2"/>
        <v>2216.7900000000009</v>
      </c>
      <c r="I10" s="409">
        <f t="shared" si="3"/>
        <v>9.6990048499618231E-2</v>
      </c>
      <c r="K10" s="385"/>
      <c r="L10" s="382">
        <v>995.69</v>
      </c>
      <c r="M10" s="415">
        <f t="shared" si="10"/>
        <v>7.1615702855525321E-3</v>
      </c>
      <c r="N10" s="415">
        <f t="shared" si="4"/>
        <v>7.054231894030627E-2</v>
      </c>
      <c r="O10" s="416" t="str">
        <f t="shared" si="5"/>
        <v>Yes</v>
      </c>
      <c r="P10" s="417">
        <f t="shared" si="15"/>
        <v>1</v>
      </c>
      <c r="Q10" s="415">
        <f>SUM($P$4:P10)/COUNT($P$4:P10)</f>
        <v>0.7142857142857143</v>
      </c>
      <c r="S10" s="382">
        <v>9200.75</v>
      </c>
      <c r="T10" s="415">
        <f t="shared" si="11"/>
        <v>9.1728528307186696E-3</v>
      </c>
      <c r="U10" s="415">
        <f t="shared" si="6"/>
        <v>7.2013636766138367E-2</v>
      </c>
      <c r="V10" s="416" t="str">
        <f t="shared" si="7"/>
        <v>Yes</v>
      </c>
      <c r="W10" s="417">
        <f t="shared" si="16"/>
        <v>1</v>
      </c>
      <c r="X10" s="415">
        <f>SUM($W$4:W10)/COUNT($W$4:W10)</f>
        <v>0.7142857142857143</v>
      </c>
      <c r="Z10" s="389">
        <v>1644.72</v>
      </c>
      <c r="AA10" s="390">
        <f t="shared" si="12"/>
        <v>1.1208184495447249E-2</v>
      </c>
      <c r="AB10" s="390">
        <f t="shared" si="13"/>
        <v>9.437879271798133E-2</v>
      </c>
    </row>
    <row r="11" spans="1:28">
      <c r="A11" s="403">
        <f t="shared" si="8"/>
        <v>9</v>
      </c>
      <c r="B11" s="422">
        <f t="shared" si="14"/>
        <v>37799</v>
      </c>
      <c r="C11" s="385"/>
      <c r="D11" s="411">
        <v>24857.119999999999</v>
      </c>
      <c r="E11" s="408">
        <f t="shared" si="9"/>
        <v>24857.119999999999</v>
      </c>
      <c r="F11" s="408">
        <f t="shared" si="0"/>
        <v>-215.52000000000044</v>
      </c>
      <c r="G11" s="409">
        <f t="shared" si="1"/>
        <v>-8.5958239738616049E-3</v>
      </c>
      <c r="H11" s="408">
        <f t="shared" si="2"/>
        <v>2001.2700000000004</v>
      </c>
      <c r="I11" s="409">
        <f t="shared" si="3"/>
        <v>8.7560515141637651E-2</v>
      </c>
      <c r="K11" s="385"/>
      <c r="L11" s="382">
        <v>976.22</v>
      </c>
      <c r="M11" s="415">
        <f t="shared" si="10"/>
        <v>-1.9554278942241043E-2</v>
      </c>
      <c r="N11" s="415">
        <f t="shared" si="4"/>
        <v>4.9608635816273949E-2</v>
      </c>
      <c r="O11" s="416" t="str">
        <f t="shared" si="5"/>
        <v>Yes</v>
      </c>
      <c r="P11" s="417">
        <f t="shared" si="15"/>
        <v>1</v>
      </c>
      <c r="Q11" s="415">
        <f>SUM($P$4:P11)/COUNT($P$4:P11)</f>
        <v>0.75</v>
      </c>
      <c r="S11" s="382">
        <v>8989.0499999999993</v>
      </c>
      <c r="T11" s="415">
        <f t="shared" si="11"/>
        <v>-2.3008993832024593E-2</v>
      </c>
      <c r="U11" s="415">
        <f t="shared" si="6"/>
        <v>4.7347681609939851E-2</v>
      </c>
      <c r="V11" s="416" t="str">
        <f t="shared" si="7"/>
        <v>Yes</v>
      </c>
      <c r="W11" s="417">
        <f t="shared" si="16"/>
        <v>1</v>
      </c>
      <c r="X11" s="415">
        <f>SUM($W$4:W11)/COUNT($W$4:W11)</f>
        <v>0.75</v>
      </c>
      <c r="Z11" s="389">
        <v>1625.26</v>
      </c>
      <c r="AA11" s="390">
        <f t="shared" si="12"/>
        <v>-1.1831801157643929E-2</v>
      </c>
      <c r="AB11" s="390">
        <f t="shared" si="13"/>
        <v>8.1430320451399973E-2</v>
      </c>
    </row>
    <row r="12" spans="1:28">
      <c r="A12" s="403">
        <f t="shared" si="8"/>
        <v>10</v>
      </c>
      <c r="B12" s="422">
        <f t="shared" si="14"/>
        <v>37806</v>
      </c>
      <c r="C12" s="385"/>
      <c r="D12" s="411">
        <v>24907.37</v>
      </c>
      <c r="E12" s="408">
        <f t="shared" si="9"/>
        <v>24907.37</v>
      </c>
      <c r="F12" s="408">
        <f t="shared" si="0"/>
        <v>50.25</v>
      </c>
      <c r="G12" s="409">
        <f t="shared" si="1"/>
        <v>2.021553583037683E-3</v>
      </c>
      <c r="H12" s="408">
        <f t="shared" si="2"/>
        <v>2051.5200000000004</v>
      </c>
      <c r="I12" s="409">
        <f t="shared" si="3"/>
        <v>8.9759076997792731E-2</v>
      </c>
      <c r="K12" s="385"/>
      <c r="L12" s="382">
        <v>991.66</v>
      </c>
      <c r="M12" s="415">
        <f t="shared" si="10"/>
        <v>1.5816107025055759E-2</v>
      </c>
      <c r="N12" s="415">
        <f t="shared" si="4"/>
        <v>6.620935833476671E-2</v>
      </c>
      <c r="O12" s="416" t="str">
        <f t="shared" si="5"/>
        <v>No</v>
      </c>
      <c r="P12" s="417">
        <f t="shared" si="15"/>
        <v>0</v>
      </c>
      <c r="Q12" s="415">
        <f>SUM($P$4:P12)/COUNT($P$4:P12)</f>
        <v>0.66666666666666663</v>
      </c>
      <c r="S12" s="382">
        <v>9070.2099999999991</v>
      </c>
      <c r="T12" s="415">
        <f t="shared" si="11"/>
        <v>9.0287627724843222E-3</v>
      </c>
      <c r="U12" s="415">
        <f t="shared" si="6"/>
        <v>5.6803935367507385E-2</v>
      </c>
      <c r="V12" s="416" t="str">
        <f t="shared" si="7"/>
        <v>No</v>
      </c>
      <c r="W12" s="417">
        <f t="shared" si="16"/>
        <v>0</v>
      </c>
      <c r="X12" s="415">
        <f>SUM($W$4:W12)/COUNT($W$4:W12)</f>
        <v>0.66666666666666663</v>
      </c>
      <c r="Z12" s="389">
        <v>1663.46</v>
      </c>
      <c r="AA12" s="390">
        <f t="shared" si="12"/>
        <v>2.3503931678623857E-2</v>
      </c>
      <c r="AB12" s="390">
        <f t="shared" si="13"/>
        <v>0.10684818481848168</v>
      </c>
    </row>
    <row r="13" spans="1:28">
      <c r="A13" s="403">
        <f t="shared" si="8"/>
        <v>11</v>
      </c>
      <c r="B13" s="422">
        <f t="shared" si="14"/>
        <v>37813</v>
      </c>
      <c r="C13" s="385"/>
      <c r="D13" s="411">
        <v>25578.29</v>
      </c>
      <c r="E13" s="408">
        <f t="shared" si="9"/>
        <v>25578.29</v>
      </c>
      <c r="F13" s="408">
        <f t="shared" si="0"/>
        <v>670.92000000000189</v>
      </c>
      <c r="G13" s="409">
        <f t="shared" si="1"/>
        <v>2.6936605510738509E-2</v>
      </c>
      <c r="H13" s="408">
        <f t="shared" si="2"/>
        <v>2722.4400000000023</v>
      </c>
      <c r="I13" s="409">
        <f t="shared" si="3"/>
        <v>0.11911348735662863</v>
      </c>
      <c r="K13" s="385"/>
      <c r="L13" s="382">
        <v>998.14</v>
      </c>
      <c r="M13" s="415">
        <f t="shared" si="10"/>
        <v>6.5344977109089708E-3</v>
      </c>
      <c r="N13" s="415">
        <f t="shared" si="4"/>
        <v>7.3176500946155132E-2</v>
      </c>
      <c r="O13" s="416" t="str">
        <f t="shared" si="5"/>
        <v>Yes</v>
      </c>
      <c r="P13" s="417">
        <f t="shared" si="15"/>
        <v>1</v>
      </c>
      <c r="Q13" s="415">
        <f>SUM($P$4:P13)/COUNT($P$4:P13)</f>
        <v>0.7</v>
      </c>
      <c r="S13" s="382">
        <v>9119.59</v>
      </c>
      <c r="T13" s="415">
        <f t="shared" si="11"/>
        <v>5.4441958896211951E-3</v>
      </c>
      <c r="U13" s="415">
        <f t="shared" si="6"/>
        <v>6.2557383008570833E-2</v>
      </c>
      <c r="V13" s="416" t="str">
        <f t="shared" si="7"/>
        <v>Yes</v>
      </c>
      <c r="W13" s="417">
        <f t="shared" si="16"/>
        <v>1</v>
      </c>
      <c r="X13" s="415">
        <f>SUM($W$4:W13)/COUNT($W$4:W13)</f>
        <v>0.7</v>
      </c>
      <c r="Z13" s="389">
        <v>1733.93</v>
      </c>
      <c r="AA13" s="390">
        <f t="shared" si="12"/>
        <v>4.2363507388214927E-2</v>
      </c>
      <c r="AB13" s="390">
        <f t="shared" si="13"/>
        <v>0.15373815607367192</v>
      </c>
    </row>
    <row r="14" spans="1:28">
      <c r="A14" s="403">
        <f t="shared" si="8"/>
        <v>12</v>
      </c>
      <c r="B14" s="422">
        <f t="shared" si="14"/>
        <v>37820</v>
      </c>
      <c r="C14" s="385"/>
      <c r="D14" s="411">
        <v>25192.44</v>
      </c>
      <c r="E14" s="408">
        <f t="shared" si="9"/>
        <v>25192.44</v>
      </c>
      <c r="F14" s="408">
        <f t="shared" si="0"/>
        <v>-385.85000000000218</v>
      </c>
      <c r="G14" s="409">
        <f t="shared" si="1"/>
        <v>-1.5085058461687728E-2</v>
      </c>
      <c r="H14" s="408">
        <f t="shared" si="2"/>
        <v>2336.59</v>
      </c>
      <c r="I14" s="409">
        <f t="shared" si="3"/>
        <v>0.10223159497459067</v>
      </c>
      <c r="K14" s="385"/>
      <c r="L14" s="382">
        <v>993.32</v>
      </c>
      <c r="M14" s="415">
        <f t="shared" si="10"/>
        <v>-4.8289819063457307E-3</v>
      </c>
      <c r="N14" s="415">
        <f t="shared" si="4"/>
        <v>6.7994151040770667E-2</v>
      </c>
      <c r="O14" s="416" t="str">
        <f t="shared" si="5"/>
        <v>No</v>
      </c>
      <c r="P14" s="417">
        <f t="shared" si="15"/>
        <v>0</v>
      </c>
      <c r="Q14" s="415">
        <f>SUM($P$4:P14)/COUNT($P$4:P14)</f>
        <v>0.63636363636363635</v>
      </c>
      <c r="S14" s="382">
        <v>9188.15</v>
      </c>
      <c r="T14" s="415">
        <f t="shared" si="11"/>
        <v>7.5178818346000043E-3</v>
      </c>
      <c r="U14" s="415">
        <f t="shared" si="6"/>
        <v>7.0545563856510896E-2</v>
      </c>
      <c r="V14" s="416" t="str">
        <f t="shared" si="7"/>
        <v>No</v>
      </c>
      <c r="W14" s="417">
        <f t="shared" si="16"/>
        <v>0</v>
      </c>
      <c r="X14" s="415">
        <f>SUM($W$4:W14)/COUNT($W$4:W14)</f>
        <v>0.63636363636363635</v>
      </c>
      <c r="Z14" s="389">
        <v>1708.5</v>
      </c>
      <c r="AA14" s="390">
        <f t="shared" si="12"/>
        <v>-1.4666105321437417E-2</v>
      </c>
      <c r="AB14" s="390">
        <f t="shared" si="13"/>
        <v>0.13681731076333437</v>
      </c>
    </row>
    <row r="15" spans="1:28">
      <c r="A15" s="403">
        <f t="shared" si="8"/>
        <v>13</v>
      </c>
      <c r="B15" s="422">
        <f t="shared" si="14"/>
        <v>37827</v>
      </c>
      <c r="C15" s="385"/>
      <c r="D15" s="411">
        <v>25421.8</v>
      </c>
      <c r="E15" s="408">
        <f t="shared" si="9"/>
        <v>25421.8</v>
      </c>
      <c r="F15" s="408">
        <f t="shared" si="0"/>
        <v>229.36000000000058</v>
      </c>
      <c r="G15" s="409">
        <f t="shared" si="1"/>
        <v>9.1043185971664276E-3</v>
      </c>
      <c r="H15" s="408">
        <f t="shared" si="2"/>
        <v>2565.9500000000007</v>
      </c>
      <c r="I15" s="409">
        <f t="shared" si="3"/>
        <v>0.11226666258310236</v>
      </c>
      <c r="K15" s="385"/>
      <c r="L15" s="382">
        <v>998.68</v>
      </c>
      <c r="M15" s="415">
        <f t="shared" si="10"/>
        <v>5.3960455845043498E-3</v>
      </c>
      <c r="N15" s="415">
        <f t="shared" si="4"/>
        <v>7.3757096163770797E-2</v>
      </c>
      <c r="O15" s="416" t="str">
        <f t="shared" si="5"/>
        <v>Yes</v>
      </c>
      <c r="P15" s="417">
        <f t="shared" si="15"/>
        <v>1</v>
      </c>
      <c r="Q15" s="415">
        <f>SUM($P$4:P15)/COUNT($P$4:P15)</f>
        <v>0.66666666666666663</v>
      </c>
      <c r="S15" s="382">
        <v>9284.57</v>
      </c>
      <c r="T15" s="415">
        <f t="shared" si="11"/>
        <v>1.0493951448332872E-2</v>
      </c>
      <c r="U15" s="415">
        <f t="shared" si="6"/>
        <v>8.1779817026849333E-2</v>
      </c>
      <c r="V15" s="416" t="str">
        <f t="shared" si="7"/>
        <v>No</v>
      </c>
      <c r="W15" s="417">
        <f t="shared" si="16"/>
        <v>0</v>
      </c>
      <c r="X15" s="415">
        <f>SUM($W$4:W15)/COUNT($W$4:W15)</f>
        <v>0.58333333333333337</v>
      </c>
      <c r="Z15" s="389">
        <v>1730.7</v>
      </c>
      <c r="AA15" s="390">
        <f t="shared" si="12"/>
        <v>1.2993854258121162E-2</v>
      </c>
      <c r="AB15" s="390">
        <f t="shared" si="13"/>
        <v>0.15158894921750243</v>
      </c>
    </row>
    <row r="16" spans="1:28">
      <c r="A16" s="403">
        <f t="shared" si="8"/>
        <v>14</v>
      </c>
      <c r="B16" s="422">
        <f t="shared" si="14"/>
        <v>37834</v>
      </c>
      <c r="C16" s="385"/>
      <c r="D16" s="411">
        <v>25266.57</v>
      </c>
      <c r="E16" s="408">
        <f t="shared" si="9"/>
        <v>25266.57</v>
      </c>
      <c r="F16" s="408">
        <f t="shared" si="0"/>
        <v>-155.22999999999956</v>
      </c>
      <c r="G16" s="409">
        <f t="shared" si="1"/>
        <v>-6.1061765885971342E-3</v>
      </c>
      <c r="H16" s="408">
        <f t="shared" si="2"/>
        <v>2410.7200000000012</v>
      </c>
      <c r="I16" s="409">
        <f t="shared" si="3"/>
        <v>0.10547496592776029</v>
      </c>
      <c r="K16" s="385"/>
      <c r="L16" s="382">
        <v>980.15</v>
      </c>
      <c r="M16" s="415">
        <f t="shared" si="10"/>
        <v>-1.8554491929346661E-2</v>
      </c>
      <c r="N16" s="415">
        <f t="shared" si="4"/>
        <v>5.3834078788921325E-2</v>
      </c>
      <c r="O16" s="416" t="str">
        <f t="shared" si="5"/>
        <v>Yes</v>
      </c>
      <c r="P16" s="417">
        <f t="shared" si="15"/>
        <v>1</v>
      </c>
      <c r="Q16" s="415">
        <f>SUM($P$4:P16)/COUNT($P$4:P16)</f>
        <v>0.69230769230769229</v>
      </c>
      <c r="S16" s="382">
        <v>9153.9699999999993</v>
      </c>
      <c r="T16" s="415">
        <f t="shared" si="11"/>
        <v>-1.4066348791597294E-2</v>
      </c>
      <c r="U16" s="415">
        <f t="shared" si="6"/>
        <v>6.6563124804839502E-2</v>
      </c>
      <c r="V16" s="416" t="str">
        <f t="shared" si="7"/>
        <v>Yes</v>
      </c>
      <c r="W16" s="417">
        <f t="shared" si="16"/>
        <v>1</v>
      </c>
      <c r="X16" s="415">
        <f>SUM($W$4:W16)/COUNT($W$4:W16)</f>
        <v>0.61538461538461542</v>
      </c>
      <c r="Z16" s="389">
        <v>1715.62</v>
      </c>
      <c r="AA16" s="390">
        <f t="shared" si="12"/>
        <v>-8.7132374183856998E-3</v>
      </c>
      <c r="AB16" s="390">
        <f t="shared" si="13"/>
        <v>0.14155488129458083</v>
      </c>
    </row>
    <row r="17" spans="1:28">
      <c r="A17" s="403">
        <f t="shared" si="8"/>
        <v>15</v>
      </c>
      <c r="B17" s="422">
        <f t="shared" si="14"/>
        <v>37841</v>
      </c>
      <c r="C17" s="385"/>
      <c r="D17" s="411">
        <v>25228.34</v>
      </c>
      <c r="E17" s="408">
        <f t="shared" si="9"/>
        <v>25228.34</v>
      </c>
      <c r="F17" s="408">
        <f t="shared" si="0"/>
        <v>-38.229999999999563</v>
      </c>
      <c r="G17" s="409">
        <f t="shared" si="1"/>
        <v>-1.513066474792546E-3</v>
      </c>
      <c r="H17" s="408">
        <f t="shared" si="2"/>
        <v>2372.4900000000016</v>
      </c>
      <c r="I17" s="409">
        <f t="shared" si="3"/>
        <v>0.1038023088180926</v>
      </c>
      <c r="K17" s="385"/>
      <c r="L17" s="382">
        <v>977.59</v>
      </c>
      <c r="M17" s="415">
        <f t="shared" si="10"/>
        <v>-2.6118451257459707E-3</v>
      </c>
      <c r="N17" s="415">
        <f t="shared" si="4"/>
        <v>5.1081627386891482E-2</v>
      </c>
      <c r="O17" s="416" t="str">
        <f t="shared" si="5"/>
        <v>Yes</v>
      </c>
      <c r="P17" s="417">
        <f t="shared" si="15"/>
        <v>1</v>
      </c>
      <c r="Q17" s="415">
        <f>SUM($P$4:P17)/COUNT($P$4:P17)</f>
        <v>0.7142857142857143</v>
      </c>
      <c r="S17" s="382">
        <v>9191.09</v>
      </c>
      <c r="T17" s="415">
        <f t="shared" si="11"/>
        <v>4.0550711876923273E-3</v>
      </c>
      <c r="U17" s="415">
        <f t="shared" si="6"/>
        <v>7.0888114202090735E-2</v>
      </c>
      <c r="V17" s="416" t="str">
        <f t="shared" si="7"/>
        <v>No</v>
      </c>
      <c r="W17" s="417">
        <f t="shared" si="16"/>
        <v>0</v>
      </c>
      <c r="X17" s="415">
        <f>SUM($W$4:W17)/COUNT($W$4:W17)</f>
        <v>0.5714285714285714</v>
      </c>
      <c r="Z17" s="389">
        <v>1644.03</v>
      </c>
      <c r="AA17" s="390">
        <f t="shared" si="12"/>
        <v>-4.1728354763875375E-2</v>
      </c>
      <c r="AB17" s="390">
        <f t="shared" si="13"/>
        <v>9.391967422548686E-2</v>
      </c>
    </row>
    <row r="18" spans="1:28">
      <c r="A18" s="403">
        <f t="shared" si="8"/>
        <v>16</v>
      </c>
      <c r="B18" s="422">
        <f t="shared" si="14"/>
        <v>37848</v>
      </c>
      <c r="C18" s="385"/>
      <c r="D18" s="411">
        <v>24951.71</v>
      </c>
      <c r="E18" s="408">
        <f t="shared" si="9"/>
        <v>24951.71</v>
      </c>
      <c r="F18" s="408">
        <f t="shared" si="0"/>
        <v>-276.63000000000102</v>
      </c>
      <c r="G18" s="409">
        <f t="shared" si="1"/>
        <v>-1.0965049622765566E-2</v>
      </c>
      <c r="H18" s="408">
        <f t="shared" si="2"/>
        <v>2095.8600000000006</v>
      </c>
      <c r="I18" s="409">
        <f t="shared" si="3"/>
        <v>9.1699061728178988E-2</v>
      </c>
      <c r="K18" s="385"/>
      <c r="L18" s="382">
        <v>990.67</v>
      </c>
      <c r="M18" s="415">
        <f t="shared" si="10"/>
        <v>1.3379842265162312E-2</v>
      </c>
      <c r="N18" s="415">
        <f t="shared" si="4"/>
        <v>6.5144933769138103E-2</v>
      </c>
      <c r="O18" s="416" t="str">
        <f t="shared" si="5"/>
        <v>No</v>
      </c>
      <c r="P18" s="417">
        <f t="shared" si="15"/>
        <v>0</v>
      </c>
      <c r="Q18" s="415">
        <f>SUM($P$4:P18)/COUNT($P$4:P18)</f>
        <v>0.66666666666666663</v>
      </c>
      <c r="S18" s="382">
        <v>9321.69</v>
      </c>
      <c r="T18" s="415">
        <f t="shared" si="11"/>
        <v>1.4209413682163996E-2</v>
      </c>
      <c r="U18" s="415">
        <f t="shared" si="6"/>
        <v>8.6104806424100566E-2</v>
      </c>
      <c r="V18" s="416" t="str">
        <f t="shared" si="7"/>
        <v>No</v>
      </c>
      <c r="W18" s="417">
        <f t="shared" si="16"/>
        <v>0</v>
      </c>
      <c r="X18" s="415">
        <f>SUM($W$4:W18)/COUNT($W$4:W18)</f>
        <v>0.53333333333333333</v>
      </c>
      <c r="Z18" s="389">
        <v>1702.01</v>
      </c>
      <c r="AA18" s="390">
        <f t="shared" si="12"/>
        <v>3.5266996344349044E-2</v>
      </c>
      <c r="AB18" s="390">
        <f t="shared" si="13"/>
        <v>0.13249893537740864</v>
      </c>
    </row>
    <row r="19" spans="1:28">
      <c r="A19" s="403">
        <f t="shared" si="8"/>
        <v>17</v>
      </c>
      <c r="B19" s="422">
        <f t="shared" si="14"/>
        <v>37855</v>
      </c>
      <c r="C19" s="385"/>
      <c r="D19" s="411">
        <v>25454.04</v>
      </c>
      <c r="E19" s="408">
        <f t="shared" si="9"/>
        <v>25454.04</v>
      </c>
      <c r="F19" s="408">
        <f t="shared" si="0"/>
        <v>502.33000000000175</v>
      </c>
      <c r="G19" s="409">
        <f t="shared" si="1"/>
        <v>2.0132087139518751E-2</v>
      </c>
      <c r="H19" s="408">
        <f t="shared" si="2"/>
        <v>2598.1900000000023</v>
      </c>
      <c r="I19" s="409">
        <f t="shared" si="3"/>
        <v>0.11367724236902155</v>
      </c>
      <c r="K19" s="385"/>
      <c r="L19" s="382">
        <v>993.06</v>
      </c>
      <c r="M19" s="415">
        <f t="shared" si="10"/>
        <v>2.4125087062289996E-3</v>
      </c>
      <c r="N19" s="415">
        <f t="shared" si="4"/>
        <v>6.7714605195251965E-2</v>
      </c>
      <c r="O19" s="416" t="str">
        <f t="shared" si="5"/>
        <v>Yes</v>
      </c>
      <c r="P19" s="417">
        <f t="shared" si="15"/>
        <v>1</v>
      </c>
      <c r="Q19" s="415">
        <f>SUM($P$4:P19)/COUNT($P$4:P19)</f>
        <v>0.6875</v>
      </c>
      <c r="S19" s="382">
        <v>9348.8700000000008</v>
      </c>
      <c r="T19" s="415">
        <f t="shared" si="11"/>
        <v>2.9157802930583898E-3</v>
      </c>
      <c r="U19" s="415">
        <f t="shared" si="6"/>
        <v>8.9271649414868204E-2</v>
      </c>
      <c r="V19" s="416" t="str">
        <f t="shared" si="7"/>
        <v>Yes</v>
      </c>
      <c r="W19" s="417">
        <f t="shared" si="16"/>
        <v>1</v>
      </c>
      <c r="X19" s="415">
        <f>SUM($W$4:W19)/COUNT($W$4:W19)</f>
        <v>0.5625</v>
      </c>
      <c r="Z19" s="389">
        <v>1765.32</v>
      </c>
      <c r="AA19" s="390">
        <f t="shared" si="12"/>
        <v>3.7197196256191223E-2</v>
      </c>
      <c r="AB19" s="390">
        <f t="shared" si="13"/>
        <v>0.17462472053656963</v>
      </c>
    </row>
    <row r="20" spans="1:28">
      <c r="A20" s="403">
        <f t="shared" si="8"/>
        <v>18</v>
      </c>
      <c r="B20" s="422">
        <f t="shared" si="14"/>
        <v>37862</v>
      </c>
      <c r="C20" s="385"/>
      <c r="D20" s="411">
        <v>26198.38</v>
      </c>
      <c r="E20" s="408">
        <f t="shared" si="9"/>
        <v>26198.38</v>
      </c>
      <c r="F20" s="408">
        <f t="shared" si="0"/>
        <v>744.34000000000015</v>
      </c>
      <c r="G20" s="409">
        <f t="shared" si="1"/>
        <v>2.9242509244112203E-2</v>
      </c>
      <c r="H20" s="408">
        <f t="shared" si="2"/>
        <v>3342.5300000000025</v>
      </c>
      <c r="I20" s="409">
        <f t="shared" si="3"/>
        <v>0.14624395942395507</v>
      </c>
      <c r="K20" s="385"/>
      <c r="L20" s="382">
        <v>1008.01</v>
      </c>
      <c r="M20" s="415">
        <f t="shared" si="10"/>
        <v>1.5054478077860312E-2</v>
      </c>
      <c r="N20" s="415">
        <f t="shared" si="4"/>
        <v>8.3788491312575264E-2</v>
      </c>
      <c r="O20" s="416" t="str">
        <f t="shared" si="5"/>
        <v>Yes</v>
      </c>
      <c r="P20" s="417">
        <f t="shared" si="15"/>
        <v>1</v>
      </c>
      <c r="Q20" s="415">
        <f>SUM($P$4:P20)/COUNT($P$4:P20)</f>
        <v>0.70588235294117652</v>
      </c>
      <c r="S20" s="382">
        <v>9415.82</v>
      </c>
      <c r="T20" s="415">
        <f t="shared" si="11"/>
        <v>7.1612932899911552E-3</v>
      </c>
      <c r="U20" s="415">
        <f t="shared" si="6"/>
        <v>9.7072243168800254E-2</v>
      </c>
      <c r="V20" s="416" t="str">
        <f t="shared" si="7"/>
        <v>Yes</v>
      </c>
      <c r="W20" s="417">
        <f t="shared" si="16"/>
        <v>1</v>
      </c>
      <c r="X20" s="415">
        <f>SUM($W$4:W20)/COUNT($W$4:W20)</f>
        <v>0.58823529411764708</v>
      </c>
      <c r="Z20" s="389">
        <v>1810.45</v>
      </c>
      <c r="AA20" s="390">
        <f t="shared" si="12"/>
        <v>2.5564770126662584E-2</v>
      </c>
      <c r="AB20" s="390">
        <f t="shared" si="13"/>
        <v>0.20465373150218236</v>
      </c>
    </row>
    <row r="21" spans="1:28">
      <c r="A21" s="403">
        <f t="shared" si="8"/>
        <v>19</v>
      </c>
      <c r="B21" s="422">
        <f t="shared" si="14"/>
        <v>37869</v>
      </c>
      <c r="C21" s="385"/>
      <c r="D21" s="411">
        <v>26545.65</v>
      </c>
      <c r="E21" s="408">
        <f t="shared" si="9"/>
        <v>26545.65</v>
      </c>
      <c r="F21" s="408">
        <f t="shared" si="0"/>
        <v>347.27000000000044</v>
      </c>
      <c r="G21" s="409">
        <f t="shared" si="1"/>
        <v>1.3255399761359365E-2</v>
      </c>
      <c r="H21" s="408">
        <f t="shared" si="2"/>
        <v>3689.8000000000029</v>
      </c>
      <c r="I21" s="409">
        <f t="shared" si="3"/>
        <v>0.1614378813301629</v>
      </c>
      <c r="K21" s="385"/>
      <c r="L21" s="382">
        <v>1021.39</v>
      </c>
      <c r="M21" s="415">
        <f t="shared" si="10"/>
        <v>1.32736778404976E-2</v>
      </c>
      <c r="N21" s="415">
        <f t="shared" si="4"/>
        <v>9.8174350593497328E-2</v>
      </c>
      <c r="O21" s="416" t="str">
        <f t="shared" si="5"/>
        <v>No</v>
      </c>
      <c r="P21" s="417">
        <f t="shared" si="15"/>
        <v>0</v>
      </c>
      <c r="Q21" s="415">
        <f>SUM($P$4:P21)/COUNT($P$4:P21)</f>
        <v>0.66666666666666663</v>
      </c>
      <c r="S21" s="382">
        <v>9503.34</v>
      </c>
      <c r="T21" s="415">
        <f t="shared" si="11"/>
        <v>9.2949950190213126E-3</v>
      </c>
      <c r="U21" s="415">
        <f t="shared" si="6"/>
        <v>0.10726952420456071</v>
      </c>
      <c r="V21" s="416" t="str">
        <f t="shared" si="7"/>
        <v>Yes</v>
      </c>
      <c r="W21" s="417">
        <f t="shared" si="16"/>
        <v>1</v>
      </c>
      <c r="X21" s="415">
        <f>SUM($W$4:W21)/COUNT($W$4:W21)</f>
        <v>0.61111111111111116</v>
      </c>
      <c r="Z21" s="389">
        <v>1858.24</v>
      </c>
      <c r="AA21" s="390">
        <f t="shared" si="12"/>
        <v>2.6396752188682315E-2</v>
      </c>
      <c r="AB21" s="390">
        <f t="shared" si="13"/>
        <v>0.23645267752581711</v>
      </c>
    </row>
    <row r="22" spans="1:28">
      <c r="A22" s="403">
        <f t="shared" si="8"/>
        <v>20</v>
      </c>
      <c r="B22" s="422">
        <f t="shared" si="14"/>
        <v>37876</v>
      </c>
      <c r="C22" s="385"/>
      <c r="D22" s="411">
        <v>26641.77</v>
      </c>
      <c r="E22" s="408">
        <f t="shared" si="9"/>
        <v>26641.77</v>
      </c>
      <c r="F22" s="408">
        <f t="shared" si="0"/>
        <v>96.119999999998981</v>
      </c>
      <c r="G22" s="409">
        <f t="shared" si="1"/>
        <v>3.6209322431357549E-3</v>
      </c>
      <c r="H22" s="408">
        <f t="shared" si="2"/>
        <v>3785.9200000000019</v>
      </c>
      <c r="I22" s="409">
        <f t="shared" si="3"/>
        <v>0.16564336920307055</v>
      </c>
      <c r="K22" s="385"/>
      <c r="L22" s="382">
        <v>1018.63</v>
      </c>
      <c r="M22" s="415">
        <f t="shared" si="10"/>
        <v>-2.7021999432146337E-3</v>
      </c>
      <c r="N22" s="415">
        <f t="shared" si="4"/>
        <v>9.5206863925683782E-2</v>
      </c>
      <c r="O22" s="416" t="str">
        <f t="shared" si="5"/>
        <v>Yes</v>
      </c>
      <c r="P22" s="417">
        <f t="shared" si="15"/>
        <v>1</v>
      </c>
      <c r="Q22" s="415">
        <f>SUM($P$4:P22)/COUNT($P$4:P22)</f>
        <v>0.68421052631578949</v>
      </c>
      <c r="S22" s="382">
        <v>9471.5499999999993</v>
      </c>
      <c r="T22" s="415">
        <f t="shared" si="11"/>
        <v>-3.3451397087761459E-3</v>
      </c>
      <c r="U22" s="415">
        <f t="shared" si="6"/>
        <v>0.10356555295082637</v>
      </c>
      <c r="V22" s="416" t="str">
        <f t="shared" si="7"/>
        <v>Yes</v>
      </c>
      <c r="W22" s="417">
        <f t="shared" si="16"/>
        <v>1</v>
      </c>
      <c r="X22" s="415">
        <f>SUM($W$4:W22)/COUNT($W$4:W22)</f>
        <v>0.63157894736842102</v>
      </c>
      <c r="Z22" s="389">
        <v>1855.03</v>
      </c>
      <c r="AA22" s="390">
        <f t="shared" si="12"/>
        <v>-1.7274410194593193E-3</v>
      </c>
      <c r="AB22" s="390">
        <f t="shared" si="13"/>
        <v>0.23431677845203858</v>
      </c>
    </row>
    <row r="23" spans="1:28">
      <c r="A23" s="403">
        <f t="shared" si="8"/>
        <v>21</v>
      </c>
      <c r="B23" s="422">
        <f t="shared" si="14"/>
        <v>37883</v>
      </c>
      <c r="C23" s="385"/>
      <c r="D23" s="411">
        <v>27191.65</v>
      </c>
      <c r="E23" s="408">
        <f t="shared" si="9"/>
        <v>27191.65</v>
      </c>
      <c r="F23" s="408">
        <f t="shared" si="0"/>
        <v>549.88000000000102</v>
      </c>
      <c r="G23" s="409">
        <f t="shared" si="1"/>
        <v>2.0639769805084418E-2</v>
      </c>
      <c r="H23" s="408">
        <f t="shared" si="2"/>
        <v>4335.8000000000029</v>
      </c>
      <c r="I23" s="409">
        <f t="shared" si="3"/>
        <v>0.1897019800182449</v>
      </c>
      <c r="K23" s="385"/>
      <c r="L23" s="382">
        <v>1036.3</v>
      </c>
      <c r="M23" s="415">
        <f t="shared" si="10"/>
        <v>1.734682858348946E-2</v>
      </c>
      <c r="N23" s="415">
        <f t="shared" si="4"/>
        <v>0.11420522965766366</v>
      </c>
      <c r="O23" s="416" t="str">
        <f t="shared" si="5"/>
        <v>Yes</v>
      </c>
      <c r="P23" s="417">
        <f t="shared" si="15"/>
        <v>1</v>
      </c>
      <c r="Q23" s="415">
        <f>SUM($P$4:P23)/COUNT($P$4:P23)</f>
        <v>0.7</v>
      </c>
      <c r="S23" s="382">
        <v>9644.82</v>
      </c>
      <c r="T23" s="415">
        <f t="shared" si="11"/>
        <v>1.8293732282467001E-2</v>
      </c>
      <c r="U23" s="415">
        <f t="shared" si="6"/>
        <v>0.12375388573266144</v>
      </c>
      <c r="V23" s="416" t="str">
        <f t="shared" si="7"/>
        <v>Yes</v>
      </c>
      <c r="W23" s="417">
        <f t="shared" si="16"/>
        <v>1</v>
      </c>
      <c r="X23" s="415">
        <f>SUM($W$4:W23)/COUNT($W$4:W23)</f>
        <v>0.65</v>
      </c>
      <c r="Z23" s="389">
        <v>1905.7</v>
      </c>
      <c r="AA23" s="390">
        <f t="shared" si="12"/>
        <v>2.7314922130639463E-2</v>
      </c>
      <c r="AB23" s="390">
        <f t="shared" si="13"/>
        <v>0.26803204513999779</v>
      </c>
    </row>
    <row r="24" spans="1:28">
      <c r="A24" s="403">
        <f t="shared" si="8"/>
        <v>22</v>
      </c>
      <c r="B24" s="422">
        <f t="shared" si="14"/>
        <v>37890</v>
      </c>
      <c r="C24" s="385"/>
      <c r="D24" s="411">
        <v>26055.43</v>
      </c>
      <c r="E24" s="408">
        <f t="shared" si="9"/>
        <v>26055.43</v>
      </c>
      <c r="F24" s="408">
        <f t="shared" si="0"/>
        <v>-1136.2200000000012</v>
      </c>
      <c r="G24" s="409">
        <f t="shared" si="1"/>
        <v>-4.1785621689011232E-2</v>
      </c>
      <c r="H24" s="408">
        <f t="shared" si="2"/>
        <v>3199.5800000000017</v>
      </c>
      <c r="I24" s="409">
        <f t="shared" si="3"/>
        <v>0.13998954315853496</v>
      </c>
      <c r="K24" s="385"/>
      <c r="L24" s="382">
        <v>996.85</v>
      </c>
      <c r="M24" s="415">
        <f t="shared" si="10"/>
        <v>-3.8068126990253748E-2</v>
      </c>
      <c r="N24" s="415">
        <f t="shared" si="4"/>
        <v>7.1789523481851081E-2</v>
      </c>
      <c r="O24" s="416" t="str">
        <f t="shared" si="5"/>
        <v>No</v>
      </c>
      <c r="P24" s="417">
        <f t="shared" si="15"/>
        <v>0</v>
      </c>
      <c r="Q24" s="415">
        <f>SUM($P$4:P24)/COUNT($P$4:P24)</f>
        <v>0.66666666666666663</v>
      </c>
      <c r="S24" s="382">
        <v>9313.08</v>
      </c>
      <c r="T24" s="415">
        <f t="shared" si="11"/>
        <v>-3.4395665237920481E-2</v>
      </c>
      <c r="U24" s="415">
        <f t="shared" si="6"/>
        <v>8.5101623269188575E-2</v>
      </c>
      <c r="V24" s="416" t="str">
        <f t="shared" si="7"/>
        <v>No</v>
      </c>
      <c r="W24" s="417">
        <f t="shared" si="16"/>
        <v>0</v>
      </c>
      <c r="X24" s="415">
        <f>SUM($W$4:W24)/COUNT($W$4:W24)</f>
        <v>0.61904761904761907</v>
      </c>
      <c r="Z24" s="389">
        <v>1792.07</v>
      </c>
      <c r="AA24" s="390">
        <f t="shared" si="12"/>
        <v>-5.9626384005877164E-2</v>
      </c>
      <c r="AB24" s="390">
        <f t="shared" si="13"/>
        <v>0.19242387948472262</v>
      </c>
    </row>
    <row r="25" spans="1:28">
      <c r="A25" s="403">
        <f t="shared" si="8"/>
        <v>23</v>
      </c>
      <c r="B25" s="422">
        <f t="shared" si="14"/>
        <v>37897</v>
      </c>
      <c r="C25" s="385"/>
      <c r="D25" s="411">
        <v>26951.66</v>
      </c>
      <c r="E25" s="408">
        <f t="shared" si="9"/>
        <v>26951.66</v>
      </c>
      <c r="F25" s="408">
        <f t="shared" si="0"/>
        <v>896.22999999999956</v>
      </c>
      <c r="G25" s="409">
        <f t="shared" si="1"/>
        <v>3.4397052744859602E-2</v>
      </c>
      <c r="H25" s="408">
        <f t="shared" si="2"/>
        <v>4095.8100000000013</v>
      </c>
      <c r="I25" s="409">
        <f t="shared" si="3"/>
        <v>0.17920182360314763</v>
      </c>
      <c r="K25" s="385"/>
      <c r="L25" s="382">
        <v>1029.8499999999999</v>
      </c>
      <c r="M25" s="415">
        <f t="shared" si="10"/>
        <v>3.3104278477203097E-2</v>
      </c>
      <c r="N25" s="415">
        <f t="shared" si="4"/>
        <v>0.10727034233614297</v>
      </c>
      <c r="O25" s="416" t="str">
        <f t="shared" si="5"/>
        <v>Yes</v>
      </c>
      <c r="P25" s="417">
        <f t="shared" si="15"/>
        <v>1</v>
      </c>
      <c r="Q25" s="415">
        <f>SUM($P$4:P25)/COUNT($P$4:P25)</f>
        <v>0.68181818181818177</v>
      </c>
      <c r="S25" s="382">
        <v>9572.31</v>
      </c>
      <c r="T25" s="415">
        <f t="shared" si="11"/>
        <v>2.783504490458566E-2</v>
      </c>
      <c r="U25" s="415">
        <f t="shared" si="6"/>
        <v>0.11530547567892535</v>
      </c>
      <c r="V25" s="416" t="str">
        <f t="shared" si="7"/>
        <v>Yes</v>
      </c>
      <c r="W25" s="417">
        <f t="shared" si="16"/>
        <v>1</v>
      </c>
      <c r="X25" s="415">
        <f>SUM($W$4:W25)/COUNT($W$4:W25)</f>
        <v>0.63636363636363635</v>
      </c>
      <c r="Z25" s="389">
        <v>1880.57</v>
      </c>
      <c r="AA25" s="390">
        <f t="shared" si="12"/>
        <v>4.9384231642737086E-2</v>
      </c>
      <c r="AB25" s="390">
        <f t="shared" si="13"/>
        <v>0.25131081656552734</v>
      </c>
    </row>
    <row r="26" spans="1:28">
      <c r="A26" s="403">
        <f t="shared" si="8"/>
        <v>24</v>
      </c>
      <c r="B26" s="422">
        <f t="shared" si="14"/>
        <v>37904</v>
      </c>
      <c r="C26" s="385"/>
      <c r="D26" s="411">
        <v>27655.39</v>
      </c>
      <c r="E26" s="408">
        <f t="shared" si="9"/>
        <v>27655.39</v>
      </c>
      <c r="F26" s="408">
        <f t="shared" si="0"/>
        <v>703.72999999999956</v>
      </c>
      <c r="G26" s="409">
        <f t="shared" si="1"/>
        <v>2.6110822116337085E-2</v>
      </c>
      <c r="H26" s="408">
        <f t="shared" si="2"/>
        <v>4799.5400000000009</v>
      </c>
      <c r="I26" s="409">
        <f t="shared" si="3"/>
        <v>0.20999175265850978</v>
      </c>
      <c r="K26" s="385"/>
      <c r="L26" s="382">
        <v>1038.06</v>
      </c>
      <c r="M26" s="415">
        <f t="shared" si="10"/>
        <v>7.9720347623439825E-3</v>
      </c>
      <c r="N26" s="415">
        <f t="shared" si="4"/>
        <v>0.11609753999655936</v>
      </c>
      <c r="O26" s="416" t="str">
        <f t="shared" si="5"/>
        <v>Yes</v>
      </c>
      <c r="P26" s="417">
        <f t="shared" si="15"/>
        <v>1</v>
      </c>
      <c r="Q26" s="415">
        <f>SUM($P$4:P26)/COUNT($P$4:P26)</f>
        <v>0.69565217391304346</v>
      </c>
      <c r="S26" s="382">
        <v>9674.68</v>
      </c>
      <c r="T26" s="415">
        <f t="shared" si="11"/>
        <v>1.0694388292899148E-2</v>
      </c>
      <c r="U26" s="415">
        <f t="shared" si="6"/>
        <v>0.12723298550103235</v>
      </c>
      <c r="V26" s="416" t="str">
        <f t="shared" si="7"/>
        <v>Yes</v>
      </c>
      <c r="W26" s="417">
        <f t="shared" si="16"/>
        <v>1</v>
      </c>
      <c r="X26" s="415">
        <f>SUM($W$4:W26)/COUNT($W$4:W26)</f>
        <v>0.65217391304347827</v>
      </c>
      <c r="Z26" s="389">
        <v>1915.31</v>
      </c>
      <c r="AA26" s="390">
        <f t="shared" si="12"/>
        <v>1.847312251072819E-2</v>
      </c>
      <c r="AB26" s="390">
        <f t="shared" si="13"/>
        <v>0.27442643457894156</v>
      </c>
    </row>
    <row r="27" spans="1:28">
      <c r="A27" s="403">
        <f t="shared" si="8"/>
        <v>25</v>
      </c>
      <c r="B27" s="422">
        <f t="shared" si="14"/>
        <v>37911</v>
      </c>
      <c r="C27" s="385"/>
      <c r="D27" s="411">
        <v>27644.99</v>
      </c>
      <c r="E27" s="408">
        <f t="shared" si="9"/>
        <v>27644.99</v>
      </c>
      <c r="F27" s="408">
        <f t="shared" si="0"/>
        <v>-10.399999999997817</v>
      </c>
      <c r="G27" s="409">
        <f t="shared" si="1"/>
        <v>-3.7605689162212297E-4</v>
      </c>
      <c r="H27" s="408">
        <f t="shared" si="2"/>
        <v>4789.1400000000031</v>
      </c>
      <c r="I27" s="409">
        <f t="shared" si="3"/>
        <v>0.20953672692111658</v>
      </c>
      <c r="K27" s="385"/>
      <c r="L27" s="382">
        <v>1039.32</v>
      </c>
      <c r="M27" s="415">
        <f t="shared" si="10"/>
        <v>1.21380267036586E-3</v>
      </c>
      <c r="N27" s="415">
        <f t="shared" si="4"/>
        <v>0.11745226217099591</v>
      </c>
      <c r="O27" s="416" t="str">
        <f t="shared" si="5"/>
        <v>No</v>
      </c>
      <c r="P27" s="417">
        <f t="shared" si="15"/>
        <v>0</v>
      </c>
      <c r="Q27" s="415">
        <f>SUM($P$4:P27)/COUNT($P$4:P27)</f>
        <v>0.66666666666666663</v>
      </c>
      <c r="S27" s="382">
        <v>9721.7900000000009</v>
      </c>
      <c r="T27" s="415">
        <f t="shared" si="11"/>
        <v>4.8694117014722593E-3</v>
      </c>
      <c r="U27" s="415">
        <f t="shared" si="6"/>
        <v>0.13272194699091666</v>
      </c>
      <c r="V27" s="416" t="str">
        <f t="shared" si="7"/>
        <v>No</v>
      </c>
      <c r="W27" s="417">
        <f t="shared" si="16"/>
        <v>0</v>
      </c>
      <c r="X27" s="415">
        <f>SUM($W$4:W27)/COUNT($W$4:W27)</f>
        <v>0.625</v>
      </c>
      <c r="Z27" s="389">
        <v>1912.36</v>
      </c>
      <c r="AA27" s="390">
        <f t="shared" si="12"/>
        <v>-1.5402206431335275E-3</v>
      </c>
      <c r="AB27" s="390">
        <f t="shared" si="13"/>
        <v>0.27246353667624801</v>
      </c>
    </row>
    <row r="28" spans="1:28">
      <c r="A28" s="403">
        <f t="shared" si="8"/>
        <v>26</v>
      </c>
      <c r="B28" s="422">
        <f t="shared" si="14"/>
        <v>37918</v>
      </c>
      <c r="C28" s="385"/>
      <c r="D28" s="411">
        <v>27301.82</v>
      </c>
      <c r="E28" s="408">
        <f t="shared" si="9"/>
        <v>27301.82</v>
      </c>
      <c r="F28" s="408">
        <f t="shared" si="0"/>
        <v>-343.17000000000189</v>
      </c>
      <c r="G28" s="409">
        <f t="shared" si="1"/>
        <v>-1.2413460811525057E-2</v>
      </c>
      <c r="H28" s="408">
        <f t="shared" si="2"/>
        <v>4445.9700000000012</v>
      </c>
      <c r="I28" s="409">
        <f t="shared" si="3"/>
        <v>0.19452219016138117</v>
      </c>
      <c r="K28" s="385"/>
      <c r="L28" s="382">
        <v>1028.9100000000001</v>
      </c>
      <c r="M28" s="415">
        <f t="shared" si="10"/>
        <v>-1.0016164415194373E-2</v>
      </c>
      <c r="N28" s="415">
        <f t="shared" si="4"/>
        <v>0.10625967658696034</v>
      </c>
      <c r="O28" s="416" t="str">
        <f t="shared" si="5"/>
        <v>No</v>
      </c>
      <c r="P28" s="417">
        <f t="shared" si="15"/>
        <v>0</v>
      </c>
      <c r="Q28" s="415">
        <f>SUM($P$4:P28)/COUNT($P$4:P28)</f>
        <v>0.64</v>
      </c>
      <c r="S28" s="382">
        <v>9582.4599999999991</v>
      </c>
      <c r="T28" s="415">
        <f t="shared" si="11"/>
        <v>-1.4331722861736562E-2</v>
      </c>
      <c r="U28" s="415">
        <f t="shared" si="6"/>
        <v>0.11648808996723625</v>
      </c>
      <c r="V28" s="416" t="str">
        <f t="shared" si="7"/>
        <v>Yes</v>
      </c>
      <c r="W28" s="417">
        <f t="shared" si="16"/>
        <v>1</v>
      </c>
      <c r="X28" s="415">
        <f>SUM($W$4:W28)/COUNT($W$4:W28)</f>
        <v>0.64</v>
      </c>
      <c r="Z28" s="389">
        <v>1865.59</v>
      </c>
      <c r="AA28" s="390">
        <f t="shared" si="12"/>
        <v>-2.4456692254596457E-2</v>
      </c>
      <c r="AB28" s="390">
        <f t="shared" si="13"/>
        <v>0.2413432875545618</v>
      </c>
    </row>
    <row r="29" spans="1:28">
      <c r="A29" s="403">
        <f t="shared" si="8"/>
        <v>27</v>
      </c>
      <c r="B29" s="422">
        <f t="shared" si="14"/>
        <v>37925</v>
      </c>
      <c r="C29" s="385"/>
      <c r="D29" s="411">
        <v>28220.43</v>
      </c>
      <c r="E29" s="408">
        <f t="shared" si="9"/>
        <v>28220.43</v>
      </c>
      <c r="F29" s="408">
        <f t="shared" si="0"/>
        <v>918.61000000000058</v>
      </c>
      <c r="G29" s="409">
        <f t="shared" si="1"/>
        <v>3.3646474850394625E-2</v>
      </c>
      <c r="H29" s="408">
        <f t="shared" si="2"/>
        <v>5364.5800000000017</v>
      </c>
      <c r="I29" s="409">
        <f t="shared" si="3"/>
        <v>0.23471365099088426</v>
      </c>
      <c r="K29" s="385"/>
      <c r="L29" s="382">
        <v>1050.71</v>
      </c>
      <c r="M29" s="415">
        <f t="shared" si="10"/>
        <v>2.1187470235491945E-2</v>
      </c>
      <c r="N29" s="415">
        <f t="shared" si="4"/>
        <v>0.1296985205573713</v>
      </c>
      <c r="O29" s="416" t="str">
        <f t="shared" si="5"/>
        <v>Yes</v>
      </c>
      <c r="P29" s="417">
        <f t="shared" si="15"/>
        <v>1</v>
      </c>
      <c r="Q29" s="415">
        <f>SUM($P$4:P29)/COUNT($P$4:P29)</f>
        <v>0.65384615384615385</v>
      </c>
      <c r="S29" s="382">
        <v>9801.1200000000008</v>
      </c>
      <c r="T29" s="415">
        <f t="shared" si="11"/>
        <v>2.2818775137073644E-2</v>
      </c>
      <c r="U29" s="415">
        <f t="shared" si="6"/>
        <v>0.14196498063541929</v>
      </c>
      <c r="V29" s="416" t="str">
        <f t="shared" si="7"/>
        <v>Yes</v>
      </c>
      <c r="W29" s="417">
        <f t="shared" si="16"/>
        <v>1</v>
      </c>
      <c r="X29" s="415">
        <f>SUM($W$4:W29)/COUNT($W$4:W29)</f>
        <v>0.65384615384615385</v>
      </c>
      <c r="Z29" s="389">
        <v>1932.21</v>
      </c>
      <c r="AA29" s="390">
        <f t="shared" si="12"/>
        <v>3.5709882664465509E-2</v>
      </c>
      <c r="AB29" s="390">
        <f t="shared" si="13"/>
        <v>0.28567151069945695</v>
      </c>
    </row>
    <row r="30" spans="1:28">
      <c r="A30" s="403">
        <f t="shared" si="8"/>
        <v>28</v>
      </c>
      <c r="B30" s="422">
        <f t="shared" si="14"/>
        <v>37932</v>
      </c>
      <c r="C30" s="385"/>
      <c r="D30" s="411">
        <v>28922.01</v>
      </c>
      <c r="E30" s="408">
        <f t="shared" si="9"/>
        <v>28922.01</v>
      </c>
      <c r="F30" s="408">
        <f t="shared" si="0"/>
        <v>701.57999999999811</v>
      </c>
      <c r="G30" s="409">
        <f t="shared" si="1"/>
        <v>2.486071261139533E-2</v>
      </c>
      <c r="H30" s="408">
        <f t="shared" si="2"/>
        <v>6066.16</v>
      </c>
      <c r="I30" s="409">
        <f t="shared" si="3"/>
        <v>0.26540951222553533</v>
      </c>
      <c r="K30" s="385"/>
      <c r="L30" s="382">
        <v>1053.21</v>
      </c>
      <c r="M30" s="415">
        <f t="shared" si="10"/>
        <v>2.3793434915437839E-3</v>
      </c>
      <c r="N30" s="415">
        <f t="shared" si="4"/>
        <v>0.13238646137966636</v>
      </c>
      <c r="O30" s="416" t="str">
        <f t="shared" si="5"/>
        <v>Yes</v>
      </c>
      <c r="P30" s="417">
        <f t="shared" si="15"/>
        <v>1</v>
      </c>
      <c r="Q30" s="415">
        <f>SUM($P$4:P30)/COUNT($P$4:P30)</f>
        <v>0.66666666666666663</v>
      </c>
      <c r="S30" s="382">
        <v>9809.7900000000009</v>
      </c>
      <c r="T30" s="415">
        <f t="shared" si="11"/>
        <v>8.8459278123309559E-4</v>
      </c>
      <c r="U30" s="415">
        <f t="shared" si="6"/>
        <v>0.14297515461371058</v>
      </c>
      <c r="V30" s="416" t="str">
        <f t="shared" si="7"/>
        <v>Yes</v>
      </c>
      <c r="W30" s="417">
        <f t="shared" si="16"/>
        <v>1</v>
      </c>
      <c r="X30" s="415">
        <f>SUM($W$4:W30)/COUNT($W$4:W30)</f>
        <v>0.66666666666666663</v>
      </c>
      <c r="Z30" s="389">
        <v>1970.74</v>
      </c>
      <c r="AA30" s="390">
        <f t="shared" si="12"/>
        <v>1.9940896693423582E-2</v>
      </c>
      <c r="AB30" s="390">
        <f t="shared" si="13"/>
        <v>0.31130895347599274</v>
      </c>
    </row>
    <row r="31" spans="1:28">
      <c r="A31" s="403">
        <f t="shared" si="8"/>
        <v>29</v>
      </c>
      <c r="B31" s="422">
        <f t="shared" si="14"/>
        <v>37939</v>
      </c>
      <c r="C31" s="385"/>
      <c r="D31" s="411">
        <v>28960.81</v>
      </c>
      <c r="E31" s="408">
        <f t="shared" si="9"/>
        <v>28960.81</v>
      </c>
      <c r="F31" s="408">
        <f t="shared" si="0"/>
        <v>38.80000000000291</v>
      </c>
      <c r="G31" s="409">
        <f t="shared" si="1"/>
        <v>1.3415388487869606E-3</v>
      </c>
      <c r="H31" s="408">
        <f t="shared" si="2"/>
        <v>6104.9600000000028</v>
      </c>
      <c r="I31" s="409">
        <f t="shared" si="3"/>
        <v>0.2671071082458103</v>
      </c>
      <c r="K31" s="385"/>
      <c r="L31" s="382">
        <v>1050.3499999999999</v>
      </c>
      <c r="M31" s="415">
        <f t="shared" si="10"/>
        <v>-2.7155078284484269E-3</v>
      </c>
      <c r="N31" s="415">
        <f t="shared" si="4"/>
        <v>0.12931145707896086</v>
      </c>
      <c r="O31" s="416" t="str">
        <f t="shared" si="5"/>
        <v>Yes</v>
      </c>
      <c r="P31" s="417">
        <f t="shared" si="15"/>
        <v>1</v>
      </c>
      <c r="Q31" s="415">
        <f>SUM($P$4:P31)/COUNT($P$4:P31)</f>
        <v>0.6785714285714286</v>
      </c>
      <c r="S31" s="382">
        <v>9768.68</v>
      </c>
      <c r="T31" s="415">
        <f t="shared" si="11"/>
        <v>-4.1907115238960513E-3</v>
      </c>
      <c r="U31" s="415">
        <f t="shared" si="6"/>
        <v>0.13818527546174386</v>
      </c>
      <c r="V31" s="416" t="str">
        <f t="shared" si="7"/>
        <v>Yes</v>
      </c>
      <c r="W31" s="417">
        <f t="shared" si="16"/>
        <v>1</v>
      </c>
      <c r="X31" s="415">
        <f>SUM($W$4:W31)/COUNT($W$4:W31)</f>
        <v>0.6785714285714286</v>
      </c>
      <c r="Z31" s="389">
        <v>1930.26</v>
      </c>
      <c r="AA31" s="390">
        <f t="shared" si="12"/>
        <v>-2.0540507626576776E-2</v>
      </c>
      <c r="AB31" s="390">
        <f t="shared" si="13"/>
        <v>0.28437400191632056</v>
      </c>
    </row>
    <row r="32" spans="1:28">
      <c r="A32" s="403">
        <f t="shared" si="8"/>
        <v>30</v>
      </c>
      <c r="B32" s="422">
        <f t="shared" si="14"/>
        <v>37946</v>
      </c>
      <c r="C32" s="385"/>
      <c r="D32" s="411">
        <v>28176.87</v>
      </c>
      <c r="E32" s="408">
        <f t="shared" si="9"/>
        <v>28176.87</v>
      </c>
      <c r="F32" s="408">
        <f t="shared" si="0"/>
        <v>-783.94000000000233</v>
      </c>
      <c r="G32" s="409">
        <f t="shared" si="1"/>
        <v>-2.7068994271914448E-2</v>
      </c>
      <c r="H32" s="408">
        <f t="shared" si="2"/>
        <v>5321.02</v>
      </c>
      <c r="I32" s="409">
        <f t="shared" si="3"/>
        <v>0.23280779319080236</v>
      </c>
      <c r="K32" s="385"/>
      <c r="L32" s="382">
        <v>1035.28</v>
      </c>
      <c r="M32" s="415">
        <f t="shared" si="10"/>
        <v>-1.4347598419574337E-2</v>
      </c>
      <c r="N32" s="415">
        <f t="shared" si="4"/>
        <v>0.11310854980216756</v>
      </c>
      <c r="O32" s="416" t="str">
        <f t="shared" si="5"/>
        <v>No</v>
      </c>
      <c r="P32" s="417">
        <f t="shared" si="15"/>
        <v>0</v>
      </c>
      <c r="Q32" s="415">
        <f>SUM($P$4:P32)/COUNT($P$4:P32)</f>
        <v>0.65517241379310343</v>
      </c>
      <c r="S32" s="382">
        <v>9628.5300000000007</v>
      </c>
      <c r="T32" s="415">
        <f t="shared" si="11"/>
        <v>-1.4346871839388653E-2</v>
      </c>
      <c r="U32" s="415">
        <f t="shared" si="6"/>
        <v>0.12185587718521496</v>
      </c>
      <c r="V32" s="416" t="str">
        <f t="shared" si="7"/>
        <v>No</v>
      </c>
      <c r="W32" s="417">
        <f t="shared" si="16"/>
        <v>0</v>
      </c>
      <c r="X32" s="415">
        <f>SUM($W$4:W32)/COUNT($W$4:W32)</f>
        <v>0.65517241379310343</v>
      </c>
      <c r="Z32" s="389">
        <v>1893.88</v>
      </c>
      <c r="AA32" s="390">
        <f t="shared" si="12"/>
        <v>-1.8847201931345925E-2</v>
      </c>
      <c r="AB32" s="390">
        <f t="shared" si="13"/>
        <v>0.26016714574683264</v>
      </c>
    </row>
    <row r="33" spans="1:28">
      <c r="A33" s="403">
        <f t="shared" si="8"/>
        <v>31</v>
      </c>
      <c r="B33" s="422">
        <f t="shared" si="14"/>
        <v>37953</v>
      </c>
      <c r="C33" s="385"/>
      <c r="D33" s="411">
        <v>29004.98</v>
      </c>
      <c r="E33" s="408">
        <f t="shared" si="9"/>
        <v>29004.98</v>
      </c>
      <c r="F33" s="408">
        <f t="shared" si="0"/>
        <v>828.11000000000058</v>
      </c>
      <c r="G33" s="409">
        <f t="shared" si="1"/>
        <v>2.9389708651102797E-2</v>
      </c>
      <c r="H33" s="408">
        <f t="shared" si="2"/>
        <v>6149.130000000001</v>
      </c>
      <c r="I33" s="409">
        <f t="shared" si="3"/>
        <v>0.26903965505548921</v>
      </c>
      <c r="K33" s="385"/>
      <c r="L33" s="382">
        <v>1058.2</v>
      </c>
      <c r="M33" s="415">
        <f t="shared" si="10"/>
        <v>2.2138938258249086E-2</v>
      </c>
      <c r="N33" s="415">
        <f t="shared" si="4"/>
        <v>0.13775159126096681</v>
      </c>
      <c r="O33" s="416" t="str">
        <f t="shared" si="5"/>
        <v>Yes</v>
      </c>
      <c r="P33" s="417">
        <f t="shared" si="15"/>
        <v>1</v>
      </c>
      <c r="Q33" s="415">
        <f>SUM($P$4:P33)/COUNT($P$4:P33)</f>
        <v>0.66666666666666663</v>
      </c>
      <c r="S33" s="382">
        <v>9782.4599999999991</v>
      </c>
      <c r="T33" s="415">
        <f t="shared" si="11"/>
        <v>1.5986864038435522E-2</v>
      </c>
      <c r="U33" s="415">
        <f t="shared" si="6"/>
        <v>0.13979083456449493</v>
      </c>
      <c r="V33" s="416" t="str">
        <f t="shared" si="7"/>
        <v>Yes</v>
      </c>
      <c r="W33" s="417">
        <f t="shared" si="16"/>
        <v>1</v>
      </c>
      <c r="X33" s="415">
        <f>SUM($W$4:W33)/COUNT($W$4:W33)</f>
        <v>0.66666666666666663</v>
      </c>
      <c r="Z33" s="389">
        <v>1960.26</v>
      </c>
      <c r="AA33" s="390">
        <f t="shared" si="12"/>
        <v>3.5049739159819904E-2</v>
      </c>
      <c r="AB33" s="390">
        <f t="shared" si="13"/>
        <v>0.30433567550303398</v>
      </c>
    </row>
    <row r="34" spans="1:28">
      <c r="A34" s="403">
        <f t="shared" si="8"/>
        <v>32</v>
      </c>
      <c r="B34" s="422">
        <f t="shared" si="14"/>
        <v>37960</v>
      </c>
      <c r="C34" s="385"/>
      <c r="D34" s="411">
        <v>28449.7</v>
      </c>
      <c r="E34" s="408">
        <f t="shared" si="9"/>
        <v>28449.7</v>
      </c>
      <c r="F34" s="408">
        <f t="shared" si="0"/>
        <v>-555.27999999999884</v>
      </c>
      <c r="G34" s="409">
        <f t="shared" si="1"/>
        <v>-1.9144298668711368E-2</v>
      </c>
      <c r="H34" s="408">
        <f t="shared" si="2"/>
        <v>5593.8500000000022</v>
      </c>
      <c r="I34" s="409">
        <f t="shared" si="3"/>
        <v>0.24474478087666851</v>
      </c>
      <c r="K34" s="385"/>
      <c r="L34" s="382">
        <v>1061.5</v>
      </c>
      <c r="M34" s="415">
        <f t="shared" si="10"/>
        <v>3.1185031185030354E-3</v>
      </c>
      <c r="N34" s="415">
        <f t="shared" si="4"/>
        <v>0.14129967314639602</v>
      </c>
      <c r="O34" s="416" t="str">
        <f t="shared" si="5"/>
        <v>No</v>
      </c>
      <c r="P34" s="417">
        <f t="shared" si="15"/>
        <v>0</v>
      </c>
      <c r="Q34" s="415">
        <f>SUM($P$4:P34)/COUNT($P$4:P34)</f>
        <v>0.64516129032258063</v>
      </c>
      <c r="S34" s="382">
        <v>9862.68</v>
      </c>
      <c r="T34" s="415">
        <f t="shared" si="11"/>
        <v>8.200391312614741E-3</v>
      </c>
      <c r="U34" s="415">
        <f t="shared" si="6"/>
        <v>0.14913756542245538</v>
      </c>
      <c r="V34" s="416" t="str">
        <f t="shared" si="7"/>
        <v>No</v>
      </c>
      <c r="W34" s="417">
        <f t="shared" si="16"/>
        <v>0</v>
      </c>
      <c r="X34" s="415">
        <f>SUM($W$4:W34)/COUNT($W$4:W34)</f>
        <v>0.64516129032258063</v>
      </c>
      <c r="Z34" s="389">
        <v>1937.82</v>
      </c>
      <c r="AA34" s="390">
        <f t="shared" si="12"/>
        <v>-1.1447461051085073E-2</v>
      </c>
      <c r="AB34" s="390">
        <f t="shared" si="13"/>
        <v>0.28940434366017231</v>
      </c>
    </row>
    <row r="35" spans="1:28">
      <c r="A35" s="403">
        <f t="shared" si="8"/>
        <v>33</v>
      </c>
      <c r="B35" s="422">
        <f t="shared" si="14"/>
        <v>37967</v>
      </c>
      <c r="C35" s="385"/>
      <c r="D35" s="411">
        <v>28924.74</v>
      </c>
      <c r="E35" s="408">
        <f t="shared" si="9"/>
        <v>28924.74</v>
      </c>
      <c r="F35" s="408">
        <f t="shared" si="0"/>
        <v>475.04000000000087</v>
      </c>
      <c r="G35" s="409">
        <f t="shared" si="1"/>
        <v>1.6697539868610223E-2</v>
      </c>
      <c r="H35" s="408">
        <f t="shared" si="2"/>
        <v>6068.8900000000031</v>
      </c>
      <c r="I35" s="409">
        <f t="shared" si="3"/>
        <v>0.26552895648160124</v>
      </c>
      <c r="K35" s="385"/>
      <c r="L35" s="382">
        <v>1074.1400000000001</v>
      </c>
      <c r="M35" s="415">
        <f t="shared" si="10"/>
        <v>1.1907677814413598E-2</v>
      </c>
      <c r="N35" s="415">
        <f t="shared" si="4"/>
        <v>0.15488990194391894</v>
      </c>
      <c r="O35" s="416" t="str">
        <f t="shared" si="5"/>
        <v>Yes</v>
      </c>
      <c r="P35" s="417">
        <f t="shared" si="15"/>
        <v>1</v>
      </c>
      <c r="Q35" s="415">
        <f>SUM($P$4:P35)/COUNT($P$4:P35)</f>
        <v>0.65625</v>
      </c>
      <c r="S35" s="382">
        <v>10042.16</v>
      </c>
      <c r="T35" s="415">
        <f t="shared" si="11"/>
        <v>1.8197893473173465E-2</v>
      </c>
      <c r="U35" s="415">
        <f t="shared" si="6"/>
        <v>0.17004944842403535</v>
      </c>
      <c r="V35" s="416" t="str">
        <f t="shared" si="7"/>
        <v>No</v>
      </c>
      <c r="W35" s="417">
        <f t="shared" si="16"/>
        <v>0</v>
      </c>
      <c r="X35" s="415">
        <f>SUM($W$4:W35)/COUNT($W$4:W35)</f>
        <v>0.625</v>
      </c>
      <c r="Z35" s="389">
        <v>1949</v>
      </c>
      <c r="AA35" s="390">
        <f t="shared" si="12"/>
        <v>5.7693697041005798E-3</v>
      </c>
      <c r="AB35" s="390">
        <f t="shared" si="13"/>
        <v>0.29684339401682092</v>
      </c>
    </row>
    <row r="36" spans="1:28">
      <c r="A36" s="403">
        <f t="shared" si="8"/>
        <v>34</v>
      </c>
      <c r="B36" s="422">
        <f t="shared" si="14"/>
        <v>37974</v>
      </c>
      <c r="C36" s="385"/>
      <c r="D36" s="411">
        <v>29328</v>
      </c>
      <c r="E36" s="408">
        <f t="shared" si="9"/>
        <v>29328</v>
      </c>
      <c r="F36" s="408">
        <f t="shared" si="0"/>
        <v>403.2599999999984</v>
      </c>
      <c r="G36" s="409">
        <f t="shared" si="1"/>
        <v>1.39416983523446E-2</v>
      </c>
      <c r="H36" s="408">
        <f t="shared" si="2"/>
        <v>6472.1500000000015</v>
      </c>
      <c r="I36" s="409">
        <f t="shared" si="3"/>
        <v>0.28317257944902519</v>
      </c>
      <c r="K36" s="385"/>
      <c r="L36" s="382">
        <v>1088.6600000000001</v>
      </c>
      <c r="M36" s="415">
        <f t="shared" si="10"/>
        <v>1.3517790976967703E-2</v>
      </c>
      <c r="N36" s="415">
        <f t="shared" si="4"/>
        <v>0.17050146223980733</v>
      </c>
      <c r="O36" s="416" t="str">
        <f t="shared" si="5"/>
        <v>Yes</v>
      </c>
      <c r="P36" s="417">
        <f t="shared" si="15"/>
        <v>1</v>
      </c>
      <c r="Q36" s="415">
        <f>SUM($P$4:P36)/COUNT($P$4:P36)</f>
        <v>0.66666666666666663</v>
      </c>
      <c r="S36" s="382">
        <v>10278.219999999999</v>
      </c>
      <c r="T36" s="415">
        <f t="shared" si="11"/>
        <v>2.3506894930970912E-2</v>
      </c>
      <c r="U36" s="415">
        <f t="shared" ref="U36:U67" si="17">(S36/$S$3)-1</f>
        <v>0.19755367787217959</v>
      </c>
      <c r="V36" s="416" t="str">
        <f t="shared" ref="V36:V67" si="18">IF(G36&gt;T36,"Yes","No")</f>
        <v>No</v>
      </c>
      <c r="W36" s="417">
        <f t="shared" si="16"/>
        <v>0</v>
      </c>
      <c r="X36" s="415">
        <f>SUM($W$4:W36)/COUNT($W$4:W36)</f>
        <v>0.60606060606060608</v>
      </c>
      <c r="Z36" s="389">
        <v>1957.02</v>
      </c>
      <c r="AA36" s="390">
        <f t="shared" si="12"/>
        <v>4.1149307337096097E-3</v>
      </c>
      <c r="AB36" s="390">
        <f t="shared" si="13"/>
        <v>0.30217981475566891</v>
      </c>
    </row>
    <row r="37" spans="1:28">
      <c r="A37" s="403">
        <f t="shared" si="8"/>
        <v>35</v>
      </c>
      <c r="B37" s="422">
        <f t="shared" si="14"/>
        <v>37981</v>
      </c>
      <c r="C37" s="385"/>
      <c r="D37" s="411">
        <v>29690.49</v>
      </c>
      <c r="E37" s="408">
        <f t="shared" si="9"/>
        <v>29690.49</v>
      </c>
      <c r="F37" s="408">
        <f t="shared" si="0"/>
        <v>362.4900000000016</v>
      </c>
      <c r="G37" s="409">
        <f t="shared" si="1"/>
        <v>1.2359860883797147E-2</v>
      </c>
      <c r="H37" s="408">
        <f t="shared" si="2"/>
        <v>6834.6400000000031</v>
      </c>
      <c r="I37" s="409">
        <f t="shared" si="3"/>
        <v>0.29903241402091818</v>
      </c>
      <c r="K37" s="385"/>
      <c r="L37" s="382">
        <v>1095.8900000000001</v>
      </c>
      <c r="M37" s="415">
        <f t="shared" si="10"/>
        <v>6.6411919240167983E-3</v>
      </c>
      <c r="N37" s="415">
        <f t="shared" si="4"/>
        <v>0.17827498709788414</v>
      </c>
      <c r="O37" s="416" t="str">
        <f t="shared" si="5"/>
        <v>Yes</v>
      </c>
      <c r="P37" s="417">
        <f t="shared" si="15"/>
        <v>1</v>
      </c>
      <c r="Q37" s="415">
        <f>SUM($P$4:P37)/COUNT($P$4:P37)</f>
        <v>0.67647058823529416</v>
      </c>
      <c r="S37" s="382">
        <v>10324.67</v>
      </c>
      <c r="T37" s="415">
        <f t="shared" si="11"/>
        <v>4.5192650089218578E-3</v>
      </c>
      <c r="U37" s="415">
        <f t="shared" si="17"/>
        <v>0.20296574030489301</v>
      </c>
      <c r="V37" s="416" t="str">
        <f t="shared" si="18"/>
        <v>Yes</v>
      </c>
      <c r="W37" s="417">
        <f t="shared" si="16"/>
        <v>1</v>
      </c>
      <c r="X37" s="415">
        <f>SUM($W$4:W37)/COUNT($W$4:W37)</f>
        <v>0.61764705882352944</v>
      </c>
      <c r="Z37" s="389">
        <v>1973.14</v>
      </c>
      <c r="AA37" s="390">
        <f t="shared" si="12"/>
        <v>8.2370134183606947E-3</v>
      </c>
      <c r="AB37" s="390">
        <f t="shared" si="13"/>
        <v>0.31290588736292979</v>
      </c>
    </row>
    <row r="38" spans="1:28">
      <c r="A38" s="403">
        <f t="shared" si="8"/>
        <v>36</v>
      </c>
      <c r="B38" s="422">
        <f t="shared" si="14"/>
        <v>37988</v>
      </c>
      <c r="C38" s="385"/>
      <c r="D38" s="411">
        <v>30649.47</v>
      </c>
      <c r="E38" s="408">
        <f t="shared" si="9"/>
        <v>30649.47</v>
      </c>
      <c r="F38" s="408">
        <f t="shared" si="0"/>
        <v>958.97999999999956</v>
      </c>
      <c r="G38" s="409">
        <f t="shared" si="1"/>
        <v>3.2299231167959741E-2</v>
      </c>
      <c r="H38" s="408">
        <f t="shared" si="2"/>
        <v>7793.6200000000026</v>
      </c>
      <c r="I38" s="409">
        <f t="shared" si="3"/>
        <v>0.34099016225605272</v>
      </c>
      <c r="J38" s="388">
        <v>0</v>
      </c>
      <c r="K38" s="385"/>
      <c r="L38" s="382">
        <v>1108.48</v>
      </c>
      <c r="M38" s="415">
        <f t="shared" si="10"/>
        <v>1.1488379308142171E-2</v>
      </c>
      <c r="N38" s="415">
        <f t="shared" si="4"/>
        <v>0.19181145707896086</v>
      </c>
      <c r="O38" s="416" t="str">
        <f t="shared" si="5"/>
        <v>Yes</v>
      </c>
      <c r="P38" s="417">
        <f t="shared" si="15"/>
        <v>1</v>
      </c>
      <c r="Q38" s="415">
        <f>SUM($P$4:P38)/COUNT($P$4:P38)</f>
        <v>0.68571428571428572</v>
      </c>
      <c r="R38" s="388">
        <v>0</v>
      </c>
      <c r="S38" s="382">
        <v>10409.85</v>
      </c>
      <c r="T38" s="415">
        <f t="shared" si="11"/>
        <v>8.2501426195704664E-3</v>
      </c>
      <c r="U38" s="415">
        <f t="shared" si="17"/>
        <v>0.21289037922886567</v>
      </c>
      <c r="V38" s="416" t="str">
        <f t="shared" si="18"/>
        <v>Yes</v>
      </c>
      <c r="W38" s="417">
        <f t="shared" si="16"/>
        <v>1</v>
      </c>
      <c r="X38" s="415">
        <f>SUM($W$4:W38)/COUNT($W$4:W38)</f>
        <v>0.62857142857142856</v>
      </c>
      <c r="Z38" s="389">
        <v>2006.68</v>
      </c>
      <c r="AA38" s="390">
        <f t="shared" si="12"/>
        <v>1.6998286994333922E-2</v>
      </c>
      <c r="AB38" s="390">
        <f t="shared" si="13"/>
        <v>0.3352230384328756</v>
      </c>
    </row>
    <row r="39" spans="1:28">
      <c r="A39" s="403">
        <f t="shared" si="8"/>
        <v>37</v>
      </c>
      <c r="B39" s="422">
        <f t="shared" si="14"/>
        <v>37995</v>
      </c>
      <c r="C39" s="385"/>
      <c r="D39" s="411">
        <v>30712.11</v>
      </c>
      <c r="E39" s="408">
        <f t="shared" si="9"/>
        <v>30712.11</v>
      </c>
      <c r="F39" s="408">
        <f t="shared" si="0"/>
        <v>62.639999999999418</v>
      </c>
      <c r="G39" s="409">
        <f t="shared" si="1"/>
        <v>2.0437547533447287E-3</v>
      </c>
      <c r="H39" s="408">
        <f t="shared" si="2"/>
        <v>7856.260000000002</v>
      </c>
      <c r="I39" s="409">
        <f t="shared" si="3"/>
        <v>0.34373081727435228</v>
      </c>
      <c r="J39" s="388">
        <f t="shared" ref="J39:J83" si="19">(E39/$E$38)-1</f>
        <v>2.0437547533447287E-3</v>
      </c>
      <c r="K39" s="385"/>
      <c r="L39" s="382">
        <v>1121.8599999999999</v>
      </c>
      <c r="M39" s="415">
        <f t="shared" si="10"/>
        <v>1.2070583140877389E-2</v>
      </c>
      <c r="N39" s="415">
        <f t="shared" si="4"/>
        <v>0.20619731635988292</v>
      </c>
      <c r="O39" s="416" t="str">
        <f t="shared" si="5"/>
        <v>No</v>
      </c>
      <c r="P39" s="417">
        <f t="shared" si="15"/>
        <v>0</v>
      </c>
      <c r="Q39" s="415">
        <f>SUM($P$4:P39)/COUNT($P$4:P39)</f>
        <v>0.66666666666666663</v>
      </c>
      <c r="R39" s="388">
        <f t="shared" ref="R39:R86" si="20">(L39/$L$38)-1</f>
        <v>1.2070583140877389E-2</v>
      </c>
      <c r="S39" s="382">
        <v>10458.89</v>
      </c>
      <c r="T39" s="415">
        <f t="shared" si="11"/>
        <v>4.7109228278985338E-3</v>
      </c>
      <c r="U39" s="415">
        <f t="shared" si="17"/>
        <v>0.21860421220411319</v>
      </c>
      <c r="V39" s="416" t="str">
        <f t="shared" si="18"/>
        <v>No</v>
      </c>
      <c r="W39" s="417">
        <f t="shared" si="16"/>
        <v>0</v>
      </c>
      <c r="X39" s="415">
        <f>SUM($W$4:W39)/COUNT($W$4:W39)</f>
        <v>0.61111111111111116</v>
      </c>
      <c r="Z39" s="389">
        <v>2086.92</v>
      </c>
      <c r="AA39" s="390">
        <f t="shared" si="12"/>
        <v>3.998644527278894E-2</v>
      </c>
      <c r="AB39" s="390">
        <f t="shared" si="13"/>
        <v>0.38861386138613851</v>
      </c>
    </row>
    <row r="40" spans="1:28">
      <c r="A40" s="403">
        <f t="shared" si="8"/>
        <v>38</v>
      </c>
      <c r="B40" s="422">
        <f t="shared" si="14"/>
        <v>38002</v>
      </c>
      <c r="C40" s="385"/>
      <c r="D40" s="411">
        <v>30500.54</v>
      </c>
      <c r="E40" s="408">
        <f t="shared" si="9"/>
        <v>30500.54</v>
      </c>
      <c r="F40" s="408">
        <f t="shared" si="0"/>
        <v>-211.56999999999971</v>
      </c>
      <c r="G40" s="409">
        <f t="shared" si="1"/>
        <v>-6.8888135657236838E-3</v>
      </c>
      <c r="H40" s="408">
        <f t="shared" si="2"/>
        <v>7644.6900000000023</v>
      </c>
      <c r="I40" s="409">
        <f t="shared" si="3"/>
        <v>0.33447410619163165</v>
      </c>
      <c r="J40" s="388">
        <f t="shared" si="19"/>
        <v>-4.8591378578487499E-3</v>
      </c>
      <c r="K40" s="385"/>
      <c r="L40" s="382">
        <v>1139.83</v>
      </c>
      <c r="M40" s="415">
        <f t="shared" si="10"/>
        <v>1.6018041466849819E-2</v>
      </c>
      <c r="N40" s="415">
        <f t="shared" si="4"/>
        <v>0.22551823499053825</v>
      </c>
      <c r="O40" s="416" t="str">
        <f t="shared" si="5"/>
        <v>No</v>
      </c>
      <c r="P40" s="417">
        <f t="shared" si="15"/>
        <v>0</v>
      </c>
      <c r="Q40" s="415">
        <f>SUM($P$4:P40)/COUNT($P$4:P40)</f>
        <v>0.64864864864864868</v>
      </c>
      <c r="R40" s="388">
        <f t="shared" si="20"/>
        <v>2.8281971709006815E-2</v>
      </c>
      <c r="S40" s="382">
        <v>10600.51</v>
      </c>
      <c r="T40" s="415">
        <f t="shared" si="11"/>
        <v>1.3540633853114548E-2</v>
      </c>
      <c r="U40" s="415">
        <f t="shared" si="17"/>
        <v>0.23510488565343235</v>
      </c>
      <c r="V40" s="416" t="str">
        <f t="shared" si="18"/>
        <v>No</v>
      </c>
      <c r="W40" s="417">
        <f t="shared" si="16"/>
        <v>0</v>
      </c>
      <c r="X40" s="415">
        <f>SUM($W$4:W40)/COUNT($W$4:W40)</f>
        <v>0.59459459459459463</v>
      </c>
      <c r="Z40" s="389">
        <v>2140.46</v>
      </c>
      <c r="AA40" s="390">
        <f t="shared" si="12"/>
        <v>2.5655032296398428E-2</v>
      </c>
      <c r="AB40" s="390">
        <f t="shared" si="13"/>
        <v>0.4242387948472266</v>
      </c>
    </row>
    <row r="41" spans="1:28">
      <c r="A41" s="403">
        <f t="shared" si="8"/>
        <v>39</v>
      </c>
      <c r="B41" s="422">
        <f t="shared" si="14"/>
        <v>38009</v>
      </c>
      <c r="C41" s="385"/>
      <c r="D41" s="411">
        <v>30340.26</v>
      </c>
      <c r="E41" s="408">
        <f>D41+Holdings_Old!$E$32</f>
        <v>30340.26</v>
      </c>
      <c r="F41" s="408">
        <f>E41-D40</f>
        <v>-160.28000000000247</v>
      </c>
      <c r="G41" s="409">
        <f t="shared" ref="G41:G72" si="21">(E41/E40)-1</f>
        <v>-5.2549889280649742E-3</v>
      </c>
      <c r="H41" s="408">
        <f t="shared" ref="H41:H104" si="22">E41-$D$3</f>
        <v>7484.41</v>
      </c>
      <c r="I41" s="409">
        <f t="shared" ref="I41:I104" si="23">(E41/$D$3)-1</f>
        <v>0.32746145953880523</v>
      </c>
      <c r="J41" s="388">
        <f t="shared" si="19"/>
        <v>-1.0088592070270797E-2</v>
      </c>
      <c r="K41" s="385"/>
      <c r="L41" s="382">
        <v>1141.55</v>
      </c>
      <c r="M41" s="415">
        <f t="shared" si="10"/>
        <v>1.5089969556862926E-3</v>
      </c>
      <c r="N41" s="415">
        <f t="shared" si="4"/>
        <v>0.2273675382762772</v>
      </c>
      <c r="O41" s="416" t="str">
        <f t="shared" si="5"/>
        <v>No</v>
      </c>
      <c r="P41" s="417">
        <f t="shared" si="15"/>
        <v>0</v>
      </c>
      <c r="Q41" s="415">
        <f>SUM($P$4:P41)/COUNT($P$4:P41)</f>
        <v>0.63157894736842102</v>
      </c>
      <c r="R41" s="388">
        <f t="shared" si="20"/>
        <v>2.9833646073903042E-2</v>
      </c>
      <c r="S41" s="382">
        <v>10568.29</v>
      </c>
      <c r="T41" s="415">
        <f t="shared" si="11"/>
        <v>-3.0394764025504228E-3</v>
      </c>
      <c r="U41" s="415">
        <f t="shared" si="17"/>
        <v>0.23135081349881403</v>
      </c>
      <c r="V41" s="416" t="str">
        <f t="shared" si="18"/>
        <v>No</v>
      </c>
      <c r="W41" s="417">
        <f t="shared" si="16"/>
        <v>0</v>
      </c>
      <c r="X41" s="415">
        <f>SUM($W$4:W41)/COUNT($W$4:W41)</f>
        <v>0.57894736842105265</v>
      </c>
      <c r="Z41" s="389">
        <v>2123.87</v>
      </c>
      <c r="AA41" s="390">
        <f t="shared" si="12"/>
        <v>-7.7506704166394602E-3</v>
      </c>
      <c r="AB41" s="390">
        <f t="shared" si="13"/>
        <v>0.41319998935377389</v>
      </c>
    </row>
    <row r="42" spans="1:28">
      <c r="A42" s="403">
        <f t="shared" si="8"/>
        <v>40</v>
      </c>
      <c r="B42" s="422">
        <f t="shared" ref="B42:B105" si="24">B41+7</f>
        <v>38016</v>
      </c>
      <c r="C42" s="385"/>
      <c r="D42" s="411">
        <v>29390.959999999999</v>
      </c>
      <c r="E42" s="408">
        <f>D42+Holdings_Old!$E$32</f>
        <v>29390.959999999999</v>
      </c>
      <c r="F42" s="408">
        <f t="shared" ref="F42:F73" si="25">E42-E41</f>
        <v>-949.29999999999927</v>
      </c>
      <c r="G42" s="409">
        <f t="shared" si="21"/>
        <v>-3.1288459624274734E-2</v>
      </c>
      <c r="H42" s="408">
        <f t="shared" si="22"/>
        <v>6535.1100000000006</v>
      </c>
      <c r="I42" s="409">
        <f t="shared" si="23"/>
        <v>0.28592723525924435</v>
      </c>
      <c r="J42" s="388">
        <f t="shared" si="19"/>
        <v>-4.1061395188889183E-2</v>
      </c>
      <c r="K42" s="385"/>
      <c r="L42" s="382">
        <v>1131.1300000000001</v>
      </c>
      <c r="M42" s="415">
        <f t="shared" ref="M42:M79" si="26">(L42/L41)-1</f>
        <v>-9.1279400814680001E-3</v>
      </c>
      <c r="N42" s="415">
        <f t="shared" si="4"/>
        <v>0.21616420092895239</v>
      </c>
      <c r="O42" s="416" t="str">
        <f t="shared" si="5"/>
        <v>No</v>
      </c>
      <c r="P42" s="417">
        <f t="shared" si="15"/>
        <v>0</v>
      </c>
      <c r="Q42" s="415">
        <f>SUM($P$4:P42)/COUNT($P$4:P42)</f>
        <v>0.61538461538461542</v>
      </c>
      <c r="R42" s="388">
        <f t="shared" si="20"/>
        <v>2.0433386258660535E-2</v>
      </c>
      <c r="S42" s="382">
        <v>10488.07</v>
      </c>
      <c r="T42" s="415">
        <f t="shared" ref="T42:T79" si="27">(S42/S41)-1</f>
        <v>-7.5906319754663887E-3</v>
      </c>
      <c r="U42" s="415">
        <f t="shared" si="17"/>
        <v>0.22200408264085336</v>
      </c>
      <c r="V42" s="416" t="str">
        <f t="shared" si="18"/>
        <v>No</v>
      </c>
      <c r="W42" s="417">
        <f t="shared" si="16"/>
        <v>0</v>
      </c>
      <c r="X42" s="415">
        <f>SUM($W$4:W42)/COUNT($W$4:W42)</f>
        <v>0.5641025641025641</v>
      </c>
      <c r="Z42" s="389">
        <v>2066.15</v>
      </c>
      <c r="AA42" s="390">
        <f t="shared" ref="AA42:AA79" si="28">(Z42/Z41)-1</f>
        <v>-2.7176804606684923E-2</v>
      </c>
      <c r="AB42" s="390">
        <f t="shared" ref="AB42:AB79" si="29">(Z42/$Z$3)-1</f>
        <v>0.37479372937293731</v>
      </c>
    </row>
    <row r="43" spans="1:28">
      <c r="A43" s="403">
        <f t="shared" si="8"/>
        <v>41</v>
      </c>
      <c r="B43" s="422">
        <f t="shared" si="24"/>
        <v>38023</v>
      </c>
      <c r="C43" s="385"/>
      <c r="D43" s="411">
        <v>29673.82</v>
      </c>
      <c r="E43" s="408">
        <f>D43+Holdings_Old!$E$32</f>
        <v>29673.82</v>
      </c>
      <c r="F43" s="408">
        <f t="shared" si="25"/>
        <v>282.86000000000058</v>
      </c>
      <c r="G43" s="409">
        <f t="shared" si="21"/>
        <v>9.6240476663573826E-3</v>
      </c>
      <c r="H43" s="408">
        <f t="shared" si="22"/>
        <v>6817.9700000000012</v>
      </c>
      <c r="I43" s="409">
        <f t="shared" si="23"/>
        <v>0.29830306026684639</v>
      </c>
      <c r="J43" s="388">
        <f t="shared" si="19"/>
        <v>-3.183252434707684E-2</v>
      </c>
      <c r="K43" s="385"/>
      <c r="L43" s="382">
        <v>1142.76</v>
      </c>
      <c r="M43" s="415">
        <f t="shared" si="26"/>
        <v>1.028175364458539E-2</v>
      </c>
      <c r="N43" s="415">
        <f t="shared" si="4"/>
        <v>0.228668501634268</v>
      </c>
      <c r="O43" s="416" t="str">
        <f t="shared" si="5"/>
        <v>No</v>
      </c>
      <c r="P43" s="417">
        <f t="shared" si="15"/>
        <v>0</v>
      </c>
      <c r="Q43" s="415">
        <f>SUM($P$4:P43)/COUNT($P$4:P43)</f>
        <v>0.6</v>
      </c>
      <c r="R43" s="388">
        <f t="shared" si="20"/>
        <v>3.0925230946882154E-2</v>
      </c>
      <c r="S43" s="382">
        <v>10593.03</v>
      </c>
      <c r="T43" s="415">
        <f t="shared" si="27"/>
        <v>1.0007560971656559E-2</v>
      </c>
      <c r="U43" s="415">
        <f t="shared" si="17"/>
        <v>0.23423336300549491</v>
      </c>
      <c r="V43" s="416" t="str">
        <f t="shared" si="18"/>
        <v>No</v>
      </c>
      <c r="W43" s="417">
        <f t="shared" si="16"/>
        <v>0</v>
      </c>
      <c r="X43" s="415">
        <f>SUM($W$4:W43)/COUNT($W$4:W43)</f>
        <v>0.55000000000000004</v>
      </c>
      <c r="Z43" s="389">
        <v>2064.0100000000002</v>
      </c>
      <c r="AA43" s="390">
        <f t="shared" si="28"/>
        <v>-1.0357428066692931E-3</v>
      </c>
      <c r="AB43" s="390">
        <f t="shared" si="29"/>
        <v>0.37336979665708503</v>
      </c>
    </row>
    <row r="44" spans="1:28">
      <c r="A44" s="403">
        <f t="shared" si="8"/>
        <v>42</v>
      </c>
      <c r="B44" s="422">
        <f t="shared" si="24"/>
        <v>38030</v>
      </c>
      <c r="C44" s="385"/>
      <c r="D44" s="411">
        <v>29580.97</v>
      </c>
      <c r="E44" s="408">
        <f>D44+Holdings_Old!$E$32</f>
        <v>29580.97</v>
      </c>
      <c r="F44" s="408">
        <f t="shared" si="25"/>
        <v>-92.849999999998545</v>
      </c>
      <c r="G44" s="409">
        <f t="shared" si="21"/>
        <v>-3.1290208001530928E-3</v>
      </c>
      <c r="H44" s="408">
        <f t="shared" si="22"/>
        <v>6725.1200000000026</v>
      </c>
      <c r="I44" s="409">
        <f t="shared" si="23"/>
        <v>0.29424064298636909</v>
      </c>
      <c r="J44" s="388">
        <f t="shared" si="19"/>
        <v>-3.4861940516426548E-2</v>
      </c>
      <c r="K44" s="385"/>
      <c r="L44" s="382">
        <v>1145.81</v>
      </c>
      <c r="M44" s="415">
        <f t="shared" si="26"/>
        <v>2.6689768630332456E-3</v>
      </c>
      <c r="N44" s="415">
        <f t="shared" si="4"/>
        <v>0.23194778943746752</v>
      </c>
      <c r="O44" s="416" t="str">
        <f t="shared" si="5"/>
        <v>No</v>
      </c>
      <c r="P44" s="417">
        <f t="shared" si="15"/>
        <v>0</v>
      </c>
      <c r="Q44" s="415">
        <f>SUM($P$4:P44)/COUNT($P$4:P44)</f>
        <v>0.58536585365853655</v>
      </c>
      <c r="R44" s="388">
        <f t="shared" si="20"/>
        <v>3.3676746535796775E-2</v>
      </c>
      <c r="S44" s="382">
        <v>10628.85</v>
      </c>
      <c r="T44" s="415">
        <f t="shared" si="27"/>
        <v>3.3814687582305325E-3</v>
      </c>
      <c r="U44" s="415">
        <f t="shared" si="17"/>
        <v>0.23840688456286374</v>
      </c>
      <c r="V44" s="416" t="str">
        <f t="shared" si="18"/>
        <v>No</v>
      </c>
      <c r="W44" s="417">
        <f t="shared" si="16"/>
        <v>0</v>
      </c>
      <c r="X44" s="415">
        <f>SUM($W$4:W44)/COUNT($W$4:W44)</f>
        <v>0.53658536585365857</v>
      </c>
      <c r="Z44" s="389">
        <v>2053.56</v>
      </c>
      <c r="AA44" s="390">
        <f t="shared" si="28"/>
        <v>-5.0629599662793678E-3</v>
      </c>
      <c r="AB44" s="390">
        <f t="shared" si="29"/>
        <v>0.36641648035771301</v>
      </c>
    </row>
    <row r="45" spans="1:28">
      <c r="A45" s="403">
        <f t="shared" si="8"/>
        <v>43</v>
      </c>
      <c r="B45" s="422">
        <f t="shared" si="24"/>
        <v>38037</v>
      </c>
      <c r="C45" s="385"/>
      <c r="D45" s="411">
        <v>29455.64</v>
      </c>
      <c r="E45" s="408">
        <f>D45+Holdings_Old!$E$32</f>
        <v>29455.64</v>
      </c>
      <c r="F45" s="408">
        <f t="shared" si="25"/>
        <v>-125.33000000000175</v>
      </c>
      <c r="G45" s="409">
        <f t="shared" si="21"/>
        <v>-4.2368455125035842E-3</v>
      </c>
      <c r="H45" s="408">
        <f t="shared" si="22"/>
        <v>6599.7900000000009</v>
      </c>
      <c r="I45" s="409">
        <f t="shared" si="23"/>
        <v>0.28875714532603247</v>
      </c>
      <c r="J45" s="388">
        <f t="shared" si="19"/>
        <v>-3.8951081372695873E-2</v>
      </c>
      <c r="K45" s="385"/>
      <c r="L45" s="382">
        <v>1144.1099999999999</v>
      </c>
      <c r="M45" s="415">
        <f t="shared" si="26"/>
        <v>-1.4836665764830226E-3</v>
      </c>
      <c r="N45" s="415">
        <f t="shared" si="4"/>
        <v>0.23011998967830705</v>
      </c>
      <c r="O45" s="416" t="str">
        <f t="shared" si="5"/>
        <v>No</v>
      </c>
      <c r="P45" s="417">
        <f t="shared" si="15"/>
        <v>0</v>
      </c>
      <c r="Q45" s="415">
        <f>SUM($P$4:P45)/COUNT($P$4:P45)</f>
        <v>0.5714285714285714</v>
      </c>
      <c r="R45" s="388">
        <f t="shared" si="20"/>
        <v>3.2143114896073799E-2</v>
      </c>
      <c r="S45" s="382">
        <v>10619.03</v>
      </c>
      <c r="T45" s="415">
        <f t="shared" si="27"/>
        <v>-9.2390051604829271E-4</v>
      </c>
      <c r="U45" s="415">
        <f t="shared" si="17"/>
        <v>0.23726271980313851</v>
      </c>
      <c r="V45" s="416" t="str">
        <f t="shared" si="18"/>
        <v>No</v>
      </c>
      <c r="W45" s="417">
        <f t="shared" si="16"/>
        <v>0</v>
      </c>
      <c r="X45" s="415">
        <f>SUM($W$4:W45)/COUNT($W$4:W45)</f>
        <v>0.52380952380952384</v>
      </c>
      <c r="Z45" s="389">
        <v>2037.93</v>
      </c>
      <c r="AA45" s="390">
        <f t="shared" si="28"/>
        <v>-7.6111727926136963E-3</v>
      </c>
      <c r="AB45" s="390">
        <f t="shared" si="29"/>
        <v>0.35601644841903535</v>
      </c>
    </row>
    <row r="46" spans="1:28">
      <c r="A46" s="403">
        <f t="shared" si="8"/>
        <v>44</v>
      </c>
      <c r="B46" s="422">
        <f t="shared" si="24"/>
        <v>38044</v>
      </c>
      <c r="C46" s="385"/>
      <c r="D46" s="411">
        <v>29503.45</v>
      </c>
      <c r="E46" s="408">
        <f>D46+Holdings_Old!$E$32</f>
        <v>29503.45</v>
      </c>
      <c r="F46" s="408">
        <f t="shared" si="25"/>
        <v>47.81000000000131</v>
      </c>
      <c r="G46" s="409">
        <f t="shared" si="21"/>
        <v>1.6231186964534849E-3</v>
      </c>
      <c r="H46" s="408">
        <f t="shared" si="22"/>
        <v>6647.6000000000022</v>
      </c>
      <c r="I46" s="409">
        <f t="shared" si="23"/>
        <v>0.29084895114379927</v>
      </c>
      <c r="J46" s="388">
        <f t="shared" si="19"/>
        <v>-3.7391184904665531E-2</v>
      </c>
      <c r="K46" s="385"/>
      <c r="L46" s="382">
        <v>1144.94</v>
      </c>
      <c r="M46" s="415">
        <f t="shared" si="26"/>
        <v>7.2545472026308566E-4</v>
      </c>
      <c r="N46" s="415">
        <f t="shared" si="4"/>
        <v>0.23101238603130914</v>
      </c>
      <c r="O46" s="416" t="str">
        <f t="shared" si="5"/>
        <v>Yes</v>
      </c>
      <c r="P46" s="417">
        <f t="shared" si="15"/>
        <v>1</v>
      </c>
      <c r="Q46" s="415">
        <f>SUM($P$4:P46)/COUNT($P$4:P46)</f>
        <v>0.58139534883720934</v>
      </c>
      <c r="R46" s="388">
        <f t="shared" si="20"/>
        <v>3.2891887990762259E-2</v>
      </c>
      <c r="S46" s="382">
        <v>10583.92</v>
      </c>
      <c r="T46" s="415">
        <f t="shared" si="27"/>
        <v>-3.3063283557914769E-3</v>
      </c>
      <c r="U46" s="415">
        <f t="shared" si="17"/>
        <v>0.23317192298908962</v>
      </c>
      <c r="V46" s="416" t="str">
        <f t="shared" si="18"/>
        <v>Yes</v>
      </c>
      <c r="W46" s="417">
        <f t="shared" si="16"/>
        <v>1</v>
      </c>
      <c r="X46" s="415">
        <f>SUM($W$4:W46)/COUNT($W$4:W46)</f>
        <v>0.53488372093023251</v>
      </c>
      <c r="Z46" s="389">
        <v>2029.82</v>
      </c>
      <c r="AA46" s="390">
        <f t="shared" si="28"/>
        <v>-3.9795282467994797E-3</v>
      </c>
      <c r="AB46" s="390">
        <f t="shared" si="29"/>
        <v>0.35062014265942709</v>
      </c>
    </row>
    <row r="47" spans="1:28">
      <c r="A47" s="403">
        <f t="shared" si="8"/>
        <v>45</v>
      </c>
      <c r="B47" s="422">
        <f t="shared" si="24"/>
        <v>38051</v>
      </c>
      <c r="C47" s="385"/>
      <c r="D47" s="411">
        <v>29619.45</v>
      </c>
      <c r="E47" s="408">
        <f>D47+Holdings_Old!$E$32</f>
        <v>29619.45</v>
      </c>
      <c r="F47" s="408">
        <f t="shared" si="25"/>
        <v>116</v>
      </c>
      <c r="G47" s="409">
        <f t="shared" si="21"/>
        <v>3.931743575751323E-3</v>
      </c>
      <c r="H47" s="408">
        <f t="shared" si="22"/>
        <v>6763.6000000000022</v>
      </c>
      <c r="I47" s="409">
        <f t="shared" si="23"/>
        <v>0.29592423821472424</v>
      </c>
      <c r="J47" s="388">
        <f t="shared" si="19"/>
        <v>-3.3606453879952869E-2</v>
      </c>
      <c r="K47" s="385"/>
      <c r="L47" s="382">
        <v>1156.8599999999999</v>
      </c>
      <c r="M47" s="415">
        <f t="shared" si="26"/>
        <v>1.0411025905287419E-2</v>
      </c>
      <c r="N47" s="415">
        <f t="shared" si="4"/>
        <v>0.24382848787201095</v>
      </c>
      <c r="O47" s="416" t="str">
        <f t="shared" si="5"/>
        <v>No</v>
      </c>
      <c r="P47" s="417">
        <f t="shared" si="15"/>
        <v>0</v>
      </c>
      <c r="Q47" s="415">
        <f>SUM($P$4:P47)/COUNT($P$4:P47)</f>
        <v>0.56818181818181823</v>
      </c>
      <c r="R47" s="388">
        <f t="shared" si="20"/>
        <v>4.3645352193995235E-2</v>
      </c>
      <c r="S47" s="382">
        <v>10595.55</v>
      </c>
      <c r="T47" s="415">
        <f t="shared" si="27"/>
        <v>1.0988367259010534E-3</v>
      </c>
      <c r="U47" s="415">
        <f t="shared" si="17"/>
        <v>0.23452697758742014</v>
      </c>
      <c r="V47" s="416" t="str">
        <f t="shared" si="18"/>
        <v>Yes</v>
      </c>
      <c r="W47" s="417">
        <f t="shared" si="16"/>
        <v>1</v>
      </c>
      <c r="X47" s="415">
        <f>SUM($W$4:W47)/COUNT($W$4:W47)</f>
        <v>0.54545454545454541</v>
      </c>
      <c r="Z47" s="389">
        <v>2047.63</v>
      </c>
      <c r="AA47" s="390">
        <f t="shared" si="28"/>
        <v>8.7741770206226644E-3</v>
      </c>
      <c r="AB47" s="390">
        <f t="shared" si="29"/>
        <v>0.36247072287873938</v>
      </c>
    </row>
    <row r="48" spans="1:28">
      <c r="A48" s="403">
        <f t="shared" si="8"/>
        <v>46</v>
      </c>
      <c r="B48" s="422">
        <f t="shared" si="24"/>
        <v>38058</v>
      </c>
      <c r="C48" s="385"/>
      <c r="D48" s="411">
        <v>29016.49</v>
      </c>
      <c r="E48" s="408">
        <f>D48+Holdings_Old!$E$32</f>
        <v>29016.49</v>
      </c>
      <c r="F48" s="408">
        <f t="shared" si="25"/>
        <v>-602.95999999999913</v>
      </c>
      <c r="G48" s="409">
        <f t="shared" si="21"/>
        <v>-2.0356893865348558E-2</v>
      </c>
      <c r="H48" s="408">
        <f t="shared" si="22"/>
        <v>6160.6400000000031</v>
      </c>
      <c r="I48" s="409">
        <f t="shared" si="23"/>
        <v>0.26954324603985436</v>
      </c>
      <c r="J48" s="388">
        <f t="shared" si="19"/>
        <v>-5.3279224730476527E-2</v>
      </c>
      <c r="K48" s="385"/>
      <c r="L48" s="382">
        <v>1120.57</v>
      </c>
      <c r="M48" s="415">
        <f t="shared" si="26"/>
        <v>-3.136939646975434E-2</v>
      </c>
      <c r="N48" s="415">
        <f t="shared" si="4"/>
        <v>0.20481033889557865</v>
      </c>
      <c r="O48" s="416" t="str">
        <f t="shared" si="5"/>
        <v>Yes</v>
      </c>
      <c r="P48" s="417">
        <f t="shared" si="15"/>
        <v>1</v>
      </c>
      <c r="Q48" s="415">
        <f>SUM($P$4:P48)/COUNT($P$4:P48)</f>
        <v>0.57777777777777772</v>
      </c>
      <c r="R48" s="388">
        <f t="shared" si="20"/>
        <v>1.0906827367205496E-2</v>
      </c>
      <c r="S48" s="382">
        <v>10240.08</v>
      </c>
      <c r="T48" s="415">
        <f t="shared" si="27"/>
        <v>-3.3548989906139748E-2</v>
      </c>
      <c r="U48" s="415">
        <f t="shared" si="17"/>
        <v>0.19310984447748258</v>
      </c>
      <c r="V48" s="416" t="str">
        <f t="shared" si="18"/>
        <v>Yes</v>
      </c>
      <c r="W48" s="417">
        <f t="shared" si="16"/>
        <v>1</v>
      </c>
      <c r="X48" s="415">
        <f>SUM($W$4:W48)/COUNT($W$4:W48)</f>
        <v>0.55555555555555558</v>
      </c>
      <c r="Z48" s="389">
        <v>1984.73</v>
      </c>
      <c r="AA48" s="390">
        <f t="shared" si="28"/>
        <v>-3.0718440343226128E-2</v>
      </c>
      <c r="AB48" s="390">
        <f t="shared" si="29"/>
        <v>0.32061774725859671</v>
      </c>
    </row>
    <row r="49" spans="1:28">
      <c r="A49" s="403">
        <f t="shared" si="8"/>
        <v>47</v>
      </c>
      <c r="B49" s="422">
        <f t="shared" si="24"/>
        <v>38065</v>
      </c>
      <c r="C49" s="385"/>
      <c r="D49" s="411">
        <v>28837.81</v>
      </c>
      <c r="E49" s="408">
        <f>D49+Holdings_Old!$E$32</f>
        <v>28837.81</v>
      </c>
      <c r="F49" s="408">
        <f t="shared" si="25"/>
        <v>-178.68000000000029</v>
      </c>
      <c r="G49" s="409">
        <f t="shared" si="21"/>
        <v>-6.1578778136156531E-3</v>
      </c>
      <c r="H49" s="408">
        <f t="shared" si="22"/>
        <v>5981.9600000000028</v>
      </c>
      <c r="I49" s="409">
        <f t="shared" si="23"/>
        <v>0.26172555385163987</v>
      </c>
      <c r="J49" s="388">
        <f t="shared" si="19"/>
        <v>-5.9109015588197811E-2</v>
      </c>
      <c r="K49" s="385"/>
      <c r="L49" s="382">
        <v>1109.74</v>
      </c>
      <c r="M49" s="415">
        <f t="shared" si="26"/>
        <v>-9.6647242028610192E-3</v>
      </c>
      <c r="N49" s="415">
        <f t="shared" si="4"/>
        <v>0.19316617925339741</v>
      </c>
      <c r="O49" s="416" t="str">
        <f t="shared" si="5"/>
        <v>Yes</v>
      </c>
      <c r="P49" s="417">
        <f t="shared" si="15"/>
        <v>1</v>
      </c>
      <c r="Q49" s="415">
        <f>SUM($P$4:P49)/COUNT($P$4:P49)</f>
        <v>0.58695652173913049</v>
      </c>
      <c r="R49" s="388">
        <f t="shared" si="20"/>
        <v>1.1366916859121279E-3</v>
      </c>
      <c r="S49" s="382">
        <v>10186.6</v>
      </c>
      <c r="T49" s="415">
        <f t="shared" si="27"/>
        <v>-5.2226154483168141E-3</v>
      </c>
      <c r="U49" s="415">
        <f t="shared" si="17"/>
        <v>0.18687869057217554</v>
      </c>
      <c r="V49" s="416" t="str">
        <f t="shared" si="18"/>
        <v>No</v>
      </c>
      <c r="W49" s="417">
        <f t="shared" si="16"/>
        <v>0</v>
      </c>
      <c r="X49" s="415">
        <f>SUM($W$4:W49)/COUNT($W$4:W49)</f>
        <v>0.54347826086956519</v>
      </c>
      <c r="Z49" s="389">
        <v>1940.47</v>
      </c>
      <c r="AA49" s="390">
        <f t="shared" si="28"/>
        <v>-2.2300262504219681E-2</v>
      </c>
      <c r="AB49" s="390">
        <f t="shared" si="29"/>
        <v>0.29116762482699876</v>
      </c>
    </row>
    <row r="50" spans="1:28">
      <c r="A50" s="403">
        <f t="shared" si="8"/>
        <v>48</v>
      </c>
      <c r="B50" s="422">
        <f t="shared" si="24"/>
        <v>38072</v>
      </c>
      <c r="C50" s="385"/>
      <c r="D50" s="411">
        <v>28946.799999999999</v>
      </c>
      <c r="E50" s="408">
        <f>D50+Holdings_Old!$E$32</f>
        <v>28946.799999999999</v>
      </c>
      <c r="F50" s="408">
        <f t="shared" si="25"/>
        <v>108.98999999999796</v>
      </c>
      <c r="G50" s="409">
        <f t="shared" si="21"/>
        <v>3.7794132078683429E-3</v>
      </c>
      <c r="H50" s="408">
        <f t="shared" si="22"/>
        <v>6090.9500000000007</v>
      </c>
      <c r="I50" s="409">
        <f t="shared" si="23"/>
        <v>0.26649413607457184</v>
      </c>
      <c r="J50" s="388">
        <f t="shared" si="19"/>
        <v>-5.5552999774547529E-2</v>
      </c>
      <c r="K50" s="385"/>
      <c r="L50" s="382">
        <v>1108.06</v>
      </c>
      <c r="M50" s="415">
        <f t="shared" si="26"/>
        <v>-1.5138681132518261E-3</v>
      </c>
      <c r="N50" s="415">
        <f t="shared" si="4"/>
        <v>0.19135988302081541</v>
      </c>
      <c r="O50" s="416" t="str">
        <f t="shared" si="5"/>
        <v>Yes</v>
      </c>
      <c r="P50" s="417">
        <f t="shared" si="15"/>
        <v>1</v>
      </c>
      <c r="Q50" s="415">
        <f>SUM($P$4:P50)/COUNT($P$4:P50)</f>
        <v>0.5957446808510638</v>
      </c>
      <c r="R50" s="388">
        <f t="shared" si="20"/>
        <v>-3.7889722863748698E-4</v>
      </c>
      <c r="S50" s="382">
        <v>10212.969999999999</v>
      </c>
      <c r="T50" s="415">
        <f t="shared" si="27"/>
        <v>2.5886949521920499E-3</v>
      </c>
      <c r="U50" s="415">
        <f t="shared" si="17"/>
        <v>0.18995115744732405</v>
      </c>
      <c r="V50" s="416" t="str">
        <f t="shared" si="18"/>
        <v>Yes</v>
      </c>
      <c r="W50" s="417">
        <f t="shared" si="16"/>
        <v>1</v>
      </c>
      <c r="X50" s="415">
        <f>SUM($W$4:W50)/COUNT($W$4:W50)</f>
        <v>0.55319148936170215</v>
      </c>
      <c r="Z50" s="389">
        <v>1960.02</v>
      </c>
      <c r="AA50" s="390">
        <f t="shared" si="28"/>
        <v>1.0074878766484385E-2</v>
      </c>
      <c r="AB50" s="390">
        <f t="shared" si="29"/>
        <v>0.30417598211434038</v>
      </c>
    </row>
    <row r="51" spans="1:28">
      <c r="A51" s="403">
        <f t="shared" si="8"/>
        <v>49</v>
      </c>
      <c r="B51" s="422">
        <f t="shared" si="24"/>
        <v>38079</v>
      </c>
      <c r="C51" s="385"/>
      <c r="D51" s="411">
        <v>29704.21</v>
      </c>
      <c r="E51" s="408">
        <f>D51+Holdings_Old!$E$32</f>
        <v>29704.21</v>
      </c>
      <c r="F51" s="408">
        <f t="shared" si="25"/>
        <v>757.40999999999985</v>
      </c>
      <c r="G51" s="409">
        <f t="shared" si="21"/>
        <v>2.61655865242445E-2</v>
      </c>
      <c r="H51" s="408">
        <f t="shared" si="22"/>
        <v>6848.3600000000006</v>
      </c>
      <c r="I51" s="409">
        <f t="shared" si="23"/>
        <v>0.29963269797447922</v>
      </c>
      <c r="J51" s="388">
        <f t="shared" si="19"/>
        <v>-3.0840990072585339E-2</v>
      </c>
      <c r="K51" s="385"/>
      <c r="L51" s="382">
        <v>1141.8399999999999</v>
      </c>
      <c r="M51" s="415">
        <f t="shared" si="26"/>
        <v>3.0485713770012524E-2</v>
      </c>
      <c r="N51" s="415">
        <f t="shared" si="4"/>
        <v>0.22767933941166341</v>
      </c>
      <c r="O51" s="416" t="str">
        <f t="shared" si="5"/>
        <v>No</v>
      </c>
      <c r="P51" s="417">
        <f t="shared" si="15"/>
        <v>0</v>
      </c>
      <c r="Q51" s="415">
        <f>SUM($P$4:P51)/COUNT($P$4:P51)</f>
        <v>0.58333333333333337</v>
      </c>
      <c r="R51" s="388">
        <f t="shared" si="20"/>
        <v>3.0095265588914399E-2</v>
      </c>
      <c r="S51" s="382">
        <v>10470.59</v>
      </c>
      <c r="T51" s="415">
        <f t="shared" si="27"/>
        <v>2.5224787696429329E-2</v>
      </c>
      <c r="U51" s="415">
        <f t="shared" si="17"/>
        <v>0.21996742276305303</v>
      </c>
      <c r="V51" s="416" t="str">
        <f t="shared" si="18"/>
        <v>Yes</v>
      </c>
      <c r="W51" s="417">
        <f t="shared" si="16"/>
        <v>1</v>
      </c>
      <c r="X51" s="415">
        <f>SUM($W$4:W51)/COUNT($W$4:W51)</f>
        <v>0.5625</v>
      </c>
      <c r="Z51" s="389">
        <v>2057.17</v>
      </c>
      <c r="AA51" s="390">
        <f t="shared" si="28"/>
        <v>4.9565820756931167E-2</v>
      </c>
      <c r="AB51" s="390">
        <f t="shared" si="29"/>
        <v>0.36881853507931428</v>
      </c>
    </row>
    <row r="52" spans="1:28">
      <c r="A52" s="403">
        <f t="shared" si="8"/>
        <v>50</v>
      </c>
      <c r="B52" s="422">
        <f t="shared" si="24"/>
        <v>38086</v>
      </c>
      <c r="C52" s="385"/>
      <c r="D52" s="411">
        <v>29609.72</v>
      </c>
      <c r="E52" s="408">
        <f>D52+Holdings_Old!$E$32</f>
        <v>29609.72</v>
      </c>
      <c r="F52" s="408">
        <f t="shared" si="25"/>
        <v>-94.489999999997963</v>
      </c>
      <c r="G52" s="409">
        <f t="shared" si="21"/>
        <v>-3.1810305677207884E-3</v>
      </c>
      <c r="H52" s="408">
        <f t="shared" si="22"/>
        <v>6753.8700000000026</v>
      </c>
      <c r="I52" s="409">
        <f t="shared" si="23"/>
        <v>0.29549852663541287</v>
      </c>
      <c r="J52" s="388">
        <f t="shared" si="19"/>
        <v>-3.3923914508146469E-2</v>
      </c>
      <c r="K52" s="385"/>
      <c r="L52" s="382">
        <v>1139.32</v>
      </c>
      <c r="M52" s="415">
        <f t="shared" si="26"/>
        <v>-2.2069641981363741E-3</v>
      </c>
      <c r="N52" s="415">
        <f t="shared" si="4"/>
        <v>0.22496989506279008</v>
      </c>
      <c r="O52" s="416" t="str">
        <f t="shared" si="5"/>
        <v>No</v>
      </c>
      <c r="P52" s="417">
        <f t="shared" si="15"/>
        <v>0</v>
      </c>
      <c r="Q52" s="415">
        <f>SUM($P$4:P52)/COUNT($P$4:P52)</f>
        <v>0.5714285714285714</v>
      </c>
      <c r="R52" s="388">
        <f t="shared" si="20"/>
        <v>2.7821882217089922E-2</v>
      </c>
      <c r="S52" s="382">
        <v>10442.030000000001</v>
      </c>
      <c r="T52" s="415">
        <f t="shared" si="27"/>
        <v>-2.7276399897235848E-3</v>
      </c>
      <c r="U52" s="415">
        <f t="shared" si="17"/>
        <v>0.21663979083456453</v>
      </c>
      <c r="V52" s="416" t="str">
        <f t="shared" si="18"/>
        <v>No</v>
      </c>
      <c r="W52" s="417">
        <f t="shared" si="16"/>
        <v>0</v>
      </c>
      <c r="X52" s="415">
        <f>SUM($W$4:W52)/COUNT($W$4:W52)</f>
        <v>0.55102040816326525</v>
      </c>
      <c r="Z52" s="389">
        <v>2052.88</v>
      </c>
      <c r="AA52" s="390">
        <f t="shared" si="28"/>
        <v>-2.0853891511153355E-3</v>
      </c>
      <c r="AB52" s="390">
        <f t="shared" si="29"/>
        <v>0.36596401575641435</v>
      </c>
    </row>
    <row r="53" spans="1:28">
      <c r="A53" s="403">
        <f t="shared" si="8"/>
        <v>51</v>
      </c>
      <c r="B53" s="422">
        <f t="shared" si="24"/>
        <v>38093</v>
      </c>
      <c r="C53" s="385"/>
      <c r="D53" s="411">
        <v>29251.01</v>
      </c>
      <c r="E53" s="408">
        <f>D53+Holdings_Old!$E$32</f>
        <v>29251.01</v>
      </c>
      <c r="F53" s="408">
        <f t="shared" si="25"/>
        <v>-358.71000000000276</v>
      </c>
      <c r="G53" s="409">
        <f t="shared" si="21"/>
        <v>-1.2114602907423722E-2</v>
      </c>
      <c r="H53" s="408">
        <f t="shared" si="22"/>
        <v>6395.16</v>
      </c>
      <c r="I53" s="409">
        <f t="shared" si="23"/>
        <v>0.27980407641807248</v>
      </c>
      <c r="J53" s="388">
        <f t="shared" si="19"/>
        <v>-4.5627542662238674E-2</v>
      </c>
      <c r="K53" s="385"/>
      <c r="L53" s="382">
        <v>1134.6099999999999</v>
      </c>
      <c r="M53" s="415">
        <f t="shared" si="26"/>
        <v>-4.1340448688691467E-3</v>
      </c>
      <c r="N53" s="415">
        <f t="shared" si="4"/>
        <v>0.2199058145535866</v>
      </c>
      <c r="O53" s="416" t="str">
        <f t="shared" si="5"/>
        <v>No</v>
      </c>
      <c r="P53" s="417">
        <f t="shared" si="15"/>
        <v>0</v>
      </c>
      <c r="Q53" s="415">
        <f>SUM($P$4:P53)/COUNT($P$4:P53)</f>
        <v>0.56000000000000005</v>
      </c>
      <c r="R53" s="388">
        <f t="shared" si="20"/>
        <v>2.3572820438799047E-2</v>
      </c>
      <c r="S53" s="382">
        <v>10451.969999999999</v>
      </c>
      <c r="T53" s="415">
        <f t="shared" si="27"/>
        <v>9.5192218371309423E-4</v>
      </c>
      <c r="U53" s="415">
        <f t="shared" si="17"/>
        <v>0.21779793724104812</v>
      </c>
      <c r="V53" s="416" t="str">
        <f t="shared" si="18"/>
        <v>No</v>
      </c>
      <c r="W53" s="417">
        <f t="shared" si="16"/>
        <v>0</v>
      </c>
      <c r="X53" s="415">
        <f>SUM($W$4:W53)/COUNT($W$4:W53)</f>
        <v>0.54</v>
      </c>
      <c r="Z53" s="389">
        <v>1995.74</v>
      </c>
      <c r="AA53" s="390">
        <f t="shared" si="28"/>
        <v>-2.7834067261603312E-2</v>
      </c>
      <c r="AB53" s="390">
        <f t="shared" si="29"/>
        <v>0.32794368146492059</v>
      </c>
    </row>
    <row r="54" spans="1:28">
      <c r="A54" s="403">
        <f t="shared" si="8"/>
        <v>52</v>
      </c>
      <c r="B54" s="422">
        <f t="shared" si="24"/>
        <v>38100</v>
      </c>
      <c r="C54" s="385"/>
      <c r="D54" s="411">
        <v>29508.45</v>
      </c>
      <c r="E54" s="408">
        <f>D54+Holdings_Old!$E$32</f>
        <v>29508.45</v>
      </c>
      <c r="F54" s="408">
        <f t="shared" si="25"/>
        <v>257.44000000000233</v>
      </c>
      <c r="G54" s="409">
        <f t="shared" si="21"/>
        <v>8.8010636213928795E-3</v>
      </c>
      <c r="H54" s="408">
        <f t="shared" si="22"/>
        <v>6652.6000000000022</v>
      </c>
      <c r="I54" s="409">
        <f t="shared" si="23"/>
        <v>0.2910677135175459</v>
      </c>
      <c r="J54" s="388">
        <f t="shared" si="19"/>
        <v>-3.7228049946703812E-2</v>
      </c>
      <c r="K54" s="385"/>
      <c r="L54" s="382">
        <v>1140.5999999999999</v>
      </c>
      <c r="M54" s="415">
        <f t="shared" si="26"/>
        <v>5.2793470884269222E-3</v>
      </c>
      <c r="N54" s="415">
        <f t="shared" si="4"/>
        <v>0.22634612076380511</v>
      </c>
      <c r="O54" s="416" t="str">
        <f t="shared" si="5"/>
        <v>Yes</v>
      </c>
      <c r="P54" s="417">
        <f t="shared" si="15"/>
        <v>1</v>
      </c>
      <c r="Q54" s="415">
        <f>SUM($P$4:P54)/COUNT($P$4:P54)</f>
        <v>0.56862745098039214</v>
      </c>
      <c r="R54" s="388">
        <f t="shared" si="20"/>
        <v>2.8976616628175522E-2</v>
      </c>
      <c r="S54" s="382">
        <v>10472.84</v>
      </c>
      <c r="T54" s="415">
        <f t="shared" si="27"/>
        <v>1.9967527652682282E-3</v>
      </c>
      <c r="U54" s="415">
        <f t="shared" si="17"/>
        <v>0.22022957863977211</v>
      </c>
      <c r="V54" s="416" t="str">
        <f t="shared" si="18"/>
        <v>Yes</v>
      </c>
      <c r="W54" s="417">
        <f t="shared" si="16"/>
        <v>1</v>
      </c>
      <c r="X54" s="415">
        <f>SUM($W$4:W54)/COUNT($W$4:W54)</f>
        <v>0.5490196078431373</v>
      </c>
      <c r="Z54" s="389">
        <v>2049.77</v>
      </c>
      <c r="AA54" s="390">
        <f t="shared" si="28"/>
        <v>2.7072664775972699E-2</v>
      </c>
      <c r="AB54" s="390">
        <f t="shared" si="29"/>
        <v>0.36389465559459166</v>
      </c>
    </row>
    <row r="55" spans="1:28">
      <c r="A55" s="403">
        <f t="shared" si="8"/>
        <v>53</v>
      </c>
      <c r="B55" s="422">
        <f t="shared" si="24"/>
        <v>38107</v>
      </c>
      <c r="C55" s="385"/>
      <c r="D55" s="411">
        <v>28705</v>
      </c>
      <c r="E55" s="408">
        <f>D55+Holdings_Old!$E$32</f>
        <v>28705</v>
      </c>
      <c r="F55" s="408">
        <f t="shared" si="25"/>
        <v>-803.45000000000073</v>
      </c>
      <c r="G55" s="409">
        <f t="shared" si="21"/>
        <v>-2.7227794072545386E-2</v>
      </c>
      <c r="H55" s="408">
        <f t="shared" si="22"/>
        <v>5849.1500000000015</v>
      </c>
      <c r="I55" s="409">
        <f t="shared" si="23"/>
        <v>0.25591478768017817</v>
      </c>
      <c r="J55" s="388">
        <f t="shared" si="19"/>
        <v>-6.3442206341577934E-2</v>
      </c>
      <c r="K55" s="385"/>
      <c r="L55" s="382">
        <v>1107.3</v>
      </c>
      <c r="M55" s="415">
        <f t="shared" si="26"/>
        <v>-2.9195160441872647E-2</v>
      </c>
      <c r="N55" s="415">
        <f t="shared" si="4"/>
        <v>0.19054274901083779</v>
      </c>
      <c r="O55" s="416" t="str">
        <f t="shared" si="5"/>
        <v>Yes</v>
      </c>
      <c r="P55" s="417">
        <f t="shared" si="15"/>
        <v>1</v>
      </c>
      <c r="Q55" s="415">
        <f>SUM($P$4:P55)/COUNT($P$4:P55)</f>
        <v>0.57692307692307687</v>
      </c>
      <c r="R55" s="388">
        <f t="shared" si="20"/>
        <v>-1.0645207852194583E-3</v>
      </c>
      <c r="S55" s="382">
        <v>10225.57</v>
      </c>
      <c r="T55" s="415">
        <f t="shared" si="27"/>
        <v>-2.3610596552606555E-2</v>
      </c>
      <c r="U55" s="415">
        <f t="shared" si="17"/>
        <v>0.1914192303569513</v>
      </c>
      <c r="V55" s="416" t="str">
        <f t="shared" si="18"/>
        <v>No</v>
      </c>
      <c r="W55" s="417">
        <f t="shared" si="16"/>
        <v>0</v>
      </c>
      <c r="X55" s="415">
        <f>SUM($W$4:W55)/COUNT($W$4:W55)</f>
        <v>0.53846153846153844</v>
      </c>
      <c r="Z55" s="389">
        <v>1920.15</v>
      </c>
      <c r="AA55" s="390">
        <f t="shared" si="28"/>
        <v>-6.3236363104153148E-2</v>
      </c>
      <c r="AB55" s="390">
        <f t="shared" si="29"/>
        <v>0.27764691791759821</v>
      </c>
    </row>
    <row r="56" spans="1:28">
      <c r="A56" s="403">
        <f t="shared" si="8"/>
        <v>54</v>
      </c>
      <c r="B56" s="422">
        <f t="shared" si="24"/>
        <v>38114</v>
      </c>
      <c r="C56" s="385"/>
      <c r="D56" s="411">
        <v>28710.05</v>
      </c>
      <c r="E56" s="408">
        <f>D56+Holdings_Old!$E$32</f>
        <v>28710.05</v>
      </c>
      <c r="F56" s="408">
        <f t="shared" si="25"/>
        <v>5.0499999999992724</v>
      </c>
      <c r="G56" s="409">
        <f t="shared" si="21"/>
        <v>1.7592753875628198E-4</v>
      </c>
      <c r="H56" s="408">
        <f t="shared" si="22"/>
        <v>5854.2000000000007</v>
      </c>
      <c r="I56" s="409">
        <f t="shared" si="23"/>
        <v>0.25613573767766251</v>
      </c>
      <c r="J56" s="388">
        <f t="shared" si="19"/>
        <v>-6.3277440034036569E-2</v>
      </c>
      <c r="K56" s="385"/>
      <c r="L56" s="382">
        <v>1098.7</v>
      </c>
      <c r="M56" s="415">
        <f t="shared" si="26"/>
        <v>-7.7666395737377991E-3</v>
      </c>
      <c r="N56" s="415">
        <f t="shared" si="4"/>
        <v>0.18129623258214345</v>
      </c>
      <c r="O56" s="416" t="str">
        <f t="shared" si="5"/>
        <v>Yes</v>
      </c>
      <c r="P56" s="417">
        <f t="shared" si="15"/>
        <v>1</v>
      </c>
      <c r="Q56" s="415">
        <f>SUM($P$4:P56)/COUNT($P$4:P56)</f>
        <v>0.58490566037735847</v>
      </c>
      <c r="R56" s="388">
        <f t="shared" si="20"/>
        <v>-8.8228926096997062E-3</v>
      </c>
      <c r="S56" s="382">
        <v>10117.34</v>
      </c>
      <c r="T56" s="415">
        <f t="shared" si="27"/>
        <v>-1.058425104908578E-2</v>
      </c>
      <c r="U56" s="415">
        <f t="shared" si="17"/>
        <v>0.1788089501181449</v>
      </c>
      <c r="V56" s="416" t="str">
        <f t="shared" si="18"/>
        <v>Yes</v>
      </c>
      <c r="W56" s="417">
        <f t="shared" si="16"/>
        <v>1</v>
      </c>
      <c r="X56" s="415">
        <f>SUM($W$4:W56)/COUNT($W$4:W56)</f>
        <v>0.54716981132075471</v>
      </c>
      <c r="Z56" s="389">
        <v>1917.96</v>
      </c>
      <c r="AA56" s="390">
        <f t="shared" si="28"/>
        <v>-1.1405358956332323E-3</v>
      </c>
      <c r="AB56" s="390">
        <f t="shared" si="29"/>
        <v>0.27618971574576801</v>
      </c>
    </row>
    <row r="57" spans="1:28">
      <c r="A57" s="403">
        <f t="shared" si="8"/>
        <v>55</v>
      </c>
      <c r="B57" s="422">
        <f t="shared" si="24"/>
        <v>38121</v>
      </c>
      <c r="C57" s="385"/>
      <c r="D57" s="411">
        <v>28328.43</v>
      </c>
      <c r="E57" s="408">
        <f>D57+Holdings_Old!$E$32</f>
        <v>28328.43</v>
      </c>
      <c r="F57" s="408">
        <f t="shared" si="25"/>
        <v>-381.61999999999898</v>
      </c>
      <c r="G57" s="409">
        <f t="shared" si="21"/>
        <v>-1.3292209522449472E-2</v>
      </c>
      <c r="H57" s="408">
        <f t="shared" si="22"/>
        <v>5472.5800000000017</v>
      </c>
      <c r="I57" s="409">
        <f t="shared" si="23"/>
        <v>0.23943891826381436</v>
      </c>
      <c r="J57" s="388">
        <f t="shared" si="19"/>
        <v>-7.5728552565509366E-2</v>
      </c>
      <c r="K57" s="385"/>
      <c r="L57" s="382">
        <v>1095.7</v>
      </c>
      <c r="M57" s="415">
        <f t="shared" si="26"/>
        <v>-2.7304996814416782E-3</v>
      </c>
      <c r="N57" s="415">
        <f t="shared" si="4"/>
        <v>0.17807070359538968</v>
      </c>
      <c r="O57" s="416" t="str">
        <f t="shared" si="5"/>
        <v>No</v>
      </c>
      <c r="P57" s="417">
        <f t="shared" si="15"/>
        <v>0</v>
      </c>
      <c r="Q57" s="415">
        <f>SUM($P$4:P57)/COUNT($P$4:P57)</f>
        <v>0.57407407407407407</v>
      </c>
      <c r="R57" s="388">
        <f t="shared" si="20"/>
        <v>-1.1529301385681312E-2</v>
      </c>
      <c r="S57" s="382">
        <v>10012.870000000001</v>
      </c>
      <c r="T57" s="415">
        <f t="shared" si="27"/>
        <v>-1.0325836632948948E-2</v>
      </c>
      <c r="U57" s="415">
        <f t="shared" si="17"/>
        <v>0.16663676147776685</v>
      </c>
      <c r="V57" s="416" t="str">
        <f t="shared" si="18"/>
        <v>No</v>
      </c>
      <c r="W57" s="417">
        <f t="shared" si="16"/>
        <v>0</v>
      </c>
      <c r="X57" s="415">
        <f>SUM($W$4:W57)/COUNT($W$4:W57)</f>
        <v>0.53703703703703709</v>
      </c>
      <c r="Z57" s="389">
        <v>1904.25</v>
      </c>
      <c r="AA57" s="390">
        <f t="shared" si="28"/>
        <v>-7.1482199837327176E-3</v>
      </c>
      <c r="AB57" s="390">
        <f t="shared" si="29"/>
        <v>0.26706723091663997</v>
      </c>
    </row>
    <row r="58" spans="1:28">
      <c r="A58" s="403">
        <f t="shared" si="8"/>
        <v>56</v>
      </c>
      <c r="B58" s="422">
        <f t="shared" si="24"/>
        <v>38128</v>
      </c>
      <c r="C58" s="385"/>
      <c r="D58" s="411">
        <v>28432.74</v>
      </c>
      <c r="E58" s="408">
        <f>D58+Holdings_Old!$E$32</f>
        <v>28432.74</v>
      </c>
      <c r="F58" s="408">
        <f t="shared" si="25"/>
        <v>104.31000000000131</v>
      </c>
      <c r="G58" s="409">
        <f t="shared" si="21"/>
        <v>3.6821666431920974E-3</v>
      </c>
      <c r="H58" s="408">
        <f t="shared" si="22"/>
        <v>5576.8900000000031</v>
      </c>
      <c r="I58" s="409">
        <f t="shared" si="23"/>
        <v>0.24400273890491952</v>
      </c>
      <c r="J58" s="388">
        <f t="shared" si="19"/>
        <v>-7.2325231072511209E-2</v>
      </c>
      <c r="K58" s="385"/>
      <c r="L58" s="382">
        <v>1093.56</v>
      </c>
      <c r="M58" s="415">
        <f t="shared" si="26"/>
        <v>-1.9530893492745172E-3</v>
      </c>
      <c r="N58" s="415">
        <f t="shared" si="4"/>
        <v>0.17576982625150506</v>
      </c>
      <c r="O58" s="416" t="str">
        <f t="shared" si="5"/>
        <v>Yes</v>
      </c>
      <c r="P58" s="417">
        <f t="shared" si="15"/>
        <v>1</v>
      </c>
      <c r="Q58" s="415">
        <f>SUM($P$4:P58)/COUNT($P$4:P58)</f>
        <v>0.58181818181818179</v>
      </c>
      <c r="R58" s="388">
        <f t="shared" si="20"/>
        <v>-1.3459872979214804E-2</v>
      </c>
      <c r="S58" s="382">
        <v>9966.74</v>
      </c>
      <c r="T58" s="415">
        <f t="shared" si="27"/>
        <v>-4.6070707000092082E-3</v>
      </c>
      <c r="U58" s="415">
        <f t="shared" si="17"/>
        <v>0.16126198343640907</v>
      </c>
      <c r="V58" s="416" t="str">
        <f t="shared" si="18"/>
        <v>Yes</v>
      </c>
      <c r="W58" s="417">
        <f t="shared" si="16"/>
        <v>1</v>
      </c>
      <c r="X58" s="415">
        <f>SUM($W$4:W58)/COUNT($W$4:W58)</f>
        <v>0.54545454545454541</v>
      </c>
      <c r="Z58" s="389">
        <v>1912.09</v>
      </c>
      <c r="AA58" s="390">
        <f t="shared" si="28"/>
        <v>4.1171064723644069E-3</v>
      </c>
      <c r="AB58" s="390">
        <f t="shared" si="29"/>
        <v>0.27228388161396766</v>
      </c>
    </row>
    <row r="59" spans="1:28">
      <c r="A59" s="403">
        <f t="shared" si="8"/>
        <v>57</v>
      </c>
      <c r="B59" s="422">
        <f t="shared" si="24"/>
        <v>38135</v>
      </c>
      <c r="C59" s="385"/>
      <c r="D59" s="411">
        <v>29146.29</v>
      </c>
      <c r="E59" s="408">
        <f>D59+Holdings_Old!$E$32</f>
        <v>29146.29</v>
      </c>
      <c r="F59" s="408">
        <f t="shared" si="25"/>
        <v>713.54999999999927</v>
      </c>
      <c r="G59" s="409">
        <f t="shared" si="21"/>
        <v>2.5096068827696438E-2</v>
      </c>
      <c r="H59" s="408">
        <f t="shared" si="22"/>
        <v>6290.4400000000023</v>
      </c>
      <c r="I59" s="409">
        <f t="shared" si="23"/>
        <v>0.27522231726232027</v>
      </c>
      <c r="J59" s="388">
        <f t="shared" si="19"/>
        <v>-4.904424122178952E-2</v>
      </c>
      <c r="K59" s="385"/>
      <c r="L59" s="382">
        <v>1120.68</v>
      </c>
      <c r="M59" s="415">
        <f t="shared" si="26"/>
        <v>2.4799736639965042E-2</v>
      </c>
      <c r="N59" s="415">
        <f t="shared" si="4"/>
        <v>0.20492860829175985</v>
      </c>
      <c r="O59" s="416" t="str">
        <f t="shared" si="5"/>
        <v>Yes</v>
      </c>
      <c r="P59" s="417">
        <f t="shared" si="15"/>
        <v>1</v>
      </c>
      <c r="Q59" s="415">
        <f>SUM($P$4:P59)/COUNT($P$4:P59)</f>
        <v>0.5892857142857143</v>
      </c>
      <c r="R59" s="388">
        <f t="shared" si="20"/>
        <v>1.1006062355658264E-2</v>
      </c>
      <c r="S59" s="382">
        <v>10188.450000000001</v>
      </c>
      <c r="T59" s="415">
        <f t="shared" si="27"/>
        <v>2.2244986826184032E-2</v>
      </c>
      <c r="U59" s="415">
        <f t="shared" si="17"/>
        <v>0.18709424095970029</v>
      </c>
      <c r="V59" s="416" t="str">
        <f t="shared" si="18"/>
        <v>Yes</v>
      </c>
      <c r="W59" s="417">
        <f t="shared" si="16"/>
        <v>1</v>
      </c>
      <c r="X59" s="415">
        <f>SUM($W$4:W59)/COUNT($W$4:W59)</f>
        <v>0.5535714285714286</v>
      </c>
      <c r="Z59" s="389">
        <v>1986.74</v>
      </c>
      <c r="AA59" s="390">
        <f t="shared" si="28"/>
        <v>3.9041049322992238E-2</v>
      </c>
      <c r="AB59" s="390">
        <f t="shared" si="29"/>
        <v>0.32195517938890661</v>
      </c>
    </row>
    <row r="60" spans="1:28">
      <c r="A60" s="403">
        <f t="shared" si="8"/>
        <v>58</v>
      </c>
      <c r="B60" s="422">
        <f t="shared" si="24"/>
        <v>38142</v>
      </c>
      <c r="C60" s="385"/>
      <c r="D60" s="411">
        <v>29264.76</v>
      </c>
      <c r="E60" s="408">
        <f>D60+Holdings_Old!$E$32</f>
        <v>29264.76</v>
      </c>
      <c r="F60" s="408">
        <f t="shared" si="25"/>
        <v>118.46999999999753</v>
      </c>
      <c r="G60" s="409">
        <f t="shared" si="21"/>
        <v>4.0646682648115551E-3</v>
      </c>
      <c r="H60" s="408">
        <f t="shared" si="22"/>
        <v>6408.91</v>
      </c>
      <c r="I60" s="409">
        <f t="shared" si="23"/>
        <v>0.28040567294587593</v>
      </c>
      <c r="J60" s="388">
        <f t="shared" si="19"/>
        <v>-4.5178921527843752E-2</v>
      </c>
      <c r="K60" s="385"/>
      <c r="L60" s="382">
        <v>1122.5</v>
      </c>
      <c r="M60" s="415">
        <f t="shared" si="26"/>
        <v>1.6240139915051355E-3</v>
      </c>
      <c r="N60" s="415">
        <f t="shared" si="4"/>
        <v>0.20688542921039055</v>
      </c>
      <c r="O60" s="416" t="str">
        <f t="shared" si="5"/>
        <v>Yes</v>
      </c>
      <c r="P60" s="417">
        <f t="shared" si="15"/>
        <v>1</v>
      </c>
      <c r="Q60" s="415">
        <f>SUM($P$4:P60)/COUNT($P$4:P60)</f>
        <v>0.59649122807017541</v>
      </c>
      <c r="R60" s="388">
        <f t="shared" si="20"/>
        <v>1.26479503464203E-2</v>
      </c>
      <c r="S60" s="382">
        <v>10242.82</v>
      </c>
      <c r="T60" s="415">
        <f t="shared" si="27"/>
        <v>5.3364348845996723E-3</v>
      </c>
      <c r="U60" s="415">
        <f t="shared" si="17"/>
        <v>0.19342909207846493</v>
      </c>
      <c r="V60" s="416" t="str">
        <f t="shared" si="18"/>
        <v>No</v>
      </c>
      <c r="W60" s="417">
        <f t="shared" si="16"/>
        <v>0</v>
      </c>
      <c r="X60" s="415">
        <f>SUM($W$4:W60)/COUNT($W$4:W60)</f>
        <v>0.54385964912280704</v>
      </c>
      <c r="Z60" s="389">
        <v>1978.62</v>
      </c>
      <c r="AA60" s="390">
        <f t="shared" si="28"/>
        <v>-4.0870974561342255E-3</v>
      </c>
      <c r="AB60" s="390">
        <f t="shared" si="29"/>
        <v>0.31655221973810277</v>
      </c>
    </row>
    <row r="61" spans="1:28">
      <c r="A61" s="403">
        <f t="shared" si="8"/>
        <v>59</v>
      </c>
      <c r="B61" s="422">
        <f t="shared" si="24"/>
        <v>38149</v>
      </c>
      <c r="C61" s="385"/>
      <c r="D61" s="411">
        <v>29535.200000000001</v>
      </c>
      <c r="E61" s="408">
        <f>D61+Holdings_Old!$E$32</f>
        <v>29535.200000000001</v>
      </c>
      <c r="F61" s="408">
        <f t="shared" si="25"/>
        <v>270.44000000000233</v>
      </c>
      <c r="G61" s="409">
        <f t="shared" si="21"/>
        <v>9.2411487399863823E-3</v>
      </c>
      <c r="H61" s="408">
        <f t="shared" si="22"/>
        <v>6679.3500000000022</v>
      </c>
      <c r="I61" s="409">
        <f t="shared" si="23"/>
        <v>0.29223809221709107</v>
      </c>
      <c r="J61" s="388">
        <f t="shared" si="19"/>
        <v>-3.635527792160842E-2</v>
      </c>
      <c r="K61" s="385"/>
      <c r="L61" s="382">
        <v>1136.47</v>
      </c>
      <c r="M61" s="415">
        <f t="shared" si="26"/>
        <v>1.2445434298441027E-2</v>
      </c>
      <c r="N61" s="415">
        <f t="shared" si="4"/>
        <v>0.22190564252537404</v>
      </c>
      <c r="O61" s="416" t="str">
        <f t="shared" si="5"/>
        <v>No</v>
      </c>
      <c r="P61" s="417">
        <f t="shared" si="15"/>
        <v>0</v>
      </c>
      <c r="Q61" s="415">
        <f>SUM($P$4:P61)/COUNT($P$4:P61)</f>
        <v>0.58620689655172409</v>
      </c>
      <c r="R61" s="388">
        <f t="shared" si="20"/>
        <v>2.5250793879907585E-2</v>
      </c>
      <c r="S61" s="382">
        <v>10410.1</v>
      </c>
      <c r="T61" s="415">
        <f t="shared" si="27"/>
        <v>1.6331439974538231E-2</v>
      </c>
      <c r="U61" s="415">
        <f t="shared" si="17"/>
        <v>0.21291950765961221</v>
      </c>
      <c r="V61" s="416" t="str">
        <f t="shared" si="18"/>
        <v>No</v>
      </c>
      <c r="W61" s="417">
        <f t="shared" si="16"/>
        <v>0</v>
      </c>
      <c r="X61" s="415">
        <f>SUM($W$4:W61)/COUNT($W$4:W61)</f>
        <v>0.53448275862068961</v>
      </c>
      <c r="Z61" s="389">
        <v>1999.87</v>
      </c>
      <c r="AA61" s="390">
        <f t="shared" si="28"/>
        <v>1.0739808553436259E-2</v>
      </c>
      <c r="AB61" s="390">
        <f t="shared" si="29"/>
        <v>0.33069173852869138</v>
      </c>
    </row>
    <row r="62" spans="1:28">
      <c r="A62" s="403">
        <f t="shared" si="8"/>
        <v>60</v>
      </c>
      <c r="B62" s="422">
        <f t="shared" si="24"/>
        <v>38156</v>
      </c>
      <c r="C62" s="385"/>
      <c r="D62" s="411">
        <v>29479.62</v>
      </c>
      <c r="E62" s="408">
        <f>D62+Holdings_Old!$E$32</f>
        <v>29479.62</v>
      </c>
      <c r="F62" s="408">
        <f t="shared" si="25"/>
        <v>-55.580000000001746</v>
      </c>
      <c r="G62" s="409">
        <f t="shared" si="21"/>
        <v>-1.8818223678864765E-3</v>
      </c>
      <c r="H62" s="408">
        <f t="shared" si="22"/>
        <v>6623.77</v>
      </c>
      <c r="I62" s="409">
        <f t="shared" si="23"/>
        <v>0.289806329670522</v>
      </c>
      <c r="J62" s="388">
        <f t="shared" si="19"/>
        <v>-3.8168686114311345E-2</v>
      </c>
      <c r="K62" s="385"/>
      <c r="L62" s="382">
        <v>1135.02</v>
      </c>
      <c r="M62" s="415">
        <f t="shared" si="26"/>
        <v>-1.2758805775779924E-3</v>
      </c>
      <c r="N62" s="415">
        <f t="shared" si="4"/>
        <v>0.22034663684844302</v>
      </c>
      <c r="O62" s="416" t="str">
        <f t="shared" si="5"/>
        <v>No</v>
      </c>
      <c r="P62" s="417">
        <f t="shared" si="15"/>
        <v>0</v>
      </c>
      <c r="Q62" s="415">
        <f>SUM($P$4:P62)/COUNT($P$4:P62)</f>
        <v>0.57627118644067798</v>
      </c>
      <c r="R62" s="388">
        <f t="shared" si="20"/>
        <v>2.3942696304849909E-2</v>
      </c>
      <c r="S62" s="382">
        <v>10416.41</v>
      </c>
      <c r="T62" s="415">
        <f t="shared" si="27"/>
        <v>6.0614211198739554E-4</v>
      </c>
      <c r="U62" s="415">
        <f t="shared" si="17"/>
        <v>0.21365470925165564</v>
      </c>
      <c r="V62" s="416" t="str">
        <f t="shared" si="18"/>
        <v>No</v>
      </c>
      <c r="W62" s="417">
        <f t="shared" si="16"/>
        <v>0</v>
      </c>
      <c r="X62" s="415">
        <f>SUM($W$4:W62)/COUNT($W$4:W62)</f>
        <v>0.52542372881355937</v>
      </c>
      <c r="Z62" s="389">
        <v>1986.73</v>
      </c>
      <c r="AA62" s="390">
        <f t="shared" si="28"/>
        <v>-6.5704270777600104E-3</v>
      </c>
      <c r="AB62" s="390">
        <f t="shared" si="29"/>
        <v>0.32194852549771102</v>
      </c>
    </row>
    <row r="63" spans="1:28">
      <c r="A63" s="403">
        <f t="shared" si="8"/>
        <v>61</v>
      </c>
      <c r="B63" s="422">
        <f t="shared" si="24"/>
        <v>38163</v>
      </c>
      <c r="C63" s="385"/>
      <c r="D63" s="411">
        <v>29886.83</v>
      </c>
      <c r="E63" s="408">
        <f>D63+Holdings_Old!$E$32</f>
        <v>29886.83</v>
      </c>
      <c r="F63" s="408">
        <f t="shared" si="25"/>
        <v>407.21000000000276</v>
      </c>
      <c r="G63" s="409">
        <f t="shared" si="21"/>
        <v>1.3813271677179051E-2</v>
      </c>
      <c r="H63" s="408">
        <f t="shared" si="22"/>
        <v>7030.9800000000032</v>
      </c>
      <c r="I63" s="409">
        <f t="shared" si="23"/>
        <v>0.30762277491320611</v>
      </c>
      <c r="J63" s="388">
        <f t="shared" si="19"/>
        <v>-2.4882648867990187E-2</v>
      </c>
      <c r="K63" s="385"/>
      <c r="L63" s="382">
        <v>1134.43</v>
      </c>
      <c r="M63" s="415">
        <f t="shared" si="26"/>
        <v>-5.198146288170058E-4</v>
      </c>
      <c r="N63" s="415">
        <f t="shared" si="4"/>
        <v>0.2197122828143816</v>
      </c>
      <c r="O63" s="416" t="str">
        <f t="shared" si="5"/>
        <v>Yes</v>
      </c>
      <c r="P63" s="417">
        <f t="shared" si="15"/>
        <v>1</v>
      </c>
      <c r="Q63" s="415">
        <f>SUM($P$4:P63)/COUNT($P$4:P63)</f>
        <v>0.58333333333333337</v>
      </c>
      <c r="R63" s="388">
        <f t="shared" si="20"/>
        <v>2.3410435912240235E-2</v>
      </c>
      <c r="S63" s="382">
        <v>10371.84</v>
      </c>
      <c r="T63" s="415">
        <f t="shared" si="27"/>
        <v>-4.2788254302585926E-3</v>
      </c>
      <c r="U63" s="415">
        <f t="shared" si="17"/>
        <v>0.20846169261815661</v>
      </c>
      <c r="V63" s="416" t="str">
        <f t="shared" si="18"/>
        <v>Yes</v>
      </c>
      <c r="W63" s="417">
        <f t="shared" si="16"/>
        <v>1</v>
      </c>
      <c r="X63" s="415">
        <f>SUM($W$4:W63)/COUNT($W$4:W63)</f>
        <v>0.53333333333333333</v>
      </c>
      <c r="Z63" s="389">
        <v>2025.47</v>
      </c>
      <c r="AA63" s="390">
        <f t="shared" si="28"/>
        <v>1.9499378375521514E-2</v>
      </c>
      <c r="AB63" s="390">
        <f t="shared" si="29"/>
        <v>0.34772569998935365</v>
      </c>
    </row>
    <row r="64" spans="1:28">
      <c r="A64" s="403">
        <f t="shared" si="8"/>
        <v>62</v>
      </c>
      <c r="B64" s="422">
        <f t="shared" si="24"/>
        <v>38170</v>
      </c>
      <c r="C64" s="385"/>
      <c r="D64" s="411">
        <v>29597.52</v>
      </c>
      <c r="E64" s="408">
        <f>D64+Holdings_Old!$E$32</f>
        <v>29597.52</v>
      </c>
      <c r="F64" s="408">
        <f t="shared" si="25"/>
        <v>-289.31000000000131</v>
      </c>
      <c r="G64" s="409">
        <f t="shared" si="21"/>
        <v>-9.6801835457290819E-3</v>
      </c>
      <c r="H64" s="408">
        <f t="shared" si="22"/>
        <v>6741.6700000000019</v>
      </c>
      <c r="I64" s="409">
        <f t="shared" si="23"/>
        <v>0.29496474644347082</v>
      </c>
      <c r="J64" s="388">
        <f t="shared" si="19"/>
        <v>-3.4321963805573175E-2</v>
      </c>
      <c r="K64" s="385"/>
      <c r="L64" s="382">
        <v>1125.3800000000001</v>
      </c>
      <c r="M64" s="415">
        <f t="shared" si="26"/>
        <v>-7.9775746410091219E-3</v>
      </c>
      <c r="N64" s="415">
        <f t="shared" si="4"/>
        <v>0.20998193703767432</v>
      </c>
      <c r="O64" s="416" t="str">
        <f t="shared" si="5"/>
        <v>No</v>
      </c>
      <c r="P64" s="417">
        <f t="shared" si="15"/>
        <v>0</v>
      </c>
      <c r="Q64" s="415">
        <f>SUM($P$4:P64)/COUNT($P$4:P64)</f>
        <v>0.57377049180327866</v>
      </c>
      <c r="R64" s="388">
        <f t="shared" si="20"/>
        <v>1.5246102771362624E-2</v>
      </c>
      <c r="S64" s="382">
        <v>10282.83</v>
      </c>
      <c r="T64" s="415">
        <f t="shared" si="27"/>
        <v>-8.5818909663087917E-3</v>
      </c>
      <c r="U64" s="415">
        <f t="shared" si="17"/>
        <v>0.19809080613514651</v>
      </c>
      <c r="V64" s="416" t="str">
        <f t="shared" si="18"/>
        <v>No</v>
      </c>
      <c r="W64" s="417">
        <f t="shared" si="16"/>
        <v>0</v>
      </c>
      <c r="X64" s="415">
        <f>SUM($W$4:W64)/COUNT($W$4:W64)</f>
        <v>0.52459016393442626</v>
      </c>
      <c r="Z64" s="389">
        <v>2006.66</v>
      </c>
      <c r="AA64" s="390">
        <f t="shared" si="28"/>
        <v>-9.2867334495203568E-3</v>
      </c>
      <c r="AB64" s="390">
        <f t="shared" si="29"/>
        <v>0.33520973065048443</v>
      </c>
    </row>
    <row r="65" spans="1:28">
      <c r="A65" s="403">
        <f t="shared" si="8"/>
        <v>63</v>
      </c>
      <c r="B65" s="422">
        <f t="shared" si="24"/>
        <v>38177</v>
      </c>
      <c r="C65" s="385"/>
      <c r="D65" s="411">
        <v>29302.639999999999</v>
      </c>
      <c r="E65" s="408">
        <f>D65+Holdings_Old!$E$32</f>
        <v>29302.639999999999</v>
      </c>
      <c r="F65" s="408">
        <f t="shared" si="25"/>
        <v>-294.88000000000102</v>
      </c>
      <c r="G65" s="409">
        <f t="shared" si="21"/>
        <v>-9.9629968997402285E-3</v>
      </c>
      <c r="H65" s="408">
        <f t="shared" si="22"/>
        <v>6446.7900000000009</v>
      </c>
      <c r="I65" s="409">
        <f t="shared" si="23"/>
        <v>0.28206301668938161</v>
      </c>
      <c r="J65" s="388">
        <f t="shared" si="19"/>
        <v>-4.3943011086325479E-2</v>
      </c>
      <c r="K65" s="385"/>
      <c r="L65" s="382">
        <v>1112.81</v>
      </c>
      <c r="M65" s="415">
        <f t="shared" si="26"/>
        <v>-1.1169560504007636E-2</v>
      </c>
      <c r="N65" s="415">
        <f t="shared" si="4"/>
        <v>0.19646697058317564</v>
      </c>
      <c r="O65" s="416" t="str">
        <f t="shared" si="5"/>
        <v>Yes</v>
      </c>
      <c r="P65" s="417">
        <f t="shared" si="15"/>
        <v>1</v>
      </c>
      <c r="Q65" s="415">
        <f>SUM($P$4:P65)/COUNT($P$4:P65)</f>
        <v>0.58064516129032262</v>
      </c>
      <c r="R65" s="388">
        <f t="shared" si="20"/>
        <v>3.90625E-3</v>
      </c>
      <c r="S65" s="382">
        <v>10213.219999999999</v>
      </c>
      <c r="T65" s="415">
        <f t="shared" si="27"/>
        <v>-6.7695371799397774E-3</v>
      </c>
      <c r="U65" s="415">
        <f t="shared" si="17"/>
        <v>0.18998028587807059</v>
      </c>
      <c r="V65" s="416" t="str">
        <f t="shared" si="18"/>
        <v>No</v>
      </c>
      <c r="W65" s="417">
        <f t="shared" si="16"/>
        <v>0</v>
      </c>
      <c r="X65" s="415">
        <f>SUM($W$4:W65)/COUNT($W$4:W65)</f>
        <v>0.5161290322580645</v>
      </c>
      <c r="Z65" s="389">
        <v>1946.33</v>
      </c>
      <c r="AA65" s="390">
        <f t="shared" si="28"/>
        <v>-3.0064883936491538E-2</v>
      </c>
      <c r="AB65" s="390">
        <f t="shared" si="29"/>
        <v>0.2950668050676033</v>
      </c>
    </row>
    <row r="66" spans="1:28">
      <c r="A66" s="403">
        <f t="shared" si="8"/>
        <v>64</v>
      </c>
      <c r="B66" s="422">
        <f t="shared" si="24"/>
        <v>38184</v>
      </c>
      <c r="C66" s="385"/>
      <c r="D66" s="411">
        <v>28749.51</v>
      </c>
      <c r="E66" s="408">
        <f>D66+Holdings_Old!$E$32</f>
        <v>28749.51</v>
      </c>
      <c r="F66" s="408">
        <f t="shared" si="25"/>
        <v>-553.13000000000102</v>
      </c>
      <c r="G66" s="409">
        <f t="shared" si="21"/>
        <v>-1.887645618278766E-2</v>
      </c>
      <c r="H66" s="408">
        <f t="shared" si="22"/>
        <v>5893.66</v>
      </c>
      <c r="I66" s="409">
        <f t="shared" si="23"/>
        <v>0.25786221033127177</v>
      </c>
      <c r="J66" s="388">
        <f t="shared" si="19"/>
        <v>-6.1989978945802382E-2</v>
      </c>
      <c r="K66" s="385"/>
      <c r="L66" s="382">
        <v>1101.3900000000001</v>
      </c>
      <c r="M66" s="415">
        <f t="shared" si="26"/>
        <v>-1.0262308929646413E-2</v>
      </c>
      <c r="N66" s="415">
        <f t="shared" si="4"/>
        <v>0.18418845690693275</v>
      </c>
      <c r="O66" s="416" t="str">
        <f t="shared" si="5"/>
        <v>No</v>
      </c>
      <c r="P66" s="417">
        <f t="shared" si="15"/>
        <v>0</v>
      </c>
      <c r="Q66" s="415">
        <f>SUM($P$4:P66)/COUNT($P$4:P66)</f>
        <v>0.5714285714285714</v>
      </c>
      <c r="R66" s="388">
        <f t="shared" si="20"/>
        <v>-6.3961460739029308E-3</v>
      </c>
      <c r="S66" s="382">
        <v>10139.780000000001</v>
      </c>
      <c r="T66" s="415">
        <f t="shared" si="27"/>
        <v>-7.1906803143375608E-3</v>
      </c>
      <c r="U66" s="415">
        <f t="shared" si="17"/>
        <v>0.18142351806195745</v>
      </c>
      <c r="V66" s="416" t="str">
        <f t="shared" si="18"/>
        <v>No</v>
      </c>
      <c r="W66" s="417">
        <f t="shared" si="16"/>
        <v>0</v>
      </c>
      <c r="X66" s="415">
        <f>SUM($W$4:W66)/COUNT($W$4:W66)</f>
        <v>0.50793650793650791</v>
      </c>
      <c r="Z66" s="389">
        <v>1883.15</v>
      </c>
      <c r="AA66" s="390">
        <f t="shared" si="28"/>
        <v>-3.2461093442530231E-2</v>
      </c>
      <c r="AB66" s="390">
        <f t="shared" si="29"/>
        <v>0.25302752049398491</v>
      </c>
    </row>
    <row r="67" spans="1:28">
      <c r="A67" s="403">
        <f t="shared" si="8"/>
        <v>65</v>
      </c>
      <c r="B67" s="422">
        <f t="shared" si="24"/>
        <v>38191</v>
      </c>
      <c r="C67" s="385"/>
      <c r="D67" s="411">
        <v>28311.7</v>
      </c>
      <c r="E67" s="408">
        <f>D67+Holdings_Old!$E$32</f>
        <v>28311.7</v>
      </c>
      <c r="F67" s="408">
        <f t="shared" si="25"/>
        <v>-437.80999999999767</v>
      </c>
      <c r="G67" s="409">
        <f t="shared" si="21"/>
        <v>-1.5228433458517987E-2</v>
      </c>
      <c r="H67" s="408">
        <f t="shared" si="22"/>
        <v>5455.8500000000022</v>
      </c>
      <c r="I67" s="409">
        <f t="shared" si="23"/>
        <v>0.23870693936125775</v>
      </c>
      <c r="J67" s="388">
        <f t="shared" si="19"/>
        <v>-7.6274402134849373E-2</v>
      </c>
      <c r="K67" s="385"/>
      <c r="L67" s="382">
        <v>1086.2</v>
      </c>
      <c r="M67" s="415">
        <f t="shared" si="26"/>
        <v>-1.3791663261878195E-2</v>
      </c>
      <c r="N67" s="415">
        <f t="shared" si="4"/>
        <v>0.16785652847066923</v>
      </c>
      <c r="O67" s="416" t="str">
        <f t="shared" si="5"/>
        <v>No</v>
      </c>
      <c r="P67" s="417">
        <f t="shared" si="15"/>
        <v>0</v>
      </c>
      <c r="Q67" s="415">
        <f>SUM($P$4:P67)/COUNT($P$4:P67)</f>
        <v>0.5625</v>
      </c>
      <c r="R67" s="388">
        <f t="shared" si="20"/>
        <v>-2.0099595842956064E-2</v>
      </c>
      <c r="S67" s="382">
        <v>9962.2199999999993</v>
      </c>
      <c r="T67" s="415">
        <f t="shared" si="27"/>
        <v>-1.7511228054257755E-2</v>
      </c>
      <c r="U67" s="415">
        <f t="shared" si="17"/>
        <v>0.16073534140851087</v>
      </c>
      <c r="V67" s="416" t="str">
        <f t="shared" si="18"/>
        <v>Yes</v>
      </c>
      <c r="W67" s="417">
        <f t="shared" si="16"/>
        <v>1</v>
      </c>
      <c r="X67" s="415">
        <f>SUM($W$4:W67)/COUNT($W$4:W67)</f>
        <v>0.515625</v>
      </c>
      <c r="Z67" s="389">
        <v>1849.09</v>
      </c>
      <c r="AA67" s="390">
        <f t="shared" si="28"/>
        <v>-1.8086716406021885E-2</v>
      </c>
      <c r="AB67" s="390">
        <f t="shared" si="29"/>
        <v>0.23036436708186936</v>
      </c>
    </row>
    <row r="68" spans="1:28">
      <c r="A68" s="403">
        <f t="shared" si="8"/>
        <v>66</v>
      </c>
      <c r="B68" s="422">
        <f t="shared" si="24"/>
        <v>38198</v>
      </c>
      <c r="C68" s="385"/>
      <c r="D68" s="411">
        <v>28792.53</v>
      </c>
      <c r="E68" s="408">
        <f>D68+Holdings_Old!$E$32</f>
        <v>28792.53</v>
      </c>
      <c r="F68" s="408">
        <f t="shared" si="25"/>
        <v>480.82999999999811</v>
      </c>
      <c r="G68" s="409">
        <f t="shared" si="21"/>
        <v>1.6983437942617252E-2</v>
      </c>
      <c r="H68" s="408">
        <f t="shared" si="22"/>
        <v>5936.68</v>
      </c>
      <c r="I68" s="409">
        <f t="shared" si="23"/>
        <v>0.25974444179498901</v>
      </c>
      <c r="J68" s="388">
        <f t="shared" si="19"/>
        <v>-6.0586365767499428E-2</v>
      </c>
      <c r="K68" s="385"/>
      <c r="L68" s="382">
        <v>1101.72</v>
      </c>
      <c r="M68" s="415">
        <f t="shared" si="26"/>
        <v>1.4288344687902743E-2</v>
      </c>
      <c r="N68" s="415">
        <f t="shared" ref="N68:N131" si="30">(L68/$L$3)-1</f>
        <v>0.18454326509547569</v>
      </c>
      <c r="O68" s="416" t="str">
        <f t="shared" ref="O68:O131" si="31">IF(G68&gt;M68,"Yes","No")</f>
        <v>Yes</v>
      </c>
      <c r="P68" s="417">
        <f t="shared" si="15"/>
        <v>1</v>
      </c>
      <c r="Q68" s="415">
        <f>SUM($P$4:P68)/COUNT($P$4:P68)</f>
        <v>0.56923076923076921</v>
      </c>
      <c r="R68" s="388">
        <f t="shared" si="20"/>
        <v>-6.0984411085450718E-3</v>
      </c>
      <c r="S68" s="382">
        <v>10139.709999999999</v>
      </c>
      <c r="T68" s="415">
        <f t="shared" si="27"/>
        <v>1.7816310019252768E-2</v>
      </c>
      <c r="U68" s="415">
        <f t="shared" ref="U68:U99" si="32">(S68/$S$3)-1</f>
        <v>0.18141536210134812</v>
      </c>
      <c r="V68" s="416" t="str">
        <f t="shared" ref="V68:V99" si="33">IF(G68&gt;T68,"Yes","No")</f>
        <v>No</v>
      </c>
      <c r="W68" s="417">
        <f t="shared" si="16"/>
        <v>0</v>
      </c>
      <c r="X68" s="415">
        <f>SUM($W$4:W68)/COUNT($W$4:W68)</f>
        <v>0.50769230769230766</v>
      </c>
      <c r="Z68" s="389">
        <v>1887.36</v>
      </c>
      <c r="AA68" s="390">
        <f t="shared" si="28"/>
        <v>2.0696667009177494E-2</v>
      </c>
      <c r="AB68" s="390">
        <f t="shared" si="29"/>
        <v>0.25582880868732016</v>
      </c>
    </row>
    <row r="69" spans="1:28">
      <c r="A69" s="403">
        <f t="shared" ref="A69:A132" si="34">A68+1</f>
        <v>67</v>
      </c>
      <c r="B69" s="422">
        <f t="shared" si="24"/>
        <v>38205</v>
      </c>
      <c r="C69" s="385"/>
      <c r="D69" s="411">
        <v>27961.47</v>
      </c>
      <c r="E69" s="408">
        <f>D69+Holdings_Old!$E$32</f>
        <v>27961.47</v>
      </c>
      <c r="F69" s="408">
        <f t="shared" si="25"/>
        <v>-831.05999999999767</v>
      </c>
      <c r="G69" s="409">
        <f t="shared" si="21"/>
        <v>-2.8863736531662854E-2</v>
      </c>
      <c r="H69" s="408">
        <f t="shared" si="22"/>
        <v>5105.6200000000026</v>
      </c>
      <c r="I69" s="409">
        <f t="shared" si="23"/>
        <v>0.22338351012979185</v>
      </c>
      <c r="J69" s="388">
        <f t="shared" si="19"/>
        <v>-8.7701353400238213E-2</v>
      </c>
      <c r="K69" s="385"/>
      <c r="L69" s="382">
        <v>1063.97</v>
      </c>
      <c r="M69" s="415">
        <f t="shared" si="26"/>
        <v>-3.4264604436698987E-2</v>
      </c>
      <c r="N69" s="415">
        <f t="shared" si="30"/>
        <v>0.14395535867882336</v>
      </c>
      <c r="O69" s="416" t="str">
        <f t="shared" si="31"/>
        <v>Yes</v>
      </c>
      <c r="P69" s="417">
        <f t="shared" si="15"/>
        <v>1</v>
      </c>
      <c r="Q69" s="415">
        <f>SUM($P$4:P69)/COUNT($P$4:P69)</f>
        <v>0.5757575757575758</v>
      </c>
      <c r="R69" s="388">
        <f t="shared" si="20"/>
        <v>-4.0154084872979223E-2</v>
      </c>
      <c r="S69" s="382">
        <v>9815.33</v>
      </c>
      <c r="T69" s="415">
        <f t="shared" si="27"/>
        <v>-3.199105299855709E-2</v>
      </c>
      <c r="U69" s="415">
        <f t="shared" si="32"/>
        <v>0.14362064063905433</v>
      </c>
      <c r="V69" s="416" t="str">
        <f t="shared" si="33"/>
        <v>Yes</v>
      </c>
      <c r="W69" s="417">
        <f t="shared" si="16"/>
        <v>1</v>
      </c>
      <c r="X69" s="415">
        <f>SUM($W$4:W69)/COUNT($W$4:W69)</f>
        <v>0.51515151515151514</v>
      </c>
      <c r="Z69" s="389">
        <v>1776.89</v>
      </c>
      <c r="AA69" s="390">
        <f t="shared" si="28"/>
        <v>-5.8531493726686867E-2</v>
      </c>
      <c r="AB69" s="390">
        <f t="shared" si="29"/>
        <v>0.1823232726498456</v>
      </c>
    </row>
    <row r="70" spans="1:28">
      <c r="A70" s="403">
        <f t="shared" si="34"/>
        <v>68</v>
      </c>
      <c r="B70" s="422">
        <f t="shared" si="24"/>
        <v>38212</v>
      </c>
      <c r="C70" s="385"/>
      <c r="D70" s="411">
        <v>27243.27</v>
      </c>
      <c r="E70" s="408">
        <f>D70+SUM(Holdings_Old!$E$32:$E$33)</f>
        <v>27243.27</v>
      </c>
      <c r="F70" s="408">
        <f t="shared" si="25"/>
        <v>-718.20000000000073</v>
      </c>
      <c r="G70" s="409">
        <f t="shared" si="21"/>
        <v>-2.5685344869207594E-2</v>
      </c>
      <c r="H70" s="408">
        <f t="shared" si="22"/>
        <v>4387.4200000000019</v>
      </c>
      <c r="I70" s="409">
        <f t="shared" si="23"/>
        <v>0.19196048276480648</v>
      </c>
      <c r="J70" s="388">
        <f t="shared" si="19"/>
        <v>-0.11113405876186444</v>
      </c>
      <c r="K70" s="385"/>
      <c r="L70" s="382">
        <v>1064.8</v>
      </c>
      <c r="M70" s="415">
        <f t="shared" si="26"/>
        <v>7.8009718319127508E-4</v>
      </c>
      <c r="N70" s="415">
        <f t="shared" si="30"/>
        <v>0.14484775503182501</v>
      </c>
      <c r="O70" s="416" t="str">
        <f t="shared" si="31"/>
        <v>No</v>
      </c>
      <c r="P70" s="417">
        <f t="shared" ref="P70:P133" si="35">IF(O70="Yes",1,0)</f>
        <v>0</v>
      </c>
      <c r="Q70" s="415">
        <f>SUM($P$4:P70)/COUNT($P$4:P70)</f>
        <v>0.56716417910447758</v>
      </c>
      <c r="R70" s="388">
        <f t="shared" si="20"/>
        <v>-3.9405311778291097E-2</v>
      </c>
      <c r="S70" s="382">
        <v>9825.35</v>
      </c>
      <c r="T70" s="415">
        <f t="shared" si="27"/>
        <v>1.0208520752741368E-3</v>
      </c>
      <c r="U70" s="415">
        <f t="shared" si="32"/>
        <v>0.14478810814337706</v>
      </c>
      <c r="V70" s="416" t="str">
        <f t="shared" si="33"/>
        <v>No</v>
      </c>
      <c r="W70" s="417">
        <f t="shared" ref="W70:W133" si="36">IF(V70="Yes",1,0)</f>
        <v>0</v>
      </c>
      <c r="X70" s="415">
        <f>SUM($W$4:W70)/COUNT($W$4:W70)</f>
        <v>0.5074626865671642</v>
      </c>
      <c r="Z70" s="389">
        <v>1757.22</v>
      </c>
      <c r="AA70" s="390">
        <f t="shared" si="28"/>
        <v>-1.1069903032827066E-2</v>
      </c>
      <c r="AB70" s="390">
        <f t="shared" si="29"/>
        <v>0.16923506866815696</v>
      </c>
    </row>
    <row r="71" spans="1:28">
      <c r="A71" s="403">
        <f t="shared" si="34"/>
        <v>69</v>
      </c>
      <c r="B71" s="422">
        <f t="shared" si="24"/>
        <v>38219</v>
      </c>
      <c r="C71" s="385"/>
      <c r="D71" s="411">
        <v>28005.919999999998</v>
      </c>
      <c r="E71" s="408">
        <f>D71+SUM(Holdings_Old!$E$32:$E$33)</f>
        <v>28005.919999999998</v>
      </c>
      <c r="F71" s="408">
        <f t="shared" si="25"/>
        <v>762.64999999999782</v>
      </c>
      <c r="G71" s="409">
        <f t="shared" si="21"/>
        <v>2.7994069728046522E-2</v>
      </c>
      <c r="H71" s="408">
        <f t="shared" si="22"/>
        <v>5150.07</v>
      </c>
      <c r="I71" s="409">
        <f t="shared" si="23"/>
        <v>0.22532830763240042</v>
      </c>
      <c r="J71" s="388">
        <f t="shared" si="19"/>
        <v>-8.6251083623958391E-2</v>
      </c>
      <c r="K71" s="385"/>
      <c r="L71" s="382">
        <v>1098.3499999999999</v>
      </c>
      <c r="M71" s="415">
        <f t="shared" si="26"/>
        <v>3.1508264462809965E-2</v>
      </c>
      <c r="N71" s="415">
        <f t="shared" si="30"/>
        <v>0.18091992086702202</v>
      </c>
      <c r="O71" s="416" t="str">
        <f t="shared" si="31"/>
        <v>No</v>
      </c>
      <c r="P71" s="417">
        <f t="shared" si="35"/>
        <v>0</v>
      </c>
      <c r="Q71" s="415">
        <f>SUM($P$4:P71)/COUNT($P$4:P71)</f>
        <v>0.55882352941176472</v>
      </c>
      <c r="R71" s="388">
        <f t="shared" si="20"/>
        <v>-9.1386403002310379E-3</v>
      </c>
      <c r="S71" s="382">
        <v>10110.14</v>
      </c>
      <c r="T71" s="415">
        <f t="shared" si="27"/>
        <v>2.8985226989369339E-2</v>
      </c>
      <c r="U71" s="415">
        <f t="shared" si="32"/>
        <v>0.17797005131264343</v>
      </c>
      <c r="V71" s="416" t="str">
        <f t="shared" si="33"/>
        <v>No</v>
      </c>
      <c r="W71" s="417">
        <f t="shared" si="36"/>
        <v>0</v>
      </c>
      <c r="X71" s="415">
        <f>SUM($W$4:W71)/COUNT($W$4:W71)</f>
        <v>0.5</v>
      </c>
      <c r="Z71" s="389">
        <v>1838.02</v>
      </c>
      <c r="AA71" s="390">
        <f t="shared" si="28"/>
        <v>4.5981721127690278E-2</v>
      </c>
      <c r="AB71" s="390">
        <f t="shared" si="29"/>
        <v>0.22299850952837219</v>
      </c>
    </row>
    <row r="72" spans="1:28">
      <c r="A72" s="403">
        <f t="shared" si="34"/>
        <v>70</v>
      </c>
      <c r="B72" s="422">
        <f t="shared" si="24"/>
        <v>38226</v>
      </c>
      <c r="C72" s="385"/>
      <c r="D72" s="411">
        <v>28262.67</v>
      </c>
      <c r="E72" s="408">
        <f>D72+SUM(Holdings_Old!$E$32:$E$33)</f>
        <v>28262.67</v>
      </c>
      <c r="F72" s="408">
        <f t="shared" si="25"/>
        <v>256.75</v>
      </c>
      <c r="G72" s="409">
        <f t="shared" si="21"/>
        <v>9.1677045424680692E-3</v>
      </c>
      <c r="H72" s="408">
        <f t="shared" si="22"/>
        <v>5406.82</v>
      </c>
      <c r="I72" s="409">
        <f t="shared" si="23"/>
        <v>0.23656175552429692</v>
      </c>
      <c r="J72" s="388">
        <f t="shared" si="19"/>
        <v>-7.7874103532622363E-2</v>
      </c>
      <c r="K72" s="385"/>
      <c r="L72" s="382">
        <v>1107.77</v>
      </c>
      <c r="M72" s="415">
        <f t="shared" si="26"/>
        <v>8.5765011153093873E-3</v>
      </c>
      <c r="N72" s="415">
        <f t="shared" si="30"/>
        <v>0.19104808188542921</v>
      </c>
      <c r="O72" s="416" t="str">
        <f t="shared" si="31"/>
        <v>Yes</v>
      </c>
      <c r="P72" s="417">
        <f t="shared" si="35"/>
        <v>1</v>
      </c>
      <c r="Q72" s="415">
        <f>SUM($P$4:P72)/COUNT($P$4:P72)</f>
        <v>0.56521739130434778</v>
      </c>
      <c r="R72" s="388">
        <f t="shared" si="20"/>
        <v>-6.4051674364895561E-4</v>
      </c>
      <c r="S72" s="382">
        <v>10195.01</v>
      </c>
      <c r="T72" s="415">
        <f t="shared" si="27"/>
        <v>8.3945425088081116E-3</v>
      </c>
      <c r="U72" s="415">
        <f t="shared" si="32"/>
        <v>0.18785857098249026</v>
      </c>
      <c r="V72" s="416" t="str">
        <f t="shared" si="33"/>
        <v>Yes</v>
      </c>
      <c r="W72" s="417">
        <f t="shared" si="36"/>
        <v>1</v>
      </c>
      <c r="X72" s="415">
        <f>SUM($W$4:W72)/COUNT($W$4:W72)</f>
        <v>0.50724637681159424</v>
      </c>
      <c r="Z72" s="389">
        <v>1862.09</v>
      </c>
      <c r="AA72" s="390">
        <f t="shared" si="28"/>
        <v>1.3095613758283386E-2</v>
      </c>
      <c r="AB72" s="390">
        <f t="shared" si="29"/>
        <v>0.23901442563611175</v>
      </c>
    </row>
    <row r="73" spans="1:28">
      <c r="A73" s="403">
        <f t="shared" si="34"/>
        <v>71</v>
      </c>
      <c r="B73" s="422">
        <f t="shared" si="24"/>
        <v>38233</v>
      </c>
      <c r="C73" s="385"/>
      <c r="D73" s="411">
        <v>28172.82</v>
      </c>
      <c r="E73" s="408">
        <f>D73+SUM(Holdings_Old!$E$32:$E$33)</f>
        <v>28172.82</v>
      </c>
      <c r="F73" s="408">
        <f t="shared" si="25"/>
        <v>-89.849999999998545</v>
      </c>
      <c r="G73" s="409">
        <f t="shared" ref="G73:G104" si="37">(E73/E72)-1</f>
        <v>-3.179105158854334E-3</v>
      </c>
      <c r="H73" s="408">
        <f t="shared" si="22"/>
        <v>5316.9700000000012</v>
      </c>
      <c r="I73" s="409">
        <f t="shared" si="23"/>
        <v>0.23263059566806743</v>
      </c>
      <c r="J73" s="388">
        <f t="shared" si="19"/>
        <v>-8.0805638727195039E-2</v>
      </c>
      <c r="K73" s="385"/>
      <c r="L73" s="382">
        <v>1113.6300000000001</v>
      </c>
      <c r="M73" s="415">
        <f t="shared" si="26"/>
        <v>5.2899067495961738E-3</v>
      </c>
      <c r="N73" s="415">
        <f t="shared" si="30"/>
        <v>0.19734861517288849</v>
      </c>
      <c r="O73" s="416" t="str">
        <f t="shared" si="31"/>
        <v>No</v>
      </c>
      <c r="P73" s="417">
        <f t="shared" si="35"/>
        <v>0</v>
      </c>
      <c r="Q73" s="415">
        <f>SUM($P$4:P73)/COUNT($P$4:P73)</f>
        <v>0.55714285714285716</v>
      </c>
      <c r="R73" s="388">
        <f t="shared" si="20"/>
        <v>4.6460017321017233E-3</v>
      </c>
      <c r="S73" s="382">
        <v>10260.200000000001</v>
      </c>
      <c r="T73" s="415">
        <f t="shared" si="27"/>
        <v>6.3943046647330082E-3</v>
      </c>
      <c r="U73" s="415">
        <f t="shared" si="32"/>
        <v>0.19545410058396673</v>
      </c>
      <c r="V73" s="416" t="str">
        <f t="shared" si="33"/>
        <v>No</v>
      </c>
      <c r="W73" s="417">
        <f t="shared" si="36"/>
        <v>0</v>
      </c>
      <c r="X73" s="415">
        <f>SUM($W$4:W73)/COUNT($W$4:W73)</f>
        <v>0.5</v>
      </c>
      <c r="Z73" s="389">
        <v>1844.48</v>
      </c>
      <c r="AA73" s="390">
        <f t="shared" si="28"/>
        <v>-9.4571153918445727E-3</v>
      </c>
      <c r="AB73" s="390">
        <f t="shared" si="29"/>
        <v>0.22729692324071116</v>
      </c>
    </row>
    <row r="74" spans="1:28">
      <c r="A74" s="403">
        <f t="shared" si="34"/>
        <v>72</v>
      </c>
      <c r="B74" s="422">
        <f t="shared" si="24"/>
        <v>38240</v>
      </c>
      <c r="C74" s="385"/>
      <c r="D74" s="411">
        <v>28365.95</v>
      </c>
      <c r="E74" s="408">
        <f>D74+SUM(Holdings_Old!$E$32:$E$33)</f>
        <v>28365.95</v>
      </c>
      <c r="F74" s="408">
        <f t="shared" ref="F74:F105" si="38">E74-E73</f>
        <v>193.13000000000102</v>
      </c>
      <c r="G74" s="409">
        <f t="shared" si="37"/>
        <v>6.8551887954417801E-3</v>
      </c>
      <c r="H74" s="408">
        <f t="shared" si="22"/>
        <v>5510.1000000000022</v>
      </c>
      <c r="I74" s="409">
        <f t="shared" si="23"/>
        <v>0.24108051111641005</v>
      </c>
      <c r="J74" s="388">
        <f t="shared" si="19"/>
        <v>-7.4504387840964359E-2</v>
      </c>
      <c r="K74" s="385"/>
      <c r="L74" s="382">
        <v>1123.92</v>
      </c>
      <c r="M74" s="415">
        <f t="shared" si="26"/>
        <v>9.2400528003016014E-3</v>
      </c>
      <c r="N74" s="415">
        <f t="shared" si="30"/>
        <v>0.20841217959745406</v>
      </c>
      <c r="O74" s="416" t="str">
        <f t="shared" si="31"/>
        <v>No</v>
      </c>
      <c r="P74" s="417">
        <f t="shared" si="35"/>
        <v>0</v>
      </c>
      <c r="Q74" s="415">
        <f>SUM($P$4:P74)/COUNT($P$4:P74)</f>
        <v>0.54929577464788737</v>
      </c>
      <c r="R74" s="388">
        <f t="shared" si="20"/>
        <v>1.3928983833718211E-2</v>
      </c>
      <c r="S74" s="382">
        <v>10313.07</v>
      </c>
      <c r="T74" s="415">
        <f t="shared" si="27"/>
        <v>5.1529209956919786E-3</v>
      </c>
      <c r="U74" s="415">
        <f t="shared" si="32"/>
        <v>0.20161418111825213</v>
      </c>
      <c r="V74" s="416" t="str">
        <f t="shared" si="33"/>
        <v>Yes</v>
      </c>
      <c r="W74" s="417">
        <f t="shared" si="36"/>
        <v>1</v>
      </c>
      <c r="X74" s="415">
        <f>SUM($W$4:W74)/COUNT($W$4:W74)</f>
        <v>0.50704225352112675</v>
      </c>
      <c r="Z74" s="389">
        <v>1894.31</v>
      </c>
      <c r="AA74" s="390">
        <f t="shared" si="28"/>
        <v>2.7015744274809128E-2</v>
      </c>
      <c r="AB74" s="390">
        <f t="shared" si="29"/>
        <v>0.26045326306824212</v>
      </c>
    </row>
    <row r="75" spans="1:28">
      <c r="A75" s="403">
        <f t="shared" si="34"/>
        <v>73</v>
      </c>
      <c r="B75" s="422">
        <f t="shared" si="24"/>
        <v>38247</v>
      </c>
      <c r="C75" s="385"/>
      <c r="D75" s="411">
        <v>28529.49</v>
      </c>
      <c r="E75" s="408">
        <f>D75+SUM(Holdings_Old!$E$32:$E$33)</f>
        <v>28529.49</v>
      </c>
      <c r="F75" s="408">
        <f t="shared" si="38"/>
        <v>163.54000000000087</v>
      </c>
      <c r="G75" s="409">
        <f t="shared" si="37"/>
        <v>5.7653630497127573E-3</v>
      </c>
      <c r="H75" s="408">
        <f t="shared" si="22"/>
        <v>5673.6400000000031</v>
      </c>
      <c r="I75" s="409">
        <f t="shared" si="23"/>
        <v>0.24823579083691927</v>
      </c>
      <c r="J75" s="388">
        <f t="shared" si="19"/>
        <v>-6.9168569635951305E-2</v>
      </c>
      <c r="K75" s="385"/>
      <c r="L75" s="382">
        <v>1128.55</v>
      </c>
      <c r="M75" s="415">
        <f t="shared" si="26"/>
        <v>4.1195102854294507E-3</v>
      </c>
      <c r="N75" s="415">
        <f t="shared" si="30"/>
        <v>0.21339024600034406</v>
      </c>
      <c r="O75" s="416" t="str">
        <f t="shared" si="31"/>
        <v>Yes</v>
      </c>
      <c r="P75" s="417">
        <f t="shared" si="35"/>
        <v>1</v>
      </c>
      <c r="Q75" s="415">
        <f>SUM($P$4:P75)/COUNT($P$4:P75)</f>
        <v>0.55555555555555558</v>
      </c>
      <c r="R75" s="388">
        <f t="shared" si="20"/>
        <v>1.8105874711316305E-2</v>
      </c>
      <c r="S75" s="382">
        <v>10284.459999999999</v>
      </c>
      <c r="T75" s="415">
        <f t="shared" si="27"/>
        <v>-2.7741496954835076E-3</v>
      </c>
      <c r="U75" s="415">
        <f t="shared" si="32"/>
        <v>0.19828072350361414</v>
      </c>
      <c r="V75" s="416" t="str">
        <f t="shared" si="33"/>
        <v>Yes</v>
      </c>
      <c r="W75" s="417">
        <f t="shared" si="36"/>
        <v>1</v>
      </c>
      <c r="X75" s="415">
        <f>SUM($W$4:W75)/COUNT($W$4:W75)</f>
        <v>0.51388888888888884</v>
      </c>
      <c r="Z75" s="389">
        <v>1910.09</v>
      </c>
      <c r="AA75" s="390">
        <f t="shared" si="28"/>
        <v>8.3302099445179412E-3</v>
      </c>
      <c r="AB75" s="390">
        <f t="shared" si="29"/>
        <v>0.27095310337485357</v>
      </c>
    </row>
    <row r="76" spans="1:28">
      <c r="A76" s="403">
        <f t="shared" si="34"/>
        <v>74</v>
      </c>
      <c r="B76" s="422">
        <f t="shared" si="24"/>
        <v>38254</v>
      </c>
      <c r="C76" s="385"/>
      <c r="D76" s="411">
        <v>27872.35</v>
      </c>
      <c r="E76" s="408">
        <f>D76+SUM(Holdings_Old!$E$32:$E$34)</f>
        <v>27872.35</v>
      </c>
      <c r="F76" s="408">
        <f t="shared" si="38"/>
        <v>-657.14000000000306</v>
      </c>
      <c r="G76" s="409">
        <f t="shared" si="37"/>
        <v>-2.3033710031269528E-2</v>
      </c>
      <c r="H76" s="408">
        <f t="shared" si="22"/>
        <v>5016.5</v>
      </c>
      <c r="I76" s="409">
        <f t="shared" si="23"/>
        <v>0.21948428958012944</v>
      </c>
      <c r="J76" s="388">
        <f t="shared" si="19"/>
        <v>-9.0609070890948606E-2</v>
      </c>
      <c r="K76" s="385"/>
      <c r="L76" s="382">
        <v>1110.1099999999999</v>
      </c>
      <c r="M76" s="415">
        <f t="shared" si="26"/>
        <v>-1.6339550750963716E-2</v>
      </c>
      <c r="N76" s="415">
        <f t="shared" si="30"/>
        <v>0.19356399449509709</v>
      </c>
      <c r="O76" s="416" t="str">
        <f t="shared" si="31"/>
        <v>No</v>
      </c>
      <c r="P76" s="417">
        <f t="shared" si="35"/>
        <v>0</v>
      </c>
      <c r="Q76" s="415">
        <f>SUM($P$4:P76)/COUNT($P$4:P76)</f>
        <v>0.54794520547945202</v>
      </c>
      <c r="R76" s="388">
        <f t="shared" si="20"/>
        <v>1.4704821016164882E-3</v>
      </c>
      <c r="S76" s="382">
        <v>10047.24</v>
      </c>
      <c r="T76" s="415">
        <f t="shared" si="27"/>
        <v>-2.3065868310052196E-2</v>
      </c>
      <c r="U76" s="415">
        <f t="shared" si="32"/>
        <v>0.17064133813680571</v>
      </c>
      <c r="V76" s="416" t="str">
        <f t="shared" si="33"/>
        <v>Yes</v>
      </c>
      <c r="W76" s="417">
        <f t="shared" si="36"/>
        <v>1</v>
      </c>
      <c r="X76" s="415">
        <f>SUM($W$4:W76)/COUNT($W$4:W76)</f>
        <v>0.52054794520547942</v>
      </c>
      <c r="Z76" s="389">
        <v>1879.48</v>
      </c>
      <c r="AA76" s="390">
        <f t="shared" si="28"/>
        <v>-1.602542288583253E-2</v>
      </c>
      <c r="AB76" s="390">
        <f t="shared" si="29"/>
        <v>0.25058554242521014</v>
      </c>
    </row>
    <row r="77" spans="1:28">
      <c r="A77" s="403">
        <f t="shared" si="34"/>
        <v>75</v>
      </c>
      <c r="B77" s="422">
        <f t="shared" si="24"/>
        <v>38261</v>
      </c>
      <c r="C77" s="385"/>
      <c r="D77" s="411">
        <v>28443.17</v>
      </c>
      <c r="E77" s="408">
        <f>D77+SUM(Holdings_Old!$E$32:$E$34)</f>
        <v>28443.17</v>
      </c>
      <c r="F77" s="408">
        <f t="shared" si="38"/>
        <v>570.81999999999971</v>
      </c>
      <c r="G77" s="409">
        <f t="shared" si="37"/>
        <v>2.0479794491673697E-2</v>
      </c>
      <c r="H77" s="408">
        <f t="shared" si="22"/>
        <v>5587.32</v>
      </c>
      <c r="I77" s="409">
        <f t="shared" si="23"/>
        <v>0.24445907721655513</v>
      </c>
      <c r="J77" s="388">
        <f t="shared" si="19"/>
        <v>-7.1984931550203135E-2</v>
      </c>
      <c r="K77" s="385"/>
      <c r="L77" s="382">
        <v>1131.5</v>
      </c>
      <c r="M77" s="415">
        <f t="shared" si="26"/>
        <v>1.926836079307459E-2</v>
      </c>
      <c r="N77" s="415">
        <f t="shared" si="30"/>
        <v>0.21656201617065185</v>
      </c>
      <c r="O77" s="416" t="str">
        <f t="shared" si="31"/>
        <v>Yes</v>
      </c>
      <c r="P77" s="417">
        <f t="shared" si="35"/>
        <v>1</v>
      </c>
      <c r="Q77" s="415">
        <f>SUM($P$4:P77)/COUNT($P$4:P77)</f>
        <v>0.55405405405405406</v>
      </c>
      <c r="R77" s="388">
        <f t="shared" si="20"/>
        <v>2.0767176674364896E-2</v>
      </c>
      <c r="S77" s="382">
        <v>10192.65</v>
      </c>
      <c r="T77" s="415">
        <f t="shared" si="27"/>
        <v>1.447263128978693E-2</v>
      </c>
      <c r="U77" s="415">
        <f t="shared" si="32"/>
        <v>0.18758359859624263</v>
      </c>
      <c r="V77" s="416" t="str">
        <f t="shared" si="33"/>
        <v>Yes</v>
      </c>
      <c r="W77" s="417">
        <f t="shared" si="36"/>
        <v>1</v>
      </c>
      <c r="X77" s="415">
        <f>SUM($W$4:W77)/COUNT($W$4:W77)</f>
        <v>0.52702702702702697</v>
      </c>
      <c r="Z77" s="389">
        <v>1942.2</v>
      </c>
      <c r="AA77" s="390">
        <f t="shared" si="28"/>
        <v>3.3370932385553553E-2</v>
      </c>
      <c r="AB77" s="390">
        <f t="shared" si="29"/>
        <v>0.29231874800383251</v>
      </c>
    </row>
    <row r="78" spans="1:28">
      <c r="A78" s="403">
        <f t="shared" si="34"/>
        <v>76</v>
      </c>
      <c r="B78" s="422">
        <f t="shared" si="24"/>
        <v>38268</v>
      </c>
      <c r="C78" s="385"/>
      <c r="D78" s="411">
        <v>28277.119999999999</v>
      </c>
      <c r="E78" s="408">
        <f>D78+SUM(Holdings_Old!$E$32:$E$34)</f>
        <v>28277.119999999999</v>
      </c>
      <c r="F78" s="408">
        <f t="shared" si="38"/>
        <v>-166.04999999999927</v>
      </c>
      <c r="G78" s="409">
        <f t="shared" si="37"/>
        <v>-5.8379568803336168E-3</v>
      </c>
      <c r="H78" s="408">
        <f t="shared" si="22"/>
        <v>5421.27</v>
      </c>
      <c r="I78" s="409">
        <f t="shared" si="23"/>
        <v>0.23719397878442505</v>
      </c>
      <c r="J78" s="388">
        <f t="shared" si="19"/>
        <v>-7.7402643504112856E-2</v>
      </c>
      <c r="K78" s="385"/>
      <c r="L78" s="382">
        <v>1122.1400000000001</v>
      </c>
      <c r="M78" s="415">
        <f t="shared" si="26"/>
        <v>-8.2722050375606537E-3</v>
      </c>
      <c r="N78" s="415">
        <f t="shared" si="30"/>
        <v>0.2064983657319801</v>
      </c>
      <c r="O78" s="416" t="str">
        <f t="shared" si="31"/>
        <v>Yes</v>
      </c>
      <c r="P78" s="417">
        <f t="shared" si="35"/>
        <v>1</v>
      </c>
      <c r="Q78" s="415">
        <f>SUM($P$4:P78)/COUNT($P$4:P78)</f>
        <v>0.56000000000000005</v>
      </c>
      <c r="R78" s="388">
        <f t="shared" si="20"/>
        <v>1.2323181293302676E-2</v>
      </c>
      <c r="S78" s="382">
        <v>10055.200000000001</v>
      </c>
      <c r="T78" s="415">
        <f t="shared" si="27"/>
        <v>-1.3485207477937466E-2</v>
      </c>
      <c r="U78" s="415">
        <f t="shared" si="32"/>
        <v>0.17156878737177661</v>
      </c>
      <c r="V78" s="416" t="str">
        <f t="shared" si="33"/>
        <v>Yes</v>
      </c>
      <c r="W78" s="417">
        <f t="shared" si="36"/>
        <v>1</v>
      </c>
      <c r="X78" s="415">
        <f>SUM($W$4:W78)/COUNT($W$4:W78)</f>
        <v>0.53333333333333333</v>
      </c>
      <c r="Z78" s="389">
        <v>1919.97</v>
      </c>
      <c r="AA78" s="390">
        <f t="shared" si="28"/>
        <v>-1.1445783132530085E-2</v>
      </c>
      <c r="AB78" s="390">
        <f t="shared" si="29"/>
        <v>0.27752714787607791</v>
      </c>
    </row>
    <row r="79" spans="1:28">
      <c r="A79" s="403">
        <f t="shared" si="34"/>
        <v>77</v>
      </c>
      <c r="B79" s="422">
        <f t="shared" si="24"/>
        <v>38275</v>
      </c>
      <c r="C79" s="385"/>
      <c r="D79" s="411">
        <v>28337.96</v>
      </c>
      <c r="E79" s="408">
        <f>D79+SUM(Holdings_Old!$E$32:$E$34)</f>
        <v>28337.96</v>
      </c>
      <c r="F79" s="408">
        <f t="shared" si="38"/>
        <v>60.840000000000146</v>
      </c>
      <c r="G79" s="409">
        <f t="shared" si="37"/>
        <v>2.1515628182784408E-3</v>
      </c>
      <c r="H79" s="408">
        <f t="shared" si="22"/>
        <v>5482.1100000000006</v>
      </c>
      <c r="I79" s="409">
        <f t="shared" si="23"/>
        <v>0.23985587934817576</v>
      </c>
      <c r="J79" s="388">
        <f t="shared" si="19"/>
        <v>-7.5417617335634235E-2</v>
      </c>
      <c r="K79" s="385"/>
      <c r="L79" s="382">
        <v>1108.2</v>
      </c>
      <c r="M79" s="415">
        <f t="shared" si="26"/>
        <v>-1.2422692355677611E-2</v>
      </c>
      <c r="N79" s="415">
        <f t="shared" si="30"/>
        <v>0.19151040770686389</v>
      </c>
      <c r="O79" s="416" t="str">
        <f t="shared" si="31"/>
        <v>Yes</v>
      </c>
      <c r="P79" s="417">
        <f t="shared" si="35"/>
        <v>1</v>
      </c>
      <c r="Q79" s="415">
        <f>SUM($P$4:P79)/COUNT($P$4:P79)</f>
        <v>0.56578947368421051</v>
      </c>
      <c r="R79" s="388">
        <f t="shared" si="20"/>
        <v>-2.5259815242495431E-4</v>
      </c>
      <c r="S79" s="382">
        <v>9933.3799999999992</v>
      </c>
      <c r="T79" s="415">
        <f t="shared" si="27"/>
        <v>-1.2115124512690145E-2</v>
      </c>
      <c r="U79" s="415">
        <f t="shared" si="32"/>
        <v>0.15737508563758618</v>
      </c>
      <c r="V79" s="416" t="str">
        <f t="shared" si="33"/>
        <v>Yes</v>
      </c>
      <c r="W79" s="417">
        <f t="shared" si="36"/>
        <v>1</v>
      </c>
      <c r="X79" s="415">
        <f>SUM($W$4:W79)/COUNT($W$4:W79)</f>
        <v>0.53947368421052633</v>
      </c>
      <c r="Z79" s="389">
        <v>1911.5</v>
      </c>
      <c r="AA79" s="390">
        <f t="shared" si="28"/>
        <v>-4.4115272634468461E-3</v>
      </c>
      <c r="AB79" s="390">
        <f t="shared" si="29"/>
        <v>0.27189130203342904</v>
      </c>
    </row>
    <row r="80" spans="1:28">
      <c r="A80" s="403">
        <f t="shared" si="34"/>
        <v>78</v>
      </c>
      <c r="B80" s="422">
        <f t="shared" si="24"/>
        <v>38282</v>
      </c>
      <c r="C80" s="385"/>
      <c r="D80" s="411">
        <v>28127.87</v>
      </c>
      <c r="E80" s="408">
        <f>D80+SUM(Holdings_Old!$E$32:$E$34)</f>
        <v>28127.87</v>
      </c>
      <c r="F80" s="408">
        <f t="shared" si="38"/>
        <v>-210.09000000000015</v>
      </c>
      <c r="G80" s="409">
        <f t="shared" si="37"/>
        <v>-7.4137305578806378E-3</v>
      </c>
      <c r="H80" s="408">
        <f t="shared" si="22"/>
        <v>5272.02</v>
      </c>
      <c r="I80" s="409">
        <f t="shared" si="23"/>
        <v>0.23066392192808416</v>
      </c>
      <c r="J80" s="388">
        <f t="shared" si="19"/>
        <v>-8.22722219992712E-2</v>
      </c>
      <c r="K80" s="385"/>
      <c r="L80" s="382">
        <v>1095.74</v>
      </c>
      <c r="M80" s="415">
        <f t="shared" ref="M80:M143" si="39">(L80/L79)-1</f>
        <v>-1.1243457859592132E-2</v>
      </c>
      <c r="N80" s="415">
        <f t="shared" si="30"/>
        <v>0.17811371064854642</v>
      </c>
      <c r="O80" s="416" t="str">
        <f t="shared" si="31"/>
        <v>Yes</v>
      </c>
      <c r="P80" s="417">
        <f t="shared" si="35"/>
        <v>1</v>
      </c>
      <c r="Q80" s="415">
        <f>SUM($P$4:P80)/COUNT($P$4:P80)</f>
        <v>0.5714285714285714</v>
      </c>
      <c r="R80" s="388">
        <f t="shared" si="20"/>
        <v>-1.1493215935334922E-2</v>
      </c>
      <c r="S80" s="382">
        <v>9757.81</v>
      </c>
      <c r="T80" s="415">
        <f t="shared" ref="T80:T143" si="40">(S80/S79)-1</f>
        <v>-1.7674749179030669E-2</v>
      </c>
      <c r="U80" s="415">
        <f t="shared" si="32"/>
        <v>0.13691877129288277</v>
      </c>
      <c r="V80" s="416" t="str">
        <f t="shared" si="33"/>
        <v>Yes</v>
      </c>
      <c r="W80" s="417">
        <f t="shared" si="36"/>
        <v>1</v>
      </c>
      <c r="X80" s="415">
        <f>SUM($W$4:W80)/COUNT($W$4:W80)</f>
        <v>0.54545454545454541</v>
      </c>
      <c r="Z80" s="389">
        <v>1915.14</v>
      </c>
      <c r="AA80" s="390">
        <f t="shared" ref="AA80:AA143" si="41">(Z80/Z79)-1</f>
        <v>1.9042636672770286E-3</v>
      </c>
      <c r="AB80" s="390">
        <f t="shared" ref="AB80:AB143" si="42">(Z80/$Z$3)-1</f>
        <v>0.27431331842861706</v>
      </c>
    </row>
    <row r="81" spans="1:28">
      <c r="A81" s="403">
        <f t="shared" si="34"/>
        <v>79</v>
      </c>
      <c r="B81" s="422">
        <f t="shared" si="24"/>
        <v>38289</v>
      </c>
      <c r="C81" s="385"/>
      <c r="D81" s="411">
        <v>28846.86</v>
      </c>
      <c r="E81" s="408">
        <f>D81+SUM(Holdings_Old!$E$32:$E$34)</f>
        <v>28846.86</v>
      </c>
      <c r="F81" s="408">
        <f t="shared" si="38"/>
        <v>718.9900000000016</v>
      </c>
      <c r="G81" s="409">
        <f t="shared" si="37"/>
        <v>2.5561480481814058E-2</v>
      </c>
      <c r="H81" s="408">
        <f t="shared" si="22"/>
        <v>5991.010000000002</v>
      </c>
      <c r="I81" s="409">
        <f t="shared" si="23"/>
        <v>0.26212151374812143</v>
      </c>
      <c r="J81" s="388">
        <f t="shared" si="19"/>
        <v>-5.8813741314287071E-2</v>
      </c>
      <c r="K81" s="385"/>
      <c r="L81" s="382">
        <v>1130.2</v>
      </c>
      <c r="M81" s="415">
        <f t="shared" si="39"/>
        <v>3.144906638436118E-2</v>
      </c>
      <c r="N81" s="415">
        <f t="shared" si="30"/>
        <v>0.21516428694305856</v>
      </c>
      <c r="O81" s="416" t="str">
        <f t="shared" si="31"/>
        <v>No</v>
      </c>
      <c r="P81" s="417">
        <f t="shared" si="35"/>
        <v>0</v>
      </c>
      <c r="Q81" s="415">
        <f>SUM($P$4:P81)/COUNT($P$4:P81)</f>
        <v>0.5641025641025641</v>
      </c>
      <c r="R81" s="388">
        <f t="shared" si="20"/>
        <v>1.9594399538106266E-2</v>
      </c>
      <c r="S81" s="382">
        <v>10027.469999999999</v>
      </c>
      <c r="T81" s="415">
        <f t="shared" si="40"/>
        <v>2.7635299314087813E-2</v>
      </c>
      <c r="U81" s="415">
        <f t="shared" si="32"/>
        <v>0.16833786183336663</v>
      </c>
      <c r="V81" s="416" t="str">
        <f t="shared" si="33"/>
        <v>No</v>
      </c>
      <c r="W81" s="417">
        <f t="shared" si="36"/>
        <v>0</v>
      </c>
      <c r="X81" s="415">
        <f>SUM($W$4:W81)/COUNT($W$4:W81)</f>
        <v>0.53846153846153844</v>
      </c>
      <c r="Z81" s="389">
        <v>1974.99</v>
      </c>
      <c r="AA81" s="390">
        <f t="shared" si="41"/>
        <v>3.1250979040696736E-2</v>
      </c>
      <c r="AB81" s="390">
        <f t="shared" si="42"/>
        <v>0.31413685723411033</v>
      </c>
    </row>
    <row r="82" spans="1:28">
      <c r="A82" s="403">
        <f t="shared" si="34"/>
        <v>80</v>
      </c>
      <c r="B82" s="422">
        <f t="shared" si="24"/>
        <v>38296</v>
      </c>
      <c r="C82" s="385"/>
      <c r="D82" s="411">
        <v>29611.48</v>
      </c>
      <c r="E82" s="408">
        <f>D82+SUM(Holdings_Old!$E$32:$E$34)</f>
        <v>29611.48</v>
      </c>
      <c r="F82" s="408">
        <f t="shared" si="38"/>
        <v>764.61999999999898</v>
      </c>
      <c r="G82" s="409">
        <f t="shared" si="37"/>
        <v>2.6506177795434294E-2</v>
      </c>
      <c r="H82" s="408">
        <f t="shared" si="22"/>
        <v>6755.630000000001</v>
      </c>
      <c r="I82" s="409">
        <f t="shared" si="23"/>
        <v>0.29557553099097178</v>
      </c>
      <c r="J82" s="388">
        <f t="shared" si="19"/>
        <v>-3.3866491002944032E-2</v>
      </c>
      <c r="K82" s="385"/>
      <c r="L82" s="382">
        <v>1166.17</v>
      </c>
      <c r="M82" s="415">
        <f t="shared" si="39"/>
        <v>3.1826225446823564E-2</v>
      </c>
      <c r="N82" s="415">
        <f t="shared" si="30"/>
        <v>0.25383837949423715</v>
      </c>
      <c r="O82" s="416" t="str">
        <f t="shared" si="31"/>
        <v>No</v>
      </c>
      <c r="P82" s="417">
        <f t="shared" si="35"/>
        <v>0</v>
      </c>
      <c r="Q82" s="415">
        <f>SUM($P$4:P82)/COUNT($P$4:P82)</f>
        <v>0.55696202531645567</v>
      </c>
      <c r="R82" s="388">
        <f t="shared" si="20"/>
        <v>5.2044240762124661E-2</v>
      </c>
      <c r="S82" s="382">
        <v>10387.540000000001</v>
      </c>
      <c r="T82" s="415">
        <f t="shared" si="40"/>
        <v>3.5908359735805861E-2</v>
      </c>
      <c r="U82" s="415">
        <f t="shared" si="32"/>
        <v>0.21029095806904152</v>
      </c>
      <c r="V82" s="416" t="str">
        <f t="shared" si="33"/>
        <v>No</v>
      </c>
      <c r="W82" s="417">
        <f t="shared" si="36"/>
        <v>0</v>
      </c>
      <c r="X82" s="415">
        <f>SUM($W$4:W82)/COUNT($W$4:W82)</f>
        <v>0.53164556962025311</v>
      </c>
      <c r="Z82" s="389">
        <v>2038.94</v>
      </c>
      <c r="AA82" s="390">
        <f t="shared" si="41"/>
        <v>3.2379910784358534E-2</v>
      </c>
      <c r="AB82" s="390">
        <f t="shared" si="42"/>
        <v>0.35668849142978809</v>
      </c>
    </row>
    <row r="83" spans="1:28">
      <c r="A83" s="403">
        <f t="shared" si="34"/>
        <v>81</v>
      </c>
      <c r="B83" s="422">
        <f t="shared" si="24"/>
        <v>38303</v>
      </c>
      <c r="C83" s="385"/>
      <c r="D83" s="411">
        <v>29843.74</v>
      </c>
      <c r="E83" s="408">
        <f>D83+SUM(Holdings_Old!$E$32:$E$34)</f>
        <v>29843.74</v>
      </c>
      <c r="F83" s="408">
        <f t="shared" si="38"/>
        <v>232.26000000000204</v>
      </c>
      <c r="G83" s="409">
        <f t="shared" si="37"/>
        <v>7.8435795846747425E-3</v>
      </c>
      <c r="H83" s="408">
        <f t="shared" si="22"/>
        <v>6987.8900000000031</v>
      </c>
      <c r="I83" s="409">
        <f t="shared" si="23"/>
        <v>0.30573748077625651</v>
      </c>
      <c r="J83" s="388">
        <f t="shared" si="19"/>
        <v>-2.6288545935704621E-2</v>
      </c>
      <c r="K83" s="385"/>
      <c r="L83" s="382">
        <v>1184.17</v>
      </c>
      <c r="M83" s="415">
        <f t="shared" si="39"/>
        <v>1.5435142389188528E-2</v>
      </c>
      <c r="N83" s="415">
        <f t="shared" si="30"/>
        <v>0.27319155341475998</v>
      </c>
      <c r="O83" s="416" t="str">
        <f t="shared" si="31"/>
        <v>No</v>
      </c>
      <c r="P83" s="417">
        <f t="shared" si="35"/>
        <v>0</v>
      </c>
      <c r="Q83" s="415">
        <f>SUM($P$4:P83)/COUNT($P$4:P83)</f>
        <v>0.55000000000000004</v>
      </c>
      <c r="R83" s="388">
        <f t="shared" si="20"/>
        <v>6.8282693418013851E-2</v>
      </c>
      <c r="S83" s="382">
        <v>10539.01</v>
      </c>
      <c r="T83" s="415">
        <f t="shared" si="40"/>
        <v>1.4581893306788718E-2</v>
      </c>
      <c r="U83" s="415">
        <f t="shared" si="32"/>
        <v>0.22793929168977511</v>
      </c>
      <c r="V83" s="416" t="str">
        <f t="shared" si="33"/>
        <v>No</v>
      </c>
      <c r="W83" s="417">
        <f t="shared" si="36"/>
        <v>0</v>
      </c>
      <c r="X83" s="415">
        <f>SUM($W$4:W83)/COUNT($W$4:W83)</f>
        <v>0.52500000000000002</v>
      </c>
      <c r="Z83" s="389">
        <v>2085.34</v>
      </c>
      <c r="AA83" s="390">
        <f t="shared" si="41"/>
        <v>2.2756922714743943E-2</v>
      </c>
      <c r="AB83" s="390">
        <f t="shared" si="42"/>
        <v>0.38756254657723832</v>
      </c>
    </row>
    <row r="84" spans="1:28">
      <c r="A84" s="403">
        <f t="shared" si="34"/>
        <v>82</v>
      </c>
      <c r="B84" s="422">
        <f t="shared" si="24"/>
        <v>38310</v>
      </c>
      <c r="C84" s="385"/>
      <c r="D84" s="411">
        <v>28915.95</v>
      </c>
      <c r="E84" s="408">
        <f>D84+SUM(Holdings_Old!$E$32:$E$34)</f>
        <v>28915.95</v>
      </c>
      <c r="F84" s="408">
        <f t="shared" si="38"/>
        <v>-927.79000000000087</v>
      </c>
      <c r="G84" s="409">
        <f t="shared" si="37"/>
        <v>-3.1088261725909727E-2</v>
      </c>
      <c r="H84" s="408">
        <f t="shared" si="22"/>
        <v>6060.1000000000022</v>
      </c>
      <c r="I84" s="409">
        <f t="shared" si="23"/>
        <v>0.26514437222855425</v>
      </c>
      <c r="K84" s="385"/>
      <c r="L84" s="382">
        <v>1170.3399999999999</v>
      </c>
      <c r="M84" s="415">
        <f t="shared" si="39"/>
        <v>-1.1679066350270828E-2</v>
      </c>
      <c r="N84" s="415">
        <f t="shared" si="30"/>
        <v>0.25832186478582475</v>
      </c>
      <c r="O84" s="416" t="str">
        <f t="shared" si="31"/>
        <v>No</v>
      </c>
      <c r="P84" s="417">
        <f t="shared" si="35"/>
        <v>0</v>
      </c>
      <c r="Q84" s="415">
        <f>SUM($P$4:P84)/COUNT($P$4:P84)</f>
        <v>0.54320987654320985</v>
      </c>
      <c r="R84" s="388">
        <f t="shared" si="20"/>
        <v>5.5806148960738877E-2</v>
      </c>
      <c r="S84" s="382">
        <v>10456.91</v>
      </c>
      <c r="T84" s="415">
        <f t="shared" si="40"/>
        <v>-7.7901055222454607E-3</v>
      </c>
      <c r="U84" s="415">
        <f t="shared" si="32"/>
        <v>0.2183735150326005</v>
      </c>
      <c r="V84" s="416" t="str">
        <f t="shared" si="33"/>
        <v>No</v>
      </c>
      <c r="W84" s="417">
        <f t="shared" si="36"/>
        <v>0</v>
      </c>
      <c r="X84" s="415">
        <f>SUM($W$4:W84)/COUNT($W$4:W84)</f>
        <v>0.51851851851851849</v>
      </c>
      <c r="Z84" s="389">
        <v>2070.63</v>
      </c>
      <c r="AA84" s="390">
        <f t="shared" si="41"/>
        <v>-7.0540055818235636E-3</v>
      </c>
      <c r="AB84" s="390">
        <f t="shared" si="42"/>
        <v>0.37777467262855313</v>
      </c>
    </row>
    <row r="85" spans="1:28">
      <c r="A85" s="403">
        <f t="shared" si="34"/>
        <v>83</v>
      </c>
      <c r="B85" s="422">
        <f t="shared" si="24"/>
        <v>38317</v>
      </c>
      <c r="C85" s="385"/>
      <c r="D85" s="411">
        <v>29040</v>
      </c>
      <c r="E85" s="408">
        <f>D85+SUM(Holdings_Old!$E$32:$E$34)</f>
        <v>29040</v>
      </c>
      <c r="F85" s="408">
        <f t="shared" si="38"/>
        <v>124.04999999999927</v>
      </c>
      <c r="G85" s="409">
        <f t="shared" si="37"/>
        <v>4.2900198679274304E-3</v>
      </c>
      <c r="H85" s="408">
        <f t="shared" si="22"/>
        <v>6184.1500000000015</v>
      </c>
      <c r="I85" s="409">
        <f t="shared" si="23"/>
        <v>0.27057186672121158</v>
      </c>
      <c r="K85" s="385"/>
      <c r="L85" s="382">
        <v>1182.6500000000001</v>
      </c>
      <c r="M85" s="415">
        <f t="shared" si="39"/>
        <v>1.0518310918194773E-2</v>
      </c>
      <c r="N85" s="415">
        <f t="shared" si="30"/>
        <v>0.27155728539480473</v>
      </c>
      <c r="O85" s="416" t="str">
        <f t="shared" si="31"/>
        <v>No</v>
      </c>
      <c r="P85" s="417">
        <f t="shared" si="35"/>
        <v>0</v>
      </c>
      <c r="Q85" s="415">
        <f>SUM($P$4:P85)/COUNT($P$4:P85)</f>
        <v>0.53658536585365857</v>
      </c>
      <c r="R85" s="388">
        <f t="shared" si="20"/>
        <v>6.6911446304849909E-2</v>
      </c>
      <c r="S85" s="382">
        <v>10522.23</v>
      </c>
      <c r="T85" s="415">
        <f t="shared" si="40"/>
        <v>6.2465871849330945E-3</v>
      </c>
      <c r="U85" s="415">
        <f t="shared" si="32"/>
        <v>0.22598419141806514</v>
      </c>
      <c r="V85" s="416" t="str">
        <f t="shared" si="33"/>
        <v>No</v>
      </c>
      <c r="W85" s="417">
        <f t="shared" si="36"/>
        <v>0</v>
      </c>
      <c r="X85" s="415">
        <f>SUM($W$4:W85)/COUNT($W$4:W85)</f>
        <v>0.51219512195121952</v>
      </c>
      <c r="Z85" s="389">
        <v>2101.9699999999998</v>
      </c>
      <c r="AA85" s="390">
        <f t="shared" si="41"/>
        <v>1.5135490164828846E-2</v>
      </c>
      <c r="AB85" s="390">
        <f t="shared" si="42"/>
        <v>0.39862796763547292</v>
      </c>
    </row>
    <row r="86" spans="1:28">
      <c r="A86" s="403">
        <f t="shared" si="34"/>
        <v>84</v>
      </c>
      <c r="B86" s="422">
        <f t="shared" si="24"/>
        <v>38324</v>
      </c>
      <c r="C86" s="385"/>
      <c r="D86" s="411">
        <v>29543.51</v>
      </c>
      <c r="E86" s="408">
        <f>D86+SUM(Holdings_Old!$E$32:$E$34)</f>
        <v>29543.51</v>
      </c>
      <c r="F86" s="408">
        <f t="shared" si="38"/>
        <v>503.5099999999984</v>
      </c>
      <c r="G86" s="409">
        <f t="shared" si="37"/>
        <v>1.7338498622589515E-2</v>
      </c>
      <c r="H86" s="408">
        <f t="shared" si="22"/>
        <v>6687.66</v>
      </c>
      <c r="I86" s="409">
        <f t="shared" si="23"/>
        <v>0.29260167528225822</v>
      </c>
      <c r="K86" s="385"/>
      <c r="L86" s="382">
        <v>1191.17</v>
      </c>
      <c r="M86" s="415">
        <f t="shared" si="39"/>
        <v>7.204160148818417E-3</v>
      </c>
      <c r="N86" s="415">
        <f t="shared" si="30"/>
        <v>0.28071778771718559</v>
      </c>
      <c r="O86" s="416" t="str">
        <f t="shared" si="31"/>
        <v>Yes</v>
      </c>
      <c r="P86" s="417">
        <f t="shared" si="35"/>
        <v>1</v>
      </c>
      <c r="Q86" s="415">
        <f>SUM($P$4:P86)/COUNT($P$4:P86)</f>
        <v>0.54216867469879515</v>
      </c>
      <c r="R86" s="388">
        <f t="shared" si="20"/>
        <v>7.4597647228637376E-2</v>
      </c>
      <c r="S86" s="382">
        <v>10592.21</v>
      </c>
      <c r="T86" s="415">
        <f>(S86/S85)-1</f>
        <v>6.6506814620095334E-3</v>
      </c>
      <c r="U86" s="415">
        <f t="shared" si="32"/>
        <v>0.23413782175264597</v>
      </c>
      <c r="V86" s="416" t="str">
        <f t="shared" si="33"/>
        <v>Yes</v>
      </c>
      <c r="W86" s="417">
        <f t="shared" si="36"/>
        <v>1</v>
      </c>
      <c r="X86" s="415">
        <f>SUM($W$4:W86)/COUNT($W$4:W86)</f>
        <v>0.51807228915662651</v>
      </c>
      <c r="Z86" s="389">
        <v>2147.96</v>
      </c>
      <c r="AA86" s="390">
        <f t="shared" si="41"/>
        <v>2.1879474968719892E-2</v>
      </c>
      <c r="AB86" s="390">
        <f t="shared" si="42"/>
        <v>0.42922921324390506</v>
      </c>
    </row>
    <row r="87" spans="1:28">
      <c r="A87" s="403">
        <f t="shared" si="34"/>
        <v>85</v>
      </c>
      <c r="B87" s="422">
        <f t="shared" si="24"/>
        <v>38331</v>
      </c>
      <c r="C87" s="385"/>
      <c r="D87" s="411">
        <v>29497.24</v>
      </c>
      <c r="E87" s="408">
        <f>D87+SUM(Holdings_Old!$E$32:$E$34)</f>
        <v>29497.24</v>
      </c>
      <c r="F87" s="408">
        <f t="shared" si="38"/>
        <v>-46.269999999996799</v>
      </c>
      <c r="G87" s="409">
        <f t="shared" si="37"/>
        <v>-1.5661646161879705E-3</v>
      </c>
      <c r="H87" s="408">
        <f t="shared" si="22"/>
        <v>6641.3900000000031</v>
      </c>
      <c r="I87" s="409">
        <f t="shared" si="23"/>
        <v>0.29057724827560572</v>
      </c>
      <c r="K87" s="385"/>
      <c r="L87" s="382">
        <v>1188</v>
      </c>
      <c r="M87" s="415">
        <f t="shared" si="39"/>
        <v>-2.6612490240688347E-3</v>
      </c>
      <c r="N87" s="415">
        <f t="shared" si="30"/>
        <v>0.27730947875451561</v>
      </c>
      <c r="O87" s="416" t="str">
        <f t="shared" si="31"/>
        <v>Yes</v>
      </c>
      <c r="P87" s="417">
        <f t="shared" si="35"/>
        <v>1</v>
      </c>
      <c r="Q87" s="415">
        <f>SUM($P$4:P87)/COUNT($P$4:P87)</f>
        <v>0.54761904761904767</v>
      </c>
      <c r="S87" s="382">
        <v>10543.22</v>
      </c>
      <c r="T87" s="415">
        <f>(S87/S86)-1</f>
        <v>-4.6250971232631999E-3</v>
      </c>
      <c r="U87" s="415">
        <f t="shared" si="32"/>
        <v>0.22842981446354749</v>
      </c>
      <c r="V87" s="416" t="str">
        <f t="shared" si="33"/>
        <v>Yes</v>
      </c>
      <c r="W87" s="417">
        <f t="shared" si="36"/>
        <v>1</v>
      </c>
      <c r="X87" s="415">
        <f>SUM($W$4:W87)/COUNT($W$4:W87)</f>
        <v>0.52380952380952384</v>
      </c>
      <c r="Z87" s="389">
        <v>2128.0700000000002</v>
      </c>
      <c r="AA87" s="390">
        <f t="shared" si="41"/>
        <v>-9.2599489748411701E-3</v>
      </c>
      <c r="AB87" s="390">
        <f t="shared" si="42"/>
        <v>0.415994623655914</v>
      </c>
    </row>
    <row r="88" spans="1:28">
      <c r="A88" s="403">
        <f t="shared" si="34"/>
        <v>86</v>
      </c>
      <c r="B88" s="422">
        <f t="shared" si="24"/>
        <v>38338</v>
      </c>
      <c r="C88" s="385"/>
      <c r="D88" s="411">
        <v>29715.39</v>
      </c>
      <c r="E88" s="408">
        <f>D88+SUM(Holdings_Old!$E$32:$E$34)</f>
        <v>29715.39</v>
      </c>
      <c r="F88" s="408">
        <f t="shared" si="38"/>
        <v>218.14999999999782</v>
      </c>
      <c r="G88" s="409">
        <f t="shared" si="37"/>
        <v>7.3956071822312008E-3</v>
      </c>
      <c r="H88" s="408">
        <f t="shared" si="22"/>
        <v>6859.5400000000009</v>
      </c>
      <c r="I88" s="409">
        <f t="shared" si="23"/>
        <v>0.300121850642177</v>
      </c>
      <c r="K88" s="385"/>
      <c r="L88" s="382">
        <v>1194.2</v>
      </c>
      <c r="M88" s="415">
        <f t="shared" si="39"/>
        <v>5.218855218855234E-3</v>
      </c>
      <c r="N88" s="415">
        <f t="shared" si="30"/>
        <v>0.28397557199380707</v>
      </c>
      <c r="O88" s="416" t="str">
        <f t="shared" si="31"/>
        <v>Yes</v>
      </c>
      <c r="P88" s="417">
        <f t="shared" si="35"/>
        <v>1</v>
      </c>
      <c r="Q88" s="415">
        <f>SUM($P$4:P88)/COUNT($P$4:P88)</f>
        <v>0.55294117647058827</v>
      </c>
      <c r="S88" s="382">
        <v>10649.92</v>
      </c>
      <c r="T88" s="415">
        <f>(S88/S87)-1</f>
        <v>1.0120247893907308E-2</v>
      </c>
      <c r="U88" s="415">
        <f t="shared" si="32"/>
        <v>0.240861828706185</v>
      </c>
      <c r="V88" s="416" t="str">
        <f t="shared" si="33"/>
        <v>No</v>
      </c>
      <c r="W88" s="417">
        <f t="shared" si="36"/>
        <v>0</v>
      </c>
      <c r="X88" s="415">
        <f>SUM($W$4:W88)/COUNT($W$4:W88)</f>
        <v>0.51764705882352946</v>
      </c>
      <c r="Z88" s="389">
        <v>2135.1999999999998</v>
      </c>
      <c r="AA88" s="390">
        <f t="shared" si="41"/>
        <v>3.350453697481548E-3</v>
      </c>
      <c r="AB88" s="390">
        <f t="shared" si="42"/>
        <v>0.42073884807835604</v>
      </c>
    </row>
    <row r="89" spans="1:28">
      <c r="A89" s="403">
        <f t="shared" si="34"/>
        <v>87</v>
      </c>
      <c r="B89" s="422">
        <f t="shared" si="24"/>
        <v>38345</v>
      </c>
      <c r="C89" s="385"/>
      <c r="D89" s="411">
        <v>30168.52</v>
      </c>
      <c r="E89" s="408">
        <f>D89+SUM(Holdings_Old!$E$32:$E$34)</f>
        <v>30168.52</v>
      </c>
      <c r="F89" s="408">
        <f t="shared" si="38"/>
        <v>453.13000000000102</v>
      </c>
      <c r="G89" s="409">
        <f t="shared" si="37"/>
        <v>1.5249000602044926E-2</v>
      </c>
      <c r="H89" s="408">
        <f t="shared" si="22"/>
        <v>7312.6700000000019</v>
      </c>
      <c r="I89" s="409">
        <f t="shared" si="23"/>
        <v>0.31994740952535139</v>
      </c>
      <c r="K89" s="385"/>
      <c r="L89" s="382">
        <v>1210.1300000000001</v>
      </c>
      <c r="M89" s="415">
        <f t="shared" si="39"/>
        <v>1.3339474124937301E-2</v>
      </c>
      <c r="N89" s="415">
        <f t="shared" si="30"/>
        <v>0.30110313091346996</v>
      </c>
      <c r="O89" s="416" t="str">
        <f t="shared" si="31"/>
        <v>Yes</v>
      </c>
      <c r="P89" s="417">
        <f t="shared" si="35"/>
        <v>1</v>
      </c>
      <c r="Q89" s="415">
        <f>SUM($P$4:P89)/COUNT($P$4:P89)</f>
        <v>0.55813953488372092</v>
      </c>
      <c r="S89" s="382">
        <v>10827.12</v>
      </c>
      <c r="T89" s="415">
        <f>(S89/S88)-1</f>
        <v>1.6638622637541012E-2</v>
      </c>
      <c r="U89" s="415">
        <f t="shared" si="32"/>
        <v>0.26150806041935626</v>
      </c>
      <c r="V89" s="416" t="str">
        <f t="shared" si="33"/>
        <v>No</v>
      </c>
      <c r="W89" s="417">
        <f t="shared" si="36"/>
        <v>0</v>
      </c>
      <c r="X89" s="415">
        <f>SUM($W$4:W89)/COUNT($W$4:W89)</f>
        <v>0.51162790697674421</v>
      </c>
      <c r="Z89" s="389">
        <v>2160.62</v>
      </c>
      <c r="AA89" s="390">
        <f t="shared" si="41"/>
        <v>1.1905207943049945E-2</v>
      </c>
      <c r="AB89" s="390">
        <f t="shared" si="42"/>
        <v>0.43765303949749801</v>
      </c>
    </row>
    <row r="90" spans="1:28">
      <c r="A90" s="403">
        <f t="shared" si="34"/>
        <v>88</v>
      </c>
      <c r="B90" s="422">
        <f t="shared" si="24"/>
        <v>38352</v>
      </c>
      <c r="C90" s="385"/>
      <c r="D90" s="411">
        <v>30139.25</v>
      </c>
      <c r="E90" s="408">
        <f>D90+SUM(Holdings_Old!$E$32:$E$34)</f>
        <v>30139.25</v>
      </c>
      <c r="F90" s="408">
        <f t="shared" si="38"/>
        <v>-29.270000000000437</v>
      </c>
      <c r="G90" s="409">
        <f t="shared" si="37"/>
        <v>-9.7021663641438938E-4</v>
      </c>
      <c r="H90" s="408">
        <f t="shared" si="22"/>
        <v>7283.4000000000015</v>
      </c>
      <c r="I90" s="409">
        <f t="shared" si="23"/>
        <v>0.31866677458943782</v>
      </c>
      <c r="K90" s="385"/>
      <c r="L90" s="382">
        <v>1211.92</v>
      </c>
      <c r="M90" s="415">
        <f t="shared" si="39"/>
        <v>1.4791799228182079E-3</v>
      </c>
      <c r="N90" s="415">
        <f t="shared" si="30"/>
        <v>0.30302769654223294</v>
      </c>
      <c r="O90" s="416" t="str">
        <f t="shared" si="31"/>
        <v>No</v>
      </c>
      <c r="P90" s="417">
        <f t="shared" si="35"/>
        <v>0</v>
      </c>
      <c r="Q90" s="415">
        <f>SUM($P$4:P90)/COUNT($P$4:P90)</f>
        <v>0.55172413793103448</v>
      </c>
      <c r="S90" s="382">
        <v>10783.01</v>
      </c>
      <c r="T90" s="415">
        <f t="shared" si="40"/>
        <v>-4.0740289199714397E-3</v>
      </c>
      <c r="U90" s="415">
        <f t="shared" si="32"/>
        <v>0.25636864009843086</v>
      </c>
      <c r="V90" s="416" t="str">
        <f t="shared" si="33"/>
        <v>Yes</v>
      </c>
      <c r="W90" s="417">
        <f t="shared" si="36"/>
        <v>1</v>
      </c>
      <c r="X90" s="415">
        <f>SUM($W$4:W90)/COUNT($W$4:W90)</f>
        <v>0.51724137931034486</v>
      </c>
      <c r="Z90" s="389">
        <v>2175.44</v>
      </c>
      <c r="AA90" s="390">
        <f t="shared" si="41"/>
        <v>6.859142283233588E-3</v>
      </c>
      <c r="AB90" s="390">
        <f t="shared" si="42"/>
        <v>0.44751410624933463</v>
      </c>
    </row>
    <row r="91" spans="1:28">
      <c r="A91" s="403">
        <f t="shared" si="34"/>
        <v>89</v>
      </c>
      <c r="B91" s="422">
        <f t="shared" si="24"/>
        <v>38359</v>
      </c>
      <c r="C91" s="385"/>
      <c r="D91" s="411">
        <v>29517.05</v>
      </c>
      <c r="E91" s="408">
        <f>D91+SUM(Holdings_Old!$E$32:$E$34)</f>
        <v>29517.05</v>
      </c>
      <c r="F91" s="408">
        <f t="shared" si="38"/>
        <v>-622.20000000000073</v>
      </c>
      <c r="G91" s="409">
        <f t="shared" si="37"/>
        <v>-2.0644176613552112E-2</v>
      </c>
      <c r="H91" s="408">
        <f t="shared" si="22"/>
        <v>6661.2000000000007</v>
      </c>
      <c r="I91" s="409">
        <f t="shared" si="23"/>
        <v>0.29144398480039024</v>
      </c>
      <c r="K91" s="385"/>
      <c r="L91" s="382">
        <v>1186.19</v>
      </c>
      <c r="M91" s="415">
        <f t="shared" si="39"/>
        <v>-2.1230774308535261E-2</v>
      </c>
      <c r="N91" s="415">
        <f t="shared" si="30"/>
        <v>0.27536340959917416</v>
      </c>
      <c r="O91" s="416" t="str">
        <f t="shared" si="31"/>
        <v>Yes</v>
      </c>
      <c r="P91" s="417">
        <f t="shared" si="35"/>
        <v>1</v>
      </c>
      <c r="Q91" s="415">
        <f>SUM($P$4:P91)/COUNT($P$4:P91)</f>
        <v>0.55681818181818177</v>
      </c>
      <c r="S91" s="382">
        <v>10603.96</v>
      </c>
      <c r="T91" s="415">
        <f t="shared" si="40"/>
        <v>-1.6604825554274782E-2</v>
      </c>
      <c r="U91" s="415">
        <f t="shared" si="32"/>
        <v>0.23550685799773485</v>
      </c>
      <c r="V91" s="416" t="str">
        <f t="shared" si="33"/>
        <v>No</v>
      </c>
      <c r="W91" s="417">
        <f t="shared" si="36"/>
        <v>0</v>
      </c>
      <c r="X91" s="415">
        <f>SUM($W$4:W91)/COUNT($W$4:W91)</f>
        <v>0.51136363636363635</v>
      </c>
      <c r="Z91" s="389">
        <v>2088.61</v>
      </c>
      <c r="AA91" s="390">
        <f t="shared" si="41"/>
        <v>-3.9913764571764765E-2</v>
      </c>
      <c r="AB91" s="390">
        <f t="shared" si="42"/>
        <v>0.38973836899819014</v>
      </c>
    </row>
    <row r="92" spans="1:28">
      <c r="A92" s="403">
        <f t="shared" si="34"/>
        <v>90</v>
      </c>
      <c r="B92" s="422">
        <f t="shared" si="24"/>
        <v>38366</v>
      </c>
      <c r="C92" s="385"/>
      <c r="D92" s="411">
        <v>29620.68</v>
      </c>
      <c r="E92" s="408">
        <f>D92+SUM(Holdings_Old!$E$32:$E$34)</f>
        <v>29620.68</v>
      </c>
      <c r="F92" s="408">
        <f t="shared" si="38"/>
        <v>103.63000000000102</v>
      </c>
      <c r="G92" s="409">
        <f t="shared" si="37"/>
        <v>3.5108522023712396E-3</v>
      </c>
      <c r="H92" s="408">
        <f t="shared" si="22"/>
        <v>6764.8300000000017</v>
      </c>
      <c r="I92" s="409">
        <f t="shared" si="23"/>
        <v>0.29597805375866582</v>
      </c>
      <c r="K92" s="385"/>
      <c r="L92" s="382">
        <v>1184.52</v>
      </c>
      <c r="M92" s="415">
        <f t="shared" si="39"/>
        <v>-1.4078688911557391E-3</v>
      </c>
      <c r="N92" s="415">
        <f t="shared" si="30"/>
        <v>0.27356786512988118</v>
      </c>
      <c r="O92" s="416" t="str">
        <f t="shared" si="31"/>
        <v>Yes</v>
      </c>
      <c r="P92" s="417">
        <f t="shared" si="35"/>
        <v>1</v>
      </c>
      <c r="Q92" s="415">
        <f>SUM($P$4:P92)/COUNT($P$4:P92)</f>
        <v>0.5617977528089888</v>
      </c>
      <c r="S92" s="382">
        <v>10558</v>
      </c>
      <c r="T92" s="415">
        <f t="shared" si="40"/>
        <v>-4.3342298537526469E-3</v>
      </c>
      <c r="U92" s="415">
        <f t="shared" si="32"/>
        <v>0.23015188728928493</v>
      </c>
      <c r="V92" s="416" t="str">
        <f t="shared" si="33"/>
        <v>Yes</v>
      </c>
      <c r="W92" s="417">
        <f t="shared" si="36"/>
        <v>1</v>
      </c>
      <c r="X92" s="415">
        <f>SUM($W$4:W92)/COUNT($W$4:W92)</f>
        <v>0.5168539325842697</v>
      </c>
      <c r="Z92" s="389">
        <v>2087.91</v>
      </c>
      <c r="AA92" s="390">
        <f t="shared" si="41"/>
        <v>-3.3515112922000156E-4</v>
      </c>
      <c r="AB92" s="390">
        <f t="shared" si="42"/>
        <v>0.38927259661449987</v>
      </c>
    </row>
    <row r="93" spans="1:28">
      <c r="A93" s="403">
        <f t="shared" si="34"/>
        <v>91</v>
      </c>
      <c r="B93" s="422">
        <f t="shared" si="24"/>
        <v>38373</v>
      </c>
      <c r="C93" s="385"/>
      <c r="D93" s="411">
        <v>29153.360000000001</v>
      </c>
      <c r="E93" s="408">
        <f>D93+SUM(Holdings_Old!$E$32:$E$34)</f>
        <v>29153.360000000001</v>
      </c>
      <c r="F93" s="408">
        <f t="shared" si="38"/>
        <v>-467.31999999999971</v>
      </c>
      <c r="G93" s="409">
        <f t="shared" si="37"/>
        <v>-1.5776815387087639E-2</v>
      </c>
      <c r="H93" s="408">
        <f t="shared" si="22"/>
        <v>6297.510000000002</v>
      </c>
      <c r="I93" s="409">
        <f t="shared" si="23"/>
        <v>0.27553164725879808</v>
      </c>
      <c r="K93" s="385"/>
      <c r="L93" s="382">
        <v>1167.8699999999999</v>
      </c>
      <c r="M93" s="415">
        <f t="shared" si="39"/>
        <v>-1.4056326613311798E-2</v>
      </c>
      <c r="N93" s="415">
        <f t="shared" si="30"/>
        <v>0.25566617925339741</v>
      </c>
      <c r="O93" s="416" t="str">
        <f t="shared" si="31"/>
        <v>No</v>
      </c>
      <c r="P93" s="417">
        <f t="shared" si="35"/>
        <v>0</v>
      </c>
      <c r="Q93" s="415">
        <f>SUM($P$4:P93)/COUNT($P$4:P93)</f>
        <v>0.55555555555555558</v>
      </c>
      <c r="S93" s="382">
        <v>10392.99</v>
      </c>
      <c r="T93" s="415">
        <f t="shared" si="40"/>
        <v>-1.5628906989960223E-2</v>
      </c>
      <c r="U93" s="415">
        <f t="shared" si="32"/>
        <v>0.21092595785931656</v>
      </c>
      <c r="V93" s="416" t="str">
        <f t="shared" si="33"/>
        <v>No</v>
      </c>
      <c r="W93" s="417">
        <f t="shared" si="36"/>
        <v>0</v>
      </c>
      <c r="X93" s="415">
        <f>SUM($W$4:W93)/COUNT($W$4:W93)</f>
        <v>0.51111111111111107</v>
      </c>
      <c r="Z93" s="389">
        <v>2034.27</v>
      </c>
      <c r="AA93" s="390">
        <f t="shared" si="41"/>
        <v>-2.5690762532867728E-2</v>
      </c>
      <c r="AB93" s="390">
        <f t="shared" si="42"/>
        <v>0.35358112424145638</v>
      </c>
    </row>
    <row r="94" spans="1:28">
      <c r="A94" s="403">
        <f t="shared" si="34"/>
        <v>92</v>
      </c>
      <c r="B94" s="422">
        <f t="shared" si="24"/>
        <v>38380</v>
      </c>
      <c r="C94" s="385"/>
      <c r="D94" s="411">
        <v>29468</v>
      </c>
      <c r="E94" s="408">
        <f>D94+SUM(Holdings_Old!$E$32:$E$34)</f>
        <v>29468</v>
      </c>
      <c r="F94" s="408">
        <f t="shared" si="38"/>
        <v>314.63999999999942</v>
      </c>
      <c r="G94" s="409">
        <f t="shared" si="37"/>
        <v>1.0792581026680903E-2</v>
      </c>
      <c r="H94" s="408">
        <f t="shared" si="22"/>
        <v>6612.1500000000015</v>
      </c>
      <c r="I94" s="409">
        <f t="shared" si="23"/>
        <v>0.28929792591393455</v>
      </c>
      <c r="K94" s="385"/>
      <c r="L94" s="382">
        <v>1171.3599999999999</v>
      </c>
      <c r="M94" s="415">
        <f t="shared" si="39"/>
        <v>2.9883463056676884E-3</v>
      </c>
      <c r="N94" s="415">
        <f t="shared" si="30"/>
        <v>0.25941854464132108</v>
      </c>
      <c r="O94" s="416" t="str">
        <f t="shared" si="31"/>
        <v>Yes</v>
      </c>
      <c r="P94" s="417">
        <f t="shared" si="35"/>
        <v>1</v>
      </c>
      <c r="Q94" s="415">
        <f>SUM($P$4:P94)/COUNT($P$4:P94)</f>
        <v>0.56043956043956045</v>
      </c>
      <c r="S94" s="382">
        <v>10427.200000000001</v>
      </c>
      <c r="T94" s="415">
        <f t="shared" si="40"/>
        <v>3.2916417700779022E-3</v>
      </c>
      <c r="U94" s="415">
        <f t="shared" si="32"/>
        <v>0.21491189232267782</v>
      </c>
      <c r="V94" s="416" t="str">
        <f t="shared" si="33"/>
        <v>Yes</v>
      </c>
      <c r="W94" s="417">
        <f t="shared" si="36"/>
        <v>1</v>
      </c>
      <c r="X94" s="415">
        <f>SUM($W$4:W94)/COUNT($W$4:W94)</f>
        <v>0.51648351648351654</v>
      </c>
      <c r="Z94" s="389">
        <v>2035.83</v>
      </c>
      <c r="AA94" s="390">
        <f t="shared" si="41"/>
        <v>7.668598563612683E-4</v>
      </c>
      <c r="AB94" s="390">
        <f t="shared" si="42"/>
        <v>0.3546191312679654</v>
      </c>
    </row>
    <row r="95" spans="1:28">
      <c r="A95" s="403">
        <f t="shared" si="34"/>
        <v>93</v>
      </c>
      <c r="B95" s="422">
        <f t="shared" si="24"/>
        <v>38387</v>
      </c>
      <c r="C95" s="385"/>
      <c r="D95" s="411">
        <v>30195.15</v>
      </c>
      <c r="E95" s="408">
        <f>D95+SUM(Holdings_Old!$E$32:$E$34)</f>
        <v>30195.15</v>
      </c>
      <c r="F95" s="408">
        <f t="shared" si="38"/>
        <v>727.15000000000146</v>
      </c>
      <c r="G95" s="409">
        <f t="shared" si="37"/>
        <v>2.4675919641645283E-2</v>
      </c>
      <c r="H95" s="408">
        <f t="shared" si="22"/>
        <v>7339.3000000000029</v>
      </c>
      <c r="I95" s="409">
        <f t="shared" si="23"/>
        <v>0.32111253792792671</v>
      </c>
      <c r="K95" s="385"/>
      <c r="L95" s="382">
        <v>1203.03</v>
      </c>
      <c r="M95" s="415">
        <f t="shared" si="39"/>
        <v>2.7036948504302716E-2</v>
      </c>
      <c r="N95" s="415">
        <f t="shared" si="30"/>
        <v>0.2934693789781524</v>
      </c>
      <c r="O95" s="416" t="str">
        <f t="shared" si="31"/>
        <v>No</v>
      </c>
      <c r="P95" s="417">
        <f t="shared" si="35"/>
        <v>0</v>
      </c>
      <c r="Q95" s="415">
        <f>SUM($P$4:P95)/COUNT($P$4:P95)</f>
        <v>0.55434782608695654</v>
      </c>
      <c r="S95" s="382">
        <v>10716.13</v>
      </c>
      <c r="T95" s="415">
        <f t="shared" si="40"/>
        <v>2.7709260395887503E-2</v>
      </c>
      <c r="U95" s="415">
        <f t="shared" si="32"/>
        <v>0.24857620230510746</v>
      </c>
      <c r="V95" s="416" t="str">
        <f t="shared" si="33"/>
        <v>No</v>
      </c>
      <c r="W95" s="417">
        <f t="shared" si="36"/>
        <v>0</v>
      </c>
      <c r="X95" s="415">
        <f>SUM($W$4:W95)/COUNT($W$4:W95)</f>
        <v>0.51086956521739135</v>
      </c>
      <c r="Z95" s="389">
        <v>2086.66</v>
      </c>
      <c r="AA95" s="390">
        <f t="shared" si="41"/>
        <v>2.4967703590181856E-2</v>
      </c>
      <c r="AB95" s="390">
        <f t="shared" si="42"/>
        <v>0.38844086021505353</v>
      </c>
    </row>
    <row r="96" spans="1:28">
      <c r="A96" s="403">
        <f t="shared" si="34"/>
        <v>94</v>
      </c>
      <c r="B96" s="422">
        <f t="shared" si="24"/>
        <v>38394</v>
      </c>
      <c r="C96" s="385"/>
      <c r="D96" s="411">
        <v>30017.11</v>
      </c>
      <c r="E96" s="408">
        <f>D96+SUM(Holdings_Old!$E$32:$E$34)</f>
        <v>30017.11</v>
      </c>
      <c r="F96" s="408">
        <f t="shared" si="38"/>
        <v>-178.04000000000087</v>
      </c>
      <c r="G96" s="409">
        <f t="shared" si="37"/>
        <v>-5.8963111625542908E-3</v>
      </c>
      <c r="H96" s="408">
        <f t="shared" si="22"/>
        <v>7161.260000000002</v>
      </c>
      <c r="I96" s="409">
        <f t="shared" si="23"/>
        <v>0.31332284732355187</v>
      </c>
      <c r="K96" s="385"/>
      <c r="L96" s="382">
        <v>1205.3</v>
      </c>
      <c r="M96" s="415">
        <f t="shared" si="39"/>
        <v>1.8869022385143985E-3</v>
      </c>
      <c r="N96" s="415">
        <f t="shared" si="30"/>
        <v>0.29591002924479604</v>
      </c>
      <c r="O96" s="416" t="str">
        <f t="shared" si="31"/>
        <v>No</v>
      </c>
      <c r="P96" s="417">
        <f t="shared" si="35"/>
        <v>0</v>
      </c>
      <c r="Q96" s="415">
        <f>SUM($P$4:P96)/COUNT($P$4:P96)</f>
        <v>0.54838709677419351</v>
      </c>
      <c r="S96" s="382">
        <v>10796.01</v>
      </c>
      <c r="T96" s="415">
        <f t="shared" si="40"/>
        <v>7.4541835532044853E-3</v>
      </c>
      <c r="U96" s="415">
        <f t="shared" si="32"/>
        <v>0.25788331849725266</v>
      </c>
      <c r="V96" s="416" t="str">
        <f t="shared" si="33"/>
        <v>No</v>
      </c>
      <c r="W96" s="417">
        <f t="shared" si="36"/>
        <v>0</v>
      </c>
      <c r="X96" s="415">
        <f>SUM($W$4:W96)/COUNT($W$4:W96)</f>
        <v>0.5053763440860215</v>
      </c>
      <c r="Z96" s="389">
        <v>2076.66</v>
      </c>
      <c r="AA96" s="390">
        <f t="shared" si="41"/>
        <v>-4.7923475793852921E-3</v>
      </c>
      <c r="AB96" s="390">
        <f t="shared" si="42"/>
        <v>0.38178696901948239</v>
      </c>
    </row>
    <row r="97" spans="1:28">
      <c r="A97" s="403">
        <f t="shared" si="34"/>
        <v>95</v>
      </c>
      <c r="B97" s="422">
        <f t="shared" si="24"/>
        <v>38401</v>
      </c>
      <c r="C97" s="385"/>
      <c r="D97" s="411">
        <v>30045.41</v>
      </c>
      <c r="E97" s="408">
        <f>D97+SUM(Holdings_Old!$E$32:$E$34)</f>
        <v>30045.41</v>
      </c>
      <c r="F97" s="408">
        <f t="shared" si="38"/>
        <v>28.299999999999272</v>
      </c>
      <c r="G97" s="409">
        <f t="shared" si="37"/>
        <v>9.4279562556143226E-4</v>
      </c>
      <c r="H97" s="408">
        <f t="shared" si="22"/>
        <v>7189.5600000000013</v>
      </c>
      <c r="I97" s="409">
        <f t="shared" si="23"/>
        <v>0.31456104235895843</v>
      </c>
      <c r="K97" s="385"/>
      <c r="L97" s="382">
        <v>1201.5899999999999</v>
      </c>
      <c r="M97" s="415">
        <f t="shared" si="39"/>
        <v>-3.0780718493321757E-3</v>
      </c>
      <c r="N97" s="415">
        <f t="shared" si="30"/>
        <v>0.2919211250645104</v>
      </c>
      <c r="O97" s="416" t="str">
        <f t="shared" si="31"/>
        <v>Yes</v>
      </c>
      <c r="P97" s="417">
        <f t="shared" si="35"/>
        <v>1</v>
      </c>
      <c r="Q97" s="415">
        <f>SUM($P$4:P97)/COUNT($P$4:P97)</f>
        <v>0.55319148936170215</v>
      </c>
      <c r="S97" s="382">
        <v>10785.22</v>
      </c>
      <c r="T97" s="415">
        <f t="shared" si="40"/>
        <v>-9.9944331285362065E-4</v>
      </c>
      <c r="U97" s="415">
        <f t="shared" si="32"/>
        <v>0.25662613542623047</v>
      </c>
      <c r="V97" s="416" t="str">
        <f t="shared" si="33"/>
        <v>Yes</v>
      </c>
      <c r="W97" s="417">
        <f t="shared" si="36"/>
        <v>1</v>
      </c>
      <c r="X97" s="415">
        <f>SUM($W$4:W97)/COUNT($W$4:W97)</f>
        <v>0.51063829787234039</v>
      </c>
      <c r="Z97" s="389">
        <v>2058.62</v>
      </c>
      <c r="AA97" s="390">
        <f t="shared" si="41"/>
        <v>-8.6870262825883282E-3</v>
      </c>
      <c r="AB97" s="390">
        <f t="shared" si="42"/>
        <v>0.36978334930267209</v>
      </c>
    </row>
    <row r="98" spans="1:28">
      <c r="A98" s="403">
        <f t="shared" si="34"/>
        <v>96</v>
      </c>
      <c r="B98" s="422">
        <f t="shared" si="24"/>
        <v>38408</v>
      </c>
      <c r="C98" s="385"/>
      <c r="D98" s="411">
        <v>30331.03</v>
      </c>
      <c r="E98" s="408">
        <f>D98+SUM(Holdings_Old!$E$32:$E$34)</f>
        <v>30331.03</v>
      </c>
      <c r="F98" s="408">
        <f t="shared" si="38"/>
        <v>285.61999999999898</v>
      </c>
      <c r="G98" s="409">
        <f t="shared" si="37"/>
        <v>9.5062773315457427E-3</v>
      </c>
      <c r="H98" s="408">
        <f t="shared" si="22"/>
        <v>7475.18</v>
      </c>
      <c r="I98" s="409">
        <f t="shared" si="23"/>
        <v>0.32705762419686857</v>
      </c>
      <c r="K98" s="385"/>
      <c r="L98" s="382">
        <v>1211.3699999999999</v>
      </c>
      <c r="M98" s="415">
        <f t="shared" si="39"/>
        <v>8.1392155394102161E-3</v>
      </c>
      <c r="N98" s="415">
        <f t="shared" si="30"/>
        <v>0.30243634956132781</v>
      </c>
      <c r="O98" s="416" t="str">
        <f t="shared" si="31"/>
        <v>Yes</v>
      </c>
      <c r="P98" s="417">
        <f t="shared" si="35"/>
        <v>1</v>
      </c>
      <c r="Q98" s="415">
        <f>SUM($P$4:P98)/COUNT($P$4:P98)</f>
        <v>0.55789473684210522</v>
      </c>
      <c r="S98" s="382">
        <v>10841.6</v>
      </c>
      <c r="T98" s="415">
        <f t="shared" si="40"/>
        <v>5.2275243342279065E-3</v>
      </c>
      <c r="U98" s="415">
        <f t="shared" si="32"/>
        <v>0.26319517912819768</v>
      </c>
      <c r="V98" s="416" t="str">
        <f t="shared" si="33"/>
        <v>Yes</v>
      </c>
      <c r="W98" s="417">
        <f t="shared" si="36"/>
        <v>1</v>
      </c>
      <c r="X98" s="415">
        <f>SUM($W$4:W98)/COUNT($W$4:W98)</f>
        <v>0.51578947368421058</v>
      </c>
      <c r="Z98" s="389">
        <v>2065.4</v>
      </c>
      <c r="AA98" s="390">
        <f t="shared" si="41"/>
        <v>3.2934684400229841E-3</v>
      </c>
      <c r="AB98" s="390">
        <f t="shared" si="42"/>
        <v>0.37429468753326933</v>
      </c>
    </row>
    <row r="99" spans="1:28">
      <c r="A99" s="403">
        <f t="shared" si="34"/>
        <v>97</v>
      </c>
      <c r="B99" s="422">
        <f t="shared" si="24"/>
        <v>38415</v>
      </c>
      <c r="C99" s="385"/>
      <c r="D99" s="411">
        <v>30448.55</v>
      </c>
      <c r="E99" s="408">
        <f>D99+SUM(Holdings_Old!$E$32:$E$34)</f>
        <v>30448.55</v>
      </c>
      <c r="F99" s="408">
        <f t="shared" si="38"/>
        <v>117.52000000000044</v>
      </c>
      <c r="G99" s="409">
        <f t="shared" si="37"/>
        <v>3.874579926893329E-3</v>
      </c>
      <c r="H99" s="408">
        <f t="shared" si="22"/>
        <v>7592.7000000000007</v>
      </c>
      <c r="I99" s="409">
        <f t="shared" si="23"/>
        <v>0.33219941502941275</v>
      </c>
      <c r="K99" s="385"/>
      <c r="L99" s="382">
        <v>1222.1199999999999</v>
      </c>
      <c r="M99" s="415">
        <f t="shared" si="39"/>
        <v>8.874249816323676E-3</v>
      </c>
      <c r="N99" s="415">
        <f t="shared" si="30"/>
        <v>0.31399449509719579</v>
      </c>
      <c r="O99" s="416" t="str">
        <f t="shared" si="31"/>
        <v>No</v>
      </c>
      <c r="P99" s="417">
        <f t="shared" si="35"/>
        <v>0</v>
      </c>
      <c r="Q99" s="415">
        <f>SUM($P$4:P99)/COUNT($P$4:P99)</f>
        <v>0.55208333333333337</v>
      </c>
      <c r="S99" s="382">
        <v>10940.55</v>
      </c>
      <c r="T99" s="415">
        <f t="shared" si="40"/>
        <v>9.1268816410861042E-3</v>
      </c>
      <c r="U99" s="415">
        <f t="shared" si="32"/>
        <v>0.27472421201769137</v>
      </c>
      <c r="V99" s="416" t="str">
        <f t="shared" si="33"/>
        <v>No</v>
      </c>
      <c r="W99" s="417">
        <f t="shared" si="36"/>
        <v>0</v>
      </c>
      <c r="X99" s="415">
        <f>SUM($W$4:W99)/COUNT($W$4:W99)</f>
        <v>0.51041666666666663</v>
      </c>
      <c r="Z99" s="389">
        <v>2070.61</v>
      </c>
      <c r="AA99" s="390">
        <f t="shared" si="41"/>
        <v>2.5225137987798796E-3</v>
      </c>
      <c r="AB99" s="390">
        <f t="shared" si="42"/>
        <v>0.37776136484616196</v>
      </c>
    </row>
    <row r="100" spans="1:28">
      <c r="A100" s="403">
        <f t="shared" si="34"/>
        <v>98</v>
      </c>
      <c r="B100" s="422">
        <f t="shared" si="24"/>
        <v>38422</v>
      </c>
      <c r="C100" s="385"/>
      <c r="D100" s="411">
        <v>30416.01</v>
      </c>
      <c r="E100" s="408">
        <f>D100+SUM(Holdings_Old!$E$32:$E$34)</f>
        <v>30416.01</v>
      </c>
      <c r="F100" s="408">
        <f t="shared" si="38"/>
        <v>-32.540000000000873</v>
      </c>
      <c r="G100" s="409">
        <f t="shared" si="37"/>
        <v>-1.068687999921214E-3</v>
      </c>
      <c r="H100" s="408">
        <f t="shared" si="22"/>
        <v>7560.16</v>
      </c>
      <c r="I100" s="409">
        <f t="shared" si="23"/>
        <v>0.3307757095010686</v>
      </c>
      <c r="K100" s="385"/>
      <c r="L100" s="382">
        <v>1200.08</v>
      </c>
      <c r="M100" s="415">
        <f t="shared" si="39"/>
        <v>-1.8034235590613013E-2</v>
      </c>
      <c r="N100" s="415">
        <f t="shared" si="30"/>
        <v>0.29029760880784439</v>
      </c>
      <c r="O100" s="416" t="str">
        <f t="shared" si="31"/>
        <v>Yes</v>
      </c>
      <c r="P100" s="417">
        <f t="shared" si="35"/>
        <v>1</v>
      </c>
      <c r="Q100" s="415">
        <f>SUM($P$4:P100)/COUNT($P$4:P100)</f>
        <v>0.55670103092783507</v>
      </c>
      <c r="S100" s="382">
        <v>10774.36</v>
      </c>
      <c r="T100" s="415">
        <f t="shared" si="40"/>
        <v>-1.5190278368089283E-2</v>
      </c>
      <c r="U100" s="415">
        <f t="shared" ref="U100:U131" si="43">(S100/$S$3)-1</f>
        <v>0.25536079639459941</v>
      </c>
      <c r="V100" s="416" t="str">
        <f t="shared" ref="V100:V131" si="44">IF(G100&gt;T100,"Yes","No")</f>
        <v>Yes</v>
      </c>
      <c r="W100" s="417">
        <f t="shared" si="36"/>
        <v>1</v>
      </c>
      <c r="X100" s="415">
        <f>SUM($W$4:W100)/COUNT($W$4:W100)</f>
        <v>0.51546391752577314</v>
      </c>
      <c r="Z100" s="389">
        <v>2041.6</v>
      </c>
      <c r="AA100" s="390">
        <f t="shared" si="41"/>
        <v>-1.4010364095604744E-2</v>
      </c>
      <c r="AB100" s="390">
        <f t="shared" si="42"/>
        <v>0.3584584264878099</v>
      </c>
    </row>
    <row r="101" spans="1:28">
      <c r="A101" s="403">
        <f t="shared" si="34"/>
        <v>99</v>
      </c>
      <c r="B101" s="422">
        <f t="shared" si="24"/>
        <v>38429</v>
      </c>
      <c r="C101" s="385"/>
      <c r="D101" s="411">
        <v>29982.94</v>
      </c>
      <c r="E101" s="408">
        <f>D101+SUM(Holdings_Old!$E$32:$E$34)</f>
        <v>29982.94</v>
      </c>
      <c r="F101" s="408">
        <f t="shared" si="38"/>
        <v>-433.06999999999971</v>
      </c>
      <c r="G101" s="409">
        <f t="shared" si="37"/>
        <v>-1.423822519784812E-2</v>
      </c>
      <c r="H101" s="408">
        <f t="shared" si="22"/>
        <v>7127.09</v>
      </c>
      <c r="I101" s="409">
        <f t="shared" si="23"/>
        <v>0.31182782526136643</v>
      </c>
      <c r="K101" s="385"/>
      <c r="L101" s="382">
        <v>1189.6500000000001</v>
      </c>
      <c r="M101" s="415">
        <f t="shared" si="39"/>
        <v>-8.6910872608491063E-3</v>
      </c>
      <c r="N101" s="415">
        <f t="shared" si="30"/>
        <v>0.27908351969723033</v>
      </c>
      <c r="O101" s="416" t="str">
        <f t="shared" si="31"/>
        <v>No</v>
      </c>
      <c r="P101" s="417">
        <f t="shared" si="35"/>
        <v>0</v>
      </c>
      <c r="Q101" s="415">
        <f>SUM($P$4:P101)/COUNT($P$4:P101)</f>
        <v>0.55102040816326525</v>
      </c>
      <c r="S101" s="382">
        <v>10629.67</v>
      </c>
      <c r="T101" s="415">
        <f t="shared" si="40"/>
        <v>-1.342910390965224E-2</v>
      </c>
      <c r="U101" s="415">
        <f t="shared" si="43"/>
        <v>0.23850242581571246</v>
      </c>
      <c r="V101" s="416" t="str">
        <f t="shared" si="44"/>
        <v>No</v>
      </c>
      <c r="W101" s="417">
        <f t="shared" si="36"/>
        <v>0</v>
      </c>
      <c r="X101" s="415">
        <f>SUM($W$4:W101)/COUNT($W$4:W101)</f>
        <v>0.51020408163265307</v>
      </c>
      <c r="Z101" s="389">
        <v>2007.79</v>
      </c>
      <c r="AA101" s="390">
        <f t="shared" si="41"/>
        <v>-1.6560540752351027E-2</v>
      </c>
      <c r="AB101" s="390">
        <f t="shared" si="42"/>
        <v>0.33596162035558375</v>
      </c>
    </row>
    <row r="102" spans="1:28">
      <c r="A102" s="403">
        <f t="shared" si="34"/>
        <v>100</v>
      </c>
      <c r="B102" s="422">
        <f t="shared" si="24"/>
        <v>38436</v>
      </c>
      <c r="C102" s="385"/>
      <c r="D102" s="411">
        <v>29314.02</v>
      </c>
      <c r="E102" s="408">
        <f>D102+SUM(Holdings_Old!$E$32:$E$34)</f>
        <v>29314.02</v>
      </c>
      <c r="F102" s="408">
        <f t="shared" si="38"/>
        <v>-668.91999999999825</v>
      </c>
      <c r="G102" s="409">
        <f t="shared" si="37"/>
        <v>-2.2310020298209499E-2</v>
      </c>
      <c r="H102" s="408">
        <f t="shared" si="22"/>
        <v>6458.1700000000019</v>
      </c>
      <c r="I102" s="409">
        <f t="shared" si="23"/>
        <v>0.28256091985202914</v>
      </c>
      <c r="K102" s="385"/>
      <c r="L102" s="382">
        <v>1171.42</v>
      </c>
      <c r="M102" s="415">
        <f t="shared" si="39"/>
        <v>-1.5323834741310494E-2</v>
      </c>
      <c r="N102" s="415">
        <f t="shared" si="30"/>
        <v>0.2594830552210563</v>
      </c>
      <c r="O102" s="416" t="str">
        <f t="shared" si="31"/>
        <v>No</v>
      </c>
      <c r="P102" s="417">
        <f t="shared" si="35"/>
        <v>0</v>
      </c>
      <c r="Q102" s="415">
        <f>SUM($P$4:P102)/COUNT($P$4:P102)</f>
        <v>0.54545454545454541</v>
      </c>
      <c r="S102" s="382">
        <v>10442.870000000001</v>
      </c>
      <c r="T102" s="415">
        <f t="shared" si="40"/>
        <v>-1.7573452421382751E-2</v>
      </c>
      <c r="U102" s="415">
        <f t="shared" si="43"/>
        <v>0.21673766236187308</v>
      </c>
      <c r="V102" s="416" t="str">
        <f t="shared" si="44"/>
        <v>No</v>
      </c>
      <c r="W102" s="417">
        <f t="shared" si="36"/>
        <v>0</v>
      </c>
      <c r="X102" s="415">
        <f>SUM($W$4:W102)/COUNT($W$4:W102)</f>
        <v>0.50505050505050508</v>
      </c>
      <c r="Z102" s="389">
        <v>1991.06</v>
      </c>
      <c r="AA102" s="390">
        <f t="shared" si="41"/>
        <v>-8.3325447382445184E-3</v>
      </c>
      <c r="AB102" s="390">
        <f t="shared" si="42"/>
        <v>0.32482966038539329</v>
      </c>
    </row>
    <row r="103" spans="1:28">
      <c r="A103" s="403">
        <f t="shared" si="34"/>
        <v>101</v>
      </c>
      <c r="B103" s="422">
        <f t="shared" si="24"/>
        <v>38443</v>
      </c>
      <c r="C103" s="385"/>
      <c r="D103" s="411">
        <v>29238.74</v>
      </c>
      <c r="E103" s="408">
        <f>D103+SUM(Holdings_Old!$E$32:$E$34)</f>
        <v>29238.74</v>
      </c>
      <c r="F103" s="408">
        <f t="shared" si="38"/>
        <v>-75.279999999998836</v>
      </c>
      <c r="G103" s="409">
        <f t="shared" si="37"/>
        <v>-2.5680544667704419E-3</v>
      </c>
      <c r="H103" s="408">
        <f t="shared" si="22"/>
        <v>6382.8900000000031</v>
      </c>
      <c r="I103" s="409">
        <f t="shared" si="23"/>
        <v>0.27926723355289806</v>
      </c>
      <c r="K103" s="385"/>
      <c r="L103" s="382">
        <v>1172.92</v>
      </c>
      <c r="M103" s="415">
        <f t="shared" si="39"/>
        <v>1.2804971743696214E-3</v>
      </c>
      <c r="N103" s="415">
        <f t="shared" si="30"/>
        <v>0.2610958197144333</v>
      </c>
      <c r="O103" s="416" t="str">
        <f t="shared" si="31"/>
        <v>No</v>
      </c>
      <c r="P103" s="417">
        <f t="shared" si="35"/>
        <v>0</v>
      </c>
      <c r="Q103" s="415">
        <f>SUM($P$4:P103)/COUNT($P$4:P103)</f>
        <v>0.54</v>
      </c>
      <c r="S103" s="382">
        <v>10404.299999999999</v>
      </c>
      <c r="T103" s="415">
        <f t="shared" si="40"/>
        <v>-3.6934291052174162E-3</v>
      </c>
      <c r="U103" s="415">
        <f t="shared" si="43"/>
        <v>0.21224372806629144</v>
      </c>
      <c r="V103" s="416" t="str">
        <f t="shared" si="44"/>
        <v>Yes</v>
      </c>
      <c r="W103" s="417">
        <f t="shared" si="36"/>
        <v>1</v>
      </c>
      <c r="X103" s="415">
        <f>SUM($W$4:W103)/COUNT($W$4:W103)</f>
        <v>0.51</v>
      </c>
      <c r="Z103" s="389">
        <v>1984.81</v>
      </c>
      <c r="AA103" s="390">
        <f t="shared" si="41"/>
        <v>-3.1390314706739586E-3</v>
      </c>
      <c r="AB103" s="390">
        <f t="shared" si="42"/>
        <v>0.32067097838816117</v>
      </c>
    </row>
    <row r="104" spans="1:28">
      <c r="A104" s="403">
        <f t="shared" si="34"/>
        <v>102</v>
      </c>
      <c r="B104" s="422">
        <f t="shared" si="24"/>
        <v>38450</v>
      </c>
      <c r="C104" s="385"/>
      <c r="D104" s="411">
        <v>29711.89</v>
      </c>
      <c r="E104" s="408">
        <f>D104+SUM(Holdings_Old!$E$32:$E$34)</f>
        <v>29711.89</v>
      </c>
      <c r="F104" s="408">
        <f t="shared" si="38"/>
        <v>473.14999999999782</v>
      </c>
      <c r="G104" s="409">
        <f t="shared" si="37"/>
        <v>1.6182297869196782E-2</v>
      </c>
      <c r="H104" s="408">
        <f t="shared" si="22"/>
        <v>6856.0400000000009</v>
      </c>
      <c r="I104" s="409">
        <f t="shared" si="23"/>
        <v>0.29996871698055427</v>
      </c>
      <c r="K104" s="385"/>
      <c r="L104" s="382">
        <v>1181.2</v>
      </c>
      <c r="M104" s="415">
        <f t="shared" si="39"/>
        <v>7.0593049824370091E-3</v>
      </c>
      <c r="N104" s="415">
        <f t="shared" si="30"/>
        <v>0.26999827971787371</v>
      </c>
      <c r="O104" s="416" t="str">
        <f t="shared" si="31"/>
        <v>Yes</v>
      </c>
      <c r="P104" s="417">
        <f t="shared" si="35"/>
        <v>1</v>
      </c>
      <c r="Q104" s="415">
        <f>SUM($P$4:P104)/COUNT($P$4:P104)</f>
        <v>0.54455445544554459</v>
      </c>
      <c r="S104" s="382">
        <v>10461.34</v>
      </c>
      <c r="T104" s="415">
        <f t="shared" si="40"/>
        <v>5.4823486443105196E-3</v>
      </c>
      <c r="U104" s="415">
        <f t="shared" si="43"/>
        <v>0.21888967082542976</v>
      </c>
      <c r="V104" s="416" t="str">
        <f t="shared" si="44"/>
        <v>Yes</v>
      </c>
      <c r="W104" s="417">
        <f t="shared" si="36"/>
        <v>1</v>
      </c>
      <c r="X104" s="415">
        <f>SUM($W$4:W104)/COUNT($W$4:W104)</f>
        <v>0.51485148514851486</v>
      </c>
      <c r="Z104" s="389">
        <v>1999.35</v>
      </c>
      <c r="AA104" s="390">
        <f t="shared" si="41"/>
        <v>7.3256382222983696E-3</v>
      </c>
      <c r="AB104" s="390">
        <f t="shared" si="42"/>
        <v>0.33034573618652163</v>
      </c>
    </row>
    <row r="105" spans="1:28">
      <c r="A105" s="403">
        <f t="shared" si="34"/>
        <v>103</v>
      </c>
      <c r="B105" s="422">
        <f t="shared" si="24"/>
        <v>38457</v>
      </c>
      <c r="C105" s="385"/>
      <c r="D105" s="411">
        <v>29034.68</v>
      </c>
      <c r="E105" s="408">
        <f>D105+SUM(Holdings_Old!$E$32:$E$34)</f>
        <v>29034.68</v>
      </c>
      <c r="F105" s="408">
        <f t="shared" si="38"/>
        <v>-677.20999999999913</v>
      </c>
      <c r="G105" s="409">
        <f t="shared" ref="G105:G136" si="45">(E105/E104)-1</f>
        <v>-2.2792558803899743E-2</v>
      </c>
      <c r="H105" s="408">
        <f t="shared" ref="H105:H168" si="46">E105-$D$3</f>
        <v>6178.8300000000017</v>
      </c>
      <c r="I105" s="409">
        <f t="shared" ref="I105:I168" si="47">(E105/$D$3)-1</f>
        <v>0.27033910355554491</v>
      </c>
      <c r="K105" s="385"/>
      <c r="L105" s="382">
        <v>1142.6199999999999</v>
      </c>
      <c r="M105" s="415">
        <f t="shared" si="39"/>
        <v>-3.2661699966136215E-2</v>
      </c>
      <c r="N105" s="415">
        <f t="shared" si="30"/>
        <v>0.22851797694821929</v>
      </c>
      <c r="O105" s="416" t="str">
        <f t="shared" si="31"/>
        <v>Yes</v>
      </c>
      <c r="P105" s="417">
        <f t="shared" si="35"/>
        <v>1</v>
      </c>
      <c r="Q105" s="415">
        <f>SUM($P$4:P105)/COUNT($P$4:P105)</f>
        <v>0.5490196078431373</v>
      </c>
      <c r="S105" s="382">
        <v>10087.51</v>
      </c>
      <c r="T105" s="415">
        <f t="shared" si="40"/>
        <v>-3.5734427903117538E-2</v>
      </c>
      <c r="U105" s="415">
        <f t="shared" si="43"/>
        <v>0.17533334576146387</v>
      </c>
      <c r="V105" s="416" t="str">
        <f t="shared" si="44"/>
        <v>Yes</v>
      </c>
      <c r="W105" s="417">
        <f t="shared" si="36"/>
        <v>1</v>
      </c>
      <c r="X105" s="415">
        <f>SUM($W$4:W105)/COUNT($W$4:W105)</f>
        <v>0.51960784313725494</v>
      </c>
      <c r="Z105" s="389">
        <v>1908.15</v>
      </c>
      <c r="AA105" s="390">
        <f t="shared" si="41"/>
        <v>-4.561482481806578E-2</v>
      </c>
      <c r="AB105" s="390">
        <f t="shared" si="42"/>
        <v>0.26966224848291276</v>
      </c>
    </row>
    <row r="106" spans="1:28">
      <c r="A106" s="403">
        <f t="shared" si="34"/>
        <v>104</v>
      </c>
      <c r="B106" s="422">
        <f t="shared" ref="B106:B169" si="48">B105+7</f>
        <v>38464</v>
      </c>
      <c r="C106" s="385"/>
      <c r="D106" s="411">
        <v>29163.84</v>
      </c>
      <c r="E106" s="408">
        <f>D106+SUM(Holdings_Old!$E$32:$E$34)</f>
        <v>29163.84</v>
      </c>
      <c r="F106" s="408">
        <f t="shared" ref="F106:F137" si="49">E106-E105</f>
        <v>129.15999999999985</v>
      </c>
      <c r="G106" s="409">
        <f t="shared" si="45"/>
        <v>4.4484733429126511E-3</v>
      </c>
      <c r="H106" s="408">
        <f t="shared" si="46"/>
        <v>6307.9900000000016</v>
      </c>
      <c r="I106" s="409">
        <f t="shared" si="47"/>
        <v>0.27599017319417141</v>
      </c>
      <c r="K106" s="385"/>
      <c r="L106" s="382">
        <v>1152.1199999999999</v>
      </c>
      <c r="M106" s="415">
        <f t="shared" si="39"/>
        <v>8.3142252017294194E-3</v>
      </c>
      <c r="N106" s="415">
        <f t="shared" si="30"/>
        <v>0.23873215207293974</v>
      </c>
      <c r="O106" s="416" t="str">
        <f t="shared" si="31"/>
        <v>No</v>
      </c>
      <c r="P106" s="417">
        <f t="shared" si="35"/>
        <v>0</v>
      </c>
      <c r="Q106" s="415">
        <f>SUM($P$4:P106)/COUNT($P$4:P106)</f>
        <v>0.5436893203883495</v>
      </c>
      <c r="S106" s="382">
        <v>10157.709999999999</v>
      </c>
      <c r="T106" s="415">
        <f t="shared" si="40"/>
        <v>6.9591009079543742E-3</v>
      </c>
      <c r="U106" s="415">
        <f t="shared" si="43"/>
        <v>0.18351260911510137</v>
      </c>
      <c r="V106" s="416" t="str">
        <f t="shared" si="44"/>
        <v>No</v>
      </c>
      <c r="W106" s="417">
        <f t="shared" si="36"/>
        <v>0</v>
      </c>
      <c r="X106" s="415">
        <f>SUM($W$4:W106)/COUNT($W$4:W106)</f>
        <v>0.5145631067961165</v>
      </c>
      <c r="Z106" s="389">
        <v>1932.19</v>
      </c>
      <c r="AA106" s="390">
        <f t="shared" si="41"/>
        <v>1.2598590257579367E-2</v>
      </c>
      <c r="AB106" s="390">
        <f t="shared" si="42"/>
        <v>0.28565820291706578</v>
      </c>
    </row>
    <row r="107" spans="1:28">
      <c r="A107" s="403">
        <f t="shared" si="34"/>
        <v>105</v>
      </c>
      <c r="B107" s="422">
        <f t="shared" si="48"/>
        <v>38471</v>
      </c>
      <c r="C107" s="385"/>
      <c r="D107" s="411">
        <v>29384.1</v>
      </c>
      <c r="E107" s="408">
        <f>D107+SUM(Holdings_Old!$E$32:$E$34)</f>
        <v>29384.1</v>
      </c>
      <c r="F107" s="408">
        <f t="shared" si="49"/>
        <v>220.2599999999984</v>
      </c>
      <c r="G107" s="409">
        <f t="shared" si="45"/>
        <v>7.5525033740411196E-3</v>
      </c>
      <c r="H107" s="408">
        <f t="shared" si="46"/>
        <v>6528.25</v>
      </c>
      <c r="I107" s="409">
        <f t="shared" si="47"/>
        <v>0.28562709328246383</v>
      </c>
      <c r="K107" s="385"/>
      <c r="L107" s="382">
        <v>1156.8499999999999</v>
      </c>
      <c r="M107" s="415">
        <f t="shared" si="39"/>
        <v>4.1054751241189624E-3</v>
      </c>
      <c r="N107" s="415">
        <f t="shared" si="30"/>
        <v>0.24381773610872171</v>
      </c>
      <c r="O107" s="416" t="str">
        <f t="shared" si="31"/>
        <v>Yes</v>
      </c>
      <c r="P107" s="417">
        <f t="shared" si="35"/>
        <v>1</v>
      </c>
      <c r="Q107" s="415">
        <f>SUM($P$4:P107)/COUNT($P$4:P107)</f>
        <v>0.54807692307692313</v>
      </c>
      <c r="S107" s="382">
        <v>10192.51</v>
      </c>
      <c r="T107" s="415">
        <f t="shared" si="40"/>
        <v>3.4259690422349109E-3</v>
      </c>
      <c r="U107" s="415">
        <f t="shared" si="43"/>
        <v>0.18756728667502465</v>
      </c>
      <c r="V107" s="416" t="str">
        <f t="shared" si="44"/>
        <v>Yes</v>
      </c>
      <c r="W107" s="417">
        <f t="shared" si="36"/>
        <v>1</v>
      </c>
      <c r="X107" s="415">
        <f>SUM($W$4:W107)/COUNT($W$4:W107)</f>
        <v>0.51923076923076927</v>
      </c>
      <c r="Z107" s="389">
        <v>1921.65</v>
      </c>
      <c r="AA107" s="390">
        <f t="shared" si="41"/>
        <v>-5.4549500825488151E-3</v>
      </c>
      <c r="AB107" s="390">
        <f t="shared" si="42"/>
        <v>0.27864500159693395</v>
      </c>
    </row>
    <row r="108" spans="1:28">
      <c r="A108" s="403">
        <f t="shared" si="34"/>
        <v>106</v>
      </c>
      <c r="B108" s="422">
        <f t="shared" si="48"/>
        <v>38478</v>
      </c>
      <c r="C108" s="385"/>
      <c r="D108" s="411">
        <v>29833.5</v>
      </c>
      <c r="E108" s="408">
        <f>D108+SUM(Holdings_Old!$E$32:$E$34)</f>
        <v>29833.5</v>
      </c>
      <c r="F108" s="408">
        <f t="shared" si="49"/>
        <v>449.40000000000146</v>
      </c>
      <c r="G108" s="409">
        <f t="shared" si="45"/>
        <v>1.5293985522782716E-2</v>
      </c>
      <c r="H108" s="408">
        <f t="shared" si="46"/>
        <v>6977.6500000000015</v>
      </c>
      <c r="I108" s="409">
        <f t="shared" si="47"/>
        <v>0.30528945543482311</v>
      </c>
      <c r="K108" s="385"/>
      <c r="L108" s="382">
        <v>1171.3499999999999</v>
      </c>
      <c r="M108" s="415">
        <f t="shared" si="39"/>
        <v>1.2534036391926406E-2</v>
      </c>
      <c r="N108" s="415">
        <f t="shared" si="30"/>
        <v>0.25940779287803184</v>
      </c>
      <c r="O108" s="416" t="str">
        <f t="shared" si="31"/>
        <v>Yes</v>
      </c>
      <c r="P108" s="417">
        <f t="shared" si="35"/>
        <v>1</v>
      </c>
      <c r="Q108" s="415">
        <f>SUM($P$4:P108)/COUNT($P$4:P108)</f>
        <v>0.55238095238095242</v>
      </c>
      <c r="S108" s="382">
        <v>10345.4</v>
      </c>
      <c r="T108" s="415">
        <f t="shared" si="40"/>
        <v>1.5000230561461159E-2</v>
      </c>
      <c r="U108" s="415">
        <f t="shared" si="43"/>
        <v>0.20538106978239878</v>
      </c>
      <c r="V108" s="416" t="str">
        <f t="shared" si="44"/>
        <v>Yes</v>
      </c>
      <c r="W108" s="417">
        <f t="shared" si="36"/>
        <v>1</v>
      </c>
      <c r="X108" s="415">
        <f>SUM($W$4:W108)/COUNT($W$4:W108)</f>
        <v>0.52380952380952384</v>
      </c>
      <c r="Z108" s="389">
        <v>1967.35</v>
      </c>
      <c r="AA108" s="390">
        <f t="shared" si="41"/>
        <v>2.3781645981318045E-2</v>
      </c>
      <c r="AB108" s="390">
        <f t="shared" si="42"/>
        <v>0.3090532843606939</v>
      </c>
    </row>
    <row r="109" spans="1:28">
      <c r="A109" s="403">
        <f t="shared" si="34"/>
        <v>107</v>
      </c>
      <c r="B109" s="422">
        <f t="shared" si="48"/>
        <v>38485</v>
      </c>
      <c r="C109" s="385"/>
      <c r="D109" s="411">
        <v>29673.86</v>
      </c>
      <c r="E109" s="408">
        <f>D109+SUM(Holdings_Old!$E$32:$E$34)</f>
        <v>29673.86</v>
      </c>
      <c r="F109" s="408">
        <f t="shared" si="49"/>
        <v>-159.63999999999942</v>
      </c>
      <c r="G109" s="409">
        <f t="shared" si="45"/>
        <v>-5.3510315584829327E-3</v>
      </c>
      <c r="H109" s="408">
        <f t="shared" si="46"/>
        <v>6818.010000000002</v>
      </c>
      <c r="I109" s="409">
        <f t="shared" si="47"/>
        <v>0.29830481036583634</v>
      </c>
      <c r="K109" s="385"/>
      <c r="L109" s="382">
        <v>1154.05</v>
      </c>
      <c r="M109" s="415">
        <f t="shared" si="39"/>
        <v>-1.4769283305587577E-2</v>
      </c>
      <c r="N109" s="415">
        <f t="shared" si="30"/>
        <v>0.24080724238775142</v>
      </c>
      <c r="O109" s="416" t="str">
        <f t="shared" si="31"/>
        <v>Yes</v>
      </c>
      <c r="P109" s="417">
        <f t="shared" si="35"/>
        <v>1</v>
      </c>
      <c r="Q109" s="415">
        <f>SUM($P$4:P109)/COUNT($P$4:P109)</f>
        <v>0.55660377358490565</v>
      </c>
      <c r="S109" s="382">
        <v>10140.120000000001</v>
      </c>
      <c r="T109" s="415">
        <f t="shared" si="40"/>
        <v>-1.9842635374175854E-2</v>
      </c>
      <c r="U109" s="415">
        <f t="shared" si="43"/>
        <v>0.1814631327277727</v>
      </c>
      <c r="V109" s="416" t="str">
        <f t="shared" si="44"/>
        <v>Yes</v>
      </c>
      <c r="W109" s="417">
        <f t="shared" si="36"/>
        <v>1</v>
      </c>
      <c r="X109" s="415">
        <f>SUM($W$4:W109)/COUNT($W$4:W109)</f>
        <v>0.52830188679245282</v>
      </c>
      <c r="Z109" s="389">
        <v>1976.78</v>
      </c>
      <c r="AA109" s="390">
        <f t="shared" si="41"/>
        <v>4.7932498030345272E-3</v>
      </c>
      <c r="AB109" s="390">
        <f t="shared" si="42"/>
        <v>0.31532790375811759</v>
      </c>
    </row>
    <row r="110" spans="1:28">
      <c r="A110" s="403">
        <f t="shared" si="34"/>
        <v>108</v>
      </c>
      <c r="B110" s="422">
        <f t="shared" si="48"/>
        <v>38492</v>
      </c>
      <c r="C110" s="385"/>
      <c r="D110" s="411">
        <v>30096.27</v>
      </c>
      <c r="E110" s="408">
        <f>D110+SUM(Holdings_Old!$E$32:$E$35)</f>
        <v>30096.27</v>
      </c>
      <c r="F110" s="408">
        <f t="shared" si="49"/>
        <v>422.40999999999985</v>
      </c>
      <c r="G110" s="409">
        <f t="shared" si="45"/>
        <v>1.423508771693327E-2</v>
      </c>
      <c r="H110" s="408">
        <f t="shared" si="46"/>
        <v>7240.4200000000019</v>
      </c>
      <c r="I110" s="409">
        <f t="shared" si="47"/>
        <v>0.31678629322471052</v>
      </c>
      <c r="K110" s="385"/>
      <c r="L110" s="382">
        <v>1189.28</v>
      </c>
      <c r="M110" s="415">
        <f t="shared" si="39"/>
        <v>3.0527273515012388E-2</v>
      </c>
      <c r="N110" s="415">
        <f t="shared" si="30"/>
        <v>0.27868570445553065</v>
      </c>
      <c r="O110" s="416" t="str">
        <f t="shared" si="31"/>
        <v>No</v>
      </c>
      <c r="P110" s="417">
        <f t="shared" si="35"/>
        <v>0</v>
      </c>
      <c r="Q110" s="415">
        <f>SUM($P$4:P110)/COUNT($P$4:P110)</f>
        <v>0.55140186915887845</v>
      </c>
      <c r="S110" s="382">
        <v>10471.91</v>
      </c>
      <c r="T110" s="415">
        <f t="shared" si="40"/>
        <v>3.2720520072740733E-2</v>
      </c>
      <c r="U110" s="415">
        <f t="shared" si="43"/>
        <v>0.22012122087739483</v>
      </c>
      <c r="V110" s="416" t="str">
        <f t="shared" si="44"/>
        <v>No</v>
      </c>
      <c r="W110" s="417">
        <f t="shared" si="36"/>
        <v>0</v>
      </c>
      <c r="X110" s="415">
        <f>SUM($W$4:W110)/COUNT($W$4:W110)</f>
        <v>0.52336448598130836</v>
      </c>
      <c r="Z110" s="389">
        <v>2046.42</v>
      </c>
      <c r="AA110" s="390">
        <f t="shared" si="41"/>
        <v>3.5229008792076133E-2</v>
      </c>
      <c r="AB110" s="390">
        <f t="shared" si="42"/>
        <v>0.36166560204407538</v>
      </c>
    </row>
    <row r="111" spans="1:28">
      <c r="A111" s="403">
        <f t="shared" si="34"/>
        <v>109</v>
      </c>
      <c r="B111" s="422">
        <f t="shared" si="48"/>
        <v>38499</v>
      </c>
      <c r="C111" s="385"/>
      <c r="D111" s="411">
        <v>29882.27</v>
      </c>
      <c r="E111" s="408">
        <f>D111+SUM(Holdings_Old!$E$32:$E$35)</f>
        <v>29882.27</v>
      </c>
      <c r="F111" s="408">
        <f t="shared" si="49"/>
        <v>-214</v>
      </c>
      <c r="G111" s="409">
        <f t="shared" si="45"/>
        <v>-7.110515688488972E-3</v>
      </c>
      <c r="H111" s="408">
        <f t="shared" si="46"/>
        <v>7026.4200000000019</v>
      </c>
      <c r="I111" s="409">
        <f t="shared" si="47"/>
        <v>0.30742326362834915</v>
      </c>
      <c r="K111" s="385"/>
      <c r="L111" s="382">
        <v>1198.78</v>
      </c>
      <c r="M111" s="415">
        <f t="shared" si="39"/>
        <v>7.9880263688953956E-3</v>
      </c>
      <c r="N111" s="415">
        <f t="shared" si="30"/>
        <v>0.2888998795802511</v>
      </c>
      <c r="O111" s="416" t="str">
        <f t="shared" si="31"/>
        <v>No</v>
      </c>
      <c r="P111" s="417">
        <f t="shared" si="35"/>
        <v>0</v>
      </c>
      <c r="Q111" s="415">
        <f>SUM($P$4:P111)/COUNT($P$4:P111)</f>
        <v>0.54629629629629628</v>
      </c>
      <c r="S111" s="382">
        <v>10542.55</v>
      </c>
      <c r="T111" s="415">
        <f t="shared" si="40"/>
        <v>6.7456653084299045E-3</v>
      </c>
      <c r="U111" s="415">
        <f t="shared" si="43"/>
        <v>0.22835175026914656</v>
      </c>
      <c r="V111" s="416" t="str">
        <f t="shared" si="44"/>
        <v>No</v>
      </c>
      <c r="W111" s="417">
        <f t="shared" si="36"/>
        <v>0</v>
      </c>
      <c r="X111" s="415">
        <f>SUM($W$4:W111)/COUNT($W$4:W111)</f>
        <v>0.51851851851851849</v>
      </c>
      <c r="Z111" s="389">
        <v>2075.73</v>
      </c>
      <c r="AA111" s="390">
        <f t="shared" si="41"/>
        <v>1.4322573078840106E-2</v>
      </c>
      <c r="AB111" s="390">
        <f t="shared" si="42"/>
        <v>0.38116815713829433</v>
      </c>
    </row>
    <row r="112" spans="1:28">
      <c r="A112" s="403">
        <f t="shared" si="34"/>
        <v>110</v>
      </c>
      <c r="B112" s="422">
        <f t="shared" si="48"/>
        <v>38506</v>
      </c>
      <c r="C112" s="385"/>
      <c r="D112" s="411">
        <v>29745.97</v>
      </c>
      <c r="E112" s="408">
        <f>D112+SUM(Holdings_Old!$E$32:$E$35)</f>
        <v>29745.97</v>
      </c>
      <c r="F112" s="408">
        <f t="shared" si="49"/>
        <v>-136.29999999999927</v>
      </c>
      <c r="G112" s="409">
        <f t="shared" si="45"/>
        <v>-4.5612331325565192E-3</v>
      </c>
      <c r="H112" s="408">
        <f t="shared" si="46"/>
        <v>6890.1200000000026</v>
      </c>
      <c r="I112" s="409">
        <f t="shared" si="47"/>
        <v>0.30145980132001227</v>
      </c>
      <c r="K112" s="385"/>
      <c r="L112" s="382">
        <v>1196.02</v>
      </c>
      <c r="M112" s="415">
        <f t="shared" si="39"/>
        <v>-2.3023407130582374E-3</v>
      </c>
      <c r="N112" s="415">
        <f t="shared" si="30"/>
        <v>0.28593239291243755</v>
      </c>
      <c r="O112" s="416" t="str">
        <f t="shared" si="31"/>
        <v>No</v>
      </c>
      <c r="P112" s="417">
        <f t="shared" si="35"/>
        <v>0</v>
      </c>
      <c r="Q112" s="415">
        <f>SUM($P$4:P112)/COUNT($P$4:P112)</f>
        <v>0.54128440366972475</v>
      </c>
      <c r="S112" s="382">
        <v>10460.969999999999</v>
      </c>
      <c r="T112" s="415">
        <f t="shared" si="40"/>
        <v>-7.7381658137737341E-3</v>
      </c>
      <c r="U112" s="415">
        <f t="shared" si="43"/>
        <v>0.21884656074792486</v>
      </c>
      <c r="V112" s="416" t="str">
        <f t="shared" si="44"/>
        <v>Yes</v>
      </c>
      <c r="W112" s="417">
        <f t="shared" si="36"/>
        <v>1</v>
      </c>
      <c r="X112" s="415">
        <f>SUM($W$4:W112)/COUNT($W$4:W112)</f>
        <v>0.52293577981651373</v>
      </c>
      <c r="Z112" s="389">
        <v>2071.77</v>
      </c>
      <c r="AA112" s="390">
        <f t="shared" si="41"/>
        <v>-1.9077625702764722E-3</v>
      </c>
      <c r="AB112" s="390">
        <f t="shared" si="42"/>
        <v>0.37853321622484826</v>
      </c>
    </row>
    <row r="113" spans="1:28">
      <c r="A113" s="403">
        <f t="shared" si="34"/>
        <v>111</v>
      </c>
      <c r="B113" s="422">
        <f t="shared" si="48"/>
        <v>38513</v>
      </c>
      <c r="C113" s="385"/>
      <c r="D113" s="411">
        <v>30041.64</v>
      </c>
      <c r="E113" s="408">
        <f>D113+SUM(Holdings_Old!$E$32:$E$35)</f>
        <v>30041.64</v>
      </c>
      <c r="F113" s="408">
        <f t="shared" si="49"/>
        <v>295.66999999999825</v>
      </c>
      <c r="G113" s="409">
        <f t="shared" si="45"/>
        <v>9.9398338665708241E-3</v>
      </c>
      <c r="H113" s="408">
        <f t="shared" si="46"/>
        <v>7185.7900000000009</v>
      </c>
      <c r="I113" s="409">
        <f t="shared" si="47"/>
        <v>0.31439609552915337</v>
      </c>
      <c r="K113" s="385"/>
      <c r="L113" s="382">
        <v>1198.1099999999999</v>
      </c>
      <c r="M113" s="415">
        <f t="shared" si="39"/>
        <v>1.7474624170163988E-3</v>
      </c>
      <c r="N113" s="415">
        <f t="shared" si="30"/>
        <v>0.28817951143987597</v>
      </c>
      <c r="O113" s="416" t="str">
        <f t="shared" si="31"/>
        <v>Yes</v>
      </c>
      <c r="P113" s="417">
        <f t="shared" si="35"/>
        <v>1</v>
      </c>
      <c r="Q113" s="415">
        <f>SUM($P$4:P113)/COUNT($P$4:P113)</f>
        <v>0.54545454545454541</v>
      </c>
      <c r="S113" s="382">
        <v>10512.63</v>
      </c>
      <c r="T113" s="415">
        <f t="shared" si="40"/>
        <v>4.938356576875691E-3</v>
      </c>
      <c r="U113" s="415">
        <f t="shared" si="43"/>
        <v>0.22486565967739658</v>
      </c>
      <c r="V113" s="416" t="str">
        <f t="shared" si="44"/>
        <v>Yes</v>
      </c>
      <c r="W113" s="417">
        <f t="shared" si="36"/>
        <v>1</v>
      </c>
      <c r="X113" s="415">
        <f>SUM($W$4:W113)/COUNT($W$4:W113)</f>
        <v>0.52727272727272723</v>
      </c>
      <c r="Z113" s="389">
        <v>2063</v>
      </c>
      <c r="AA113" s="390">
        <f t="shared" si="41"/>
        <v>-4.2330953725557841E-3</v>
      </c>
      <c r="AB113" s="390">
        <f t="shared" si="42"/>
        <v>0.37269775364633229</v>
      </c>
    </row>
    <row r="114" spans="1:28">
      <c r="A114" s="403">
        <f t="shared" si="34"/>
        <v>112</v>
      </c>
      <c r="B114" s="422">
        <f t="shared" si="48"/>
        <v>38520</v>
      </c>
      <c r="C114" s="385"/>
      <c r="D114" s="411">
        <v>30265.919999999998</v>
      </c>
      <c r="E114" s="408">
        <f>D114+SUM(Holdings_Old!$E$32:$E$35)</f>
        <v>30265.919999999998</v>
      </c>
      <c r="F114" s="408">
        <f t="shared" si="49"/>
        <v>224.27999999999884</v>
      </c>
      <c r="G114" s="409">
        <f t="shared" si="45"/>
        <v>7.4656376948794012E-3</v>
      </c>
      <c r="H114" s="408">
        <f t="shared" si="46"/>
        <v>7410.07</v>
      </c>
      <c r="I114" s="409">
        <f t="shared" si="47"/>
        <v>0.32420890056593832</v>
      </c>
      <c r="K114" s="385"/>
      <c r="L114" s="382">
        <v>1216.96</v>
      </c>
      <c r="M114" s="415">
        <f t="shared" si="39"/>
        <v>1.5733112986286768E-2</v>
      </c>
      <c r="N114" s="415">
        <f t="shared" si="30"/>
        <v>0.30844658523997937</v>
      </c>
      <c r="O114" s="416" t="str">
        <f t="shared" si="31"/>
        <v>No</v>
      </c>
      <c r="P114" s="417">
        <f t="shared" si="35"/>
        <v>0</v>
      </c>
      <c r="Q114" s="415">
        <f>SUM($P$4:P114)/COUNT($P$4:P114)</f>
        <v>0.54054054054054057</v>
      </c>
      <c r="S114" s="382">
        <v>10623.07</v>
      </c>
      <c r="T114" s="415">
        <f t="shared" si="40"/>
        <v>1.0505458672092516E-2</v>
      </c>
      <c r="U114" s="415">
        <f t="shared" si="43"/>
        <v>0.23773343524400303</v>
      </c>
      <c r="V114" s="416" t="str">
        <f t="shared" si="44"/>
        <v>No</v>
      </c>
      <c r="W114" s="417">
        <f t="shared" si="36"/>
        <v>0</v>
      </c>
      <c r="X114" s="415">
        <f>SUM($W$4:W114)/COUNT($W$4:W114)</f>
        <v>0.52252252252252251</v>
      </c>
      <c r="Z114" s="389">
        <v>2090.11</v>
      </c>
      <c r="AA114" s="390">
        <f t="shared" si="41"/>
        <v>1.3141056713523946E-2</v>
      </c>
      <c r="AB114" s="390">
        <f t="shared" si="42"/>
        <v>0.39073645267752588</v>
      </c>
    </row>
    <row r="115" spans="1:28">
      <c r="A115" s="403">
        <f t="shared" si="34"/>
        <v>113</v>
      </c>
      <c r="B115" s="422">
        <f t="shared" si="48"/>
        <v>38527</v>
      </c>
      <c r="C115" s="385"/>
      <c r="D115" s="411">
        <v>29958.18</v>
      </c>
      <c r="E115" s="408">
        <f>D115+SUM(Holdings_Old!$E$32:$E$35)</f>
        <v>29958.18</v>
      </c>
      <c r="F115" s="408">
        <f t="shared" si="49"/>
        <v>-307.73999999999796</v>
      </c>
      <c r="G115" s="409">
        <f t="shared" si="45"/>
        <v>-1.0167871982744936E-2</v>
      </c>
      <c r="H115" s="408">
        <f t="shared" si="46"/>
        <v>7102.3300000000017</v>
      </c>
      <c r="I115" s="409">
        <f t="shared" si="47"/>
        <v>0.31074451398657255</v>
      </c>
      <c r="K115" s="385"/>
      <c r="L115" s="382">
        <v>1191.57</v>
      </c>
      <c r="M115" s="415">
        <f t="shared" si="39"/>
        <v>-2.086346305548259E-2</v>
      </c>
      <c r="N115" s="415">
        <f t="shared" si="30"/>
        <v>0.28114785824875277</v>
      </c>
      <c r="O115" s="416" t="str">
        <f t="shared" si="31"/>
        <v>Yes</v>
      </c>
      <c r="P115" s="417">
        <f t="shared" si="35"/>
        <v>1</v>
      </c>
      <c r="Q115" s="415">
        <f>SUM($P$4:P115)/COUNT($P$4:P115)</f>
        <v>0.5446428571428571</v>
      </c>
      <c r="S115" s="382">
        <v>10297.84</v>
      </c>
      <c r="T115" s="415">
        <f t="shared" si="40"/>
        <v>-3.0615443558218103E-2</v>
      </c>
      <c r="U115" s="415">
        <f t="shared" si="43"/>
        <v>0.19983967711717088</v>
      </c>
      <c r="V115" s="416" t="str">
        <f t="shared" si="44"/>
        <v>Yes</v>
      </c>
      <c r="W115" s="417">
        <f t="shared" si="36"/>
        <v>1</v>
      </c>
      <c r="X115" s="415">
        <f>SUM($W$4:W115)/COUNT($W$4:W115)</f>
        <v>0.5267857142857143</v>
      </c>
      <c r="Z115" s="389">
        <v>2053.27</v>
      </c>
      <c r="AA115" s="390">
        <f t="shared" si="41"/>
        <v>-1.7625866581184813E-2</v>
      </c>
      <c r="AB115" s="390">
        <f t="shared" si="42"/>
        <v>0.3662235175130415</v>
      </c>
    </row>
    <row r="116" spans="1:28">
      <c r="A116" s="403">
        <f t="shared" si="34"/>
        <v>114</v>
      </c>
      <c r="B116" s="422">
        <f t="shared" si="48"/>
        <v>38534</v>
      </c>
      <c r="C116" s="385"/>
      <c r="D116" s="411">
        <v>30063.439999999999</v>
      </c>
      <c r="E116" s="408">
        <f>D116+SUM(Holdings_Old!$E$32:$E$35)</f>
        <v>30063.439999999999</v>
      </c>
      <c r="F116" s="408">
        <f t="shared" si="49"/>
        <v>105.2599999999984</v>
      </c>
      <c r="G116" s="409">
        <f t="shared" si="45"/>
        <v>3.5135645756851908E-3</v>
      </c>
      <c r="H116" s="408">
        <f t="shared" si="46"/>
        <v>7207.59</v>
      </c>
      <c r="I116" s="409">
        <f t="shared" si="47"/>
        <v>0.31534989947868919</v>
      </c>
      <c r="K116" s="385"/>
      <c r="L116" s="382">
        <v>1194.44</v>
      </c>
      <c r="M116" s="415">
        <f t="shared" si="39"/>
        <v>2.4085869902734647E-3</v>
      </c>
      <c r="N116" s="415">
        <f t="shared" si="30"/>
        <v>0.2842336143127473</v>
      </c>
      <c r="O116" s="416" t="str">
        <f t="shared" si="31"/>
        <v>Yes</v>
      </c>
      <c r="P116" s="417">
        <f t="shared" si="35"/>
        <v>1</v>
      </c>
      <c r="Q116" s="415">
        <f>SUM($P$4:P116)/COUNT($P$4:P116)</f>
        <v>0.54867256637168138</v>
      </c>
      <c r="S116" s="382">
        <v>10303.44</v>
      </c>
      <c r="T116" s="415">
        <f t="shared" si="40"/>
        <v>5.4380336070480872E-4</v>
      </c>
      <c r="U116" s="415">
        <f t="shared" si="43"/>
        <v>0.20049215396589415</v>
      </c>
      <c r="V116" s="416" t="str">
        <f t="shared" si="44"/>
        <v>Yes</v>
      </c>
      <c r="W116" s="417">
        <f t="shared" si="36"/>
        <v>1</v>
      </c>
      <c r="X116" s="415">
        <f>SUM($W$4:W116)/COUNT($W$4:W116)</f>
        <v>0.53097345132743368</v>
      </c>
      <c r="Z116" s="389">
        <v>2057.37</v>
      </c>
      <c r="AA116" s="390">
        <f t="shared" si="41"/>
        <v>1.9968148368212368E-3</v>
      </c>
      <c r="AB116" s="390">
        <f t="shared" si="42"/>
        <v>0.36895161290322553</v>
      </c>
    </row>
    <row r="117" spans="1:28">
      <c r="A117" s="403">
        <f t="shared" si="34"/>
        <v>115</v>
      </c>
      <c r="B117" s="422">
        <f t="shared" si="48"/>
        <v>38541</v>
      </c>
      <c r="C117" s="385"/>
      <c r="D117" s="411">
        <v>30744.09</v>
      </c>
      <c r="E117" s="408">
        <f>D117+SUM(Holdings_Old!$E$32:$E$35)</f>
        <v>30744.09</v>
      </c>
      <c r="F117" s="408">
        <f t="shared" si="49"/>
        <v>680.65000000000146</v>
      </c>
      <c r="G117" s="409">
        <f t="shared" si="45"/>
        <v>2.2640456315045743E-2</v>
      </c>
      <c r="H117" s="408">
        <f t="shared" si="46"/>
        <v>7888.2400000000016</v>
      </c>
      <c r="I117" s="409">
        <f t="shared" si="47"/>
        <v>0.34513002141683646</v>
      </c>
      <c r="K117" s="385"/>
      <c r="L117" s="382">
        <v>1211.8599999999999</v>
      </c>
      <c r="M117" s="415">
        <f t="shared" si="39"/>
        <v>1.4584240313452179E-2</v>
      </c>
      <c r="N117" s="415">
        <f t="shared" si="30"/>
        <v>0.30296318596249772</v>
      </c>
      <c r="O117" s="416" t="str">
        <f t="shared" si="31"/>
        <v>Yes</v>
      </c>
      <c r="P117" s="417">
        <f t="shared" si="35"/>
        <v>1</v>
      </c>
      <c r="Q117" s="415">
        <f>SUM($P$4:P117)/COUNT($P$4:P117)</f>
        <v>0.55263157894736847</v>
      </c>
      <c r="S117" s="382">
        <v>10449.14</v>
      </c>
      <c r="T117" s="415">
        <f t="shared" si="40"/>
        <v>1.4140908279176578E-2</v>
      </c>
      <c r="U117" s="415">
        <f t="shared" si="43"/>
        <v>0.21746820340499684</v>
      </c>
      <c r="V117" s="416" t="str">
        <f t="shared" si="44"/>
        <v>Yes</v>
      </c>
      <c r="W117" s="417">
        <f t="shared" si="36"/>
        <v>1</v>
      </c>
      <c r="X117" s="415">
        <f>SUM($W$4:W117)/COUNT($W$4:W117)</f>
        <v>0.53508771929824561</v>
      </c>
      <c r="Z117" s="389">
        <v>2112.88</v>
      </c>
      <c r="AA117" s="390">
        <f t="shared" si="41"/>
        <v>2.6981048620326131E-2</v>
      </c>
      <c r="AB117" s="390">
        <f t="shared" si="42"/>
        <v>0.4058873629298414</v>
      </c>
    </row>
    <row r="118" spans="1:28">
      <c r="A118" s="403">
        <f t="shared" si="34"/>
        <v>116</v>
      </c>
      <c r="B118" s="422">
        <f t="shared" si="48"/>
        <v>38548</v>
      </c>
      <c r="C118" s="385"/>
      <c r="D118" s="411">
        <v>31087.040000000001</v>
      </c>
      <c r="E118" s="408">
        <f>D118+SUM(Holdings_Old!$E$32:$E$35)</f>
        <v>31087.040000000001</v>
      </c>
      <c r="F118" s="408">
        <f t="shared" si="49"/>
        <v>342.95000000000073</v>
      </c>
      <c r="G118" s="409">
        <f t="shared" si="45"/>
        <v>1.1154989463015408E-2</v>
      </c>
      <c r="H118" s="408">
        <f t="shared" si="46"/>
        <v>8231.1900000000023</v>
      </c>
      <c r="I118" s="409">
        <f t="shared" si="47"/>
        <v>0.36013493263212704</v>
      </c>
      <c r="K118" s="385"/>
      <c r="L118" s="382">
        <v>1227.92</v>
      </c>
      <c r="M118" s="415">
        <f t="shared" si="39"/>
        <v>1.3252355882692912E-2</v>
      </c>
      <c r="N118" s="415">
        <f t="shared" si="30"/>
        <v>0.32023051780492007</v>
      </c>
      <c r="O118" s="416" t="str">
        <f t="shared" si="31"/>
        <v>No</v>
      </c>
      <c r="P118" s="417">
        <f t="shared" si="35"/>
        <v>0</v>
      </c>
      <c r="Q118" s="415">
        <f>SUM($P$4:P118)/COUNT($P$4:P118)</f>
        <v>0.54782608695652169</v>
      </c>
      <c r="S118" s="382">
        <v>10640.83</v>
      </c>
      <c r="T118" s="415">
        <f t="shared" si="40"/>
        <v>1.8345050406062269E-2</v>
      </c>
      <c r="U118" s="415">
        <f t="shared" si="43"/>
        <v>0.23980271896423955</v>
      </c>
      <c r="V118" s="416" t="str">
        <f t="shared" si="44"/>
        <v>No</v>
      </c>
      <c r="W118" s="417">
        <f t="shared" si="36"/>
        <v>0</v>
      </c>
      <c r="X118" s="415">
        <f>SUM($W$4:W118)/COUNT($W$4:W118)</f>
        <v>0.5304347826086957</v>
      </c>
      <c r="Z118" s="389">
        <v>2156.7800000000002</v>
      </c>
      <c r="AA118" s="390">
        <f t="shared" si="41"/>
        <v>2.0777327628639597E-2</v>
      </c>
      <c r="AB118" s="390">
        <f t="shared" si="42"/>
        <v>0.43509794527839873</v>
      </c>
    </row>
    <row r="119" spans="1:28">
      <c r="A119" s="403">
        <f t="shared" si="34"/>
        <v>117</v>
      </c>
      <c r="B119" s="422">
        <f t="shared" si="48"/>
        <v>38555</v>
      </c>
      <c r="C119" s="385"/>
      <c r="D119" s="411">
        <v>31199.9</v>
      </c>
      <c r="E119" s="408">
        <f>D119+SUM(Holdings_Old!$E$32:$E$35)</f>
        <v>31199.9</v>
      </c>
      <c r="F119" s="408">
        <f t="shared" si="49"/>
        <v>112.86000000000058</v>
      </c>
      <c r="G119" s="409">
        <f t="shared" si="45"/>
        <v>3.6304517895560107E-3</v>
      </c>
      <c r="H119" s="408">
        <f t="shared" si="46"/>
        <v>8344.0500000000029</v>
      </c>
      <c r="I119" s="409">
        <f t="shared" si="47"/>
        <v>0.36507283693233905</v>
      </c>
      <c r="K119" s="385"/>
      <c r="L119" s="382">
        <v>1233.68</v>
      </c>
      <c r="M119" s="415">
        <f t="shared" si="39"/>
        <v>4.6908593393706344E-3</v>
      </c>
      <c r="N119" s="415">
        <f t="shared" si="30"/>
        <v>0.32642353345948738</v>
      </c>
      <c r="O119" s="416" t="str">
        <f t="shared" si="31"/>
        <v>No</v>
      </c>
      <c r="P119" s="417">
        <f t="shared" si="35"/>
        <v>0</v>
      </c>
      <c r="Q119" s="415">
        <f>SUM($P$4:P119)/COUNT($P$4:P119)</f>
        <v>0.5431034482758621</v>
      </c>
      <c r="S119" s="382">
        <v>10651.18</v>
      </c>
      <c r="T119" s="415">
        <f t="shared" si="40"/>
        <v>9.7266848544719231E-4</v>
      </c>
      <c r="U119" s="415">
        <f t="shared" si="43"/>
        <v>0.24100863599714772</v>
      </c>
      <c r="V119" s="416" t="str">
        <f t="shared" si="44"/>
        <v>Yes</v>
      </c>
      <c r="W119" s="417">
        <f t="shared" si="36"/>
        <v>1</v>
      </c>
      <c r="X119" s="415">
        <f>SUM($W$4:W119)/COUNT($W$4:W119)</f>
        <v>0.53448275862068961</v>
      </c>
      <c r="Z119" s="389">
        <v>2179.7399999999998</v>
      </c>
      <c r="AA119" s="390">
        <f t="shared" si="41"/>
        <v>1.0645499309155149E-2</v>
      </c>
      <c r="AB119" s="390">
        <f t="shared" si="42"/>
        <v>0.45037527946342992</v>
      </c>
    </row>
    <row r="120" spans="1:28">
      <c r="A120" s="403">
        <f t="shared" si="34"/>
        <v>118</v>
      </c>
      <c r="B120" s="422">
        <f t="shared" si="48"/>
        <v>38562</v>
      </c>
      <c r="C120" s="385"/>
      <c r="D120" s="411">
        <v>31264.81</v>
      </c>
      <c r="E120" s="408">
        <f>D120+SUM(Holdings_Old!$E$32:$E$35)</f>
        <v>31264.81</v>
      </c>
      <c r="F120" s="408">
        <f t="shared" si="49"/>
        <v>64.909999999999854</v>
      </c>
      <c r="G120" s="409">
        <f t="shared" si="45"/>
        <v>2.0804553860749309E-3</v>
      </c>
      <c r="H120" s="408">
        <f t="shared" si="46"/>
        <v>8408.9600000000028</v>
      </c>
      <c r="I120" s="409">
        <f t="shared" si="47"/>
        <v>0.36791281006831955</v>
      </c>
      <c r="K120" s="385"/>
      <c r="L120" s="382">
        <v>1234.18</v>
      </c>
      <c r="M120" s="415">
        <f t="shared" si="39"/>
        <v>4.052914856365053E-4</v>
      </c>
      <c r="N120" s="415">
        <f t="shared" si="30"/>
        <v>0.3269611216239463</v>
      </c>
      <c r="O120" s="416" t="str">
        <f t="shared" si="31"/>
        <v>Yes</v>
      </c>
      <c r="P120" s="417">
        <f t="shared" si="35"/>
        <v>1</v>
      </c>
      <c r="Q120" s="415">
        <f>SUM($P$4:P120)/COUNT($P$4:P120)</f>
        <v>0.54700854700854706</v>
      </c>
      <c r="S120" s="382">
        <v>10640.91</v>
      </c>
      <c r="T120" s="415">
        <f t="shared" si="40"/>
        <v>-9.6421241590138873E-4</v>
      </c>
      <c r="U120" s="415">
        <f t="shared" si="43"/>
        <v>0.23981204006207846</v>
      </c>
      <c r="V120" s="416" t="str">
        <f t="shared" si="44"/>
        <v>Yes</v>
      </c>
      <c r="W120" s="417">
        <f t="shared" si="36"/>
        <v>1</v>
      </c>
      <c r="X120" s="415">
        <f>SUM($W$4:W120)/COUNT($W$4:W120)</f>
        <v>0.53846153846153844</v>
      </c>
      <c r="Z120" s="389">
        <v>2184.83</v>
      </c>
      <c r="AA120" s="390">
        <f t="shared" si="41"/>
        <v>2.3351408883629521E-3</v>
      </c>
      <c r="AB120" s="390">
        <f t="shared" si="42"/>
        <v>0.45376211008197576</v>
      </c>
    </row>
    <row r="121" spans="1:28">
      <c r="A121" s="403">
        <f t="shared" si="34"/>
        <v>119</v>
      </c>
      <c r="B121" s="422">
        <f t="shared" si="48"/>
        <v>38569</v>
      </c>
      <c r="C121" s="385"/>
      <c r="D121" s="411">
        <v>31130</v>
      </c>
      <c r="E121" s="408">
        <f>D121+SUM(Holdings_Old!$E$32:$E$35)</f>
        <v>31130</v>
      </c>
      <c r="F121" s="408">
        <f t="shared" si="49"/>
        <v>-134.81000000000131</v>
      </c>
      <c r="G121" s="409">
        <f t="shared" si="45"/>
        <v>-4.3118765154818162E-3</v>
      </c>
      <c r="H121" s="408">
        <f t="shared" si="46"/>
        <v>8274.1500000000015</v>
      </c>
      <c r="I121" s="409">
        <f t="shared" si="47"/>
        <v>0.36201453894735924</v>
      </c>
      <c r="K121" s="385"/>
      <c r="L121" s="382">
        <v>1226.42</v>
      </c>
      <c r="M121" s="415">
        <f t="shared" si="39"/>
        <v>-6.2875755562397107E-3</v>
      </c>
      <c r="N121" s="415">
        <f t="shared" si="30"/>
        <v>0.31861775331154307</v>
      </c>
      <c r="O121" s="416" t="str">
        <f t="shared" si="31"/>
        <v>Yes</v>
      </c>
      <c r="P121" s="417">
        <f t="shared" si="35"/>
        <v>1</v>
      </c>
      <c r="Q121" s="415">
        <f>SUM($P$4:P121)/COUNT($P$4:P121)</f>
        <v>0.55084745762711862</v>
      </c>
      <c r="S121" s="382">
        <v>10558.03</v>
      </c>
      <c r="T121" s="415">
        <f t="shared" si="40"/>
        <v>-7.788807536197484E-3</v>
      </c>
      <c r="U121" s="415">
        <f t="shared" si="43"/>
        <v>0.23015538270097458</v>
      </c>
      <c r="V121" s="416" t="str">
        <f t="shared" si="44"/>
        <v>Yes</v>
      </c>
      <c r="W121" s="417">
        <f t="shared" si="36"/>
        <v>1</v>
      </c>
      <c r="X121" s="415">
        <f>SUM($W$4:W121)/COUNT($W$4:W121)</f>
        <v>0.5423728813559322</v>
      </c>
      <c r="Z121" s="389">
        <v>2177.91</v>
      </c>
      <c r="AA121" s="390">
        <f t="shared" si="41"/>
        <v>-3.1672944805775094E-3</v>
      </c>
      <c r="AB121" s="390">
        <f t="shared" si="42"/>
        <v>0.44915761737464055</v>
      </c>
    </row>
    <row r="122" spans="1:28">
      <c r="A122" s="403">
        <f t="shared" si="34"/>
        <v>120</v>
      </c>
      <c r="B122" s="422">
        <f t="shared" si="48"/>
        <v>38576</v>
      </c>
      <c r="C122" s="385"/>
      <c r="D122" s="411">
        <v>31163.54</v>
      </c>
      <c r="E122" s="408">
        <f>D122+SUM(Holdings_Old!$E$32:$E$35)</f>
        <v>31163.54</v>
      </c>
      <c r="F122" s="408">
        <f t="shared" si="49"/>
        <v>33.540000000000873</v>
      </c>
      <c r="G122" s="409">
        <f t="shared" si="45"/>
        <v>1.0774172823642125E-3</v>
      </c>
      <c r="H122" s="408">
        <f t="shared" si="46"/>
        <v>8307.6900000000023</v>
      </c>
      <c r="I122" s="409">
        <f t="shared" si="47"/>
        <v>0.36348199695045258</v>
      </c>
      <c r="K122" s="385"/>
      <c r="L122" s="382">
        <v>1230.3900000000001</v>
      </c>
      <c r="M122" s="415">
        <f t="shared" si="39"/>
        <v>3.2370639748211527E-3</v>
      </c>
      <c r="N122" s="415">
        <f t="shared" si="30"/>
        <v>0.32288620333734741</v>
      </c>
      <c r="O122" s="416" t="str">
        <f t="shared" si="31"/>
        <v>No</v>
      </c>
      <c r="P122" s="417">
        <f t="shared" si="35"/>
        <v>0</v>
      </c>
      <c r="Q122" s="415">
        <f>SUM($P$4:P122)/COUNT($P$4:P122)</f>
        <v>0.54621848739495793</v>
      </c>
      <c r="S122" s="382">
        <v>10600.31</v>
      </c>
      <c r="T122" s="415">
        <f t="shared" si="40"/>
        <v>4.0045349369151051E-3</v>
      </c>
      <c r="U122" s="415">
        <f t="shared" si="43"/>
        <v>0.23508158290883485</v>
      </c>
      <c r="V122" s="416" t="str">
        <f t="shared" si="44"/>
        <v>No</v>
      </c>
      <c r="W122" s="417">
        <f t="shared" si="36"/>
        <v>0</v>
      </c>
      <c r="X122" s="415">
        <f>SUM($W$4:W122)/COUNT($W$4:W122)</f>
        <v>0.53781512605042014</v>
      </c>
      <c r="Z122" s="389">
        <v>2156.9</v>
      </c>
      <c r="AA122" s="390">
        <f t="shared" si="41"/>
        <v>-9.6468632771784524E-3</v>
      </c>
      <c r="AB122" s="390">
        <f t="shared" si="42"/>
        <v>0.43517779197274553</v>
      </c>
    </row>
    <row r="123" spans="1:28">
      <c r="A123" s="403">
        <f t="shared" si="34"/>
        <v>121</v>
      </c>
      <c r="B123" s="422">
        <f t="shared" si="48"/>
        <v>38583</v>
      </c>
      <c r="C123" s="385"/>
      <c r="D123" s="411">
        <v>30853.97</v>
      </c>
      <c r="E123" s="408">
        <f>D123+SUM(Holdings_Old!$E$32:$E$35)</f>
        <v>30853.97</v>
      </c>
      <c r="F123" s="408">
        <f t="shared" si="49"/>
        <v>-309.56999999999971</v>
      </c>
      <c r="G123" s="409">
        <f t="shared" si="45"/>
        <v>-9.933723832401542E-3</v>
      </c>
      <c r="H123" s="408">
        <f t="shared" si="46"/>
        <v>7998.1200000000026</v>
      </c>
      <c r="I123" s="409">
        <f t="shared" si="47"/>
        <v>0.34993754334229554</v>
      </c>
      <c r="K123" s="385"/>
      <c r="L123" s="382">
        <v>1219.71</v>
      </c>
      <c r="M123" s="415">
        <f t="shared" si="39"/>
        <v>-8.6801745787921103E-3</v>
      </c>
      <c r="N123" s="415">
        <f t="shared" si="30"/>
        <v>0.31140332014450367</v>
      </c>
      <c r="O123" s="416" t="str">
        <f t="shared" si="31"/>
        <v>No</v>
      </c>
      <c r="P123" s="417">
        <f t="shared" si="35"/>
        <v>0</v>
      </c>
      <c r="Q123" s="415">
        <f>SUM($P$4:P123)/COUNT($P$4:P123)</f>
        <v>0.54166666666666663</v>
      </c>
      <c r="S123" s="382">
        <v>10559.23</v>
      </c>
      <c r="T123" s="415">
        <f t="shared" si="40"/>
        <v>-3.8753583621611298E-3</v>
      </c>
      <c r="U123" s="415">
        <f t="shared" si="43"/>
        <v>0.23029519916855801</v>
      </c>
      <c r="V123" s="416" t="str">
        <f t="shared" si="44"/>
        <v>No</v>
      </c>
      <c r="W123" s="417">
        <f t="shared" si="36"/>
        <v>0</v>
      </c>
      <c r="X123" s="415">
        <f>SUM($W$4:W123)/COUNT($W$4:W123)</f>
        <v>0.53333333333333333</v>
      </c>
      <c r="Z123" s="389">
        <v>2135.56</v>
      </c>
      <c r="AA123" s="390">
        <f t="shared" si="41"/>
        <v>-9.8938291065882034E-3</v>
      </c>
      <c r="AB123" s="390">
        <f t="shared" si="42"/>
        <v>0.42097838816139665</v>
      </c>
    </row>
    <row r="124" spans="1:28">
      <c r="A124" s="403">
        <f t="shared" si="34"/>
        <v>122</v>
      </c>
      <c r="B124" s="422">
        <f t="shared" si="48"/>
        <v>38590</v>
      </c>
      <c r="C124" s="385"/>
      <c r="D124" s="411">
        <v>30659.21</v>
      </c>
      <c r="E124" s="408">
        <f>D124+SUM(Holdings_Old!$E$32:$E$35)</f>
        <v>30659.21</v>
      </c>
      <c r="F124" s="408">
        <f t="shared" si="49"/>
        <v>-194.76000000000204</v>
      </c>
      <c r="G124" s="409">
        <f t="shared" si="45"/>
        <v>-6.3123157246863792E-3</v>
      </c>
      <c r="H124" s="408">
        <f t="shared" si="46"/>
        <v>7803.3600000000006</v>
      </c>
      <c r="I124" s="409">
        <f t="shared" si="47"/>
        <v>0.34141631136011141</v>
      </c>
      <c r="K124" s="385"/>
      <c r="L124" s="382">
        <v>1205.0999999999999</v>
      </c>
      <c r="M124" s="415">
        <f t="shared" si="39"/>
        <v>-1.1978257126694203E-2</v>
      </c>
      <c r="N124" s="415">
        <f t="shared" si="30"/>
        <v>0.29569499397901233</v>
      </c>
      <c r="O124" s="416" t="str">
        <f t="shared" si="31"/>
        <v>Yes</v>
      </c>
      <c r="P124" s="417">
        <f t="shared" si="35"/>
        <v>1</v>
      </c>
      <c r="Q124" s="415">
        <f>SUM($P$4:P124)/COUNT($P$4:P124)</f>
        <v>0.54545454545454541</v>
      </c>
      <c r="S124" s="382">
        <v>10397.290000000001</v>
      </c>
      <c r="T124" s="415">
        <f t="shared" si="40"/>
        <v>-1.5336345547923402E-2</v>
      </c>
      <c r="U124" s="415">
        <f t="shared" si="43"/>
        <v>0.21142696686815787</v>
      </c>
      <c r="V124" s="416" t="str">
        <f t="shared" si="44"/>
        <v>Yes</v>
      </c>
      <c r="W124" s="417">
        <f t="shared" si="36"/>
        <v>1</v>
      </c>
      <c r="X124" s="415">
        <f>SUM($W$4:W124)/COUNT($W$4:W124)</f>
        <v>0.53719008264462809</v>
      </c>
      <c r="Z124" s="389">
        <v>2120.77</v>
      </c>
      <c r="AA124" s="390">
        <f t="shared" si="41"/>
        <v>-6.9255839217816639E-3</v>
      </c>
      <c r="AB124" s="390">
        <f t="shared" si="42"/>
        <v>0.41113728308314701</v>
      </c>
    </row>
    <row r="125" spans="1:28">
      <c r="A125" s="403">
        <f t="shared" si="34"/>
        <v>123</v>
      </c>
      <c r="B125" s="422">
        <f t="shared" si="48"/>
        <v>38597</v>
      </c>
      <c r="C125" s="385"/>
      <c r="D125" s="411">
        <v>30735.9</v>
      </c>
      <c r="E125" s="408">
        <f>D125+SUM(Holdings_Old!$E$32:$E$35)</f>
        <v>30735.9</v>
      </c>
      <c r="F125" s="408">
        <f t="shared" si="49"/>
        <v>76.690000000002328</v>
      </c>
      <c r="G125" s="409">
        <f t="shared" si="45"/>
        <v>2.5013690828956658E-3</v>
      </c>
      <c r="H125" s="408">
        <f t="shared" si="46"/>
        <v>7880.0500000000029</v>
      </c>
      <c r="I125" s="409">
        <f t="shared" si="47"/>
        <v>0.34477168864863939</v>
      </c>
      <c r="K125" s="385"/>
      <c r="L125" s="382">
        <v>1218.02</v>
      </c>
      <c r="M125" s="415">
        <f t="shared" si="39"/>
        <v>1.0721101983238057E-2</v>
      </c>
      <c r="N125" s="415">
        <f t="shared" si="30"/>
        <v>0.30958627214863221</v>
      </c>
      <c r="O125" s="416" t="str">
        <f t="shared" si="31"/>
        <v>No</v>
      </c>
      <c r="P125" s="417">
        <f t="shared" si="35"/>
        <v>0</v>
      </c>
      <c r="Q125" s="415">
        <f>SUM($P$4:P125)/COUNT($P$4:P125)</f>
        <v>0.54098360655737709</v>
      </c>
      <c r="S125" s="382">
        <v>10447.370000000001</v>
      </c>
      <c r="T125" s="415">
        <f t="shared" si="40"/>
        <v>4.8166397205424705E-3</v>
      </c>
      <c r="U125" s="415">
        <f t="shared" si="43"/>
        <v>0.21726197411531145</v>
      </c>
      <c r="V125" s="416" t="str">
        <f t="shared" si="44"/>
        <v>No</v>
      </c>
      <c r="W125" s="417">
        <f t="shared" si="36"/>
        <v>0</v>
      </c>
      <c r="X125" s="415">
        <f>SUM($W$4:W125)/COUNT($W$4:W125)</f>
        <v>0.53278688524590168</v>
      </c>
      <c r="Z125" s="389">
        <v>2141.0700000000002</v>
      </c>
      <c r="AA125" s="390">
        <f t="shared" si="41"/>
        <v>9.5719950772596984E-3</v>
      </c>
      <c r="AB125" s="390">
        <f t="shared" si="42"/>
        <v>0.42464468221015661</v>
      </c>
    </row>
    <row r="126" spans="1:28">
      <c r="A126" s="403">
        <f t="shared" si="34"/>
        <v>124</v>
      </c>
      <c r="B126" s="422">
        <f t="shared" si="48"/>
        <v>38604</v>
      </c>
      <c r="C126" s="385"/>
      <c r="D126" s="411">
        <v>31139.08</v>
      </c>
      <c r="E126" s="408">
        <f>D126+SUM(Holdings_Old!$E$32:$E$35)</f>
        <v>31139.08</v>
      </c>
      <c r="F126" s="408">
        <f t="shared" si="49"/>
        <v>403.18000000000029</v>
      </c>
      <c r="G126" s="409">
        <f t="shared" si="45"/>
        <v>1.3117559596432793E-2</v>
      </c>
      <c r="H126" s="408">
        <f t="shared" si="46"/>
        <v>8283.2300000000032</v>
      </c>
      <c r="I126" s="409">
        <f t="shared" si="47"/>
        <v>0.36241181141808343</v>
      </c>
      <c r="K126" s="385"/>
      <c r="L126" s="382">
        <v>1241.48</v>
      </c>
      <c r="M126" s="415">
        <f t="shared" si="39"/>
        <v>1.9260767475082652E-2</v>
      </c>
      <c r="N126" s="415">
        <f t="shared" si="30"/>
        <v>0.33480990882504735</v>
      </c>
      <c r="O126" s="416" t="str">
        <f t="shared" si="31"/>
        <v>No</v>
      </c>
      <c r="P126" s="417">
        <f t="shared" si="35"/>
        <v>0</v>
      </c>
      <c r="Q126" s="415">
        <f>SUM($P$4:P126)/COUNT($P$4:P126)</f>
        <v>0.53658536585365857</v>
      </c>
      <c r="S126" s="382">
        <v>10678.56</v>
      </c>
      <c r="T126" s="415">
        <f t="shared" si="40"/>
        <v>2.2129014287806337E-2</v>
      </c>
      <c r="U126" s="415">
        <f t="shared" si="43"/>
        <v>0.24419878173251242</v>
      </c>
      <c r="V126" s="416" t="str">
        <f t="shared" si="44"/>
        <v>No</v>
      </c>
      <c r="W126" s="417">
        <f t="shared" si="36"/>
        <v>0</v>
      </c>
      <c r="X126" s="415">
        <f>SUM($W$4:W126)/COUNT($W$4:W126)</f>
        <v>0.52845528455284552</v>
      </c>
      <c r="Z126" s="389">
        <v>2175.5100000000002</v>
      </c>
      <c r="AA126" s="390">
        <f t="shared" si="41"/>
        <v>1.6085415236307021E-2</v>
      </c>
      <c r="AB126" s="390">
        <f t="shared" si="42"/>
        <v>0.44756068348770373</v>
      </c>
    </row>
    <row r="127" spans="1:28">
      <c r="A127" s="403">
        <f t="shared" si="34"/>
        <v>125</v>
      </c>
      <c r="B127" s="422">
        <f t="shared" si="48"/>
        <v>38611</v>
      </c>
      <c r="C127" s="385"/>
      <c r="D127" s="411">
        <v>31189.57</v>
      </c>
      <c r="E127" s="408">
        <f>D127+SUM(Holdings_Old!$E$32:$E$35)</f>
        <v>31189.57</v>
      </c>
      <c r="F127" s="408">
        <f t="shared" si="49"/>
        <v>50.489999999997963</v>
      </c>
      <c r="G127" s="409">
        <f t="shared" si="45"/>
        <v>1.6214351869097143E-3</v>
      </c>
      <c r="H127" s="408">
        <f t="shared" si="46"/>
        <v>8333.7200000000012</v>
      </c>
      <c r="I127" s="409">
        <f t="shared" si="47"/>
        <v>0.36462087386817821</v>
      </c>
      <c r="K127" s="385"/>
      <c r="L127" s="382">
        <v>1237.9100000000001</v>
      </c>
      <c r="M127" s="415">
        <f t="shared" si="39"/>
        <v>-2.8756000902148138E-3</v>
      </c>
      <c r="N127" s="415">
        <f t="shared" si="30"/>
        <v>0.3309715293308102</v>
      </c>
      <c r="O127" s="416" t="str">
        <f t="shared" si="31"/>
        <v>Yes</v>
      </c>
      <c r="P127" s="417">
        <f t="shared" si="35"/>
        <v>1</v>
      </c>
      <c r="Q127" s="415">
        <f>SUM($P$4:P127)/COUNT($P$4:P127)</f>
        <v>0.54032258064516125</v>
      </c>
      <c r="S127" s="382">
        <v>10641.94</v>
      </c>
      <c r="T127" s="415">
        <f t="shared" si="40"/>
        <v>-3.4293013290180863E-3</v>
      </c>
      <c r="U127" s="415">
        <f t="shared" si="43"/>
        <v>0.23993204919675448</v>
      </c>
      <c r="V127" s="416" t="str">
        <f t="shared" si="44"/>
        <v>Yes</v>
      </c>
      <c r="W127" s="417">
        <f t="shared" si="36"/>
        <v>1</v>
      </c>
      <c r="X127" s="415">
        <f>SUM($W$4:W127)/COUNT($W$4:W127)</f>
        <v>0.532258064516129</v>
      </c>
      <c r="Z127" s="389">
        <v>2160.35</v>
      </c>
      <c r="AA127" s="390">
        <f t="shared" si="41"/>
        <v>-6.9684809538914649E-3</v>
      </c>
      <c r="AB127" s="390">
        <f t="shared" si="42"/>
        <v>0.43747338443521766</v>
      </c>
    </row>
    <row r="128" spans="1:28">
      <c r="A128" s="403">
        <f t="shared" si="34"/>
        <v>126</v>
      </c>
      <c r="B128" s="422">
        <f t="shared" si="48"/>
        <v>38618</v>
      </c>
      <c r="C128" s="385"/>
      <c r="D128" s="411">
        <v>30678.28</v>
      </c>
      <c r="E128" s="408">
        <f>D128+SUM(Holdings_Old!$E$32:$E$35)</f>
        <v>30678.28</v>
      </c>
      <c r="F128" s="408">
        <f t="shared" si="49"/>
        <v>-511.29000000000087</v>
      </c>
      <c r="G128" s="409">
        <f t="shared" si="45"/>
        <v>-1.6392980089177223E-2</v>
      </c>
      <c r="H128" s="408">
        <f t="shared" si="46"/>
        <v>7822.43</v>
      </c>
      <c r="I128" s="409">
        <f t="shared" si="47"/>
        <v>0.34225067105358153</v>
      </c>
      <c r="K128" s="385"/>
      <c r="L128" s="382">
        <v>1215.29</v>
      </c>
      <c r="M128" s="415">
        <f t="shared" si="39"/>
        <v>-1.8272733882107817E-2</v>
      </c>
      <c r="N128" s="415">
        <f t="shared" si="30"/>
        <v>0.30665104077068639</v>
      </c>
      <c r="O128" s="416" t="str">
        <f t="shared" si="31"/>
        <v>Yes</v>
      </c>
      <c r="P128" s="417">
        <f t="shared" si="35"/>
        <v>1</v>
      </c>
      <c r="Q128" s="415">
        <f>SUM($P$4:P128)/COUNT($P$4:P128)</f>
        <v>0.54400000000000004</v>
      </c>
      <c r="S128" s="382">
        <v>10419.59</v>
      </c>
      <c r="T128" s="415">
        <f t="shared" si="40"/>
        <v>-2.0893746816839864E-2</v>
      </c>
      <c r="U128" s="415">
        <f t="shared" si="43"/>
        <v>0.21402522289075199</v>
      </c>
      <c r="V128" s="416" t="str">
        <f t="shared" si="44"/>
        <v>Yes</v>
      </c>
      <c r="W128" s="417">
        <f t="shared" si="36"/>
        <v>1</v>
      </c>
      <c r="X128" s="415">
        <f>SUM($W$4:W128)/COUNT($W$4:W128)</f>
        <v>0.53600000000000003</v>
      </c>
      <c r="Z128" s="389">
        <v>2116.84</v>
      </c>
      <c r="AA128" s="390">
        <f t="shared" si="41"/>
        <v>-2.014025505126471E-2</v>
      </c>
      <c r="AB128" s="390">
        <f t="shared" si="42"/>
        <v>0.40852230384328747</v>
      </c>
    </row>
    <row r="129" spans="1:28">
      <c r="A129" s="403">
        <f t="shared" si="34"/>
        <v>127</v>
      </c>
      <c r="B129" s="422">
        <f t="shared" si="48"/>
        <v>38625</v>
      </c>
      <c r="C129" s="385"/>
      <c r="D129" s="411">
        <v>30854.62</v>
      </c>
      <c r="E129" s="408">
        <f>D129+SUM(Holdings_Old!$E$32:$E$35)</f>
        <v>30854.62</v>
      </c>
      <c r="F129" s="408">
        <f t="shared" si="49"/>
        <v>176.34000000000015</v>
      </c>
      <c r="G129" s="409">
        <f t="shared" si="45"/>
        <v>5.7480406333079159E-3</v>
      </c>
      <c r="H129" s="408">
        <f t="shared" si="46"/>
        <v>7998.77</v>
      </c>
      <c r="I129" s="409">
        <f t="shared" si="47"/>
        <v>0.34996598245088251</v>
      </c>
      <c r="K129" s="385"/>
      <c r="L129" s="382">
        <v>1228.81</v>
      </c>
      <c r="M129" s="415">
        <f t="shared" si="39"/>
        <v>1.1124916686552133E-2</v>
      </c>
      <c r="N129" s="415">
        <f t="shared" si="30"/>
        <v>0.32118742473765693</v>
      </c>
      <c r="O129" s="416" t="str">
        <f t="shared" si="31"/>
        <v>No</v>
      </c>
      <c r="P129" s="417">
        <f t="shared" si="35"/>
        <v>0</v>
      </c>
      <c r="Q129" s="415">
        <f>SUM($P$4:P129)/COUNT($P$4:P129)</f>
        <v>0.53968253968253965</v>
      </c>
      <c r="S129" s="382">
        <v>10568.7</v>
      </c>
      <c r="T129" s="415">
        <f t="shared" si="40"/>
        <v>1.4310543888963023E-2</v>
      </c>
      <c r="U129" s="415">
        <f t="shared" si="43"/>
        <v>0.23139858412523839</v>
      </c>
      <c r="V129" s="416" t="str">
        <f t="shared" si="44"/>
        <v>No</v>
      </c>
      <c r="W129" s="417">
        <f t="shared" si="36"/>
        <v>0</v>
      </c>
      <c r="X129" s="415">
        <f>SUM($W$4:W129)/COUNT($W$4:W129)</f>
        <v>0.53174603174603174</v>
      </c>
      <c r="Z129" s="389">
        <v>2151.69</v>
      </c>
      <c r="AA129" s="390">
        <f t="shared" si="41"/>
        <v>1.6463218760038423E-2</v>
      </c>
      <c r="AB129" s="390">
        <f t="shared" si="42"/>
        <v>0.43171111465985312</v>
      </c>
    </row>
    <row r="130" spans="1:28">
      <c r="A130" s="403">
        <f t="shared" si="34"/>
        <v>128</v>
      </c>
      <c r="B130" s="422">
        <f t="shared" si="48"/>
        <v>38632</v>
      </c>
      <c r="C130" s="385"/>
      <c r="D130" s="411">
        <v>30272.82</v>
      </c>
      <c r="E130" s="408">
        <f>D130+SUM(Holdings_Old!$E$32:$E$35)</f>
        <v>30272.82</v>
      </c>
      <c r="F130" s="408">
        <f t="shared" si="49"/>
        <v>-581.79999999999927</v>
      </c>
      <c r="G130" s="409">
        <f t="shared" si="45"/>
        <v>-1.8856171296227298E-2</v>
      </c>
      <c r="H130" s="408">
        <f t="shared" si="46"/>
        <v>7416.9700000000012</v>
      </c>
      <c r="I130" s="409">
        <f t="shared" si="47"/>
        <v>0.32451079264170879</v>
      </c>
      <c r="K130" s="385"/>
      <c r="L130" s="382">
        <v>1195.9000000000001</v>
      </c>
      <c r="M130" s="415">
        <f t="shared" si="39"/>
        <v>-2.6782008609955832E-2</v>
      </c>
      <c r="N130" s="415">
        <f t="shared" si="30"/>
        <v>0.28580337175296755</v>
      </c>
      <c r="O130" s="416" t="str">
        <f t="shared" si="31"/>
        <v>Yes</v>
      </c>
      <c r="P130" s="417">
        <f t="shared" si="35"/>
        <v>1</v>
      </c>
      <c r="Q130" s="415">
        <f>SUM($P$4:P130)/COUNT($P$4:P130)</f>
        <v>0.54330708661417326</v>
      </c>
      <c r="S130" s="382">
        <v>10292.31</v>
      </c>
      <c r="T130" s="415">
        <f t="shared" si="40"/>
        <v>-2.6151749978710837E-2</v>
      </c>
      <c r="U130" s="415">
        <f t="shared" si="43"/>
        <v>0.19919535622905649</v>
      </c>
      <c r="V130" s="416" t="str">
        <f t="shared" si="44"/>
        <v>Yes</v>
      </c>
      <c r="W130" s="417">
        <f t="shared" si="36"/>
        <v>1</v>
      </c>
      <c r="X130" s="415">
        <f>SUM($W$4:W130)/COUNT($W$4:W130)</f>
        <v>0.53543307086614178</v>
      </c>
      <c r="Z130" s="389">
        <v>2090.35</v>
      </c>
      <c r="AA130" s="390">
        <f t="shared" si="41"/>
        <v>-2.8507824082465438E-2</v>
      </c>
      <c r="AB130" s="390">
        <f t="shared" si="42"/>
        <v>0.39089614606621947</v>
      </c>
    </row>
    <row r="131" spans="1:28">
      <c r="A131" s="403">
        <f t="shared" si="34"/>
        <v>129</v>
      </c>
      <c r="B131" s="422">
        <f t="shared" si="48"/>
        <v>38639</v>
      </c>
      <c r="C131" s="385"/>
      <c r="D131" s="411">
        <v>30069.11</v>
      </c>
      <c r="E131" s="408">
        <f>D131+SUM(Holdings_Old!$E$32:$E$35)</f>
        <v>30069.11</v>
      </c>
      <c r="F131" s="408">
        <f t="shared" si="49"/>
        <v>-203.70999999999913</v>
      </c>
      <c r="G131" s="409">
        <f t="shared" si="45"/>
        <v>-6.7291385473834398E-3</v>
      </c>
      <c r="H131" s="408">
        <f t="shared" si="46"/>
        <v>7213.260000000002</v>
      </c>
      <c r="I131" s="409">
        <f t="shared" si="47"/>
        <v>0.31559797601051831</v>
      </c>
      <c r="K131" s="385"/>
      <c r="L131" s="382">
        <v>1186.57</v>
      </c>
      <c r="M131" s="415">
        <f t="shared" si="39"/>
        <v>-7.8016556568276663E-3</v>
      </c>
      <c r="N131" s="415">
        <f t="shared" si="30"/>
        <v>0.27577197660416286</v>
      </c>
      <c r="O131" s="416" t="str">
        <f t="shared" si="31"/>
        <v>Yes</v>
      </c>
      <c r="P131" s="417">
        <f t="shared" si="35"/>
        <v>1</v>
      </c>
      <c r="Q131" s="415">
        <f>SUM($P$4:P131)/COUNT($P$4:P131)</f>
        <v>0.546875</v>
      </c>
      <c r="S131" s="382">
        <v>10287.34</v>
      </c>
      <c r="T131" s="415">
        <f t="shared" si="40"/>
        <v>-4.8288479456981559E-4</v>
      </c>
      <c r="U131" s="415">
        <f t="shared" si="43"/>
        <v>0.19861628302581469</v>
      </c>
      <c r="V131" s="416" t="str">
        <f t="shared" si="44"/>
        <v>No</v>
      </c>
      <c r="W131" s="417">
        <f t="shared" si="36"/>
        <v>0</v>
      </c>
      <c r="X131" s="415">
        <f>SUM($W$4:W131)/COUNT($W$4:W131)</f>
        <v>0.53125</v>
      </c>
      <c r="Z131" s="389">
        <v>2064.83</v>
      </c>
      <c r="AA131" s="390">
        <f t="shared" si="41"/>
        <v>-1.2208481833185791E-2</v>
      </c>
      <c r="AB131" s="390">
        <f t="shared" si="42"/>
        <v>0.37391541573512166</v>
      </c>
    </row>
    <row r="132" spans="1:28">
      <c r="A132" s="403">
        <f t="shared" si="34"/>
        <v>130</v>
      </c>
      <c r="B132" s="422">
        <f t="shared" si="48"/>
        <v>38646</v>
      </c>
      <c r="C132" s="385"/>
      <c r="D132" s="411">
        <v>30450.5</v>
      </c>
      <c r="E132" s="408">
        <f>D132+SUM(Holdings_Old!$E$32:$E$35)</f>
        <v>30450.5</v>
      </c>
      <c r="F132" s="408">
        <f t="shared" si="49"/>
        <v>381.38999999999942</v>
      </c>
      <c r="G132" s="409">
        <f t="shared" si="45"/>
        <v>1.2683780796970634E-2</v>
      </c>
      <c r="H132" s="408">
        <f t="shared" si="46"/>
        <v>7594.6500000000015</v>
      </c>
      <c r="I132" s="409">
        <f t="shared" si="47"/>
        <v>0.33228473235517386</v>
      </c>
      <c r="K132" s="385"/>
      <c r="L132" s="382">
        <v>1179.5899999999999</v>
      </c>
      <c r="M132" s="415">
        <f t="shared" si="39"/>
        <v>-5.8825016644614703E-3</v>
      </c>
      <c r="N132" s="415">
        <f t="shared" ref="N132:N195" si="50">(L132/$L$3)-1</f>
        <v>0.26826724582831574</v>
      </c>
      <c r="O132" s="416" t="str">
        <f t="shared" ref="O132:O195" si="51">IF(G132&gt;M132,"Yes","No")</f>
        <v>Yes</v>
      </c>
      <c r="P132" s="417">
        <f t="shared" si="35"/>
        <v>1</v>
      </c>
      <c r="Q132" s="415">
        <f>SUM($P$4:P132)/COUNT($P$4:P132)</f>
        <v>0.55038759689922478</v>
      </c>
      <c r="S132" s="382">
        <v>10215.219999999999</v>
      </c>
      <c r="T132" s="415">
        <f t="shared" si="40"/>
        <v>-7.0105586089310723E-3</v>
      </c>
      <c r="U132" s="415">
        <f t="shared" ref="U132:U163" si="52">(S132/$S$3)-1</f>
        <v>0.19021331332404312</v>
      </c>
      <c r="V132" s="416" t="str">
        <f t="shared" ref="V132:V163" si="53">IF(G132&gt;T132,"Yes","No")</f>
        <v>Yes</v>
      </c>
      <c r="W132" s="417">
        <f t="shared" si="36"/>
        <v>1</v>
      </c>
      <c r="X132" s="415">
        <f>SUM($W$4:W132)/COUNT($W$4:W132)</f>
        <v>0.53488372093023251</v>
      </c>
      <c r="Z132" s="389">
        <v>2082.21</v>
      </c>
      <c r="AA132" s="390">
        <f t="shared" si="41"/>
        <v>8.4171578289737869E-3</v>
      </c>
      <c r="AB132" s="390">
        <f t="shared" si="42"/>
        <v>0.38547987863302446</v>
      </c>
    </row>
    <row r="133" spans="1:28">
      <c r="A133" s="403">
        <f t="shared" ref="A133:A196" si="54">A132+1</f>
        <v>131</v>
      </c>
      <c r="B133" s="422">
        <f t="shared" si="48"/>
        <v>38653</v>
      </c>
      <c r="C133" s="385"/>
      <c r="D133" s="411">
        <v>30347.43</v>
      </c>
      <c r="E133" s="408">
        <f>D133+SUM(Holdings_Old!$E$32:$E$35)</f>
        <v>30347.43</v>
      </c>
      <c r="F133" s="408">
        <f t="shared" si="49"/>
        <v>-103.06999999999971</v>
      </c>
      <c r="G133" s="409">
        <f t="shared" si="45"/>
        <v>-3.384837687394282E-3</v>
      </c>
      <c r="H133" s="408">
        <f t="shared" si="46"/>
        <v>7491.5800000000017</v>
      </c>
      <c r="I133" s="409">
        <f t="shared" si="47"/>
        <v>0.32777516478275803</v>
      </c>
      <c r="K133" s="385"/>
      <c r="L133" s="382">
        <v>1198.4100000000001</v>
      </c>
      <c r="M133" s="415">
        <f t="shared" si="39"/>
        <v>1.5954696123229306E-2</v>
      </c>
      <c r="N133" s="415">
        <f t="shared" si="50"/>
        <v>0.28850206433855163</v>
      </c>
      <c r="O133" s="416" t="str">
        <f t="shared" si="51"/>
        <v>No</v>
      </c>
      <c r="P133" s="417">
        <f t="shared" si="35"/>
        <v>0</v>
      </c>
      <c r="Q133" s="415">
        <f>SUM($P$4:P133)/COUNT($P$4:P133)</f>
        <v>0.5461538461538461</v>
      </c>
      <c r="S133" s="382">
        <v>10402.77</v>
      </c>
      <c r="T133" s="415">
        <f t="shared" si="40"/>
        <v>1.8359859112187626E-2</v>
      </c>
      <c r="U133" s="415">
        <f t="shared" si="52"/>
        <v>0.21206546207012256</v>
      </c>
      <c r="V133" s="416" t="str">
        <f t="shared" si="53"/>
        <v>No</v>
      </c>
      <c r="W133" s="417">
        <f t="shared" si="36"/>
        <v>0</v>
      </c>
      <c r="X133" s="415">
        <f>SUM($W$4:W133)/COUNT($W$4:W133)</f>
        <v>0.53076923076923077</v>
      </c>
      <c r="Z133" s="389">
        <v>2089.88</v>
      </c>
      <c r="AA133" s="390">
        <f t="shared" si="41"/>
        <v>3.6835861896735711E-3</v>
      </c>
      <c r="AB133" s="390">
        <f t="shared" si="42"/>
        <v>0.39058341318002765</v>
      </c>
    </row>
    <row r="134" spans="1:28">
      <c r="A134" s="403">
        <f t="shared" si="54"/>
        <v>132</v>
      </c>
      <c r="B134" s="422">
        <f t="shared" si="48"/>
        <v>38660</v>
      </c>
      <c r="C134" s="385"/>
      <c r="D134" s="411">
        <v>31059.33</v>
      </c>
      <c r="E134" s="408">
        <f>D134+SUM(Holdings_Old!$E$32:$E$35)</f>
        <v>31059.33</v>
      </c>
      <c r="F134" s="408">
        <f t="shared" si="49"/>
        <v>711.90000000000146</v>
      </c>
      <c r="G134" s="409">
        <f t="shared" si="45"/>
        <v>2.3458329090799479E-2</v>
      </c>
      <c r="H134" s="408">
        <f t="shared" si="46"/>
        <v>8203.4800000000032</v>
      </c>
      <c r="I134" s="409">
        <f t="shared" si="47"/>
        <v>0.35892255155682262</v>
      </c>
      <c r="K134" s="385"/>
      <c r="L134" s="382">
        <v>1220.1400000000001</v>
      </c>
      <c r="M134" s="415">
        <f t="shared" si="39"/>
        <v>1.8132358708622176E-2</v>
      </c>
      <c r="N134" s="415">
        <f t="shared" si="50"/>
        <v>0.31186564596593835</v>
      </c>
      <c r="O134" s="416" t="str">
        <f t="shared" si="51"/>
        <v>Yes</v>
      </c>
      <c r="P134" s="417">
        <f t="shared" ref="P134:P197" si="55">IF(O134="Yes",1,0)</f>
        <v>1</v>
      </c>
      <c r="Q134" s="415">
        <f>SUM($P$4:P134)/COUNT($P$4:P134)</f>
        <v>0.54961832061068705</v>
      </c>
      <c r="S134" s="382">
        <v>10530.76</v>
      </c>
      <c r="T134" s="415">
        <f t="shared" si="40"/>
        <v>1.2303453791634222E-2</v>
      </c>
      <c r="U134" s="415">
        <f t="shared" si="52"/>
        <v>0.22697805347513822</v>
      </c>
      <c r="V134" s="416" t="str">
        <f t="shared" si="53"/>
        <v>Yes</v>
      </c>
      <c r="W134" s="417">
        <f t="shared" ref="W134:W197" si="56">IF(V134="Yes",1,0)</f>
        <v>1</v>
      </c>
      <c r="X134" s="415">
        <f>SUM($W$4:W134)/COUNT($W$4:W134)</f>
        <v>0.53435114503816794</v>
      </c>
      <c r="Z134" s="389">
        <v>2169.4299999999998</v>
      </c>
      <c r="AA134" s="390">
        <f t="shared" si="41"/>
        <v>3.8064386471950318E-2</v>
      </c>
      <c r="AB134" s="390">
        <f t="shared" si="42"/>
        <v>0.4435151176407961</v>
      </c>
    </row>
    <row r="135" spans="1:28">
      <c r="A135" s="403">
        <f t="shared" si="54"/>
        <v>133</v>
      </c>
      <c r="B135" s="422">
        <f t="shared" si="48"/>
        <v>38667</v>
      </c>
      <c r="C135" s="385"/>
      <c r="D135" s="411">
        <v>31460.76</v>
      </c>
      <c r="E135" s="408">
        <f>D135+SUM(Holdings_Old!$E$32:$E$35)</f>
        <v>31460.76</v>
      </c>
      <c r="F135" s="408">
        <f t="shared" si="49"/>
        <v>401.42999999999665</v>
      </c>
      <c r="G135" s="409">
        <f t="shared" si="45"/>
        <v>1.2924618786045894E-2</v>
      </c>
      <c r="H135" s="408">
        <f t="shared" si="46"/>
        <v>8604.91</v>
      </c>
      <c r="I135" s="409">
        <f t="shared" si="47"/>
        <v>0.3764861074954553</v>
      </c>
      <c r="K135" s="385"/>
      <c r="L135" s="382">
        <v>1234.72</v>
      </c>
      <c r="M135" s="415">
        <f t="shared" si="39"/>
        <v>1.1949448423951292E-2</v>
      </c>
      <c r="N135" s="415">
        <f t="shared" si="50"/>
        <v>0.32754171684156197</v>
      </c>
      <c r="O135" s="416" t="str">
        <f t="shared" si="51"/>
        <v>Yes</v>
      </c>
      <c r="P135" s="417">
        <f t="shared" si="55"/>
        <v>1</v>
      </c>
      <c r="Q135" s="415">
        <f>SUM($P$4:P135)/COUNT($P$4:P135)</f>
        <v>0.55303030303030298</v>
      </c>
      <c r="S135" s="382">
        <v>10686.04</v>
      </c>
      <c r="T135" s="415">
        <f t="shared" si="40"/>
        <v>1.4745374502884934E-2</v>
      </c>
      <c r="U135" s="415">
        <f t="shared" si="52"/>
        <v>0.24507030438045008</v>
      </c>
      <c r="V135" s="416" t="str">
        <f t="shared" si="53"/>
        <v>No</v>
      </c>
      <c r="W135" s="417">
        <f t="shared" si="56"/>
        <v>0</v>
      </c>
      <c r="X135" s="415">
        <f>SUM($W$4:W135)/COUNT($W$4:W135)</f>
        <v>0.53030303030303028</v>
      </c>
      <c r="Z135" s="389">
        <v>2202.4699999999998</v>
      </c>
      <c r="AA135" s="390">
        <f t="shared" si="41"/>
        <v>1.5229806907805177E-2</v>
      </c>
      <c r="AB135" s="390">
        <f t="shared" si="42"/>
        <v>0.46549957415096332</v>
      </c>
    </row>
    <row r="136" spans="1:28">
      <c r="A136" s="403">
        <f t="shared" si="54"/>
        <v>134</v>
      </c>
      <c r="B136" s="422">
        <f t="shared" si="48"/>
        <v>38674</v>
      </c>
      <c r="C136" s="385"/>
      <c r="D136" s="411">
        <v>31518.32</v>
      </c>
      <c r="E136" s="408">
        <f>D136+SUM(Holdings_Old!$E$32:$E$35)</f>
        <v>31518.32</v>
      </c>
      <c r="F136" s="408">
        <f t="shared" si="49"/>
        <v>57.56000000000131</v>
      </c>
      <c r="G136" s="409">
        <f t="shared" si="45"/>
        <v>1.8295807221440086E-3</v>
      </c>
      <c r="H136" s="408">
        <f t="shared" si="46"/>
        <v>8662.4700000000012</v>
      </c>
      <c r="I136" s="409">
        <f t="shared" si="47"/>
        <v>0.37900449994202812</v>
      </c>
      <c r="K136" s="385"/>
      <c r="L136" s="382">
        <v>1248.27</v>
      </c>
      <c r="M136" s="415">
        <f t="shared" si="39"/>
        <v>1.0974147984968319E-2</v>
      </c>
      <c r="N136" s="415">
        <f t="shared" si="50"/>
        <v>0.34211035609840001</v>
      </c>
      <c r="O136" s="416" t="str">
        <f t="shared" si="51"/>
        <v>No</v>
      </c>
      <c r="P136" s="417">
        <f t="shared" si="55"/>
        <v>0</v>
      </c>
      <c r="Q136" s="415">
        <f>SUM($P$4:P136)/COUNT($P$4:P136)</f>
        <v>0.54887218045112784</v>
      </c>
      <c r="S136" s="382">
        <v>10766.33</v>
      </c>
      <c r="T136" s="415">
        <f t="shared" si="40"/>
        <v>7.5135410311022444E-3</v>
      </c>
      <c r="U136" s="415">
        <f t="shared" si="52"/>
        <v>0.25442519119901941</v>
      </c>
      <c r="V136" s="416" t="str">
        <f t="shared" si="53"/>
        <v>No</v>
      </c>
      <c r="W136" s="417">
        <f t="shared" si="56"/>
        <v>0</v>
      </c>
      <c r="X136" s="415">
        <f>SUM($W$4:W136)/COUNT($W$4:W136)</f>
        <v>0.52631578947368418</v>
      </c>
      <c r="Z136" s="389">
        <v>2227.0700000000002</v>
      </c>
      <c r="AA136" s="390">
        <f t="shared" si="41"/>
        <v>1.1169278128646543E-2</v>
      </c>
      <c r="AB136" s="390">
        <f t="shared" si="42"/>
        <v>0.48186814649206866</v>
      </c>
    </row>
    <row r="137" spans="1:28">
      <c r="A137" s="403">
        <f t="shared" si="54"/>
        <v>135</v>
      </c>
      <c r="B137" s="422">
        <f t="shared" si="48"/>
        <v>38681</v>
      </c>
      <c r="C137" s="385"/>
      <c r="D137" s="411">
        <v>31868.43</v>
      </c>
      <c r="E137" s="408">
        <f>D137+SUM(Holdings_Old!$E$32:$E$35)</f>
        <v>31868.43</v>
      </c>
      <c r="F137" s="408">
        <f t="shared" si="49"/>
        <v>350.11000000000058</v>
      </c>
      <c r="G137" s="409">
        <f t="shared" ref="G137:G168" si="57">(E137/E136)-1</f>
        <v>1.1108142819794997E-2</v>
      </c>
      <c r="H137" s="408">
        <f t="shared" si="46"/>
        <v>9012.5800000000017</v>
      </c>
      <c r="I137" s="409">
        <f t="shared" si="47"/>
        <v>0.39432267887652395</v>
      </c>
      <c r="K137" s="385"/>
      <c r="L137" s="382">
        <v>1268.25</v>
      </c>
      <c r="M137" s="415">
        <f t="shared" si="39"/>
        <v>1.6006152515080974E-2</v>
      </c>
      <c r="N137" s="415">
        <f t="shared" si="50"/>
        <v>0.3635923791501805</v>
      </c>
      <c r="O137" s="416" t="str">
        <f t="shared" si="51"/>
        <v>No</v>
      </c>
      <c r="P137" s="417">
        <f t="shared" si="55"/>
        <v>0</v>
      </c>
      <c r="Q137" s="415">
        <f>SUM($P$4:P137)/COUNT($P$4:P137)</f>
        <v>0.54477611940298509</v>
      </c>
      <c r="S137" s="382">
        <v>10931.62</v>
      </c>
      <c r="T137" s="415">
        <f t="shared" si="40"/>
        <v>1.535249244635839E-2</v>
      </c>
      <c r="U137" s="415">
        <f t="shared" si="52"/>
        <v>0.27368374447142396</v>
      </c>
      <c r="V137" s="416" t="str">
        <f t="shared" si="53"/>
        <v>No</v>
      </c>
      <c r="W137" s="417">
        <f t="shared" si="56"/>
        <v>0</v>
      </c>
      <c r="X137" s="415">
        <f>SUM($W$4:W137)/COUNT($W$4:W137)</f>
        <v>0.52238805970149249</v>
      </c>
      <c r="Z137" s="389">
        <v>2263.0100000000002</v>
      </c>
      <c r="AA137" s="390">
        <f t="shared" si="41"/>
        <v>1.6137795399336463E-2</v>
      </c>
      <c r="AB137" s="390">
        <f t="shared" si="42"/>
        <v>0.50578223144895129</v>
      </c>
    </row>
    <row r="138" spans="1:28">
      <c r="A138" s="403">
        <f t="shared" si="54"/>
        <v>136</v>
      </c>
      <c r="B138" s="422">
        <f t="shared" si="48"/>
        <v>38688</v>
      </c>
      <c r="C138" s="385"/>
      <c r="D138" s="411">
        <v>31846.799999999999</v>
      </c>
      <c r="E138" s="408">
        <f>D138+SUM(Holdings_Old!$E$32:$E$35)</f>
        <v>31846.799999999999</v>
      </c>
      <c r="F138" s="408">
        <f t="shared" ref="F138:F169" si="58">E138-E137</f>
        <v>-21.630000000001019</v>
      </c>
      <c r="G138" s="409">
        <f t="shared" si="57"/>
        <v>-6.7872813313996083E-4</v>
      </c>
      <c r="H138" s="408">
        <f t="shared" si="46"/>
        <v>8990.9500000000007</v>
      </c>
      <c r="I138" s="409">
        <f t="shared" si="47"/>
        <v>0.39337631284769548</v>
      </c>
      <c r="K138" s="385"/>
      <c r="L138" s="382">
        <v>1265.08</v>
      </c>
      <c r="M138" s="415">
        <f t="shared" si="39"/>
        <v>-2.4995071949537317E-3</v>
      </c>
      <c r="N138" s="415">
        <f t="shared" si="50"/>
        <v>0.36018407018751053</v>
      </c>
      <c r="O138" s="416" t="str">
        <f t="shared" si="51"/>
        <v>Yes</v>
      </c>
      <c r="P138" s="417">
        <f t="shared" si="55"/>
        <v>1</v>
      </c>
      <c r="Q138" s="415">
        <f>SUM($P$4:P138)/COUNT($P$4:P138)</f>
        <v>0.54814814814814816</v>
      </c>
      <c r="S138" s="382">
        <v>10877.51</v>
      </c>
      <c r="T138" s="415">
        <f t="shared" si="40"/>
        <v>-4.9498610452980429E-3</v>
      </c>
      <c r="U138" s="415">
        <f t="shared" si="52"/>
        <v>0.26737918692063545</v>
      </c>
      <c r="V138" s="416" t="str">
        <f t="shared" si="53"/>
        <v>Yes</v>
      </c>
      <c r="W138" s="417">
        <f t="shared" si="56"/>
        <v>1</v>
      </c>
      <c r="X138" s="415">
        <f>SUM($W$4:W138)/COUNT($W$4:W138)</f>
        <v>0.52592592592592591</v>
      </c>
      <c r="Z138" s="389">
        <v>2273.37</v>
      </c>
      <c r="AA138" s="390">
        <f t="shared" si="41"/>
        <v>4.5779735838549218E-3</v>
      </c>
      <c r="AB138" s="390">
        <f t="shared" si="42"/>
        <v>0.51267566272756282</v>
      </c>
    </row>
    <row r="139" spans="1:28">
      <c r="A139" s="403">
        <f t="shared" si="54"/>
        <v>137</v>
      </c>
      <c r="B139" s="422">
        <f t="shared" si="48"/>
        <v>38695</v>
      </c>
      <c r="C139" s="385"/>
      <c r="D139" s="411">
        <v>31568.63</v>
      </c>
      <c r="E139" s="408">
        <f>D139+SUM(Holdings_Old!$E$32:$E$35)</f>
        <v>31568.63</v>
      </c>
      <c r="F139" s="408">
        <f t="shared" si="58"/>
        <v>-278.16999999999825</v>
      </c>
      <c r="G139" s="409">
        <f t="shared" si="57"/>
        <v>-8.73462953891746E-3</v>
      </c>
      <c r="H139" s="408">
        <f t="shared" si="46"/>
        <v>8712.7800000000025</v>
      </c>
      <c r="I139" s="409">
        <f t="shared" si="47"/>
        <v>0.38120568694666801</v>
      </c>
      <c r="K139" s="385"/>
      <c r="L139" s="382">
        <v>1259.3699999999999</v>
      </c>
      <c r="M139" s="415">
        <f t="shared" si="39"/>
        <v>-4.5135485502892925E-3</v>
      </c>
      <c r="N139" s="415">
        <f t="shared" si="50"/>
        <v>0.3540448133493892</v>
      </c>
      <c r="O139" s="416" t="str">
        <f t="shared" si="51"/>
        <v>No</v>
      </c>
      <c r="P139" s="417">
        <f t="shared" si="55"/>
        <v>0</v>
      </c>
      <c r="Q139" s="415">
        <f>SUM($P$4:P139)/COUNT($P$4:P139)</f>
        <v>0.54411764705882348</v>
      </c>
      <c r="S139" s="382">
        <v>10778.58</v>
      </c>
      <c r="T139" s="415">
        <f t="shared" si="40"/>
        <v>-9.0949123466675941E-3</v>
      </c>
      <c r="U139" s="415">
        <f t="shared" si="52"/>
        <v>0.25585248430560137</v>
      </c>
      <c r="V139" s="416" t="str">
        <f t="shared" si="53"/>
        <v>Yes</v>
      </c>
      <c r="W139" s="417">
        <f t="shared" si="56"/>
        <v>1</v>
      </c>
      <c r="X139" s="415">
        <f>SUM($W$4:W139)/COUNT($W$4:W139)</f>
        <v>0.52941176470588236</v>
      </c>
      <c r="Z139" s="389">
        <v>2256.73</v>
      </c>
      <c r="AA139" s="390">
        <f t="shared" si="41"/>
        <v>-7.3195300369055527E-3</v>
      </c>
      <c r="AB139" s="390">
        <f t="shared" si="42"/>
        <v>0.50160358777813263</v>
      </c>
    </row>
    <row r="140" spans="1:28">
      <c r="A140" s="403">
        <f t="shared" si="54"/>
        <v>138</v>
      </c>
      <c r="B140" s="422">
        <f t="shared" si="48"/>
        <v>38702</v>
      </c>
      <c r="C140" s="385"/>
      <c r="D140" s="411">
        <v>31871.23</v>
      </c>
      <c r="E140" s="408">
        <f>D140+SUM(Holdings_Old!$E$32:$E$35)</f>
        <v>31871.23</v>
      </c>
      <c r="F140" s="408">
        <f t="shared" si="58"/>
        <v>302.59999999999854</v>
      </c>
      <c r="G140" s="409">
        <f t="shared" si="57"/>
        <v>9.5854650645275097E-3</v>
      </c>
      <c r="H140" s="408">
        <f t="shared" si="46"/>
        <v>9015.380000000001</v>
      </c>
      <c r="I140" s="409">
        <f t="shared" si="47"/>
        <v>0.39444518580582222</v>
      </c>
      <c r="K140" s="385"/>
      <c r="L140" s="382">
        <v>1267.32</v>
      </c>
      <c r="M140" s="415">
        <f t="shared" si="39"/>
        <v>6.3126801495987372E-3</v>
      </c>
      <c r="N140" s="415">
        <f t="shared" si="50"/>
        <v>0.36259246516428689</v>
      </c>
      <c r="O140" s="416" t="str">
        <f t="shared" si="51"/>
        <v>Yes</v>
      </c>
      <c r="P140" s="417">
        <f t="shared" si="55"/>
        <v>1</v>
      </c>
      <c r="Q140" s="415">
        <f>SUM($P$4:P140)/COUNT($P$4:P140)</f>
        <v>0.54744525547445255</v>
      </c>
      <c r="S140" s="382">
        <v>10875.59</v>
      </c>
      <c r="T140" s="415">
        <f t="shared" si="40"/>
        <v>9.0002579189467635E-3</v>
      </c>
      <c r="U140" s="415">
        <f t="shared" si="52"/>
        <v>0.26715548057250182</v>
      </c>
      <c r="V140" s="416" t="str">
        <f t="shared" si="53"/>
        <v>Yes</v>
      </c>
      <c r="W140" s="417">
        <f t="shared" si="56"/>
        <v>1</v>
      </c>
      <c r="X140" s="415">
        <f>SUM($W$4:W140)/COUNT($W$4:W140)</f>
        <v>0.53284671532846717</v>
      </c>
      <c r="Z140" s="389">
        <v>2252.48</v>
      </c>
      <c r="AA140" s="390">
        <f t="shared" si="41"/>
        <v>-1.8832558613569583E-3</v>
      </c>
      <c r="AB140" s="390">
        <f t="shared" si="42"/>
        <v>0.49877568402001482</v>
      </c>
    </row>
    <row r="141" spans="1:28">
      <c r="A141" s="403">
        <f t="shared" si="54"/>
        <v>139</v>
      </c>
      <c r="B141" s="422">
        <f t="shared" si="48"/>
        <v>38709</v>
      </c>
      <c r="C141" s="385"/>
      <c r="D141" s="411">
        <v>31761.119999999999</v>
      </c>
      <c r="E141" s="408">
        <f>D141+SUM(Holdings_Old!$E$32:$E$35)</f>
        <v>31761.119999999999</v>
      </c>
      <c r="F141" s="408">
        <f t="shared" si="58"/>
        <v>-110.11000000000058</v>
      </c>
      <c r="G141" s="409">
        <f t="shared" si="57"/>
        <v>-3.4548399920555362E-3</v>
      </c>
      <c r="H141" s="408">
        <f t="shared" si="46"/>
        <v>8905.27</v>
      </c>
      <c r="I141" s="409">
        <f t="shared" si="47"/>
        <v>0.38962760081117098</v>
      </c>
      <c r="K141" s="385"/>
      <c r="L141" s="382">
        <v>1268.6600000000001</v>
      </c>
      <c r="M141" s="415">
        <f t="shared" si="39"/>
        <v>1.0573493671686141E-3</v>
      </c>
      <c r="N141" s="415">
        <f t="shared" si="50"/>
        <v>0.36403320144503692</v>
      </c>
      <c r="O141" s="416" t="str">
        <f t="shared" si="51"/>
        <v>No</v>
      </c>
      <c r="P141" s="417">
        <f t="shared" si="55"/>
        <v>0</v>
      </c>
      <c r="Q141" s="415">
        <f>SUM($P$4:P141)/COUNT($P$4:P141)</f>
        <v>0.54347826086956519</v>
      </c>
      <c r="S141" s="382">
        <v>10883.27</v>
      </c>
      <c r="T141" s="415">
        <f t="shared" si="40"/>
        <v>7.0616858487682066E-4</v>
      </c>
      <c r="U141" s="415">
        <f t="shared" si="52"/>
        <v>0.26805030596503654</v>
      </c>
      <c r="V141" s="416" t="str">
        <f t="shared" si="53"/>
        <v>No</v>
      </c>
      <c r="W141" s="417">
        <f t="shared" si="56"/>
        <v>0</v>
      </c>
      <c r="X141" s="415">
        <f>SUM($W$4:W141)/COUNT($W$4:W141)</f>
        <v>0.52898550724637683</v>
      </c>
      <c r="Z141" s="389">
        <v>2249.42</v>
      </c>
      <c r="AA141" s="390">
        <f t="shared" si="41"/>
        <v>-1.3585026282142421E-3</v>
      </c>
      <c r="AB141" s="390">
        <f t="shared" si="42"/>
        <v>0.49673959331417006</v>
      </c>
    </row>
    <row r="142" spans="1:28">
      <c r="A142" s="403">
        <f t="shared" si="54"/>
        <v>140</v>
      </c>
      <c r="B142" s="422">
        <f t="shared" si="48"/>
        <v>38716</v>
      </c>
      <c r="C142" s="385"/>
      <c r="D142" s="411">
        <v>31322.33</v>
      </c>
      <c r="E142" s="408">
        <f>D142+SUM(Holdings_Old!$E$32:$E$35)</f>
        <v>31322.33</v>
      </c>
      <c r="F142" s="408">
        <f t="shared" si="58"/>
        <v>-438.78999999999724</v>
      </c>
      <c r="G142" s="409">
        <f t="shared" si="57"/>
        <v>-1.3815318855254333E-2</v>
      </c>
      <c r="H142" s="408">
        <f t="shared" si="46"/>
        <v>8466.4800000000032</v>
      </c>
      <c r="I142" s="409">
        <f t="shared" si="47"/>
        <v>0.37042945241590242</v>
      </c>
      <c r="K142" s="385"/>
      <c r="L142" s="382">
        <v>1248.29</v>
      </c>
      <c r="M142" s="415">
        <f t="shared" si="39"/>
        <v>-1.6056311383664701E-2</v>
      </c>
      <c r="N142" s="415">
        <f t="shared" si="50"/>
        <v>0.3421318596249785</v>
      </c>
      <c r="O142" s="416" t="str">
        <f t="shared" si="51"/>
        <v>Yes</v>
      </c>
      <c r="P142" s="417">
        <f t="shared" si="55"/>
        <v>1</v>
      </c>
      <c r="Q142" s="415">
        <f>SUM($P$4:P142)/COUNT($P$4:P142)</f>
        <v>0.5467625899280576</v>
      </c>
      <c r="S142" s="382">
        <v>10717.5</v>
      </c>
      <c r="T142" s="415">
        <f t="shared" si="40"/>
        <v>-1.5231635344891803E-2</v>
      </c>
      <c r="U142" s="415">
        <f t="shared" si="52"/>
        <v>0.24873582610559875</v>
      </c>
      <c r="V142" s="416" t="str">
        <f t="shared" si="53"/>
        <v>Yes</v>
      </c>
      <c r="W142" s="417">
        <f t="shared" si="56"/>
        <v>1</v>
      </c>
      <c r="X142" s="415">
        <f>SUM($W$4:W142)/COUNT($W$4:W142)</f>
        <v>0.53237410071942448</v>
      </c>
      <c r="Z142" s="389">
        <v>2205.3200000000002</v>
      </c>
      <c r="AA142" s="390">
        <f t="shared" si="41"/>
        <v>-1.9605053747188128E-2</v>
      </c>
      <c r="AB142" s="390">
        <f t="shared" si="42"/>
        <v>0.46739593314170125</v>
      </c>
    </row>
    <row r="143" spans="1:28">
      <c r="A143" s="403">
        <f t="shared" si="54"/>
        <v>141</v>
      </c>
      <c r="B143" s="422">
        <f t="shared" si="48"/>
        <v>38723</v>
      </c>
      <c r="C143" s="385"/>
      <c r="D143" s="411">
        <v>32066.31</v>
      </c>
      <c r="E143" s="408">
        <f>D143+SUM(Holdings_Old!$E$32:$E$35)</f>
        <v>32066.31</v>
      </c>
      <c r="F143" s="408">
        <f t="shared" si="58"/>
        <v>743.97999999999956</v>
      </c>
      <c r="G143" s="409">
        <f t="shared" si="57"/>
        <v>2.3752383682823064E-2</v>
      </c>
      <c r="H143" s="408">
        <f t="shared" si="46"/>
        <v>9210.4600000000028</v>
      </c>
      <c r="I143" s="409">
        <f t="shared" si="47"/>
        <v>0.40298041857992617</v>
      </c>
      <c r="K143" s="385"/>
      <c r="L143" s="382">
        <v>1285.45</v>
      </c>
      <c r="M143" s="415">
        <f t="shared" si="39"/>
        <v>2.9768723613903925E-2</v>
      </c>
      <c r="N143" s="415">
        <f t="shared" si="50"/>
        <v>0.38208541200756918</v>
      </c>
      <c r="O143" s="416" t="str">
        <f t="shared" si="51"/>
        <v>No</v>
      </c>
      <c r="P143" s="417">
        <f t="shared" si="55"/>
        <v>0</v>
      </c>
      <c r="Q143" s="415">
        <f>SUM($P$4:P143)/COUNT($P$4:P143)</f>
        <v>0.54285714285714282</v>
      </c>
      <c r="S143" s="382">
        <v>10959.31</v>
      </c>
      <c r="T143" s="415">
        <f t="shared" si="40"/>
        <v>2.2562164683928021E-2</v>
      </c>
      <c r="U143" s="415">
        <f t="shared" si="52"/>
        <v>0.27691000946091426</v>
      </c>
      <c r="V143" s="416" t="str">
        <f t="shared" si="53"/>
        <v>Yes</v>
      </c>
      <c r="W143" s="417">
        <f t="shared" si="56"/>
        <v>1</v>
      </c>
      <c r="X143" s="415">
        <f>SUM($W$4:W143)/COUNT($W$4:W143)</f>
        <v>0.5357142857142857</v>
      </c>
      <c r="Z143" s="389">
        <v>2305.62</v>
      </c>
      <c r="AA143" s="390">
        <f t="shared" si="41"/>
        <v>4.5480927937895599E-2</v>
      </c>
      <c r="AB143" s="390">
        <f t="shared" si="42"/>
        <v>0.53413446183327995</v>
      </c>
    </row>
    <row r="144" spans="1:28">
      <c r="A144" s="403">
        <f t="shared" si="54"/>
        <v>142</v>
      </c>
      <c r="B144" s="422">
        <f t="shared" si="48"/>
        <v>38730</v>
      </c>
      <c r="C144" s="385"/>
      <c r="D144" s="411">
        <v>32267.94</v>
      </c>
      <c r="E144" s="408">
        <f>D144+SUM(Holdings_Old!$E$32:$E$35)</f>
        <v>32267.94</v>
      </c>
      <c r="F144" s="408">
        <f t="shared" si="58"/>
        <v>201.62999999999738</v>
      </c>
      <c r="G144" s="409">
        <f t="shared" si="57"/>
        <v>6.2879077761051061E-3</v>
      </c>
      <c r="H144" s="408">
        <f t="shared" si="46"/>
        <v>9412.09</v>
      </c>
      <c r="I144" s="409">
        <f t="shared" si="47"/>
        <v>0.41180223006363792</v>
      </c>
      <c r="K144" s="385"/>
      <c r="L144" s="382">
        <v>1287.6099999999999</v>
      </c>
      <c r="M144" s="415">
        <f t="shared" ref="M144:M202" si="59">(L144/L143)-1</f>
        <v>1.680345404333039E-3</v>
      </c>
      <c r="N144" s="415">
        <f t="shared" si="50"/>
        <v>0.38440779287803184</v>
      </c>
      <c r="O144" s="416" t="str">
        <f t="shared" si="51"/>
        <v>Yes</v>
      </c>
      <c r="P144" s="417">
        <f t="shared" si="55"/>
        <v>1</v>
      </c>
      <c r="Q144" s="415">
        <f>SUM($P$4:P144)/COUNT($P$4:P144)</f>
        <v>0.54609929078014185</v>
      </c>
      <c r="S144" s="382">
        <v>10959.87</v>
      </c>
      <c r="T144" s="415">
        <f t="shared" ref="T144:T202" si="60">(S144/S143)-1</f>
        <v>5.1098107453961816E-5</v>
      </c>
      <c r="U144" s="415">
        <f t="shared" si="52"/>
        <v>0.27697525714578664</v>
      </c>
      <c r="V144" s="416" t="str">
        <f t="shared" si="53"/>
        <v>Yes</v>
      </c>
      <c r="W144" s="417">
        <f t="shared" si="56"/>
        <v>1</v>
      </c>
      <c r="X144" s="415">
        <f>SUM($W$4:W144)/COUNT($W$4:W144)</f>
        <v>0.53900709219858156</v>
      </c>
      <c r="Z144" s="389">
        <v>2317.04</v>
      </c>
      <c r="AA144" s="390">
        <f t="shared" ref="AA144:AA202" si="61">(Z144/Z143)-1</f>
        <v>4.9531145635448581E-3</v>
      </c>
      <c r="AB144" s="390">
        <f t="shared" ref="AB144:AB202" si="62">(Z144/$Z$3)-1</f>
        <v>0.54173320557862215</v>
      </c>
    </row>
    <row r="145" spans="1:28">
      <c r="A145" s="403">
        <f t="shared" si="54"/>
        <v>143</v>
      </c>
      <c r="B145" s="422">
        <f t="shared" si="48"/>
        <v>38737</v>
      </c>
      <c r="C145" s="385"/>
      <c r="D145" s="411">
        <v>31546.68</v>
      </c>
      <c r="E145" s="408">
        <f>D145+SUM(Holdings_Old!$E$32:$E$35)</f>
        <v>31546.68</v>
      </c>
      <c r="F145" s="408">
        <f t="shared" si="58"/>
        <v>-721.2599999999984</v>
      </c>
      <c r="G145" s="409">
        <f t="shared" si="57"/>
        <v>-2.2352217092259319E-2</v>
      </c>
      <c r="H145" s="408">
        <f t="shared" si="46"/>
        <v>8690.8300000000017</v>
      </c>
      <c r="I145" s="409">
        <f t="shared" si="47"/>
        <v>0.38024532012591972</v>
      </c>
      <c r="K145" s="385"/>
      <c r="L145" s="382">
        <v>1261.49</v>
      </c>
      <c r="M145" s="415">
        <f t="shared" si="59"/>
        <v>-2.0285645498248628E-2</v>
      </c>
      <c r="N145" s="415">
        <f t="shared" si="50"/>
        <v>0.35632418716669534</v>
      </c>
      <c r="O145" s="416" t="str">
        <f t="shared" si="51"/>
        <v>No</v>
      </c>
      <c r="P145" s="417">
        <f t="shared" si="55"/>
        <v>0</v>
      </c>
      <c r="Q145" s="415">
        <f>SUM($P$4:P145)/COUNT($P$4:P145)</f>
        <v>0.54225352112676062</v>
      </c>
      <c r="S145" s="382">
        <v>10667.39</v>
      </c>
      <c r="T145" s="415">
        <f t="shared" si="60"/>
        <v>-2.6686447923196299E-2</v>
      </c>
      <c r="U145" s="415">
        <f t="shared" si="52"/>
        <v>0.24289732344675552</v>
      </c>
      <c r="V145" s="416" t="str">
        <f t="shared" si="53"/>
        <v>Yes</v>
      </c>
      <c r="W145" s="417">
        <f t="shared" si="56"/>
        <v>1</v>
      </c>
      <c r="X145" s="415">
        <f>SUM($W$4:W145)/COUNT($W$4:W145)</f>
        <v>0.54225352112676062</v>
      </c>
      <c r="Z145" s="389">
        <v>2247.6999999999998</v>
      </c>
      <c r="AA145" s="390">
        <f t="shared" si="61"/>
        <v>-2.9926112626454504E-2</v>
      </c>
      <c r="AB145" s="390">
        <f t="shared" si="62"/>
        <v>0.49559512402853168</v>
      </c>
    </row>
    <row r="146" spans="1:28">
      <c r="A146" s="403">
        <f t="shared" si="54"/>
        <v>144</v>
      </c>
      <c r="B146" s="422">
        <f t="shared" si="48"/>
        <v>38744</v>
      </c>
      <c r="C146" s="385"/>
      <c r="D146" s="411">
        <v>31530.61</v>
      </c>
      <c r="E146" s="408">
        <f>D146+SUM(Holdings_Old!$E$32:$E$35)</f>
        <v>31530.61</v>
      </c>
      <c r="F146" s="408">
        <f t="shared" si="58"/>
        <v>-16.069999999999709</v>
      </c>
      <c r="G146" s="409">
        <f t="shared" si="57"/>
        <v>-5.0940384217923462E-4</v>
      </c>
      <c r="H146" s="408">
        <f t="shared" si="46"/>
        <v>8674.760000000002</v>
      </c>
      <c r="I146" s="409">
        <f t="shared" si="47"/>
        <v>0.37954221785669762</v>
      </c>
      <c r="K146" s="385"/>
      <c r="L146" s="382">
        <v>1283.72</v>
      </c>
      <c r="M146" s="415">
        <f t="shared" si="59"/>
        <v>1.7622018406804774E-2</v>
      </c>
      <c r="N146" s="415">
        <f t="shared" si="50"/>
        <v>0.38022535695854121</v>
      </c>
      <c r="O146" s="416" t="str">
        <f t="shared" si="51"/>
        <v>No</v>
      </c>
      <c r="P146" s="417">
        <f t="shared" si="55"/>
        <v>0</v>
      </c>
      <c r="Q146" s="415">
        <f>SUM($P$4:P146)/COUNT($P$4:P146)</f>
        <v>0.53846153846153844</v>
      </c>
      <c r="S146" s="382">
        <v>10907.21</v>
      </c>
      <c r="T146" s="415">
        <f t="shared" si="60"/>
        <v>2.2481600466468299E-2</v>
      </c>
      <c r="U146" s="415">
        <f t="shared" si="52"/>
        <v>0.27083964449332831</v>
      </c>
      <c r="V146" s="416" t="str">
        <f t="shared" si="53"/>
        <v>No</v>
      </c>
      <c r="W146" s="417">
        <f t="shared" si="56"/>
        <v>0</v>
      </c>
      <c r="X146" s="415">
        <f>SUM($W$4:W146)/COUNT($W$4:W146)</f>
        <v>0.53846153846153844</v>
      </c>
      <c r="Z146" s="389">
        <v>2304.23</v>
      </c>
      <c r="AA146" s="390">
        <f t="shared" si="61"/>
        <v>2.5150153490234528E-2</v>
      </c>
      <c r="AB146" s="390">
        <f t="shared" si="62"/>
        <v>0.53320957095709565</v>
      </c>
    </row>
    <row r="147" spans="1:28">
      <c r="A147" s="403">
        <f t="shared" si="54"/>
        <v>145</v>
      </c>
      <c r="B147" s="422">
        <f t="shared" si="48"/>
        <v>38751</v>
      </c>
      <c r="C147" s="385"/>
      <c r="D147" s="411">
        <v>31220.77</v>
      </c>
      <c r="E147" s="408">
        <f>D147+SUM(Holdings_Old!$E$32:$E$35)</f>
        <v>31220.77</v>
      </c>
      <c r="F147" s="408">
        <f t="shared" si="58"/>
        <v>-309.84000000000015</v>
      </c>
      <c r="G147" s="409">
        <f t="shared" si="57"/>
        <v>-9.8266414763304999E-3</v>
      </c>
      <c r="H147" s="408">
        <f t="shared" si="46"/>
        <v>8364.9200000000019</v>
      </c>
      <c r="I147" s="409">
        <f t="shared" si="47"/>
        <v>0.36598595108035803</v>
      </c>
      <c r="K147" s="385"/>
      <c r="L147" s="382">
        <v>1264.03</v>
      </c>
      <c r="M147" s="415">
        <f t="shared" si="59"/>
        <v>-1.5338235752344831E-2</v>
      </c>
      <c r="N147" s="415">
        <f t="shared" si="50"/>
        <v>0.35905513504214692</v>
      </c>
      <c r="O147" s="416" t="str">
        <f t="shared" si="51"/>
        <v>Yes</v>
      </c>
      <c r="P147" s="417">
        <f t="shared" si="55"/>
        <v>1</v>
      </c>
      <c r="Q147" s="415">
        <f>SUM($P$4:P147)/COUNT($P$4:P147)</f>
        <v>0.54166666666666663</v>
      </c>
      <c r="S147" s="382">
        <v>10793.62</v>
      </c>
      <c r="T147" s="415">
        <f t="shared" si="60"/>
        <v>-1.0414212250428712E-2</v>
      </c>
      <c r="U147" s="415">
        <f t="shared" si="52"/>
        <v>0.25760485069931538</v>
      </c>
      <c r="V147" s="416" t="str">
        <f t="shared" si="53"/>
        <v>Yes</v>
      </c>
      <c r="W147" s="417">
        <f t="shared" si="56"/>
        <v>1</v>
      </c>
      <c r="X147" s="415">
        <f>SUM($W$4:W147)/COUNT($W$4:W147)</f>
        <v>0.54166666666666663</v>
      </c>
      <c r="Z147" s="389">
        <v>2262.58</v>
      </c>
      <c r="AA147" s="390">
        <f t="shared" si="61"/>
        <v>-1.8075452537290149E-2</v>
      </c>
      <c r="AB147" s="390">
        <f t="shared" si="62"/>
        <v>0.50549611412754158</v>
      </c>
    </row>
    <row r="148" spans="1:28">
      <c r="A148" s="403">
        <f t="shared" si="54"/>
        <v>146</v>
      </c>
      <c r="B148" s="422">
        <f t="shared" si="48"/>
        <v>38758</v>
      </c>
      <c r="C148" s="385"/>
      <c r="D148" s="411">
        <v>31484.98</v>
      </c>
      <c r="E148" s="408">
        <f>D148+SUM(Holdings_Old!$E$32:$E$35)</f>
        <v>31484.98</v>
      </c>
      <c r="F148" s="408">
        <f t="shared" si="58"/>
        <v>264.20999999999913</v>
      </c>
      <c r="G148" s="409">
        <f t="shared" si="57"/>
        <v>8.4626356108450373E-3</v>
      </c>
      <c r="H148" s="408">
        <f t="shared" si="46"/>
        <v>8629.130000000001</v>
      </c>
      <c r="I148" s="409">
        <f t="shared" si="47"/>
        <v>0.37754579243388453</v>
      </c>
      <c r="K148" s="385"/>
      <c r="L148" s="382">
        <v>1266.99</v>
      </c>
      <c r="M148" s="415">
        <f t="shared" si="59"/>
        <v>2.3417165731827172E-3</v>
      </c>
      <c r="N148" s="415">
        <f t="shared" si="50"/>
        <v>0.36223765697574395</v>
      </c>
      <c r="O148" s="416" t="str">
        <f t="shared" si="51"/>
        <v>Yes</v>
      </c>
      <c r="P148" s="417">
        <f t="shared" si="55"/>
        <v>1</v>
      </c>
      <c r="Q148" s="415">
        <f>SUM($P$4:P148)/COUNT($P$4:P148)</f>
        <v>0.54482758620689653</v>
      </c>
      <c r="S148" s="382">
        <v>10919.05</v>
      </c>
      <c r="T148" s="415">
        <f t="shared" si="60"/>
        <v>1.1620753741562018E-2</v>
      </c>
      <c r="U148" s="415">
        <f t="shared" si="52"/>
        <v>0.27221916697348592</v>
      </c>
      <c r="V148" s="416" t="str">
        <f t="shared" si="53"/>
        <v>No</v>
      </c>
      <c r="W148" s="417">
        <f t="shared" si="56"/>
        <v>0</v>
      </c>
      <c r="X148" s="415">
        <f>SUM($W$4:W148)/COUNT($W$4:W148)</f>
        <v>0.53793103448275859</v>
      </c>
      <c r="Z148" s="389">
        <v>2261.88</v>
      </c>
      <c r="AA148" s="390">
        <f t="shared" si="61"/>
        <v>-3.0938132574309662E-4</v>
      </c>
      <c r="AB148" s="390">
        <f t="shared" si="62"/>
        <v>0.50503034174385175</v>
      </c>
    </row>
    <row r="149" spans="1:28">
      <c r="A149" s="403">
        <f t="shared" si="54"/>
        <v>147</v>
      </c>
      <c r="B149" s="422">
        <f t="shared" si="48"/>
        <v>38765</v>
      </c>
      <c r="C149" s="385"/>
      <c r="D149" s="411">
        <v>31942.639999999999</v>
      </c>
      <c r="E149" s="408">
        <f>D149+SUM(Holdings_Old!$E$32:$E$35)</f>
        <v>31942.639999999999</v>
      </c>
      <c r="F149" s="408">
        <f t="shared" si="58"/>
        <v>457.65999999999985</v>
      </c>
      <c r="G149" s="409">
        <f t="shared" si="57"/>
        <v>1.4535819936998484E-2</v>
      </c>
      <c r="H149" s="408">
        <f t="shared" si="46"/>
        <v>9086.7900000000009</v>
      </c>
      <c r="I149" s="409">
        <f t="shared" si="47"/>
        <v>0.39756955002767347</v>
      </c>
      <c r="K149" s="385"/>
      <c r="L149" s="382">
        <v>1287.24</v>
      </c>
      <c r="M149" s="415">
        <f t="shared" si="59"/>
        <v>1.598276229488782E-2</v>
      </c>
      <c r="N149" s="415">
        <f t="shared" si="50"/>
        <v>0.38400997763633238</v>
      </c>
      <c r="O149" s="416" t="str">
        <f t="shared" si="51"/>
        <v>No</v>
      </c>
      <c r="P149" s="417">
        <f t="shared" si="55"/>
        <v>0</v>
      </c>
      <c r="Q149" s="415">
        <f>SUM($P$4:P149)/COUNT($P$4:P149)</f>
        <v>0.54109589041095896</v>
      </c>
      <c r="S149" s="382">
        <v>11115.32</v>
      </c>
      <c r="T149" s="415">
        <f t="shared" si="60"/>
        <v>1.7975006983208308E-2</v>
      </c>
      <c r="U149" s="415">
        <f t="shared" si="52"/>
        <v>0.2950873153840059</v>
      </c>
      <c r="V149" s="416" t="str">
        <f t="shared" si="53"/>
        <v>No</v>
      </c>
      <c r="W149" s="417">
        <f t="shared" si="56"/>
        <v>0</v>
      </c>
      <c r="X149" s="415">
        <f>SUM($W$4:W149)/COUNT($W$4:W149)</f>
        <v>0.53424657534246578</v>
      </c>
      <c r="Z149" s="389">
        <v>2282.36</v>
      </c>
      <c r="AA149" s="390">
        <f t="shared" si="61"/>
        <v>9.0544149114895056E-3</v>
      </c>
      <c r="AB149" s="390">
        <f t="shared" si="62"/>
        <v>0.51865751091238144</v>
      </c>
    </row>
    <row r="150" spans="1:28">
      <c r="A150" s="403">
        <f t="shared" si="54"/>
        <v>148</v>
      </c>
      <c r="B150" s="422">
        <f t="shared" si="48"/>
        <v>38772</v>
      </c>
      <c r="C150" s="385"/>
      <c r="D150" s="411">
        <v>32066.76</v>
      </c>
      <c r="E150" s="408">
        <f>D150+SUM(Holdings_Old!$E$32:$E$35)</f>
        <v>32066.76</v>
      </c>
      <c r="F150" s="408">
        <f t="shared" si="58"/>
        <v>124.11999999999898</v>
      </c>
      <c r="G150" s="409">
        <f t="shared" si="57"/>
        <v>3.8857151443962845E-3</v>
      </c>
      <c r="H150" s="408">
        <f t="shared" si="46"/>
        <v>9210.91</v>
      </c>
      <c r="I150" s="409">
        <f t="shared" si="47"/>
        <v>0.40300010719356316</v>
      </c>
      <c r="K150" s="385"/>
      <c r="L150" s="382">
        <v>1289.43</v>
      </c>
      <c r="M150" s="415">
        <f t="shared" si="59"/>
        <v>1.7013144401976099E-3</v>
      </c>
      <c r="N150" s="415">
        <f t="shared" si="50"/>
        <v>0.38636461379666276</v>
      </c>
      <c r="O150" s="416" t="str">
        <f t="shared" si="51"/>
        <v>Yes</v>
      </c>
      <c r="P150" s="417">
        <f t="shared" si="55"/>
        <v>1</v>
      </c>
      <c r="Q150" s="415">
        <f>SUM($P$4:P150)/COUNT($P$4:P150)</f>
        <v>0.54421768707482998</v>
      </c>
      <c r="S150" s="382">
        <v>11061.85</v>
      </c>
      <c r="T150" s="415">
        <f t="shared" si="60"/>
        <v>-4.810477791012735E-3</v>
      </c>
      <c r="U150" s="415">
        <f t="shared" si="52"/>
        <v>0.28885732661592889</v>
      </c>
      <c r="V150" s="416" t="str">
        <f t="shared" si="53"/>
        <v>Yes</v>
      </c>
      <c r="W150" s="417">
        <f t="shared" si="56"/>
        <v>1</v>
      </c>
      <c r="X150" s="415">
        <f>SUM($W$4:W150)/COUNT($W$4:W150)</f>
        <v>0.5374149659863946</v>
      </c>
      <c r="Z150" s="389">
        <v>2287.04</v>
      </c>
      <c r="AA150" s="390">
        <f t="shared" si="61"/>
        <v>2.0505091221365568E-3</v>
      </c>
      <c r="AB150" s="390">
        <f t="shared" si="62"/>
        <v>0.52177153199190873</v>
      </c>
    </row>
    <row r="151" spans="1:28">
      <c r="A151" s="403">
        <f t="shared" si="54"/>
        <v>149</v>
      </c>
      <c r="B151" s="422">
        <f t="shared" si="48"/>
        <v>38779</v>
      </c>
      <c r="C151" s="385"/>
      <c r="D151" s="411">
        <v>32061.17</v>
      </c>
      <c r="E151" s="408">
        <f>D151+SUM(Holdings_Old!$E$32:$E$35)</f>
        <v>32061.17</v>
      </c>
      <c r="F151" s="408">
        <f t="shared" si="58"/>
        <v>-5.5900000000001455</v>
      </c>
      <c r="G151" s="409">
        <f t="shared" si="57"/>
        <v>-1.7432381693693877E-4</v>
      </c>
      <c r="H151" s="408">
        <f t="shared" si="46"/>
        <v>9205.32</v>
      </c>
      <c r="I151" s="409">
        <f t="shared" si="47"/>
        <v>0.40275553085971416</v>
      </c>
      <c r="K151" s="385"/>
      <c r="L151" s="382">
        <v>1287.23</v>
      </c>
      <c r="M151" s="415">
        <f t="shared" si="59"/>
        <v>-1.706180250188094E-3</v>
      </c>
      <c r="N151" s="415">
        <f t="shared" si="50"/>
        <v>0.38399922587304314</v>
      </c>
      <c r="O151" s="416" t="str">
        <f t="shared" si="51"/>
        <v>Yes</v>
      </c>
      <c r="P151" s="417">
        <f t="shared" si="55"/>
        <v>1</v>
      </c>
      <c r="Q151" s="415">
        <f>SUM($P$4:P151)/COUNT($P$4:P151)</f>
        <v>0.54729729729729726</v>
      </c>
      <c r="S151" s="382">
        <v>11021.59</v>
      </c>
      <c r="T151" s="415">
        <f t="shared" si="60"/>
        <v>-3.6395358823343438E-3</v>
      </c>
      <c r="U151" s="415">
        <f t="shared" si="52"/>
        <v>0.28416648412850054</v>
      </c>
      <c r="V151" s="416" t="str">
        <f t="shared" si="53"/>
        <v>Yes</v>
      </c>
      <c r="W151" s="417">
        <f t="shared" si="56"/>
        <v>1</v>
      </c>
      <c r="X151" s="415">
        <f>SUM($W$4:W151)/COUNT($W$4:W151)</f>
        <v>0.54054054054054057</v>
      </c>
      <c r="Z151" s="389">
        <v>2302.6</v>
      </c>
      <c r="AA151" s="390">
        <f t="shared" si="61"/>
        <v>6.8035539387154564E-3</v>
      </c>
      <c r="AB151" s="390">
        <f t="shared" si="62"/>
        <v>0.53212498669221753</v>
      </c>
    </row>
    <row r="152" spans="1:28">
      <c r="A152" s="403">
        <f t="shared" si="54"/>
        <v>150</v>
      </c>
      <c r="B152" s="422">
        <f t="shared" si="48"/>
        <v>38786</v>
      </c>
      <c r="C152" s="385"/>
      <c r="D152" s="411">
        <v>31907.45</v>
      </c>
      <c r="E152" s="408">
        <f>D152+SUM(Holdings_Old!$E$32:$E$35)</f>
        <v>31907.45</v>
      </c>
      <c r="F152" s="408">
        <f t="shared" si="58"/>
        <v>-153.71999999999753</v>
      </c>
      <c r="G152" s="409">
        <f t="shared" si="57"/>
        <v>-4.7945848513949452E-3</v>
      </c>
      <c r="H152" s="408">
        <f t="shared" si="46"/>
        <v>9051.6000000000022</v>
      </c>
      <c r="I152" s="409">
        <f t="shared" si="47"/>
        <v>0.39602990044124375</v>
      </c>
      <c r="K152" s="385"/>
      <c r="L152" s="382">
        <v>1281.58</v>
      </c>
      <c r="M152" s="415">
        <f t="shared" si="59"/>
        <v>-4.3892699828314008E-3</v>
      </c>
      <c r="N152" s="415">
        <f t="shared" si="50"/>
        <v>0.37792447961465658</v>
      </c>
      <c r="O152" s="416" t="str">
        <f t="shared" si="51"/>
        <v>No</v>
      </c>
      <c r="P152" s="417">
        <f t="shared" si="55"/>
        <v>0</v>
      </c>
      <c r="Q152" s="415">
        <f>SUM($P$4:P152)/COUNT($P$4:P152)</f>
        <v>0.5436241610738255</v>
      </c>
      <c r="S152" s="382">
        <v>11076.34</v>
      </c>
      <c r="T152" s="415">
        <f t="shared" si="60"/>
        <v>4.9675228347270117E-3</v>
      </c>
      <c r="U152" s="415">
        <f t="shared" si="52"/>
        <v>0.29054561046200011</v>
      </c>
      <c r="V152" s="416" t="str">
        <f t="shared" si="53"/>
        <v>No</v>
      </c>
      <c r="W152" s="417">
        <f t="shared" si="56"/>
        <v>0</v>
      </c>
      <c r="X152" s="415">
        <f>SUM($W$4:W152)/COUNT($W$4:W152)</f>
        <v>0.53691275167785235</v>
      </c>
      <c r="Z152" s="389">
        <v>2262.04</v>
      </c>
      <c r="AA152" s="390">
        <f t="shared" si="61"/>
        <v>-1.7614870146790529E-2</v>
      </c>
      <c r="AB152" s="390">
        <f t="shared" si="62"/>
        <v>0.50513680400298089</v>
      </c>
    </row>
    <row r="153" spans="1:28">
      <c r="A153" s="403">
        <f t="shared" si="54"/>
        <v>151</v>
      </c>
      <c r="B153" s="422">
        <f t="shared" si="48"/>
        <v>38793</v>
      </c>
      <c r="C153" s="385"/>
      <c r="D153" s="411">
        <v>32342.92</v>
      </c>
      <c r="E153" s="408">
        <f>D153+SUM(Holdings_Old!$E$32:$E$35)</f>
        <v>32342.92</v>
      </c>
      <c r="F153" s="408">
        <f t="shared" si="58"/>
        <v>435.46999999999753</v>
      </c>
      <c r="G153" s="409">
        <f t="shared" si="57"/>
        <v>1.3647909814165526E-2</v>
      </c>
      <c r="H153" s="408">
        <f t="shared" si="46"/>
        <v>9487.07</v>
      </c>
      <c r="I153" s="409">
        <f t="shared" si="47"/>
        <v>0.41508279062034448</v>
      </c>
      <c r="K153" s="385"/>
      <c r="L153" s="382">
        <v>1307.25</v>
      </c>
      <c r="M153" s="415">
        <f t="shared" si="59"/>
        <v>2.0029963014404073E-2</v>
      </c>
      <c r="N153" s="415">
        <f t="shared" si="50"/>
        <v>0.40552425597798036</v>
      </c>
      <c r="O153" s="416" t="str">
        <f t="shared" si="51"/>
        <v>No</v>
      </c>
      <c r="P153" s="417">
        <f t="shared" si="55"/>
        <v>0</v>
      </c>
      <c r="Q153" s="415">
        <f>SUM($P$4:P153)/COUNT($P$4:P153)</f>
        <v>0.54</v>
      </c>
      <c r="S153" s="382">
        <v>11279.65</v>
      </c>
      <c r="T153" s="415">
        <f t="shared" si="60"/>
        <v>1.8355341204766118E-2</v>
      </c>
      <c r="U153" s="415">
        <f t="shared" si="52"/>
        <v>0.31423401548234353</v>
      </c>
      <c r="V153" s="416" t="str">
        <f t="shared" si="53"/>
        <v>No</v>
      </c>
      <c r="W153" s="417">
        <f t="shared" si="56"/>
        <v>0</v>
      </c>
      <c r="X153" s="415">
        <f>SUM($W$4:W153)/COUNT($W$4:W153)</f>
        <v>0.53333333333333333</v>
      </c>
      <c r="Z153" s="389">
        <v>2306.48</v>
      </c>
      <c r="AA153" s="390">
        <f t="shared" si="61"/>
        <v>1.9645983271737055E-2</v>
      </c>
      <c r="AB153" s="390">
        <f t="shared" si="62"/>
        <v>0.53470669647609914</v>
      </c>
    </row>
    <row r="154" spans="1:28">
      <c r="A154" s="403">
        <f t="shared" si="54"/>
        <v>152</v>
      </c>
      <c r="B154" s="422">
        <f t="shared" si="48"/>
        <v>38800</v>
      </c>
      <c r="C154" s="385"/>
      <c r="D154" s="411">
        <v>32583.79</v>
      </c>
      <c r="E154" s="408">
        <f>D154+SUM(Holdings_Old!$E$32:$E$35)</f>
        <v>32583.79</v>
      </c>
      <c r="F154" s="408">
        <f t="shared" si="58"/>
        <v>240.87000000000262</v>
      </c>
      <c r="G154" s="409">
        <f t="shared" si="57"/>
        <v>7.4473795192271375E-3</v>
      </c>
      <c r="H154" s="408">
        <f t="shared" si="46"/>
        <v>9727.9400000000023</v>
      </c>
      <c r="I154" s="409">
        <f t="shared" si="47"/>
        <v>0.42562144921322131</v>
      </c>
      <c r="K154" s="385"/>
      <c r="L154" s="382">
        <v>1302.95</v>
      </c>
      <c r="M154" s="415">
        <f t="shared" si="59"/>
        <v>-3.2893478676611076E-3</v>
      </c>
      <c r="N154" s="415">
        <f t="shared" si="50"/>
        <v>0.4009009977636333</v>
      </c>
      <c r="O154" s="416" t="str">
        <f t="shared" si="51"/>
        <v>Yes</v>
      </c>
      <c r="P154" s="417">
        <f t="shared" si="55"/>
        <v>1</v>
      </c>
      <c r="Q154" s="415">
        <f>SUM($P$4:P154)/COUNT($P$4:P154)</f>
        <v>0.54304635761589404</v>
      </c>
      <c r="S154" s="382">
        <v>11279.97</v>
      </c>
      <c r="T154" s="415">
        <f t="shared" si="60"/>
        <v>2.8369674590855709E-5</v>
      </c>
      <c r="U154" s="415">
        <f t="shared" si="52"/>
        <v>0.31427129987369895</v>
      </c>
      <c r="V154" s="416" t="str">
        <f t="shared" si="53"/>
        <v>Yes</v>
      </c>
      <c r="W154" s="417">
        <f t="shared" si="56"/>
        <v>1</v>
      </c>
      <c r="X154" s="415">
        <f>SUM($W$4:W154)/COUNT($W$4:W154)</f>
        <v>0.53642384105960261</v>
      </c>
      <c r="Z154" s="389">
        <v>2312.8200000000002</v>
      </c>
      <c r="AA154" s="390">
        <f t="shared" si="61"/>
        <v>2.7487773577052899E-3</v>
      </c>
      <c r="AB154" s="390">
        <f t="shared" si="62"/>
        <v>0.53892526349409131</v>
      </c>
    </row>
    <row r="155" spans="1:28">
      <c r="A155" s="403">
        <f t="shared" si="54"/>
        <v>153</v>
      </c>
      <c r="B155" s="422">
        <f t="shared" si="48"/>
        <v>38807</v>
      </c>
      <c r="C155" s="385"/>
      <c r="D155" s="411">
        <v>32541.29</v>
      </c>
      <c r="E155" s="408">
        <f>D155+SUM(Holdings_Old!$E$32:$E$35)</f>
        <v>32541.29</v>
      </c>
      <c r="F155" s="408">
        <f t="shared" si="58"/>
        <v>-42.5</v>
      </c>
      <c r="G155" s="409">
        <f t="shared" si="57"/>
        <v>-1.3043295454580051E-3</v>
      </c>
      <c r="H155" s="408">
        <f t="shared" si="46"/>
        <v>9685.4400000000023</v>
      </c>
      <c r="I155" s="409">
        <f t="shared" si="47"/>
        <v>0.42376196903637364</v>
      </c>
      <c r="K155" s="385"/>
      <c r="L155" s="382">
        <v>1294.83</v>
      </c>
      <c r="M155" s="415">
        <f t="shared" si="59"/>
        <v>-6.2320119728309642E-3</v>
      </c>
      <c r="N155" s="415">
        <f t="shared" si="50"/>
        <v>0.39217056597281941</v>
      </c>
      <c r="O155" s="416" t="str">
        <f t="shared" si="51"/>
        <v>Yes</v>
      </c>
      <c r="P155" s="417">
        <f t="shared" si="55"/>
        <v>1</v>
      </c>
      <c r="Q155" s="415">
        <f>SUM($P$4:P155)/COUNT($P$4:P155)</f>
        <v>0.54605263157894735</v>
      </c>
      <c r="S155" s="382">
        <v>11109.32</v>
      </c>
      <c r="T155" s="415">
        <f t="shared" si="60"/>
        <v>-1.5128586334892669E-2</v>
      </c>
      <c r="U155" s="415">
        <f t="shared" si="52"/>
        <v>0.29438823304608808</v>
      </c>
      <c r="V155" s="416" t="str">
        <f t="shared" si="53"/>
        <v>Yes</v>
      </c>
      <c r="W155" s="417">
        <f t="shared" si="56"/>
        <v>1</v>
      </c>
      <c r="X155" s="415">
        <f>SUM($W$4:W155)/COUNT($W$4:W155)</f>
        <v>0.53947368421052633</v>
      </c>
      <c r="Z155" s="389">
        <v>2339.79</v>
      </c>
      <c r="AA155" s="390">
        <f t="shared" si="61"/>
        <v>1.1661089060108321E-2</v>
      </c>
      <c r="AB155" s="390">
        <f t="shared" si="62"/>
        <v>0.55687080804854672</v>
      </c>
    </row>
    <row r="156" spans="1:28">
      <c r="A156" s="403">
        <f t="shared" si="54"/>
        <v>154</v>
      </c>
      <c r="B156" s="422">
        <f t="shared" si="48"/>
        <v>38814</v>
      </c>
      <c r="C156" s="385"/>
      <c r="D156" s="411">
        <v>32541.759999999998</v>
      </c>
      <c r="E156" s="408">
        <f>D156+SUM(Holdings_Old!$E$32:$E$35)</f>
        <v>32541.759999999998</v>
      </c>
      <c r="F156" s="408">
        <f t="shared" si="58"/>
        <v>0.46999999999752617</v>
      </c>
      <c r="G156" s="409">
        <f t="shared" si="57"/>
        <v>1.4443188945501007E-5</v>
      </c>
      <c r="H156" s="408">
        <f t="shared" si="46"/>
        <v>9685.91</v>
      </c>
      <c r="I156" s="409">
        <f t="shared" si="47"/>
        <v>0.42378253269950594</v>
      </c>
      <c r="K156" s="385"/>
      <c r="L156" s="382">
        <v>1295.5</v>
      </c>
      <c r="M156" s="415">
        <f t="shared" si="59"/>
        <v>5.1744244418183705E-4</v>
      </c>
      <c r="N156" s="415">
        <f t="shared" si="50"/>
        <v>0.39289093411319453</v>
      </c>
      <c r="O156" s="416" t="str">
        <f t="shared" si="51"/>
        <v>No</v>
      </c>
      <c r="P156" s="417">
        <f t="shared" si="55"/>
        <v>0</v>
      </c>
      <c r="Q156" s="415">
        <f>SUM($P$4:P156)/COUNT($P$4:P156)</f>
        <v>0.54248366013071891</v>
      </c>
      <c r="S156" s="382">
        <v>11120.04</v>
      </c>
      <c r="T156" s="415">
        <f t="shared" si="60"/>
        <v>9.6495555083486728E-4</v>
      </c>
      <c r="U156" s="415">
        <f t="shared" si="52"/>
        <v>0.29563726015650138</v>
      </c>
      <c r="V156" s="416" t="str">
        <f t="shared" si="53"/>
        <v>No</v>
      </c>
      <c r="W156" s="417">
        <f t="shared" si="56"/>
        <v>0</v>
      </c>
      <c r="X156" s="415">
        <f>SUM($W$4:W156)/COUNT($W$4:W156)</f>
        <v>0.53594771241830064</v>
      </c>
      <c r="Z156" s="389">
        <v>2339.02</v>
      </c>
      <c r="AA156" s="390">
        <f t="shared" si="61"/>
        <v>-3.2908936272058043E-4</v>
      </c>
      <c r="AB156" s="390">
        <f t="shared" si="62"/>
        <v>0.55635845842648779</v>
      </c>
    </row>
    <row r="157" spans="1:28">
      <c r="A157" s="403">
        <f t="shared" si="54"/>
        <v>155</v>
      </c>
      <c r="B157" s="422">
        <f t="shared" si="48"/>
        <v>38821</v>
      </c>
      <c r="C157" s="385"/>
      <c r="D157" s="411">
        <v>32409.87</v>
      </c>
      <c r="E157" s="408">
        <f>D157+SUM(Holdings_Old!$E$32:$E$35)</f>
        <v>32409.87</v>
      </c>
      <c r="F157" s="408">
        <f t="shared" si="58"/>
        <v>-131.88999999999942</v>
      </c>
      <c r="G157" s="409">
        <f t="shared" si="57"/>
        <v>-4.0529461221519014E-3</v>
      </c>
      <c r="H157" s="408">
        <f t="shared" si="46"/>
        <v>9554.02</v>
      </c>
      <c r="I157" s="409">
        <f t="shared" si="47"/>
        <v>0.41801201880481376</v>
      </c>
      <c r="K157" s="385"/>
      <c r="L157" s="382">
        <v>1289.1199999999999</v>
      </c>
      <c r="M157" s="415">
        <f t="shared" si="59"/>
        <v>-4.9247394828252355E-3</v>
      </c>
      <c r="N157" s="415">
        <f t="shared" si="50"/>
        <v>0.38603130913469785</v>
      </c>
      <c r="O157" s="416" t="str">
        <f t="shared" si="51"/>
        <v>Yes</v>
      </c>
      <c r="P157" s="417">
        <f t="shared" si="55"/>
        <v>1</v>
      </c>
      <c r="Q157" s="415">
        <f>SUM($P$4:P157)/COUNT($P$4:P157)</f>
        <v>0.54545454545454541</v>
      </c>
      <c r="S157" s="382">
        <v>11137.65</v>
      </c>
      <c r="T157" s="415">
        <f t="shared" si="60"/>
        <v>1.583627397023557E-3</v>
      </c>
      <c r="U157" s="415">
        <f t="shared" si="52"/>
        <v>0.29768906681828988</v>
      </c>
      <c r="V157" s="416" t="str">
        <f t="shared" si="53"/>
        <v>No</v>
      </c>
      <c r="W157" s="417">
        <f t="shared" si="56"/>
        <v>0</v>
      </c>
      <c r="X157" s="415">
        <f>SUM($W$4:W157)/COUNT($W$4:W157)</f>
        <v>0.53246753246753242</v>
      </c>
      <c r="Z157" s="389">
        <v>2326.11</v>
      </c>
      <c r="AA157" s="390">
        <f t="shared" si="61"/>
        <v>-5.5194055630135574E-3</v>
      </c>
      <c r="AB157" s="390">
        <f t="shared" si="62"/>
        <v>0.54776828489300544</v>
      </c>
    </row>
    <row r="158" spans="1:28">
      <c r="A158" s="403">
        <f t="shared" si="54"/>
        <v>156</v>
      </c>
      <c r="B158" s="422">
        <f t="shared" si="48"/>
        <v>38828</v>
      </c>
      <c r="C158" s="385"/>
      <c r="D158" s="411">
        <v>32778.47</v>
      </c>
      <c r="E158" s="408">
        <f>D158+SUM(Holdings_Old!$E$32:$E$35)</f>
        <v>32778.47</v>
      </c>
      <c r="F158" s="408">
        <f t="shared" si="58"/>
        <v>368.60000000000218</v>
      </c>
      <c r="G158" s="409">
        <f t="shared" si="57"/>
        <v>1.137307863314474E-2</v>
      </c>
      <c r="H158" s="408">
        <f t="shared" si="46"/>
        <v>9922.6200000000026</v>
      </c>
      <c r="I158" s="409">
        <f t="shared" si="47"/>
        <v>0.43413918099742532</v>
      </c>
      <c r="K158" s="385"/>
      <c r="L158" s="382">
        <v>1311.28</v>
      </c>
      <c r="M158" s="415">
        <f t="shared" si="59"/>
        <v>1.7190021099664943E-2</v>
      </c>
      <c r="N158" s="415">
        <f t="shared" si="50"/>
        <v>0.4098572165835197</v>
      </c>
      <c r="O158" s="416" t="str">
        <f t="shared" si="51"/>
        <v>No</v>
      </c>
      <c r="P158" s="417">
        <f t="shared" si="55"/>
        <v>0</v>
      </c>
      <c r="Q158" s="415">
        <f>SUM($P$4:P158)/COUNT($P$4:P158)</f>
        <v>0.54193548387096779</v>
      </c>
      <c r="S158" s="382">
        <v>11347.45</v>
      </c>
      <c r="T158" s="415">
        <f t="shared" si="60"/>
        <v>1.8837007806853379E-2</v>
      </c>
      <c r="U158" s="415">
        <f t="shared" si="52"/>
        <v>0.32213364590081417</v>
      </c>
      <c r="V158" s="416" t="str">
        <f t="shared" si="53"/>
        <v>No</v>
      </c>
      <c r="W158" s="417">
        <f t="shared" si="56"/>
        <v>0</v>
      </c>
      <c r="X158" s="415">
        <f>SUM($W$4:W158)/COUNT($W$4:W158)</f>
        <v>0.52903225806451615</v>
      </c>
      <c r="Z158" s="389">
        <v>2342.86</v>
      </c>
      <c r="AA158" s="390">
        <f t="shared" si="61"/>
        <v>7.2008632437847719E-3</v>
      </c>
      <c r="AB158" s="390">
        <f t="shared" si="62"/>
        <v>0.55891355264558706</v>
      </c>
    </row>
    <row r="159" spans="1:28">
      <c r="A159" s="403">
        <f t="shared" si="54"/>
        <v>157</v>
      </c>
      <c r="B159" s="422">
        <f t="shared" si="48"/>
        <v>38835</v>
      </c>
      <c r="C159" s="385"/>
      <c r="D159" s="411">
        <v>32644.05</v>
      </c>
      <c r="E159" s="408">
        <f>D159+SUM(Holdings_Old!$E$32:$E$35)</f>
        <v>32644.05</v>
      </c>
      <c r="F159" s="408">
        <f t="shared" si="58"/>
        <v>-134.42000000000189</v>
      </c>
      <c r="G159" s="409">
        <f t="shared" si="57"/>
        <v>-4.1008625478858862E-3</v>
      </c>
      <c r="H159" s="408">
        <f t="shared" si="46"/>
        <v>9788.2000000000007</v>
      </c>
      <c r="I159" s="409">
        <f t="shared" si="47"/>
        <v>0.42825797334161719</v>
      </c>
      <c r="K159" s="385"/>
      <c r="L159" s="382">
        <v>1310.6099999999999</v>
      </c>
      <c r="M159" s="415">
        <f t="shared" si="59"/>
        <v>-5.1095113171872875E-4</v>
      </c>
      <c r="N159" s="415">
        <f t="shared" si="50"/>
        <v>0.40913684844314457</v>
      </c>
      <c r="O159" s="416" t="str">
        <f t="shared" si="51"/>
        <v>No</v>
      </c>
      <c r="P159" s="417">
        <f t="shared" si="55"/>
        <v>0</v>
      </c>
      <c r="Q159" s="415">
        <f>SUM($P$4:P159)/COUNT($P$4:P159)</f>
        <v>0.53846153846153844</v>
      </c>
      <c r="S159" s="382">
        <v>11367.14</v>
      </c>
      <c r="T159" s="415">
        <f t="shared" si="60"/>
        <v>1.735191606924813E-3</v>
      </c>
      <c r="U159" s="415">
        <f t="shared" si="52"/>
        <v>0.32442780110641412</v>
      </c>
      <c r="V159" s="416" t="str">
        <f t="shared" si="53"/>
        <v>No</v>
      </c>
      <c r="W159" s="417">
        <f t="shared" si="56"/>
        <v>0</v>
      </c>
      <c r="X159" s="415">
        <f>SUM($W$4:W159)/COUNT($W$4:W159)</f>
        <v>0.52564102564102566</v>
      </c>
      <c r="Z159" s="389">
        <v>2322.5700000000002</v>
      </c>
      <c r="AA159" s="390">
        <f t="shared" si="61"/>
        <v>-8.6603552922496219E-3</v>
      </c>
      <c r="AB159" s="390">
        <f t="shared" si="62"/>
        <v>0.54541280740977327</v>
      </c>
    </row>
    <row r="160" spans="1:28">
      <c r="A160" s="403">
        <f t="shared" si="54"/>
        <v>158</v>
      </c>
      <c r="B160" s="422">
        <f t="shared" si="48"/>
        <v>38842</v>
      </c>
      <c r="C160" s="385"/>
      <c r="D160" s="411">
        <v>32515.87</v>
      </c>
      <c r="E160" s="408">
        <f>D160+SUM(Holdings_Old!$E$32:$E$35)</f>
        <v>32515.87</v>
      </c>
      <c r="F160" s="408">
        <f t="shared" si="58"/>
        <v>-128.18000000000029</v>
      </c>
      <c r="G160" s="409">
        <f t="shared" si="57"/>
        <v>-3.9265961178224229E-3</v>
      </c>
      <c r="H160" s="408">
        <f t="shared" si="46"/>
        <v>9660.02</v>
      </c>
      <c r="I160" s="409">
        <f t="shared" si="47"/>
        <v>0.42264978112824503</v>
      </c>
      <c r="K160" s="385"/>
      <c r="L160" s="382">
        <v>1305.19</v>
      </c>
      <c r="M160" s="415">
        <f t="shared" si="59"/>
        <v>-4.1354788991384561E-3</v>
      </c>
      <c r="N160" s="415">
        <f t="shared" si="50"/>
        <v>0.40330939274040944</v>
      </c>
      <c r="O160" s="416" t="str">
        <f t="shared" si="51"/>
        <v>Yes</v>
      </c>
      <c r="P160" s="417">
        <f t="shared" si="55"/>
        <v>1</v>
      </c>
      <c r="Q160" s="415">
        <f>SUM($P$4:P160)/COUNT($P$4:P160)</f>
        <v>0.54140127388535031</v>
      </c>
      <c r="S160" s="382">
        <v>11577.74</v>
      </c>
      <c r="T160" s="415">
        <f t="shared" si="60"/>
        <v>1.8527087728311686E-2</v>
      </c>
      <c r="U160" s="415">
        <f t="shared" si="52"/>
        <v>0.34896559116732773</v>
      </c>
      <c r="V160" s="416" t="str">
        <f t="shared" si="53"/>
        <v>No</v>
      </c>
      <c r="W160" s="417">
        <f t="shared" si="56"/>
        <v>0</v>
      </c>
      <c r="X160" s="415">
        <f>SUM($W$4:W160)/COUNT($W$4:W160)</f>
        <v>0.52229299363057324</v>
      </c>
      <c r="Z160" s="389">
        <v>2342.5700000000002</v>
      </c>
      <c r="AA160" s="390">
        <f t="shared" si="61"/>
        <v>8.6111505788846188E-3</v>
      </c>
      <c r="AB160" s="390">
        <f t="shared" si="62"/>
        <v>0.55872058980091555</v>
      </c>
    </row>
    <row r="161" spans="1:28">
      <c r="A161" s="403">
        <f t="shared" si="54"/>
        <v>159</v>
      </c>
      <c r="B161" s="422">
        <f t="shared" si="48"/>
        <v>38849</v>
      </c>
      <c r="C161" s="385"/>
      <c r="D161" s="411">
        <v>31987.95</v>
      </c>
      <c r="E161" s="408">
        <f>D161+SUM(Holdings_Old!$E$32:$E$35)</f>
        <v>31987.95</v>
      </c>
      <c r="F161" s="408">
        <f t="shared" si="58"/>
        <v>-527.91999999999825</v>
      </c>
      <c r="G161" s="409">
        <f t="shared" si="57"/>
        <v>-1.6235764259113994E-2</v>
      </c>
      <c r="H161" s="408">
        <f t="shared" si="46"/>
        <v>9132.1000000000022</v>
      </c>
      <c r="I161" s="409">
        <f t="shared" si="47"/>
        <v>0.39955197465856673</v>
      </c>
      <c r="K161" s="385"/>
      <c r="L161" s="382">
        <v>1291.24</v>
      </c>
      <c r="M161" s="415">
        <f t="shared" si="59"/>
        <v>-1.0688099050712996E-2</v>
      </c>
      <c r="N161" s="415">
        <f t="shared" si="50"/>
        <v>0.38831068295200399</v>
      </c>
      <c r="O161" s="416" t="str">
        <f t="shared" si="51"/>
        <v>No</v>
      </c>
      <c r="P161" s="417">
        <f t="shared" si="55"/>
        <v>0</v>
      </c>
      <c r="Q161" s="415">
        <f>SUM($P$4:P161)/COUNT($P$4:P161)</f>
        <v>0.53797468354430378</v>
      </c>
      <c r="S161" s="382">
        <v>11380.99</v>
      </c>
      <c r="T161" s="415">
        <f t="shared" si="60"/>
        <v>-1.6993817446237403E-2</v>
      </c>
      <c r="U161" s="415">
        <f t="shared" si="52"/>
        <v>0.3260415161697745</v>
      </c>
      <c r="V161" s="416" t="str">
        <f t="shared" si="53"/>
        <v>Yes</v>
      </c>
      <c r="W161" s="417">
        <f t="shared" si="56"/>
        <v>1</v>
      </c>
      <c r="X161" s="415">
        <f>SUM($W$4:W161)/COUNT($W$4:W161)</f>
        <v>0.52531645569620256</v>
      </c>
      <c r="Z161" s="389">
        <v>2243.7800000000002</v>
      </c>
      <c r="AA161" s="390">
        <f t="shared" si="61"/>
        <v>-4.2171632010996496E-2</v>
      </c>
      <c r="AB161" s="390">
        <f t="shared" si="62"/>
        <v>0.49298679867986794</v>
      </c>
    </row>
    <row r="162" spans="1:28">
      <c r="A162" s="403">
        <f t="shared" si="54"/>
        <v>160</v>
      </c>
      <c r="B162" s="422">
        <f t="shared" si="48"/>
        <v>38856</v>
      </c>
      <c r="C162" s="385"/>
      <c r="D162" s="411">
        <v>31397.88</v>
      </c>
      <c r="E162" s="408">
        <f>D162+SUM(Holdings_Old!$E$32:$E$35)</f>
        <v>31397.88</v>
      </c>
      <c r="F162" s="408">
        <f t="shared" si="58"/>
        <v>-590.06999999999971</v>
      </c>
      <c r="G162" s="409">
        <f t="shared" si="57"/>
        <v>-1.8446633810544233E-2</v>
      </c>
      <c r="H162" s="408">
        <f t="shared" si="46"/>
        <v>8542.0300000000025</v>
      </c>
      <c r="I162" s="409">
        <f t="shared" si="47"/>
        <v>0.37373495188321604</v>
      </c>
      <c r="K162" s="385"/>
      <c r="L162" s="382">
        <v>1267.03</v>
      </c>
      <c r="M162" s="415">
        <f t="shared" si="59"/>
        <v>-1.8749419162975123E-2</v>
      </c>
      <c r="N162" s="415">
        <f t="shared" si="50"/>
        <v>0.36228066402890069</v>
      </c>
      <c r="O162" s="416" t="str">
        <f t="shared" si="51"/>
        <v>Yes</v>
      </c>
      <c r="P162" s="417">
        <f t="shared" si="55"/>
        <v>1</v>
      </c>
      <c r="Q162" s="415">
        <f>SUM($P$4:P162)/COUNT($P$4:P162)</f>
        <v>0.54088050314465408</v>
      </c>
      <c r="S162" s="382">
        <v>11144.06</v>
      </c>
      <c r="T162" s="415">
        <f t="shared" si="60"/>
        <v>-2.0818048342015949E-2</v>
      </c>
      <c r="U162" s="415">
        <f t="shared" si="52"/>
        <v>0.29843591978263184</v>
      </c>
      <c r="V162" s="416" t="str">
        <f t="shared" si="53"/>
        <v>Yes</v>
      </c>
      <c r="W162" s="417">
        <f t="shared" si="56"/>
        <v>1</v>
      </c>
      <c r="X162" s="415">
        <f>SUM($W$4:W162)/COUNT($W$4:W162)</f>
        <v>0.52830188679245282</v>
      </c>
      <c r="Z162" s="389">
        <v>2193.88</v>
      </c>
      <c r="AA162" s="390">
        <f t="shared" si="61"/>
        <v>-2.2239256968151988E-2</v>
      </c>
      <c r="AB162" s="390">
        <f t="shared" si="62"/>
        <v>0.45978388161396788</v>
      </c>
    </row>
    <row r="163" spans="1:28">
      <c r="A163" s="403">
        <f t="shared" si="54"/>
        <v>161</v>
      </c>
      <c r="B163" s="422">
        <f t="shared" si="48"/>
        <v>38863</v>
      </c>
      <c r="C163" s="385"/>
      <c r="D163" s="411">
        <v>31315.06</v>
      </c>
      <c r="E163" s="408">
        <f>D163+SUM(Holdings_Old!$E$32:$E$35)</f>
        <v>31315.06</v>
      </c>
      <c r="F163" s="408">
        <f t="shared" si="58"/>
        <v>-82.819999999999709</v>
      </c>
      <c r="G163" s="409">
        <f t="shared" si="57"/>
        <v>-2.6377577084821802E-3</v>
      </c>
      <c r="H163" s="408">
        <f t="shared" si="46"/>
        <v>8459.2100000000028</v>
      </c>
      <c r="I163" s="409">
        <f t="shared" si="47"/>
        <v>0.37011137192447463</v>
      </c>
      <c r="K163" s="385"/>
      <c r="L163" s="382">
        <v>1280.1600000000001</v>
      </c>
      <c r="M163" s="415">
        <f t="shared" si="59"/>
        <v>1.0362816981444922E-2</v>
      </c>
      <c r="N163" s="415">
        <f t="shared" si="50"/>
        <v>0.37639772922759329</v>
      </c>
      <c r="O163" s="416" t="str">
        <f t="shared" si="51"/>
        <v>No</v>
      </c>
      <c r="P163" s="417">
        <f t="shared" si="55"/>
        <v>0</v>
      </c>
      <c r="Q163" s="415">
        <f>SUM($P$4:P163)/COUNT($P$4:P163)</f>
        <v>0.53749999999999998</v>
      </c>
      <c r="S163" s="382">
        <v>11278.61</v>
      </c>
      <c r="T163" s="415">
        <f t="shared" si="60"/>
        <v>1.207369665992486E-2</v>
      </c>
      <c r="U163" s="415">
        <f t="shared" si="52"/>
        <v>0.3141128412104377</v>
      </c>
      <c r="V163" s="416" t="str">
        <f t="shared" si="53"/>
        <v>No</v>
      </c>
      <c r="W163" s="417">
        <f t="shared" si="56"/>
        <v>0</v>
      </c>
      <c r="X163" s="415">
        <f>SUM($W$4:W163)/COUNT($W$4:W163)</f>
        <v>0.52500000000000002</v>
      </c>
      <c r="Z163" s="389">
        <v>2210.37</v>
      </c>
      <c r="AA163" s="390">
        <f t="shared" si="61"/>
        <v>7.5163637026636199E-3</v>
      </c>
      <c r="AB163" s="390">
        <f t="shared" si="62"/>
        <v>0.47075614819546452</v>
      </c>
    </row>
    <row r="164" spans="1:28">
      <c r="A164" s="403">
        <f t="shared" si="54"/>
        <v>162</v>
      </c>
      <c r="B164" s="422">
        <f t="shared" si="48"/>
        <v>38870</v>
      </c>
      <c r="C164" s="385"/>
      <c r="D164" s="411">
        <v>31364.7</v>
      </c>
      <c r="E164" s="408">
        <f>D164+SUM(Holdings_Old!$E$32:$E$35)</f>
        <v>31364.7</v>
      </c>
      <c r="F164" s="408">
        <f t="shared" si="58"/>
        <v>49.639999999999418</v>
      </c>
      <c r="G164" s="409">
        <f t="shared" si="57"/>
        <v>1.5851797825072733E-3</v>
      </c>
      <c r="H164" s="408">
        <f t="shared" si="46"/>
        <v>8508.8500000000022</v>
      </c>
      <c r="I164" s="409">
        <f t="shared" si="47"/>
        <v>0.37228324477103247</v>
      </c>
      <c r="K164" s="385"/>
      <c r="L164" s="382">
        <v>1288.22</v>
      </c>
      <c r="M164" s="415">
        <f t="shared" si="59"/>
        <v>6.2960879890012755E-3</v>
      </c>
      <c r="N164" s="415">
        <f t="shared" si="50"/>
        <v>0.38506365043867197</v>
      </c>
      <c r="O164" s="416" t="str">
        <f t="shared" si="51"/>
        <v>No</v>
      </c>
      <c r="P164" s="417">
        <f t="shared" si="55"/>
        <v>0</v>
      </c>
      <c r="Q164" s="415">
        <f>SUM($P$4:P164)/COUNT($P$4:P164)</f>
        <v>0.53416149068322982</v>
      </c>
      <c r="S164" s="382">
        <v>11247.87</v>
      </c>
      <c r="T164" s="415">
        <f t="shared" si="60"/>
        <v>-2.7255131616396033E-3</v>
      </c>
      <c r="U164" s="415">
        <f t="shared" ref="U164:U195" si="63">(S164/$S$3)-1</f>
        <v>0.31053120936583922</v>
      </c>
      <c r="V164" s="416" t="str">
        <f t="shared" ref="V164:V195" si="64">IF(G164&gt;T164,"Yes","No")</f>
        <v>Yes</v>
      </c>
      <c r="W164" s="417">
        <f t="shared" si="56"/>
        <v>1</v>
      </c>
      <c r="X164" s="415">
        <f>SUM($W$4:W164)/COUNT($W$4:W164)</f>
        <v>0.52795031055900621</v>
      </c>
      <c r="Z164" s="389">
        <v>2219.41</v>
      </c>
      <c r="AA164" s="390">
        <f t="shared" si="61"/>
        <v>4.0898130177300374E-3</v>
      </c>
      <c r="AB164" s="390">
        <f t="shared" si="62"/>
        <v>0.47677126583626084</v>
      </c>
    </row>
    <row r="165" spans="1:28">
      <c r="A165" s="403">
        <f t="shared" si="54"/>
        <v>163</v>
      </c>
      <c r="B165" s="422">
        <f t="shared" si="48"/>
        <v>38877</v>
      </c>
      <c r="C165" s="385"/>
      <c r="D165" s="411">
        <v>30726.39</v>
      </c>
      <c r="E165" s="408">
        <f>D165+SUM(Holdings_Old!$E$32:$E$35)</f>
        <v>30726.39</v>
      </c>
      <c r="F165" s="408">
        <f t="shared" si="58"/>
        <v>-638.31000000000131</v>
      </c>
      <c r="G165" s="409">
        <f t="shared" si="57"/>
        <v>-2.0351222871572205E-2</v>
      </c>
      <c r="H165" s="408">
        <f t="shared" si="46"/>
        <v>7870.5400000000009</v>
      </c>
      <c r="I165" s="409">
        <f t="shared" si="47"/>
        <v>0.34435560261377285</v>
      </c>
      <c r="K165" s="385"/>
      <c r="L165" s="382">
        <v>1252.3</v>
      </c>
      <c r="M165" s="415">
        <f t="shared" si="59"/>
        <v>-2.7883436059058297E-2</v>
      </c>
      <c r="N165" s="415">
        <f t="shared" si="50"/>
        <v>0.34644331670393935</v>
      </c>
      <c r="O165" s="416" t="str">
        <f t="shared" si="51"/>
        <v>Yes</v>
      </c>
      <c r="P165" s="417">
        <f t="shared" si="55"/>
        <v>1</v>
      </c>
      <c r="Q165" s="415">
        <f>SUM($P$4:P165)/COUNT($P$4:P165)</f>
        <v>0.53703703703703709</v>
      </c>
      <c r="S165" s="382">
        <v>10891.92</v>
      </c>
      <c r="T165" s="415">
        <f t="shared" si="60"/>
        <v>-3.1645991641084059E-2</v>
      </c>
      <c r="U165" s="415">
        <f t="shared" si="63"/>
        <v>0.26905814966886799</v>
      </c>
      <c r="V165" s="416" t="str">
        <f t="shared" si="64"/>
        <v>Yes</v>
      </c>
      <c r="W165" s="417">
        <f t="shared" si="56"/>
        <v>1</v>
      </c>
      <c r="X165" s="415">
        <f>SUM($W$4:W165)/COUNT($W$4:W165)</f>
        <v>0.53086419753086422</v>
      </c>
      <c r="Z165" s="389">
        <v>2135.06</v>
      </c>
      <c r="AA165" s="390">
        <f t="shared" si="61"/>
        <v>-3.8005596081841508E-2</v>
      </c>
      <c r="AB165" s="390">
        <f t="shared" si="62"/>
        <v>0.42064569360161808</v>
      </c>
    </row>
    <row r="166" spans="1:28">
      <c r="A166" s="403">
        <f t="shared" si="54"/>
        <v>164</v>
      </c>
      <c r="B166" s="422">
        <f t="shared" si="48"/>
        <v>38884</v>
      </c>
      <c r="C166" s="385"/>
      <c r="D166" s="411">
        <v>30675.74</v>
      </c>
      <c r="E166" s="408">
        <f>D166+SUM(Holdings_Old!$E$32:$E$35)</f>
        <v>30675.74</v>
      </c>
      <c r="F166" s="408">
        <f t="shared" si="58"/>
        <v>-50.649999999997817</v>
      </c>
      <c r="G166" s="409">
        <f t="shared" si="57"/>
        <v>-1.6484201365665196E-3</v>
      </c>
      <c r="H166" s="408">
        <f t="shared" si="46"/>
        <v>7819.8900000000031</v>
      </c>
      <c r="I166" s="409">
        <f t="shared" si="47"/>
        <v>0.34213953976771827</v>
      </c>
      <c r="K166" s="385"/>
      <c r="L166" s="382">
        <v>1251.54</v>
      </c>
      <c r="M166" s="415">
        <f t="shared" si="59"/>
        <v>-6.0688333466418776E-4</v>
      </c>
      <c r="N166" s="415">
        <f t="shared" si="50"/>
        <v>0.34562618269396173</v>
      </c>
      <c r="O166" s="416" t="str">
        <f t="shared" si="51"/>
        <v>No</v>
      </c>
      <c r="P166" s="417">
        <f t="shared" si="55"/>
        <v>0</v>
      </c>
      <c r="Q166" s="415">
        <f>SUM($P$4:P166)/COUNT($P$4:P166)</f>
        <v>0.53374233128834359</v>
      </c>
      <c r="S166" s="382">
        <v>11014.54</v>
      </c>
      <c r="T166" s="415">
        <f t="shared" si="60"/>
        <v>1.1257886580143817E-2</v>
      </c>
      <c r="U166" s="415">
        <f t="shared" si="63"/>
        <v>0.2833450623814473</v>
      </c>
      <c r="V166" s="416" t="str">
        <f t="shared" si="64"/>
        <v>No</v>
      </c>
      <c r="W166" s="417">
        <f t="shared" si="56"/>
        <v>0</v>
      </c>
      <c r="X166" s="415">
        <f>SUM($W$4:W166)/COUNT($W$4:W166)</f>
        <v>0.52760736196319014</v>
      </c>
      <c r="Z166" s="389">
        <v>2129.9499999999998</v>
      </c>
      <c r="AA166" s="390">
        <f t="shared" si="61"/>
        <v>-2.3933753618166076E-3</v>
      </c>
      <c r="AB166" s="390">
        <f t="shared" si="62"/>
        <v>0.41724555520068107</v>
      </c>
    </row>
    <row r="167" spans="1:28">
      <c r="A167" s="403">
        <f t="shared" si="54"/>
        <v>165</v>
      </c>
      <c r="B167" s="422">
        <f t="shared" si="48"/>
        <v>38891</v>
      </c>
      <c r="C167" s="385"/>
      <c r="D167" s="411">
        <v>30458.69</v>
      </c>
      <c r="E167" s="408">
        <f>D167+SUM(Holdings_Old!$E$32:$E$35)</f>
        <v>30458.69</v>
      </c>
      <c r="F167" s="408">
        <f t="shared" si="58"/>
        <v>-217.05000000000291</v>
      </c>
      <c r="G167" s="409">
        <f t="shared" si="57"/>
        <v>-7.0756239295287626E-3</v>
      </c>
      <c r="H167" s="408">
        <f t="shared" si="46"/>
        <v>7602.84</v>
      </c>
      <c r="I167" s="409">
        <f t="shared" si="47"/>
        <v>0.33264306512337116</v>
      </c>
      <c r="K167" s="385"/>
      <c r="L167" s="382">
        <v>1244.5</v>
      </c>
      <c r="M167" s="415">
        <f t="shared" si="59"/>
        <v>-5.625069913866132E-3</v>
      </c>
      <c r="N167" s="415">
        <f t="shared" si="50"/>
        <v>0.33805694133837938</v>
      </c>
      <c r="O167" s="416" t="str">
        <f t="shared" si="51"/>
        <v>No</v>
      </c>
      <c r="P167" s="417">
        <f t="shared" si="55"/>
        <v>0</v>
      </c>
      <c r="Q167" s="415">
        <f>SUM($P$4:P167)/COUNT($P$4:P167)</f>
        <v>0.53048780487804881</v>
      </c>
      <c r="S167" s="382">
        <v>10989.09</v>
      </c>
      <c r="T167" s="415">
        <f t="shared" si="60"/>
        <v>-2.3105821940817561E-3</v>
      </c>
      <c r="U167" s="415">
        <f t="shared" si="63"/>
        <v>0.28037978813144604</v>
      </c>
      <c r="V167" s="416" t="str">
        <f t="shared" si="64"/>
        <v>No</v>
      </c>
      <c r="W167" s="417">
        <f t="shared" si="56"/>
        <v>0</v>
      </c>
      <c r="X167" s="415">
        <f>SUM($W$4:W167)/COUNT($W$4:W167)</f>
        <v>0.52439024390243905</v>
      </c>
      <c r="Z167" s="389">
        <v>2121.4699999999998</v>
      </c>
      <c r="AA167" s="390">
        <f t="shared" si="61"/>
        <v>-3.9813141153548504E-3</v>
      </c>
      <c r="AB167" s="390">
        <f t="shared" si="62"/>
        <v>0.41160305546683684</v>
      </c>
    </row>
    <row r="168" spans="1:28">
      <c r="A168" s="403">
        <f t="shared" si="54"/>
        <v>166</v>
      </c>
      <c r="B168" s="422">
        <f t="shared" si="48"/>
        <v>38898</v>
      </c>
      <c r="C168" s="385"/>
      <c r="D168" s="411">
        <v>31110.28</v>
      </c>
      <c r="E168" s="408">
        <f>D168+SUM(Holdings_Old!$E$32:$E$35)</f>
        <v>31110.28</v>
      </c>
      <c r="F168" s="408">
        <f t="shared" si="58"/>
        <v>651.59000000000015</v>
      </c>
      <c r="G168" s="409">
        <f t="shared" si="57"/>
        <v>2.1392581230512464E-2</v>
      </c>
      <c r="H168" s="408">
        <f t="shared" si="46"/>
        <v>8254.43</v>
      </c>
      <c r="I168" s="409">
        <f t="shared" si="47"/>
        <v>0.36115174014530194</v>
      </c>
      <c r="K168" s="385"/>
      <c r="L168" s="382">
        <v>1270.2</v>
      </c>
      <c r="M168" s="415">
        <f t="shared" si="59"/>
        <v>2.0650863800723229E-2</v>
      </c>
      <c r="N168" s="415">
        <f t="shared" si="50"/>
        <v>0.36568897299157066</v>
      </c>
      <c r="O168" s="416" t="str">
        <f t="shared" si="51"/>
        <v>Yes</v>
      </c>
      <c r="P168" s="417">
        <f t="shared" si="55"/>
        <v>1</v>
      </c>
      <c r="Q168" s="415">
        <f>SUM($P$4:P168)/COUNT($P$4:P168)</f>
        <v>0.53333333333333333</v>
      </c>
      <c r="S168" s="382">
        <v>11150.22</v>
      </c>
      <c r="T168" s="415">
        <f t="shared" si="60"/>
        <v>1.4662724575010166E-2</v>
      </c>
      <c r="U168" s="415">
        <f t="shared" si="63"/>
        <v>0.29915364431622748</v>
      </c>
      <c r="V168" s="416" t="str">
        <f t="shared" si="64"/>
        <v>Yes</v>
      </c>
      <c r="W168" s="417">
        <f t="shared" si="56"/>
        <v>1</v>
      </c>
      <c r="X168" s="415">
        <f>SUM($W$4:W168)/COUNT($W$4:W168)</f>
        <v>0.52727272727272723</v>
      </c>
      <c r="Z168" s="389">
        <v>2172.09</v>
      </c>
      <c r="AA168" s="390">
        <f t="shared" si="61"/>
        <v>2.386081349253133E-2</v>
      </c>
      <c r="AB168" s="390">
        <f t="shared" si="62"/>
        <v>0.44528505269881835</v>
      </c>
    </row>
    <row r="169" spans="1:28">
      <c r="A169" s="403">
        <f t="shared" si="54"/>
        <v>167</v>
      </c>
      <c r="B169" s="422">
        <f t="shared" si="48"/>
        <v>38905</v>
      </c>
      <c r="C169" s="385"/>
      <c r="D169" s="411">
        <v>30853.56</v>
      </c>
      <c r="E169" s="408">
        <f>D169+SUM(Holdings_Old!$E$32:$E$35)</f>
        <v>30853.56</v>
      </c>
      <c r="F169" s="408">
        <f t="shared" si="58"/>
        <v>-256.71999999999753</v>
      </c>
      <c r="G169" s="409">
        <f t="shared" ref="G169:G200" si="65">(E169/E168)-1</f>
        <v>-8.2519347302563162E-3</v>
      </c>
      <c r="H169" s="408">
        <f t="shared" ref="H169:H232" si="66">E169-$D$3</f>
        <v>7997.7100000000028</v>
      </c>
      <c r="I169" s="409">
        <f t="shared" ref="I169:I232" si="67">(E169/$D$3)-1</f>
        <v>0.34991960482764828</v>
      </c>
      <c r="K169" s="385"/>
      <c r="L169" s="382">
        <v>1265.48</v>
      </c>
      <c r="M169" s="415">
        <f t="shared" si="59"/>
        <v>-3.715950244056021E-3</v>
      </c>
      <c r="N169" s="415">
        <f t="shared" si="50"/>
        <v>0.36061414071907794</v>
      </c>
      <c r="O169" s="416" t="str">
        <f t="shared" si="51"/>
        <v>No</v>
      </c>
      <c r="P169" s="417">
        <f t="shared" si="55"/>
        <v>0</v>
      </c>
      <c r="Q169" s="415">
        <f>SUM($P$4:P169)/COUNT($P$4:P169)</f>
        <v>0.53012048192771088</v>
      </c>
      <c r="S169" s="382">
        <v>11090.67</v>
      </c>
      <c r="T169" s="415">
        <f t="shared" si="60"/>
        <v>-5.3407017978119864E-3</v>
      </c>
      <c r="U169" s="415">
        <f t="shared" si="63"/>
        <v>0.29221525211239374</v>
      </c>
      <c r="V169" s="416" t="str">
        <f t="shared" si="64"/>
        <v>No</v>
      </c>
      <c r="W169" s="417">
        <f t="shared" si="56"/>
        <v>0</v>
      </c>
      <c r="X169" s="415">
        <f>SUM($W$4:W169)/COUNT($W$4:W169)</f>
        <v>0.52409638554216864</v>
      </c>
      <c r="Z169" s="389">
        <v>2130.06</v>
      </c>
      <c r="AA169" s="390">
        <f t="shared" si="61"/>
        <v>-1.9350026932585807E-2</v>
      </c>
      <c r="AB169" s="390">
        <f t="shared" si="62"/>
        <v>0.41731874800383251</v>
      </c>
    </row>
    <row r="170" spans="1:28">
      <c r="A170" s="403">
        <f t="shared" si="54"/>
        <v>168</v>
      </c>
      <c r="B170" s="422">
        <f t="shared" ref="B170:B201" si="68">B169+7</f>
        <v>38912</v>
      </c>
      <c r="C170" s="385"/>
      <c r="D170" s="411">
        <v>30371.67</v>
      </c>
      <c r="E170" s="408">
        <f>D170+SUM(Holdings_Old!$E$32:$E$35)</f>
        <v>30371.67</v>
      </c>
      <c r="F170" s="408">
        <f t="shared" ref="F170:F201" si="69">E170-E169</f>
        <v>-481.89000000000306</v>
      </c>
      <c r="G170" s="409">
        <f t="shared" si="65"/>
        <v>-1.5618619050767668E-2</v>
      </c>
      <c r="H170" s="408">
        <f t="shared" si="66"/>
        <v>7515.82</v>
      </c>
      <c r="I170" s="409">
        <f t="shared" si="67"/>
        <v>0.32883572477068235</v>
      </c>
      <c r="K170" s="385"/>
      <c r="L170" s="382">
        <v>1236.2</v>
      </c>
      <c r="M170" s="415">
        <f t="shared" si="59"/>
        <v>-2.3137465625691411E-2</v>
      </c>
      <c r="N170" s="415">
        <f t="shared" si="50"/>
        <v>0.32913297780836048</v>
      </c>
      <c r="O170" s="416" t="str">
        <f t="shared" si="51"/>
        <v>Yes</v>
      </c>
      <c r="P170" s="417">
        <f t="shared" si="55"/>
        <v>1</v>
      </c>
      <c r="Q170" s="415">
        <f>SUM($P$4:P170)/COUNT($P$4:P170)</f>
        <v>0.53293413173652693</v>
      </c>
      <c r="S170" s="382">
        <v>10739.35</v>
      </c>
      <c r="T170" s="415">
        <f t="shared" si="60"/>
        <v>-3.1677076317300878E-2</v>
      </c>
      <c r="U170" s="415">
        <f t="shared" si="63"/>
        <v>0.25128165095284927</v>
      </c>
      <c r="V170" s="416" t="str">
        <f t="shared" si="64"/>
        <v>Yes</v>
      </c>
      <c r="W170" s="417">
        <f t="shared" si="56"/>
        <v>1</v>
      </c>
      <c r="X170" s="415">
        <f>SUM($W$4:W170)/COUNT($W$4:W170)</f>
        <v>0.52694610778443118</v>
      </c>
      <c r="Z170" s="389">
        <v>2037.35</v>
      </c>
      <c r="AA170" s="390">
        <f t="shared" si="61"/>
        <v>-4.3524595551299061E-2</v>
      </c>
      <c r="AB170" s="390">
        <f t="shared" si="62"/>
        <v>0.35563052272969209</v>
      </c>
    </row>
    <row r="171" spans="1:28">
      <c r="A171" s="403">
        <f t="shared" si="54"/>
        <v>169</v>
      </c>
      <c r="B171" s="422">
        <f t="shared" si="68"/>
        <v>38919</v>
      </c>
      <c r="C171" s="385"/>
      <c r="D171" s="411">
        <v>30281.86</v>
      </c>
      <c r="E171" s="408">
        <f>D171+SUM(Holdings_Old!$E$32:$E$35)</f>
        <v>30281.86</v>
      </c>
      <c r="F171" s="408">
        <f t="shared" si="69"/>
        <v>-89.809999999997672</v>
      </c>
      <c r="G171" s="409">
        <f t="shared" si="65"/>
        <v>-2.9570319972526127E-3</v>
      </c>
      <c r="H171" s="408">
        <f t="shared" si="66"/>
        <v>7426.010000000002</v>
      </c>
      <c r="I171" s="409">
        <f t="shared" si="67"/>
        <v>0.32490631501344303</v>
      </c>
      <c r="K171" s="385"/>
      <c r="L171" s="382">
        <v>1240.29</v>
      </c>
      <c r="M171" s="415">
        <f t="shared" si="59"/>
        <v>3.3085261284582224E-3</v>
      </c>
      <c r="N171" s="415">
        <f t="shared" si="50"/>
        <v>0.33353044899363482</v>
      </c>
      <c r="O171" s="416" t="str">
        <f t="shared" si="51"/>
        <v>No</v>
      </c>
      <c r="P171" s="417">
        <f t="shared" si="55"/>
        <v>0</v>
      </c>
      <c r="Q171" s="415">
        <f>SUM($P$4:P171)/COUNT($P$4:P171)</f>
        <v>0.52976190476190477</v>
      </c>
      <c r="S171" s="382">
        <v>10868.38</v>
      </c>
      <c r="T171" s="415">
        <f t="shared" si="60"/>
        <v>1.201469362670915E-2</v>
      </c>
      <c r="U171" s="415">
        <f t="shared" si="63"/>
        <v>0.26631541662977054</v>
      </c>
      <c r="V171" s="416" t="str">
        <f t="shared" si="64"/>
        <v>No</v>
      </c>
      <c r="W171" s="417">
        <f t="shared" si="56"/>
        <v>0</v>
      </c>
      <c r="X171" s="415">
        <f>SUM($W$4:W171)/COUNT($W$4:W171)</f>
        <v>0.52380952380952384</v>
      </c>
      <c r="Z171" s="389">
        <v>2020.39</v>
      </c>
      <c r="AA171" s="390">
        <f t="shared" si="61"/>
        <v>-8.3245392298818555E-3</v>
      </c>
      <c r="AB171" s="390">
        <f t="shared" si="62"/>
        <v>0.34434552326200363</v>
      </c>
    </row>
    <row r="172" spans="1:28">
      <c r="A172" s="403">
        <f t="shared" si="54"/>
        <v>170</v>
      </c>
      <c r="B172" s="422">
        <f t="shared" si="68"/>
        <v>38926</v>
      </c>
      <c r="C172" s="385"/>
      <c r="D172" s="411">
        <v>30962.99</v>
      </c>
      <c r="E172" s="408">
        <f>D172+SUM(Holdings_Old!$E$32:$E$35)</f>
        <v>30962.99</v>
      </c>
      <c r="F172" s="408">
        <f t="shared" si="69"/>
        <v>681.13000000000102</v>
      </c>
      <c r="G172" s="409">
        <f t="shared" si="65"/>
        <v>2.2493004062498212E-2</v>
      </c>
      <c r="H172" s="408">
        <f t="shared" si="66"/>
        <v>8107.1400000000031</v>
      </c>
      <c r="I172" s="409">
        <f t="shared" si="67"/>
        <v>0.35470743813946992</v>
      </c>
      <c r="K172" s="385"/>
      <c r="L172" s="382">
        <v>1278.55</v>
      </c>
      <c r="M172" s="415">
        <f t="shared" si="59"/>
        <v>3.0847624345919034E-2</v>
      </c>
      <c r="N172" s="415">
        <f t="shared" si="50"/>
        <v>0.37466669533803532</v>
      </c>
      <c r="O172" s="416" t="str">
        <f t="shared" si="51"/>
        <v>No</v>
      </c>
      <c r="P172" s="417">
        <f t="shared" si="55"/>
        <v>0</v>
      </c>
      <c r="Q172" s="415">
        <f>SUM($P$4:P172)/COUNT($P$4:P172)</f>
        <v>0.52662721893491127</v>
      </c>
      <c r="S172" s="382">
        <v>11219.7</v>
      </c>
      <c r="T172" s="415">
        <f t="shared" si="60"/>
        <v>3.2324964714152582E-2</v>
      </c>
      <c r="U172" s="415">
        <f t="shared" si="63"/>
        <v>0.30724901778931524</v>
      </c>
      <c r="V172" s="416" t="str">
        <f t="shared" si="64"/>
        <v>No</v>
      </c>
      <c r="W172" s="417">
        <f t="shared" si="56"/>
        <v>0</v>
      </c>
      <c r="X172" s="415">
        <f>SUM($W$4:W172)/COUNT($W$4:W172)</f>
        <v>0.52071005917159763</v>
      </c>
      <c r="Z172" s="389">
        <v>2094.14</v>
      </c>
      <c r="AA172" s="390">
        <f t="shared" si="61"/>
        <v>3.6502853409490221E-2</v>
      </c>
      <c r="AB172" s="390">
        <f t="shared" si="62"/>
        <v>0.39341797082934082</v>
      </c>
    </row>
    <row r="173" spans="1:28">
      <c r="A173" s="403">
        <f t="shared" si="54"/>
        <v>171</v>
      </c>
      <c r="B173" s="422">
        <f t="shared" si="68"/>
        <v>38933</v>
      </c>
      <c r="C173" s="385"/>
      <c r="D173" s="411">
        <v>30602.61</v>
      </c>
      <c r="E173" s="408">
        <f>D173+SUM(Holdings_Old!$E$32:$E$35)</f>
        <v>30602.61</v>
      </c>
      <c r="F173" s="408">
        <f t="shared" si="69"/>
        <v>-360.38000000000102</v>
      </c>
      <c r="G173" s="409">
        <f t="shared" si="65"/>
        <v>-1.1639056822354776E-2</v>
      </c>
      <c r="H173" s="408">
        <f t="shared" si="66"/>
        <v>7746.760000000002</v>
      </c>
      <c r="I173" s="409">
        <f t="shared" si="67"/>
        <v>0.33893992128929806</v>
      </c>
      <c r="K173" s="385"/>
      <c r="L173" s="382">
        <v>1279.31</v>
      </c>
      <c r="M173" s="415">
        <f t="shared" si="59"/>
        <v>5.9442337022397318E-4</v>
      </c>
      <c r="N173" s="415">
        <f t="shared" si="50"/>
        <v>0.37548382934801294</v>
      </c>
      <c r="O173" s="416" t="str">
        <f t="shared" si="51"/>
        <v>No</v>
      </c>
      <c r="P173" s="417">
        <f t="shared" si="55"/>
        <v>0</v>
      </c>
      <c r="Q173" s="415">
        <f>SUM($P$4:P173)/COUNT($P$4:P173)</f>
        <v>0.52352941176470591</v>
      </c>
      <c r="S173" s="382">
        <v>11240.35</v>
      </c>
      <c r="T173" s="415">
        <f t="shared" si="60"/>
        <v>1.8405126696792173E-3</v>
      </c>
      <c r="U173" s="415">
        <f t="shared" si="63"/>
        <v>0.30965502616898211</v>
      </c>
      <c r="V173" s="416" t="str">
        <f t="shared" si="64"/>
        <v>No</v>
      </c>
      <c r="W173" s="417">
        <f t="shared" si="56"/>
        <v>0</v>
      </c>
      <c r="X173" s="415">
        <f>SUM($W$4:W173)/COUNT($W$4:W173)</f>
        <v>0.51764705882352946</v>
      </c>
      <c r="Z173" s="389">
        <v>2085.0500000000002</v>
      </c>
      <c r="AA173" s="390">
        <f t="shared" si="61"/>
        <v>-4.340684003934614E-3</v>
      </c>
      <c r="AB173" s="390">
        <f t="shared" si="62"/>
        <v>0.3873695837325668</v>
      </c>
    </row>
    <row r="174" spans="1:28">
      <c r="A174" s="403">
        <f t="shared" si="54"/>
        <v>172</v>
      </c>
      <c r="B174" s="422">
        <f t="shared" si="68"/>
        <v>38940</v>
      </c>
      <c r="C174" s="385"/>
      <c r="D174" s="411">
        <v>30443.433899999996</v>
      </c>
      <c r="E174" s="408">
        <f>D174+SUM(Holdings_Old!$E$32:$E$35)</f>
        <v>30443.433899999996</v>
      </c>
      <c r="F174" s="408">
        <f t="shared" si="69"/>
        <v>-159.17610000000423</v>
      </c>
      <c r="G174" s="409">
        <f t="shared" si="65"/>
        <v>-5.2013896853897457E-3</v>
      </c>
      <c r="H174" s="408">
        <f t="shared" si="66"/>
        <v>7587.5838999999978</v>
      </c>
      <c r="I174" s="409">
        <f t="shared" si="67"/>
        <v>0.33197557299334735</v>
      </c>
      <c r="K174" s="385"/>
      <c r="L174" s="382">
        <v>1266.67</v>
      </c>
      <c r="M174" s="415">
        <f t="shared" si="59"/>
        <v>-9.8803261132953679E-3</v>
      </c>
      <c r="N174" s="415">
        <f t="shared" si="50"/>
        <v>0.36189360055049025</v>
      </c>
      <c r="O174" s="416" t="str">
        <f t="shared" si="51"/>
        <v>Yes</v>
      </c>
      <c r="P174" s="417">
        <f t="shared" si="55"/>
        <v>1</v>
      </c>
      <c r="Q174" s="415">
        <f>SUM($P$4:P174)/COUNT($P$4:P174)</f>
        <v>0.52631578947368418</v>
      </c>
      <c r="S174" s="382">
        <v>11088.02</v>
      </c>
      <c r="T174" s="415">
        <f t="shared" si="60"/>
        <v>-1.3552069108168308E-2</v>
      </c>
      <c r="U174" s="415">
        <f t="shared" si="63"/>
        <v>0.29190649074648012</v>
      </c>
      <c r="V174" s="416" t="str">
        <f t="shared" si="64"/>
        <v>Yes</v>
      </c>
      <c r="W174" s="417">
        <f t="shared" si="56"/>
        <v>1</v>
      </c>
      <c r="X174" s="415">
        <f>SUM($W$4:W174)/COUNT($W$4:W174)</f>
        <v>0.52046783625730997</v>
      </c>
      <c r="Z174" s="404">
        <v>2057.71</v>
      </c>
      <c r="AA174" s="390">
        <f t="shared" si="61"/>
        <v>-1.3112395386201792E-2</v>
      </c>
      <c r="AB174" s="390">
        <f t="shared" si="62"/>
        <v>0.3691778452038752</v>
      </c>
    </row>
    <row r="175" spans="1:28">
      <c r="A175" s="403">
        <f t="shared" si="54"/>
        <v>173</v>
      </c>
      <c r="B175" s="422">
        <f t="shared" si="68"/>
        <v>38947</v>
      </c>
      <c r="C175" s="385"/>
      <c r="D175" s="411">
        <v>31206.778220000004</v>
      </c>
      <c r="E175" s="408">
        <f>D175+SUM(Holdings_Old!$E$32:$E$35)</f>
        <v>31206.778220000004</v>
      </c>
      <c r="F175" s="408">
        <f t="shared" si="69"/>
        <v>763.34432000000743</v>
      </c>
      <c r="G175" s="409">
        <f t="shared" si="65"/>
        <v>2.5074185865741283E-2</v>
      </c>
      <c r="H175" s="408">
        <f t="shared" si="66"/>
        <v>8350.9282200000052</v>
      </c>
      <c r="I175" s="409">
        <f t="shared" si="67"/>
        <v>0.36537377607920973</v>
      </c>
      <c r="K175" s="385"/>
      <c r="L175" s="382">
        <v>1302.3</v>
      </c>
      <c r="M175" s="415">
        <f t="shared" si="59"/>
        <v>2.8128873345069971E-2</v>
      </c>
      <c r="N175" s="415">
        <f t="shared" si="50"/>
        <v>0.40020213314983644</v>
      </c>
      <c r="O175" s="416" t="str">
        <f t="shared" si="51"/>
        <v>No</v>
      </c>
      <c r="P175" s="417">
        <f t="shared" si="55"/>
        <v>0</v>
      </c>
      <c r="Q175" s="415">
        <f>SUM($P$4:P175)/COUNT($P$4:P175)</f>
        <v>0.52325581395348841</v>
      </c>
      <c r="S175" s="382">
        <v>11381.47</v>
      </c>
      <c r="T175" s="415">
        <f t="shared" si="60"/>
        <v>2.6465500603353842E-2</v>
      </c>
      <c r="U175" s="415">
        <f t="shared" si="63"/>
        <v>0.32609744275680774</v>
      </c>
      <c r="V175" s="416" t="str">
        <f t="shared" si="64"/>
        <v>No</v>
      </c>
      <c r="W175" s="417">
        <f t="shared" si="56"/>
        <v>0</v>
      </c>
      <c r="X175" s="415">
        <f>SUM($W$4:W175)/COUNT($W$4:W175)</f>
        <v>0.51744186046511631</v>
      </c>
      <c r="Z175" s="404">
        <v>2163.9499999999998</v>
      </c>
      <c r="AA175" s="390">
        <f t="shared" si="61"/>
        <v>5.1630210282304079E-2</v>
      </c>
      <c r="AB175" s="390">
        <f t="shared" si="62"/>
        <v>0.43986878526562312</v>
      </c>
    </row>
    <row r="176" spans="1:28">
      <c r="A176" s="403">
        <f t="shared" si="54"/>
        <v>174</v>
      </c>
      <c r="B176" s="422">
        <f t="shared" si="68"/>
        <v>38954</v>
      </c>
      <c r="C176" s="385"/>
      <c r="D176" s="411">
        <v>31114.168220000003</v>
      </c>
      <c r="E176" s="408">
        <f>D176+SUM(Holdings_Old!$E$32:$E$35)</f>
        <v>31114.168220000003</v>
      </c>
      <c r="F176" s="408">
        <f t="shared" si="69"/>
        <v>-92.610000000000582</v>
      </c>
      <c r="G176" s="409">
        <f t="shared" si="65"/>
        <v>-2.9676245124415912E-3</v>
      </c>
      <c r="H176" s="408">
        <f t="shared" si="66"/>
        <v>8258.3182200000047</v>
      </c>
      <c r="I176" s="409">
        <f t="shared" si="67"/>
        <v>0.36132185939267214</v>
      </c>
      <c r="K176" s="385"/>
      <c r="L176" s="382">
        <v>1295.0899999999999</v>
      </c>
      <c r="M176" s="415">
        <f t="shared" si="59"/>
        <v>-5.5363587499039912E-3</v>
      </c>
      <c r="N176" s="415">
        <f t="shared" si="50"/>
        <v>0.39245011181833811</v>
      </c>
      <c r="O176" s="416" t="str">
        <f t="shared" si="51"/>
        <v>Yes</v>
      </c>
      <c r="P176" s="417">
        <f t="shared" si="55"/>
        <v>1</v>
      </c>
      <c r="Q176" s="415">
        <f>SUM($P$4:P176)/COUNT($P$4:P176)</f>
        <v>0.52601156069364163</v>
      </c>
      <c r="S176" s="382">
        <v>11284.05</v>
      </c>
      <c r="T176" s="415">
        <f t="shared" si="60"/>
        <v>-8.5595270206748619E-3</v>
      </c>
      <c r="U176" s="415">
        <f t="shared" si="63"/>
        <v>0.31474667586348315</v>
      </c>
      <c r="V176" s="416" t="str">
        <f t="shared" si="64"/>
        <v>Yes</v>
      </c>
      <c r="W176" s="417">
        <f t="shared" si="56"/>
        <v>1</v>
      </c>
      <c r="X176" s="415">
        <f>SUM($W$4:W176)/COUNT($W$4:W176)</f>
        <v>0.52023121387283233</v>
      </c>
      <c r="Z176" s="404">
        <v>2140.29</v>
      </c>
      <c r="AA176" s="390">
        <f t="shared" si="61"/>
        <v>-1.0933709189214103E-2</v>
      </c>
      <c r="AB176" s="390">
        <f t="shared" si="62"/>
        <v>0.42412567869690188</v>
      </c>
    </row>
    <row r="177" spans="1:28">
      <c r="A177" s="403">
        <f t="shared" si="54"/>
        <v>175</v>
      </c>
      <c r="B177" s="422">
        <f t="shared" si="68"/>
        <v>38961</v>
      </c>
      <c r="C177" s="385"/>
      <c r="D177" s="411">
        <v>31461.879700000005</v>
      </c>
      <c r="E177" s="408">
        <f>D177+SUM(Holdings_Old!$E$32:$E$35)</f>
        <v>31461.879700000005</v>
      </c>
      <c r="F177" s="408">
        <f t="shared" si="69"/>
        <v>347.71148000000176</v>
      </c>
      <c r="G177" s="409">
        <f t="shared" si="65"/>
        <v>1.1175342292341739E-2</v>
      </c>
      <c r="H177" s="408">
        <f t="shared" si="66"/>
        <v>8606.0297000000064</v>
      </c>
      <c r="I177" s="409">
        <f t="shared" si="67"/>
        <v>0.3765350971414323</v>
      </c>
      <c r="K177" s="385"/>
      <c r="L177" s="382">
        <v>1310.94</v>
      </c>
      <c r="M177" s="415">
        <f t="shared" si="59"/>
        <v>1.2238531685056842E-2</v>
      </c>
      <c r="N177" s="415">
        <f t="shared" si="50"/>
        <v>0.40949165663168752</v>
      </c>
      <c r="O177" s="416" t="str">
        <f t="shared" si="51"/>
        <v>No</v>
      </c>
      <c r="P177" s="417">
        <f t="shared" si="55"/>
        <v>0</v>
      </c>
      <c r="Q177" s="415">
        <f>SUM($P$4:P177)/COUNT($P$4:P177)</f>
        <v>0.52298850574712641</v>
      </c>
      <c r="S177" s="382">
        <v>11464.15</v>
      </c>
      <c r="T177" s="415">
        <f t="shared" si="60"/>
        <v>1.5960581528795093E-2</v>
      </c>
      <c r="U177" s="415">
        <f t="shared" si="63"/>
        <v>0.33573079737331457</v>
      </c>
      <c r="V177" s="416" t="str">
        <f t="shared" si="64"/>
        <v>No</v>
      </c>
      <c r="W177" s="417">
        <f t="shared" si="56"/>
        <v>0</v>
      </c>
      <c r="X177" s="415">
        <f>SUM($W$4:W177)/COUNT($W$4:W177)</f>
        <v>0.51724137931034486</v>
      </c>
      <c r="Z177" s="404">
        <v>2193.16</v>
      </c>
      <c r="AA177" s="390">
        <f t="shared" si="61"/>
        <v>2.470225997411557E-2</v>
      </c>
      <c r="AB177" s="390">
        <f t="shared" si="62"/>
        <v>0.45930480144788643</v>
      </c>
    </row>
    <row r="178" spans="1:28">
      <c r="A178" s="403">
        <f t="shared" si="54"/>
        <v>176</v>
      </c>
      <c r="B178" s="422">
        <f t="shared" si="68"/>
        <v>38968</v>
      </c>
      <c r="C178" s="385"/>
      <c r="D178" s="411">
        <v>31337.68116</v>
      </c>
      <c r="E178" s="408">
        <f>D178+SUM(Holdings_Old!$E$32:$E$35)</f>
        <v>31337.68116</v>
      </c>
      <c r="F178" s="408">
        <f t="shared" si="69"/>
        <v>-124.19854000000487</v>
      </c>
      <c r="G178" s="409">
        <f t="shared" si="65"/>
        <v>-3.9475880393758933E-3</v>
      </c>
      <c r="H178" s="408">
        <f t="shared" si="66"/>
        <v>8481.8311600000015</v>
      </c>
      <c r="I178" s="409">
        <f t="shared" si="67"/>
        <v>0.37110110365617555</v>
      </c>
      <c r="K178" s="385"/>
      <c r="L178" s="382">
        <v>1298.8599999999999</v>
      </c>
      <c r="M178" s="415">
        <f t="shared" si="59"/>
        <v>-9.2147619265566805E-3</v>
      </c>
      <c r="N178" s="415">
        <f t="shared" si="50"/>
        <v>0.39650352657835874</v>
      </c>
      <c r="O178" s="416" t="str">
        <f t="shared" si="51"/>
        <v>Yes</v>
      </c>
      <c r="P178" s="417">
        <f t="shared" si="55"/>
        <v>1</v>
      </c>
      <c r="Q178" s="415">
        <f>SUM($P$4:P178)/COUNT($P$4:P178)</f>
        <v>0.52571428571428569</v>
      </c>
      <c r="S178" s="382">
        <v>11392.11</v>
      </c>
      <c r="T178" s="415">
        <f t="shared" si="60"/>
        <v>-6.2839373176379887E-3</v>
      </c>
      <c r="U178" s="415">
        <f t="shared" si="63"/>
        <v>0.32733714876938214</v>
      </c>
      <c r="V178" s="416" t="str">
        <f t="shared" si="64"/>
        <v>Yes</v>
      </c>
      <c r="W178" s="417">
        <f t="shared" si="56"/>
        <v>1</v>
      </c>
      <c r="X178" s="415">
        <f>SUM($W$4:W178)/COUNT($W$4:W178)</f>
        <v>0.52</v>
      </c>
      <c r="Z178" s="404">
        <v>2165.79</v>
      </c>
      <c r="AA178" s="390">
        <f t="shared" si="61"/>
        <v>-1.2479709642707282E-2</v>
      </c>
      <c r="AB178" s="390">
        <f t="shared" si="62"/>
        <v>0.4410931012456083</v>
      </c>
    </row>
    <row r="179" spans="1:28">
      <c r="A179" s="403">
        <f t="shared" si="54"/>
        <v>177</v>
      </c>
      <c r="B179" s="422">
        <f t="shared" si="68"/>
        <v>38975</v>
      </c>
      <c r="C179" s="385"/>
      <c r="D179" s="411">
        <f>31836.62388+3.49+9.2+3.42</f>
        <v>31852.73388</v>
      </c>
      <c r="E179" s="408">
        <f>D179+SUM(Holdings_Old!$E$32:$E$35)</f>
        <v>31852.73388</v>
      </c>
      <c r="F179" s="408">
        <f t="shared" si="69"/>
        <v>515.05271999999968</v>
      </c>
      <c r="G179" s="409">
        <f t="shared" si="65"/>
        <v>1.6435572158970846E-2</v>
      </c>
      <c r="H179" s="408">
        <f t="shared" si="66"/>
        <v>8996.8838800000012</v>
      </c>
      <c r="I179" s="409">
        <f t="shared" si="67"/>
        <v>0.39363593478256131</v>
      </c>
      <c r="K179" s="385"/>
      <c r="L179" s="382">
        <v>1319.85</v>
      </c>
      <c r="M179" s="415">
        <f t="shared" si="59"/>
        <v>1.6160325208259607E-2</v>
      </c>
      <c r="N179" s="415">
        <f t="shared" si="50"/>
        <v>0.41907147772234632</v>
      </c>
      <c r="O179" s="416" t="str">
        <f t="shared" si="51"/>
        <v>Yes</v>
      </c>
      <c r="P179" s="417">
        <f t="shared" si="55"/>
        <v>1</v>
      </c>
      <c r="Q179" s="415">
        <f>SUM($P$4:P179)/COUNT($P$4:P179)</f>
        <v>0.52840909090909094</v>
      </c>
      <c r="S179" s="382">
        <v>11560.77</v>
      </c>
      <c r="T179" s="415">
        <f t="shared" si="60"/>
        <v>1.4804983449071329E-2</v>
      </c>
      <c r="U179" s="415">
        <f t="shared" si="63"/>
        <v>0.34698835328825028</v>
      </c>
      <c r="V179" s="416" t="str">
        <f t="shared" si="64"/>
        <v>Yes</v>
      </c>
      <c r="W179" s="417">
        <f t="shared" si="56"/>
        <v>1</v>
      </c>
      <c r="X179" s="415">
        <f>SUM($W$4:W179)/COUNT($W$4:W179)</f>
        <v>0.52272727272727271</v>
      </c>
      <c r="Z179" s="404">
        <v>2235.59</v>
      </c>
      <c r="AA179" s="390">
        <f t="shared" si="61"/>
        <v>3.2228424731853167E-2</v>
      </c>
      <c r="AB179" s="390">
        <f t="shared" si="62"/>
        <v>0.48753726179069523</v>
      </c>
    </row>
    <row r="180" spans="1:28">
      <c r="A180" s="403">
        <f t="shared" si="54"/>
        <v>178</v>
      </c>
      <c r="B180" s="422">
        <f t="shared" si="68"/>
        <v>38982</v>
      </c>
      <c r="C180" s="385"/>
      <c r="D180" s="411">
        <v>31597.782620000002</v>
      </c>
      <c r="E180" s="408">
        <f>D180+SUM(Holdings_Old!$E$32:$E$35)</f>
        <v>31597.782620000002</v>
      </c>
      <c r="F180" s="408">
        <f t="shared" si="69"/>
        <v>-254.951259999998</v>
      </c>
      <c r="G180" s="409">
        <f t="shared" si="65"/>
        <v>-8.0040620990489142E-3</v>
      </c>
      <c r="H180" s="408">
        <f t="shared" si="66"/>
        <v>8741.9326200000032</v>
      </c>
      <c r="I180" s="409">
        <f t="shared" si="67"/>
        <v>0.38248118621709559</v>
      </c>
      <c r="K180" s="385"/>
      <c r="L180" s="382">
        <v>1314.78</v>
      </c>
      <c r="M180" s="415">
        <f t="shared" si="59"/>
        <v>-3.8413456074553043E-3</v>
      </c>
      <c r="N180" s="415">
        <f t="shared" si="50"/>
        <v>0.41362033373473239</v>
      </c>
      <c r="O180" s="416" t="str">
        <f t="shared" si="51"/>
        <v>No</v>
      </c>
      <c r="P180" s="417">
        <f t="shared" si="55"/>
        <v>0</v>
      </c>
      <c r="Q180" s="415">
        <f>SUM($P$4:P180)/COUNT($P$4:P180)</f>
        <v>0.52542372881355937</v>
      </c>
      <c r="S180" s="382">
        <v>11508.1</v>
      </c>
      <c r="T180" s="415">
        <f t="shared" si="60"/>
        <v>-4.5559249081159603E-3</v>
      </c>
      <c r="U180" s="415">
        <f t="shared" si="63"/>
        <v>0.34085157549856215</v>
      </c>
      <c r="V180" s="416" t="str">
        <f t="shared" si="64"/>
        <v>No</v>
      </c>
      <c r="W180" s="417">
        <f t="shared" si="56"/>
        <v>0</v>
      </c>
      <c r="X180" s="415">
        <f>SUM($W$4:W180)/COUNT($W$4:W180)</f>
        <v>0.51977401129943501</v>
      </c>
      <c r="Z180" s="404">
        <v>2218.9299999999998</v>
      </c>
      <c r="AA180" s="390">
        <f t="shared" si="61"/>
        <v>-7.4521714625670477E-3</v>
      </c>
      <c r="AB180" s="390">
        <f t="shared" si="62"/>
        <v>0.47645187905887343</v>
      </c>
    </row>
    <row r="181" spans="1:28">
      <c r="A181" s="403">
        <f t="shared" si="54"/>
        <v>179</v>
      </c>
      <c r="B181" s="422">
        <f t="shared" si="68"/>
        <v>38989</v>
      </c>
      <c r="C181" s="385"/>
      <c r="D181" s="411">
        <v>31628.076599999993</v>
      </c>
      <c r="E181" s="408">
        <f>D181+SUM(Holdings_Old!$E$32:$E$35)</f>
        <v>31628.076599999993</v>
      </c>
      <c r="F181" s="408">
        <f t="shared" si="69"/>
        <v>30.293979999991279</v>
      </c>
      <c r="G181" s="409">
        <f t="shared" si="65"/>
        <v>9.5873752801933776E-4</v>
      </c>
      <c r="H181" s="408">
        <f t="shared" si="66"/>
        <v>8772.2265999999945</v>
      </c>
      <c r="I181" s="409">
        <f t="shared" si="67"/>
        <v>0.38380662281210265</v>
      </c>
      <c r="K181" s="385"/>
      <c r="L181" s="382">
        <v>1335.82</v>
      </c>
      <c r="M181" s="415">
        <f t="shared" si="59"/>
        <v>1.6002677253989184E-2</v>
      </c>
      <c r="N181" s="415">
        <f t="shared" si="50"/>
        <v>0.43624204369516595</v>
      </c>
      <c r="O181" s="416" t="str">
        <f t="shared" si="51"/>
        <v>No</v>
      </c>
      <c r="P181" s="417">
        <f t="shared" si="55"/>
        <v>0</v>
      </c>
      <c r="Q181" s="415">
        <f>SUM($P$4:P181)/COUNT($P$4:P181)</f>
        <v>0.52247191011235961</v>
      </c>
      <c r="S181" s="382">
        <v>11679.07</v>
      </c>
      <c r="T181" s="415">
        <f t="shared" si="60"/>
        <v>1.4856492383625408E-2</v>
      </c>
      <c r="U181" s="415">
        <f t="shared" si="63"/>
        <v>0.36077192671752867</v>
      </c>
      <c r="V181" s="416" t="str">
        <f t="shared" si="64"/>
        <v>No</v>
      </c>
      <c r="W181" s="417">
        <f t="shared" si="56"/>
        <v>0</v>
      </c>
      <c r="X181" s="415">
        <f>SUM($W$4:W181)/COUNT($W$4:W181)</f>
        <v>0.5168539325842697</v>
      </c>
      <c r="Z181" s="404">
        <v>2258.4299999999998</v>
      </c>
      <c r="AA181" s="390">
        <f t="shared" si="61"/>
        <v>1.7801372733704968E-2</v>
      </c>
      <c r="AB181" s="390">
        <f t="shared" si="62"/>
        <v>0.50273474928137962</v>
      </c>
    </row>
    <row r="182" spans="1:28">
      <c r="A182" s="403">
        <f t="shared" si="54"/>
        <v>180</v>
      </c>
      <c r="B182" s="422">
        <f t="shared" si="68"/>
        <v>38996</v>
      </c>
      <c r="C182" s="385"/>
      <c r="D182" s="411">
        <v>32045.75244</v>
      </c>
      <c r="E182" s="408">
        <f>D182+SUM(Holdings_Old!$E$32:$E$35)</f>
        <v>32045.75244</v>
      </c>
      <c r="F182" s="408">
        <f t="shared" si="69"/>
        <v>417.67584000000716</v>
      </c>
      <c r="G182" s="409">
        <f t="shared" si="65"/>
        <v>1.3205856469944433E-2</v>
      </c>
      <c r="H182" s="408">
        <f t="shared" si="66"/>
        <v>9189.9024400000017</v>
      </c>
      <c r="I182" s="409">
        <f t="shared" si="67"/>
        <v>0.4020809744551177</v>
      </c>
      <c r="K182" s="385"/>
      <c r="L182" s="382">
        <v>1349.58</v>
      </c>
      <c r="M182" s="415">
        <f t="shared" si="59"/>
        <v>1.0300789028461876E-2</v>
      </c>
      <c r="N182" s="415">
        <f t="shared" si="50"/>
        <v>0.45103646998107672</v>
      </c>
      <c r="O182" s="416" t="str">
        <f t="shared" si="51"/>
        <v>Yes</v>
      </c>
      <c r="P182" s="417">
        <f t="shared" si="55"/>
        <v>1</v>
      </c>
      <c r="Q182" s="415">
        <f>SUM($P$4:P182)/COUNT($P$4:P182)</f>
        <v>0.52513966480446927</v>
      </c>
      <c r="S182" s="382">
        <v>11850.21</v>
      </c>
      <c r="T182" s="415">
        <f t="shared" si="60"/>
        <v>1.4653564025217669E-2</v>
      </c>
      <c r="U182" s="415">
        <f t="shared" si="63"/>
        <v>0.38071208526940281</v>
      </c>
      <c r="V182" s="416" t="str">
        <f t="shared" si="64"/>
        <v>No</v>
      </c>
      <c r="W182" s="417">
        <f t="shared" si="56"/>
        <v>0</v>
      </c>
      <c r="X182" s="415">
        <f>SUM($W$4:W182)/COUNT($W$4:W182)</f>
        <v>0.51396648044692739</v>
      </c>
      <c r="Z182" s="404">
        <v>2299.9899999999998</v>
      </c>
      <c r="AA182" s="390">
        <f t="shared" si="61"/>
        <v>1.8402164335401094E-2</v>
      </c>
      <c r="AB182" s="390">
        <f t="shared" si="62"/>
        <v>0.5303883210901732</v>
      </c>
    </row>
    <row r="183" spans="1:28">
      <c r="A183" s="403">
        <f t="shared" si="54"/>
        <v>181</v>
      </c>
      <c r="B183" s="422">
        <f t="shared" si="68"/>
        <v>39003</v>
      </c>
      <c r="C183" s="385"/>
      <c r="D183" s="411">
        <v>32558.328909999997</v>
      </c>
      <c r="E183" s="408">
        <f>D183+SUM(Holdings_Old!$E$32:$E$35)</f>
        <v>32558.328909999997</v>
      </c>
      <c r="F183" s="408">
        <f t="shared" si="69"/>
        <v>512.57646999999633</v>
      </c>
      <c r="G183" s="409">
        <f t="shared" si="65"/>
        <v>1.5995145408418843E-2</v>
      </c>
      <c r="H183" s="408">
        <f t="shared" si="66"/>
        <v>9702.478909999998</v>
      </c>
      <c r="I183" s="409">
        <f t="shared" si="67"/>
        <v>0.42450746351590496</v>
      </c>
      <c r="K183" s="385"/>
      <c r="L183" s="382">
        <v>1365.61</v>
      </c>
      <c r="M183" s="415">
        <f t="shared" si="59"/>
        <v>1.187776938010332E-2</v>
      </c>
      <c r="N183" s="415">
        <f t="shared" si="50"/>
        <v>0.46827154653363134</v>
      </c>
      <c r="O183" s="416" t="str">
        <f t="shared" si="51"/>
        <v>Yes</v>
      </c>
      <c r="P183" s="417">
        <f t="shared" si="55"/>
        <v>1</v>
      </c>
      <c r="Q183" s="415">
        <f>SUM($P$4:P183)/COUNT($P$4:P183)</f>
        <v>0.52777777777777779</v>
      </c>
      <c r="S183" s="382">
        <v>11960.51</v>
      </c>
      <c r="T183" s="415">
        <f t="shared" si="60"/>
        <v>9.3078519283624761E-3</v>
      </c>
      <c r="U183" s="415">
        <f t="shared" si="63"/>
        <v>0.39356354891479106</v>
      </c>
      <c r="V183" s="416" t="str">
        <f t="shared" si="64"/>
        <v>Yes</v>
      </c>
      <c r="W183" s="417">
        <f t="shared" si="56"/>
        <v>1</v>
      </c>
      <c r="X183" s="415">
        <f>SUM($W$4:W183)/COUNT($W$4:W183)</f>
        <v>0.51666666666666672</v>
      </c>
      <c r="Z183" s="404">
        <v>2357.29</v>
      </c>
      <c r="AA183" s="390">
        <f t="shared" si="61"/>
        <v>2.491315179631215E-2</v>
      </c>
      <c r="AB183" s="390">
        <f t="shared" si="62"/>
        <v>0.5685151176407961</v>
      </c>
    </row>
    <row r="184" spans="1:28">
      <c r="A184" s="403">
        <f t="shared" si="54"/>
        <v>182</v>
      </c>
      <c r="B184" s="422">
        <f t="shared" si="68"/>
        <v>39010</v>
      </c>
      <c r="C184" s="385"/>
      <c r="D184" s="411">
        <v>32608.25</v>
      </c>
      <c r="E184" s="408">
        <f>D184+SUM(Holdings_Old!$E$32:$E$35)</f>
        <v>32608.25</v>
      </c>
      <c r="F184" s="408">
        <f t="shared" si="69"/>
        <v>49.92109000000346</v>
      </c>
      <c r="G184" s="409">
        <f t="shared" si="65"/>
        <v>1.5332817030628831E-3</v>
      </c>
      <c r="H184" s="408">
        <f t="shared" si="66"/>
        <v>9752.4000000000015</v>
      </c>
      <c r="I184" s="409">
        <f t="shared" si="67"/>
        <v>0.42669163474559046</v>
      </c>
      <c r="K184" s="385"/>
      <c r="L184" s="382">
        <v>1368.58</v>
      </c>
      <c r="M184" s="415">
        <f t="shared" si="59"/>
        <v>2.1748522638234125E-3</v>
      </c>
      <c r="N184" s="415">
        <f t="shared" si="50"/>
        <v>0.47146482023051761</v>
      </c>
      <c r="O184" s="416" t="str">
        <f t="shared" si="51"/>
        <v>No</v>
      </c>
      <c r="P184" s="417">
        <f t="shared" si="55"/>
        <v>0</v>
      </c>
      <c r="Q184" s="415">
        <f>SUM($P$4:P184)/COUNT($P$4:P184)</f>
        <v>0.52486187845303867</v>
      </c>
      <c r="S184" s="382">
        <v>12002.37</v>
      </c>
      <c r="T184" s="415">
        <f t="shared" si="60"/>
        <v>3.4998507588723804E-3</v>
      </c>
      <c r="U184" s="415">
        <f t="shared" si="63"/>
        <v>0.39844081335899739</v>
      </c>
      <c r="V184" s="416" t="str">
        <f t="shared" si="64"/>
        <v>No</v>
      </c>
      <c r="W184" s="417">
        <f t="shared" si="56"/>
        <v>0</v>
      </c>
      <c r="X184" s="415">
        <f>SUM($W$4:W184)/COUNT($W$4:W184)</f>
        <v>0.51381215469613262</v>
      </c>
      <c r="Z184" s="404">
        <v>2342.3000000000002</v>
      </c>
      <c r="AA184" s="390">
        <f t="shared" si="61"/>
        <v>-6.358996983824583E-3</v>
      </c>
      <c r="AB184" s="390">
        <f t="shared" si="62"/>
        <v>0.5585409347386352</v>
      </c>
    </row>
    <row r="185" spans="1:28">
      <c r="A185" s="403">
        <f t="shared" si="54"/>
        <v>183</v>
      </c>
      <c r="B185" s="422">
        <f t="shared" si="68"/>
        <v>39017</v>
      </c>
      <c r="C185" s="385"/>
      <c r="D185" s="411">
        <v>32630.82</v>
      </c>
      <c r="E185" s="408">
        <f>D185+SUM(Holdings_Old!$E$32:$E$35)</f>
        <v>32630.82</v>
      </c>
      <c r="F185" s="408">
        <f t="shared" si="69"/>
        <v>22.569999999999709</v>
      </c>
      <c r="G185" s="409">
        <f t="shared" si="65"/>
        <v>6.9215612613371391E-4</v>
      </c>
      <c r="H185" s="408">
        <f t="shared" si="66"/>
        <v>9774.9700000000012</v>
      </c>
      <c r="I185" s="409">
        <f t="shared" si="67"/>
        <v>0.42767912810068331</v>
      </c>
      <c r="K185" s="385"/>
      <c r="L185" s="382">
        <v>1377.3</v>
      </c>
      <c r="M185" s="415">
        <f t="shared" si="59"/>
        <v>6.3715676102238383E-3</v>
      </c>
      <c r="N185" s="415">
        <f t="shared" si="50"/>
        <v>0.48084035781868217</v>
      </c>
      <c r="O185" s="416" t="str">
        <f t="shared" si="51"/>
        <v>No</v>
      </c>
      <c r="P185" s="417">
        <f t="shared" si="55"/>
        <v>0</v>
      </c>
      <c r="Q185" s="415">
        <f>SUM($P$4:P185)/COUNT($P$4:P185)</f>
        <v>0.52197802197802201</v>
      </c>
      <c r="S185" s="382">
        <v>12090.26</v>
      </c>
      <c r="T185" s="415">
        <f t="shared" si="60"/>
        <v>7.3227204293817572E-3</v>
      </c>
      <c r="U185" s="415">
        <f t="shared" si="63"/>
        <v>0.40868120447226275</v>
      </c>
      <c r="V185" s="416" t="str">
        <f t="shared" si="64"/>
        <v>No</v>
      </c>
      <c r="W185" s="417">
        <f t="shared" si="56"/>
        <v>0</v>
      </c>
      <c r="X185" s="415">
        <f>SUM($W$4:W185)/COUNT($W$4:W185)</f>
        <v>0.51098901098901095</v>
      </c>
      <c r="Z185" s="404">
        <v>2350.62</v>
      </c>
      <c r="AA185" s="390">
        <f t="shared" si="61"/>
        <v>3.5520642103914479E-3</v>
      </c>
      <c r="AB185" s="390">
        <f t="shared" si="62"/>
        <v>0.56407697221335029</v>
      </c>
    </row>
    <row r="186" spans="1:28">
      <c r="A186" s="403">
        <f t="shared" si="54"/>
        <v>184</v>
      </c>
      <c r="B186" s="422">
        <f t="shared" si="68"/>
        <v>39024</v>
      </c>
      <c r="C186" s="385"/>
      <c r="D186" s="411">
        <v>32621</v>
      </c>
      <c r="E186" s="408">
        <f>D186+SUM(Holdings_Old!$E$32:$E$35)</f>
        <v>32621</v>
      </c>
      <c r="F186" s="408">
        <f t="shared" si="69"/>
        <v>-9.819999999999709</v>
      </c>
      <c r="G186" s="409">
        <f t="shared" si="65"/>
        <v>-3.0094248321066441E-4</v>
      </c>
      <c r="H186" s="408">
        <f t="shared" si="66"/>
        <v>9765.1500000000015</v>
      </c>
      <c r="I186" s="409">
        <f t="shared" si="67"/>
        <v>0.42724947879864472</v>
      </c>
      <c r="K186" s="385"/>
      <c r="L186" s="382">
        <v>1364.27</v>
      </c>
      <c r="M186" s="415">
        <f t="shared" si="59"/>
        <v>-9.4605387352065806E-3</v>
      </c>
      <c r="N186" s="415">
        <f t="shared" si="50"/>
        <v>0.46683081025288131</v>
      </c>
      <c r="O186" s="416" t="str">
        <f t="shared" si="51"/>
        <v>Yes</v>
      </c>
      <c r="P186" s="417">
        <f t="shared" si="55"/>
        <v>1</v>
      </c>
      <c r="Q186" s="415">
        <f>SUM($P$4:P186)/COUNT($P$4:P186)</f>
        <v>0.52459016393442626</v>
      </c>
      <c r="S186" s="382">
        <v>11986.04</v>
      </c>
      <c r="T186" s="415">
        <f t="shared" si="60"/>
        <v>-8.6201620147126068E-3</v>
      </c>
      <c r="U186" s="415">
        <f t="shared" si="63"/>
        <v>0.39653814426263123</v>
      </c>
      <c r="V186" s="416" t="str">
        <f t="shared" si="64"/>
        <v>Yes</v>
      </c>
      <c r="W186" s="417">
        <f t="shared" si="56"/>
        <v>1</v>
      </c>
      <c r="X186" s="415">
        <f>SUM($W$4:W186)/COUNT($W$4:W186)</f>
        <v>0.51366120218579236</v>
      </c>
      <c r="Z186" s="404">
        <v>2330.79</v>
      </c>
      <c r="AA186" s="390">
        <f t="shared" si="61"/>
        <v>-8.4360721852106968E-3</v>
      </c>
      <c r="AB186" s="390">
        <f t="shared" si="62"/>
        <v>0.55088230597253252</v>
      </c>
    </row>
    <row r="187" spans="1:28">
      <c r="A187" s="403">
        <f t="shared" si="54"/>
        <v>185</v>
      </c>
      <c r="B187" s="422">
        <f t="shared" si="68"/>
        <v>39031</v>
      </c>
      <c r="C187" s="385"/>
      <c r="D187" s="411">
        <v>33193.050000000003</v>
      </c>
      <c r="E187" s="408">
        <f>D187+SUM(Holdings_Old!$E$32:$E$35)</f>
        <v>33193.050000000003</v>
      </c>
      <c r="F187" s="408">
        <f t="shared" si="69"/>
        <v>572.05000000000291</v>
      </c>
      <c r="G187" s="409">
        <f t="shared" si="65"/>
        <v>1.7536249655130121E-2</v>
      </c>
      <c r="H187" s="408">
        <f t="shared" si="66"/>
        <v>10337.200000000004</v>
      </c>
      <c r="I187" s="409">
        <f t="shared" si="67"/>
        <v>0.4522780819790122</v>
      </c>
      <c r="K187" s="385"/>
      <c r="L187" s="382">
        <v>1380.58</v>
      </c>
      <c r="M187" s="415">
        <f t="shared" si="59"/>
        <v>1.1955111524844853E-2</v>
      </c>
      <c r="N187" s="415">
        <f t="shared" si="50"/>
        <v>0.4843669361775329</v>
      </c>
      <c r="O187" s="416" t="str">
        <f t="shared" si="51"/>
        <v>Yes</v>
      </c>
      <c r="P187" s="417">
        <f t="shared" si="55"/>
        <v>1</v>
      </c>
      <c r="Q187" s="415">
        <f>SUM($P$4:P187)/COUNT($P$4:P187)</f>
        <v>0.52717391304347827</v>
      </c>
      <c r="S187" s="382">
        <v>12108.43</v>
      </c>
      <c r="T187" s="415">
        <f t="shared" si="60"/>
        <v>1.0211045516283823E-2</v>
      </c>
      <c r="U187" s="415">
        <f t="shared" si="63"/>
        <v>0.41079825881892362</v>
      </c>
      <c r="V187" s="416" t="str">
        <f t="shared" si="64"/>
        <v>Yes</v>
      </c>
      <c r="W187" s="417">
        <f t="shared" si="56"/>
        <v>1</v>
      </c>
      <c r="X187" s="415">
        <f>SUM($W$4:W187)/COUNT($W$4:W187)</f>
        <v>0.51630434782608692</v>
      </c>
      <c r="Z187" s="404">
        <v>2389.7199999999998</v>
      </c>
      <c r="AA187" s="390">
        <f t="shared" si="61"/>
        <v>2.5283273053342326E-2</v>
      </c>
      <c r="AB187" s="390">
        <f t="shared" si="62"/>
        <v>0.59009368678803331</v>
      </c>
    </row>
    <row r="188" spans="1:28">
      <c r="A188" s="403">
        <f t="shared" si="54"/>
        <v>186</v>
      </c>
      <c r="B188" s="422">
        <f t="shared" si="68"/>
        <v>39038</v>
      </c>
      <c r="C188" s="385"/>
      <c r="D188" s="411">
        <v>33718.230000000003</v>
      </c>
      <c r="E188" s="408">
        <f>D188+SUM(Holdings_Old!$E$32:$E$35)</f>
        <v>33718.230000000003</v>
      </c>
      <c r="F188" s="408">
        <f t="shared" si="69"/>
        <v>525.18000000000029</v>
      </c>
      <c r="G188" s="409">
        <f t="shared" si="65"/>
        <v>1.5821986831580759E-2</v>
      </c>
      <c r="H188" s="408">
        <f t="shared" si="66"/>
        <v>10862.380000000005</v>
      </c>
      <c r="I188" s="409">
        <f t="shared" si="67"/>
        <v>0.47525600666787748</v>
      </c>
      <c r="K188" s="385"/>
      <c r="L188" s="382">
        <v>1401.17</v>
      </c>
      <c r="M188" s="415">
        <f t="shared" si="59"/>
        <v>1.4914021643077646E-2</v>
      </c>
      <c r="N188" s="415">
        <f t="shared" si="50"/>
        <v>0.50650481678995352</v>
      </c>
      <c r="O188" s="416" t="str">
        <f t="shared" si="51"/>
        <v>Yes</v>
      </c>
      <c r="P188" s="417">
        <f t="shared" si="55"/>
        <v>1</v>
      </c>
      <c r="Q188" s="415">
        <f>SUM($P$4:P188)/COUNT($P$4:P188)</f>
        <v>0.52972972972972976</v>
      </c>
      <c r="S188" s="382">
        <v>12342.56</v>
      </c>
      <c r="T188" s="415">
        <f t="shared" si="60"/>
        <v>1.9336115417110111E-2</v>
      </c>
      <c r="U188" s="415">
        <f t="shared" si="63"/>
        <v>0.43807761678170443</v>
      </c>
      <c r="V188" s="416" t="str">
        <f t="shared" si="64"/>
        <v>No</v>
      </c>
      <c r="W188" s="417">
        <f t="shared" si="56"/>
        <v>0</v>
      </c>
      <c r="X188" s="415">
        <f>SUM($W$4:W188)/COUNT($W$4:W188)</f>
        <v>0.51351351351351349</v>
      </c>
      <c r="Z188" s="404">
        <v>2445.86</v>
      </c>
      <c r="AA188" s="390">
        <f t="shared" si="61"/>
        <v>2.3492291983998159E-2</v>
      </c>
      <c r="AB188" s="390">
        <f t="shared" si="62"/>
        <v>0.62744863195997014</v>
      </c>
    </row>
    <row r="189" spans="1:28">
      <c r="A189" s="403">
        <f t="shared" si="54"/>
        <v>187</v>
      </c>
      <c r="B189" s="422">
        <f t="shared" si="68"/>
        <v>39045</v>
      </c>
      <c r="C189" s="385"/>
      <c r="D189" s="411">
        <v>33895</v>
      </c>
      <c r="E189" s="408">
        <f>D189+SUM(Holdings_Old!$E$32:$E$35)</f>
        <v>33895</v>
      </c>
      <c r="F189" s="408">
        <f t="shared" si="69"/>
        <v>176.7699999999968</v>
      </c>
      <c r="G189" s="409">
        <f t="shared" si="65"/>
        <v>5.2425646304683493E-3</v>
      </c>
      <c r="H189" s="408">
        <f t="shared" si="66"/>
        <v>11039.150000000001</v>
      </c>
      <c r="I189" s="409">
        <f t="shared" si="67"/>
        <v>0.48299013162932036</v>
      </c>
      <c r="K189" s="385"/>
      <c r="L189" s="382">
        <v>1400.95</v>
      </c>
      <c r="M189" s="415">
        <f t="shared" si="59"/>
        <v>-1.5701164027204229E-4</v>
      </c>
      <c r="N189" s="415">
        <f t="shared" si="50"/>
        <v>0.50626827799759155</v>
      </c>
      <c r="O189" s="416" t="str">
        <f t="shared" si="51"/>
        <v>Yes</v>
      </c>
      <c r="P189" s="417">
        <f t="shared" si="55"/>
        <v>1</v>
      </c>
      <c r="Q189" s="415">
        <f>SUM($P$4:P189)/COUNT($P$4:P189)</f>
        <v>0.532258064516129</v>
      </c>
      <c r="T189" s="415">
        <f t="shared" si="60"/>
        <v>-1</v>
      </c>
      <c r="U189" s="415">
        <f t="shared" si="63"/>
        <v>-1</v>
      </c>
      <c r="V189" s="416" t="str">
        <f t="shared" si="64"/>
        <v>Yes</v>
      </c>
      <c r="W189" s="417">
        <f t="shared" si="56"/>
        <v>1</v>
      </c>
      <c r="X189" s="415">
        <f>SUM($W$4:W189)/COUNT($W$4:W189)</f>
        <v>0.5161290322580645</v>
      </c>
      <c r="Z189" s="405">
        <v>2460.2600000000002</v>
      </c>
      <c r="AA189" s="390">
        <f t="shared" si="61"/>
        <v>5.8874996933593327E-3</v>
      </c>
      <c r="AB189" s="390">
        <f t="shared" si="62"/>
        <v>0.63703023528159264</v>
      </c>
    </row>
    <row r="190" spans="1:28">
      <c r="A190" s="403">
        <f t="shared" si="54"/>
        <v>188</v>
      </c>
      <c r="B190" s="422">
        <f t="shared" si="68"/>
        <v>39052</v>
      </c>
      <c r="C190" s="386">
        <f>D194-D189</f>
        <v>718</v>
      </c>
      <c r="D190" s="411">
        <v>33896</v>
      </c>
      <c r="E190" s="408">
        <f>D190+SUM(Holdings_Old!$E$32:$E$35)</f>
        <v>33896</v>
      </c>
      <c r="F190" s="408">
        <f t="shared" si="69"/>
        <v>1</v>
      </c>
      <c r="G190" s="409">
        <f t="shared" si="65"/>
        <v>2.9502876530473898E-5</v>
      </c>
      <c r="H190" s="408">
        <f t="shared" si="66"/>
        <v>11040.150000000001</v>
      </c>
      <c r="I190" s="409">
        <f t="shared" si="67"/>
        <v>0.48303388410406978</v>
      </c>
      <c r="K190" s="386"/>
      <c r="L190" s="382">
        <v>1396.67</v>
      </c>
      <c r="M190" s="415">
        <f t="shared" si="59"/>
        <v>-3.0550697740818755E-3</v>
      </c>
      <c r="N190" s="415">
        <f t="shared" si="50"/>
        <v>0.50166652330982275</v>
      </c>
      <c r="O190" s="416" t="str">
        <f t="shared" si="51"/>
        <v>Yes</v>
      </c>
      <c r="P190" s="417">
        <f t="shared" si="55"/>
        <v>1</v>
      </c>
      <c r="Q190" s="415">
        <f>SUM($P$4:P190)/COUNT($P$4:P190)</f>
        <v>0.53475935828877008</v>
      </c>
      <c r="T190" s="415" t="e">
        <f t="shared" si="60"/>
        <v>#DIV/0!</v>
      </c>
      <c r="U190" s="415">
        <f t="shared" si="63"/>
        <v>-1</v>
      </c>
      <c r="V190" s="416" t="e">
        <f t="shared" si="64"/>
        <v>#DIV/0!</v>
      </c>
      <c r="W190" s="417" t="e">
        <f t="shared" si="56"/>
        <v>#DIV/0!</v>
      </c>
      <c r="X190" s="415" t="e">
        <f>SUM($W$4:W190)/COUNT($W$4:W190)</f>
        <v>#DIV/0!</v>
      </c>
      <c r="Z190" s="405">
        <v>2413.21</v>
      </c>
      <c r="AA190" s="390">
        <f t="shared" si="61"/>
        <v>-1.9123995024916129E-2</v>
      </c>
      <c r="AB190" s="390">
        <f t="shared" si="62"/>
        <v>0.60572367720643028</v>
      </c>
    </row>
    <row r="191" spans="1:28">
      <c r="A191" s="403">
        <f t="shared" si="54"/>
        <v>189</v>
      </c>
      <c r="B191" s="422">
        <f t="shared" si="68"/>
        <v>39059</v>
      </c>
      <c r="C191" s="385">
        <f>C190/4</f>
        <v>179.5</v>
      </c>
      <c r="D191" s="411">
        <v>33897</v>
      </c>
      <c r="E191" s="408">
        <f>D191+SUM(Holdings_Old!$E$32:$E$35)</f>
        <v>33897</v>
      </c>
      <c r="F191" s="408">
        <f t="shared" si="69"/>
        <v>1</v>
      </c>
      <c r="G191" s="409">
        <f t="shared" si="65"/>
        <v>2.9502006136494785E-5</v>
      </c>
      <c r="H191" s="408">
        <f t="shared" si="66"/>
        <v>11041.150000000001</v>
      </c>
      <c r="I191" s="409">
        <f t="shared" si="67"/>
        <v>0.48307763657881919</v>
      </c>
      <c r="K191" s="385"/>
      <c r="L191" s="382">
        <v>1409.81</v>
      </c>
      <c r="M191" s="415">
        <f t="shared" si="59"/>
        <v>9.4080921047920985E-3</v>
      </c>
      <c r="N191" s="415">
        <f t="shared" si="50"/>
        <v>0.51579434027180437</v>
      </c>
      <c r="O191" s="416" t="str">
        <f t="shared" si="51"/>
        <v>No</v>
      </c>
      <c r="P191" s="417">
        <f t="shared" si="55"/>
        <v>0</v>
      </c>
      <c r="Q191" s="415">
        <f>SUM($P$4:P191)/COUNT($P$4:P191)</f>
        <v>0.53191489361702127</v>
      </c>
      <c r="T191" s="415" t="e">
        <f t="shared" si="60"/>
        <v>#DIV/0!</v>
      </c>
      <c r="U191" s="415">
        <f t="shared" si="63"/>
        <v>-1</v>
      </c>
      <c r="V191" s="416" t="e">
        <f t="shared" si="64"/>
        <v>#DIV/0!</v>
      </c>
      <c r="W191" s="417" t="e">
        <f t="shared" si="56"/>
        <v>#DIV/0!</v>
      </c>
      <c r="X191" s="415" t="e">
        <f>SUM($W$4:W191)/COUNT($W$4:W191)</f>
        <v>#DIV/0!</v>
      </c>
      <c r="Z191" s="405">
        <v>2437.36</v>
      </c>
      <c r="AA191" s="390">
        <f t="shared" si="61"/>
        <v>1.0007417506143312E-2</v>
      </c>
      <c r="AB191" s="390">
        <f t="shared" si="62"/>
        <v>0.62179282444373474</v>
      </c>
    </row>
    <row r="192" spans="1:28">
      <c r="A192" s="403">
        <f t="shared" si="54"/>
        <v>190</v>
      </c>
      <c r="B192" s="422">
        <f t="shared" si="68"/>
        <v>39066</v>
      </c>
      <c r="C192" s="385"/>
      <c r="D192" s="411">
        <v>33898</v>
      </c>
      <c r="E192" s="408">
        <f>D192+SUM(Holdings_Old!$E$32:$E$35)</f>
        <v>33898</v>
      </c>
      <c r="F192" s="408">
        <f t="shared" si="69"/>
        <v>1</v>
      </c>
      <c r="G192" s="409">
        <f t="shared" si="65"/>
        <v>2.9501135793807975E-5</v>
      </c>
      <c r="H192" s="408">
        <f t="shared" si="66"/>
        <v>11042.150000000001</v>
      </c>
      <c r="I192" s="409">
        <f t="shared" si="67"/>
        <v>0.48312138905356838</v>
      </c>
      <c r="K192" s="385"/>
      <c r="L192" s="382">
        <v>1427.08</v>
      </c>
      <c r="M192" s="415">
        <f t="shared" si="59"/>
        <v>1.2249877643086604E-2</v>
      </c>
      <c r="N192" s="415">
        <f t="shared" si="50"/>
        <v>0.5343626354722173</v>
      </c>
      <c r="O192" s="416" t="str">
        <f t="shared" si="51"/>
        <v>No</v>
      </c>
      <c r="P192" s="417">
        <f t="shared" si="55"/>
        <v>0</v>
      </c>
      <c r="Q192" s="415">
        <f>SUM($P$4:P192)/COUNT($P$4:P192)</f>
        <v>0.52910052910052907</v>
      </c>
      <c r="T192" s="415" t="e">
        <f t="shared" si="60"/>
        <v>#DIV/0!</v>
      </c>
      <c r="U192" s="415">
        <f t="shared" si="63"/>
        <v>-1</v>
      </c>
      <c r="V192" s="416" t="e">
        <f t="shared" si="64"/>
        <v>#DIV/0!</v>
      </c>
      <c r="W192" s="417" t="e">
        <f t="shared" si="56"/>
        <v>#DIV/0!</v>
      </c>
      <c r="X192" s="415" t="e">
        <f>SUM($W$4:W192)/COUNT($W$4:W192)</f>
        <v>#DIV/0!</v>
      </c>
      <c r="Z192" s="405">
        <v>2457.1999999999998</v>
      </c>
      <c r="AA192" s="390">
        <f t="shared" si="61"/>
        <v>8.1399547050906573E-3</v>
      </c>
      <c r="AB192" s="390">
        <f t="shared" si="62"/>
        <v>0.63499414457574765</v>
      </c>
    </row>
    <row r="193" spans="1:28">
      <c r="A193" s="403">
        <f t="shared" si="54"/>
        <v>191</v>
      </c>
      <c r="B193" s="422">
        <f t="shared" si="68"/>
        <v>39073</v>
      </c>
      <c r="C193" s="385"/>
      <c r="D193" s="411">
        <v>33899</v>
      </c>
      <c r="E193" s="408">
        <f>D193+SUM(Holdings_Old!$E$32:$E$35)</f>
        <v>33899</v>
      </c>
      <c r="F193" s="408">
        <f t="shared" si="69"/>
        <v>1</v>
      </c>
      <c r="G193" s="409">
        <f t="shared" si="65"/>
        <v>2.950026550241347E-5</v>
      </c>
      <c r="H193" s="408">
        <f t="shared" si="66"/>
        <v>11043.150000000001</v>
      </c>
      <c r="I193" s="409">
        <f t="shared" si="67"/>
        <v>0.4831651415283178</v>
      </c>
      <c r="K193" s="385"/>
      <c r="L193" s="382">
        <v>1410.75</v>
      </c>
      <c r="M193" s="415">
        <f t="shared" si="59"/>
        <v>-1.1442946436079238E-2</v>
      </c>
      <c r="N193" s="415">
        <f t="shared" si="50"/>
        <v>0.51680500602098745</v>
      </c>
      <c r="O193" s="416" t="str">
        <f t="shared" si="51"/>
        <v>Yes</v>
      </c>
      <c r="P193" s="417">
        <f t="shared" si="55"/>
        <v>1</v>
      </c>
      <c r="Q193" s="415">
        <f>SUM($P$4:P193)/COUNT($P$4:P193)</f>
        <v>0.53157894736842104</v>
      </c>
      <c r="T193" s="415" t="e">
        <f t="shared" si="60"/>
        <v>#DIV/0!</v>
      </c>
      <c r="U193" s="415">
        <f t="shared" si="63"/>
        <v>-1</v>
      </c>
      <c r="V193" s="416" t="e">
        <f t="shared" si="64"/>
        <v>#DIV/0!</v>
      </c>
      <c r="W193" s="417" t="e">
        <f t="shared" si="56"/>
        <v>#DIV/0!</v>
      </c>
      <c r="X193" s="415" t="e">
        <f>SUM($W$4:W193)/COUNT($W$4:W193)</f>
        <v>#DIV/0!</v>
      </c>
      <c r="Z193" s="405">
        <v>2401.1799999999998</v>
      </c>
      <c r="AA193" s="390">
        <f t="shared" si="61"/>
        <v>-2.2798307016115849E-2</v>
      </c>
      <c r="AB193" s="390">
        <f t="shared" si="62"/>
        <v>0.59771904609815807</v>
      </c>
    </row>
    <row r="194" spans="1:28">
      <c r="A194" s="403">
        <f t="shared" si="54"/>
        <v>192</v>
      </c>
      <c r="B194" s="422">
        <f t="shared" si="68"/>
        <v>39080</v>
      </c>
      <c r="C194" s="385"/>
      <c r="D194" s="411">
        <v>34613</v>
      </c>
      <c r="E194" s="408">
        <f>D194+SUM(Holdings_Old!$E$32:$E$35)</f>
        <v>34613</v>
      </c>
      <c r="F194" s="408">
        <f t="shared" si="69"/>
        <v>714</v>
      </c>
      <c r="G194" s="409">
        <f t="shared" si="65"/>
        <v>2.1062568217351529E-2</v>
      </c>
      <c r="H194" s="408">
        <f t="shared" si="66"/>
        <v>11757.150000000001</v>
      </c>
      <c r="I194" s="409">
        <f t="shared" si="67"/>
        <v>0.51440440849935576</v>
      </c>
      <c r="K194" s="385"/>
      <c r="L194" s="382">
        <v>1418.03</v>
      </c>
      <c r="M194" s="415">
        <f t="shared" si="59"/>
        <v>5.1603756866913653E-3</v>
      </c>
      <c r="N194" s="415">
        <f t="shared" si="50"/>
        <v>0.52463228969551001</v>
      </c>
      <c r="O194" s="416" t="str">
        <f t="shared" si="51"/>
        <v>Yes</v>
      </c>
      <c r="P194" s="417">
        <f t="shared" si="55"/>
        <v>1</v>
      </c>
      <c r="Q194" s="415">
        <f>SUM($P$4:P194)/COUNT($P$4:P194)</f>
        <v>0.53403141361256545</v>
      </c>
      <c r="T194" s="415" t="e">
        <f t="shared" si="60"/>
        <v>#DIV/0!</v>
      </c>
      <c r="U194" s="415">
        <f t="shared" si="63"/>
        <v>-1</v>
      </c>
      <c r="V194" s="416" t="e">
        <f t="shared" si="64"/>
        <v>#DIV/0!</v>
      </c>
      <c r="W194" s="417" t="e">
        <f t="shared" si="56"/>
        <v>#DIV/0!</v>
      </c>
      <c r="X194" s="415" t="e">
        <f>SUM($W$4:W194)/COUNT($W$4:W194)</f>
        <v>#DIV/0!</v>
      </c>
      <c r="Z194" s="405">
        <v>2415.29</v>
      </c>
      <c r="AA194" s="390">
        <f t="shared" si="61"/>
        <v>5.8762774968974529E-3</v>
      </c>
      <c r="AB194" s="390">
        <f t="shared" si="62"/>
        <v>0.60710768657510905</v>
      </c>
    </row>
    <row r="195" spans="1:28">
      <c r="A195" s="403">
        <f t="shared" si="54"/>
        <v>193</v>
      </c>
      <c r="B195" s="422">
        <f t="shared" si="68"/>
        <v>39087</v>
      </c>
      <c r="C195" s="385"/>
      <c r="D195" s="411">
        <v>34614</v>
      </c>
      <c r="E195" s="408">
        <f>D195+SUM(Holdings_Old!$E$32:$E$35)</f>
        <v>34614</v>
      </c>
      <c r="F195" s="408">
        <f t="shared" si="69"/>
        <v>1</v>
      </c>
      <c r="G195" s="409">
        <f t="shared" si="65"/>
        <v>2.8890879149479076E-5</v>
      </c>
      <c r="H195" s="408">
        <f t="shared" si="66"/>
        <v>11758.150000000001</v>
      </c>
      <c r="I195" s="409">
        <f t="shared" si="67"/>
        <v>0.51444816097410517</v>
      </c>
      <c r="K195" s="385"/>
      <c r="L195" s="382">
        <v>1409.26</v>
      </c>
      <c r="M195" s="415">
        <f t="shared" si="59"/>
        <v>-6.1846364322334368E-3</v>
      </c>
      <c r="N195" s="415">
        <f t="shared" si="50"/>
        <v>0.51520299329089969</v>
      </c>
      <c r="O195" s="416" t="str">
        <f t="shared" si="51"/>
        <v>Yes</v>
      </c>
      <c r="P195" s="417">
        <f t="shared" si="55"/>
        <v>1</v>
      </c>
      <c r="Q195" s="415">
        <f>SUM($P$4:P195)/COUNT($P$4:P195)</f>
        <v>0.53645833333333337</v>
      </c>
      <c r="T195" s="415" t="e">
        <f t="shared" si="60"/>
        <v>#DIV/0!</v>
      </c>
      <c r="U195" s="415">
        <f t="shared" si="63"/>
        <v>-1</v>
      </c>
      <c r="V195" s="416" t="e">
        <f t="shared" si="64"/>
        <v>#DIV/0!</v>
      </c>
      <c r="W195" s="417" t="e">
        <f t="shared" si="56"/>
        <v>#DIV/0!</v>
      </c>
      <c r="X195" s="415" t="e">
        <f>SUM($W$4:W195)/COUNT($W$4:W195)</f>
        <v>#DIV/0!</v>
      </c>
      <c r="Z195" s="405">
        <v>2434.25</v>
      </c>
      <c r="AA195" s="390">
        <f t="shared" si="61"/>
        <v>7.8499890282326401E-3</v>
      </c>
      <c r="AB195" s="390">
        <f t="shared" si="62"/>
        <v>0.61972346428191205</v>
      </c>
    </row>
    <row r="196" spans="1:28">
      <c r="A196" s="403">
        <f t="shared" si="54"/>
        <v>194</v>
      </c>
      <c r="B196" s="422">
        <f t="shared" si="68"/>
        <v>39094</v>
      </c>
      <c r="C196" s="385"/>
      <c r="D196" s="411">
        <v>34615</v>
      </c>
      <c r="E196" s="408">
        <f>D196+SUM(Holdings_Old!$E$32:$E$35)</f>
        <v>34615</v>
      </c>
      <c r="F196" s="408">
        <f t="shared" si="69"/>
        <v>1</v>
      </c>
      <c r="G196" s="409">
        <f t="shared" si="65"/>
        <v>2.8890044490692546E-5</v>
      </c>
      <c r="H196" s="408">
        <f t="shared" si="66"/>
        <v>11759.150000000001</v>
      </c>
      <c r="I196" s="409">
        <f t="shared" si="67"/>
        <v>0.51449191344885459</v>
      </c>
      <c r="K196" s="385"/>
      <c r="L196" s="382">
        <v>1430.73</v>
      </c>
      <c r="M196" s="415">
        <f t="shared" si="59"/>
        <v>1.5234946000028504E-2</v>
      </c>
      <c r="N196" s="415">
        <f t="shared" ref="N196:N259" si="70">(L196/$L$3)-1</f>
        <v>0.53828702907276793</v>
      </c>
      <c r="O196" s="416" t="str">
        <f t="shared" ref="O196:O259" si="71">IF(G196&gt;M196,"Yes","No")</f>
        <v>No</v>
      </c>
      <c r="P196" s="417">
        <f t="shared" si="55"/>
        <v>0</v>
      </c>
      <c r="Q196" s="415">
        <f>SUM($P$4:P196)/COUNT($P$4:P196)</f>
        <v>0.53367875647668395</v>
      </c>
      <c r="T196" s="415" t="e">
        <f t="shared" si="60"/>
        <v>#DIV/0!</v>
      </c>
      <c r="U196" s="415">
        <f t="shared" ref="U196:U202" si="72">(S196/$S$3)-1</f>
        <v>-1</v>
      </c>
      <c r="V196" s="416" t="e">
        <f t="shared" ref="V196:V202" si="73">IF(G196&gt;T196,"Yes","No")</f>
        <v>#DIV/0!</v>
      </c>
      <c r="W196" s="417" t="e">
        <f t="shared" si="56"/>
        <v>#DIV/0!</v>
      </c>
      <c r="X196" s="415" t="e">
        <f>SUM($W$4:W196)/COUNT($W$4:W196)</f>
        <v>#DIV/0!</v>
      </c>
      <c r="Z196" s="405">
        <v>2502.8200000000002</v>
      </c>
      <c r="AA196" s="390">
        <f t="shared" si="61"/>
        <v>2.8168840505289117E-2</v>
      </c>
      <c r="AB196" s="390">
        <f t="shared" si="62"/>
        <v>0.66534919620994359</v>
      </c>
    </row>
    <row r="197" spans="1:28">
      <c r="A197" s="403">
        <f t="shared" ref="A197:A260" si="74">A196+1</f>
        <v>195</v>
      </c>
      <c r="B197" s="422">
        <f t="shared" si="68"/>
        <v>39101</v>
      </c>
      <c r="C197" s="385"/>
      <c r="D197" s="411">
        <v>34616</v>
      </c>
      <c r="E197" s="408">
        <f>D197+SUM(Holdings_Old!$E$32:$E$35)</f>
        <v>34616</v>
      </c>
      <c r="F197" s="408">
        <f t="shared" si="69"/>
        <v>1</v>
      </c>
      <c r="G197" s="409">
        <f t="shared" si="65"/>
        <v>2.8889209880089695E-5</v>
      </c>
      <c r="H197" s="408">
        <f t="shared" si="66"/>
        <v>11760.150000000001</v>
      </c>
      <c r="I197" s="409">
        <f t="shared" si="67"/>
        <v>0.514535665923604</v>
      </c>
      <c r="K197" s="385"/>
      <c r="L197" s="382">
        <v>1430.47</v>
      </c>
      <c r="M197" s="415">
        <f t="shared" si="59"/>
        <v>-1.8172541290106814E-4</v>
      </c>
      <c r="N197" s="415">
        <f t="shared" si="70"/>
        <v>0.53800748322724923</v>
      </c>
      <c r="O197" s="416" t="str">
        <f t="shared" si="71"/>
        <v>Yes</v>
      </c>
      <c r="P197" s="417">
        <f t="shared" si="55"/>
        <v>1</v>
      </c>
      <c r="Q197" s="415">
        <f>SUM($P$4:P197)/COUNT($P$4:P197)</f>
        <v>0.53608247422680411</v>
      </c>
      <c r="T197" s="415" t="e">
        <f t="shared" si="60"/>
        <v>#DIV/0!</v>
      </c>
      <c r="U197" s="415">
        <f t="shared" si="72"/>
        <v>-1</v>
      </c>
      <c r="V197" s="416" t="e">
        <f t="shared" si="73"/>
        <v>#DIV/0!</v>
      </c>
      <c r="W197" s="417" t="e">
        <f t="shared" si="56"/>
        <v>#DIV/0!</v>
      </c>
      <c r="X197" s="415" t="e">
        <f>SUM($W$4:W197)/COUNT($W$4:W197)</f>
        <v>#DIV/0!</v>
      </c>
      <c r="Z197" s="405">
        <v>2451.31</v>
      </c>
      <c r="AA197" s="390">
        <f t="shared" si="61"/>
        <v>-2.0580784874661417E-2</v>
      </c>
      <c r="AB197" s="390">
        <f t="shared" si="62"/>
        <v>0.63107500266155636</v>
      </c>
    </row>
    <row r="198" spans="1:28">
      <c r="A198" s="403">
        <f t="shared" si="74"/>
        <v>196</v>
      </c>
      <c r="B198" s="422">
        <f t="shared" si="68"/>
        <v>39108</v>
      </c>
      <c r="C198" s="385"/>
      <c r="D198" s="411">
        <v>33961</v>
      </c>
      <c r="E198" s="408">
        <f>D198+SUM(Holdings_Old!$E$32:$E$35)</f>
        <v>33961</v>
      </c>
      <c r="F198" s="408">
        <f t="shared" si="69"/>
        <v>-655</v>
      </c>
      <c r="G198" s="409">
        <f t="shared" si="65"/>
        <v>-1.8921885833140695E-2</v>
      </c>
      <c r="H198" s="408">
        <f t="shared" si="66"/>
        <v>11105.150000000001</v>
      </c>
      <c r="I198" s="409">
        <f t="shared" si="67"/>
        <v>0.48587779496277772</v>
      </c>
      <c r="K198" s="385"/>
      <c r="L198" s="382">
        <v>1422.03</v>
      </c>
      <c r="M198" s="415">
        <f t="shared" si="59"/>
        <v>-5.9001586891022084E-3</v>
      </c>
      <c r="N198" s="415">
        <f t="shared" si="70"/>
        <v>0.52893299501118163</v>
      </c>
      <c r="O198" s="416" t="str">
        <f t="shared" si="71"/>
        <v>No</v>
      </c>
      <c r="P198" s="417">
        <f t="shared" ref="P198:P261" si="75">IF(O198="Yes",1,0)</f>
        <v>0</v>
      </c>
      <c r="Q198" s="415">
        <f>SUM($P$4:P198)/COUNT($P$4:P198)</f>
        <v>0.53333333333333333</v>
      </c>
      <c r="T198" s="415" t="e">
        <f t="shared" si="60"/>
        <v>#DIV/0!</v>
      </c>
      <c r="U198" s="415">
        <f t="shared" si="72"/>
        <v>-1</v>
      </c>
      <c r="V198" s="416" t="e">
        <f t="shared" si="73"/>
        <v>#DIV/0!</v>
      </c>
      <c r="W198" s="417" t="e">
        <f t="shared" ref="W198:W261" si="76">IF(V198="Yes",1,0)</f>
        <v>#DIV/0!</v>
      </c>
      <c r="X198" s="415" t="e">
        <f>SUM($W$4:W198)/COUNT($W$4:W198)</f>
        <v>#DIV/0!</v>
      </c>
      <c r="Z198" s="405">
        <v>2435.4899999999998</v>
      </c>
      <c r="AA198" s="390">
        <f t="shared" si="61"/>
        <v>-6.4536921074854758E-3</v>
      </c>
      <c r="AB198" s="390">
        <f t="shared" si="62"/>
        <v>0.62054854679016258</v>
      </c>
    </row>
    <row r="199" spans="1:28">
      <c r="A199" s="403">
        <f t="shared" si="74"/>
        <v>197</v>
      </c>
      <c r="B199" s="422">
        <f t="shared" si="68"/>
        <v>39115</v>
      </c>
      <c r="C199" s="385"/>
      <c r="D199" s="411">
        <v>33962</v>
      </c>
      <c r="E199" s="408">
        <f>D199+SUM(Holdings_Old!$E$32:$E$35)</f>
        <v>33962</v>
      </c>
      <c r="F199" s="408">
        <f t="shared" si="69"/>
        <v>1</v>
      </c>
      <c r="G199" s="409">
        <f t="shared" si="65"/>
        <v>2.9445540472794463E-5</v>
      </c>
      <c r="H199" s="408">
        <f t="shared" si="66"/>
        <v>11106.150000000001</v>
      </c>
      <c r="I199" s="409">
        <f t="shared" si="67"/>
        <v>0.48592154743752713</v>
      </c>
      <c r="K199" s="385"/>
      <c r="L199" s="382">
        <v>1448.33</v>
      </c>
      <c r="M199" s="415">
        <f t="shared" si="59"/>
        <v>1.8494687172563085E-2</v>
      </c>
      <c r="N199" s="415">
        <f t="shared" si="70"/>
        <v>0.55721013246172357</v>
      </c>
      <c r="O199" s="416" t="str">
        <f t="shared" si="71"/>
        <v>No</v>
      </c>
      <c r="P199" s="417">
        <f t="shared" si="75"/>
        <v>0</v>
      </c>
      <c r="Q199" s="415">
        <f>SUM($P$4:P199)/COUNT($P$4:P199)</f>
        <v>0.53061224489795922</v>
      </c>
      <c r="T199" s="415" t="e">
        <f t="shared" si="60"/>
        <v>#DIV/0!</v>
      </c>
      <c r="U199" s="415">
        <f t="shared" si="72"/>
        <v>-1</v>
      </c>
      <c r="V199" s="416" t="e">
        <f t="shared" si="73"/>
        <v>#DIV/0!</v>
      </c>
      <c r="W199" s="417" t="e">
        <f t="shared" si="76"/>
        <v>#DIV/0!</v>
      </c>
      <c r="X199" s="415" t="e">
        <f>SUM($W$4:W199)/COUNT($W$4:W199)</f>
        <v>#DIV/0!</v>
      </c>
      <c r="Z199" s="405">
        <v>2475.88</v>
      </c>
      <c r="AA199" s="390">
        <f t="shared" si="61"/>
        <v>1.6583931775536076E-2</v>
      </c>
      <c r="AB199" s="390">
        <f t="shared" si="62"/>
        <v>0.64742361332907472</v>
      </c>
    </row>
    <row r="200" spans="1:28">
      <c r="A200" s="403">
        <f t="shared" si="74"/>
        <v>198</v>
      </c>
      <c r="B200" s="422">
        <f t="shared" si="68"/>
        <v>39122</v>
      </c>
      <c r="C200" s="385"/>
      <c r="D200" s="411">
        <v>33963</v>
      </c>
      <c r="E200" s="408">
        <f>D200+SUM(Holdings_Old!$E$32:$E$35)</f>
        <v>33963</v>
      </c>
      <c r="F200" s="408">
        <f t="shared" si="69"/>
        <v>1</v>
      </c>
      <c r="G200" s="409">
        <f t="shared" si="65"/>
        <v>2.9444673458556281E-5</v>
      </c>
      <c r="H200" s="408">
        <f t="shared" si="66"/>
        <v>11107.150000000001</v>
      </c>
      <c r="I200" s="409">
        <f t="shared" si="67"/>
        <v>0.48596529991227633</v>
      </c>
      <c r="K200" s="385"/>
      <c r="L200" s="382">
        <v>1438</v>
      </c>
      <c r="M200" s="415">
        <f t="shared" si="59"/>
        <v>-7.1323524334923061E-3</v>
      </c>
      <c r="N200" s="415">
        <f t="shared" si="70"/>
        <v>0.54610356098400126</v>
      </c>
      <c r="O200" s="416" t="str">
        <f t="shared" si="71"/>
        <v>Yes</v>
      </c>
      <c r="P200" s="417">
        <f t="shared" si="75"/>
        <v>1</v>
      </c>
      <c r="Q200" s="415">
        <f>SUM($P$4:P200)/COUNT($P$4:P200)</f>
        <v>0.53299492385786806</v>
      </c>
      <c r="T200" s="415" t="e">
        <f t="shared" si="60"/>
        <v>#DIV/0!</v>
      </c>
      <c r="U200" s="415">
        <f t="shared" si="72"/>
        <v>-1</v>
      </c>
      <c r="V200" s="416" t="e">
        <f t="shared" si="73"/>
        <v>#DIV/0!</v>
      </c>
      <c r="W200" s="417" t="e">
        <f t="shared" si="76"/>
        <v>#DIV/0!</v>
      </c>
      <c r="X200" s="415" t="e">
        <f>SUM($W$4:W200)/COUNT($W$4:W200)</f>
        <v>#DIV/0!</v>
      </c>
      <c r="Z200" s="405">
        <v>2459.8200000000002</v>
      </c>
      <c r="AA200" s="390">
        <f t="shared" si="61"/>
        <v>-6.4865825484271555E-3</v>
      </c>
      <c r="AB200" s="390">
        <f t="shared" si="62"/>
        <v>0.63673746406898757</v>
      </c>
    </row>
    <row r="201" spans="1:28">
      <c r="A201" s="403">
        <f t="shared" si="74"/>
        <v>199</v>
      </c>
      <c r="B201" s="422">
        <f t="shared" si="68"/>
        <v>39129</v>
      </c>
      <c r="C201" s="385"/>
      <c r="D201" s="411">
        <v>33964</v>
      </c>
      <c r="E201" s="408">
        <f>D201+SUM(Holdings_Old!$E$32:$E$35)</f>
        <v>33964</v>
      </c>
      <c r="F201" s="408">
        <f t="shared" si="69"/>
        <v>1</v>
      </c>
      <c r="G201" s="409">
        <f t="shared" ref="G201:G237" si="77">(E201/E200)-1</f>
        <v>2.9443806495388358E-5</v>
      </c>
      <c r="H201" s="408">
        <f t="shared" si="66"/>
        <v>11108.150000000001</v>
      </c>
      <c r="I201" s="409">
        <f t="shared" si="67"/>
        <v>0.48600905238702574</v>
      </c>
      <c r="K201" s="385"/>
      <c r="L201" s="382">
        <v>1455.53</v>
      </c>
      <c r="M201" s="415">
        <f t="shared" si="59"/>
        <v>1.2190542420027706E-2</v>
      </c>
      <c r="N201" s="415">
        <f t="shared" si="70"/>
        <v>0.56495140202993288</v>
      </c>
      <c r="O201" s="416" t="str">
        <f t="shared" si="71"/>
        <v>No</v>
      </c>
      <c r="P201" s="417">
        <f t="shared" si="75"/>
        <v>0</v>
      </c>
      <c r="Q201" s="415">
        <f>SUM($P$4:P201)/COUNT($P$4:P201)</f>
        <v>0.53030303030303028</v>
      </c>
      <c r="S201" s="382">
        <v>12767.57</v>
      </c>
      <c r="T201" s="415" t="e">
        <f t="shared" si="60"/>
        <v>#DIV/0!</v>
      </c>
      <c r="U201" s="415">
        <f t="shared" si="72"/>
        <v>0.48759711418810903</v>
      </c>
      <c r="V201" s="416" t="e">
        <f t="shared" si="73"/>
        <v>#DIV/0!</v>
      </c>
      <c r="W201" s="417" t="e">
        <f t="shared" si="76"/>
        <v>#DIV/0!</v>
      </c>
      <c r="X201" s="415" t="e">
        <f>SUM($W$4:W201)/COUNT($W$4:W201)</f>
        <v>#DIV/0!</v>
      </c>
      <c r="Z201" s="405">
        <v>2496.31</v>
      </c>
      <c r="AA201" s="390">
        <f t="shared" si="61"/>
        <v>1.4834418778609804E-2</v>
      </c>
      <c r="AB201" s="390">
        <f t="shared" si="62"/>
        <v>0.66101751304162648</v>
      </c>
    </row>
    <row r="202" spans="1:28">
      <c r="A202" s="403">
        <f t="shared" si="74"/>
        <v>200</v>
      </c>
      <c r="B202" s="422">
        <f>B201+7</f>
        <v>39136</v>
      </c>
      <c r="D202" s="411">
        <v>32963</v>
      </c>
      <c r="E202" s="408">
        <f>D202+SUM(Holdings_Old!$E$32:$E$35)</f>
        <v>32963</v>
      </c>
      <c r="F202" s="408">
        <f t="shared" ref="F202:F233" si="78">E202-E201</f>
        <v>-1001</v>
      </c>
      <c r="G202" s="409">
        <f t="shared" si="77"/>
        <v>-2.9472382522671037E-2</v>
      </c>
      <c r="H202" s="408">
        <f t="shared" si="66"/>
        <v>10107.150000000001</v>
      </c>
      <c r="I202" s="409">
        <f t="shared" si="67"/>
        <v>0.44221282516292337</v>
      </c>
      <c r="L202" s="382">
        <v>1451.04</v>
      </c>
      <c r="M202" s="415">
        <f t="shared" si="59"/>
        <v>-3.0847869848096288E-3</v>
      </c>
      <c r="N202" s="415">
        <f t="shared" si="70"/>
        <v>0.56012386031309114</v>
      </c>
      <c r="O202" s="416" t="str">
        <f t="shared" si="71"/>
        <v>No</v>
      </c>
      <c r="P202" s="417">
        <f t="shared" si="75"/>
        <v>0</v>
      </c>
      <c r="Q202" s="415">
        <f>SUM($P$4:P202)/COUNT($P$4:P202)</f>
        <v>0.52763819095477382</v>
      </c>
      <c r="S202" s="382">
        <v>12767.57</v>
      </c>
      <c r="T202" s="415">
        <f t="shared" si="60"/>
        <v>0</v>
      </c>
      <c r="U202" s="415">
        <f t="shared" si="72"/>
        <v>0.48759711418810903</v>
      </c>
      <c r="V202" s="416" t="str">
        <f t="shared" si="73"/>
        <v>No</v>
      </c>
      <c r="W202" s="417">
        <f t="shared" si="76"/>
        <v>0</v>
      </c>
      <c r="X202" s="415" t="e">
        <f>SUM($W$4:W202)/COUNT($W$4:W202)</f>
        <v>#DIV/0!</v>
      </c>
      <c r="Z202" s="405">
        <v>2515.1</v>
      </c>
      <c r="AA202" s="390">
        <f t="shared" si="61"/>
        <v>7.527110014381222E-3</v>
      </c>
      <c r="AB202" s="390">
        <f t="shared" si="62"/>
        <v>0.67352017459810476</v>
      </c>
    </row>
    <row r="203" spans="1:28">
      <c r="A203" s="403">
        <f t="shared" si="74"/>
        <v>201</v>
      </c>
      <c r="B203" s="422">
        <f t="shared" ref="B203:B266" si="79">B202+7</f>
        <v>39143</v>
      </c>
      <c r="D203" s="411">
        <v>32964</v>
      </c>
      <c r="E203" s="408">
        <f>D203+SUM(Holdings_Old!$E$32:$E$35)</f>
        <v>32964</v>
      </c>
      <c r="F203" s="408">
        <f t="shared" si="78"/>
        <v>1</v>
      </c>
      <c r="G203" s="409">
        <f t="shared" si="77"/>
        <v>3.0337044565120763E-5</v>
      </c>
      <c r="H203" s="408">
        <f t="shared" si="66"/>
        <v>10108.150000000001</v>
      </c>
      <c r="I203" s="409">
        <f t="shared" si="67"/>
        <v>0.44225657763767279</v>
      </c>
      <c r="L203" s="382">
        <v>1387.11</v>
      </c>
      <c r="M203" s="415">
        <f t="shared" ref="M203:M266" si="80">(L203/L202)-1</f>
        <v>-4.4058054912338829E-2</v>
      </c>
      <c r="N203" s="415">
        <f t="shared" si="70"/>
        <v>0.49138783760536708</v>
      </c>
      <c r="O203" s="416" t="str">
        <f t="shared" si="71"/>
        <v>Yes</v>
      </c>
      <c r="P203" s="417">
        <f t="shared" si="75"/>
        <v>1</v>
      </c>
      <c r="Q203" s="415">
        <f>SUM($P$4:P203)/COUNT($P$4:P203)</f>
        <v>0.53</v>
      </c>
      <c r="W203" s="417">
        <f t="shared" si="76"/>
        <v>0</v>
      </c>
      <c r="X203" s="415" t="e">
        <f>SUM($W$4:W203)/COUNT($W$4:W203)</f>
        <v>#DIV/0!</v>
      </c>
      <c r="Z203" s="405"/>
    </row>
    <row r="204" spans="1:28">
      <c r="A204" s="403">
        <f t="shared" si="74"/>
        <v>202</v>
      </c>
      <c r="B204" s="422">
        <f t="shared" si="79"/>
        <v>39150</v>
      </c>
      <c r="D204" s="411">
        <v>32965</v>
      </c>
      <c r="E204" s="408">
        <f>D204+SUM(Holdings_Old!$E$32:$E$35)</f>
        <v>32965</v>
      </c>
      <c r="F204" s="408">
        <f t="shared" si="78"/>
        <v>1</v>
      </c>
      <c r="G204" s="409">
        <f t="shared" si="77"/>
        <v>3.033612425684673E-5</v>
      </c>
      <c r="H204" s="408">
        <f t="shared" si="66"/>
        <v>10109.150000000001</v>
      </c>
      <c r="I204" s="409">
        <f t="shared" si="67"/>
        <v>0.44230033011242198</v>
      </c>
      <c r="L204" s="382">
        <v>1402.8</v>
      </c>
      <c r="M204" s="415">
        <f t="shared" si="80"/>
        <v>1.1311287497026257E-2</v>
      </c>
      <c r="N204" s="415">
        <f t="shared" si="70"/>
        <v>0.50825735420608975</v>
      </c>
      <c r="O204" s="416" t="str">
        <f t="shared" si="71"/>
        <v>No</v>
      </c>
      <c r="P204" s="417">
        <f t="shared" si="75"/>
        <v>0</v>
      </c>
      <c r="Q204" s="415">
        <f>SUM($P$4:P204)/COUNT($P$4:P204)</f>
        <v>0.52736318407960203</v>
      </c>
      <c r="W204" s="417">
        <f t="shared" si="76"/>
        <v>0</v>
      </c>
      <c r="X204" s="415" t="e">
        <f>SUM($W$4:W204)/COUNT($W$4:W204)</f>
        <v>#DIV/0!</v>
      </c>
      <c r="Z204" s="405"/>
    </row>
    <row r="205" spans="1:28">
      <c r="A205" s="403">
        <f t="shared" si="74"/>
        <v>203</v>
      </c>
      <c r="B205" s="422">
        <f t="shared" si="79"/>
        <v>39157</v>
      </c>
      <c r="D205" s="411">
        <v>32966</v>
      </c>
      <c r="E205" s="408">
        <f>D205+SUM(Holdings_Old!$E$32:$E$35)</f>
        <v>32966</v>
      </c>
      <c r="F205" s="408">
        <f t="shared" si="78"/>
        <v>1</v>
      </c>
      <c r="G205" s="409">
        <f t="shared" si="77"/>
        <v>3.0335204004305893E-5</v>
      </c>
      <c r="H205" s="408">
        <f t="shared" si="66"/>
        <v>10110.150000000001</v>
      </c>
      <c r="I205" s="409">
        <f t="shared" si="67"/>
        <v>0.44234408258717139</v>
      </c>
      <c r="L205" s="382">
        <v>1386.95</v>
      </c>
      <c r="M205" s="415">
        <f t="shared" si="80"/>
        <v>-1.1298830909609259E-2</v>
      </c>
      <c r="N205" s="415">
        <f t="shared" si="70"/>
        <v>0.49121580939274034</v>
      </c>
      <c r="O205" s="416" t="str">
        <f t="shared" si="71"/>
        <v>Yes</v>
      </c>
      <c r="P205" s="417">
        <f t="shared" si="75"/>
        <v>1</v>
      </c>
      <c r="Q205" s="415">
        <f>SUM($P$4:P205)/COUNT($P$4:P205)</f>
        <v>0.52970297029702973</v>
      </c>
      <c r="W205" s="417">
        <f t="shared" si="76"/>
        <v>0</v>
      </c>
      <c r="X205" s="415" t="e">
        <f>SUM($W$4:W205)/COUNT($W$4:W205)</f>
        <v>#DIV/0!</v>
      </c>
      <c r="Z205" s="405"/>
    </row>
    <row r="206" spans="1:28">
      <c r="A206" s="403">
        <f t="shared" si="74"/>
        <v>204</v>
      </c>
      <c r="B206" s="422">
        <f t="shared" si="79"/>
        <v>39164</v>
      </c>
      <c r="D206" s="411">
        <v>32967</v>
      </c>
      <c r="E206" s="408">
        <f>D206+SUM(Holdings_Old!$E$32:$E$35)</f>
        <v>32967</v>
      </c>
      <c r="F206" s="408">
        <f t="shared" si="78"/>
        <v>1</v>
      </c>
      <c r="G206" s="409">
        <f t="shared" si="77"/>
        <v>3.0334283807498252E-5</v>
      </c>
      <c r="H206" s="408">
        <f t="shared" si="66"/>
        <v>10111.150000000001</v>
      </c>
      <c r="I206" s="409">
        <f t="shared" si="67"/>
        <v>0.44238783506192081</v>
      </c>
      <c r="L206" s="382">
        <v>1436.11</v>
      </c>
      <c r="M206" s="415">
        <f t="shared" si="80"/>
        <v>3.5444680774360915E-2</v>
      </c>
      <c r="N206" s="415">
        <f t="shared" si="70"/>
        <v>0.54407147772234632</v>
      </c>
      <c r="O206" s="416" t="str">
        <f t="shared" si="71"/>
        <v>No</v>
      </c>
      <c r="P206" s="417">
        <f t="shared" si="75"/>
        <v>0</v>
      </c>
      <c r="Q206" s="415">
        <f>SUM($P$4:P206)/COUNT($P$4:P206)</f>
        <v>0.52709359605911332</v>
      </c>
      <c r="W206" s="417">
        <f t="shared" si="76"/>
        <v>0</v>
      </c>
      <c r="X206" s="415" t="e">
        <f>SUM($W$4:W206)/COUNT($W$4:W206)</f>
        <v>#DIV/0!</v>
      </c>
      <c r="Z206" s="405"/>
    </row>
    <row r="207" spans="1:28">
      <c r="A207" s="403">
        <f t="shared" si="74"/>
        <v>205</v>
      </c>
      <c r="B207" s="422">
        <f t="shared" si="79"/>
        <v>39171</v>
      </c>
      <c r="D207" s="411">
        <v>33284</v>
      </c>
      <c r="E207" s="408">
        <f>D207+SUM(Holdings_Old!$E$32:$E$35)</f>
        <v>33284</v>
      </c>
      <c r="F207" s="408">
        <f t="shared" si="78"/>
        <v>317</v>
      </c>
      <c r="G207" s="409">
        <f t="shared" si="77"/>
        <v>9.6156762823429442E-3</v>
      </c>
      <c r="H207" s="408">
        <f t="shared" si="66"/>
        <v>10428.150000000001</v>
      </c>
      <c r="I207" s="409">
        <f t="shared" si="67"/>
        <v>0.45625736955746565</v>
      </c>
      <c r="L207" s="382">
        <v>1420.83</v>
      </c>
      <c r="M207" s="415">
        <f t="shared" si="80"/>
        <v>-1.0639853493116802E-2</v>
      </c>
      <c r="N207" s="415">
        <f t="shared" si="70"/>
        <v>0.52764278341648008</v>
      </c>
      <c r="O207" s="416" t="str">
        <f t="shared" si="71"/>
        <v>Yes</v>
      </c>
      <c r="P207" s="417">
        <f t="shared" si="75"/>
        <v>1</v>
      </c>
      <c r="Q207" s="415">
        <f>SUM($P$4:P207)/COUNT($P$4:P207)</f>
        <v>0.52941176470588236</v>
      </c>
      <c r="W207" s="417">
        <f t="shared" si="76"/>
        <v>0</v>
      </c>
      <c r="X207" s="415" t="e">
        <f>SUM($W$4:W207)/COUNT($W$4:W207)</f>
        <v>#DIV/0!</v>
      </c>
      <c r="Z207" s="405"/>
    </row>
    <row r="208" spans="1:28">
      <c r="A208" s="403">
        <f t="shared" si="74"/>
        <v>206</v>
      </c>
      <c r="B208" s="422">
        <f t="shared" si="79"/>
        <v>39178</v>
      </c>
      <c r="D208" s="411">
        <v>33285</v>
      </c>
      <c r="E208" s="408">
        <f>D208+SUM(Holdings_Old!$E$32:$E$35)</f>
        <v>33285</v>
      </c>
      <c r="F208" s="408">
        <f t="shared" si="78"/>
        <v>1</v>
      </c>
      <c r="G208" s="409">
        <f t="shared" si="77"/>
        <v>3.0044465809453413E-5</v>
      </c>
      <c r="H208" s="408">
        <f t="shared" si="66"/>
        <v>10429.150000000001</v>
      </c>
      <c r="I208" s="409">
        <f t="shared" si="67"/>
        <v>0.45630112203221507</v>
      </c>
      <c r="L208" s="382">
        <v>1443.77</v>
      </c>
      <c r="M208" s="415">
        <f t="shared" si="80"/>
        <v>1.6145492423442764E-2</v>
      </c>
      <c r="N208" s="415">
        <f t="shared" si="70"/>
        <v>0.55230732840185781</v>
      </c>
      <c r="O208" s="416" t="str">
        <f t="shared" si="71"/>
        <v>No</v>
      </c>
      <c r="P208" s="417">
        <f t="shared" si="75"/>
        <v>0</v>
      </c>
      <c r="Q208" s="415">
        <f>SUM($P$4:P208)/COUNT($P$4:P208)</f>
        <v>0.52682926829268295</v>
      </c>
      <c r="W208" s="417">
        <f t="shared" si="76"/>
        <v>0</v>
      </c>
      <c r="X208" s="415" t="e">
        <f>SUM($W$4:W208)/COUNT($W$4:W208)</f>
        <v>#DIV/0!</v>
      </c>
      <c r="Z208" s="405"/>
    </row>
    <row r="209" spans="1:26">
      <c r="A209" s="403">
        <f t="shared" si="74"/>
        <v>207</v>
      </c>
      <c r="B209" s="422">
        <f t="shared" si="79"/>
        <v>39185</v>
      </c>
      <c r="D209" s="411">
        <v>33286</v>
      </c>
      <c r="E209" s="408">
        <f>D209+SUM(Holdings_Old!$E$32:$E$35)</f>
        <v>33286</v>
      </c>
      <c r="F209" s="408">
        <f t="shared" si="78"/>
        <v>1</v>
      </c>
      <c r="G209" s="409">
        <f t="shared" si="77"/>
        <v>3.0043563166604059E-5</v>
      </c>
      <c r="H209" s="408">
        <f t="shared" si="66"/>
        <v>10430.150000000001</v>
      </c>
      <c r="I209" s="409">
        <f t="shared" si="67"/>
        <v>0.45634487450696448</v>
      </c>
      <c r="L209" s="382">
        <v>1452.84</v>
      </c>
      <c r="M209" s="415">
        <f t="shared" si="80"/>
        <v>6.2821640566017578E-3</v>
      </c>
      <c r="N209" s="415">
        <f t="shared" si="70"/>
        <v>0.56205917770514358</v>
      </c>
      <c r="O209" s="416" t="str">
        <f t="shared" si="71"/>
        <v>No</v>
      </c>
      <c r="P209" s="417">
        <f t="shared" si="75"/>
        <v>0</v>
      </c>
      <c r="Q209" s="415">
        <f>SUM($P$4:P209)/COUNT($P$4:P209)</f>
        <v>0.52427184466019416</v>
      </c>
      <c r="W209" s="417">
        <f t="shared" si="76"/>
        <v>0</v>
      </c>
      <c r="X209" s="415" t="e">
        <f>SUM($W$4:W209)/COUNT($W$4:W209)</f>
        <v>#DIV/0!</v>
      </c>
      <c r="Z209" s="405"/>
    </row>
    <row r="210" spans="1:26">
      <c r="A210" s="403">
        <f t="shared" si="74"/>
        <v>208</v>
      </c>
      <c r="B210" s="422">
        <f t="shared" si="79"/>
        <v>39192</v>
      </c>
      <c r="D210" s="411">
        <v>33287</v>
      </c>
      <c r="E210" s="408">
        <f>D210+SUM(Holdings_Old!$E$32:$E$35)</f>
        <v>33287</v>
      </c>
      <c r="F210" s="408">
        <f t="shared" si="78"/>
        <v>1</v>
      </c>
      <c r="G210" s="409">
        <f t="shared" si="77"/>
        <v>3.0042660577933589E-5</v>
      </c>
      <c r="H210" s="408">
        <f t="shared" si="66"/>
        <v>10431.150000000001</v>
      </c>
      <c r="I210" s="409">
        <f t="shared" si="67"/>
        <v>0.45638862698171367</v>
      </c>
      <c r="L210" s="382">
        <v>1484.33</v>
      </c>
      <c r="M210" s="415">
        <f t="shared" si="80"/>
        <v>2.1674788689738822E-2</v>
      </c>
      <c r="N210" s="415">
        <f t="shared" si="70"/>
        <v>0.59591648030276945</v>
      </c>
      <c r="O210" s="416" t="str">
        <f t="shared" si="71"/>
        <v>No</v>
      </c>
      <c r="P210" s="417">
        <f t="shared" si="75"/>
        <v>0</v>
      </c>
      <c r="Q210" s="415">
        <f>SUM($P$4:P210)/COUNT($P$4:P210)</f>
        <v>0.52173913043478259</v>
      </c>
      <c r="W210" s="417">
        <f t="shared" si="76"/>
        <v>0</v>
      </c>
      <c r="X210" s="415" t="e">
        <f>SUM($W$4:W210)/COUNT($W$4:W210)</f>
        <v>#DIV/0!</v>
      </c>
      <c r="Z210" s="405"/>
    </row>
    <row r="211" spans="1:26">
      <c r="A211" s="403">
        <f t="shared" si="74"/>
        <v>209</v>
      </c>
      <c r="B211" s="422">
        <f t="shared" si="79"/>
        <v>39199</v>
      </c>
      <c r="D211" s="411">
        <v>34908</v>
      </c>
      <c r="E211" s="408">
        <f>D211+SUM(Holdings_Old!$E$32:$E$35)</f>
        <v>34908</v>
      </c>
      <c r="F211" s="408">
        <f t="shared" si="78"/>
        <v>1621</v>
      </c>
      <c r="G211" s="409">
        <f t="shared" si="77"/>
        <v>4.8697689788806509E-2</v>
      </c>
      <c r="H211" s="408">
        <f t="shared" si="66"/>
        <v>12052.150000000001</v>
      </c>
      <c r="I211" s="409">
        <f t="shared" si="67"/>
        <v>0.52731138855041504</v>
      </c>
      <c r="L211" s="382">
        <v>1494.07</v>
      </c>
      <c r="M211" s="415">
        <f t="shared" si="80"/>
        <v>6.5618831391940358E-3</v>
      </c>
      <c r="N211" s="415">
        <f t="shared" si="70"/>
        <v>0.60638869774643034</v>
      </c>
      <c r="O211" s="416" t="str">
        <f t="shared" si="71"/>
        <v>Yes</v>
      </c>
      <c r="P211" s="417">
        <f t="shared" si="75"/>
        <v>1</v>
      </c>
      <c r="Q211" s="415">
        <f>SUM($P$4:P211)/COUNT($P$4:P211)</f>
        <v>0.52403846153846156</v>
      </c>
      <c r="W211" s="417">
        <f t="shared" si="76"/>
        <v>0</v>
      </c>
      <c r="X211" s="415" t="e">
        <f>SUM($W$4:W211)/COUNT($W$4:W211)</f>
        <v>#DIV/0!</v>
      </c>
      <c r="Z211" s="405"/>
    </row>
    <row r="212" spans="1:26">
      <c r="A212" s="403">
        <f t="shared" si="74"/>
        <v>210</v>
      </c>
      <c r="B212" s="422">
        <f t="shared" si="79"/>
        <v>39206</v>
      </c>
      <c r="D212" s="411">
        <v>34909</v>
      </c>
      <c r="E212" s="408">
        <f>D212+SUM(Holdings_Old!$E$32:$E$35)</f>
        <v>34909</v>
      </c>
      <c r="F212" s="408">
        <f t="shared" si="78"/>
        <v>1</v>
      </c>
      <c r="G212" s="409">
        <f t="shared" si="77"/>
        <v>2.8646728543524347E-5</v>
      </c>
      <c r="H212" s="408">
        <f t="shared" si="66"/>
        <v>12053.150000000001</v>
      </c>
      <c r="I212" s="409">
        <f t="shared" si="67"/>
        <v>0.52735514102516423</v>
      </c>
      <c r="L212" s="382">
        <v>1505.57</v>
      </c>
      <c r="M212" s="415">
        <f t="shared" si="80"/>
        <v>7.6970958522692978E-3</v>
      </c>
      <c r="N212" s="415">
        <f t="shared" si="70"/>
        <v>0.61875322552898671</v>
      </c>
      <c r="O212" s="416" t="str">
        <f t="shared" si="71"/>
        <v>No</v>
      </c>
      <c r="P212" s="417">
        <f t="shared" si="75"/>
        <v>0</v>
      </c>
      <c r="Q212" s="415">
        <f>SUM($P$4:P212)/COUNT($P$4:P212)</f>
        <v>0.52153110047846885</v>
      </c>
      <c r="W212" s="417">
        <f t="shared" si="76"/>
        <v>0</v>
      </c>
      <c r="X212" s="415" t="e">
        <f>SUM($W$4:W212)/COUNT($W$4:W212)</f>
        <v>#DIV/0!</v>
      </c>
      <c r="Z212" s="405"/>
    </row>
    <row r="213" spans="1:26">
      <c r="A213" s="403">
        <f t="shared" si="74"/>
        <v>211</v>
      </c>
      <c r="B213" s="422">
        <f t="shared" si="79"/>
        <v>39213</v>
      </c>
      <c r="D213" s="411">
        <v>34910</v>
      </c>
      <c r="E213" s="408">
        <f>D213+SUM(Holdings_Old!$E$32:$E$35)</f>
        <v>34910</v>
      </c>
      <c r="F213" s="408">
        <f t="shared" si="78"/>
        <v>1</v>
      </c>
      <c r="G213" s="409">
        <f t="shared" si="77"/>
        <v>2.8645907931945658E-5</v>
      </c>
      <c r="H213" s="408">
        <f t="shared" si="66"/>
        <v>12054.150000000001</v>
      </c>
      <c r="I213" s="409">
        <f t="shared" si="67"/>
        <v>0.52739889349991365</v>
      </c>
      <c r="L213" s="382">
        <v>1505.76</v>
      </c>
      <c r="M213" s="415">
        <f t="shared" si="80"/>
        <v>1.2619805123637029E-4</v>
      </c>
      <c r="N213" s="415">
        <f t="shared" si="70"/>
        <v>0.61895750903148117</v>
      </c>
      <c r="O213" s="416" t="str">
        <f t="shared" si="71"/>
        <v>No</v>
      </c>
      <c r="P213" s="417">
        <f t="shared" si="75"/>
        <v>0</v>
      </c>
      <c r="Q213" s="415">
        <f>SUM($P$4:P213)/COUNT($P$4:P213)</f>
        <v>0.51904761904761909</v>
      </c>
      <c r="W213" s="417">
        <f t="shared" si="76"/>
        <v>0</v>
      </c>
      <c r="X213" s="415" t="e">
        <f>SUM($W$4:W213)/COUNT($W$4:W213)</f>
        <v>#DIV/0!</v>
      </c>
      <c r="Z213" s="405"/>
    </row>
    <row r="214" spans="1:26">
      <c r="A214" s="403">
        <f t="shared" si="74"/>
        <v>212</v>
      </c>
      <c r="B214" s="422">
        <f t="shared" si="79"/>
        <v>39220</v>
      </c>
      <c r="D214" s="411">
        <v>34911</v>
      </c>
      <c r="E214" s="408">
        <f>D214+SUM(Holdings_Old!$E$32:$E$35)</f>
        <v>34911</v>
      </c>
      <c r="F214" s="408">
        <f t="shared" si="78"/>
        <v>1</v>
      </c>
      <c r="G214" s="409">
        <f t="shared" si="77"/>
        <v>2.8645087367440425E-5</v>
      </c>
      <c r="H214" s="408">
        <f t="shared" si="66"/>
        <v>12055.150000000001</v>
      </c>
      <c r="I214" s="409">
        <f t="shared" si="67"/>
        <v>0.52744264597466306</v>
      </c>
      <c r="L214" s="382">
        <v>1522.75</v>
      </c>
      <c r="M214" s="415">
        <f t="shared" si="80"/>
        <v>1.1283338646264962E-2</v>
      </c>
      <c r="N214" s="415">
        <f t="shared" si="70"/>
        <v>0.6372247548597969</v>
      </c>
      <c r="O214" s="416" t="str">
        <f t="shared" si="71"/>
        <v>No</v>
      </c>
      <c r="P214" s="417">
        <f t="shared" si="75"/>
        <v>0</v>
      </c>
      <c r="Q214" s="415">
        <f>SUM($P$4:P214)/COUNT($P$4:P214)</f>
        <v>0.51658767772511849</v>
      </c>
      <c r="W214" s="417">
        <f t="shared" si="76"/>
        <v>0</v>
      </c>
      <c r="X214" s="415" t="e">
        <f>SUM($W$4:W214)/COUNT($W$4:W214)</f>
        <v>#DIV/0!</v>
      </c>
      <c r="Z214" s="405"/>
    </row>
    <row r="215" spans="1:26">
      <c r="A215" s="403">
        <f t="shared" si="74"/>
        <v>213</v>
      </c>
      <c r="B215" s="422">
        <f t="shared" si="79"/>
        <v>39227</v>
      </c>
      <c r="D215" s="411">
        <f>36654-1000</f>
        <v>35654</v>
      </c>
      <c r="E215" s="408">
        <f>D215+SUM(Holdings_Old!$E$32:$E$35)</f>
        <v>35654</v>
      </c>
      <c r="F215" s="408">
        <f t="shared" si="78"/>
        <v>743</v>
      </c>
      <c r="G215" s="409">
        <f t="shared" si="77"/>
        <v>2.1282690269542659E-2</v>
      </c>
      <c r="H215" s="408">
        <f t="shared" si="66"/>
        <v>12798.150000000001</v>
      </c>
      <c r="I215" s="409">
        <f t="shared" si="67"/>
        <v>0.55995073471343226</v>
      </c>
      <c r="L215" s="382">
        <v>1515.55</v>
      </c>
      <c r="M215" s="415">
        <f t="shared" si="80"/>
        <v>-4.7282876374979965E-3</v>
      </c>
      <c r="N215" s="415">
        <f t="shared" si="70"/>
        <v>0.6294834852915876</v>
      </c>
      <c r="O215" s="416" t="str">
        <f t="shared" si="71"/>
        <v>Yes</v>
      </c>
      <c r="P215" s="417">
        <f t="shared" si="75"/>
        <v>1</v>
      </c>
      <c r="Q215" s="415">
        <f>SUM($P$4:P215)/COUNT($P$4:P215)</f>
        <v>0.51886792452830188</v>
      </c>
      <c r="W215" s="417">
        <f t="shared" si="76"/>
        <v>0</v>
      </c>
      <c r="X215" s="415" t="e">
        <f>SUM($W$4:W215)/COUNT($W$4:W215)</f>
        <v>#DIV/0!</v>
      </c>
      <c r="Z215" s="405"/>
    </row>
    <row r="216" spans="1:26">
      <c r="A216" s="403">
        <f t="shared" si="74"/>
        <v>214</v>
      </c>
      <c r="B216" s="422">
        <f t="shared" si="79"/>
        <v>39234</v>
      </c>
      <c r="D216" s="411">
        <f>36654-1000</f>
        <v>35654</v>
      </c>
      <c r="E216" s="408">
        <f>D216+SUM(Holdings_Old!$E$32:$E$35)</f>
        <v>35654</v>
      </c>
      <c r="F216" s="408">
        <f t="shared" si="78"/>
        <v>0</v>
      </c>
      <c r="G216" s="409">
        <f t="shared" si="77"/>
        <v>0</v>
      </c>
      <c r="H216" s="408">
        <f t="shared" si="66"/>
        <v>12798.150000000001</v>
      </c>
      <c r="I216" s="409">
        <f t="shared" si="67"/>
        <v>0.55995073471343226</v>
      </c>
      <c r="L216" s="382">
        <v>1536.28</v>
      </c>
      <c r="M216" s="415">
        <f t="shared" si="80"/>
        <v>1.3678202632707581E-2</v>
      </c>
      <c r="N216" s="415">
        <f t="shared" si="70"/>
        <v>0.65177189059005669</v>
      </c>
      <c r="O216" s="416" t="str">
        <f t="shared" si="71"/>
        <v>No</v>
      </c>
      <c r="P216" s="417">
        <f t="shared" si="75"/>
        <v>0</v>
      </c>
      <c r="Q216" s="415">
        <f>SUM($P$4:P216)/COUNT($P$4:P216)</f>
        <v>0.51643192488262912</v>
      </c>
      <c r="W216" s="417">
        <f t="shared" si="76"/>
        <v>0</v>
      </c>
      <c r="X216" s="415" t="e">
        <f>SUM($W$4:W216)/COUNT($W$4:W216)</f>
        <v>#DIV/0!</v>
      </c>
      <c r="Z216" s="405"/>
    </row>
    <row r="217" spans="1:26">
      <c r="A217" s="403">
        <f t="shared" si="74"/>
        <v>215</v>
      </c>
      <c r="B217" s="422">
        <f t="shared" si="79"/>
        <v>39241</v>
      </c>
      <c r="D217" s="411">
        <f>36654-1000</f>
        <v>35654</v>
      </c>
      <c r="E217" s="408">
        <f>D217+SUM(Holdings_Old!$E$32:$E$35)</f>
        <v>35654</v>
      </c>
      <c r="F217" s="408">
        <f t="shared" si="78"/>
        <v>0</v>
      </c>
      <c r="G217" s="409">
        <f t="shared" si="77"/>
        <v>0</v>
      </c>
      <c r="H217" s="408">
        <f t="shared" si="66"/>
        <v>12798.150000000001</v>
      </c>
      <c r="I217" s="409">
        <f t="shared" si="67"/>
        <v>0.55995073471343226</v>
      </c>
      <c r="L217" s="382">
        <v>1507.64</v>
      </c>
      <c r="M217" s="415">
        <f t="shared" si="80"/>
        <v>-1.8642434972791389E-2</v>
      </c>
      <c r="N217" s="415">
        <f t="shared" si="70"/>
        <v>0.62097884052984686</v>
      </c>
      <c r="O217" s="416" t="str">
        <f t="shared" si="71"/>
        <v>Yes</v>
      </c>
      <c r="P217" s="417">
        <f t="shared" si="75"/>
        <v>1</v>
      </c>
      <c r="Q217" s="415">
        <f>SUM($P$4:P217)/COUNT($P$4:P217)</f>
        <v>0.51869158878504673</v>
      </c>
      <c r="W217" s="417">
        <f t="shared" si="76"/>
        <v>0</v>
      </c>
      <c r="X217" s="415" t="e">
        <f>SUM($W$4:W217)/COUNT($W$4:W217)</f>
        <v>#DIV/0!</v>
      </c>
      <c r="Z217" s="405"/>
    </row>
    <row r="218" spans="1:26">
      <c r="A218" s="403">
        <f t="shared" si="74"/>
        <v>216</v>
      </c>
      <c r="B218" s="422">
        <f t="shared" si="79"/>
        <v>39248</v>
      </c>
      <c r="D218" s="411">
        <f>36654-1000</f>
        <v>35654</v>
      </c>
      <c r="E218" s="408">
        <f>D218+SUM(Holdings_Old!$E$32:$E$35)</f>
        <v>35654</v>
      </c>
      <c r="F218" s="408">
        <f t="shared" si="78"/>
        <v>0</v>
      </c>
      <c r="G218" s="409">
        <f t="shared" si="77"/>
        <v>0</v>
      </c>
      <c r="H218" s="408">
        <f t="shared" si="66"/>
        <v>12798.150000000001</v>
      </c>
      <c r="I218" s="409">
        <f t="shared" si="67"/>
        <v>0.55995073471343226</v>
      </c>
      <c r="L218" s="382">
        <v>1532.9</v>
      </c>
      <c r="M218" s="415">
        <f t="shared" si="80"/>
        <v>1.6754662916876661E-2</v>
      </c>
      <c r="N218" s="415">
        <f t="shared" si="70"/>
        <v>0.64813779459831422</v>
      </c>
      <c r="O218" s="416" t="str">
        <f t="shared" si="71"/>
        <v>No</v>
      </c>
      <c r="P218" s="417">
        <f t="shared" si="75"/>
        <v>0</v>
      </c>
      <c r="Q218" s="415">
        <f>SUM($P$4:P218)/COUNT($P$4:P218)</f>
        <v>0.51627906976744187</v>
      </c>
      <c r="W218" s="417">
        <f t="shared" si="76"/>
        <v>0</v>
      </c>
      <c r="X218" s="415" t="e">
        <f>SUM($W$4:W218)/COUNT($W$4:W218)</f>
        <v>#DIV/0!</v>
      </c>
      <c r="Z218" s="405"/>
    </row>
    <row r="219" spans="1:26">
      <c r="A219" s="403">
        <f t="shared" si="74"/>
        <v>217</v>
      </c>
      <c r="B219" s="422">
        <f t="shared" si="79"/>
        <v>39255</v>
      </c>
      <c r="D219" s="411">
        <f>36654-1000</f>
        <v>35654</v>
      </c>
      <c r="E219" s="408">
        <f>D219+SUM(Holdings_Old!$E$32:$E$35)</f>
        <v>35654</v>
      </c>
      <c r="F219" s="408">
        <f t="shared" si="78"/>
        <v>0</v>
      </c>
      <c r="G219" s="409">
        <f t="shared" si="77"/>
        <v>0</v>
      </c>
      <c r="H219" s="408">
        <f t="shared" si="66"/>
        <v>12798.150000000001</v>
      </c>
      <c r="I219" s="409">
        <f t="shared" si="67"/>
        <v>0.55995073471343226</v>
      </c>
      <c r="L219" s="382">
        <v>1502.56</v>
      </c>
      <c r="M219" s="415">
        <f t="shared" si="80"/>
        <v>-1.9792550068497672E-2</v>
      </c>
      <c r="N219" s="415">
        <f t="shared" si="70"/>
        <v>0.6155169447789437</v>
      </c>
      <c r="O219" s="416" t="str">
        <f t="shared" si="71"/>
        <v>Yes</v>
      </c>
      <c r="P219" s="417">
        <f t="shared" si="75"/>
        <v>1</v>
      </c>
      <c r="Q219" s="415">
        <f>SUM($P$4:P219)/COUNT($P$4:P219)</f>
        <v>0.51851851851851849</v>
      </c>
      <c r="W219" s="417">
        <f t="shared" si="76"/>
        <v>0</v>
      </c>
      <c r="X219" s="415" t="e">
        <f>SUM($W$4:W219)/COUNT($W$4:W219)</f>
        <v>#DIV/0!</v>
      </c>
      <c r="Z219" s="405"/>
    </row>
    <row r="220" spans="1:26">
      <c r="A220" s="403">
        <f t="shared" si="74"/>
        <v>218</v>
      </c>
      <c r="B220" s="422">
        <f t="shared" si="79"/>
        <v>39262</v>
      </c>
      <c r="D220" s="411">
        <v>36359</v>
      </c>
      <c r="E220" s="408">
        <f>D220+SUM(Holdings_Old!$E$32:$E$35)</f>
        <v>36359</v>
      </c>
      <c r="F220" s="408">
        <f t="shared" si="78"/>
        <v>705</v>
      </c>
      <c r="G220" s="409">
        <f t="shared" si="77"/>
        <v>1.9773377461154373E-2</v>
      </c>
      <c r="H220" s="408">
        <f t="shared" si="66"/>
        <v>13503.150000000001</v>
      </c>
      <c r="I220" s="409">
        <f t="shared" si="67"/>
        <v>0.59079622941172616</v>
      </c>
      <c r="L220" s="382">
        <v>1504.66</v>
      </c>
      <c r="M220" s="415">
        <f t="shared" si="80"/>
        <v>1.397614737514763E-3</v>
      </c>
      <c r="N220" s="415">
        <f t="shared" si="70"/>
        <v>0.61777481506967136</v>
      </c>
      <c r="O220" s="416" t="str">
        <f t="shared" si="71"/>
        <v>Yes</v>
      </c>
      <c r="P220" s="417">
        <f t="shared" si="75"/>
        <v>1</v>
      </c>
      <c r="Q220" s="415">
        <f>SUM($P$4:P220)/COUNT($P$4:P220)</f>
        <v>0.52073732718894006</v>
      </c>
      <c r="W220" s="417">
        <f t="shared" si="76"/>
        <v>0</v>
      </c>
      <c r="X220" s="415" t="e">
        <f>SUM($W$4:W220)/COUNT($W$4:W220)</f>
        <v>#DIV/0!</v>
      </c>
      <c r="Z220" s="405"/>
    </row>
    <row r="221" spans="1:26">
      <c r="A221" s="403">
        <f t="shared" si="74"/>
        <v>219</v>
      </c>
      <c r="B221" s="422">
        <f t="shared" si="79"/>
        <v>39269</v>
      </c>
      <c r="D221" s="411">
        <v>36360</v>
      </c>
      <c r="E221" s="408">
        <f>D221+SUM(Holdings_Old!$E$32:$E$35)</f>
        <v>36360</v>
      </c>
      <c r="F221" s="408">
        <f t="shared" si="78"/>
        <v>1</v>
      </c>
      <c r="G221" s="409">
        <f t="shared" si="77"/>
        <v>2.7503506697001967E-5</v>
      </c>
      <c r="H221" s="408">
        <f t="shared" si="66"/>
        <v>13504.150000000001</v>
      </c>
      <c r="I221" s="409">
        <f t="shared" si="67"/>
        <v>0.59083998188647557</v>
      </c>
      <c r="L221" s="382">
        <v>1530.43</v>
      </c>
      <c r="M221" s="415">
        <f t="shared" si="80"/>
        <v>1.7126792763813681E-2</v>
      </c>
      <c r="N221" s="415">
        <f t="shared" si="70"/>
        <v>0.64548210906588688</v>
      </c>
      <c r="O221" s="416" t="str">
        <f t="shared" si="71"/>
        <v>No</v>
      </c>
      <c r="P221" s="417">
        <f t="shared" si="75"/>
        <v>0</v>
      </c>
      <c r="Q221" s="415">
        <f>SUM($P$4:P221)/COUNT($P$4:P221)</f>
        <v>0.51834862385321101</v>
      </c>
      <c r="W221" s="417">
        <f t="shared" si="76"/>
        <v>0</v>
      </c>
      <c r="X221" s="415" t="e">
        <f>SUM($W$4:W221)/COUNT($W$4:W221)</f>
        <v>#DIV/0!</v>
      </c>
      <c r="Z221" s="405"/>
    </row>
    <row r="222" spans="1:26">
      <c r="A222" s="403">
        <f t="shared" si="74"/>
        <v>220</v>
      </c>
      <c r="B222" s="422">
        <f t="shared" si="79"/>
        <v>39276</v>
      </c>
      <c r="D222" s="411">
        <v>36361</v>
      </c>
      <c r="E222" s="408">
        <f>D222+SUM(Holdings_Old!$E$32:$E$35)</f>
        <v>36361</v>
      </c>
      <c r="F222" s="408">
        <f t="shared" si="78"/>
        <v>1</v>
      </c>
      <c r="G222" s="409">
        <f t="shared" si="77"/>
        <v>2.7502750274965848E-5</v>
      </c>
      <c r="H222" s="408">
        <f t="shared" si="66"/>
        <v>13505.150000000001</v>
      </c>
      <c r="I222" s="409">
        <f t="shared" si="67"/>
        <v>0.59088373436122499</v>
      </c>
      <c r="L222" s="382">
        <v>1552.5</v>
      </c>
      <c r="M222" s="415">
        <f t="shared" si="80"/>
        <v>1.4420783701312612E-2</v>
      </c>
      <c r="N222" s="415">
        <f t="shared" si="70"/>
        <v>0.66921125064510578</v>
      </c>
      <c r="O222" s="416" t="str">
        <f t="shared" si="71"/>
        <v>No</v>
      </c>
      <c r="P222" s="417">
        <f t="shared" si="75"/>
        <v>0</v>
      </c>
      <c r="Q222" s="415">
        <f>SUM($P$4:P222)/COUNT($P$4:P222)</f>
        <v>0.51598173515981738</v>
      </c>
      <c r="W222" s="417">
        <f t="shared" si="76"/>
        <v>0</v>
      </c>
      <c r="X222" s="415" t="e">
        <f>SUM($W$4:W222)/COUNT($W$4:W222)</f>
        <v>#DIV/0!</v>
      </c>
      <c r="Z222" s="405"/>
    </row>
    <row r="223" spans="1:26">
      <c r="A223" s="403">
        <f t="shared" si="74"/>
        <v>221</v>
      </c>
      <c r="B223" s="422">
        <f t="shared" si="79"/>
        <v>39283</v>
      </c>
      <c r="D223" s="411">
        <v>36362</v>
      </c>
      <c r="E223" s="408">
        <f>D223+SUM(Holdings_Old!$E$32:$E$35)</f>
        <v>36362</v>
      </c>
      <c r="F223" s="408">
        <f t="shared" si="78"/>
        <v>1</v>
      </c>
      <c r="G223" s="409">
        <f t="shared" si="77"/>
        <v>2.750199389445207E-5</v>
      </c>
      <c r="H223" s="408">
        <f t="shared" si="66"/>
        <v>13506.150000000001</v>
      </c>
      <c r="I223" s="409">
        <f t="shared" si="67"/>
        <v>0.59092748683597418</v>
      </c>
      <c r="L223" s="382">
        <v>1534.06</v>
      </c>
      <c r="M223" s="415">
        <f t="shared" si="80"/>
        <v>-1.1877616747182018E-2</v>
      </c>
      <c r="N223" s="415">
        <f t="shared" si="70"/>
        <v>0.64938499913985881</v>
      </c>
      <c r="O223" s="416" t="str">
        <f t="shared" si="71"/>
        <v>Yes</v>
      </c>
      <c r="P223" s="417">
        <f t="shared" si="75"/>
        <v>1</v>
      </c>
      <c r="Q223" s="415">
        <f>SUM($P$4:P223)/COUNT($P$4:P223)</f>
        <v>0.51818181818181819</v>
      </c>
      <c r="W223" s="417">
        <f t="shared" si="76"/>
        <v>0</v>
      </c>
      <c r="X223" s="415" t="e">
        <f>SUM($W$4:W223)/COUNT($W$4:W223)</f>
        <v>#DIV/0!</v>
      </c>
      <c r="Z223" s="405"/>
    </row>
    <row r="224" spans="1:26">
      <c r="A224" s="403">
        <f t="shared" si="74"/>
        <v>222</v>
      </c>
      <c r="B224" s="422">
        <f t="shared" si="79"/>
        <v>39290</v>
      </c>
      <c r="D224" s="411">
        <v>36576</v>
      </c>
      <c r="E224" s="408">
        <f>D224+SUM(Holdings_Old!$E$32:$E$35)</f>
        <v>36576</v>
      </c>
      <c r="F224" s="408">
        <f t="shared" si="78"/>
        <v>214</v>
      </c>
      <c r="G224" s="409">
        <f t="shared" si="77"/>
        <v>5.8852648369176475E-3</v>
      </c>
      <c r="H224" s="408">
        <f t="shared" si="66"/>
        <v>13720.150000000001</v>
      </c>
      <c r="I224" s="409">
        <f t="shared" si="67"/>
        <v>0.60029051643233577</v>
      </c>
      <c r="L224" s="382">
        <v>1458.93</v>
      </c>
      <c r="M224" s="415">
        <f t="shared" si="80"/>
        <v>-4.8974616377455815E-2</v>
      </c>
      <c r="N224" s="415">
        <f t="shared" si="70"/>
        <v>0.56860700154825383</v>
      </c>
      <c r="O224" s="416" t="str">
        <f t="shared" si="71"/>
        <v>Yes</v>
      </c>
      <c r="P224" s="417">
        <f t="shared" si="75"/>
        <v>1</v>
      </c>
      <c r="Q224" s="415">
        <f>SUM($P$4:P224)/COUNT($P$4:P224)</f>
        <v>0.52036199095022628</v>
      </c>
      <c r="W224" s="417">
        <f t="shared" si="76"/>
        <v>0</v>
      </c>
      <c r="X224" s="415" t="e">
        <f>SUM($W$4:W224)/COUNT($W$4:W224)</f>
        <v>#DIV/0!</v>
      </c>
      <c r="Z224" s="405"/>
    </row>
    <row r="225" spans="1:26">
      <c r="A225" s="403">
        <f t="shared" si="74"/>
        <v>223</v>
      </c>
      <c r="B225" s="422">
        <f t="shared" si="79"/>
        <v>39297</v>
      </c>
      <c r="D225" s="411">
        <v>36577</v>
      </c>
      <c r="E225" s="408">
        <f>D225+SUM(Holdings_Old!$E$32:$E$35)</f>
        <v>36577</v>
      </c>
      <c r="F225" s="408">
        <f t="shared" si="78"/>
        <v>1</v>
      </c>
      <c r="G225" s="409">
        <f t="shared" si="77"/>
        <v>2.7340332458436478E-5</v>
      </c>
      <c r="H225" s="408">
        <f t="shared" si="66"/>
        <v>13721.150000000001</v>
      </c>
      <c r="I225" s="409">
        <f t="shared" si="67"/>
        <v>0.60033426890708519</v>
      </c>
      <c r="L225" s="382">
        <v>1433.04</v>
      </c>
      <c r="M225" s="415">
        <f t="shared" si="80"/>
        <v>-1.7745882256174128E-2</v>
      </c>
      <c r="N225" s="415">
        <f t="shared" si="70"/>
        <v>0.54077068639256831</v>
      </c>
      <c r="O225" s="416" t="str">
        <f t="shared" si="71"/>
        <v>Yes</v>
      </c>
      <c r="P225" s="417">
        <f t="shared" si="75"/>
        <v>1</v>
      </c>
      <c r="Q225" s="415">
        <f>SUM($P$4:P225)/COUNT($P$4:P225)</f>
        <v>0.52252252252252251</v>
      </c>
      <c r="W225" s="417">
        <f t="shared" si="76"/>
        <v>0</v>
      </c>
      <c r="X225" s="415" t="e">
        <f>SUM($W$4:W225)/COUNT($W$4:W225)</f>
        <v>#DIV/0!</v>
      </c>
      <c r="Z225" s="405"/>
    </row>
    <row r="226" spans="1:26">
      <c r="A226" s="403">
        <f t="shared" si="74"/>
        <v>224</v>
      </c>
      <c r="B226" s="422">
        <f t="shared" si="79"/>
        <v>39304</v>
      </c>
      <c r="D226" s="411">
        <v>36578</v>
      </c>
      <c r="E226" s="408">
        <f>D226+SUM(Holdings_Old!$E$32:$E$35)</f>
        <v>36578</v>
      </c>
      <c r="F226" s="408">
        <f t="shared" si="78"/>
        <v>1</v>
      </c>
      <c r="G226" s="409">
        <f t="shared" si="77"/>
        <v>2.7339584985019982E-5</v>
      </c>
      <c r="H226" s="408">
        <f t="shared" si="66"/>
        <v>13722.150000000001</v>
      </c>
      <c r="I226" s="409">
        <f t="shared" si="67"/>
        <v>0.6003780213818346</v>
      </c>
      <c r="L226" s="382">
        <v>1453.42</v>
      </c>
      <c r="M226" s="415">
        <f t="shared" si="80"/>
        <v>1.422151510076497E-2</v>
      </c>
      <c r="N226" s="415">
        <f t="shared" si="70"/>
        <v>0.56268277997591598</v>
      </c>
      <c r="O226" s="416" t="str">
        <f t="shared" si="71"/>
        <v>No</v>
      </c>
      <c r="P226" s="417">
        <f t="shared" si="75"/>
        <v>0</v>
      </c>
      <c r="Q226" s="415">
        <f>SUM($P$4:P226)/COUNT($P$4:P226)</f>
        <v>0.52017937219730936</v>
      </c>
      <c r="W226" s="417">
        <f t="shared" si="76"/>
        <v>0</v>
      </c>
      <c r="X226" s="415" t="e">
        <f>SUM($W$4:W226)/COUNT($W$4:W226)</f>
        <v>#DIV/0!</v>
      </c>
      <c r="Z226" s="405"/>
    </row>
    <row r="227" spans="1:26">
      <c r="A227" s="403">
        <f t="shared" si="74"/>
        <v>225</v>
      </c>
      <c r="B227" s="422">
        <f t="shared" si="79"/>
        <v>39311</v>
      </c>
      <c r="D227" s="411">
        <v>36579</v>
      </c>
      <c r="E227" s="408">
        <f>D227+SUM(Holdings_Old!$E$32:$E$35)</f>
        <v>36579</v>
      </c>
      <c r="F227" s="408">
        <f t="shared" si="78"/>
        <v>1</v>
      </c>
      <c r="G227" s="409">
        <f t="shared" si="77"/>
        <v>2.7338837552681738E-5</v>
      </c>
      <c r="H227" s="408">
        <f t="shared" si="66"/>
        <v>13723.150000000001</v>
      </c>
      <c r="I227" s="409">
        <f t="shared" si="67"/>
        <v>0.6004217738565838</v>
      </c>
      <c r="L227" s="382">
        <v>1445.94</v>
      </c>
      <c r="M227" s="415">
        <f t="shared" si="80"/>
        <v>-5.1464820905176012E-3</v>
      </c>
      <c r="N227" s="415">
        <f t="shared" si="70"/>
        <v>0.55464046103560993</v>
      </c>
      <c r="O227" s="416" t="str">
        <f t="shared" si="71"/>
        <v>Yes</v>
      </c>
      <c r="P227" s="417">
        <f t="shared" si="75"/>
        <v>1</v>
      </c>
      <c r="Q227" s="415">
        <f>SUM($P$4:P227)/COUNT($P$4:P227)</f>
        <v>0.5223214285714286</v>
      </c>
      <c r="W227" s="417">
        <f t="shared" si="76"/>
        <v>0</v>
      </c>
      <c r="X227" s="415" t="e">
        <f>SUM($W$4:W227)/COUNT($W$4:W227)</f>
        <v>#DIV/0!</v>
      </c>
      <c r="Z227" s="405"/>
    </row>
    <row r="228" spans="1:26">
      <c r="A228" s="403">
        <f t="shared" si="74"/>
        <v>226</v>
      </c>
      <c r="B228" s="422">
        <f t="shared" si="79"/>
        <v>39318</v>
      </c>
      <c r="D228" s="411">
        <v>36580</v>
      </c>
      <c r="E228" s="408">
        <f>D228+SUM(Holdings_Old!$E$32:$E$35)</f>
        <v>36580</v>
      </c>
      <c r="F228" s="408">
        <f t="shared" si="78"/>
        <v>1</v>
      </c>
      <c r="G228" s="409">
        <f t="shared" si="77"/>
        <v>2.7338090160977657E-5</v>
      </c>
      <c r="H228" s="408">
        <f t="shared" si="66"/>
        <v>13724.150000000001</v>
      </c>
      <c r="I228" s="409">
        <f t="shared" si="67"/>
        <v>0.60046552633133321</v>
      </c>
      <c r="L228" s="382">
        <v>1479.36</v>
      </c>
      <c r="M228" s="415">
        <f t="shared" si="80"/>
        <v>2.3112992240341912E-2</v>
      </c>
      <c r="N228" s="415">
        <f t="shared" si="70"/>
        <v>0.59057285394804726</v>
      </c>
      <c r="O228" s="416" t="str">
        <f t="shared" si="71"/>
        <v>No</v>
      </c>
      <c r="P228" s="417">
        <f t="shared" si="75"/>
        <v>0</v>
      </c>
      <c r="Q228" s="415">
        <f>SUM($P$4:P228)/COUNT($P$4:P228)</f>
        <v>0.52</v>
      </c>
      <c r="W228" s="417">
        <f t="shared" si="76"/>
        <v>0</v>
      </c>
      <c r="X228" s="415" t="e">
        <f>SUM($W$4:W228)/COUNT($W$4:W228)</f>
        <v>#DIV/0!</v>
      </c>
      <c r="Z228" s="405"/>
    </row>
    <row r="229" spans="1:26">
      <c r="A229" s="403">
        <f t="shared" si="74"/>
        <v>227</v>
      </c>
      <c r="B229" s="422">
        <f t="shared" si="79"/>
        <v>39325</v>
      </c>
      <c r="D229" s="411">
        <v>37382</v>
      </c>
      <c r="E229" s="408">
        <f>D229+SUM(Holdings_Old!$E$32:$E$35)</f>
        <v>37382</v>
      </c>
      <c r="F229" s="408">
        <f t="shared" si="78"/>
        <v>802</v>
      </c>
      <c r="G229" s="409">
        <f t="shared" si="77"/>
        <v>2.1924548933843546E-2</v>
      </c>
      <c r="H229" s="408">
        <f t="shared" si="66"/>
        <v>14526.150000000001</v>
      </c>
      <c r="I229" s="409">
        <f t="shared" si="67"/>
        <v>0.63555501108031431</v>
      </c>
      <c r="L229" s="382">
        <v>1473.96</v>
      </c>
      <c r="M229" s="415">
        <f t="shared" si="80"/>
        <v>-3.6502271252432106E-3</v>
      </c>
      <c r="N229" s="415">
        <f t="shared" si="70"/>
        <v>0.58476690177189061</v>
      </c>
      <c r="O229" s="416" t="str">
        <f t="shared" si="71"/>
        <v>Yes</v>
      </c>
      <c r="P229" s="417">
        <f t="shared" si="75"/>
        <v>1</v>
      </c>
      <c r="Q229" s="415">
        <f>SUM($P$4:P229)/COUNT($P$4:P229)</f>
        <v>0.52212389380530977</v>
      </c>
      <c r="W229" s="417">
        <f t="shared" si="76"/>
        <v>0</v>
      </c>
      <c r="X229" s="415" t="e">
        <f>SUM($W$4:W229)/COUNT($W$4:W229)</f>
        <v>#DIV/0!</v>
      </c>
      <c r="Z229" s="405"/>
    </row>
    <row r="230" spans="1:26">
      <c r="A230" s="403">
        <f t="shared" si="74"/>
        <v>228</v>
      </c>
      <c r="B230" s="422">
        <f t="shared" si="79"/>
        <v>39332</v>
      </c>
      <c r="D230" s="411">
        <v>37383</v>
      </c>
      <c r="E230" s="408">
        <f>D230+SUM(Holdings_Old!$E$32:$E$35)</f>
        <v>37383</v>
      </c>
      <c r="F230" s="408">
        <f t="shared" si="78"/>
        <v>1</v>
      </c>
      <c r="G230" s="409">
        <f t="shared" si="77"/>
        <v>2.6750842651468432E-5</v>
      </c>
      <c r="H230" s="408">
        <f t="shared" si="66"/>
        <v>14527.150000000001</v>
      </c>
      <c r="I230" s="409">
        <f t="shared" si="67"/>
        <v>0.63559876355506373</v>
      </c>
      <c r="L230" s="382">
        <v>1453.5</v>
      </c>
      <c r="M230" s="415">
        <f t="shared" si="80"/>
        <v>-1.3880973703492616E-2</v>
      </c>
      <c r="N230" s="415">
        <f t="shared" si="70"/>
        <v>0.56276879408222946</v>
      </c>
      <c r="O230" s="416" t="str">
        <f t="shared" si="71"/>
        <v>Yes</v>
      </c>
      <c r="P230" s="417">
        <f t="shared" si="75"/>
        <v>1</v>
      </c>
      <c r="Q230" s="415">
        <f>SUM($P$4:P230)/COUNT($P$4:P230)</f>
        <v>0.52422907488986781</v>
      </c>
      <c r="W230" s="417">
        <f t="shared" si="76"/>
        <v>0</v>
      </c>
      <c r="X230" s="415" t="e">
        <f>SUM($W$4:W230)/COUNT($W$4:W230)</f>
        <v>#DIV/0!</v>
      </c>
      <c r="Z230" s="405"/>
    </row>
    <row r="231" spans="1:26">
      <c r="A231" s="403">
        <f t="shared" si="74"/>
        <v>229</v>
      </c>
      <c r="B231" s="422">
        <f t="shared" si="79"/>
        <v>39339</v>
      </c>
      <c r="D231" s="411">
        <v>37384</v>
      </c>
      <c r="E231" s="408">
        <f>D231+SUM(Holdings_Old!$E$32:$E$35)</f>
        <v>37384</v>
      </c>
      <c r="F231" s="408">
        <f t="shared" si="78"/>
        <v>1</v>
      </c>
      <c r="G231" s="409">
        <f t="shared" si="77"/>
        <v>2.6750127063213114E-5</v>
      </c>
      <c r="H231" s="408">
        <f t="shared" si="66"/>
        <v>14528.150000000001</v>
      </c>
      <c r="I231" s="409">
        <f t="shared" si="67"/>
        <v>0.63564251602981314</v>
      </c>
      <c r="L231" s="382">
        <v>1484.24</v>
      </c>
      <c r="M231" s="415">
        <f t="shared" si="80"/>
        <v>2.1148950808393518E-2</v>
      </c>
      <c r="N231" s="415">
        <f t="shared" si="70"/>
        <v>0.59581971443316695</v>
      </c>
      <c r="O231" s="416" t="str">
        <f t="shared" si="71"/>
        <v>No</v>
      </c>
      <c r="P231" s="417">
        <f t="shared" si="75"/>
        <v>0</v>
      </c>
      <c r="Q231" s="415">
        <f>SUM($P$4:P231)/COUNT($P$4:P231)</f>
        <v>0.52192982456140347</v>
      </c>
      <c r="W231" s="417">
        <f t="shared" si="76"/>
        <v>0</v>
      </c>
      <c r="X231" s="415" t="e">
        <f>SUM($W$4:W231)/COUNT($W$4:W231)</f>
        <v>#DIV/0!</v>
      </c>
      <c r="Z231" s="405"/>
    </row>
    <row r="232" spans="1:26">
      <c r="A232" s="403">
        <f t="shared" si="74"/>
        <v>230</v>
      </c>
      <c r="B232" s="422">
        <f t="shared" si="79"/>
        <v>39346</v>
      </c>
      <c r="D232" s="411">
        <v>37385</v>
      </c>
      <c r="E232" s="408">
        <f>D232+SUM(Holdings_Old!$E$32:$E$35)</f>
        <v>37385</v>
      </c>
      <c r="F232" s="408">
        <f t="shared" si="78"/>
        <v>1</v>
      </c>
      <c r="G232" s="409">
        <f t="shared" si="77"/>
        <v>2.6749411512927423E-5</v>
      </c>
      <c r="H232" s="408">
        <f t="shared" si="66"/>
        <v>14529.150000000001</v>
      </c>
      <c r="I232" s="409">
        <f t="shared" si="67"/>
        <v>0.63568626850456234</v>
      </c>
      <c r="L232" s="382">
        <v>1525.75</v>
      </c>
      <c r="M232" s="415">
        <f t="shared" si="80"/>
        <v>2.7967175119926635E-2</v>
      </c>
      <c r="N232" s="415">
        <f t="shared" si="70"/>
        <v>0.64045028384655067</v>
      </c>
      <c r="O232" s="416" t="str">
        <f t="shared" si="71"/>
        <v>No</v>
      </c>
      <c r="P232" s="417">
        <f t="shared" si="75"/>
        <v>0</v>
      </c>
      <c r="Q232" s="415">
        <f>SUM($P$4:P232)/COUNT($P$4:P232)</f>
        <v>0.51965065502183405</v>
      </c>
      <c r="W232" s="417">
        <f t="shared" si="76"/>
        <v>0</v>
      </c>
      <c r="X232" s="415" t="e">
        <f>SUM($W$4:W232)/COUNT($W$4:W232)</f>
        <v>#DIV/0!</v>
      </c>
      <c r="Z232" s="405"/>
    </row>
    <row r="233" spans="1:26">
      <c r="A233" s="403">
        <f t="shared" si="74"/>
        <v>231</v>
      </c>
      <c r="B233" s="422">
        <f t="shared" si="79"/>
        <v>39353</v>
      </c>
      <c r="D233" s="411">
        <v>39566</v>
      </c>
      <c r="E233" s="408">
        <f>D233+SUM(Holdings_Old!$E$32:$E$35)</f>
        <v>39566</v>
      </c>
      <c r="F233" s="408">
        <f t="shared" si="78"/>
        <v>2181</v>
      </c>
      <c r="G233" s="409">
        <f t="shared" si="77"/>
        <v>5.8338905978333466E-2</v>
      </c>
      <c r="H233" s="408">
        <f t="shared" ref="H233:H296" si="81">E233-$D$3</f>
        <v>16710.150000000001</v>
      </c>
      <c r="I233" s="409">
        <f t="shared" ref="I233:I296" si="82">(E233/$D$3)-1</f>
        <v>0.73111041593290138</v>
      </c>
      <c r="L233" s="382">
        <v>1527.29</v>
      </c>
      <c r="M233" s="415">
        <f t="shared" si="80"/>
        <v>1.0093396690151746E-3</v>
      </c>
      <c r="N233" s="415">
        <f t="shared" si="70"/>
        <v>0.64210605539308441</v>
      </c>
      <c r="O233" s="416" t="str">
        <f t="shared" si="71"/>
        <v>Yes</v>
      </c>
      <c r="P233" s="417">
        <f t="shared" si="75"/>
        <v>1</v>
      </c>
      <c r="Q233" s="415">
        <f>SUM($P$4:P233)/COUNT($P$4:P233)</f>
        <v>0.52173913043478259</v>
      </c>
      <c r="W233" s="417">
        <f t="shared" si="76"/>
        <v>0</v>
      </c>
      <c r="X233" s="415" t="e">
        <f>SUM($W$4:W233)/COUNT($W$4:W233)</f>
        <v>#DIV/0!</v>
      </c>
      <c r="Z233" s="405"/>
    </row>
    <row r="234" spans="1:26">
      <c r="A234" s="403">
        <f t="shared" si="74"/>
        <v>232</v>
      </c>
      <c r="B234" s="422">
        <f t="shared" si="79"/>
        <v>39360</v>
      </c>
      <c r="D234" s="411">
        <v>39567</v>
      </c>
      <c r="E234" s="408">
        <f>D234+SUM(Holdings_Old!$E$32:$E$35)</f>
        <v>39567</v>
      </c>
      <c r="F234" s="408">
        <f t="shared" ref="F234:F237" si="83">E234-E233</f>
        <v>1</v>
      </c>
      <c r="G234" s="409">
        <f t="shared" si="77"/>
        <v>2.527422534503998E-5</v>
      </c>
      <c r="H234" s="408">
        <f t="shared" si="81"/>
        <v>16711.150000000001</v>
      </c>
      <c r="I234" s="409">
        <f t="shared" si="82"/>
        <v>0.73115416840765057</v>
      </c>
      <c r="L234" s="382">
        <v>1556.51</v>
      </c>
      <c r="M234" s="415">
        <f t="shared" si="80"/>
        <v>1.913192648416473E-2</v>
      </c>
      <c r="N234" s="415">
        <f t="shared" si="70"/>
        <v>0.67352270772406664</v>
      </c>
      <c r="O234" s="416" t="str">
        <f t="shared" si="71"/>
        <v>No</v>
      </c>
      <c r="P234" s="417">
        <f t="shared" si="75"/>
        <v>0</v>
      </c>
      <c r="Q234" s="415">
        <f>SUM($P$4:P234)/COUNT($P$4:P234)</f>
        <v>0.51948051948051943</v>
      </c>
      <c r="W234" s="417">
        <f t="shared" si="76"/>
        <v>0</v>
      </c>
      <c r="X234" s="415" t="e">
        <f>SUM($W$4:W234)/COUNT($W$4:W234)</f>
        <v>#DIV/0!</v>
      </c>
      <c r="Z234" s="405"/>
    </row>
    <row r="235" spans="1:26">
      <c r="A235" s="403">
        <f t="shared" si="74"/>
        <v>233</v>
      </c>
      <c r="B235" s="422">
        <f t="shared" si="79"/>
        <v>39367</v>
      </c>
      <c r="D235" s="411">
        <v>39568</v>
      </c>
      <c r="E235" s="408">
        <f>D235+SUM(Holdings_Old!$E$32:$E$35)</f>
        <v>39568</v>
      </c>
      <c r="F235" s="408">
        <f t="shared" si="83"/>
        <v>1</v>
      </c>
      <c r="G235" s="409">
        <f t="shared" si="77"/>
        <v>2.5273586574670048E-5</v>
      </c>
      <c r="H235" s="408">
        <f t="shared" si="81"/>
        <v>16712.150000000001</v>
      </c>
      <c r="I235" s="409">
        <f t="shared" si="82"/>
        <v>0.73119792088239999</v>
      </c>
      <c r="L235" s="382">
        <v>1562.25</v>
      </c>
      <c r="M235" s="415">
        <f t="shared" si="80"/>
        <v>3.6877373097505828E-3</v>
      </c>
      <c r="N235" s="415">
        <f t="shared" si="70"/>
        <v>0.67969421985205569</v>
      </c>
      <c r="O235" s="416" t="str">
        <f t="shared" si="71"/>
        <v>No</v>
      </c>
      <c r="P235" s="417">
        <f t="shared" si="75"/>
        <v>0</v>
      </c>
      <c r="Q235" s="415">
        <f>SUM($P$4:P235)/COUNT($P$4:P235)</f>
        <v>0.51724137931034486</v>
      </c>
      <c r="W235" s="417">
        <f t="shared" si="76"/>
        <v>0</v>
      </c>
      <c r="X235" s="415" t="e">
        <f>SUM($W$4:W235)/COUNT($W$4:W235)</f>
        <v>#DIV/0!</v>
      </c>
      <c r="Z235" s="405"/>
    </row>
    <row r="236" spans="1:26">
      <c r="A236" s="403">
        <f t="shared" si="74"/>
        <v>234</v>
      </c>
      <c r="B236" s="422">
        <f t="shared" si="79"/>
        <v>39374</v>
      </c>
      <c r="D236" s="411">
        <f>40456-1000</f>
        <v>39456</v>
      </c>
      <c r="E236" s="408">
        <f>D236+SUM(Holdings_Old!$E$32:$E$35)</f>
        <v>39456</v>
      </c>
      <c r="F236" s="408">
        <f t="shared" si="83"/>
        <v>-112</v>
      </c>
      <c r="G236" s="409">
        <f t="shared" si="77"/>
        <v>-2.8305701577031606E-3</v>
      </c>
      <c r="H236" s="408">
        <f t="shared" si="81"/>
        <v>16600.150000000001</v>
      </c>
      <c r="I236" s="409">
        <f t="shared" si="82"/>
        <v>0.72629764371047245</v>
      </c>
      <c r="L236" s="382">
        <v>1497.79</v>
      </c>
      <c r="M236" s="415">
        <f t="shared" si="80"/>
        <v>-4.126100176028169E-2</v>
      </c>
      <c r="N236" s="415">
        <f t="shared" si="70"/>
        <v>0.61038835369000499</v>
      </c>
      <c r="O236" s="416" t="str">
        <f t="shared" si="71"/>
        <v>Yes</v>
      </c>
      <c r="P236" s="417">
        <f t="shared" si="75"/>
        <v>1</v>
      </c>
      <c r="Q236" s="415">
        <f>SUM($P$4:P236)/COUNT($P$4:P236)</f>
        <v>0.51931330472102999</v>
      </c>
      <c r="W236" s="417">
        <f t="shared" si="76"/>
        <v>0</v>
      </c>
      <c r="X236" s="415" t="e">
        <f>SUM($W$4:W236)/COUNT($W$4:W236)</f>
        <v>#DIV/0!</v>
      </c>
      <c r="Z236" s="405"/>
    </row>
    <row r="237" spans="1:26">
      <c r="A237" s="403">
        <f t="shared" si="74"/>
        <v>235</v>
      </c>
      <c r="B237" s="422">
        <f t="shared" si="79"/>
        <v>39381</v>
      </c>
      <c r="D237" s="411">
        <f>40456-1000</f>
        <v>39456</v>
      </c>
      <c r="E237" s="408">
        <f>D237+SUM(Holdings_Old!$E$32:$E$35)</f>
        <v>39456</v>
      </c>
      <c r="F237" s="408">
        <f t="shared" si="83"/>
        <v>0</v>
      </c>
      <c r="G237" s="409">
        <f t="shared" si="77"/>
        <v>0</v>
      </c>
      <c r="H237" s="408">
        <f t="shared" si="81"/>
        <v>16600.150000000001</v>
      </c>
      <c r="I237" s="409">
        <f t="shared" si="82"/>
        <v>0.72629764371047245</v>
      </c>
      <c r="L237" s="382">
        <v>1536.92</v>
      </c>
      <c r="M237" s="415">
        <f t="shared" si="80"/>
        <v>2.6125157732392434E-2</v>
      </c>
      <c r="N237" s="415">
        <f t="shared" si="70"/>
        <v>0.65246000344056432</v>
      </c>
      <c r="O237" s="416" t="str">
        <f t="shared" si="71"/>
        <v>No</v>
      </c>
      <c r="P237" s="417">
        <f t="shared" si="75"/>
        <v>0</v>
      </c>
      <c r="Q237" s="415">
        <f>SUM($P$4:P237)/COUNT($P$4:P237)</f>
        <v>0.51709401709401714</v>
      </c>
      <c r="W237" s="417">
        <f t="shared" si="76"/>
        <v>0</v>
      </c>
      <c r="X237" s="415" t="e">
        <f>SUM($W$4:W237)/COUNT($W$4:W237)</f>
        <v>#DIV/0!</v>
      </c>
      <c r="Z237" s="405"/>
    </row>
    <row r="238" spans="1:26">
      <c r="A238" s="403">
        <f t="shared" si="74"/>
        <v>236</v>
      </c>
      <c r="B238" s="422">
        <f>B237+7</f>
        <v>39388</v>
      </c>
      <c r="D238" s="411">
        <v>39000</v>
      </c>
      <c r="E238" s="408">
        <f>D238</f>
        <v>39000</v>
      </c>
      <c r="F238" s="408">
        <f>E238-E236</f>
        <v>-456</v>
      </c>
      <c r="G238" s="409">
        <f>(E238/E236)-1</f>
        <v>-1.1557177615571734E-2</v>
      </c>
      <c r="H238" s="408">
        <f t="shared" si="81"/>
        <v>16144.150000000001</v>
      </c>
      <c r="I238" s="409">
        <f t="shared" si="82"/>
        <v>0.70634651522476744</v>
      </c>
      <c r="L238" s="382">
        <v>1505.61</v>
      </c>
      <c r="M238" s="415">
        <f t="shared" si="80"/>
        <v>-2.0371912656481861E-2</v>
      </c>
      <c r="N238" s="415">
        <f t="shared" si="70"/>
        <v>0.61879623258214322</v>
      </c>
      <c r="O238" s="416" t="str">
        <f t="shared" si="71"/>
        <v>Yes</v>
      </c>
      <c r="P238" s="417">
        <f t="shared" si="75"/>
        <v>1</v>
      </c>
      <c r="Q238" s="415">
        <f>SUM($P$4:P238)/COUNT($P$4:P238)</f>
        <v>0.51914893617021274</v>
      </c>
      <c r="W238" s="417">
        <f t="shared" si="76"/>
        <v>0</v>
      </c>
      <c r="X238" s="415" t="e">
        <f>SUM($W$4:W238)/COUNT($W$4:W238)</f>
        <v>#DIV/0!</v>
      </c>
      <c r="Z238" s="405"/>
    </row>
    <row r="239" spans="1:26">
      <c r="A239" s="403">
        <f t="shared" si="74"/>
        <v>237</v>
      </c>
      <c r="B239" s="422">
        <v>39405</v>
      </c>
      <c r="D239" s="411">
        <v>38500</v>
      </c>
      <c r="E239" s="408">
        <f>D239</f>
        <v>38500</v>
      </c>
      <c r="F239" s="408">
        <f t="shared" ref="F239:F302" si="84">E239-E238</f>
        <v>-500</v>
      </c>
      <c r="G239" s="409">
        <f t="shared" ref="G239:G302" si="85">(E239/E238)-1</f>
        <v>-1.2820512820512775E-2</v>
      </c>
      <c r="H239" s="408">
        <f t="shared" si="81"/>
        <v>15644.150000000001</v>
      </c>
      <c r="I239" s="409">
        <f t="shared" si="82"/>
        <v>0.68447027785009107</v>
      </c>
      <c r="L239" s="382">
        <v>1433.27</v>
      </c>
      <c r="M239" s="415">
        <f t="shared" si="80"/>
        <v>-4.8046970995144767E-2</v>
      </c>
      <c r="N239" s="415">
        <f t="shared" si="70"/>
        <v>0.54101797694821951</v>
      </c>
      <c r="O239" s="416" t="str">
        <f t="shared" si="71"/>
        <v>Yes</v>
      </c>
      <c r="P239" s="417">
        <f t="shared" si="75"/>
        <v>1</v>
      </c>
      <c r="Q239" s="415">
        <f>SUM($P$4:P239)/COUNT($P$4:P239)</f>
        <v>0.52118644067796616</v>
      </c>
      <c r="W239" s="417">
        <f t="shared" si="76"/>
        <v>0</v>
      </c>
      <c r="X239" s="415" t="e">
        <f>SUM($W$4:W239)/COUNT($W$4:W239)</f>
        <v>#DIV/0!</v>
      </c>
      <c r="Z239" s="405"/>
    </row>
    <row r="240" spans="1:26">
      <c r="A240" s="403">
        <f t="shared" si="74"/>
        <v>238</v>
      </c>
      <c r="B240" s="422">
        <v>39417</v>
      </c>
      <c r="D240" s="411">
        <f>38514-1000</f>
        <v>37514</v>
      </c>
      <c r="E240" s="408">
        <f>D240</f>
        <v>37514</v>
      </c>
      <c r="F240" s="408">
        <f t="shared" si="84"/>
        <v>-986</v>
      </c>
      <c r="G240" s="409">
        <f t="shared" si="85"/>
        <v>-2.5610389610389639E-2</v>
      </c>
      <c r="H240" s="408">
        <f t="shared" si="81"/>
        <v>14658.150000000001</v>
      </c>
      <c r="I240" s="409">
        <f t="shared" si="82"/>
        <v>0.64133033774722903</v>
      </c>
      <c r="L240" s="382">
        <v>1481.14</v>
      </c>
      <c r="M240" s="415">
        <f t="shared" si="80"/>
        <v>3.3399150195008609E-2</v>
      </c>
      <c r="N240" s="415">
        <f t="shared" si="70"/>
        <v>0.59248666781352144</v>
      </c>
      <c r="O240" s="416" t="str">
        <f t="shared" si="71"/>
        <v>No</v>
      </c>
      <c r="P240" s="417">
        <f t="shared" si="75"/>
        <v>0</v>
      </c>
      <c r="Q240" s="415">
        <f>SUM($P$4:P240)/COUNT($P$4:P240)</f>
        <v>0.51898734177215189</v>
      </c>
      <c r="W240" s="417">
        <f t="shared" si="76"/>
        <v>0</v>
      </c>
      <c r="X240" s="415" t="e">
        <f>SUM($W$4:W240)/COUNT($W$4:W240)</f>
        <v>#DIV/0!</v>
      </c>
      <c r="Z240" s="405"/>
    </row>
    <row r="241" spans="1:26">
      <c r="A241" s="403">
        <f t="shared" si="74"/>
        <v>239</v>
      </c>
      <c r="B241" s="422">
        <v>39438</v>
      </c>
      <c r="D241" s="411">
        <f>38126.52-1000</f>
        <v>37126.519999999997</v>
      </c>
      <c r="E241" s="408">
        <f>D241</f>
        <v>37126.519999999997</v>
      </c>
      <c r="F241" s="408">
        <f t="shared" si="84"/>
        <v>-387.4800000000032</v>
      </c>
      <c r="G241" s="409">
        <f t="shared" si="85"/>
        <v>-1.0328943860958617E-2</v>
      </c>
      <c r="H241" s="408">
        <f t="shared" si="81"/>
        <v>14270.669999999998</v>
      </c>
      <c r="I241" s="409">
        <f t="shared" si="82"/>
        <v>0.62437712883134955</v>
      </c>
      <c r="L241" s="382">
        <v>1484.46</v>
      </c>
      <c r="M241" s="415">
        <f t="shared" si="80"/>
        <v>2.2415166695923805E-3</v>
      </c>
      <c r="N241" s="415">
        <f t="shared" si="70"/>
        <v>0.59605625322552891</v>
      </c>
      <c r="O241" s="416" t="str">
        <f t="shared" si="71"/>
        <v>No</v>
      </c>
      <c r="P241" s="417">
        <f t="shared" si="75"/>
        <v>0</v>
      </c>
      <c r="Q241" s="415">
        <f>SUM($P$4:P241)/COUNT($P$4:P241)</f>
        <v>0.51680672268907568</v>
      </c>
      <c r="W241" s="417">
        <f t="shared" si="76"/>
        <v>0</v>
      </c>
      <c r="X241" s="415" t="e">
        <f>SUM($W$4:W241)/COUNT($W$4:W241)</f>
        <v>#DIV/0!</v>
      </c>
      <c r="Z241" s="405"/>
    </row>
    <row r="242" spans="1:26">
      <c r="A242" s="403">
        <f t="shared" si="74"/>
        <v>240</v>
      </c>
      <c r="B242" s="422">
        <v>39452</v>
      </c>
      <c r="D242" s="411">
        <f>39985-1000</f>
        <v>38985</v>
      </c>
      <c r="E242" s="408">
        <f>39985-1000</f>
        <v>38985</v>
      </c>
      <c r="F242" s="408">
        <f t="shared" si="84"/>
        <v>1858.4800000000032</v>
      </c>
      <c r="G242" s="409">
        <f t="shared" si="85"/>
        <v>5.0058017826610346E-2</v>
      </c>
      <c r="H242" s="408">
        <f t="shared" si="81"/>
        <v>16129.150000000001</v>
      </c>
      <c r="I242" s="409">
        <f t="shared" si="82"/>
        <v>0.70569022810352711</v>
      </c>
      <c r="L242" s="382">
        <v>1411.63</v>
      </c>
      <c r="M242" s="415">
        <f t="shared" si="80"/>
        <v>-4.9061611629818147E-2</v>
      </c>
      <c r="N242" s="415">
        <f t="shared" si="70"/>
        <v>0.51775116119043529</v>
      </c>
      <c r="O242" s="416" t="str">
        <f t="shared" si="71"/>
        <v>Yes</v>
      </c>
      <c r="P242" s="417">
        <f t="shared" si="75"/>
        <v>1</v>
      </c>
      <c r="Q242" s="415">
        <f>SUM($P$4:P242)/COUNT($P$4:P242)</f>
        <v>0.51882845188284521</v>
      </c>
      <c r="W242" s="417">
        <f t="shared" si="76"/>
        <v>0</v>
      </c>
      <c r="X242" s="415" t="e">
        <f>SUM($W$4:W242)/COUNT($W$4:W242)</f>
        <v>#DIV/0!</v>
      </c>
      <c r="Z242" s="405"/>
    </row>
    <row r="243" spans="1:26">
      <c r="A243" s="403">
        <f t="shared" si="74"/>
        <v>241</v>
      </c>
      <c r="B243" s="422">
        <f>B242+7</f>
        <v>39459</v>
      </c>
      <c r="D243" s="411">
        <f>37905-1000</f>
        <v>36905</v>
      </c>
      <c r="E243" s="408">
        <f>37905-1000</f>
        <v>36905</v>
      </c>
      <c r="F243" s="408">
        <f t="shared" si="84"/>
        <v>-2080</v>
      </c>
      <c r="G243" s="409">
        <f t="shared" si="85"/>
        <v>-5.3353854046428117E-2</v>
      </c>
      <c r="H243" s="408">
        <f t="shared" si="81"/>
        <v>14049.150000000001</v>
      </c>
      <c r="I243" s="409">
        <f t="shared" si="82"/>
        <v>0.61468508062487293</v>
      </c>
      <c r="L243" s="382">
        <v>1401.02</v>
      </c>
      <c r="M243" s="415">
        <f t="shared" si="80"/>
        <v>-7.5161338311031667E-3</v>
      </c>
      <c r="N243" s="415">
        <f t="shared" si="70"/>
        <v>0.50634354034061579</v>
      </c>
      <c r="O243" s="416" t="str">
        <f t="shared" si="71"/>
        <v>No</v>
      </c>
      <c r="P243" s="417">
        <f t="shared" si="75"/>
        <v>0</v>
      </c>
      <c r="Q243" s="415">
        <f>SUM($P$4:P243)/COUNT($P$4:P243)</f>
        <v>0.51666666666666672</v>
      </c>
      <c r="W243" s="417">
        <f t="shared" si="76"/>
        <v>0</v>
      </c>
      <c r="X243" s="415" t="e">
        <f>SUM($W$4:W243)/COUNT($W$4:W243)</f>
        <v>#DIV/0!</v>
      </c>
      <c r="Z243" s="405"/>
    </row>
    <row r="244" spans="1:26">
      <c r="A244" s="403">
        <f t="shared" si="74"/>
        <v>242</v>
      </c>
      <c r="B244" s="422">
        <f>B243+7</f>
        <v>39466</v>
      </c>
      <c r="D244" s="411">
        <f>35854-1000</f>
        <v>34854</v>
      </c>
      <c r="E244" s="408">
        <f>35854-1000</f>
        <v>34854</v>
      </c>
      <c r="F244" s="408">
        <f t="shared" si="84"/>
        <v>-2051</v>
      </c>
      <c r="G244" s="409">
        <f t="shared" si="85"/>
        <v>-5.5575125321772112E-2</v>
      </c>
      <c r="H244" s="408">
        <f t="shared" si="81"/>
        <v>11998.150000000001</v>
      </c>
      <c r="I244" s="409">
        <f t="shared" si="82"/>
        <v>0.52494875491394999</v>
      </c>
      <c r="L244" s="382">
        <v>1333</v>
      </c>
      <c r="M244" s="415">
        <f t="shared" si="80"/>
        <v>-4.855034189376306E-2</v>
      </c>
      <c r="N244" s="415">
        <f t="shared" si="70"/>
        <v>0.4332100464476174</v>
      </c>
      <c r="O244" s="416" t="str">
        <f t="shared" si="71"/>
        <v>No</v>
      </c>
      <c r="P244" s="417">
        <f t="shared" si="75"/>
        <v>0</v>
      </c>
      <c r="Q244" s="415">
        <f>SUM($P$4:P244)/COUNT($P$4:P244)</f>
        <v>0.51452282157676343</v>
      </c>
      <c r="W244" s="417">
        <f t="shared" si="76"/>
        <v>0</v>
      </c>
      <c r="X244" s="415" t="e">
        <f>SUM($W$4:W244)/COUNT($W$4:W244)</f>
        <v>#DIV/0!</v>
      </c>
      <c r="Z244" s="405"/>
    </row>
    <row r="245" spans="1:26">
      <c r="A245" s="403">
        <f t="shared" si="74"/>
        <v>243</v>
      </c>
      <c r="B245" s="422">
        <v>39480</v>
      </c>
      <c r="D245" s="411">
        <v>37182</v>
      </c>
      <c r="E245" s="408">
        <v>37182</v>
      </c>
      <c r="F245" s="408">
        <f t="shared" si="84"/>
        <v>2328</v>
      </c>
      <c r="G245" s="409">
        <f t="shared" si="85"/>
        <v>6.6792907557238657E-2</v>
      </c>
      <c r="H245" s="408">
        <f t="shared" si="81"/>
        <v>14326.150000000001</v>
      </c>
      <c r="I245" s="409">
        <f t="shared" si="82"/>
        <v>0.62680451613044363</v>
      </c>
      <c r="L245" s="382">
        <v>1395.42</v>
      </c>
      <c r="M245" s="415">
        <f t="shared" si="80"/>
        <v>4.6826706676669216E-2</v>
      </c>
      <c r="N245" s="415">
        <f t="shared" si="70"/>
        <v>0.50032255289867544</v>
      </c>
      <c r="O245" s="416" t="str">
        <f t="shared" si="71"/>
        <v>Yes</v>
      </c>
      <c r="P245" s="417">
        <f t="shared" si="75"/>
        <v>1</v>
      </c>
      <c r="Q245" s="415">
        <f>SUM($P$4:P245)/COUNT($P$4:P245)</f>
        <v>0.51652892561983466</v>
      </c>
      <c r="W245" s="417">
        <f t="shared" si="76"/>
        <v>0</v>
      </c>
      <c r="X245" s="415" t="e">
        <f>SUM($W$4:W245)/COUNT($W$4:W245)</f>
        <v>#DIV/0!</v>
      </c>
      <c r="Z245" s="405"/>
    </row>
    <row r="246" spans="1:26">
      <c r="A246" s="403">
        <f t="shared" si="74"/>
        <v>244</v>
      </c>
      <c r="B246" s="422">
        <f t="shared" si="79"/>
        <v>39487</v>
      </c>
      <c r="D246" s="411">
        <v>35617</v>
      </c>
      <c r="E246" s="408">
        <v>35617</v>
      </c>
      <c r="F246" s="408">
        <f t="shared" si="84"/>
        <v>-1565</v>
      </c>
      <c r="G246" s="409">
        <f t="shared" si="85"/>
        <v>-4.2090258727341179E-2</v>
      </c>
      <c r="H246" s="408">
        <f t="shared" si="81"/>
        <v>12761.150000000001</v>
      </c>
      <c r="I246" s="409">
        <f t="shared" si="82"/>
        <v>0.55833189314770637</v>
      </c>
      <c r="L246" s="382">
        <v>1331</v>
      </c>
      <c r="M246" s="415">
        <f t="shared" si="80"/>
        <v>-4.6165312235742717E-2</v>
      </c>
      <c r="N246" s="415">
        <f t="shared" si="70"/>
        <v>0.43105969378978148</v>
      </c>
      <c r="O246" s="416" t="str">
        <f t="shared" si="71"/>
        <v>Yes</v>
      </c>
      <c r="P246" s="417">
        <f t="shared" si="75"/>
        <v>1</v>
      </c>
      <c r="Q246" s="415">
        <f>SUM($P$4:P246)/COUNT($P$4:P246)</f>
        <v>0.51851851851851849</v>
      </c>
      <c r="W246" s="417">
        <f t="shared" si="76"/>
        <v>0</v>
      </c>
      <c r="X246" s="415" t="e">
        <f>SUM($W$4:W246)/COUNT($W$4:W246)</f>
        <v>#DIV/0!</v>
      </c>
      <c r="Z246" s="405"/>
    </row>
    <row r="247" spans="1:26">
      <c r="A247" s="403">
        <f t="shared" si="74"/>
        <v>245</v>
      </c>
      <c r="B247" s="422">
        <v>39496</v>
      </c>
      <c r="D247" s="411">
        <v>36144</v>
      </c>
      <c r="E247" s="408">
        <v>36144</v>
      </c>
      <c r="F247" s="408">
        <f t="shared" si="84"/>
        <v>527</v>
      </c>
      <c r="G247" s="409">
        <f t="shared" si="85"/>
        <v>1.4796305135188259E-2</v>
      </c>
      <c r="H247" s="408">
        <f t="shared" si="81"/>
        <v>13288.150000000001</v>
      </c>
      <c r="I247" s="409">
        <f t="shared" si="82"/>
        <v>0.58138944734061537</v>
      </c>
      <c r="L247" s="382">
        <v>1350</v>
      </c>
      <c r="M247" s="415">
        <f t="shared" si="80"/>
        <v>1.427498121712989E-2</v>
      </c>
      <c r="N247" s="415">
        <f t="shared" si="70"/>
        <v>0.45148804403922238</v>
      </c>
      <c r="O247" s="416" t="str">
        <f t="shared" si="71"/>
        <v>Yes</v>
      </c>
      <c r="P247" s="417">
        <f t="shared" si="75"/>
        <v>1</v>
      </c>
      <c r="Q247" s="415">
        <f>SUM($P$4:P247)/COUNT($P$4:P247)</f>
        <v>0.52049180327868849</v>
      </c>
      <c r="W247" s="417">
        <f t="shared" si="76"/>
        <v>0</v>
      </c>
      <c r="X247" s="415" t="e">
        <f>SUM($W$4:W247)/COUNT($W$4:W247)</f>
        <v>#DIV/0!</v>
      </c>
      <c r="Z247" s="405"/>
    </row>
    <row r="248" spans="1:26">
      <c r="A248" s="403">
        <f t="shared" si="74"/>
        <v>246</v>
      </c>
      <c r="B248" s="422">
        <f t="shared" si="79"/>
        <v>39503</v>
      </c>
      <c r="D248" s="411">
        <v>36808</v>
      </c>
      <c r="E248" s="408">
        <v>36808</v>
      </c>
      <c r="F248" s="408">
        <f t="shared" si="84"/>
        <v>664</v>
      </c>
      <c r="G248" s="409">
        <f t="shared" si="85"/>
        <v>1.8370960602036357E-2</v>
      </c>
      <c r="H248" s="408">
        <f t="shared" si="81"/>
        <v>13952.150000000001</v>
      </c>
      <c r="I248" s="409">
        <f t="shared" si="82"/>
        <v>0.61044109057418572</v>
      </c>
      <c r="L248" s="382">
        <v>1372</v>
      </c>
      <c r="M248" s="415">
        <f t="shared" si="80"/>
        <v>1.6296296296296253E-2</v>
      </c>
      <c r="N248" s="415">
        <f t="shared" si="70"/>
        <v>0.47514192327541704</v>
      </c>
      <c r="O248" s="416" t="str">
        <f t="shared" si="71"/>
        <v>Yes</v>
      </c>
      <c r="P248" s="417">
        <f t="shared" si="75"/>
        <v>1</v>
      </c>
      <c r="Q248" s="415">
        <f>SUM($P$4:P248)/COUNT($P$4:P248)</f>
        <v>0.52244897959183678</v>
      </c>
      <c r="W248" s="417">
        <f t="shared" si="76"/>
        <v>0</v>
      </c>
      <c r="X248" s="415" t="e">
        <f>SUM($W$4:W248)/COUNT($W$4:W248)</f>
        <v>#DIV/0!</v>
      </c>
      <c r="Z248" s="405"/>
    </row>
    <row r="249" spans="1:26">
      <c r="A249" s="403">
        <f t="shared" si="74"/>
        <v>247</v>
      </c>
      <c r="B249" s="422">
        <f t="shared" si="79"/>
        <v>39510</v>
      </c>
      <c r="D249" s="411">
        <v>34347</v>
      </c>
      <c r="E249" s="408">
        <v>34347</v>
      </c>
      <c r="F249" s="408">
        <f t="shared" si="84"/>
        <v>-2461</v>
      </c>
      <c r="G249" s="409">
        <f t="shared" si="85"/>
        <v>-6.6860465116279078E-2</v>
      </c>
      <c r="H249" s="408">
        <f t="shared" si="81"/>
        <v>11491.150000000001</v>
      </c>
      <c r="I249" s="409">
        <f t="shared" si="82"/>
        <v>0.50276625021602794</v>
      </c>
      <c r="L249" s="382">
        <v>1273</v>
      </c>
      <c r="M249" s="415">
        <f t="shared" si="80"/>
        <v>-7.2157434402332354E-2</v>
      </c>
      <c r="N249" s="415">
        <f t="shared" si="70"/>
        <v>0.36869946671254072</v>
      </c>
      <c r="O249" s="416" t="str">
        <f t="shared" si="71"/>
        <v>Yes</v>
      </c>
      <c r="P249" s="417">
        <f t="shared" si="75"/>
        <v>1</v>
      </c>
      <c r="Q249" s="415">
        <f>SUM($P$4:P249)/COUNT($P$4:P249)</f>
        <v>0.52439024390243905</v>
      </c>
      <c r="W249" s="417">
        <f t="shared" si="76"/>
        <v>0</v>
      </c>
      <c r="X249" s="415" t="e">
        <f>SUM($W$4:W249)/COUNT($W$4:W249)</f>
        <v>#DIV/0!</v>
      </c>
      <c r="Z249" s="405"/>
    </row>
    <row r="250" spans="1:26">
      <c r="A250" s="403">
        <f t="shared" si="74"/>
        <v>248</v>
      </c>
      <c r="B250" s="422">
        <f t="shared" si="79"/>
        <v>39517</v>
      </c>
      <c r="D250" s="411">
        <v>34818</v>
      </c>
      <c r="E250" s="408">
        <v>34818</v>
      </c>
      <c r="F250" s="408">
        <f t="shared" si="84"/>
        <v>471</v>
      </c>
      <c r="G250" s="409">
        <f t="shared" si="85"/>
        <v>1.3712988033889317E-2</v>
      </c>
      <c r="H250" s="408">
        <f t="shared" si="81"/>
        <v>11962.150000000001</v>
      </c>
      <c r="I250" s="409">
        <f t="shared" si="82"/>
        <v>0.52337366582297329</v>
      </c>
      <c r="L250" s="382">
        <v>1277</v>
      </c>
      <c r="M250" s="415">
        <f t="shared" si="80"/>
        <v>3.1421838177534411E-3</v>
      </c>
      <c r="N250" s="415">
        <f t="shared" si="70"/>
        <v>0.37300017202821256</v>
      </c>
      <c r="O250" s="416" t="str">
        <f t="shared" si="71"/>
        <v>Yes</v>
      </c>
      <c r="P250" s="417">
        <f t="shared" si="75"/>
        <v>1</v>
      </c>
      <c r="Q250" s="415">
        <f>SUM($P$4:P250)/COUNT($P$4:P250)</f>
        <v>0.52631578947368418</v>
      </c>
      <c r="W250" s="417">
        <f t="shared" si="76"/>
        <v>0</v>
      </c>
      <c r="X250" s="415" t="e">
        <f>SUM($W$4:W250)/COUNT($W$4:W250)</f>
        <v>#DIV/0!</v>
      </c>
      <c r="Z250" s="405"/>
    </row>
    <row r="251" spans="1:26">
      <c r="A251" s="403">
        <f t="shared" si="74"/>
        <v>249</v>
      </c>
      <c r="B251" s="422">
        <v>39531</v>
      </c>
      <c r="D251" s="411">
        <v>36465</v>
      </c>
      <c r="E251" s="408">
        <v>36465</v>
      </c>
      <c r="F251" s="408">
        <f t="shared" si="84"/>
        <v>1647</v>
      </c>
      <c r="G251" s="409">
        <f t="shared" si="85"/>
        <v>4.7303119076339772E-2</v>
      </c>
      <c r="H251" s="408">
        <f t="shared" si="81"/>
        <v>13609.150000000001</v>
      </c>
      <c r="I251" s="409">
        <f t="shared" si="82"/>
        <v>0.59543399173515765</v>
      </c>
      <c r="L251" s="382">
        <v>1350</v>
      </c>
      <c r="M251" s="415">
        <f t="shared" si="80"/>
        <v>5.7165231010180007E-2</v>
      </c>
      <c r="N251" s="415">
        <f t="shared" si="70"/>
        <v>0.45148804403922238</v>
      </c>
      <c r="O251" s="416" t="str">
        <f t="shared" si="71"/>
        <v>No</v>
      </c>
      <c r="P251" s="417">
        <f t="shared" si="75"/>
        <v>0</v>
      </c>
      <c r="Q251" s="415">
        <f>SUM($P$4:P251)/COUNT($P$4:P251)</f>
        <v>0.52419354838709675</v>
      </c>
      <c r="W251" s="417">
        <f t="shared" si="76"/>
        <v>0</v>
      </c>
      <c r="X251" s="415" t="e">
        <f>SUM($W$4:W251)/COUNT($W$4:W251)</f>
        <v>#DIV/0!</v>
      </c>
      <c r="Z251" s="405"/>
    </row>
    <row r="252" spans="1:26">
      <c r="A252" s="403">
        <f t="shared" si="74"/>
        <v>250</v>
      </c>
      <c r="B252" s="422">
        <f t="shared" si="79"/>
        <v>39538</v>
      </c>
      <c r="D252" s="411">
        <v>35855</v>
      </c>
      <c r="E252" s="408">
        <v>35855</v>
      </c>
      <c r="F252" s="408">
        <f t="shared" si="84"/>
        <v>-610</v>
      </c>
      <c r="G252" s="409">
        <f t="shared" si="85"/>
        <v>-1.6728369669546161E-2</v>
      </c>
      <c r="H252" s="408">
        <f t="shared" si="81"/>
        <v>12999.150000000001</v>
      </c>
      <c r="I252" s="409">
        <f t="shared" si="82"/>
        <v>0.56874498213805236</v>
      </c>
      <c r="L252" s="382">
        <v>1323</v>
      </c>
      <c r="M252" s="415">
        <f t="shared" si="80"/>
        <v>-2.0000000000000018E-2</v>
      </c>
      <c r="N252" s="415">
        <f t="shared" si="70"/>
        <v>0.42245828315843803</v>
      </c>
      <c r="O252" s="416" t="str">
        <f t="shared" si="71"/>
        <v>Yes</v>
      </c>
      <c r="P252" s="417">
        <f t="shared" si="75"/>
        <v>1</v>
      </c>
      <c r="Q252" s="415">
        <f>SUM($P$4:P252)/COUNT($P$4:P252)</f>
        <v>0.52610441767068272</v>
      </c>
      <c r="W252" s="417">
        <f t="shared" si="76"/>
        <v>0</v>
      </c>
      <c r="X252" s="415" t="e">
        <f>SUM($W$4:W252)/COUNT($W$4:W252)</f>
        <v>#DIV/0!</v>
      </c>
      <c r="Z252" s="405"/>
    </row>
    <row r="253" spans="1:26">
      <c r="A253" s="403">
        <f t="shared" si="74"/>
        <v>251</v>
      </c>
      <c r="B253" s="422">
        <v>39549</v>
      </c>
      <c r="D253" s="411">
        <v>36287</v>
      </c>
      <c r="E253" s="408">
        <v>36287</v>
      </c>
      <c r="F253" s="408">
        <f t="shared" si="84"/>
        <v>432</v>
      </c>
      <c r="G253" s="409">
        <f t="shared" si="85"/>
        <v>1.2048528796541724E-2</v>
      </c>
      <c r="H253" s="408">
        <f t="shared" si="81"/>
        <v>13431.150000000001</v>
      </c>
      <c r="I253" s="409">
        <f t="shared" si="82"/>
        <v>0.58764605122977276</v>
      </c>
      <c r="L253" s="382">
        <v>1333</v>
      </c>
      <c r="M253" s="415">
        <f t="shared" si="80"/>
        <v>7.5585789871503994E-3</v>
      </c>
      <c r="N253" s="415">
        <f t="shared" si="70"/>
        <v>0.4332100464476174</v>
      </c>
      <c r="O253" s="416" t="str">
        <f t="shared" si="71"/>
        <v>Yes</v>
      </c>
      <c r="P253" s="417">
        <f t="shared" si="75"/>
        <v>1</v>
      </c>
      <c r="Q253" s="415">
        <f>SUM($P$4:P253)/COUNT($P$4:P253)</f>
        <v>0.52800000000000002</v>
      </c>
      <c r="W253" s="417">
        <f t="shared" si="76"/>
        <v>0</v>
      </c>
      <c r="X253" s="415" t="e">
        <f>SUM($W$4:W253)/COUNT($W$4:W253)</f>
        <v>#DIV/0!</v>
      </c>
      <c r="Z253" s="405"/>
    </row>
    <row r="254" spans="1:26">
      <c r="A254" s="403">
        <f t="shared" si="74"/>
        <v>252</v>
      </c>
      <c r="B254" s="422">
        <f t="shared" si="79"/>
        <v>39556</v>
      </c>
      <c r="D254" s="411">
        <v>37282</v>
      </c>
      <c r="E254" s="408">
        <v>37282</v>
      </c>
      <c r="F254" s="408">
        <f t="shared" si="84"/>
        <v>995</v>
      </c>
      <c r="G254" s="409">
        <f t="shared" si="85"/>
        <v>2.7420288257502756E-2</v>
      </c>
      <c r="H254" s="408">
        <f t="shared" si="81"/>
        <v>14426.150000000001</v>
      </c>
      <c r="I254" s="409">
        <f t="shared" si="82"/>
        <v>0.63117976360537908</v>
      </c>
      <c r="L254" s="382">
        <v>1390</v>
      </c>
      <c r="M254" s="415">
        <f t="shared" si="80"/>
        <v>4.2760690172543026E-2</v>
      </c>
      <c r="N254" s="415">
        <f t="shared" si="70"/>
        <v>0.49449509719594009</v>
      </c>
      <c r="O254" s="416" t="str">
        <f t="shared" si="71"/>
        <v>No</v>
      </c>
      <c r="P254" s="417">
        <f t="shared" si="75"/>
        <v>0</v>
      </c>
      <c r="Q254" s="415">
        <f>SUM($P$4:P254)/COUNT($P$4:P254)</f>
        <v>0.52589641434262946</v>
      </c>
      <c r="W254" s="417">
        <f t="shared" si="76"/>
        <v>0</v>
      </c>
      <c r="X254" s="415" t="e">
        <f>SUM($W$4:W254)/COUNT($W$4:W254)</f>
        <v>#DIV/0!</v>
      </c>
      <c r="Z254" s="405"/>
    </row>
    <row r="255" spans="1:26">
      <c r="A255" s="403">
        <f t="shared" si="74"/>
        <v>253</v>
      </c>
      <c r="B255" s="422">
        <v>39571</v>
      </c>
      <c r="D255" s="411">
        <v>38672</v>
      </c>
      <c r="E255" s="408">
        <v>38672</v>
      </c>
      <c r="F255" s="408">
        <f t="shared" si="84"/>
        <v>1390</v>
      </c>
      <c r="G255" s="409">
        <f t="shared" si="85"/>
        <v>3.7283407542513913E-2</v>
      </c>
      <c r="H255" s="408">
        <f t="shared" si="81"/>
        <v>15816.150000000001</v>
      </c>
      <c r="I255" s="409">
        <f t="shared" si="82"/>
        <v>0.6919957035069797</v>
      </c>
      <c r="L255" s="382">
        <v>1414</v>
      </c>
      <c r="M255" s="415">
        <f t="shared" si="80"/>
        <v>1.7266187050359649E-2</v>
      </c>
      <c r="N255" s="415">
        <f t="shared" si="70"/>
        <v>0.52029932908997067</v>
      </c>
      <c r="O255" s="416" t="str">
        <f t="shared" si="71"/>
        <v>Yes</v>
      </c>
      <c r="P255" s="417">
        <f t="shared" si="75"/>
        <v>1</v>
      </c>
      <c r="Q255" s="415">
        <f>SUM($P$4:P255)/COUNT($P$4:P255)</f>
        <v>0.52777777777777779</v>
      </c>
      <c r="W255" s="417">
        <f t="shared" si="76"/>
        <v>0</v>
      </c>
      <c r="X255" s="415" t="e">
        <f>SUM($W$4:W255)/COUNT($W$4:W255)</f>
        <v>#DIV/0!</v>
      </c>
      <c r="Z255" s="405"/>
    </row>
    <row r="256" spans="1:26">
      <c r="A256" s="403">
        <f t="shared" si="74"/>
        <v>254</v>
      </c>
      <c r="B256" s="422">
        <v>39585</v>
      </c>
      <c r="D256" s="411">
        <v>38529</v>
      </c>
      <c r="E256" s="408">
        <v>38529</v>
      </c>
      <c r="F256" s="408">
        <f t="shared" si="84"/>
        <v>-143</v>
      </c>
      <c r="G256" s="409">
        <f t="shared" si="85"/>
        <v>-3.6977658254033763E-3</v>
      </c>
      <c r="H256" s="408">
        <f t="shared" si="81"/>
        <v>15673.150000000001</v>
      </c>
      <c r="I256" s="409">
        <f t="shared" si="82"/>
        <v>0.68573909961782231</v>
      </c>
      <c r="L256" s="382">
        <v>1425</v>
      </c>
      <c r="M256" s="415">
        <f t="shared" si="80"/>
        <v>7.7793493635078814E-3</v>
      </c>
      <c r="N256" s="415">
        <f t="shared" si="70"/>
        <v>0.53212626870806812</v>
      </c>
      <c r="O256" s="416" t="str">
        <f t="shared" si="71"/>
        <v>No</v>
      </c>
      <c r="P256" s="417">
        <f t="shared" si="75"/>
        <v>0</v>
      </c>
      <c r="Q256" s="415">
        <f>SUM($P$4:P256)/COUNT($P$4:P256)</f>
        <v>0.52569169960474305</v>
      </c>
      <c r="W256" s="417">
        <f t="shared" si="76"/>
        <v>0</v>
      </c>
      <c r="X256" s="415" t="e">
        <f>SUM($W$4:W256)/COUNT($W$4:W256)</f>
        <v>#DIV/0!</v>
      </c>
      <c r="Z256" s="405"/>
    </row>
    <row r="257" spans="1:26">
      <c r="A257" s="403">
        <f t="shared" si="74"/>
        <v>255</v>
      </c>
      <c r="B257" s="422">
        <f t="shared" si="79"/>
        <v>39592</v>
      </c>
      <c r="D257" s="411">
        <v>37819</v>
      </c>
      <c r="E257" s="408">
        <v>37819</v>
      </c>
      <c r="F257" s="408">
        <f t="shared" si="84"/>
        <v>-710</v>
      </c>
      <c r="G257" s="409">
        <f t="shared" si="85"/>
        <v>-1.8427677853045776E-2</v>
      </c>
      <c r="H257" s="408">
        <f t="shared" si="81"/>
        <v>14963.150000000001</v>
      </c>
      <c r="I257" s="409">
        <f t="shared" si="82"/>
        <v>0.65467484254578157</v>
      </c>
      <c r="L257" s="382">
        <v>1376</v>
      </c>
      <c r="M257" s="415">
        <f t="shared" si="80"/>
        <v>-3.4385964912280742E-2</v>
      </c>
      <c r="N257" s="415">
        <f t="shared" si="70"/>
        <v>0.47944262859108888</v>
      </c>
      <c r="O257" s="416" t="str">
        <f t="shared" si="71"/>
        <v>Yes</v>
      </c>
      <c r="P257" s="417">
        <f t="shared" si="75"/>
        <v>1</v>
      </c>
      <c r="Q257" s="415">
        <f>SUM($P$4:P257)/COUNT($P$4:P257)</f>
        <v>0.52755905511811019</v>
      </c>
      <c r="W257" s="417">
        <f t="shared" si="76"/>
        <v>0</v>
      </c>
      <c r="X257" s="415" t="e">
        <f>SUM($W$4:W257)/COUNT($W$4:W257)</f>
        <v>#DIV/0!</v>
      </c>
      <c r="Z257" s="405"/>
    </row>
    <row r="258" spans="1:26">
      <c r="A258" s="403">
        <f t="shared" si="74"/>
        <v>256</v>
      </c>
      <c r="B258" s="422">
        <f t="shared" si="79"/>
        <v>39599</v>
      </c>
      <c r="D258" s="411">
        <v>38670</v>
      </c>
      <c r="E258" s="408">
        <v>38670</v>
      </c>
      <c r="F258" s="408">
        <f t="shared" si="84"/>
        <v>851</v>
      </c>
      <c r="G258" s="409">
        <f t="shared" si="85"/>
        <v>2.2501917025833595E-2</v>
      </c>
      <c r="H258" s="408">
        <f t="shared" si="81"/>
        <v>15814.150000000001</v>
      </c>
      <c r="I258" s="409">
        <f t="shared" si="82"/>
        <v>0.69190819855748109</v>
      </c>
      <c r="L258" s="382">
        <v>1400</v>
      </c>
      <c r="M258" s="415">
        <f t="shared" si="80"/>
        <v>1.744186046511631E-2</v>
      </c>
      <c r="N258" s="415">
        <f t="shared" si="70"/>
        <v>0.50524686048511946</v>
      </c>
      <c r="O258" s="416" t="str">
        <f t="shared" si="71"/>
        <v>Yes</v>
      </c>
      <c r="P258" s="417">
        <f t="shared" si="75"/>
        <v>1</v>
      </c>
      <c r="Q258" s="415">
        <f>SUM($P$4:P258)/COUNT($P$4:P258)</f>
        <v>0.52941176470588236</v>
      </c>
      <c r="W258" s="417">
        <f t="shared" si="76"/>
        <v>0</v>
      </c>
      <c r="X258" s="415" t="e">
        <f>SUM($W$4:W258)/COUNT($W$4:W258)</f>
        <v>#DIV/0!</v>
      </c>
      <c r="Z258" s="405"/>
    </row>
    <row r="259" spans="1:26">
      <c r="A259" s="403">
        <f t="shared" si="74"/>
        <v>257</v>
      </c>
      <c r="B259" s="422">
        <f t="shared" si="79"/>
        <v>39606</v>
      </c>
      <c r="D259" s="411">
        <v>37675</v>
      </c>
      <c r="E259" s="408">
        <v>37675</v>
      </c>
      <c r="F259" s="408">
        <f t="shared" si="84"/>
        <v>-995</v>
      </c>
      <c r="G259" s="409">
        <f t="shared" si="85"/>
        <v>-2.5730540470649044E-2</v>
      </c>
      <c r="H259" s="408">
        <f t="shared" si="81"/>
        <v>14819.150000000001</v>
      </c>
      <c r="I259" s="409">
        <f t="shared" si="82"/>
        <v>0.64837448618187477</v>
      </c>
      <c r="L259" s="382">
        <v>1360</v>
      </c>
      <c r="M259" s="415">
        <f t="shared" si="80"/>
        <v>-2.8571428571428581E-2</v>
      </c>
      <c r="N259" s="415">
        <f t="shared" si="70"/>
        <v>0.46223980732840175</v>
      </c>
      <c r="O259" s="416" t="str">
        <f t="shared" si="71"/>
        <v>Yes</v>
      </c>
      <c r="P259" s="417">
        <f t="shared" si="75"/>
        <v>1</v>
      </c>
      <c r="Q259" s="415">
        <f>SUM($P$4:P259)/COUNT($P$4:P259)</f>
        <v>0.53125</v>
      </c>
      <c r="W259" s="417">
        <f t="shared" si="76"/>
        <v>0</v>
      </c>
      <c r="X259" s="415" t="e">
        <f>SUM($W$4:W259)/COUNT($W$4:W259)</f>
        <v>#DIV/0!</v>
      </c>
      <c r="Z259" s="405"/>
    </row>
    <row r="260" spans="1:26">
      <c r="A260" s="403">
        <f t="shared" si="74"/>
        <v>258</v>
      </c>
      <c r="B260" s="422">
        <v>39620</v>
      </c>
      <c r="D260" s="411">
        <v>36796</v>
      </c>
      <c r="E260" s="408">
        <v>36796</v>
      </c>
      <c r="F260" s="408">
        <f t="shared" si="84"/>
        <v>-879</v>
      </c>
      <c r="G260" s="409">
        <f t="shared" si="85"/>
        <v>-2.3331121433311175E-2</v>
      </c>
      <c r="H260" s="408">
        <f t="shared" si="81"/>
        <v>13940.150000000001</v>
      </c>
      <c r="I260" s="409">
        <f t="shared" si="82"/>
        <v>0.60991606087719341</v>
      </c>
      <c r="L260" s="382">
        <v>1318</v>
      </c>
      <c r="M260" s="415">
        <f t="shared" si="80"/>
        <v>-3.0882352941176472E-2</v>
      </c>
      <c r="N260" s="415">
        <f t="shared" ref="N260:N323" si="86">(L260/$L$3)-1</f>
        <v>0.41708240151384812</v>
      </c>
      <c r="O260" s="416" t="str">
        <f t="shared" ref="O260:O323" si="87">IF(G260&gt;M260,"Yes","No")</f>
        <v>Yes</v>
      </c>
      <c r="P260" s="417">
        <f t="shared" si="75"/>
        <v>1</v>
      </c>
      <c r="Q260" s="415">
        <f>SUM($P$4:P260)/COUNT($P$4:P260)</f>
        <v>0.53307392996108949</v>
      </c>
      <c r="W260" s="417">
        <f t="shared" si="76"/>
        <v>0</v>
      </c>
      <c r="X260" s="415" t="e">
        <f>SUM($W$4:W260)/COUNT($W$4:W260)</f>
        <v>#DIV/0!</v>
      </c>
      <c r="Z260" s="405"/>
    </row>
    <row r="261" spans="1:26">
      <c r="A261" s="403">
        <f t="shared" ref="A261:A324" si="88">A260+1</f>
        <v>259</v>
      </c>
      <c r="B261" s="422">
        <v>39639</v>
      </c>
      <c r="D261" s="411">
        <v>35862</v>
      </c>
      <c r="E261" s="408">
        <v>35862</v>
      </c>
      <c r="F261" s="408">
        <f t="shared" si="84"/>
        <v>-934</v>
      </c>
      <c r="G261" s="409">
        <f t="shared" si="85"/>
        <v>-2.5383193825415762E-2</v>
      </c>
      <c r="H261" s="408">
        <f t="shared" si="81"/>
        <v>13006.150000000001</v>
      </c>
      <c r="I261" s="409">
        <f t="shared" si="82"/>
        <v>0.56905124946129781</v>
      </c>
      <c r="L261" s="382">
        <v>1239</v>
      </c>
      <c r="M261" s="415">
        <f t="shared" si="80"/>
        <v>-5.9939301972685932E-2</v>
      </c>
      <c r="N261" s="415">
        <f t="shared" si="86"/>
        <v>0.33214347152933077</v>
      </c>
      <c r="O261" s="416" t="str">
        <f t="shared" si="87"/>
        <v>Yes</v>
      </c>
      <c r="P261" s="417">
        <f t="shared" si="75"/>
        <v>1</v>
      </c>
      <c r="Q261" s="415">
        <f>SUM($P$4:P261)/COUNT($P$4:P261)</f>
        <v>0.53488372093023251</v>
      </c>
      <c r="W261" s="417">
        <f t="shared" si="76"/>
        <v>0</v>
      </c>
      <c r="X261" s="415" t="e">
        <f>SUM($W$4:W261)/COUNT($W$4:W261)</f>
        <v>#DIV/0!</v>
      </c>
      <c r="Z261" s="405"/>
    </row>
    <row r="262" spans="1:26">
      <c r="A262" s="403">
        <f t="shared" si="88"/>
        <v>260</v>
      </c>
      <c r="B262" s="422">
        <f t="shared" si="79"/>
        <v>39646</v>
      </c>
      <c r="D262" s="411">
        <v>36001.449999999997</v>
      </c>
      <c r="E262" s="408">
        <v>36001.449999999997</v>
      </c>
      <c r="F262" s="408">
        <f t="shared" si="84"/>
        <v>139.44999999999709</v>
      </c>
      <c r="G262" s="409">
        <f t="shared" si="85"/>
        <v>3.8885170933020685E-3</v>
      </c>
      <c r="H262" s="408">
        <f t="shared" si="81"/>
        <v>13145.599999999999</v>
      </c>
      <c r="I262" s="409">
        <f t="shared" si="82"/>
        <v>0.57515253206509498</v>
      </c>
      <c r="L262" s="382">
        <v>1260.32</v>
      </c>
      <c r="M262" s="415">
        <f t="shared" si="80"/>
        <v>1.7207425343018556E-2</v>
      </c>
      <c r="N262" s="415">
        <f t="shared" si="86"/>
        <v>0.35506623086186129</v>
      </c>
      <c r="O262" s="416" t="str">
        <f t="shared" si="87"/>
        <v>No</v>
      </c>
      <c r="P262" s="417">
        <f t="shared" ref="P262:P325" si="89">IF(O262="Yes",1,0)</f>
        <v>0</v>
      </c>
      <c r="Q262" s="415">
        <f>SUM($P$4:P262)/COUNT($P$4:P262)</f>
        <v>0.53281853281853286</v>
      </c>
      <c r="W262" s="417">
        <f t="shared" ref="W262:W325" si="90">IF(V262="Yes",1,0)</f>
        <v>0</v>
      </c>
      <c r="X262" s="415" t="e">
        <f>SUM($W$4:W262)/COUNT($W$4:W262)</f>
        <v>#DIV/0!</v>
      </c>
      <c r="Z262" s="405"/>
    </row>
    <row r="263" spans="1:26">
      <c r="A263" s="403">
        <f t="shared" si="88"/>
        <v>261</v>
      </c>
      <c r="B263" s="422">
        <f t="shared" si="79"/>
        <v>39653</v>
      </c>
      <c r="D263" s="411">
        <v>36045.230000000003</v>
      </c>
      <c r="E263" s="408">
        <v>36045.230000000003</v>
      </c>
      <c r="F263" s="408">
        <f t="shared" si="84"/>
        <v>43.780000000006112</v>
      </c>
      <c r="G263" s="409">
        <f t="shared" si="85"/>
        <v>1.2160621308310304E-3</v>
      </c>
      <c r="H263" s="408">
        <f t="shared" si="81"/>
        <v>13189.380000000005</v>
      </c>
      <c r="I263" s="409">
        <f t="shared" si="82"/>
        <v>0.57706801540962194</v>
      </c>
      <c r="L263" s="382">
        <v>1252.54</v>
      </c>
      <c r="M263" s="415">
        <f t="shared" si="80"/>
        <v>-6.1730354195759229E-3</v>
      </c>
      <c r="N263" s="415">
        <f t="shared" si="86"/>
        <v>0.34670135902287957</v>
      </c>
      <c r="O263" s="416" t="str">
        <f t="shared" si="87"/>
        <v>Yes</v>
      </c>
      <c r="P263" s="417">
        <f t="shared" si="89"/>
        <v>1</v>
      </c>
      <c r="Q263" s="415">
        <f>SUM($P$4:P263)/COUNT($P$4:P263)</f>
        <v>0.5346153846153846</v>
      </c>
      <c r="W263" s="417">
        <f t="shared" si="90"/>
        <v>0</v>
      </c>
      <c r="X263" s="415" t="e">
        <f>SUM($W$4:W263)/COUNT($W$4:W263)</f>
        <v>#DIV/0!</v>
      </c>
      <c r="Z263" s="405"/>
    </row>
    <row r="264" spans="1:26">
      <c r="A264" s="403">
        <f t="shared" si="88"/>
        <v>262</v>
      </c>
      <c r="B264" s="422">
        <f t="shared" si="79"/>
        <v>39660</v>
      </c>
      <c r="D264" s="411">
        <v>37261.08</v>
      </c>
      <c r="E264" s="408">
        <v>37261.08</v>
      </c>
      <c r="F264" s="408">
        <f t="shared" si="84"/>
        <v>1215.8499999999985</v>
      </c>
      <c r="G264" s="409">
        <f t="shared" si="85"/>
        <v>3.3731231566562325E-2</v>
      </c>
      <c r="H264" s="408">
        <f t="shared" si="81"/>
        <v>14405.230000000003</v>
      </c>
      <c r="I264" s="409">
        <f t="shared" si="82"/>
        <v>0.63026446183362261</v>
      </c>
      <c r="L264" s="382">
        <v>1267.3800000000001</v>
      </c>
      <c r="M264" s="415">
        <f t="shared" si="80"/>
        <v>1.1847925016366778E-2</v>
      </c>
      <c r="N264" s="415">
        <f t="shared" si="86"/>
        <v>0.36265697574402211</v>
      </c>
      <c r="O264" s="416" t="str">
        <f t="shared" si="87"/>
        <v>Yes</v>
      </c>
      <c r="P264" s="417">
        <f t="shared" si="89"/>
        <v>1</v>
      </c>
      <c r="Q264" s="415">
        <f>SUM($P$4:P264)/COUNT($P$4:P264)</f>
        <v>0.53639846743295017</v>
      </c>
      <c r="W264" s="417">
        <f t="shared" si="90"/>
        <v>0</v>
      </c>
      <c r="X264" s="415" t="e">
        <f>SUM($W$4:W264)/COUNT($W$4:W264)</f>
        <v>#DIV/0!</v>
      </c>
      <c r="Z264" s="405"/>
    </row>
    <row r="265" spans="1:26">
      <c r="A265" s="403">
        <f t="shared" si="88"/>
        <v>263</v>
      </c>
      <c r="B265" s="422">
        <f t="shared" si="79"/>
        <v>39667</v>
      </c>
      <c r="D265" s="411">
        <v>37004.269999999997</v>
      </c>
      <c r="E265" s="408">
        <v>37004.269999999997</v>
      </c>
      <c r="F265" s="408">
        <f t="shared" si="84"/>
        <v>-256.81000000000495</v>
      </c>
      <c r="G265" s="409">
        <f t="shared" si="85"/>
        <v>-6.8921781118530534E-3</v>
      </c>
      <c r="H265" s="408">
        <f t="shared" si="81"/>
        <v>14148.419999999998</v>
      </c>
      <c r="I265" s="409">
        <f t="shared" si="82"/>
        <v>0.61902838879324107</v>
      </c>
      <c r="L265" s="382">
        <v>1266.07</v>
      </c>
      <c r="M265" s="415">
        <f t="shared" si="80"/>
        <v>-1.033628430305189E-3</v>
      </c>
      <c r="N265" s="415">
        <f t="shared" si="86"/>
        <v>0.36124849475313936</v>
      </c>
      <c r="O265" s="416" t="str">
        <f t="shared" si="87"/>
        <v>No</v>
      </c>
      <c r="P265" s="417">
        <f t="shared" si="89"/>
        <v>0</v>
      </c>
      <c r="Q265" s="415">
        <f>SUM($P$4:P265)/COUNT($P$4:P265)</f>
        <v>0.53435114503816794</v>
      </c>
      <c r="W265" s="417">
        <f t="shared" si="90"/>
        <v>0</v>
      </c>
      <c r="X265" s="415" t="e">
        <f>SUM($W$4:W265)/COUNT($W$4:W265)</f>
        <v>#DIV/0!</v>
      </c>
      <c r="Z265" s="405"/>
    </row>
    <row r="266" spans="1:26">
      <c r="A266" s="403">
        <f t="shared" si="88"/>
        <v>264</v>
      </c>
      <c r="B266" s="422">
        <f t="shared" si="79"/>
        <v>39674</v>
      </c>
      <c r="D266" s="411">
        <v>36843.94</v>
      </c>
      <c r="E266" s="408">
        <v>36843.94</v>
      </c>
      <c r="F266" s="408">
        <f t="shared" si="84"/>
        <v>-160.32999999999447</v>
      </c>
      <c r="G266" s="409">
        <f t="shared" si="85"/>
        <v>-4.3327432212550976E-3</v>
      </c>
      <c r="H266" s="408">
        <f t="shared" si="81"/>
        <v>13988.090000000004</v>
      </c>
      <c r="I266" s="409">
        <f t="shared" si="82"/>
        <v>0.6120135545166776</v>
      </c>
      <c r="L266" s="382">
        <v>1292.93</v>
      </c>
      <c r="M266" s="415">
        <f t="shared" si="80"/>
        <v>2.1215256660374271E-2</v>
      </c>
      <c r="N266" s="415">
        <f t="shared" si="86"/>
        <v>0.39012773094787545</v>
      </c>
      <c r="O266" s="416" t="str">
        <f t="shared" si="87"/>
        <v>No</v>
      </c>
      <c r="P266" s="417">
        <f t="shared" si="89"/>
        <v>0</v>
      </c>
      <c r="Q266" s="415">
        <f>SUM($P$4:P266)/COUNT($P$4:P266)</f>
        <v>0.53231939163498099</v>
      </c>
      <c r="W266" s="417">
        <f t="shared" si="90"/>
        <v>0</v>
      </c>
      <c r="X266" s="415" t="e">
        <f>SUM($W$4:W266)/COUNT($W$4:W266)</f>
        <v>#DIV/0!</v>
      </c>
      <c r="Z266" s="405"/>
    </row>
    <row r="267" spans="1:26">
      <c r="A267" s="403">
        <f t="shared" si="88"/>
        <v>265</v>
      </c>
      <c r="B267" s="422">
        <f t="shared" ref="B267:B330" si="91">B266+7</f>
        <v>39681</v>
      </c>
      <c r="D267" s="411">
        <v>36990.07</v>
      </c>
      <c r="E267" s="408">
        <v>36990.07</v>
      </c>
      <c r="F267" s="408">
        <f t="shared" si="84"/>
        <v>146.12999999999738</v>
      </c>
      <c r="G267" s="409">
        <f t="shared" si="85"/>
        <v>3.9661881981134517E-3</v>
      </c>
      <c r="H267" s="408">
        <f t="shared" si="81"/>
        <v>14134.220000000001</v>
      </c>
      <c r="I267" s="409">
        <f t="shared" si="82"/>
        <v>0.6184071036518004</v>
      </c>
      <c r="L267" s="382">
        <v>1292.2</v>
      </c>
      <c r="M267" s="415">
        <f t="shared" ref="M267:M323" si="92">(L267/L266)-1</f>
        <v>-5.6460906622946005E-4</v>
      </c>
      <c r="N267" s="415">
        <f t="shared" si="86"/>
        <v>0.38934285222776532</v>
      </c>
      <c r="O267" s="416" t="str">
        <f t="shared" si="87"/>
        <v>Yes</v>
      </c>
      <c r="P267" s="417">
        <f t="shared" si="89"/>
        <v>1</v>
      </c>
      <c r="Q267" s="415">
        <f>SUM($P$4:P267)/COUNT($P$4:P267)</f>
        <v>0.53409090909090906</v>
      </c>
      <c r="W267" s="417">
        <f t="shared" si="90"/>
        <v>0</v>
      </c>
      <c r="X267" s="415" t="e">
        <f>SUM($W$4:W267)/COUNT($W$4:W267)</f>
        <v>#DIV/0!</v>
      </c>
      <c r="Z267" s="405"/>
    </row>
    <row r="268" spans="1:26">
      <c r="A268" s="403">
        <f t="shared" si="88"/>
        <v>266</v>
      </c>
      <c r="B268" s="422">
        <f t="shared" si="91"/>
        <v>39688</v>
      </c>
      <c r="D268" s="411">
        <v>36245.360000000001</v>
      </c>
      <c r="E268" s="408">
        <v>36245.360000000001</v>
      </c>
      <c r="F268" s="408">
        <f t="shared" si="84"/>
        <v>-744.70999999999913</v>
      </c>
      <c r="G268" s="409">
        <f t="shared" si="85"/>
        <v>-2.0132700478804111E-2</v>
      </c>
      <c r="H268" s="408">
        <f t="shared" si="81"/>
        <v>13389.510000000002</v>
      </c>
      <c r="I268" s="409">
        <f t="shared" si="82"/>
        <v>0.58582419818120979</v>
      </c>
      <c r="L268" s="382">
        <v>1282.83</v>
      </c>
      <c r="M268" s="415">
        <f t="shared" si="92"/>
        <v>-7.2511995047207511E-3</v>
      </c>
      <c r="N268" s="415">
        <f t="shared" si="86"/>
        <v>0.37926845002580412</v>
      </c>
      <c r="O268" s="416" t="str">
        <f t="shared" si="87"/>
        <v>No</v>
      </c>
      <c r="P268" s="417">
        <f t="shared" si="89"/>
        <v>0</v>
      </c>
      <c r="Q268" s="415">
        <f>SUM($P$4:P268)/COUNT($P$4:P268)</f>
        <v>0.5320754716981132</v>
      </c>
      <c r="W268" s="417">
        <f t="shared" si="90"/>
        <v>0</v>
      </c>
      <c r="X268" s="415" t="e">
        <f>SUM($W$4:W268)/COUNT($W$4:W268)</f>
        <v>#DIV/0!</v>
      </c>
      <c r="Z268" s="405"/>
    </row>
    <row r="269" spans="1:26">
      <c r="A269" s="403">
        <f t="shared" si="88"/>
        <v>267</v>
      </c>
      <c r="B269" s="422">
        <f t="shared" si="91"/>
        <v>39695</v>
      </c>
      <c r="D269" s="411">
        <v>35105.050000000003</v>
      </c>
      <c r="E269" s="408">
        <v>35105.050000000003</v>
      </c>
      <c r="F269" s="408">
        <f t="shared" si="84"/>
        <v>-1140.3099999999977</v>
      </c>
      <c r="G269" s="409">
        <f t="shared" si="85"/>
        <v>-3.1460854575592556E-2</v>
      </c>
      <c r="H269" s="408">
        <f t="shared" si="81"/>
        <v>12249.200000000004</v>
      </c>
      <c r="I269" s="409">
        <f t="shared" si="82"/>
        <v>0.53593281369977519</v>
      </c>
      <c r="L269" s="382">
        <v>1242.31</v>
      </c>
      <c r="M269" s="415">
        <f t="shared" si="92"/>
        <v>-3.1586414411886254E-2</v>
      </c>
      <c r="N269" s="415">
        <f t="shared" si="86"/>
        <v>0.335702305178049</v>
      </c>
      <c r="O269" s="416" t="str">
        <f t="shared" si="87"/>
        <v>Yes</v>
      </c>
      <c r="P269" s="417">
        <f t="shared" si="89"/>
        <v>1</v>
      </c>
      <c r="Q269" s="415">
        <f>SUM($P$4:P269)/COUNT($P$4:P269)</f>
        <v>0.53383458646616544</v>
      </c>
      <c r="W269" s="417">
        <f t="shared" si="90"/>
        <v>0</v>
      </c>
      <c r="X269" s="415" t="e">
        <f>SUM($W$4:W269)/COUNT($W$4:W269)</f>
        <v>#DIV/0!</v>
      </c>
      <c r="Z269" s="405"/>
    </row>
    <row r="270" spans="1:26">
      <c r="A270" s="403">
        <f t="shared" si="88"/>
        <v>268</v>
      </c>
      <c r="B270" s="422">
        <f t="shared" si="91"/>
        <v>39702</v>
      </c>
      <c r="D270" s="411">
        <v>35100.04</v>
      </c>
      <c r="E270" s="408">
        <v>35100.04</v>
      </c>
      <c r="F270" s="408">
        <f t="shared" si="84"/>
        <v>-5.0100000000020373</v>
      </c>
      <c r="G270" s="409">
        <f t="shared" si="85"/>
        <v>-1.4271450973579736E-4</v>
      </c>
      <c r="H270" s="408">
        <f t="shared" si="81"/>
        <v>12244.190000000002</v>
      </c>
      <c r="I270" s="409">
        <f t="shared" si="82"/>
        <v>0.5357136138012808</v>
      </c>
      <c r="L270" s="382">
        <v>1251.7</v>
      </c>
      <c r="M270" s="415">
        <f t="shared" si="92"/>
        <v>7.5584998913316159E-3</v>
      </c>
      <c r="N270" s="415">
        <f t="shared" si="86"/>
        <v>0.34579821090658869</v>
      </c>
      <c r="O270" s="416" t="str">
        <f t="shared" si="87"/>
        <v>No</v>
      </c>
      <c r="P270" s="417">
        <f t="shared" si="89"/>
        <v>0</v>
      </c>
      <c r="Q270" s="415">
        <f>SUM($P$4:P270)/COUNT($P$4:P270)</f>
        <v>0.53183520599250933</v>
      </c>
      <c r="W270" s="417">
        <f t="shared" si="90"/>
        <v>0</v>
      </c>
      <c r="X270" s="415" t="e">
        <f>SUM($W$4:W270)/COUNT($W$4:W270)</f>
        <v>#DIV/0!</v>
      </c>
      <c r="Z270" s="405"/>
    </row>
    <row r="271" spans="1:26">
      <c r="A271" s="403">
        <f t="shared" si="88"/>
        <v>269</v>
      </c>
      <c r="B271" s="422">
        <f t="shared" si="91"/>
        <v>39709</v>
      </c>
      <c r="D271" s="411">
        <v>34052.67</v>
      </c>
      <c r="E271" s="408">
        <v>34052.67</v>
      </c>
      <c r="F271" s="408">
        <f t="shared" si="84"/>
        <v>-1047.3700000000026</v>
      </c>
      <c r="G271" s="409">
        <f t="shared" si="85"/>
        <v>-2.9839567134396505E-2</v>
      </c>
      <c r="H271" s="408">
        <f t="shared" si="81"/>
        <v>11196.82</v>
      </c>
      <c r="I271" s="409">
        <f t="shared" si="82"/>
        <v>0.48988858432305071</v>
      </c>
      <c r="L271" s="382">
        <v>1255.08</v>
      </c>
      <c r="M271" s="415">
        <f t="shared" si="92"/>
        <v>2.70032755452565E-3</v>
      </c>
      <c r="N271" s="415">
        <f t="shared" si="86"/>
        <v>0.34943230689833116</v>
      </c>
      <c r="O271" s="416" t="str">
        <f t="shared" si="87"/>
        <v>No</v>
      </c>
      <c r="P271" s="417">
        <f t="shared" si="89"/>
        <v>0</v>
      </c>
      <c r="Q271" s="415">
        <f>SUM($P$4:P271)/COUNT($P$4:P271)</f>
        <v>0.52985074626865669</v>
      </c>
      <c r="W271" s="417">
        <f t="shared" si="90"/>
        <v>0</v>
      </c>
      <c r="X271" s="415" t="e">
        <f>SUM($W$4:W271)/COUNT($W$4:W271)</f>
        <v>#DIV/0!</v>
      </c>
      <c r="Z271" s="405"/>
    </row>
    <row r="272" spans="1:26">
      <c r="A272" s="403">
        <f t="shared" si="88"/>
        <v>270</v>
      </c>
      <c r="B272" s="422">
        <f t="shared" si="91"/>
        <v>39716</v>
      </c>
      <c r="D272" s="411">
        <v>34576.71</v>
      </c>
      <c r="E272" s="408">
        <v>34576.71</v>
      </c>
      <c r="F272" s="408">
        <f t="shared" si="84"/>
        <v>524.04000000000087</v>
      </c>
      <c r="G272" s="409">
        <f t="shared" si="85"/>
        <v>1.5389101647536041E-2</v>
      </c>
      <c r="H272" s="408">
        <f t="shared" si="81"/>
        <v>11720.86</v>
      </c>
      <c r="I272" s="409">
        <f t="shared" si="82"/>
        <v>0.51281663119070187</v>
      </c>
      <c r="L272" s="382">
        <v>1213.27</v>
      </c>
      <c r="M272" s="415">
        <f t="shared" si="92"/>
        <v>-3.331261752238901E-2</v>
      </c>
      <c r="N272" s="415">
        <f t="shared" si="86"/>
        <v>0.30447918458627199</v>
      </c>
      <c r="O272" s="416" t="str">
        <f t="shared" si="87"/>
        <v>Yes</v>
      </c>
      <c r="P272" s="417">
        <f t="shared" si="89"/>
        <v>1</v>
      </c>
      <c r="Q272" s="415">
        <f>SUM($P$4:P272)/COUNT($P$4:P272)</f>
        <v>0.53159851301115246</v>
      </c>
      <c r="W272" s="417">
        <f t="shared" si="90"/>
        <v>0</v>
      </c>
      <c r="X272" s="415" t="e">
        <f>SUM($W$4:W272)/COUNT($W$4:W272)</f>
        <v>#DIV/0!</v>
      </c>
      <c r="Z272" s="405"/>
    </row>
    <row r="273" spans="1:26">
      <c r="A273" s="403">
        <f t="shared" si="88"/>
        <v>271</v>
      </c>
      <c r="B273" s="422">
        <f t="shared" si="91"/>
        <v>39723</v>
      </c>
      <c r="D273" s="411">
        <v>32170.22</v>
      </c>
      <c r="E273" s="408">
        <v>32170.22</v>
      </c>
      <c r="F273" s="408">
        <f t="shared" si="84"/>
        <v>-2406.489999999998</v>
      </c>
      <c r="G273" s="409">
        <f t="shared" si="85"/>
        <v>-6.9598582398383124E-2</v>
      </c>
      <c r="H273" s="408">
        <f t="shared" si="81"/>
        <v>9314.3700000000026</v>
      </c>
      <c r="I273" s="409">
        <f t="shared" si="82"/>
        <v>0.40752673823113139</v>
      </c>
      <c r="L273" s="382">
        <v>1099.23</v>
      </c>
      <c r="M273" s="415">
        <f t="shared" si="92"/>
        <v>-9.399391726491213E-2</v>
      </c>
      <c r="N273" s="415">
        <f t="shared" si="86"/>
        <v>0.18186607603646987</v>
      </c>
      <c r="O273" s="416" t="str">
        <f t="shared" si="87"/>
        <v>Yes</v>
      </c>
      <c r="P273" s="417">
        <f t="shared" si="89"/>
        <v>1</v>
      </c>
      <c r="Q273" s="415">
        <f>SUM($P$4:P273)/COUNT($P$4:P273)</f>
        <v>0.53333333333333333</v>
      </c>
      <c r="W273" s="417">
        <f t="shared" si="90"/>
        <v>0</v>
      </c>
      <c r="X273" s="415" t="e">
        <f>SUM($W$4:W273)/COUNT($W$4:W273)</f>
        <v>#DIV/0!</v>
      </c>
      <c r="Z273" s="405"/>
    </row>
    <row r="274" spans="1:26">
      <c r="A274" s="403">
        <f t="shared" si="88"/>
        <v>272</v>
      </c>
      <c r="B274" s="422">
        <f t="shared" si="91"/>
        <v>39730</v>
      </c>
      <c r="D274" s="411">
        <v>26110.18</v>
      </c>
      <c r="E274" s="408">
        <v>26110.18</v>
      </c>
      <c r="F274" s="408">
        <f t="shared" si="84"/>
        <v>-6060.0400000000009</v>
      </c>
      <c r="G274" s="409">
        <f t="shared" si="85"/>
        <v>-0.18837421689997769</v>
      </c>
      <c r="H274" s="408">
        <f t="shared" si="81"/>
        <v>3254.3300000000017</v>
      </c>
      <c r="I274" s="409">
        <f t="shared" si="82"/>
        <v>0.14238499115106196</v>
      </c>
      <c r="L274" s="382">
        <v>899.22</v>
      </c>
      <c r="M274" s="415">
        <f t="shared" si="92"/>
        <v>-0.18195464097595593</v>
      </c>
      <c r="N274" s="415">
        <f t="shared" si="86"/>
        <v>-3.3179941510407707E-2</v>
      </c>
      <c r="O274" s="416" t="str">
        <f t="shared" si="87"/>
        <v>No</v>
      </c>
      <c r="P274" s="417">
        <f t="shared" si="89"/>
        <v>0</v>
      </c>
      <c r="Q274" s="415">
        <f>SUM($P$4:P274)/COUNT($P$4:P274)</f>
        <v>0.53136531365313655</v>
      </c>
      <c r="W274" s="417">
        <f t="shared" si="90"/>
        <v>0</v>
      </c>
      <c r="X274" s="415" t="e">
        <f>SUM($W$4:W274)/COUNT($W$4:W274)</f>
        <v>#DIV/0!</v>
      </c>
      <c r="Z274" s="405"/>
    </row>
    <row r="275" spans="1:26">
      <c r="A275" s="403">
        <f t="shared" si="88"/>
        <v>273</v>
      </c>
      <c r="B275" s="422">
        <f t="shared" si="91"/>
        <v>39737</v>
      </c>
      <c r="D275" s="411">
        <v>27300</v>
      </c>
      <c r="E275" s="408">
        <v>27300</v>
      </c>
      <c r="F275" s="408">
        <f t="shared" si="84"/>
        <v>1189.8199999999997</v>
      </c>
      <c r="G275" s="409">
        <f t="shared" si="85"/>
        <v>4.5569199446346298E-2</v>
      </c>
      <c r="H275" s="408">
        <f t="shared" si="81"/>
        <v>4444.1500000000015</v>
      </c>
      <c r="I275" s="409">
        <f t="shared" si="82"/>
        <v>0.19444256065733723</v>
      </c>
      <c r="L275" s="382">
        <v>940.55</v>
      </c>
      <c r="M275" s="415">
        <f t="shared" si="92"/>
        <v>4.5962056004092311E-2</v>
      </c>
      <c r="N275" s="415">
        <f t="shared" si="86"/>
        <v>1.1257096163770797E-2</v>
      </c>
      <c r="O275" s="416" t="str">
        <f t="shared" si="87"/>
        <v>No</v>
      </c>
      <c r="P275" s="417">
        <f t="shared" si="89"/>
        <v>0</v>
      </c>
      <c r="Q275" s="415">
        <f>SUM($P$4:P275)/COUNT($P$4:P275)</f>
        <v>0.52941176470588236</v>
      </c>
      <c r="W275" s="417">
        <f t="shared" si="90"/>
        <v>0</v>
      </c>
      <c r="X275" s="415" t="e">
        <f>SUM($W$4:W275)/COUNT($W$4:W275)</f>
        <v>#DIV/0!</v>
      </c>
      <c r="Z275" s="405"/>
    </row>
    <row r="276" spans="1:26">
      <c r="A276" s="403">
        <f t="shared" si="88"/>
        <v>274</v>
      </c>
      <c r="B276" s="422">
        <f t="shared" si="91"/>
        <v>39744</v>
      </c>
      <c r="D276" s="411">
        <v>26069.88</v>
      </c>
      <c r="E276" s="408">
        <v>26069.88</v>
      </c>
      <c r="F276" s="408">
        <f t="shared" si="84"/>
        <v>-1230.119999999999</v>
      </c>
      <c r="G276" s="409">
        <f t="shared" si="85"/>
        <v>-4.5059340659340585E-2</v>
      </c>
      <c r="H276" s="408">
        <f t="shared" si="81"/>
        <v>3214.0300000000025</v>
      </c>
      <c r="I276" s="409">
        <f t="shared" si="82"/>
        <v>0.14062176641866309</v>
      </c>
      <c r="L276" s="382">
        <v>876.77</v>
      </c>
      <c r="M276" s="415">
        <f t="shared" si="92"/>
        <v>-6.7811386954441555E-2</v>
      </c>
      <c r="N276" s="415">
        <f t="shared" si="86"/>
        <v>-5.7317650094615535E-2</v>
      </c>
      <c r="O276" s="416" t="str">
        <f t="shared" si="87"/>
        <v>Yes</v>
      </c>
      <c r="P276" s="417">
        <f t="shared" si="89"/>
        <v>1</v>
      </c>
      <c r="Q276" s="415">
        <f>SUM($P$4:P276)/COUNT($P$4:P276)</f>
        <v>0.53113553113553114</v>
      </c>
      <c r="W276" s="417">
        <f t="shared" si="90"/>
        <v>0</v>
      </c>
      <c r="X276" s="415" t="e">
        <f>SUM($W$4:W276)/COUNT($W$4:W276)</f>
        <v>#DIV/0!</v>
      </c>
      <c r="Z276" s="405"/>
    </row>
    <row r="277" spans="1:26">
      <c r="A277" s="403">
        <f t="shared" si="88"/>
        <v>275</v>
      </c>
      <c r="B277" s="422">
        <f t="shared" si="91"/>
        <v>39751</v>
      </c>
      <c r="D277" s="411">
        <v>26893.040000000001</v>
      </c>
      <c r="E277" s="408">
        <v>26893.040000000001</v>
      </c>
      <c r="F277" s="408">
        <f t="shared" si="84"/>
        <v>823.15999999999985</v>
      </c>
      <c r="G277" s="409">
        <f t="shared" si="85"/>
        <v>3.1575135750528949E-2</v>
      </c>
      <c r="H277" s="408">
        <f t="shared" si="81"/>
        <v>4037.1900000000023</v>
      </c>
      <c r="I277" s="409">
        <f t="shared" si="82"/>
        <v>0.17663705353334058</v>
      </c>
      <c r="L277" s="382">
        <v>968.75</v>
      </c>
      <c r="M277" s="415">
        <f t="shared" si="92"/>
        <v>0.10490778653466704</v>
      </c>
      <c r="N277" s="415">
        <f t="shared" si="86"/>
        <v>4.1577068639256698E-2</v>
      </c>
      <c r="O277" s="416" t="str">
        <f t="shared" si="87"/>
        <v>No</v>
      </c>
      <c r="P277" s="417">
        <f t="shared" si="89"/>
        <v>0</v>
      </c>
      <c r="Q277" s="415">
        <f>SUM($P$4:P277)/COUNT($P$4:P277)</f>
        <v>0.52919708029197077</v>
      </c>
      <c r="W277" s="417">
        <f t="shared" si="90"/>
        <v>0</v>
      </c>
      <c r="X277" s="415" t="e">
        <f>SUM($W$4:W277)/COUNT($W$4:W277)</f>
        <v>#DIV/0!</v>
      </c>
      <c r="Z277" s="405"/>
    </row>
    <row r="278" spans="1:26">
      <c r="A278" s="403">
        <f t="shared" si="88"/>
        <v>276</v>
      </c>
      <c r="B278" s="422">
        <f t="shared" si="91"/>
        <v>39758</v>
      </c>
      <c r="D278" s="411">
        <v>26651.17</v>
      </c>
      <c r="E278" s="408">
        <v>26651.17</v>
      </c>
      <c r="F278" s="408">
        <f t="shared" si="84"/>
        <v>-241.87000000000262</v>
      </c>
      <c r="G278" s="409">
        <f t="shared" si="85"/>
        <v>-8.9937768285028863E-3</v>
      </c>
      <c r="H278" s="408">
        <f t="shared" si="81"/>
        <v>3795.3199999999997</v>
      </c>
      <c r="I278" s="409">
        <f t="shared" si="82"/>
        <v>0.16605464246571455</v>
      </c>
      <c r="L278" s="382">
        <v>930.99</v>
      </c>
      <c r="M278" s="415">
        <f t="shared" si="92"/>
        <v>-3.8978064516129063E-2</v>
      </c>
      <c r="N278" s="415">
        <f t="shared" si="86"/>
        <v>9.7841045931534865E-4</v>
      </c>
      <c r="O278" s="416" t="str">
        <f t="shared" si="87"/>
        <v>Yes</v>
      </c>
      <c r="P278" s="417">
        <f t="shared" si="89"/>
        <v>1</v>
      </c>
      <c r="Q278" s="415">
        <f>SUM($P$4:P278)/COUNT($P$4:P278)</f>
        <v>0.53090909090909089</v>
      </c>
      <c r="W278" s="417">
        <f t="shared" si="90"/>
        <v>0</v>
      </c>
      <c r="X278" s="415" t="e">
        <f>SUM($W$4:W278)/COUNT($W$4:W278)</f>
        <v>#DIV/0!</v>
      </c>
      <c r="Z278" s="405"/>
    </row>
    <row r="279" spans="1:26">
      <c r="A279" s="403">
        <f t="shared" si="88"/>
        <v>277</v>
      </c>
      <c r="B279" s="422">
        <f t="shared" si="91"/>
        <v>39765</v>
      </c>
      <c r="D279" s="411">
        <v>26342.12</v>
      </c>
      <c r="E279" s="408">
        <v>26342.12</v>
      </c>
      <c r="F279" s="408">
        <f t="shared" si="84"/>
        <v>-309.04999999999927</v>
      </c>
      <c r="G279" s="409">
        <f t="shared" si="85"/>
        <v>-1.1596113791627172E-2</v>
      </c>
      <c r="H279" s="408">
        <f t="shared" si="81"/>
        <v>3486.2700000000004</v>
      </c>
      <c r="I279" s="409">
        <f t="shared" si="82"/>
        <v>0.15253294014442687</v>
      </c>
      <c r="L279" s="382">
        <v>873.29</v>
      </c>
      <c r="M279" s="415">
        <f t="shared" si="92"/>
        <v>-6.1977035199089148E-2</v>
      </c>
      <c r="N279" s="415">
        <f t="shared" si="86"/>
        <v>-6.1059263719250079E-2</v>
      </c>
      <c r="O279" s="416" t="str">
        <f t="shared" si="87"/>
        <v>Yes</v>
      </c>
      <c r="P279" s="417">
        <f t="shared" si="89"/>
        <v>1</v>
      </c>
      <c r="Q279" s="415">
        <f>SUM($P$4:P279)/COUNT($P$4:P279)</f>
        <v>0.53260869565217395</v>
      </c>
      <c r="W279" s="417">
        <f t="shared" si="90"/>
        <v>0</v>
      </c>
      <c r="X279" s="415" t="e">
        <f>SUM($W$4:W279)/COUNT($W$4:W279)</f>
        <v>#DIV/0!</v>
      </c>
      <c r="Z279" s="405"/>
    </row>
    <row r="280" spans="1:26">
      <c r="A280" s="403">
        <f t="shared" si="88"/>
        <v>278</v>
      </c>
      <c r="B280" s="422">
        <f t="shared" si="91"/>
        <v>39772</v>
      </c>
      <c r="D280" s="411">
        <v>26129.34</v>
      </c>
      <c r="E280" s="408">
        <v>26129.34</v>
      </c>
      <c r="F280" s="408">
        <f t="shared" si="84"/>
        <v>-212.77999999999884</v>
      </c>
      <c r="G280" s="409">
        <f t="shared" si="85"/>
        <v>-8.0775579186488367E-3</v>
      </c>
      <c r="H280" s="408">
        <f t="shared" si="81"/>
        <v>3273.4900000000016</v>
      </c>
      <c r="I280" s="409">
        <f t="shared" si="82"/>
        <v>0.14322328856725974</v>
      </c>
      <c r="L280" s="382">
        <v>800.03</v>
      </c>
      <c r="M280" s="415">
        <f t="shared" si="92"/>
        <v>-8.3889658647184784E-2</v>
      </c>
      <c r="N280" s="415">
        <f t="shared" si="86"/>
        <v>-0.13982668157577849</v>
      </c>
      <c r="O280" s="416" t="str">
        <f t="shared" si="87"/>
        <v>Yes</v>
      </c>
      <c r="P280" s="417">
        <f t="shared" si="89"/>
        <v>1</v>
      </c>
      <c r="Q280" s="415">
        <f>SUM($P$4:P280)/COUNT($P$4:P280)</f>
        <v>0.53429602888086647</v>
      </c>
      <c r="W280" s="417">
        <f t="shared" si="90"/>
        <v>0</v>
      </c>
      <c r="X280" s="415" t="e">
        <f>SUM($W$4:W280)/COUNT($W$4:W280)</f>
        <v>#DIV/0!</v>
      </c>
      <c r="Z280" s="405"/>
    </row>
    <row r="281" spans="1:26">
      <c r="A281" s="403">
        <f t="shared" si="88"/>
        <v>279</v>
      </c>
      <c r="B281" s="422">
        <f t="shared" si="91"/>
        <v>39779</v>
      </c>
      <c r="D281" s="411">
        <v>25639.75</v>
      </c>
      <c r="E281" s="408">
        <v>25639.75</v>
      </c>
      <c r="F281" s="408">
        <f t="shared" si="84"/>
        <v>-489.59000000000015</v>
      </c>
      <c r="G281" s="409">
        <f t="shared" si="85"/>
        <v>-1.8737174379452326E-2</v>
      </c>
      <c r="H281" s="408">
        <f t="shared" si="81"/>
        <v>2783.9000000000015</v>
      </c>
      <c r="I281" s="409">
        <f t="shared" si="82"/>
        <v>0.1218025144547239</v>
      </c>
      <c r="L281" s="382">
        <v>896.24</v>
      </c>
      <c r="M281" s="415">
        <f t="shared" si="92"/>
        <v>0.12025799032536288</v>
      </c>
      <c r="N281" s="415">
        <f t="shared" si="86"/>
        <v>-3.6383966970583215E-2</v>
      </c>
      <c r="O281" s="416" t="str">
        <f t="shared" si="87"/>
        <v>No</v>
      </c>
      <c r="P281" s="417">
        <f t="shared" si="89"/>
        <v>0</v>
      </c>
      <c r="Q281" s="415">
        <f>SUM($P$4:P281)/COUNT($P$4:P281)</f>
        <v>0.53237410071942448</v>
      </c>
      <c r="W281" s="417">
        <f t="shared" si="90"/>
        <v>0</v>
      </c>
      <c r="X281" s="415" t="e">
        <f>SUM($W$4:W281)/COUNT($W$4:W281)</f>
        <v>#DIV/0!</v>
      </c>
      <c r="Z281" s="405"/>
    </row>
    <row r="282" spans="1:26">
      <c r="A282" s="403">
        <f t="shared" si="88"/>
        <v>280</v>
      </c>
      <c r="B282" s="422">
        <f t="shared" si="91"/>
        <v>39786</v>
      </c>
      <c r="D282" s="411">
        <v>25732.83</v>
      </c>
      <c r="E282" s="408">
        <v>25732.83</v>
      </c>
      <c r="F282" s="408">
        <f t="shared" si="84"/>
        <v>93.080000000001746</v>
      </c>
      <c r="G282" s="409">
        <f t="shared" si="85"/>
        <v>3.6303006074553945E-3</v>
      </c>
      <c r="H282" s="408">
        <f t="shared" si="81"/>
        <v>2876.9800000000032</v>
      </c>
      <c r="I282" s="409">
        <f t="shared" si="82"/>
        <v>0.12587499480439379</v>
      </c>
      <c r="L282" s="382">
        <v>876.07</v>
      </c>
      <c r="M282" s="415">
        <f t="shared" si="92"/>
        <v>-2.2505132553780172E-2</v>
      </c>
      <c r="N282" s="415">
        <f t="shared" si="86"/>
        <v>-5.8070273524858051E-2</v>
      </c>
      <c r="O282" s="416" t="str">
        <f t="shared" si="87"/>
        <v>Yes</v>
      </c>
      <c r="P282" s="417">
        <f t="shared" si="89"/>
        <v>1</v>
      </c>
      <c r="Q282" s="415">
        <f>SUM($P$4:P282)/COUNT($P$4:P282)</f>
        <v>0.53405017921146958</v>
      </c>
      <c r="W282" s="417">
        <f t="shared" si="90"/>
        <v>0</v>
      </c>
      <c r="X282" s="415" t="e">
        <f>SUM($W$4:W282)/COUNT($W$4:W282)</f>
        <v>#DIV/0!</v>
      </c>
      <c r="Z282" s="405"/>
    </row>
    <row r="283" spans="1:26">
      <c r="A283" s="403">
        <f t="shared" si="88"/>
        <v>281</v>
      </c>
      <c r="B283" s="422">
        <f t="shared" si="91"/>
        <v>39793</v>
      </c>
      <c r="D283" s="411">
        <v>25901.23</v>
      </c>
      <c r="E283" s="408">
        <v>25901.23</v>
      </c>
      <c r="F283" s="408">
        <f t="shared" si="84"/>
        <v>168.39999999999782</v>
      </c>
      <c r="G283" s="409">
        <f t="shared" si="85"/>
        <v>6.5441694520189664E-3</v>
      </c>
      <c r="H283" s="408">
        <f t="shared" si="81"/>
        <v>3045.380000000001</v>
      </c>
      <c r="I283" s="409">
        <f t="shared" si="82"/>
        <v>0.13324291155218471</v>
      </c>
      <c r="L283" s="382">
        <v>879.73</v>
      </c>
      <c r="M283" s="415">
        <f t="shared" si="92"/>
        <v>4.177748353441979E-3</v>
      </c>
      <c r="N283" s="415">
        <f t="shared" si="86"/>
        <v>-5.4135128161018398E-2</v>
      </c>
      <c r="O283" s="416" t="str">
        <f t="shared" si="87"/>
        <v>Yes</v>
      </c>
      <c r="P283" s="417">
        <f t="shared" si="89"/>
        <v>1</v>
      </c>
      <c r="Q283" s="415">
        <f>SUM($P$4:P283)/COUNT($P$4:P283)</f>
        <v>0.5357142857142857</v>
      </c>
      <c r="W283" s="417">
        <f t="shared" si="90"/>
        <v>0</v>
      </c>
      <c r="X283" s="415" t="e">
        <f>SUM($W$4:W283)/COUNT($W$4:W283)</f>
        <v>#DIV/0!</v>
      </c>
      <c r="Z283" s="405"/>
    </row>
    <row r="284" spans="1:26">
      <c r="A284" s="403">
        <f t="shared" si="88"/>
        <v>282</v>
      </c>
      <c r="B284" s="422">
        <f t="shared" si="91"/>
        <v>39800</v>
      </c>
      <c r="D284" s="411">
        <v>26105.83</v>
      </c>
      <c r="E284" s="408">
        <v>26105.83</v>
      </c>
      <c r="F284" s="408">
        <f t="shared" si="84"/>
        <v>204.60000000000218</v>
      </c>
      <c r="G284" s="409">
        <f t="shared" si="85"/>
        <v>7.8992387620202553E-3</v>
      </c>
      <c r="H284" s="408">
        <f t="shared" si="81"/>
        <v>3249.9800000000032</v>
      </c>
      <c r="I284" s="409">
        <f t="shared" si="82"/>
        <v>0.14219466788590251</v>
      </c>
      <c r="L284" s="382">
        <v>887.88</v>
      </c>
      <c r="M284" s="415">
        <f t="shared" si="92"/>
        <v>9.2642060632239787E-3</v>
      </c>
      <c r="N284" s="415">
        <f t="shared" si="86"/>
        <v>-4.5372441080337222E-2</v>
      </c>
      <c r="O284" s="416" t="str">
        <f t="shared" si="87"/>
        <v>No</v>
      </c>
      <c r="P284" s="417">
        <f t="shared" si="89"/>
        <v>0</v>
      </c>
      <c r="Q284" s="415">
        <f>SUM($P$4:P284)/COUNT($P$4:P284)</f>
        <v>0.53380782918149461</v>
      </c>
      <c r="W284" s="417">
        <f t="shared" si="90"/>
        <v>0</v>
      </c>
      <c r="X284" s="415" t="e">
        <f>SUM($W$4:W284)/COUNT($W$4:W284)</f>
        <v>#DIV/0!</v>
      </c>
      <c r="Z284" s="405"/>
    </row>
    <row r="285" spans="1:26">
      <c r="A285" s="403">
        <f t="shared" si="88"/>
        <v>283</v>
      </c>
      <c r="B285" s="422">
        <f t="shared" si="91"/>
        <v>39807</v>
      </c>
      <c r="D285" s="411">
        <v>25998.34</v>
      </c>
      <c r="E285" s="408">
        <v>25998.34</v>
      </c>
      <c r="F285" s="408">
        <f t="shared" si="84"/>
        <v>-107.4900000000016</v>
      </c>
      <c r="G285" s="409">
        <f t="shared" si="85"/>
        <v>-4.1174710782994062E-3</v>
      </c>
      <c r="H285" s="408">
        <f t="shared" si="81"/>
        <v>3142.4900000000016</v>
      </c>
      <c r="I285" s="409">
        <f t="shared" si="82"/>
        <v>0.13749171437509444</v>
      </c>
      <c r="L285" s="382">
        <v>872.8</v>
      </c>
      <c r="M285" s="415">
        <f t="shared" si="92"/>
        <v>-1.6984277154570515E-2</v>
      </c>
      <c r="N285" s="415">
        <f t="shared" si="86"/>
        <v>-6.1586100120419873E-2</v>
      </c>
      <c r="O285" s="416" t="str">
        <f t="shared" si="87"/>
        <v>Yes</v>
      </c>
      <c r="P285" s="417">
        <f t="shared" si="89"/>
        <v>1</v>
      </c>
      <c r="Q285" s="415">
        <f>SUM($P$4:P285)/COUNT($P$4:P285)</f>
        <v>0.53546099290780147</v>
      </c>
      <c r="W285" s="417">
        <f t="shared" si="90"/>
        <v>0</v>
      </c>
      <c r="X285" s="415" t="e">
        <f>SUM($W$4:W285)/COUNT($W$4:W285)</f>
        <v>#DIV/0!</v>
      </c>
      <c r="Z285" s="405"/>
    </row>
    <row r="286" spans="1:26">
      <c r="A286" s="403">
        <f t="shared" si="88"/>
        <v>284</v>
      </c>
      <c r="B286" s="422">
        <f t="shared" si="91"/>
        <v>39814</v>
      </c>
      <c r="D286" s="411">
        <v>26188.93</v>
      </c>
      <c r="E286" s="408">
        <v>26188.93</v>
      </c>
      <c r="F286" s="408">
        <f t="shared" si="84"/>
        <v>190.59000000000015</v>
      </c>
      <c r="G286" s="409">
        <f t="shared" si="85"/>
        <v>7.3308526621314041E-3</v>
      </c>
      <c r="H286" s="408">
        <f t="shared" si="81"/>
        <v>3333.0800000000017</v>
      </c>
      <c r="I286" s="409">
        <f t="shared" si="82"/>
        <v>0.14583049853757357</v>
      </c>
      <c r="L286" s="382">
        <v>931.8</v>
      </c>
      <c r="M286" s="415">
        <f t="shared" si="92"/>
        <v>6.759853345554534E-2</v>
      </c>
      <c r="N286" s="415">
        <f t="shared" si="86"/>
        <v>1.8493032857387348E-3</v>
      </c>
      <c r="O286" s="416" t="str">
        <f t="shared" si="87"/>
        <v>No</v>
      </c>
      <c r="P286" s="417">
        <f t="shared" si="89"/>
        <v>0</v>
      </c>
      <c r="Q286" s="415">
        <f>SUM($P$4:P286)/COUNT($P$4:P286)</f>
        <v>0.53356890459363959</v>
      </c>
      <c r="W286" s="417">
        <f t="shared" si="90"/>
        <v>0</v>
      </c>
      <c r="X286" s="415" t="e">
        <f>SUM($W$4:W286)/COUNT($W$4:W286)</f>
        <v>#DIV/0!</v>
      </c>
      <c r="Z286" s="405"/>
    </row>
    <row r="287" spans="1:26">
      <c r="A287" s="403">
        <f t="shared" si="88"/>
        <v>285</v>
      </c>
      <c r="B287" s="422">
        <f t="shared" si="91"/>
        <v>39821</v>
      </c>
      <c r="D287" s="411">
        <v>25940.33</v>
      </c>
      <c r="E287" s="408">
        <v>25940.33</v>
      </c>
      <c r="F287" s="408">
        <f t="shared" si="84"/>
        <v>-248.59999999999854</v>
      </c>
      <c r="G287" s="409">
        <f t="shared" si="85"/>
        <v>-9.4925604062479074E-3</v>
      </c>
      <c r="H287" s="408">
        <f t="shared" si="81"/>
        <v>3084.4800000000032</v>
      </c>
      <c r="I287" s="409">
        <f t="shared" si="82"/>
        <v>0.13495363331488441</v>
      </c>
      <c r="L287" s="382">
        <v>890.35</v>
      </c>
      <c r="M287" s="415">
        <f t="shared" si="92"/>
        <v>-4.4483794805752264E-2</v>
      </c>
      <c r="N287" s="415">
        <f t="shared" si="86"/>
        <v>-4.2716755547909879E-2</v>
      </c>
      <c r="O287" s="416" t="str">
        <f t="shared" si="87"/>
        <v>Yes</v>
      </c>
      <c r="P287" s="417">
        <f t="shared" si="89"/>
        <v>1</v>
      </c>
      <c r="Q287" s="415">
        <f>SUM($P$4:P287)/COUNT($P$4:P287)</f>
        <v>0.53521126760563376</v>
      </c>
      <c r="W287" s="417">
        <f t="shared" si="90"/>
        <v>0</v>
      </c>
      <c r="X287" s="415" t="e">
        <f>SUM($W$4:W287)/COUNT($W$4:W287)</f>
        <v>#DIV/0!</v>
      </c>
      <c r="Z287" s="405"/>
    </row>
    <row r="288" spans="1:26">
      <c r="A288" s="403">
        <f t="shared" si="88"/>
        <v>286</v>
      </c>
      <c r="B288" s="422">
        <f t="shared" si="91"/>
        <v>39828</v>
      </c>
      <c r="D288" s="411">
        <v>24993.23</v>
      </c>
      <c r="E288" s="408">
        <v>24993.23</v>
      </c>
      <c r="F288" s="408">
        <f t="shared" si="84"/>
        <v>-947.10000000000218</v>
      </c>
      <c r="G288" s="409">
        <f t="shared" si="85"/>
        <v>-3.6510715168234231E-2</v>
      </c>
      <c r="H288" s="408">
        <f t="shared" si="81"/>
        <v>2137.380000000001</v>
      </c>
      <c r="I288" s="409">
        <f t="shared" si="82"/>
        <v>9.3515664479772109E-2</v>
      </c>
      <c r="L288" s="382">
        <v>850.12</v>
      </c>
      <c r="M288" s="415">
        <f t="shared" si="92"/>
        <v>-4.5184478014264062E-2</v>
      </c>
      <c r="N288" s="415">
        <f t="shared" si="86"/>
        <v>-8.5971099260278683E-2</v>
      </c>
      <c r="O288" s="416" t="str">
        <f t="shared" si="87"/>
        <v>Yes</v>
      </c>
      <c r="P288" s="417">
        <f t="shared" si="89"/>
        <v>1</v>
      </c>
      <c r="Q288" s="415">
        <f>SUM($P$4:P288)/COUNT($P$4:P288)</f>
        <v>0.5368421052631579</v>
      </c>
      <c r="W288" s="417">
        <f t="shared" si="90"/>
        <v>0</v>
      </c>
      <c r="X288" s="415" t="e">
        <f>SUM($W$4:W288)/COUNT($W$4:W288)</f>
        <v>#DIV/0!</v>
      </c>
      <c r="Z288" s="405"/>
    </row>
    <row r="289" spans="1:26">
      <c r="A289" s="403">
        <f t="shared" si="88"/>
        <v>287</v>
      </c>
      <c r="B289" s="422">
        <f t="shared" si="91"/>
        <v>39835</v>
      </c>
      <c r="D289" s="411">
        <v>23370.76</v>
      </c>
      <c r="E289" s="408">
        <v>23370.76</v>
      </c>
      <c r="F289" s="408">
        <f t="shared" si="84"/>
        <v>-1622.4700000000012</v>
      </c>
      <c r="G289" s="409">
        <f t="shared" si="85"/>
        <v>-6.4916379355529519E-2</v>
      </c>
      <c r="H289" s="408">
        <f t="shared" si="81"/>
        <v>514.90999999999985</v>
      </c>
      <c r="I289" s="409">
        <f t="shared" si="82"/>
        <v>2.2528586773189252E-2</v>
      </c>
      <c r="L289" s="382">
        <v>831.95</v>
      </c>
      <c r="M289" s="415">
        <f t="shared" si="92"/>
        <v>-2.1373453159553857E-2</v>
      </c>
      <c r="N289" s="415">
        <f t="shared" si="86"/>
        <v>-0.10550705315671771</v>
      </c>
      <c r="O289" s="416" t="str">
        <f t="shared" si="87"/>
        <v>No</v>
      </c>
      <c r="P289" s="417">
        <f t="shared" si="89"/>
        <v>0</v>
      </c>
      <c r="Q289" s="415">
        <f>SUM($P$4:P289)/COUNT($P$4:P289)</f>
        <v>0.534965034965035</v>
      </c>
      <c r="W289" s="417">
        <f t="shared" si="90"/>
        <v>0</v>
      </c>
      <c r="X289" s="415" t="e">
        <f>SUM($W$4:W289)/COUNT($W$4:W289)</f>
        <v>#DIV/0!</v>
      </c>
      <c r="Z289" s="405"/>
    </row>
    <row r="290" spans="1:26">
      <c r="A290" s="403">
        <f t="shared" si="88"/>
        <v>288</v>
      </c>
      <c r="B290" s="422">
        <f t="shared" si="91"/>
        <v>39842</v>
      </c>
      <c r="D290" s="411">
        <v>23715</v>
      </c>
      <c r="E290" s="408">
        <v>23715</v>
      </c>
      <c r="F290" s="408">
        <f t="shared" si="84"/>
        <v>344.2400000000016</v>
      </c>
      <c r="G290" s="409">
        <f t="shared" si="85"/>
        <v>1.4729516712336244E-2</v>
      </c>
      <c r="H290" s="408">
        <f t="shared" si="81"/>
        <v>859.15000000000146</v>
      </c>
      <c r="I290" s="409">
        <f t="shared" si="82"/>
        <v>3.7589938680906654E-2</v>
      </c>
      <c r="L290" s="382">
        <v>825.88</v>
      </c>
      <c r="M290" s="415">
        <f t="shared" si="92"/>
        <v>-7.2961115451650738E-3</v>
      </c>
      <c r="N290" s="415">
        <f t="shared" si="86"/>
        <v>-0.11203337347324971</v>
      </c>
      <c r="O290" s="416" t="str">
        <f t="shared" si="87"/>
        <v>Yes</v>
      </c>
      <c r="P290" s="417">
        <f t="shared" si="89"/>
        <v>1</v>
      </c>
      <c r="Q290" s="415">
        <f>SUM($P$4:P290)/COUNT($P$4:P290)</f>
        <v>0.53658536585365857</v>
      </c>
      <c r="W290" s="417">
        <f t="shared" si="90"/>
        <v>0</v>
      </c>
      <c r="X290" s="415" t="e">
        <f>SUM($W$4:W290)/COUNT($W$4:W290)</f>
        <v>#DIV/0!</v>
      </c>
      <c r="Z290" s="405"/>
    </row>
    <row r="291" spans="1:26">
      <c r="A291" s="403">
        <f t="shared" si="88"/>
        <v>289</v>
      </c>
      <c r="B291" s="422">
        <f t="shared" si="91"/>
        <v>39849</v>
      </c>
      <c r="D291" s="411">
        <v>24215.34</v>
      </c>
      <c r="E291" s="408">
        <v>24215.34</v>
      </c>
      <c r="F291" s="408">
        <f t="shared" si="84"/>
        <v>500.34000000000015</v>
      </c>
      <c r="G291" s="409">
        <f t="shared" si="85"/>
        <v>2.1098039215686315E-2</v>
      </c>
      <c r="H291" s="408">
        <f t="shared" si="81"/>
        <v>1359.4900000000016</v>
      </c>
      <c r="I291" s="409">
        <f t="shared" si="82"/>
        <v>5.9481051896997927E-2</v>
      </c>
      <c r="L291" s="382">
        <v>868.6</v>
      </c>
      <c r="M291" s="415">
        <f t="shared" si="92"/>
        <v>5.1726643095849401E-2</v>
      </c>
      <c r="N291" s="415">
        <f t="shared" si="86"/>
        <v>-6.6101840701875081E-2</v>
      </c>
      <c r="O291" s="416" t="str">
        <f t="shared" si="87"/>
        <v>No</v>
      </c>
      <c r="P291" s="417">
        <f t="shared" si="89"/>
        <v>0</v>
      </c>
      <c r="Q291" s="415">
        <f>SUM($P$4:P291)/COUNT($P$4:P291)</f>
        <v>0.53472222222222221</v>
      </c>
      <c r="W291" s="417">
        <f t="shared" si="90"/>
        <v>0</v>
      </c>
      <c r="X291" s="415" t="e">
        <f>SUM($W$4:W291)/COUNT($W$4:W291)</f>
        <v>#DIV/0!</v>
      </c>
      <c r="Z291" s="405"/>
    </row>
    <row r="292" spans="1:26">
      <c r="A292" s="403">
        <f t="shared" si="88"/>
        <v>290</v>
      </c>
      <c r="B292" s="422">
        <f t="shared" si="91"/>
        <v>39856</v>
      </c>
      <c r="D292" s="411">
        <v>23485.34</v>
      </c>
      <c r="E292" s="408">
        <v>23485.34</v>
      </c>
      <c r="F292" s="408">
        <f t="shared" si="84"/>
        <v>-730</v>
      </c>
      <c r="G292" s="409">
        <f t="shared" si="85"/>
        <v>-3.0146180066024209E-2</v>
      </c>
      <c r="H292" s="408">
        <f t="shared" si="81"/>
        <v>629.4900000000016</v>
      </c>
      <c r="I292" s="409">
        <f t="shared" si="82"/>
        <v>2.7541745329970224E-2</v>
      </c>
      <c r="L292" s="382">
        <v>826.84</v>
      </c>
      <c r="M292" s="415">
        <f t="shared" si="92"/>
        <v>-4.8077365876122435E-2</v>
      </c>
      <c r="N292" s="415">
        <f t="shared" si="86"/>
        <v>-0.11100120419748838</v>
      </c>
      <c r="O292" s="416" t="str">
        <f t="shared" si="87"/>
        <v>Yes</v>
      </c>
      <c r="P292" s="417">
        <f t="shared" si="89"/>
        <v>1</v>
      </c>
      <c r="Q292" s="415">
        <f>SUM($P$4:P292)/COUNT($P$4:P292)</f>
        <v>0.53633217993079585</v>
      </c>
      <c r="W292" s="417">
        <f t="shared" si="90"/>
        <v>0</v>
      </c>
      <c r="X292" s="415" t="e">
        <f>SUM($W$4:W292)/COUNT($W$4:W292)</f>
        <v>#DIV/0!</v>
      </c>
      <c r="Z292" s="405"/>
    </row>
    <row r="293" spans="1:26">
      <c r="A293" s="403">
        <f t="shared" si="88"/>
        <v>291</v>
      </c>
      <c r="B293" s="422">
        <f t="shared" si="91"/>
        <v>39863</v>
      </c>
      <c r="D293" s="411">
        <v>23456.23</v>
      </c>
      <c r="E293" s="408">
        <v>23456.23</v>
      </c>
      <c r="F293" s="408">
        <f t="shared" si="84"/>
        <v>-29.110000000000582</v>
      </c>
      <c r="G293" s="409">
        <f t="shared" si="85"/>
        <v>-1.2394966391799933E-3</v>
      </c>
      <c r="H293" s="408">
        <f t="shared" si="81"/>
        <v>600.38000000000102</v>
      </c>
      <c r="I293" s="409">
        <f t="shared" si="82"/>
        <v>2.6268110790016674E-2</v>
      </c>
      <c r="L293" s="382">
        <v>770.05</v>
      </c>
      <c r="M293" s="415">
        <f t="shared" si="92"/>
        <v>-6.8683179333365652E-2</v>
      </c>
      <c r="N293" s="415">
        <f t="shared" si="86"/>
        <v>-0.17206046791673846</v>
      </c>
      <c r="O293" s="416" t="str">
        <f t="shared" si="87"/>
        <v>Yes</v>
      </c>
      <c r="P293" s="417">
        <f t="shared" si="89"/>
        <v>1</v>
      </c>
      <c r="Q293" s="415">
        <f>SUM($P$4:P293)/COUNT($P$4:P293)</f>
        <v>0.53793103448275859</v>
      </c>
      <c r="W293" s="417">
        <f t="shared" si="90"/>
        <v>0</v>
      </c>
      <c r="X293" s="415" t="e">
        <f>SUM($W$4:W293)/COUNT($W$4:W293)</f>
        <v>#DIV/0!</v>
      </c>
      <c r="Z293" s="405"/>
    </row>
    <row r="294" spans="1:26">
      <c r="A294" s="403">
        <f t="shared" si="88"/>
        <v>292</v>
      </c>
      <c r="B294" s="422">
        <f t="shared" si="91"/>
        <v>39870</v>
      </c>
      <c r="D294" s="411">
        <v>22009.78</v>
      </c>
      <c r="E294" s="408">
        <v>22009.78</v>
      </c>
      <c r="F294" s="408">
        <f t="shared" si="84"/>
        <v>-1446.4500000000007</v>
      </c>
      <c r="G294" s="409">
        <f t="shared" si="85"/>
        <v>-6.166591988567649E-2</v>
      </c>
      <c r="H294" s="408">
        <f t="shared" si="81"/>
        <v>-846.06999999999971</v>
      </c>
      <c r="I294" s="409">
        <f t="shared" si="82"/>
        <v>-3.7017656311185143E-2</v>
      </c>
      <c r="L294" s="382">
        <v>735.09</v>
      </c>
      <c r="M294" s="415">
        <f t="shared" si="92"/>
        <v>-4.5399649373417228E-2</v>
      </c>
      <c r="N294" s="415">
        <f t="shared" si="86"/>
        <v>-0.20964863237570963</v>
      </c>
      <c r="O294" s="416" t="str">
        <f t="shared" si="87"/>
        <v>No</v>
      </c>
      <c r="P294" s="417">
        <f t="shared" si="89"/>
        <v>0</v>
      </c>
      <c r="Q294" s="415">
        <f>SUM($P$4:P294)/COUNT($P$4:P294)</f>
        <v>0.53608247422680411</v>
      </c>
      <c r="W294" s="417">
        <f t="shared" si="90"/>
        <v>0</v>
      </c>
      <c r="X294" s="415" t="e">
        <f>SUM($W$4:W294)/COUNT($W$4:W294)</f>
        <v>#DIV/0!</v>
      </c>
      <c r="Z294" s="405"/>
    </row>
    <row r="295" spans="1:26">
      <c r="A295" s="403">
        <f t="shared" si="88"/>
        <v>293</v>
      </c>
      <c r="B295" s="422">
        <f t="shared" si="91"/>
        <v>39877</v>
      </c>
      <c r="D295" s="411">
        <v>21345.55</v>
      </c>
      <c r="E295" s="408">
        <v>21345.55</v>
      </c>
      <c r="F295" s="408">
        <f t="shared" si="84"/>
        <v>-664.22999999999956</v>
      </c>
      <c r="G295" s="409">
        <f t="shared" si="85"/>
        <v>-3.0178856853635083E-2</v>
      </c>
      <c r="H295" s="408">
        <f t="shared" si="81"/>
        <v>-1510.2999999999993</v>
      </c>
      <c r="I295" s="409">
        <f t="shared" si="82"/>
        <v>-6.6079362613947867E-2</v>
      </c>
      <c r="L295" s="382">
        <v>683.38</v>
      </c>
      <c r="M295" s="415">
        <f t="shared" si="92"/>
        <v>-7.0345127807479368E-2</v>
      </c>
      <c r="N295" s="415">
        <f t="shared" si="86"/>
        <v>-0.26524600034405643</v>
      </c>
      <c r="O295" s="416" t="str">
        <f t="shared" si="87"/>
        <v>Yes</v>
      </c>
      <c r="P295" s="417">
        <f t="shared" si="89"/>
        <v>1</v>
      </c>
      <c r="Q295" s="415">
        <f>SUM($P$4:P295)/COUNT($P$4:P295)</f>
        <v>0.53767123287671237</v>
      </c>
      <c r="W295" s="417">
        <f t="shared" si="90"/>
        <v>0</v>
      </c>
      <c r="X295" s="415" t="e">
        <f>SUM($W$4:W295)/COUNT($W$4:W295)</f>
        <v>#DIV/0!</v>
      </c>
      <c r="Z295" s="405"/>
    </row>
    <row r="296" spans="1:26">
      <c r="A296" s="403">
        <f t="shared" si="88"/>
        <v>294</v>
      </c>
      <c r="B296" s="422">
        <f t="shared" si="91"/>
        <v>39884</v>
      </c>
      <c r="D296" s="411">
        <v>21372.639999999999</v>
      </c>
      <c r="E296" s="408">
        <v>21372.639999999999</v>
      </c>
      <c r="F296" s="408">
        <f t="shared" si="84"/>
        <v>27.090000000000146</v>
      </c>
      <c r="G296" s="409">
        <f t="shared" si="85"/>
        <v>1.2691169822280912E-3</v>
      </c>
      <c r="H296" s="408">
        <f t="shared" si="81"/>
        <v>-1483.2099999999991</v>
      </c>
      <c r="I296" s="409">
        <f t="shared" si="82"/>
        <v>-6.4894108072987899E-2</v>
      </c>
      <c r="L296" s="382">
        <v>756.5498</v>
      </c>
      <c r="M296" s="415">
        <f t="shared" si="92"/>
        <v>0.10707044396968013</v>
      </c>
      <c r="N296" s="415">
        <f t="shared" si="86"/>
        <v>-0.18657556339239634</v>
      </c>
      <c r="O296" s="416" t="str">
        <f t="shared" si="87"/>
        <v>No</v>
      </c>
      <c r="P296" s="417">
        <f t="shared" si="89"/>
        <v>0</v>
      </c>
      <c r="Q296" s="415">
        <f>SUM($P$4:P296)/COUNT($P$4:P296)</f>
        <v>0.53583617747440271</v>
      </c>
      <c r="W296" s="417">
        <f t="shared" si="90"/>
        <v>0</v>
      </c>
      <c r="X296" s="415" t="e">
        <f>SUM($W$4:W296)/COUNT($W$4:W296)</f>
        <v>#DIV/0!</v>
      </c>
      <c r="Z296" s="405"/>
    </row>
    <row r="297" spans="1:26">
      <c r="A297" s="403">
        <f t="shared" si="88"/>
        <v>295</v>
      </c>
      <c r="B297" s="422">
        <f t="shared" si="91"/>
        <v>39891</v>
      </c>
      <c r="D297" s="411">
        <v>22311.34</v>
      </c>
      <c r="E297" s="408">
        <v>22311.34</v>
      </c>
      <c r="F297" s="408">
        <f t="shared" si="84"/>
        <v>938.70000000000073</v>
      </c>
      <c r="G297" s="409">
        <f t="shared" si="85"/>
        <v>4.392063872315255E-2</v>
      </c>
      <c r="H297" s="408">
        <f t="shared" ref="H297:H360" si="93">E297-$D$3</f>
        <v>-544.5099999999984</v>
      </c>
      <c r="I297" s="409">
        <f t="shared" ref="I297:I360" si="94">(E297/$D$3)-1</f>
        <v>-2.3823660025770188E-2</v>
      </c>
      <c r="L297" s="382">
        <v>768.53980000000001</v>
      </c>
      <c r="M297" s="415">
        <f t="shared" si="92"/>
        <v>1.5848262731680052E-2</v>
      </c>
      <c r="N297" s="415">
        <f t="shared" si="86"/>
        <v>-0.17368419920867029</v>
      </c>
      <c r="O297" s="416" t="str">
        <f t="shared" si="87"/>
        <v>Yes</v>
      </c>
      <c r="P297" s="417">
        <f t="shared" si="89"/>
        <v>1</v>
      </c>
      <c r="Q297" s="415">
        <f>SUM($P$4:P297)/COUNT($P$4:P297)</f>
        <v>0.5374149659863946</v>
      </c>
      <c r="W297" s="417">
        <f t="shared" si="90"/>
        <v>0</v>
      </c>
      <c r="X297" s="415" t="e">
        <f>SUM($W$4:W297)/COUNT($W$4:W297)</f>
        <v>#DIV/0!</v>
      </c>
      <c r="Z297" s="405"/>
    </row>
    <row r="298" spans="1:26">
      <c r="A298" s="403">
        <f t="shared" si="88"/>
        <v>296</v>
      </c>
      <c r="B298" s="422">
        <f t="shared" si="91"/>
        <v>39898</v>
      </c>
      <c r="D298" s="411">
        <v>23910.400000000001</v>
      </c>
      <c r="E298" s="408">
        <v>23910.400000000001</v>
      </c>
      <c r="F298" s="408">
        <f t="shared" si="84"/>
        <v>1599.0600000000013</v>
      </c>
      <c r="G298" s="409">
        <f t="shared" si="85"/>
        <v>7.1670280673415521E-2</v>
      </c>
      <c r="H298" s="408">
        <f t="shared" si="93"/>
        <v>1054.5500000000029</v>
      </c>
      <c r="I298" s="409">
        <f t="shared" si="94"/>
        <v>4.6139172246930427E-2</v>
      </c>
      <c r="L298" s="382">
        <v>815.93989999999997</v>
      </c>
      <c r="M298" s="415">
        <f t="shared" si="92"/>
        <v>6.1675530662172573E-2</v>
      </c>
      <c r="N298" s="415">
        <f t="shared" si="86"/>
        <v>-0.12272073370032688</v>
      </c>
      <c r="O298" s="416" t="str">
        <f t="shared" si="87"/>
        <v>Yes</v>
      </c>
      <c r="P298" s="417">
        <f t="shared" si="89"/>
        <v>1</v>
      </c>
      <c r="Q298" s="415">
        <f>SUM($P$4:P298)/COUNT($P$4:P298)</f>
        <v>0.53898305084745768</v>
      </c>
      <c r="W298" s="417">
        <f t="shared" si="90"/>
        <v>0</v>
      </c>
      <c r="X298" s="415" t="e">
        <f>SUM($W$4:W298)/COUNT($W$4:W298)</f>
        <v>#DIV/0!</v>
      </c>
      <c r="Z298" s="405"/>
    </row>
    <row r="299" spans="1:26">
      <c r="A299" s="403">
        <f t="shared" si="88"/>
        <v>297</v>
      </c>
      <c r="B299" s="422">
        <f t="shared" si="91"/>
        <v>39905</v>
      </c>
      <c r="D299" s="411">
        <v>22974.080000000002</v>
      </c>
      <c r="E299" s="408">
        <v>22974.080000000002</v>
      </c>
      <c r="F299" s="408">
        <f t="shared" si="84"/>
        <v>-936.31999999999971</v>
      </c>
      <c r="G299" s="409">
        <f t="shared" si="85"/>
        <v>-3.9159528907922847E-2</v>
      </c>
      <c r="H299" s="408">
        <f t="shared" si="93"/>
        <v>118.2300000000032</v>
      </c>
      <c r="I299" s="409">
        <f t="shared" si="94"/>
        <v>5.1728550896161796E-3</v>
      </c>
      <c r="L299" s="382">
        <v>842.5</v>
      </c>
      <c r="M299" s="415">
        <f t="shared" si="92"/>
        <v>3.255153964158386E-2</v>
      </c>
      <c r="N299" s="415">
        <f t="shared" si="86"/>
        <v>-9.4163942886633434E-2</v>
      </c>
      <c r="O299" s="416" t="str">
        <f t="shared" si="87"/>
        <v>No</v>
      </c>
      <c r="P299" s="417">
        <f t="shared" si="89"/>
        <v>0</v>
      </c>
      <c r="Q299" s="415">
        <f>SUM($P$4:P299)/COUNT($P$4:P299)</f>
        <v>0.53716216216216217</v>
      </c>
      <c r="W299" s="417">
        <f t="shared" si="90"/>
        <v>0</v>
      </c>
      <c r="X299" s="415" t="e">
        <f>SUM($W$4:W299)/COUNT($W$4:W299)</f>
        <v>#DIV/0!</v>
      </c>
      <c r="Z299" s="405"/>
    </row>
    <row r="300" spans="1:26">
      <c r="A300" s="403">
        <f t="shared" si="88"/>
        <v>298</v>
      </c>
      <c r="B300" s="422">
        <f t="shared" si="91"/>
        <v>39912</v>
      </c>
      <c r="D300" s="411">
        <v>25554.93</v>
      </c>
      <c r="E300" s="408">
        <v>25554.93</v>
      </c>
      <c r="F300" s="408">
        <f t="shared" si="84"/>
        <v>2580.8499999999985</v>
      </c>
      <c r="G300" s="409">
        <f t="shared" si="85"/>
        <v>0.11233746900855213</v>
      </c>
      <c r="H300" s="408">
        <f t="shared" si="93"/>
        <v>2699.0800000000017</v>
      </c>
      <c r="I300" s="409">
        <f t="shared" si="94"/>
        <v>0.11809142954648388</v>
      </c>
      <c r="L300" s="382">
        <v>856.5598</v>
      </c>
      <c r="M300" s="415">
        <f t="shared" si="92"/>
        <v>1.6688189910979201E-2</v>
      </c>
      <c r="N300" s="415">
        <f t="shared" si="86"/>
        <v>-7.9047178737312929E-2</v>
      </c>
      <c r="O300" s="416" t="str">
        <f t="shared" si="87"/>
        <v>Yes</v>
      </c>
      <c r="P300" s="417">
        <f t="shared" si="89"/>
        <v>1</v>
      </c>
      <c r="Q300" s="415">
        <f>SUM($P$4:P300)/COUNT($P$4:P300)</f>
        <v>0.53872053872053871</v>
      </c>
      <c r="W300" s="417">
        <f t="shared" si="90"/>
        <v>0</v>
      </c>
      <c r="X300" s="415" t="e">
        <f>SUM($W$4:W300)/COUNT($W$4:W300)</f>
        <v>#DIV/0!</v>
      </c>
      <c r="Z300" s="405"/>
    </row>
    <row r="301" spans="1:26">
      <c r="A301" s="403">
        <f t="shared" si="88"/>
        <v>299</v>
      </c>
      <c r="B301" s="422">
        <f t="shared" si="91"/>
        <v>39919</v>
      </c>
      <c r="D301" s="411">
        <v>26045.54</v>
      </c>
      <c r="E301" s="408">
        <v>26045.54</v>
      </c>
      <c r="F301" s="408">
        <f t="shared" si="84"/>
        <v>490.61000000000058</v>
      </c>
      <c r="G301" s="409">
        <f t="shared" si="85"/>
        <v>1.9198252548529693E-2</v>
      </c>
      <c r="H301" s="408">
        <f t="shared" si="93"/>
        <v>3189.6900000000023</v>
      </c>
      <c r="I301" s="409">
        <f t="shared" si="94"/>
        <v>0.13955683118326401</v>
      </c>
      <c r="L301" s="382">
        <v>869.59990000000005</v>
      </c>
      <c r="M301" s="415">
        <f t="shared" si="92"/>
        <v>1.5223805740124607E-2</v>
      </c>
      <c r="N301" s="415">
        <f t="shared" si="86"/>
        <v>-6.5026771890590029E-2</v>
      </c>
      <c r="O301" s="416" t="str">
        <f t="shared" si="87"/>
        <v>Yes</v>
      </c>
      <c r="P301" s="417">
        <f t="shared" si="89"/>
        <v>1</v>
      </c>
      <c r="Q301" s="415">
        <f>SUM($P$4:P301)/COUNT($P$4:P301)</f>
        <v>0.54026845637583898</v>
      </c>
      <c r="W301" s="417">
        <f t="shared" si="90"/>
        <v>0</v>
      </c>
      <c r="X301" s="415" t="e">
        <f>SUM($W$4:W301)/COUNT($W$4:W301)</f>
        <v>#DIV/0!</v>
      </c>
      <c r="Z301" s="405"/>
    </row>
    <row r="302" spans="1:26">
      <c r="A302" s="403">
        <f t="shared" si="88"/>
        <v>300</v>
      </c>
      <c r="B302" s="422">
        <f t="shared" si="91"/>
        <v>39926</v>
      </c>
      <c r="D302" s="411">
        <v>25650.22</v>
      </c>
      <c r="E302" s="408">
        <v>25650.22</v>
      </c>
      <c r="F302" s="408">
        <f t="shared" si="84"/>
        <v>-395.31999999999971</v>
      </c>
      <c r="G302" s="409">
        <f t="shared" si="85"/>
        <v>-1.5178030480458404E-2</v>
      </c>
      <c r="H302" s="408">
        <f t="shared" si="93"/>
        <v>2794.3700000000026</v>
      </c>
      <c r="I302" s="409">
        <f t="shared" si="94"/>
        <v>0.12226060286534968</v>
      </c>
      <c r="L302" s="382">
        <v>866.23</v>
      </c>
      <c r="M302" s="415">
        <f t="shared" si="92"/>
        <v>-3.8752304364341184E-3</v>
      </c>
      <c r="N302" s="415">
        <f t="shared" si="86"/>
        <v>-6.8650008601410684E-2</v>
      </c>
      <c r="O302" s="416" t="str">
        <f t="shared" si="87"/>
        <v>No</v>
      </c>
      <c r="P302" s="417">
        <f t="shared" si="89"/>
        <v>0</v>
      </c>
      <c r="Q302" s="415">
        <f>SUM($P$4:P302)/COUNT($P$4:P302)</f>
        <v>0.53846153846153844</v>
      </c>
      <c r="W302" s="417">
        <f t="shared" si="90"/>
        <v>0</v>
      </c>
      <c r="X302" s="415" t="e">
        <f>SUM($W$4:W302)/COUNT($W$4:W302)</f>
        <v>#DIV/0!</v>
      </c>
      <c r="Z302" s="405"/>
    </row>
    <row r="303" spans="1:26">
      <c r="A303" s="403">
        <f t="shared" si="88"/>
        <v>301</v>
      </c>
      <c r="B303" s="422">
        <f t="shared" si="91"/>
        <v>39933</v>
      </c>
      <c r="D303" s="411">
        <v>26697.82</v>
      </c>
      <c r="E303" s="408">
        <v>26697.82</v>
      </c>
      <c r="F303" s="408">
        <f t="shared" ref="F303:F366" si="95">E303-E302</f>
        <v>1047.5999999999985</v>
      </c>
      <c r="G303" s="409">
        <f t="shared" ref="G303:G366" si="96">(E303/E302)-1</f>
        <v>4.0841754963505172E-2</v>
      </c>
      <c r="H303" s="408">
        <f t="shared" si="93"/>
        <v>3841.9700000000012</v>
      </c>
      <c r="I303" s="409">
        <f t="shared" si="94"/>
        <v>0.16809569541277192</v>
      </c>
      <c r="L303" s="382">
        <v>877.51980000000003</v>
      </c>
      <c r="M303" s="415">
        <f t="shared" si="92"/>
        <v>1.3033259065144298E-2</v>
      </c>
      <c r="N303" s="415">
        <f t="shared" si="86"/>
        <v>-5.6511482883192854E-2</v>
      </c>
      <c r="O303" s="416" t="str">
        <f t="shared" si="87"/>
        <v>Yes</v>
      </c>
      <c r="P303" s="417">
        <f t="shared" si="89"/>
        <v>1</v>
      </c>
      <c r="Q303" s="415">
        <f>SUM($P$4:P303)/COUNT($P$4:P303)</f>
        <v>0.54</v>
      </c>
      <c r="W303" s="417">
        <f t="shared" si="90"/>
        <v>0</v>
      </c>
      <c r="X303" s="415" t="e">
        <f>SUM($W$4:W303)/COUNT($W$4:W303)</f>
        <v>#DIV/0!</v>
      </c>
      <c r="Z303" s="405"/>
    </row>
    <row r="304" spans="1:26">
      <c r="A304" s="403">
        <f t="shared" si="88"/>
        <v>302</v>
      </c>
      <c r="B304" s="422">
        <f t="shared" si="91"/>
        <v>39940</v>
      </c>
      <c r="D304" s="411">
        <v>27393.79</v>
      </c>
      <c r="E304" s="408">
        <v>27393.79</v>
      </c>
      <c r="F304" s="408">
        <f t="shared" si="95"/>
        <v>695.97000000000116</v>
      </c>
      <c r="G304" s="409">
        <f t="shared" si="96"/>
        <v>2.606842056767178E-2</v>
      </c>
      <c r="H304" s="408">
        <f t="shared" si="93"/>
        <v>4537.9400000000023</v>
      </c>
      <c r="I304" s="409">
        <f t="shared" si="94"/>
        <v>0.19854610526407912</v>
      </c>
      <c r="L304" s="382">
        <v>929.23</v>
      </c>
      <c r="M304" s="415">
        <f t="shared" si="92"/>
        <v>5.8927673198940989E-2</v>
      </c>
      <c r="N304" s="415">
        <f t="shared" si="86"/>
        <v>-9.1389987958023777E-4</v>
      </c>
      <c r="O304" s="416" t="str">
        <f t="shared" si="87"/>
        <v>No</v>
      </c>
      <c r="P304" s="417">
        <f t="shared" si="89"/>
        <v>0</v>
      </c>
      <c r="Q304" s="415">
        <f>SUM($P$4:P304)/COUNT($P$4:P304)</f>
        <v>0.53820598006644516</v>
      </c>
      <c r="W304" s="417">
        <f t="shared" si="90"/>
        <v>0</v>
      </c>
      <c r="X304" s="415" t="e">
        <f>SUM($W$4:W304)/COUNT($W$4:W304)</f>
        <v>#DIV/0!</v>
      </c>
      <c r="Z304" s="405"/>
    </row>
    <row r="305" spans="1:26">
      <c r="A305" s="403">
        <f t="shared" si="88"/>
        <v>303</v>
      </c>
      <c r="B305" s="422">
        <f t="shared" si="91"/>
        <v>39947</v>
      </c>
      <c r="D305" s="411">
        <v>26900.745000000003</v>
      </c>
      <c r="E305" s="408">
        <v>26900.745000000003</v>
      </c>
      <c r="F305" s="408">
        <f t="shared" si="95"/>
        <v>-493.04499999999825</v>
      </c>
      <c r="G305" s="409">
        <f t="shared" si="96"/>
        <v>-1.79984222701568E-2</v>
      </c>
      <c r="H305" s="408">
        <f t="shared" si="93"/>
        <v>4044.8950000000041</v>
      </c>
      <c r="I305" s="409">
        <f t="shared" si="94"/>
        <v>0.17697416635128449</v>
      </c>
      <c r="L305" s="382">
        <v>882.87990000000002</v>
      </c>
      <c r="M305" s="415">
        <f t="shared" si="92"/>
        <v>-4.9880115794797786E-2</v>
      </c>
      <c r="N305" s="415">
        <f t="shared" si="86"/>
        <v>-5.0748430242559817E-2</v>
      </c>
      <c r="O305" s="416" t="str">
        <f t="shared" si="87"/>
        <v>Yes</v>
      </c>
      <c r="P305" s="417">
        <f t="shared" si="89"/>
        <v>1</v>
      </c>
      <c r="Q305" s="415">
        <f>SUM($P$4:P305)/COUNT($P$4:P305)</f>
        <v>0.53973509933774833</v>
      </c>
      <c r="W305" s="417">
        <f t="shared" si="90"/>
        <v>0</v>
      </c>
      <c r="X305" s="415" t="e">
        <f>SUM($W$4:W305)/COUNT($W$4:W305)</f>
        <v>#DIV/0!</v>
      </c>
      <c r="Z305" s="405"/>
    </row>
    <row r="306" spans="1:26">
      <c r="A306" s="403">
        <f t="shared" si="88"/>
        <v>304</v>
      </c>
      <c r="B306" s="422">
        <f t="shared" si="91"/>
        <v>39954</v>
      </c>
      <c r="D306" s="411">
        <v>27277.64</v>
      </c>
      <c r="E306" s="408">
        <v>27277.64</v>
      </c>
      <c r="F306" s="408">
        <f t="shared" si="95"/>
        <v>376.8949999999968</v>
      </c>
      <c r="G306" s="409">
        <f t="shared" si="96"/>
        <v>1.4010578517434924E-2</v>
      </c>
      <c r="H306" s="408">
        <f t="shared" si="93"/>
        <v>4421.7900000000009</v>
      </c>
      <c r="I306" s="409">
        <f t="shared" si="94"/>
        <v>0.19346425532194167</v>
      </c>
      <c r="L306" s="382">
        <v>887</v>
      </c>
      <c r="M306" s="415">
        <f t="shared" si="92"/>
        <v>4.6666596441939934E-3</v>
      </c>
      <c r="N306" s="415">
        <f t="shared" si="86"/>
        <v>-4.631859624978496E-2</v>
      </c>
      <c r="O306" s="416" t="str">
        <f t="shared" si="87"/>
        <v>Yes</v>
      </c>
      <c r="P306" s="417">
        <f t="shared" si="89"/>
        <v>1</v>
      </c>
      <c r="Q306" s="415">
        <f>SUM($P$4:P306)/COUNT($P$4:P306)</f>
        <v>0.54125412541254125</v>
      </c>
      <c r="W306" s="417">
        <f t="shared" si="90"/>
        <v>0</v>
      </c>
      <c r="X306" s="415" t="e">
        <f>SUM($W$4:W306)/COUNT($W$4:W306)</f>
        <v>#DIV/0!</v>
      </c>
      <c r="Z306" s="405"/>
    </row>
    <row r="307" spans="1:26">
      <c r="A307" s="403">
        <f t="shared" si="88"/>
        <v>305</v>
      </c>
      <c r="B307" s="422">
        <f t="shared" si="91"/>
        <v>39961</v>
      </c>
      <c r="D307" s="411">
        <v>27585.62</v>
      </c>
      <c r="E307" s="408">
        <v>27585.62</v>
      </c>
      <c r="F307" s="408">
        <f t="shared" si="95"/>
        <v>307.97999999999956</v>
      </c>
      <c r="G307" s="409">
        <f t="shared" si="96"/>
        <v>1.1290566192676543E-2</v>
      </c>
      <c r="H307" s="408">
        <f t="shared" si="93"/>
        <v>4729.7700000000004</v>
      </c>
      <c r="I307" s="409">
        <f t="shared" si="94"/>
        <v>0.20693914249524736</v>
      </c>
      <c r="L307" s="382">
        <v>919.13990000000001</v>
      </c>
      <c r="M307" s="415">
        <f t="shared" si="92"/>
        <v>3.6234385569334782E-2</v>
      </c>
      <c r="N307" s="415">
        <f t="shared" si="86"/>
        <v>-1.176253655599524E-2</v>
      </c>
      <c r="O307" s="416" t="str">
        <f t="shared" si="87"/>
        <v>No</v>
      </c>
      <c r="P307" s="417">
        <f t="shared" si="89"/>
        <v>0</v>
      </c>
      <c r="Q307" s="415">
        <f>SUM($P$4:P307)/COUNT($P$4:P307)</f>
        <v>0.53947368421052633</v>
      </c>
      <c r="W307" s="417">
        <f t="shared" si="90"/>
        <v>0</v>
      </c>
      <c r="X307" s="415" t="e">
        <f>SUM($W$4:W307)/COUNT($W$4:W307)</f>
        <v>#DIV/0!</v>
      </c>
      <c r="Z307" s="405"/>
    </row>
    <row r="308" spans="1:26">
      <c r="A308" s="403">
        <f t="shared" si="88"/>
        <v>306</v>
      </c>
      <c r="B308" s="422">
        <f t="shared" si="91"/>
        <v>39968</v>
      </c>
      <c r="D308" s="411">
        <v>28232.87</v>
      </c>
      <c r="E308" s="408">
        <v>28232.87</v>
      </c>
      <c r="F308" s="408">
        <f t="shared" si="95"/>
        <v>647.25</v>
      </c>
      <c r="G308" s="409">
        <f t="shared" si="96"/>
        <v>2.3463311681956034E-2</v>
      </c>
      <c r="H308" s="408">
        <f t="shared" si="93"/>
        <v>5377.02</v>
      </c>
      <c r="I308" s="409">
        <f t="shared" si="94"/>
        <v>0.23525793177676624</v>
      </c>
      <c r="L308" s="382">
        <v>940.08979999999997</v>
      </c>
      <c r="M308" s="415">
        <f t="shared" si="92"/>
        <v>2.2792939355586572E-2</v>
      </c>
      <c r="N308" s="415">
        <f t="shared" si="86"/>
        <v>1.0762300017202797E-2</v>
      </c>
      <c r="O308" s="416" t="str">
        <f t="shared" si="87"/>
        <v>Yes</v>
      </c>
      <c r="P308" s="417">
        <f t="shared" si="89"/>
        <v>1</v>
      </c>
      <c r="Q308" s="415">
        <f>SUM($P$4:P308)/COUNT($P$4:P308)</f>
        <v>0.54098360655737709</v>
      </c>
      <c r="W308" s="417">
        <f t="shared" si="90"/>
        <v>0</v>
      </c>
      <c r="X308" s="415" t="e">
        <f>SUM($W$4:W308)/COUNT($W$4:W308)</f>
        <v>#DIV/0!</v>
      </c>
      <c r="Z308" s="405"/>
    </row>
    <row r="309" spans="1:26">
      <c r="A309" s="403">
        <f t="shared" si="88"/>
        <v>307</v>
      </c>
      <c r="B309" s="422">
        <f t="shared" si="91"/>
        <v>39975</v>
      </c>
      <c r="D309" s="411">
        <v>30020.61</v>
      </c>
      <c r="E309" s="408">
        <v>30020.61</v>
      </c>
      <c r="F309" s="408">
        <f t="shared" si="95"/>
        <v>1787.7400000000016</v>
      </c>
      <c r="G309" s="409">
        <f t="shared" si="96"/>
        <v>6.3321228057934054E-2</v>
      </c>
      <c r="H309" s="408">
        <f t="shared" si="93"/>
        <v>7164.760000000002</v>
      </c>
      <c r="I309" s="409">
        <f t="shared" si="94"/>
        <v>0.3134759809851746</v>
      </c>
      <c r="L309" s="382">
        <v>946.21</v>
      </c>
      <c r="M309" s="415">
        <f t="shared" si="92"/>
        <v>6.5102291291747605E-3</v>
      </c>
      <c r="N309" s="415">
        <f t="shared" si="86"/>
        <v>1.7342594185446369E-2</v>
      </c>
      <c r="O309" s="416" t="str">
        <f t="shared" si="87"/>
        <v>Yes</v>
      </c>
      <c r="P309" s="417">
        <f t="shared" si="89"/>
        <v>1</v>
      </c>
      <c r="Q309" s="415">
        <f>SUM($P$4:P309)/COUNT($P$4:P309)</f>
        <v>0.54248366013071891</v>
      </c>
      <c r="W309" s="417">
        <f t="shared" si="90"/>
        <v>0</v>
      </c>
      <c r="X309" s="415" t="e">
        <f>SUM($W$4:W309)/COUNT($W$4:W309)</f>
        <v>#DIV/0!</v>
      </c>
      <c r="Z309" s="405"/>
    </row>
    <row r="310" spans="1:26">
      <c r="A310" s="403">
        <f t="shared" si="88"/>
        <v>308</v>
      </c>
      <c r="B310" s="422">
        <f t="shared" si="91"/>
        <v>39982</v>
      </c>
      <c r="D310" s="411">
        <v>28299.49</v>
      </c>
      <c r="E310" s="408">
        <v>28299.49</v>
      </c>
      <c r="F310" s="408">
        <f t="shared" si="95"/>
        <v>-1721.119999999999</v>
      </c>
      <c r="G310" s="409">
        <f t="shared" si="96"/>
        <v>-5.7331280077253521E-2</v>
      </c>
      <c r="H310" s="408">
        <f t="shared" si="93"/>
        <v>5443.6400000000031</v>
      </c>
      <c r="I310" s="409">
        <f t="shared" si="94"/>
        <v>0.23817272164456815</v>
      </c>
      <c r="L310" s="382">
        <v>921.23</v>
      </c>
      <c r="M310" s="415">
        <f t="shared" si="92"/>
        <v>-2.6400059183479319E-2</v>
      </c>
      <c r="N310" s="415">
        <f t="shared" si="86"/>
        <v>-9.5153105109238023E-3</v>
      </c>
      <c r="O310" s="416" t="str">
        <f t="shared" si="87"/>
        <v>No</v>
      </c>
      <c r="P310" s="417">
        <f t="shared" si="89"/>
        <v>0</v>
      </c>
      <c r="Q310" s="415">
        <f>SUM($P$4:P310)/COUNT($P$4:P310)</f>
        <v>0.54071661237785018</v>
      </c>
      <c r="W310" s="417">
        <f t="shared" si="90"/>
        <v>0</v>
      </c>
      <c r="X310" s="415" t="e">
        <f>SUM($W$4:W310)/COUNT($W$4:W310)</f>
        <v>#DIV/0!</v>
      </c>
      <c r="Z310" s="405"/>
    </row>
    <row r="311" spans="1:26">
      <c r="A311" s="403">
        <f t="shared" si="88"/>
        <v>309</v>
      </c>
      <c r="B311" s="422">
        <f t="shared" si="91"/>
        <v>39989</v>
      </c>
      <c r="D311" s="411">
        <v>28207.85</v>
      </c>
      <c r="E311" s="408">
        <v>28207.85</v>
      </c>
      <c r="F311" s="408">
        <f t="shared" si="95"/>
        <v>-91.640000000003056</v>
      </c>
      <c r="G311" s="409">
        <f t="shared" si="96"/>
        <v>-3.2382209008008367E-3</v>
      </c>
      <c r="H311" s="408">
        <f t="shared" si="93"/>
        <v>5352</v>
      </c>
      <c r="I311" s="409">
        <f t="shared" si="94"/>
        <v>0.23416324485853734</v>
      </c>
      <c r="L311" s="382">
        <v>918.8999</v>
      </c>
      <c r="M311" s="415">
        <f t="shared" si="92"/>
        <v>-2.5293357793385596E-3</v>
      </c>
      <c r="N311" s="415">
        <f t="shared" si="86"/>
        <v>-1.2020578874935572E-2</v>
      </c>
      <c r="O311" s="416" t="str">
        <f t="shared" si="87"/>
        <v>No</v>
      </c>
      <c r="P311" s="417">
        <f t="shared" si="89"/>
        <v>0</v>
      </c>
      <c r="Q311" s="415">
        <f>SUM($P$4:P311)/COUNT($P$4:P311)</f>
        <v>0.53896103896103897</v>
      </c>
      <c r="W311" s="417">
        <f t="shared" si="90"/>
        <v>0</v>
      </c>
      <c r="X311" s="415" t="e">
        <f>SUM($W$4:W311)/COUNT($W$4:W311)</f>
        <v>#DIV/0!</v>
      </c>
      <c r="Z311" s="405"/>
    </row>
    <row r="312" spans="1:26">
      <c r="A312" s="403">
        <f t="shared" si="88"/>
        <v>310</v>
      </c>
      <c r="B312" s="422">
        <f t="shared" si="91"/>
        <v>39996</v>
      </c>
      <c r="D312" s="411">
        <v>28313.53</v>
      </c>
      <c r="E312" s="408">
        <v>28313.53</v>
      </c>
      <c r="F312" s="408">
        <f t="shared" si="95"/>
        <v>105.68000000000029</v>
      </c>
      <c r="G312" s="409">
        <f t="shared" si="96"/>
        <v>3.7464748288154048E-3</v>
      </c>
      <c r="H312" s="408">
        <f t="shared" si="93"/>
        <v>5457.68</v>
      </c>
      <c r="I312" s="409">
        <f t="shared" si="94"/>
        <v>0.23878700639004902</v>
      </c>
      <c r="L312" s="382">
        <v>896.41989999999998</v>
      </c>
      <c r="M312" s="415">
        <f t="shared" si="92"/>
        <v>-2.4464035745351609E-2</v>
      </c>
      <c r="N312" s="415">
        <f t="shared" si="86"/>
        <v>-3.6190542749010901E-2</v>
      </c>
      <c r="O312" s="416" t="str">
        <f t="shared" si="87"/>
        <v>Yes</v>
      </c>
      <c r="P312" s="417">
        <f t="shared" si="89"/>
        <v>1</v>
      </c>
      <c r="Q312" s="415">
        <f>SUM($P$4:P312)/COUNT($P$4:P312)</f>
        <v>0.54045307443365698</v>
      </c>
      <c r="W312" s="417">
        <f t="shared" si="90"/>
        <v>0</v>
      </c>
      <c r="X312" s="415" t="e">
        <f>SUM($W$4:W312)/COUNT($W$4:W312)</f>
        <v>#DIV/0!</v>
      </c>
      <c r="Z312" s="405"/>
    </row>
    <row r="313" spans="1:26">
      <c r="A313" s="403">
        <f t="shared" si="88"/>
        <v>311</v>
      </c>
      <c r="B313" s="422">
        <f t="shared" si="91"/>
        <v>40003</v>
      </c>
      <c r="D313" s="411">
        <v>26996</v>
      </c>
      <c r="E313" s="408">
        <v>26996</v>
      </c>
      <c r="F313" s="408">
        <f t="shared" si="95"/>
        <v>-1317.5299999999988</v>
      </c>
      <c r="G313" s="409">
        <f t="shared" si="96"/>
        <v>-4.6533583060819339E-2</v>
      </c>
      <c r="H313" s="408">
        <f t="shared" si="93"/>
        <v>4140.1500000000015</v>
      </c>
      <c r="I313" s="409">
        <f t="shared" si="94"/>
        <v>0.18114180833353388</v>
      </c>
      <c r="L313" s="382">
        <v>879.12990000000002</v>
      </c>
      <c r="M313" s="415">
        <f t="shared" si="92"/>
        <v>-1.9287835979544865E-2</v>
      </c>
      <c r="N313" s="415">
        <f t="shared" si="86"/>
        <v>-5.4780341476002081E-2</v>
      </c>
      <c r="O313" s="416" t="str">
        <f t="shared" si="87"/>
        <v>No</v>
      </c>
      <c r="P313" s="417">
        <f t="shared" si="89"/>
        <v>0</v>
      </c>
      <c r="Q313" s="415">
        <f>SUM($P$4:P313)/COUNT($P$4:P313)</f>
        <v>0.53870967741935483</v>
      </c>
      <c r="W313" s="417">
        <f t="shared" si="90"/>
        <v>0</v>
      </c>
      <c r="X313" s="415" t="e">
        <f>SUM($W$4:W313)/COUNT($W$4:W313)</f>
        <v>#DIV/0!</v>
      </c>
      <c r="Z313" s="405"/>
    </row>
    <row r="314" spans="1:26">
      <c r="A314" s="403">
        <f t="shared" si="88"/>
        <v>312</v>
      </c>
      <c r="B314" s="422">
        <f t="shared" si="91"/>
        <v>40010</v>
      </c>
      <c r="D314" s="411">
        <v>28677.91</v>
      </c>
      <c r="E314" s="408">
        <v>28677.91</v>
      </c>
      <c r="F314" s="408">
        <f t="shared" si="95"/>
        <v>1681.9099999999999</v>
      </c>
      <c r="G314" s="409">
        <f t="shared" si="96"/>
        <v>6.230219291746919E-2</v>
      </c>
      <c r="H314" s="408">
        <f t="shared" si="93"/>
        <v>5822.0600000000013</v>
      </c>
      <c r="I314" s="409">
        <f t="shared" si="94"/>
        <v>0.25472953313921831</v>
      </c>
      <c r="L314" s="382">
        <v>940.37990000000002</v>
      </c>
      <c r="M314" s="415">
        <f t="shared" si="92"/>
        <v>6.9671160086808515E-2</v>
      </c>
      <c r="N314" s="415">
        <f t="shared" si="86"/>
        <v>1.1074208670221797E-2</v>
      </c>
      <c r="O314" s="416" t="str">
        <f t="shared" si="87"/>
        <v>No</v>
      </c>
      <c r="P314" s="417">
        <f t="shared" si="89"/>
        <v>0</v>
      </c>
      <c r="Q314" s="415">
        <f>SUM($P$4:P314)/COUNT($P$4:P314)</f>
        <v>0.53697749196141475</v>
      </c>
      <c r="W314" s="417">
        <f t="shared" si="90"/>
        <v>0</v>
      </c>
      <c r="X314" s="415" t="e">
        <f>SUM($W$4:W314)/COUNT($W$4:W314)</f>
        <v>#DIV/0!</v>
      </c>
      <c r="Z314" s="405"/>
    </row>
    <row r="315" spans="1:26">
      <c r="A315" s="403">
        <f t="shared" si="88"/>
        <v>313</v>
      </c>
      <c r="B315" s="422">
        <f t="shared" si="91"/>
        <v>40017</v>
      </c>
      <c r="D315" s="411">
        <v>29702.58</v>
      </c>
      <c r="E315" s="408">
        <v>29702.58</v>
      </c>
      <c r="F315" s="408">
        <f t="shared" si="95"/>
        <v>1024.6700000000019</v>
      </c>
      <c r="G315" s="409">
        <f t="shared" si="96"/>
        <v>3.5730288574028046E-2</v>
      </c>
      <c r="H315" s="408">
        <f t="shared" si="93"/>
        <v>6846.7300000000032</v>
      </c>
      <c r="I315" s="409">
        <f t="shared" si="94"/>
        <v>0.29956138144063793</v>
      </c>
      <c r="L315" s="382">
        <v>979.25980000000004</v>
      </c>
      <c r="M315" s="415">
        <f t="shared" si="92"/>
        <v>4.1344886252885793E-2</v>
      </c>
      <c r="N315" s="415">
        <f t="shared" si="86"/>
        <v>5.2876956820918641E-2</v>
      </c>
      <c r="O315" s="416" t="str">
        <f t="shared" si="87"/>
        <v>No</v>
      </c>
      <c r="P315" s="417">
        <f t="shared" si="89"/>
        <v>0</v>
      </c>
      <c r="Q315" s="415">
        <f>SUM($P$4:P315)/COUNT($P$4:P315)</f>
        <v>0.53525641025641024</v>
      </c>
      <c r="W315" s="417">
        <f t="shared" si="90"/>
        <v>0</v>
      </c>
      <c r="X315" s="415" t="e">
        <f>SUM($W$4:W315)/COUNT($W$4:W315)</f>
        <v>#DIV/0!</v>
      </c>
      <c r="Z315" s="405"/>
    </row>
    <row r="316" spans="1:26">
      <c r="A316" s="403">
        <f t="shared" si="88"/>
        <v>314</v>
      </c>
      <c r="B316" s="422">
        <f t="shared" si="91"/>
        <v>40024</v>
      </c>
      <c r="D316" s="411">
        <v>29917.360000000001</v>
      </c>
      <c r="E316" s="408">
        <v>29917.360000000001</v>
      </c>
      <c r="F316" s="408">
        <f t="shared" si="95"/>
        <v>214.77999999999884</v>
      </c>
      <c r="G316" s="409">
        <f t="shared" si="96"/>
        <v>7.2310216822915052E-3</v>
      </c>
      <c r="H316" s="408">
        <f t="shared" si="93"/>
        <v>7061.510000000002</v>
      </c>
      <c r="I316" s="409">
        <f t="shared" si="94"/>
        <v>0.30895853796730388</v>
      </c>
      <c r="L316" s="382">
        <v>987.48</v>
      </c>
      <c r="M316" s="415">
        <f t="shared" si="92"/>
        <v>8.3942994494412559E-3</v>
      </c>
      <c r="N316" s="415">
        <f t="shared" si="86"/>
        <v>6.1715121279889873E-2</v>
      </c>
      <c r="O316" s="416" t="str">
        <f t="shared" si="87"/>
        <v>No</v>
      </c>
      <c r="P316" s="417">
        <f t="shared" si="89"/>
        <v>0</v>
      </c>
      <c r="Q316" s="415">
        <f>SUM($P$4:P316)/COUNT($P$4:P316)</f>
        <v>0.5335463258785943</v>
      </c>
      <c r="W316" s="417">
        <f t="shared" si="90"/>
        <v>0</v>
      </c>
      <c r="X316" s="415" t="e">
        <f>SUM($W$4:W316)/COUNT($W$4:W316)</f>
        <v>#DIV/0!</v>
      </c>
      <c r="Z316" s="405"/>
    </row>
    <row r="317" spans="1:26">
      <c r="A317" s="403">
        <f t="shared" si="88"/>
        <v>315</v>
      </c>
      <c r="B317" s="422">
        <f t="shared" si="91"/>
        <v>40031</v>
      </c>
      <c r="D317" s="411">
        <v>30051.040000000001</v>
      </c>
      <c r="E317" s="408">
        <v>30051.040000000001</v>
      </c>
      <c r="F317" s="408">
        <f t="shared" si="95"/>
        <v>133.68000000000029</v>
      </c>
      <c r="G317" s="409">
        <f t="shared" si="96"/>
        <v>4.4683087010350953E-3</v>
      </c>
      <c r="H317" s="408">
        <f t="shared" si="93"/>
        <v>7195.1900000000023</v>
      </c>
      <c r="I317" s="409">
        <f t="shared" si="94"/>
        <v>0.31480736879179738</v>
      </c>
      <c r="L317" s="382">
        <v>1010.48</v>
      </c>
      <c r="M317" s="415">
        <f t="shared" si="92"/>
        <v>2.3291610969336185E-2</v>
      </c>
      <c r="N317" s="415">
        <f t="shared" si="86"/>
        <v>8.6444176845002607E-2</v>
      </c>
      <c r="O317" s="416" t="str">
        <f t="shared" si="87"/>
        <v>No</v>
      </c>
      <c r="P317" s="417">
        <f t="shared" si="89"/>
        <v>0</v>
      </c>
      <c r="Q317" s="415">
        <f>SUM($P$4:P317)/COUNT($P$4:P317)</f>
        <v>0.53184713375796178</v>
      </c>
      <c r="W317" s="417">
        <f t="shared" si="90"/>
        <v>0</v>
      </c>
      <c r="X317" s="415" t="e">
        <f>SUM($W$4:W317)/COUNT($W$4:W317)</f>
        <v>#DIV/0!</v>
      </c>
      <c r="Z317" s="405"/>
    </row>
    <row r="318" spans="1:26">
      <c r="A318" s="403">
        <f t="shared" si="88"/>
        <v>316</v>
      </c>
      <c r="B318" s="422">
        <f t="shared" si="91"/>
        <v>40038</v>
      </c>
      <c r="D318" s="411">
        <v>30831.17</v>
      </c>
      <c r="E318" s="408">
        <v>30831.17</v>
      </c>
      <c r="F318" s="408">
        <f t="shared" si="95"/>
        <v>780.12999999999738</v>
      </c>
      <c r="G318" s="409">
        <f t="shared" si="96"/>
        <v>2.5960166436835408E-2</v>
      </c>
      <c r="H318" s="408">
        <f t="shared" si="93"/>
        <v>7975.32</v>
      </c>
      <c r="I318" s="409">
        <f t="shared" si="94"/>
        <v>0.34893998691801009</v>
      </c>
      <c r="L318" s="382">
        <v>1004.0898</v>
      </c>
      <c r="M318" s="415">
        <f t="shared" si="92"/>
        <v>-6.3239252632413256E-3</v>
      </c>
      <c r="N318" s="415">
        <f t="shared" si="86"/>
        <v>7.9573585067951091E-2</v>
      </c>
      <c r="O318" s="416" t="str">
        <f t="shared" si="87"/>
        <v>Yes</v>
      </c>
      <c r="P318" s="417">
        <f t="shared" si="89"/>
        <v>1</v>
      </c>
      <c r="Q318" s="415">
        <f>SUM($P$4:P318)/COUNT($P$4:P318)</f>
        <v>0.53333333333333333</v>
      </c>
      <c r="W318" s="417">
        <f t="shared" si="90"/>
        <v>0</v>
      </c>
      <c r="X318" s="415" t="e">
        <f>SUM($W$4:W318)/COUNT($W$4:W318)</f>
        <v>#DIV/0!</v>
      </c>
      <c r="Z318" s="405"/>
    </row>
    <row r="319" spans="1:26">
      <c r="A319" s="403">
        <f t="shared" si="88"/>
        <v>317</v>
      </c>
      <c r="B319" s="422">
        <f t="shared" si="91"/>
        <v>40045</v>
      </c>
      <c r="D319" s="411">
        <v>30445.3613</v>
      </c>
      <c r="E319" s="408">
        <v>30445.3613</v>
      </c>
      <c r="F319" s="408">
        <f t="shared" si="95"/>
        <v>-385.80869999999777</v>
      </c>
      <c r="G319" s="409">
        <f t="shared" si="96"/>
        <v>-1.2513592575306043E-2</v>
      </c>
      <c r="H319" s="408">
        <f t="shared" si="93"/>
        <v>7589.5113000000019</v>
      </c>
      <c r="I319" s="409">
        <f t="shared" si="94"/>
        <v>0.33205990151317955</v>
      </c>
      <c r="L319" s="382">
        <v>1026.1298999999999</v>
      </c>
      <c r="M319" s="415">
        <f t="shared" si="92"/>
        <v>2.1950327550384285E-2</v>
      </c>
      <c r="N319" s="415">
        <f t="shared" si="86"/>
        <v>0.10327057887493529</v>
      </c>
      <c r="O319" s="416" t="str">
        <f t="shared" si="87"/>
        <v>No</v>
      </c>
      <c r="P319" s="417">
        <f t="shared" si="89"/>
        <v>0</v>
      </c>
      <c r="Q319" s="415">
        <f>SUM($P$4:P319)/COUNT($P$4:P319)</f>
        <v>0.53164556962025311</v>
      </c>
      <c r="W319" s="417">
        <f t="shared" si="90"/>
        <v>0</v>
      </c>
      <c r="X319" s="415" t="e">
        <f>SUM($W$4:W319)/COUNT($W$4:W319)</f>
        <v>#DIV/0!</v>
      </c>
      <c r="Z319" s="405"/>
    </row>
    <row r="320" spans="1:26">
      <c r="A320" s="403">
        <f t="shared" si="88"/>
        <v>318</v>
      </c>
      <c r="B320" s="422">
        <f t="shared" si="91"/>
        <v>40052</v>
      </c>
      <c r="D320" s="411">
        <v>30705.94</v>
      </c>
      <c r="E320" s="408">
        <v>30705.94</v>
      </c>
      <c r="F320" s="408">
        <f t="shared" si="95"/>
        <v>260.57869999999821</v>
      </c>
      <c r="G320" s="409">
        <f t="shared" si="96"/>
        <v>8.5588966224552365E-3</v>
      </c>
      <c r="H320" s="408">
        <f t="shared" si="93"/>
        <v>7850.09</v>
      </c>
      <c r="I320" s="409">
        <f t="shared" si="94"/>
        <v>0.34346086450514868</v>
      </c>
      <c r="L320" s="382">
        <v>1028.9299000000001</v>
      </c>
      <c r="M320" s="415">
        <f t="shared" si="92"/>
        <v>2.728699358629072E-3</v>
      </c>
      <c r="N320" s="415">
        <f t="shared" si="86"/>
        <v>0.1062810725959058</v>
      </c>
      <c r="O320" s="416" t="str">
        <f t="shared" si="87"/>
        <v>Yes</v>
      </c>
      <c r="P320" s="417">
        <f t="shared" si="89"/>
        <v>1</v>
      </c>
      <c r="Q320" s="415">
        <f>SUM($P$4:P320)/COUNT($P$4:P320)</f>
        <v>0.53312302839116721</v>
      </c>
      <c r="W320" s="417">
        <f t="shared" si="90"/>
        <v>0</v>
      </c>
      <c r="X320" s="415" t="e">
        <f>SUM($W$4:W320)/COUNT($W$4:W320)</f>
        <v>#DIV/0!</v>
      </c>
      <c r="Z320" s="405"/>
    </row>
    <row r="321" spans="1:26">
      <c r="A321" s="403">
        <f t="shared" si="88"/>
        <v>319</v>
      </c>
      <c r="B321" s="422">
        <f t="shared" si="91"/>
        <v>40059</v>
      </c>
      <c r="D321" s="411">
        <v>30696.06</v>
      </c>
      <c r="E321" s="408">
        <v>30696.06</v>
      </c>
      <c r="F321" s="408">
        <f t="shared" si="95"/>
        <v>-9.8799999999973807</v>
      </c>
      <c r="G321" s="409">
        <f t="shared" si="96"/>
        <v>-3.2176184803323071E-4</v>
      </c>
      <c r="H321" s="408">
        <f t="shared" si="93"/>
        <v>7840.2100000000028</v>
      </c>
      <c r="I321" s="409">
        <f t="shared" si="94"/>
        <v>0.34302859005462505</v>
      </c>
      <c r="L321" s="382">
        <v>1016.3999</v>
      </c>
      <c r="M321" s="415">
        <f t="shared" si="92"/>
        <v>-1.2177700346738929E-2</v>
      </c>
      <c r="N321" s="415">
        <f t="shared" si="86"/>
        <v>9.2809113194563864E-2</v>
      </c>
      <c r="O321" s="416" t="str">
        <f t="shared" si="87"/>
        <v>Yes</v>
      </c>
      <c r="P321" s="417">
        <f t="shared" si="89"/>
        <v>1</v>
      </c>
      <c r="Q321" s="415">
        <f>SUM($P$4:P321)/COUNT($P$4:P321)</f>
        <v>0.53459119496855345</v>
      </c>
      <c r="W321" s="417">
        <f t="shared" si="90"/>
        <v>0</v>
      </c>
      <c r="X321" s="415" t="e">
        <f>SUM($W$4:W321)/COUNT($W$4:W321)</f>
        <v>#DIV/0!</v>
      </c>
      <c r="Z321" s="405"/>
    </row>
    <row r="322" spans="1:26">
      <c r="A322" s="403">
        <f t="shared" si="88"/>
        <v>320</v>
      </c>
      <c r="B322" s="422">
        <f t="shared" si="91"/>
        <v>40066</v>
      </c>
      <c r="D322" s="411">
        <v>31817.5</v>
      </c>
      <c r="E322" s="408">
        <v>31817.5</v>
      </c>
      <c r="F322" s="408">
        <f t="shared" si="95"/>
        <v>1121.4399999999987</v>
      </c>
      <c r="G322" s="409">
        <f t="shared" si="96"/>
        <v>3.653367891514403E-2</v>
      </c>
      <c r="H322" s="408">
        <f t="shared" si="93"/>
        <v>8961.6500000000015</v>
      </c>
      <c r="I322" s="409">
        <f t="shared" si="94"/>
        <v>0.3920943653375395</v>
      </c>
      <c r="L322" s="382">
        <v>1042.73</v>
      </c>
      <c r="M322" s="415">
        <f t="shared" si="92"/>
        <v>2.5905256385798658E-2</v>
      </c>
      <c r="N322" s="415">
        <f t="shared" si="86"/>
        <v>0.12111861345260611</v>
      </c>
      <c r="O322" s="416" t="str">
        <f t="shared" si="87"/>
        <v>Yes</v>
      </c>
      <c r="P322" s="417">
        <f t="shared" si="89"/>
        <v>1</v>
      </c>
      <c r="Q322" s="415">
        <f>SUM($P$4:P322)/COUNT($P$4:P322)</f>
        <v>0.53605015673981193</v>
      </c>
      <c r="W322" s="417">
        <f t="shared" si="90"/>
        <v>0</v>
      </c>
      <c r="X322" s="415" t="e">
        <f>SUM($W$4:W322)/COUNT($W$4:W322)</f>
        <v>#DIV/0!</v>
      </c>
      <c r="Z322" s="405"/>
    </row>
    <row r="323" spans="1:26">
      <c r="A323" s="403">
        <f t="shared" si="88"/>
        <v>321</v>
      </c>
      <c r="B323" s="422">
        <f t="shared" si="91"/>
        <v>40073</v>
      </c>
      <c r="D323" s="411">
        <v>32359.077969999998</v>
      </c>
      <c r="E323" s="408">
        <v>32359.077969999998</v>
      </c>
      <c r="F323" s="408">
        <f t="shared" si="95"/>
        <v>541.57796999999846</v>
      </c>
      <c r="G323" s="409">
        <f t="shared" si="96"/>
        <v>1.7021386658285564E-2</v>
      </c>
      <c r="H323" s="408">
        <f t="shared" si="93"/>
        <v>9503.2279699999999</v>
      </c>
      <c r="I323" s="409">
        <f t="shared" si="94"/>
        <v>0.41578974179477024</v>
      </c>
      <c r="L323" s="382">
        <v>1068.2998</v>
      </c>
      <c r="M323" s="415">
        <f t="shared" si="92"/>
        <v>2.4521975966932841E-2</v>
      </c>
      <c r="N323" s="415">
        <f t="shared" si="86"/>
        <v>0.14861065714777211</v>
      </c>
      <c r="O323" s="416" t="str">
        <f t="shared" si="87"/>
        <v>No</v>
      </c>
      <c r="P323" s="417">
        <f t="shared" si="89"/>
        <v>0</v>
      </c>
      <c r="Q323" s="415">
        <f>SUM($P$4:P323)/COUNT($P$4:P323)</f>
        <v>0.53437500000000004</v>
      </c>
      <c r="W323" s="417">
        <f t="shared" si="90"/>
        <v>0</v>
      </c>
      <c r="X323" s="415" t="e">
        <f>SUM($W$4:W323)/COUNT($W$4:W323)</f>
        <v>#DIV/0!</v>
      </c>
      <c r="Z323" s="405"/>
    </row>
    <row r="324" spans="1:26">
      <c r="A324" s="403">
        <f t="shared" si="88"/>
        <v>322</v>
      </c>
      <c r="B324" s="422">
        <f t="shared" si="91"/>
        <v>40080</v>
      </c>
      <c r="D324" s="411">
        <v>31627.79</v>
      </c>
      <c r="E324" s="408">
        <v>31627.79</v>
      </c>
      <c r="F324" s="408">
        <f t="shared" si="95"/>
        <v>-731.28796999999759</v>
      </c>
      <c r="G324" s="409">
        <f t="shared" si="96"/>
        <v>-2.2599159675623981E-2</v>
      </c>
      <c r="H324" s="408">
        <f t="shared" si="93"/>
        <v>8771.9400000000023</v>
      </c>
      <c r="I324" s="409">
        <f t="shared" si="94"/>
        <v>0.38379408335283971</v>
      </c>
      <c r="L324" s="382">
        <v>1044.3798999999999</v>
      </c>
      <c r="M324" s="415">
        <f t="shared" ref="M324:M330" si="97">(L324/L323)-1</f>
        <v>-2.2390624804011106E-2</v>
      </c>
      <c r="N324" s="415">
        <f t="shared" ref="N324:N387" si="98">(L324/$L$3)-1</f>
        <v>0.1228925468776878</v>
      </c>
      <c r="O324" s="416" t="str">
        <f t="shared" ref="O324:O387" si="99">IF(G324&gt;M324,"Yes","No")</f>
        <v>No</v>
      </c>
      <c r="P324" s="417">
        <f t="shared" si="89"/>
        <v>0</v>
      </c>
      <c r="Q324" s="415">
        <f>SUM($P$4:P324)/COUNT($P$4:P324)</f>
        <v>0.53271028037383172</v>
      </c>
      <c r="W324" s="417">
        <f t="shared" si="90"/>
        <v>0</v>
      </c>
      <c r="X324" s="415" t="e">
        <f>SUM($W$4:W324)/COUNT($W$4:W324)</f>
        <v>#DIV/0!</v>
      </c>
      <c r="Z324" s="405"/>
    </row>
    <row r="325" spans="1:26">
      <c r="A325" s="403">
        <f t="shared" ref="A325:A388" si="100">A324+1</f>
        <v>323</v>
      </c>
      <c r="B325" s="422">
        <f t="shared" si="91"/>
        <v>40087</v>
      </c>
      <c r="D325" s="411">
        <v>31130.51</v>
      </c>
      <c r="E325" s="408">
        <v>31130.51</v>
      </c>
      <c r="F325" s="408">
        <f t="shared" si="95"/>
        <v>-497.28000000000247</v>
      </c>
      <c r="G325" s="409">
        <f t="shared" si="96"/>
        <v>-1.572288168095215E-2</v>
      </c>
      <c r="H325" s="408">
        <f t="shared" si="93"/>
        <v>8274.66</v>
      </c>
      <c r="I325" s="409">
        <f t="shared" si="94"/>
        <v>0.36203685270948149</v>
      </c>
      <c r="L325" s="382">
        <v>1025.21</v>
      </c>
      <c r="M325" s="415">
        <f t="shared" si="97"/>
        <v>-1.8355293892576729E-2</v>
      </c>
      <c r="N325" s="415">
        <f t="shared" si="98"/>
        <v>0.10228152416996394</v>
      </c>
      <c r="O325" s="416" t="str">
        <f t="shared" si="99"/>
        <v>Yes</v>
      </c>
      <c r="P325" s="417">
        <f t="shared" si="89"/>
        <v>1</v>
      </c>
      <c r="Q325" s="415">
        <f>SUM($P$4:P325)/COUNT($P$4:P325)</f>
        <v>0.53416149068322982</v>
      </c>
      <c r="W325" s="417">
        <f t="shared" si="90"/>
        <v>0</v>
      </c>
      <c r="X325" s="415" t="e">
        <f>SUM($W$4:W325)/COUNT($W$4:W325)</f>
        <v>#DIV/0!</v>
      </c>
      <c r="Z325" s="405"/>
    </row>
    <row r="326" spans="1:26">
      <c r="A326" s="403">
        <f t="shared" si="100"/>
        <v>324</v>
      </c>
      <c r="B326" s="422">
        <f t="shared" si="91"/>
        <v>40094</v>
      </c>
      <c r="D326" s="411">
        <v>32453.32</v>
      </c>
      <c r="E326" s="408">
        <v>32453.32</v>
      </c>
      <c r="F326" s="408">
        <f t="shared" si="95"/>
        <v>1322.8100000000013</v>
      </c>
      <c r="G326" s="409">
        <f t="shared" si="96"/>
        <v>4.2492397329822129E-2</v>
      </c>
      <c r="H326" s="408">
        <f t="shared" si="93"/>
        <v>9597.4700000000012</v>
      </c>
      <c r="I326" s="409">
        <f t="shared" si="94"/>
        <v>0.41991306383267313</v>
      </c>
      <c r="L326" s="382">
        <v>1071.49</v>
      </c>
      <c r="M326" s="415">
        <f t="shared" si="97"/>
        <v>4.5141970913276319E-2</v>
      </c>
      <c r="N326" s="415">
        <f t="shared" si="98"/>
        <v>0.15204068467228615</v>
      </c>
      <c r="O326" s="416" t="str">
        <f t="shared" si="99"/>
        <v>No</v>
      </c>
      <c r="P326" s="417">
        <f t="shared" ref="P326:P389" si="101">IF(O326="Yes",1,0)</f>
        <v>0</v>
      </c>
      <c r="Q326" s="415">
        <f>SUM($P$4:P326)/COUNT($P$4:P326)</f>
        <v>0.53250773993808054</v>
      </c>
      <c r="W326" s="417">
        <f t="shared" ref="W326:W389" si="102">IF(V326="Yes",1,0)</f>
        <v>0</v>
      </c>
      <c r="X326" s="415" t="e">
        <f>SUM($W$4:W326)/COUNT($W$4:W326)</f>
        <v>#DIV/0!</v>
      </c>
      <c r="Z326" s="405"/>
    </row>
    <row r="327" spans="1:26">
      <c r="A327" s="403">
        <f t="shared" si="100"/>
        <v>325</v>
      </c>
      <c r="B327" s="422">
        <f t="shared" si="91"/>
        <v>40101</v>
      </c>
      <c r="D327" s="411">
        <v>33222.78</v>
      </c>
      <c r="E327" s="408">
        <v>33222.78</v>
      </c>
      <c r="F327" s="408">
        <f t="shared" si="95"/>
        <v>769.45999999999913</v>
      </c>
      <c r="G327" s="409">
        <f t="shared" si="96"/>
        <v>2.3709746799402964E-2</v>
      </c>
      <c r="H327" s="408">
        <f t="shared" si="93"/>
        <v>10366.93</v>
      </c>
      <c r="I327" s="409">
        <f t="shared" si="94"/>
        <v>0.45357884305331031</v>
      </c>
      <c r="L327" s="382">
        <v>1087.6799000000001</v>
      </c>
      <c r="M327" s="415">
        <f t="shared" si="97"/>
        <v>1.5109707043462928E-2</v>
      </c>
      <c r="N327" s="415">
        <f t="shared" si="98"/>
        <v>0.16944768191983495</v>
      </c>
      <c r="O327" s="416" t="str">
        <f t="shared" si="99"/>
        <v>Yes</v>
      </c>
      <c r="P327" s="417">
        <f t="shared" si="101"/>
        <v>1</v>
      </c>
      <c r="Q327" s="415">
        <f>SUM($P$4:P327)/COUNT($P$4:P327)</f>
        <v>0.53395061728395066</v>
      </c>
      <c r="W327" s="417">
        <f t="shared" si="102"/>
        <v>0</v>
      </c>
      <c r="X327" s="415" t="e">
        <f>SUM($W$4:W327)/COUNT($W$4:W327)</f>
        <v>#DIV/0!</v>
      </c>
      <c r="Z327" s="405"/>
    </row>
    <row r="328" spans="1:26">
      <c r="A328" s="403">
        <f t="shared" si="100"/>
        <v>326</v>
      </c>
      <c r="B328" s="422">
        <f t="shared" si="91"/>
        <v>40108</v>
      </c>
      <c r="D328" s="411">
        <v>32919.43</v>
      </c>
      <c r="E328" s="408">
        <v>32919.43</v>
      </c>
      <c r="F328" s="408">
        <f t="shared" si="95"/>
        <v>-303.34999999999854</v>
      </c>
      <c r="G328" s="409">
        <f t="shared" si="96"/>
        <v>-9.130783155413158E-3</v>
      </c>
      <c r="H328" s="408">
        <f t="shared" si="93"/>
        <v>10063.580000000002</v>
      </c>
      <c r="I328" s="409">
        <f t="shared" si="94"/>
        <v>0.44030652983809415</v>
      </c>
      <c r="L328" s="382">
        <v>1079.5998999999999</v>
      </c>
      <c r="M328" s="415">
        <f t="shared" si="97"/>
        <v>-7.4286561698898579E-3</v>
      </c>
      <c r="N328" s="415">
        <f t="shared" si="98"/>
        <v>0.16076025718217779</v>
      </c>
      <c r="O328" s="416" t="str">
        <f t="shared" si="99"/>
        <v>No</v>
      </c>
      <c r="P328" s="417">
        <f t="shared" si="101"/>
        <v>0</v>
      </c>
      <c r="Q328" s="415">
        <f>SUM($P$4:P328)/COUNT($P$4:P328)</f>
        <v>0.53230769230769226</v>
      </c>
      <c r="W328" s="417">
        <f t="shared" si="102"/>
        <v>0</v>
      </c>
      <c r="X328" s="415" t="e">
        <f>SUM($W$4:W328)/COUNT($W$4:W328)</f>
        <v>#DIV/0!</v>
      </c>
      <c r="Z328" s="405"/>
    </row>
    <row r="329" spans="1:26">
      <c r="A329" s="403">
        <f t="shared" si="100"/>
        <v>327</v>
      </c>
      <c r="B329" s="422">
        <f t="shared" si="91"/>
        <v>40115</v>
      </c>
      <c r="D329" s="411">
        <v>32396.959999999999</v>
      </c>
      <c r="E329" s="408">
        <v>32396.959999999999</v>
      </c>
      <c r="F329" s="408">
        <f t="shared" si="95"/>
        <v>-522.47000000000116</v>
      </c>
      <c r="G329" s="409">
        <f t="shared" si="96"/>
        <v>-1.5871173954105533E-2</v>
      </c>
      <c r="H329" s="408">
        <f t="shared" si="93"/>
        <v>9541.11</v>
      </c>
      <c r="I329" s="409">
        <f t="shared" si="94"/>
        <v>0.41744717435579948</v>
      </c>
      <c r="L329" s="382">
        <v>1036.1899000000001</v>
      </c>
      <c r="M329" s="415">
        <f t="shared" si="97"/>
        <v>-4.0209340515870662E-2</v>
      </c>
      <c r="N329" s="415">
        <f t="shared" si="98"/>
        <v>0.11408685274385011</v>
      </c>
      <c r="O329" s="416" t="str">
        <f t="shared" si="99"/>
        <v>Yes</v>
      </c>
      <c r="P329" s="417">
        <f t="shared" si="101"/>
        <v>1</v>
      </c>
      <c r="Q329" s="415">
        <f>SUM($P$4:P329)/COUNT($P$4:P329)</f>
        <v>0.53374233128834359</v>
      </c>
      <c r="W329" s="417">
        <f t="shared" si="102"/>
        <v>0</v>
      </c>
      <c r="X329" s="415" t="e">
        <f>SUM($W$4:W329)/COUNT($W$4:W329)</f>
        <v>#DIV/0!</v>
      </c>
      <c r="Z329" s="405"/>
    </row>
    <row r="330" spans="1:26">
      <c r="A330" s="403">
        <f t="shared" si="100"/>
        <v>328</v>
      </c>
      <c r="B330" s="422">
        <f t="shared" si="91"/>
        <v>40122</v>
      </c>
      <c r="D330" s="411">
        <v>32628.34</v>
      </c>
      <c r="E330" s="408">
        <v>32628.34</v>
      </c>
      <c r="F330" s="408">
        <f t="shared" si="95"/>
        <v>231.38000000000102</v>
      </c>
      <c r="G330" s="409">
        <f t="shared" si="96"/>
        <v>7.1420281409120268E-3</v>
      </c>
      <c r="H330" s="408">
        <f t="shared" si="93"/>
        <v>9772.4900000000016</v>
      </c>
      <c r="I330" s="409">
        <f t="shared" si="94"/>
        <v>0.42757062196330486</v>
      </c>
      <c r="L330" s="382">
        <v>1069.2998</v>
      </c>
      <c r="M330" s="415">
        <f t="shared" si="97"/>
        <v>3.1953505819734218E-2</v>
      </c>
      <c r="N330" s="415">
        <f t="shared" si="98"/>
        <v>0.14968583347669018</v>
      </c>
      <c r="O330" s="416" t="str">
        <f t="shared" si="99"/>
        <v>No</v>
      </c>
      <c r="P330" s="417">
        <f t="shared" si="101"/>
        <v>0</v>
      </c>
      <c r="Q330" s="415">
        <f>SUM($P$4:P330)/COUNT($P$4:P330)</f>
        <v>0.5321100917431193</v>
      </c>
      <c r="W330" s="417">
        <f t="shared" si="102"/>
        <v>0</v>
      </c>
      <c r="X330" s="415" t="e">
        <f>SUM($W$4:W330)/COUNT($W$4:W330)</f>
        <v>#DIV/0!</v>
      </c>
      <c r="Z330" s="405"/>
    </row>
    <row r="331" spans="1:26">
      <c r="A331" s="403">
        <f t="shared" si="100"/>
        <v>329</v>
      </c>
      <c r="B331" s="422">
        <f t="shared" ref="B331:B394" si="103">B330+7</f>
        <v>40129</v>
      </c>
      <c r="D331" s="411">
        <v>32834.629999999997</v>
      </c>
      <c r="E331" s="408">
        <v>32834.629999999997</v>
      </c>
      <c r="F331" s="408">
        <f t="shared" si="95"/>
        <v>206.28999999999724</v>
      </c>
      <c r="G331" s="409">
        <f t="shared" si="96"/>
        <v>6.322417873541708E-3</v>
      </c>
      <c r="H331" s="408">
        <f t="shared" si="93"/>
        <v>9978.7799999999988</v>
      </c>
      <c r="I331" s="409">
        <f t="shared" si="94"/>
        <v>0.43659631997934878</v>
      </c>
      <c r="L331" s="382">
        <v>1093.48</v>
      </c>
      <c r="M331" s="415">
        <f t="shared" ref="M331:M336" si="104">(L331/L330)-1</f>
        <v>2.2613115610794932E-2</v>
      </c>
      <c r="N331" s="415">
        <f t="shared" si="98"/>
        <v>0.1756838121451918</v>
      </c>
      <c r="O331" s="416" t="str">
        <f t="shared" si="99"/>
        <v>No</v>
      </c>
      <c r="P331" s="417">
        <f t="shared" si="101"/>
        <v>0</v>
      </c>
      <c r="Q331" s="415">
        <f>SUM($P$4:P331)/COUNT($P$4:P331)</f>
        <v>0.53048780487804881</v>
      </c>
      <c r="W331" s="417">
        <f t="shared" si="102"/>
        <v>0</v>
      </c>
      <c r="X331" s="415" t="e">
        <f>SUM($W$4:W331)/COUNT($W$4:W331)</f>
        <v>#DIV/0!</v>
      </c>
      <c r="Z331" s="405"/>
    </row>
    <row r="332" spans="1:26">
      <c r="A332" s="403">
        <f t="shared" si="100"/>
        <v>330</v>
      </c>
      <c r="B332" s="422">
        <f t="shared" si="103"/>
        <v>40136</v>
      </c>
      <c r="D332" s="411">
        <v>32940.58</v>
      </c>
      <c r="E332" s="408">
        <v>32940.58</v>
      </c>
      <c r="F332" s="408">
        <f t="shared" si="95"/>
        <v>105.95000000000437</v>
      </c>
      <c r="G332" s="409">
        <f t="shared" si="96"/>
        <v>3.2267761202122713E-3</v>
      </c>
      <c r="H332" s="408">
        <f t="shared" si="93"/>
        <v>10084.730000000003</v>
      </c>
      <c r="I332" s="409">
        <f t="shared" si="94"/>
        <v>0.441231894679043</v>
      </c>
      <c r="L332" s="382">
        <v>1091.3798999999999</v>
      </c>
      <c r="M332" s="415">
        <f t="shared" si="104"/>
        <v>-1.9205655338918604E-3</v>
      </c>
      <c r="N332" s="415">
        <f t="shared" si="98"/>
        <v>0.17342583433683112</v>
      </c>
      <c r="O332" s="416" t="str">
        <f t="shared" si="99"/>
        <v>Yes</v>
      </c>
      <c r="P332" s="417">
        <f t="shared" si="101"/>
        <v>1</v>
      </c>
      <c r="Q332" s="415">
        <f>SUM($P$4:P332)/COUNT($P$4:P332)</f>
        <v>0.53191489361702127</v>
      </c>
      <c r="W332" s="417">
        <f t="shared" si="102"/>
        <v>0</v>
      </c>
      <c r="X332" s="415" t="e">
        <f>SUM($W$4:W332)/COUNT($W$4:W332)</f>
        <v>#DIV/0!</v>
      </c>
      <c r="Z332" s="405"/>
    </row>
    <row r="333" spans="1:26">
      <c r="A333" s="403">
        <f t="shared" si="100"/>
        <v>331</v>
      </c>
      <c r="B333" s="422">
        <f t="shared" si="103"/>
        <v>40143</v>
      </c>
      <c r="D333" s="411">
        <v>33162.879999999997</v>
      </c>
      <c r="E333" s="408">
        <v>33162.879999999997</v>
      </c>
      <c r="F333" s="408">
        <f t="shared" si="95"/>
        <v>222.29999999999563</v>
      </c>
      <c r="G333" s="409">
        <f t="shared" si="96"/>
        <v>6.748515053468962E-3</v>
      </c>
      <c r="H333" s="408">
        <f t="shared" si="93"/>
        <v>10307.029999999999</v>
      </c>
      <c r="I333" s="409">
        <f t="shared" si="94"/>
        <v>0.45095806981582398</v>
      </c>
      <c r="L333" s="382">
        <v>1091.49</v>
      </c>
      <c r="M333" s="415">
        <f t="shared" si="104"/>
        <v>1.0088146208309112E-4</v>
      </c>
      <c r="N333" s="415">
        <f t="shared" si="98"/>
        <v>0.17354421125064512</v>
      </c>
      <c r="O333" s="416" t="str">
        <f t="shared" si="99"/>
        <v>Yes</v>
      </c>
      <c r="P333" s="417">
        <f t="shared" si="101"/>
        <v>1</v>
      </c>
      <c r="Q333" s="415">
        <f>SUM($P$4:P333)/COUNT($P$4:P333)</f>
        <v>0.53333333333333333</v>
      </c>
      <c r="W333" s="417">
        <f t="shared" si="102"/>
        <v>0</v>
      </c>
      <c r="X333" s="415" t="e">
        <f>SUM($W$4:W333)/COUNT($W$4:W333)</f>
        <v>#DIV/0!</v>
      </c>
      <c r="Z333" s="405"/>
    </row>
    <row r="334" spans="1:26">
      <c r="A334" s="403">
        <f t="shared" si="100"/>
        <v>332</v>
      </c>
      <c r="B334" s="422">
        <f t="shared" si="103"/>
        <v>40150</v>
      </c>
      <c r="D334" s="411">
        <v>33422.098570000002</v>
      </c>
      <c r="E334" s="408">
        <v>33422.098570000002</v>
      </c>
      <c r="F334" s="408">
        <f t="shared" si="95"/>
        <v>259.21857000000455</v>
      </c>
      <c r="G334" s="409">
        <f t="shared" si="96"/>
        <v>7.8165276960264762E-3</v>
      </c>
      <c r="H334" s="408">
        <f t="shared" si="93"/>
        <v>10566.248570000003</v>
      </c>
      <c r="I334" s="409">
        <f t="shared" si="94"/>
        <v>0.4622995237543126</v>
      </c>
      <c r="L334" s="382">
        <v>1105.98</v>
      </c>
      <c r="M334" s="415">
        <f t="shared" si="104"/>
        <v>1.3275430833081359E-2</v>
      </c>
      <c r="N334" s="415">
        <f t="shared" si="98"/>
        <v>0.18912351625666601</v>
      </c>
      <c r="O334" s="416" t="str">
        <f t="shared" si="99"/>
        <v>No</v>
      </c>
      <c r="P334" s="417">
        <f t="shared" si="101"/>
        <v>0</v>
      </c>
      <c r="Q334" s="415">
        <f>SUM($P$4:P334)/COUNT($P$4:P334)</f>
        <v>0.53172205438066467</v>
      </c>
      <c r="W334" s="417">
        <f t="shared" si="102"/>
        <v>0</v>
      </c>
      <c r="X334" s="415" t="e">
        <f>SUM($W$4:W334)/COUNT($W$4:W334)</f>
        <v>#DIV/0!</v>
      </c>
      <c r="Z334" s="405"/>
    </row>
    <row r="335" spans="1:26">
      <c r="A335" s="403">
        <f t="shared" si="100"/>
        <v>333</v>
      </c>
      <c r="B335" s="422">
        <f t="shared" si="103"/>
        <v>40157</v>
      </c>
      <c r="D335" s="411">
        <v>33495.21</v>
      </c>
      <c r="E335" s="408">
        <v>33495.21</v>
      </c>
      <c r="F335" s="408">
        <f t="shared" si="95"/>
        <v>73.111429999997199</v>
      </c>
      <c r="G335" s="409">
        <f t="shared" si="96"/>
        <v>2.187517634383962E-3</v>
      </c>
      <c r="H335" s="408">
        <f t="shared" si="93"/>
        <v>10639.36</v>
      </c>
      <c r="I335" s="409">
        <f t="shared" si="94"/>
        <v>0.46549832974927652</v>
      </c>
      <c r="L335" s="382">
        <v>1106.4099000000001</v>
      </c>
      <c r="M335" s="415">
        <f t="shared" si="104"/>
        <v>3.8870503987431526E-4</v>
      </c>
      <c r="N335" s="415">
        <f t="shared" si="98"/>
        <v>0.1895857345604679</v>
      </c>
      <c r="O335" s="416" t="str">
        <f t="shared" si="99"/>
        <v>Yes</v>
      </c>
      <c r="P335" s="417">
        <f t="shared" si="101"/>
        <v>1</v>
      </c>
      <c r="Q335" s="415">
        <f>SUM($P$4:P335)/COUNT($P$4:P335)</f>
        <v>0.5331325301204819</v>
      </c>
      <c r="W335" s="417">
        <f t="shared" si="102"/>
        <v>0</v>
      </c>
      <c r="X335" s="415" t="e">
        <f>SUM($W$4:W335)/COUNT($W$4:W335)</f>
        <v>#DIV/0!</v>
      </c>
      <c r="Z335" s="405"/>
    </row>
    <row r="336" spans="1:26">
      <c r="A336" s="403">
        <f t="shared" si="100"/>
        <v>334</v>
      </c>
      <c r="B336" s="422">
        <f t="shared" si="103"/>
        <v>40164</v>
      </c>
      <c r="D336" s="411">
        <v>33398.01</v>
      </c>
      <c r="E336" s="408">
        <v>33398.01</v>
      </c>
      <c r="F336" s="408">
        <f t="shared" si="95"/>
        <v>-97.19999999999709</v>
      </c>
      <c r="G336" s="409">
        <f t="shared" si="96"/>
        <v>-2.9019074667689937E-3</v>
      </c>
      <c r="H336" s="408">
        <f t="shared" si="93"/>
        <v>10542.160000000003</v>
      </c>
      <c r="I336" s="409">
        <f t="shared" si="94"/>
        <v>0.46124558920363956</v>
      </c>
      <c r="L336" s="382">
        <v>1102.47</v>
      </c>
      <c r="M336" s="415">
        <f t="shared" si="104"/>
        <v>-3.5609768133854081E-3</v>
      </c>
      <c r="N336" s="415">
        <f t="shared" si="98"/>
        <v>0.18534964734216408</v>
      </c>
      <c r="O336" s="416" t="str">
        <f t="shared" si="99"/>
        <v>Yes</v>
      </c>
      <c r="P336" s="417">
        <f t="shared" si="101"/>
        <v>1</v>
      </c>
      <c r="Q336" s="415">
        <f>SUM($P$4:P336)/COUNT($P$4:P336)</f>
        <v>0.53453453453453459</v>
      </c>
      <c r="W336" s="417">
        <f t="shared" si="102"/>
        <v>0</v>
      </c>
      <c r="X336" s="415" t="e">
        <f>SUM($W$4:W336)/COUNT($W$4:W336)</f>
        <v>#DIV/0!</v>
      </c>
      <c r="Z336" s="405"/>
    </row>
    <row r="337" spans="1:26">
      <c r="A337" s="403">
        <f t="shared" si="100"/>
        <v>335</v>
      </c>
      <c r="B337" s="422">
        <f t="shared" si="103"/>
        <v>40171</v>
      </c>
      <c r="D337" s="411">
        <v>34192.712800000001</v>
      </c>
      <c r="E337" s="408">
        <v>34192.712800000001</v>
      </c>
      <c r="F337" s="408">
        <f t="shared" si="95"/>
        <v>794.70279999999912</v>
      </c>
      <c r="G337" s="409">
        <f t="shared" si="96"/>
        <v>2.3794914726955163E-2</v>
      </c>
      <c r="H337" s="408">
        <f t="shared" si="93"/>
        <v>11336.862800000003</v>
      </c>
      <c r="I337" s="409">
        <f t="shared" si="94"/>
        <v>0.49601580339387952</v>
      </c>
      <c r="L337" s="382">
        <v>1126.48</v>
      </c>
      <c r="M337" s="415">
        <f t="shared" ref="M337:M343" si="105">(L337/L336)-1</f>
        <v>2.1778370386495771E-2</v>
      </c>
      <c r="N337" s="415">
        <f t="shared" si="98"/>
        <v>0.2111646309994839</v>
      </c>
      <c r="O337" s="416" t="str">
        <f t="shared" si="99"/>
        <v>Yes</v>
      </c>
      <c r="P337" s="417">
        <f t="shared" si="101"/>
        <v>1</v>
      </c>
      <c r="Q337" s="415">
        <f>SUM($P$4:P337)/COUNT($P$4:P337)</f>
        <v>0.5359281437125748</v>
      </c>
      <c r="W337" s="417">
        <f t="shared" si="102"/>
        <v>0</v>
      </c>
      <c r="X337" s="415" t="e">
        <f>SUM($W$4:W337)/COUNT($W$4:W337)</f>
        <v>#DIV/0!</v>
      </c>
      <c r="Z337" s="405"/>
    </row>
    <row r="338" spans="1:26">
      <c r="A338" s="403">
        <f t="shared" si="100"/>
        <v>336</v>
      </c>
      <c r="B338" s="422">
        <f t="shared" si="103"/>
        <v>40178</v>
      </c>
      <c r="D338" s="411">
        <v>33849.141519999997</v>
      </c>
      <c r="E338" s="408">
        <v>33849.141519999997</v>
      </c>
      <c r="F338" s="408">
        <f t="shared" si="95"/>
        <v>-343.57128000000375</v>
      </c>
      <c r="G338" s="409">
        <f t="shared" si="96"/>
        <v>-1.0048084865615148E-2</v>
      </c>
      <c r="H338" s="408">
        <f t="shared" si="93"/>
        <v>10993.291519999999</v>
      </c>
      <c r="I338" s="409">
        <f t="shared" si="94"/>
        <v>0.48098370964107651</v>
      </c>
      <c r="L338" s="382">
        <v>1115.0998999999999</v>
      </c>
      <c r="M338" s="415">
        <f t="shared" si="105"/>
        <v>-1.0102354236204869E-2</v>
      </c>
      <c r="N338" s="415">
        <f t="shared" si="98"/>
        <v>0.19892901685876474</v>
      </c>
      <c r="O338" s="416" t="str">
        <f t="shared" si="99"/>
        <v>Yes</v>
      </c>
      <c r="P338" s="417">
        <f t="shared" si="101"/>
        <v>1</v>
      </c>
      <c r="Q338" s="415">
        <f>SUM($P$4:P338)/COUNT($P$4:P338)</f>
        <v>0.53731343283582089</v>
      </c>
      <c r="W338" s="417">
        <f t="shared" si="102"/>
        <v>0</v>
      </c>
      <c r="X338" s="415" t="e">
        <f>SUM($W$4:W338)/COUNT($W$4:W338)</f>
        <v>#DIV/0!</v>
      </c>
      <c r="Z338" s="405"/>
    </row>
    <row r="339" spans="1:26">
      <c r="A339" s="403">
        <f t="shared" si="100"/>
        <v>337</v>
      </c>
      <c r="B339" s="422">
        <f t="shared" si="103"/>
        <v>40185</v>
      </c>
      <c r="D339" s="411">
        <v>35157.935940000003</v>
      </c>
      <c r="E339" s="408">
        <v>35157.935940000003</v>
      </c>
      <c r="F339" s="408">
        <f t="shared" si="95"/>
        <v>1308.7944200000056</v>
      </c>
      <c r="G339" s="409">
        <f t="shared" si="96"/>
        <v>3.8665512956264969E-2</v>
      </c>
      <c r="H339" s="408">
        <f t="shared" si="93"/>
        <v>12302.085940000004</v>
      </c>
      <c r="I339" s="409">
        <f t="shared" si="94"/>
        <v>0.53824670445422096</v>
      </c>
      <c r="L339" s="382">
        <v>1144.98</v>
      </c>
      <c r="M339" s="415">
        <f t="shared" si="105"/>
        <v>2.6795895148049143E-2</v>
      </c>
      <c r="N339" s="415">
        <f t="shared" si="98"/>
        <v>0.23105539308446588</v>
      </c>
      <c r="O339" s="416" t="str">
        <f t="shared" si="99"/>
        <v>Yes</v>
      </c>
      <c r="P339" s="417">
        <f t="shared" si="101"/>
        <v>1</v>
      </c>
      <c r="Q339" s="415">
        <f>SUM($P$4:P339)/COUNT($P$4:P339)</f>
        <v>0.53869047619047616</v>
      </c>
      <c r="W339" s="417">
        <f t="shared" si="102"/>
        <v>0</v>
      </c>
      <c r="X339" s="415" t="e">
        <f>SUM($W$4:W339)/COUNT($W$4:W339)</f>
        <v>#DIV/0!</v>
      </c>
      <c r="Z339" s="405"/>
    </row>
    <row r="340" spans="1:26">
      <c r="A340" s="403">
        <f t="shared" si="100"/>
        <v>338</v>
      </c>
      <c r="B340" s="422">
        <f t="shared" si="103"/>
        <v>40192</v>
      </c>
      <c r="D340" s="411">
        <v>35455.557140000004</v>
      </c>
      <c r="E340" s="408">
        <v>35455.557140000004</v>
      </c>
      <c r="F340" s="408">
        <f t="shared" si="95"/>
        <v>297.62120000000141</v>
      </c>
      <c r="G340" s="409">
        <f t="shared" si="96"/>
        <v>8.4652637318618495E-3</v>
      </c>
      <c r="H340" s="408">
        <f t="shared" si="93"/>
        <v>12599.707140000006</v>
      </c>
      <c r="I340" s="409">
        <f t="shared" si="94"/>
        <v>0.55126836849209315</v>
      </c>
      <c r="L340" s="382">
        <v>1136.0298</v>
      </c>
      <c r="M340" s="415">
        <f t="shared" si="105"/>
        <v>-7.8169050987789701E-3</v>
      </c>
      <c r="N340" s="415">
        <f t="shared" si="98"/>
        <v>0.22143234990538452</v>
      </c>
      <c r="O340" s="416" t="str">
        <f t="shared" si="99"/>
        <v>Yes</v>
      </c>
      <c r="P340" s="417">
        <f t="shared" si="101"/>
        <v>1</v>
      </c>
      <c r="Q340" s="415">
        <f>SUM($P$4:P340)/COUNT($P$4:P340)</f>
        <v>0.5400593471810089</v>
      </c>
      <c r="W340" s="417">
        <f t="shared" si="102"/>
        <v>0</v>
      </c>
      <c r="X340" s="415" t="e">
        <f>SUM($W$4:W340)/COUNT($W$4:W340)</f>
        <v>#DIV/0!</v>
      </c>
      <c r="Z340" s="405"/>
    </row>
    <row r="341" spans="1:26">
      <c r="A341" s="403">
        <f t="shared" si="100"/>
        <v>339</v>
      </c>
      <c r="B341" s="422">
        <f t="shared" si="103"/>
        <v>40199</v>
      </c>
      <c r="D341" s="411">
        <v>34627.906080000001</v>
      </c>
      <c r="E341" s="408">
        <v>34627.906080000001</v>
      </c>
      <c r="F341" s="408">
        <f t="shared" si="95"/>
        <v>-827.65106000000378</v>
      </c>
      <c r="G341" s="409">
        <f t="shared" si="96"/>
        <v>-2.3343338160839999E-2</v>
      </c>
      <c r="H341" s="408">
        <f t="shared" si="93"/>
        <v>11772.056080000002</v>
      </c>
      <c r="I341" s="409">
        <f t="shared" si="94"/>
        <v>0.51505658638816776</v>
      </c>
      <c r="L341" s="382">
        <v>1091.7598</v>
      </c>
      <c r="M341" s="415">
        <f t="shared" si="105"/>
        <v>-3.8969048171095477E-2</v>
      </c>
      <c r="N341" s="415">
        <f t="shared" si="98"/>
        <v>0.17383429382418725</v>
      </c>
      <c r="O341" s="416" t="str">
        <f t="shared" si="99"/>
        <v>Yes</v>
      </c>
      <c r="P341" s="417">
        <f t="shared" si="101"/>
        <v>1</v>
      </c>
      <c r="Q341" s="415">
        <f>SUM($P$4:P341)/COUNT($P$4:P341)</f>
        <v>0.54142011834319526</v>
      </c>
      <c r="W341" s="417">
        <f t="shared" si="102"/>
        <v>0</v>
      </c>
      <c r="X341" s="415" t="e">
        <f>SUM($W$4:W341)/COUNT($W$4:W341)</f>
        <v>#DIV/0!</v>
      </c>
      <c r="Z341" s="405"/>
    </row>
    <row r="342" spans="1:26">
      <c r="A342" s="403">
        <f t="shared" si="100"/>
        <v>340</v>
      </c>
      <c r="B342" s="422">
        <f t="shared" si="103"/>
        <v>40206</v>
      </c>
      <c r="D342" s="411">
        <v>32454.974429999998</v>
      </c>
      <c r="E342" s="408">
        <v>32454.974429999998</v>
      </c>
      <c r="F342" s="408">
        <f t="shared" si="95"/>
        <v>-2172.9316500000023</v>
      </c>
      <c r="G342" s="409">
        <f t="shared" si="96"/>
        <v>-6.2750882048135725E-2</v>
      </c>
      <c r="H342" s="408">
        <f t="shared" si="93"/>
        <v>9599.1244299999998</v>
      </c>
      <c r="I342" s="409">
        <f t="shared" si="94"/>
        <v>0.41998544923947256</v>
      </c>
      <c r="L342" s="382">
        <v>1073.8698999999999</v>
      </c>
      <c r="M342" s="415">
        <f t="shared" si="105"/>
        <v>-1.638629669273417E-2</v>
      </c>
      <c r="N342" s="415">
        <f t="shared" si="98"/>
        <v>0.15459949681747798</v>
      </c>
      <c r="O342" s="416" t="str">
        <f t="shared" si="99"/>
        <v>No</v>
      </c>
      <c r="P342" s="417">
        <f t="shared" si="101"/>
        <v>0</v>
      </c>
      <c r="Q342" s="415">
        <f>SUM($P$4:P342)/COUNT($P$4:P342)</f>
        <v>0.53982300884955747</v>
      </c>
      <c r="W342" s="417">
        <f t="shared" si="102"/>
        <v>0</v>
      </c>
      <c r="X342" s="415" t="e">
        <f>SUM($W$4:W342)/COUNT($W$4:W342)</f>
        <v>#DIV/0!</v>
      </c>
      <c r="Z342" s="405"/>
    </row>
    <row r="343" spans="1:26">
      <c r="A343" s="403">
        <f t="shared" si="100"/>
        <v>341</v>
      </c>
      <c r="B343" s="422">
        <f t="shared" si="103"/>
        <v>40213</v>
      </c>
      <c r="D343" s="411">
        <v>33004.629999999997</v>
      </c>
      <c r="E343" s="408">
        <v>33004.629999999997</v>
      </c>
      <c r="F343" s="408">
        <f t="shared" si="95"/>
        <v>549.65556999999899</v>
      </c>
      <c r="G343" s="409">
        <f t="shared" si="96"/>
        <v>1.6935942167679574E-2</v>
      </c>
      <c r="H343" s="408">
        <f t="shared" si="93"/>
        <v>10148.779999999999</v>
      </c>
      <c r="I343" s="409">
        <f t="shared" si="94"/>
        <v>0.4440342406867388</v>
      </c>
      <c r="L343" s="382">
        <v>1066.1899000000001</v>
      </c>
      <c r="M343" s="415">
        <f t="shared" si="105"/>
        <v>-7.1517043172546479E-3</v>
      </c>
      <c r="N343" s="415">
        <f t="shared" si="98"/>
        <v>0.14634214261138823</v>
      </c>
      <c r="O343" s="416" t="str">
        <f t="shared" si="99"/>
        <v>Yes</v>
      </c>
      <c r="P343" s="417">
        <f t="shared" si="101"/>
        <v>1</v>
      </c>
      <c r="Q343" s="415">
        <f>SUM($P$4:P343)/COUNT($P$4:P343)</f>
        <v>0.54117647058823526</v>
      </c>
      <c r="W343" s="417">
        <f t="shared" si="102"/>
        <v>0</v>
      </c>
      <c r="X343" s="415" t="e">
        <f>SUM($W$4:W343)/COUNT($W$4:W343)</f>
        <v>#DIV/0!</v>
      </c>
      <c r="Z343" s="405"/>
    </row>
    <row r="344" spans="1:26">
      <c r="A344" s="403">
        <f t="shared" si="100"/>
        <v>342</v>
      </c>
      <c r="B344" s="422">
        <f t="shared" si="103"/>
        <v>40220</v>
      </c>
      <c r="D344" s="411">
        <v>33973.980000000003</v>
      </c>
      <c r="E344" s="408">
        <v>33973.980000000003</v>
      </c>
      <c r="F344" s="408">
        <f t="shared" si="95"/>
        <v>969.35000000000582</v>
      </c>
      <c r="G344" s="409">
        <f t="shared" si="96"/>
        <v>2.9370121707166685E-2</v>
      </c>
      <c r="H344" s="408">
        <f t="shared" si="93"/>
        <v>11118.130000000005</v>
      </c>
      <c r="I344" s="409">
        <f t="shared" si="94"/>
        <v>0.48644570208502436</v>
      </c>
      <c r="L344" s="382">
        <v>1075.5098</v>
      </c>
      <c r="M344" s="415">
        <f t="shared" ref="M344:M352" si="106">(L344/L343)-1</f>
        <v>8.7413133438987156E-3</v>
      </c>
      <c r="N344" s="415">
        <f t="shared" si="98"/>
        <v>0.15636267847927066</v>
      </c>
      <c r="O344" s="416" t="str">
        <f t="shared" si="99"/>
        <v>Yes</v>
      </c>
      <c r="P344" s="417">
        <f t="shared" si="101"/>
        <v>1</v>
      </c>
      <c r="Q344" s="415">
        <f>SUM($P$4:P344)/COUNT($P$4:P344)</f>
        <v>0.54252199413489732</v>
      </c>
      <c r="W344" s="417">
        <f t="shared" si="102"/>
        <v>0</v>
      </c>
      <c r="X344" s="415" t="e">
        <f>SUM($W$4:W344)/COUNT($W$4:W344)</f>
        <v>#DIV/0!</v>
      </c>
      <c r="Z344" s="405"/>
    </row>
    <row r="345" spans="1:26">
      <c r="A345" s="403">
        <f t="shared" si="100"/>
        <v>343</v>
      </c>
      <c r="B345" s="422">
        <f t="shared" si="103"/>
        <v>40227</v>
      </c>
      <c r="D345" s="411">
        <v>33604.755710000005</v>
      </c>
      <c r="E345" s="408">
        <v>33604.755710000005</v>
      </c>
      <c r="F345" s="408">
        <f t="shared" si="95"/>
        <v>-369.22428999999829</v>
      </c>
      <c r="G345" s="409">
        <f t="shared" si="96"/>
        <v>-1.0867855046715058E-2</v>
      </c>
      <c r="H345" s="408">
        <f t="shared" si="93"/>
        <v>10748.905710000006</v>
      </c>
      <c r="I345" s="409">
        <f t="shared" si="94"/>
        <v>0.47029122565995163</v>
      </c>
      <c r="L345" s="382">
        <v>1109.1699000000001</v>
      </c>
      <c r="M345" s="415">
        <f t="shared" si="106"/>
        <v>3.1296878931275307E-2</v>
      </c>
      <c r="N345" s="415">
        <f t="shared" si="98"/>
        <v>0.19255322122828145</v>
      </c>
      <c r="O345" s="416" t="str">
        <f t="shared" si="99"/>
        <v>No</v>
      </c>
      <c r="P345" s="417">
        <f t="shared" si="101"/>
        <v>0</v>
      </c>
      <c r="Q345" s="415">
        <f>SUM($P$4:P345)/COUNT($P$4:P345)</f>
        <v>0.54093567251461994</v>
      </c>
      <c r="W345" s="417">
        <f t="shared" si="102"/>
        <v>0</v>
      </c>
      <c r="X345" s="415" t="e">
        <f>SUM($W$4:W345)/COUNT($W$4:W345)</f>
        <v>#DIV/0!</v>
      </c>
      <c r="Z345" s="405"/>
    </row>
    <row r="346" spans="1:26">
      <c r="A346" s="403">
        <f t="shared" si="100"/>
        <v>344</v>
      </c>
      <c r="B346" s="422">
        <f t="shared" si="103"/>
        <v>40234</v>
      </c>
      <c r="D346" s="411">
        <f>D345*1.0203</f>
        <v>34286.932250913007</v>
      </c>
      <c r="E346" s="408">
        <f>E345*1.0197</f>
        <v>34266.769397487005</v>
      </c>
      <c r="F346" s="408">
        <f t="shared" si="95"/>
        <v>662.01368748700042</v>
      </c>
      <c r="G346" s="409">
        <f t="shared" si="96"/>
        <v>1.9700000000000051E-2</v>
      </c>
      <c r="H346" s="408">
        <f t="shared" si="93"/>
        <v>11410.919397487007</v>
      </c>
      <c r="I346" s="409">
        <f t="shared" si="94"/>
        <v>0.4992559628054527</v>
      </c>
      <c r="L346" s="382">
        <v>1104.49</v>
      </c>
      <c r="M346" s="415">
        <f t="shared" si="106"/>
        <v>-4.2192814644538279E-3</v>
      </c>
      <c r="N346" s="415">
        <f t="shared" si="98"/>
        <v>0.18752150352657826</v>
      </c>
      <c r="O346" s="416" t="str">
        <f t="shared" si="99"/>
        <v>Yes</v>
      </c>
      <c r="P346" s="417">
        <f t="shared" si="101"/>
        <v>1</v>
      </c>
      <c r="Q346" s="415">
        <f>SUM($P$4:P346)/COUNT($P$4:P346)</f>
        <v>0.54227405247813409</v>
      </c>
      <c r="W346" s="417">
        <f t="shared" si="102"/>
        <v>0</v>
      </c>
      <c r="X346" s="415" t="e">
        <f>SUM($W$4:W346)/COUNT($W$4:W346)</f>
        <v>#DIV/0!</v>
      </c>
      <c r="Z346" s="405"/>
    </row>
    <row r="347" spans="1:26">
      <c r="A347" s="403">
        <f t="shared" si="100"/>
        <v>345</v>
      </c>
      <c r="B347" s="422">
        <f t="shared" si="103"/>
        <v>40241</v>
      </c>
      <c r="D347" s="411">
        <v>34631.429188184753</v>
      </c>
      <c r="E347" s="408">
        <v>34631.429188184753</v>
      </c>
      <c r="F347" s="408">
        <f t="shared" si="95"/>
        <v>364.65979069774767</v>
      </c>
      <c r="G347" s="409">
        <f t="shared" si="96"/>
        <v>1.0641790781843907E-2</v>
      </c>
      <c r="H347" s="408">
        <f t="shared" si="93"/>
        <v>11775.579188184754</v>
      </c>
      <c r="I347" s="409">
        <f t="shared" si="94"/>
        <v>0.51521073109006021</v>
      </c>
      <c r="L347" s="382">
        <v>1138.7</v>
      </c>
      <c r="M347" s="415">
        <f t="shared" si="106"/>
        <v>3.0973571512643794E-2</v>
      </c>
      <c r="N347" s="415">
        <f t="shared" si="98"/>
        <v>0.22430328573886116</v>
      </c>
      <c r="O347" s="416" t="str">
        <f t="shared" si="99"/>
        <v>No</v>
      </c>
      <c r="P347" s="417">
        <f t="shared" si="101"/>
        <v>0</v>
      </c>
      <c r="Q347" s="415">
        <f>SUM($P$4:P347)/COUNT($P$4:P347)</f>
        <v>0.54069767441860461</v>
      </c>
      <c r="W347" s="417">
        <f t="shared" si="102"/>
        <v>0</v>
      </c>
      <c r="X347" s="415" t="e">
        <f>SUM($W$4:W347)/COUNT($W$4:W347)</f>
        <v>#DIV/0!</v>
      </c>
      <c r="Z347" s="405"/>
    </row>
    <row r="348" spans="1:26">
      <c r="A348" s="403">
        <f t="shared" si="100"/>
        <v>346</v>
      </c>
      <c r="B348" s="422">
        <f t="shared" si="103"/>
        <v>40248</v>
      </c>
      <c r="D348" s="411">
        <v>34975.926125456499</v>
      </c>
      <c r="E348" s="408">
        <v>34975.926125456499</v>
      </c>
      <c r="F348" s="408">
        <f t="shared" si="95"/>
        <v>344.49693727174599</v>
      </c>
      <c r="G348" s="409">
        <f t="shared" si="96"/>
        <v>9.9475229682197686E-3</v>
      </c>
      <c r="H348" s="408">
        <f t="shared" si="93"/>
        <v>12120.0761254565</v>
      </c>
      <c r="I348" s="409">
        <f t="shared" si="94"/>
        <v>0.53028332463927175</v>
      </c>
      <c r="L348" s="382">
        <v>1149.99</v>
      </c>
      <c r="M348" s="415">
        <f t="shared" si="106"/>
        <v>9.9148151400720863E-3</v>
      </c>
      <c r="N348" s="415">
        <f t="shared" si="98"/>
        <v>0.2364420264923448</v>
      </c>
      <c r="O348" s="416" t="str">
        <f t="shared" si="99"/>
        <v>Yes</v>
      </c>
      <c r="P348" s="417">
        <f t="shared" si="101"/>
        <v>1</v>
      </c>
      <c r="Q348" s="415">
        <f>SUM($P$4:P348)/COUNT($P$4:P348)</f>
        <v>0.54202898550724643</v>
      </c>
      <c r="W348" s="417">
        <f t="shared" si="102"/>
        <v>0</v>
      </c>
      <c r="X348" s="415" t="e">
        <f>SUM($W$4:W348)/COUNT($W$4:W348)</f>
        <v>#DIV/0!</v>
      </c>
      <c r="Z348" s="405"/>
    </row>
    <row r="349" spans="1:26">
      <c r="A349" s="403">
        <f t="shared" si="100"/>
        <v>347</v>
      </c>
      <c r="B349" s="422">
        <f t="shared" si="103"/>
        <v>40255</v>
      </c>
      <c r="D349" s="411">
        <v>35320.423062728245</v>
      </c>
      <c r="E349" s="408">
        <v>35320.423062728245</v>
      </c>
      <c r="F349" s="408">
        <f t="shared" si="95"/>
        <v>344.49693727174599</v>
      </c>
      <c r="G349" s="409">
        <f t="shared" si="96"/>
        <v>9.8495443990833653E-3</v>
      </c>
      <c r="H349" s="408">
        <f t="shared" si="93"/>
        <v>12464.573062728246</v>
      </c>
      <c r="I349" s="409">
        <f t="shared" si="94"/>
        <v>0.54535591818848328</v>
      </c>
      <c r="L349" s="382">
        <v>1159.9000000000001</v>
      </c>
      <c r="M349" s="415">
        <f t="shared" si="106"/>
        <v>8.6174662388369683E-3</v>
      </c>
      <c r="N349" s="415">
        <f t="shared" si="98"/>
        <v>0.24709702391192168</v>
      </c>
      <c r="O349" s="416" t="str">
        <f t="shared" si="99"/>
        <v>Yes</v>
      </c>
      <c r="P349" s="417">
        <f t="shared" si="101"/>
        <v>1</v>
      </c>
      <c r="Q349" s="415">
        <f>SUM($P$4:P349)/COUNT($P$4:P349)</f>
        <v>0.54335260115606931</v>
      </c>
      <c r="W349" s="417">
        <f t="shared" si="102"/>
        <v>0</v>
      </c>
      <c r="X349" s="415" t="e">
        <f>SUM($W$4:W349)/COUNT($W$4:W349)</f>
        <v>#DIV/0!</v>
      </c>
      <c r="Z349" s="405"/>
    </row>
    <row r="350" spans="1:26">
      <c r="A350" s="403">
        <f t="shared" si="100"/>
        <v>348</v>
      </c>
      <c r="B350" s="422">
        <f t="shared" si="103"/>
        <v>40262</v>
      </c>
      <c r="D350" s="411">
        <v>35664.92</v>
      </c>
      <c r="E350" s="408">
        <v>35664.92</v>
      </c>
      <c r="F350" s="408">
        <f t="shared" si="95"/>
        <v>344.49693727175327</v>
      </c>
      <c r="G350" s="409">
        <f t="shared" si="96"/>
        <v>9.7534770934066817E-3</v>
      </c>
      <c r="H350" s="408">
        <f t="shared" si="93"/>
        <v>12809.07</v>
      </c>
      <c r="I350" s="409">
        <f t="shared" si="94"/>
        <v>0.56042851173769526</v>
      </c>
      <c r="L350" s="382">
        <v>1166.5899999999999</v>
      </c>
      <c r="M350" s="415">
        <f t="shared" si="106"/>
        <v>5.7677385981549367E-3</v>
      </c>
      <c r="N350" s="415">
        <f t="shared" si="98"/>
        <v>0.25428995355238238</v>
      </c>
      <c r="O350" s="416" t="str">
        <f t="shared" si="99"/>
        <v>Yes</v>
      </c>
      <c r="P350" s="417">
        <f t="shared" si="101"/>
        <v>1</v>
      </c>
      <c r="Q350" s="415">
        <f>SUM($P$4:P350)/COUNT($P$4:P350)</f>
        <v>0.54466858789625361</v>
      </c>
      <c r="W350" s="417">
        <f t="shared" si="102"/>
        <v>0</v>
      </c>
      <c r="X350" s="415" t="e">
        <f>SUM($W$4:W350)/COUNT($W$4:W350)</f>
        <v>#DIV/0!</v>
      </c>
      <c r="Z350" s="405"/>
    </row>
    <row r="351" spans="1:26">
      <c r="A351" s="403">
        <f t="shared" si="100"/>
        <v>349</v>
      </c>
      <c r="B351" s="422">
        <f t="shared" si="103"/>
        <v>40269</v>
      </c>
      <c r="D351" s="411">
        <v>35949.420050000001</v>
      </c>
      <c r="E351" s="408">
        <v>35949.420050000001</v>
      </c>
      <c r="F351" s="408">
        <f t="shared" si="95"/>
        <v>284.50005000000237</v>
      </c>
      <c r="G351" s="409">
        <f t="shared" si="96"/>
        <v>7.9770275665838053E-3</v>
      </c>
      <c r="H351" s="408">
        <f t="shared" si="93"/>
        <v>13093.570050000002</v>
      </c>
      <c r="I351" s="409">
        <f t="shared" si="94"/>
        <v>0.57287609299150999</v>
      </c>
      <c r="L351" s="382">
        <v>1178.0999999999999</v>
      </c>
      <c r="M351" s="415">
        <f t="shared" si="106"/>
        <v>9.8663626466881649E-3</v>
      </c>
      <c r="N351" s="415">
        <f t="shared" si="98"/>
        <v>0.26666523309822798</v>
      </c>
      <c r="O351" s="416" t="str">
        <f t="shared" si="99"/>
        <v>No</v>
      </c>
      <c r="P351" s="417">
        <f t="shared" si="101"/>
        <v>0</v>
      </c>
      <c r="Q351" s="415">
        <f>SUM($P$4:P351)/COUNT($P$4:P351)</f>
        <v>0.5431034482758621</v>
      </c>
      <c r="W351" s="417">
        <f t="shared" si="102"/>
        <v>0</v>
      </c>
      <c r="X351" s="415" t="e">
        <f>SUM($W$4:W351)/COUNT($W$4:W351)</f>
        <v>#DIV/0!</v>
      </c>
      <c r="Z351" s="405"/>
    </row>
    <row r="352" spans="1:26">
      <c r="A352" s="403">
        <f t="shared" si="100"/>
        <v>350</v>
      </c>
      <c r="B352" s="422">
        <f t="shared" si="103"/>
        <v>40276</v>
      </c>
      <c r="D352" s="411">
        <v>36168.230000000003</v>
      </c>
      <c r="E352" s="408">
        <v>36168.230000000003</v>
      </c>
      <c r="F352" s="408">
        <f t="shared" si="95"/>
        <v>218.80995000000257</v>
      </c>
      <c r="G352" s="409">
        <f t="shared" si="96"/>
        <v>6.0866058394175582E-3</v>
      </c>
      <c r="H352" s="408">
        <f t="shared" si="93"/>
        <v>13312.380000000005</v>
      </c>
      <c r="I352" s="409">
        <f t="shared" si="94"/>
        <v>0.58244956980379237</v>
      </c>
      <c r="L352" s="382">
        <v>1194.3699999999999</v>
      </c>
      <c r="M352" s="415">
        <f t="shared" si="106"/>
        <v>1.3810372633902057E-2</v>
      </c>
      <c r="N352" s="415">
        <f t="shared" si="98"/>
        <v>0.28415835196972283</v>
      </c>
      <c r="O352" s="416" t="str">
        <f t="shared" si="99"/>
        <v>No</v>
      </c>
      <c r="P352" s="417">
        <f t="shared" si="101"/>
        <v>0</v>
      </c>
      <c r="Q352" s="415">
        <f>SUM($P$4:P352)/COUNT($P$4:P352)</f>
        <v>0.54154727793696278</v>
      </c>
      <c r="W352" s="417">
        <f t="shared" si="102"/>
        <v>0</v>
      </c>
      <c r="X352" s="415" t="e">
        <f>SUM($W$4:W352)/COUNT($W$4:W352)</f>
        <v>#DIV/0!</v>
      </c>
      <c r="Z352" s="405"/>
    </row>
    <row r="353" spans="1:26">
      <c r="A353" s="403">
        <f t="shared" si="100"/>
        <v>351</v>
      </c>
      <c r="B353" s="422">
        <f t="shared" si="103"/>
        <v>40283</v>
      </c>
      <c r="D353" s="411">
        <v>37170.089971000009</v>
      </c>
      <c r="E353" s="408">
        <v>37170.089971000009</v>
      </c>
      <c r="F353" s="408">
        <f t="shared" si="95"/>
        <v>1001.8599710000053</v>
      </c>
      <c r="G353" s="409">
        <f t="shared" si="96"/>
        <v>2.7700000000000058E-2</v>
      </c>
      <c r="H353" s="408">
        <f t="shared" si="93"/>
        <v>14314.23997100001</v>
      </c>
      <c r="I353" s="409">
        <f t="shared" si="94"/>
        <v>0.6262834228873575</v>
      </c>
      <c r="L353" s="382">
        <v>1192.1300000000001</v>
      </c>
      <c r="M353" s="415">
        <f t="shared" ref="M353:M365" si="107">(L353/L352)-1</f>
        <v>-1.8754657267009422E-3</v>
      </c>
      <c r="N353" s="415">
        <f t="shared" si="98"/>
        <v>0.28174995699294691</v>
      </c>
      <c r="O353" s="416" t="str">
        <f t="shared" si="99"/>
        <v>Yes</v>
      </c>
      <c r="P353" s="417">
        <f t="shared" si="101"/>
        <v>1</v>
      </c>
      <c r="Q353" s="415">
        <f>SUM($P$4:P353)/COUNT($P$4:P353)</f>
        <v>0.54285714285714282</v>
      </c>
      <c r="W353" s="417">
        <f t="shared" si="102"/>
        <v>0</v>
      </c>
      <c r="X353" s="415" t="e">
        <f>SUM($W$4:W353)/COUNT($W$4:W353)</f>
        <v>#DIV/0!</v>
      </c>
      <c r="Z353" s="405"/>
    </row>
    <row r="354" spans="1:26">
      <c r="A354" s="403">
        <f t="shared" si="100"/>
        <v>352</v>
      </c>
      <c r="B354" s="422">
        <f t="shared" si="103"/>
        <v>40290</v>
      </c>
      <c r="D354" s="411">
        <v>37247.840579999996</v>
      </c>
      <c r="E354" s="408">
        <v>37247.840579999996</v>
      </c>
      <c r="F354" s="408">
        <f t="shared" si="95"/>
        <v>77.75060899998789</v>
      </c>
      <c r="G354" s="409">
        <f t="shared" si="96"/>
        <v>2.0917519721004307E-3</v>
      </c>
      <c r="H354" s="408">
        <f t="shared" si="93"/>
        <v>14391.990579999998</v>
      </c>
      <c r="I354" s="409">
        <f t="shared" si="94"/>
        <v>0.62968520444437637</v>
      </c>
      <c r="L354" s="382">
        <v>1217.28</v>
      </c>
      <c r="M354" s="415">
        <f t="shared" si="107"/>
        <v>2.1096692474813938E-2</v>
      </c>
      <c r="N354" s="415">
        <f t="shared" si="98"/>
        <v>0.30879064166523307</v>
      </c>
      <c r="O354" s="416" t="str">
        <f t="shared" si="99"/>
        <v>No</v>
      </c>
      <c r="P354" s="417">
        <f t="shared" si="101"/>
        <v>0</v>
      </c>
      <c r="Q354" s="415">
        <f>SUM($P$4:P354)/COUNT($P$4:P354)</f>
        <v>0.54131054131054135</v>
      </c>
      <c r="W354" s="417">
        <f t="shared" si="102"/>
        <v>0</v>
      </c>
      <c r="X354" s="415" t="e">
        <f>SUM($W$4:W354)/COUNT($W$4:W354)</f>
        <v>#DIV/0!</v>
      </c>
      <c r="Z354" s="405"/>
    </row>
    <row r="355" spans="1:26">
      <c r="A355" s="403">
        <f t="shared" si="100"/>
        <v>353</v>
      </c>
      <c r="B355" s="422">
        <f t="shared" si="103"/>
        <v>40297</v>
      </c>
      <c r="D355" s="411">
        <v>36157.851710000003</v>
      </c>
      <c r="E355" s="408">
        <v>36157.851710000003</v>
      </c>
      <c r="F355" s="408">
        <f t="shared" si="95"/>
        <v>-1089.9888699999938</v>
      </c>
      <c r="G355" s="409">
        <f t="shared" si="96"/>
        <v>-2.9263142588331847E-2</v>
      </c>
      <c r="H355" s="408">
        <f t="shared" si="93"/>
        <v>13302.001710000004</v>
      </c>
      <c r="I355" s="409">
        <f t="shared" si="94"/>
        <v>0.58199549393262573</v>
      </c>
      <c r="L355" s="382">
        <v>1186.69</v>
      </c>
      <c r="M355" s="415">
        <f t="shared" si="107"/>
        <v>-2.5129797581493141E-2</v>
      </c>
      <c r="N355" s="415">
        <f t="shared" si="98"/>
        <v>0.2759009977636333</v>
      </c>
      <c r="O355" s="416" t="str">
        <f t="shared" si="99"/>
        <v>No</v>
      </c>
      <c r="P355" s="417">
        <f t="shared" si="101"/>
        <v>0</v>
      </c>
      <c r="Q355" s="415">
        <f>SUM($P$4:P355)/COUNT($P$4:P355)</f>
        <v>0.53977272727272729</v>
      </c>
      <c r="W355" s="417">
        <f t="shared" si="102"/>
        <v>0</v>
      </c>
      <c r="X355" s="415" t="e">
        <f>SUM($W$4:W355)/COUNT($W$4:W355)</f>
        <v>#DIV/0!</v>
      </c>
      <c r="Z355" s="405"/>
    </row>
    <row r="356" spans="1:26">
      <c r="A356" s="403">
        <f t="shared" si="100"/>
        <v>354</v>
      </c>
      <c r="B356" s="422">
        <f t="shared" si="103"/>
        <v>40304</v>
      </c>
      <c r="D356" s="411">
        <v>33356.878120000001</v>
      </c>
      <c r="E356" s="408">
        <v>33356.878120000001</v>
      </c>
      <c r="F356" s="408">
        <f t="shared" si="95"/>
        <v>-2800.9735900000014</v>
      </c>
      <c r="G356" s="409">
        <f t="shared" si="96"/>
        <v>-7.7465155077931502E-2</v>
      </c>
      <c r="H356" s="408">
        <f t="shared" si="93"/>
        <v>10501.028120000003</v>
      </c>
      <c r="I356" s="409">
        <f t="shared" si="94"/>
        <v>0.45944596766254597</v>
      </c>
      <c r="L356" s="382">
        <v>1110.8800000000001</v>
      </c>
      <c r="M356" s="415">
        <f t="shared" si="107"/>
        <v>-6.3883575322957076E-2</v>
      </c>
      <c r="N356" s="415">
        <f t="shared" si="98"/>
        <v>0.19439188026836418</v>
      </c>
      <c r="O356" s="416" t="str">
        <f t="shared" si="99"/>
        <v>No</v>
      </c>
      <c r="P356" s="417">
        <f t="shared" si="101"/>
        <v>0</v>
      </c>
      <c r="Q356" s="415">
        <f>SUM($P$4:P356)/COUNT($P$4:P356)</f>
        <v>0.5382436260623229</v>
      </c>
      <c r="W356" s="417">
        <f t="shared" si="102"/>
        <v>0</v>
      </c>
      <c r="X356" s="415" t="e">
        <f>SUM($W$4:W356)/COUNT($W$4:W356)</f>
        <v>#DIV/0!</v>
      </c>
      <c r="Z356" s="405"/>
    </row>
    <row r="357" spans="1:26">
      <c r="A357" s="403">
        <f t="shared" si="100"/>
        <v>355</v>
      </c>
      <c r="B357" s="422">
        <f t="shared" si="103"/>
        <v>40311</v>
      </c>
      <c r="D357" s="411">
        <v>34501.65</v>
      </c>
      <c r="E357" s="408">
        <v>34501.65</v>
      </c>
      <c r="F357" s="408">
        <f t="shared" si="95"/>
        <v>1144.7718800000002</v>
      </c>
      <c r="G357" s="409">
        <f t="shared" si="96"/>
        <v>3.4318915453710241E-2</v>
      </c>
      <c r="H357" s="408">
        <f t="shared" si="93"/>
        <v>11645.800000000003</v>
      </c>
      <c r="I357" s="409">
        <f t="shared" si="94"/>
        <v>0.50953257043601541</v>
      </c>
      <c r="L357" s="382">
        <v>1135.68</v>
      </c>
      <c r="M357" s="415">
        <f t="shared" si="107"/>
        <v>2.2324643525853283E-2</v>
      </c>
      <c r="N357" s="415">
        <f t="shared" si="98"/>
        <v>0.22105625322552891</v>
      </c>
      <c r="O357" s="416" t="str">
        <f t="shared" si="99"/>
        <v>Yes</v>
      </c>
      <c r="P357" s="417">
        <f t="shared" si="101"/>
        <v>1</v>
      </c>
      <c r="Q357" s="415">
        <f>SUM($P$4:P357)/COUNT($P$4:P357)</f>
        <v>0.53954802259887003</v>
      </c>
      <c r="W357" s="417">
        <f t="shared" si="102"/>
        <v>0</v>
      </c>
      <c r="X357" s="415" t="e">
        <f>SUM($W$4:W357)/COUNT($W$4:W357)</f>
        <v>#DIV/0!</v>
      </c>
      <c r="Z357" s="405"/>
    </row>
    <row r="358" spans="1:26">
      <c r="A358" s="403">
        <f t="shared" si="100"/>
        <v>356</v>
      </c>
      <c r="B358" s="422">
        <f t="shared" si="103"/>
        <v>40318</v>
      </c>
      <c r="D358" s="411">
        <v>33668.19</v>
      </c>
      <c r="E358" s="408">
        <v>33668.19</v>
      </c>
      <c r="F358" s="408">
        <f t="shared" si="95"/>
        <v>-833.45999999999913</v>
      </c>
      <c r="G358" s="409">
        <f t="shared" si="96"/>
        <v>-2.415710552973549E-2</v>
      </c>
      <c r="H358" s="408">
        <f t="shared" si="93"/>
        <v>10812.340000000004</v>
      </c>
      <c r="I358" s="409">
        <f t="shared" si="94"/>
        <v>0.4730666328314197</v>
      </c>
      <c r="L358" s="382">
        <v>1087.69</v>
      </c>
      <c r="M358" s="415">
        <f t="shared" si="107"/>
        <v>-4.2256621583544707E-2</v>
      </c>
      <c r="N358" s="415">
        <f t="shared" si="98"/>
        <v>0.16945854120075698</v>
      </c>
      <c r="O358" s="416" t="str">
        <f t="shared" si="99"/>
        <v>Yes</v>
      </c>
      <c r="P358" s="417">
        <f t="shared" si="101"/>
        <v>1</v>
      </c>
      <c r="Q358" s="415">
        <f>SUM($P$4:P358)/COUNT($P$4:P358)</f>
        <v>0.54084507042253516</v>
      </c>
      <c r="W358" s="417">
        <f t="shared" si="102"/>
        <v>0</v>
      </c>
      <c r="X358" s="415" t="e">
        <f>SUM($W$4:W358)/COUNT($W$4:W358)</f>
        <v>#DIV/0!</v>
      </c>
      <c r="Z358" s="405"/>
    </row>
    <row r="359" spans="1:26">
      <c r="A359" s="403">
        <f t="shared" si="100"/>
        <v>357</v>
      </c>
      <c r="B359" s="422">
        <f t="shared" si="103"/>
        <v>40325</v>
      </c>
      <c r="D359" s="411">
        <v>32834.720000000001</v>
      </c>
      <c r="E359" s="408">
        <v>32834.720000000001</v>
      </c>
      <c r="F359" s="408">
        <f t="shared" si="95"/>
        <v>-833.47000000000116</v>
      </c>
      <c r="G359" s="409">
        <f t="shared" si="96"/>
        <v>-2.4755414532233622E-2</v>
      </c>
      <c r="H359" s="408">
        <f t="shared" si="93"/>
        <v>9978.8700000000026</v>
      </c>
      <c r="I359" s="409">
        <f t="shared" si="94"/>
        <v>0.43660025770207644</v>
      </c>
      <c r="L359" s="382">
        <v>1089.4100000000001</v>
      </c>
      <c r="M359" s="415">
        <f t="shared" si="107"/>
        <v>1.5813329165479395E-3</v>
      </c>
      <c r="N359" s="415">
        <f t="shared" si="98"/>
        <v>0.17130784448649572</v>
      </c>
      <c r="O359" s="416" t="str">
        <f t="shared" si="99"/>
        <v>No</v>
      </c>
      <c r="P359" s="417">
        <f t="shared" si="101"/>
        <v>0</v>
      </c>
      <c r="Q359" s="415">
        <f>SUM($P$4:P359)/COUNT($P$4:P359)</f>
        <v>0.5393258426966292</v>
      </c>
      <c r="W359" s="417">
        <f t="shared" si="102"/>
        <v>0</v>
      </c>
      <c r="X359" s="415" t="e">
        <f>SUM($W$4:W359)/COUNT($W$4:W359)</f>
        <v>#DIV/0!</v>
      </c>
      <c r="Z359" s="405"/>
    </row>
    <row r="360" spans="1:26">
      <c r="A360" s="403">
        <f t="shared" si="100"/>
        <v>358</v>
      </c>
      <c r="B360" s="422">
        <f t="shared" si="103"/>
        <v>40332</v>
      </c>
      <c r="D360" s="411">
        <v>32063.099960000003</v>
      </c>
      <c r="E360" s="408">
        <v>32063.099960000003</v>
      </c>
      <c r="F360" s="408">
        <f t="shared" si="95"/>
        <v>-771.62003999999797</v>
      </c>
      <c r="G360" s="409">
        <f t="shared" si="96"/>
        <v>-2.3500125476934142E-2</v>
      </c>
      <c r="H360" s="408">
        <f t="shared" si="93"/>
        <v>9207.2499600000046</v>
      </c>
      <c r="I360" s="409">
        <f t="shared" si="94"/>
        <v>0.40283997138588168</v>
      </c>
      <c r="L360" s="382">
        <v>1064.8800000000001</v>
      </c>
      <c r="M360" s="415">
        <f t="shared" si="107"/>
        <v>-2.2516775135164924E-2</v>
      </c>
      <c r="N360" s="415">
        <f t="shared" si="98"/>
        <v>0.14493376913813871</v>
      </c>
      <c r="O360" s="416" t="str">
        <f t="shared" si="99"/>
        <v>No</v>
      </c>
      <c r="P360" s="417">
        <f t="shared" si="101"/>
        <v>0</v>
      </c>
      <c r="Q360" s="415">
        <f>SUM($P$4:P360)/COUNT($P$4:P360)</f>
        <v>0.53781512605042014</v>
      </c>
      <c r="W360" s="417">
        <f t="shared" si="102"/>
        <v>0</v>
      </c>
      <c r="X360" s="415" t="e">
        <f>SUM($W$4:W360)/COUNT($W$4:W360)</f>
        <v>#DIV/0!</v>
      </c>
      <c r="Z360" s="405"/>
    </row>
    <row r="361" spans="1:26">
      <c r="A361" s="403">
        <f t="shared" si="100"/>
        <v>359</v>
      </c>
      <c r="B361" s="422">
        <f t="shared" si="103"/>
        <v>40339</v>
      </c>
      <c r="D361" s="411">
        <v>32851.9</v>
      </c>
      <c r="E361" s="408">
        <v>32851.9</v>
      </c>
      <c r="F361" s="408">
        <f t="shared" si="95"/>
        <v>788.80003999999826</v>
      </c>
      <c r="G361" s="409">
        <f t="shared" si="96"/>
        <v>2.4601490217229793E-2</v>
      </c>
      <c r="H361" s="408">
        <f t="shared" ref="H361:H424" si="108">E361-$D$3</f>
        <v>9996.0500000000029</v>
      </c>
      <c r="I361" s="409">
        <f t="shared" ref="I361:I424" si="109">(E361/$D$3)-1</f>
        <v>0.43735192521827027</v>
      </c>
      <c r="L361" s="382">
        <v>1091.5999999999999</v>
      </c>
      <c r="M361" s="415">
        <f t="shared" si="107"/>
        <v>2.5092029148824135E-2</v>
      </c>
      <c r="N361" s="415">
        <f t="shared" si="98"/>
        <v>0.17366248064682588</v>
      </c>
      <c r="O361" s="416" t="str">
        <f t="shared" si="99"/>
        <v>No</v>
      </c>
      <c r="P361" s="417">
        <f t="shared" si="101"/>
        <v>0</v>
      </c>
      <c r="Q361" s="415">
        <f>SUM($P$4:P361)/COUNT($P$4:P361)</f>
        <v>0.53631284916201116</v>
      </c>
      <c r="W361" s="417">
        <f t="shared" si="102"/>
        <v>0</v>
      </c>
      <c r="X361" s="415" t="e">
        <f>SUM($W$4:W361)/COUNT($W$4:W361)</f>
        <v>#DIV/0!</v>
      </c>
      <c r="Z361" s="405"/>
    </row>
    <row r="362" spans="1:26">
      <c r="A362" s="403">
        <f t="shared" si="100"/>
        <v>360</v>
      </c>
      <c r="B362" s="422">
        <f t="shared" si="103"/>
        <v>40346</v>
      </c>
      <c r="D362" s="411">
        <v>33571.410000000003</v>
      </c>
      <c r="E362" s="408">
        <v>33571.410000000003</v>
      </c>
      <c r="F362" s="408">
        <f t="shared" si="95"/>
        <v>719.51000000000204</v>
      </c>
      <c r="G362" s="409">
        <f t="shared" si="96"/>
        <v>2.1901625172364492E-2</v>
      </c>
      <c r="H362" s="408">
        <f t="shared" si="108"/>
        <v>10715.560000000005</v>
      </c>
      <c r="I362" s="409">
        <f t="shared" si="109"/>
        <v>0.46883226832517733</v>
      </c>
      <c r="L362" s="382">
        <v>1117.51</v>
      </c>
      <c r="M362" s="415">
        <f t="shared" si="107"/>
        <v>2.3735800659582251E-2</v>
      </c>
      <c r="N362" s="415">
        <f t="shared" si="98"/>
        <v>0.20152029932908988</v>
      </c>
      <c r="O362" s="416" t="str">
        <f t="shared" si="99"/>
        <v>No</v>
      </c>
      <c r="P362" s="417">
        <f t="shared" si="101"/>
        <v>0</v>
      </c>
      <c r="Q362" s="415">
        <f>SUM($P$4:P362)/COUNT($P$4:P362)</f>
        <v>0.5348189415041783</v>
      </c>
      <c r="W362" s="417">
        <f t="shared" si="102"/>
        <v>0</v>
      </c>
      <c r="X362" s="415" t="e">
        <f>SUM($W$4:W362)/COUNT($W$4:W362)</f>
        <v>#DIV/0!</v>
      </c>
      <c r="Z362" s="405"/>
    </row>
    <row r="363" spans="1:26">
      <c r="A363" s="403">
        <f t="shared" si="100"/>
        <v>361</v>
      </c>
      <c r="B363" s="422">
        <f t="shared" si="103"/>
        <v>40353</v>
      </c>
      <c r="D363" s="411">
        <v>32212.512079999997</v>
      </c>
      <c r="E363" s="408">
        <v>32212.512079999997</v>
      </c>
      <c r="F363" s="408">
        <f t="shared" si="95"/>
        <v>-1358.8979200000067</v>
      </c>
      <c r="G363" s="409">
        <f t="shared" si="96"/>
        <v>-4.0477832774971523E-2</v>
      </c>
      <c r="H363" s="408">
        <f t="shared" si="108"/>
        <v>9356.6620799999982</v>
      </c>
      <c r="I363" s="409">
        <f t="shared" si="109"/>
        <v>0.40937712139342874</v>
      </c>
      <c r="L363" s="382">
        <v>1076.76</v>
      </c>
      <c r="M363" s="415">
        <f t="shared" si="107"/>
        <v>-3.6464998076079835E-2</v>
      </c>
      <c r="N363" s="415">
        <f t="shared" si="98"/>
        <v>0.15770686392568378</v>
      </c>
      <c r="O363" s="416" t="str">
        <f t="shared" si="99"/>
        <v>No</v>
      </c>
      <c r="P363" s="417">
        <f t="shared" si="101"/>
        <v>0</v>
      </c>
      <c r="Q363" s="415">
        <f>SUM($P$4:P363)/COUNT($P$4:P363)</f>
        <v>0.53333333333333333</v>
      </c>
      <c r="W363" s="417">
        <f t="shared" si="102"/>
        <v>0</v>
      </c>
      <c r="X363" s="415" t="e">
        <f>SUM($W$4:W363)/COUNT($W$4:W363)</f>
        <v>#DIV/0!</v>
      </c>
      <c r="Z363" s="405"/>
    </row>
    <row r="364" spans="1:26">
      <c r="A364" s="403">
        <f t="shared" si="100"/>
        <v>362</v>
      </c>
      <c r="B364" s="422">
        <f t="shared" si="103"/>
        <v>40360</v>
      </c>
      <c r="D364" s="411">
        <v>32373.987929999999</v>
      </c>
      <c r="E364" s="408">
        <v>32373.987929999999</v>
      </c>
      <c r="F364" s="408">
        <f t="shared" si="95"/>
        <v>161.47585000000254</v>
      </c>
      <c r="G364" s="409">
        <f t="shared" si="96"/>
        <v>5.0128300953051763E-3</v>
      </c>
      <c r="H364" s="408">
        <f t="shared" si="108"/>
        <v>9518.1379300000008</v>
      </c>
      <c r="I364" s="409">
        <f t="shared" si="109"/>
        <v>0.41644208944318417</v>
      </c>
      <c r="L364" s="382">
        <v>1022.58</v>
      </c>
      <c r="M364" s="415">
        <f t="shared" si="107"/>
        <v>-5.0317619525242385E-2</v>
      </c>
      <c r="N364" s="415">
        <f t="shared" si="98"/>
        <v>9.9453810424909639E-2</v>
      </c>
      <c r="O364" s="416" t="str">
        <f t="shared" si="99"/>
        <v>Yes</v>
      </c>
      <c r="P364" s="417">
        <f t="shared" si="101"/>
        <v>1</v>
      </c>
      <c r="Q364" s="415">
        <f>SUM($P$4:P364)/COUNT($P$4:P364)</f>
        <v>0.53462603878116344</v>
      </c>
      <c r="W364" s="417">
        <f t="shared" si="102"/>
        <v>0</v>
      </c>
      <c r="X364" s="415" t="e">
        <f>SUM($W$4:W364)/COUNT($W$4:W364)</f>
        <v>#DIV/0!</v>
      </c>
      <c r="Z364" s="405"/>
    </row>
    <row r="365" spans="1:26">
      <c r="A365" s="403">
        <f t="shared" si="100"/>
        <v>363</v>
      </c>
      <c r="B365" s="422">
        <f t="shared" si="103"/>
        <v>40367</v>
      </c>
      <c r="D365" s="411">
        <v>32912.164449999997</v>
      </c>
      <c r="E365" s="408">
        <v>32912.164449999997</v>
      </c>
      <c r="F365" s="408">
        <f t="shared" si="95"/>
        <v>538.17651999999725</v>
      </c>
      <c r="G365" s="409">
        <f t="shared" si="96"/>
        <v>1.6623732644975853E-2</v>
      </c>
      <c r="H365" s="408">
        <f t="shared" si="108"/>
        <v>10056.314449999998</v>
      </c>
      <c r="I365" s="409">
        <f t="shared" si="109"/>
        <v>0.43998864404517879</v>
      </c>
      <c r="L365" s="382">
        <v>1077.96</v>
      </c>
      <c r="M365" s="415">
        <f t="shared" si="107"/>
        <v>5.4157131960335558E-2</v>
      </c>
      <c r="N365" s="415">
        <f t="shared" si="98"/>
        <v>0.15899707552038533</v>
      </c>
      <c r="O365" s="416" t="str">
        <f t="shared" si="99"/>
        <v>No</v>
      </c>
      <c r="P365" s="417">
        <f t="shared" si="101"/>
        <v>0</v>
      </c>
      <c r="Q365" s="415">
        <f>SUM($P$4:P365)/COUNT($P$4:P365)</f>
        <v>0.53314917127071826</v>
      </c>
      <c r="W365" s="417">
        <f t="shared" si="102"/>
        <v>0</v>
      </c>
      <c r="X365" s="415" t="e">
        <f>SUM($W$4:W365)/COUNT($W$4:W365)</f>
        <v>#DIV/0!</v>
      </c>
      <c r="Z365" s="405"/>
    </row>
    <row r="366" spans="1:26">
      <c r="A366" s="403">
        <f t="shared" si="100"/>
        <v>364</v>
      </c>
      <c r="B366" s="422">
        <f t="shared" si="103"/>
        <v>40374</v>
      </c>
      <c r="D366" s="411">
        <v>33023.502699999997</v>
      </c>
      <c r="E366" s="408">
        <v>33023.502699999997</v>
      </c>
      <c r="F366" s="408">
        <f t="shared" si="95"/>
        <v>111.3382500000007</v>
      </c>
      <c r="G366" s="409">
        <f t="shared" si="96"/>
        <v>3.3828905470238979E-3</v>
      </c>
      <c r="H366" s="408">
        <f t="shared" si="108"/>
        <v>10167.652699999999</v>
      </c>
      <c r="I366" s="409">
        <f t="shared" si="109"/>
        <v>0.44485996801694094</v>
      </c>
      <c r="L366" s="382">
        <v>1064.8800000000001</v>
      </c>
      <c r="M366" s="415">
        <f t="shared" ref="M366:M376" si="110">(L366/L365)-1</f>
        <v>-1.2134030947344887E-2</v>
      </c>
      <c r="N366" s="415">
        <f t="shared" si="98"/>
        <v>0.14493376913813871</v>
      </c>
      <c r="O366" s="416" t="str">
        <f t="shared" si="99"/>
        <v>Yes</v>
      </c>
      <c r="P366" s="417">
        <f t="shared" si="101"/>
        <v>1</v>
      </c>
      <c r="Q366" s="415">
        <f>SUM($P$4:P366)/COUNT($P$4:P366)</f>
        <v>0.53443526170798894</v>
      </c>
      <c r="W366" s="417">
        <f t="shared" si="102"/>
        <v>0</v>
      </c>
      <c r="X366" s="415" t="e">
        <f>SUM($W$4:W366)/COUNT($W$4:W366)</f>
        <v>#DIV/0!</v>
      </c>
      <c r="Z366" s="405"/>
    </row>
    <row r="367" spans="1:26">
      <c r="A367" s="403">
        <f t="shared" si="100"/>
        <v>365</v>
      </c>
      <c r="B367" s="422">
        <f t="shared" si="103"/>
        <v>40381</v>
      </c>
      <c r="D367" s="411">
        <v>33186.488100000002</v>
      </c>
      <c r="E367" s="408">
        <v>33186.488100000002</v>
      </c>
      <c r="F367" s="408">
        <f t="shared" ref="F367:F430" si="111">E367-E366</f>
        <v>162.98540000000503</v>
      </c>
      <c r="G367" s="409">
        <f t="shared" ref="G367:G430" si="112">(E367/E366)-1</f>
        <v>4.9354364823330776E-3</v>
      </c>
      <c r="H367" s="408">
        <f t="shared" si="108"/>
        <v>10330.638100000004</v>
      </c>
      <c r="I367" s="409">
        <f t="shared" si="109"/>
        <v>0.45199098261495441</v>
      </c>
      <c r="L367" s="382">
        <v>1102.6600000000001</v>
      </c>
      <c r="M367" s="415">
        <f t="shared" si="110"/>
        <v>3.5478175944707369E-2</v>
      </c>
      <c r="N367" s="415">
        <f t="shared" si="98"/>
        <v>0.18555393084465854</v>
      </c>
      <c r="O367" s="416" t="str">
        <f t="shared" si="99"/>
        <v>No</v>
      </c>
      <c r="P367" s="417">
        <f t="shared" si="101"/>
        <v>0</v>
      </c>
      <c r="Q367" s="415">
        <f>SUM($P$4:P367)/COUNT($P$4:P367)</f>
        <v>0.53296703296703296</v>
      </c>
      <c r="W367" s="417">
        <f t="shared" si="102"/>
        <v>0</v>
      </c>
      <c r="X367" s="415" t="e">
        <f>SUM($W$4:W367)/COUNT($W$4:W367)</f>
        <v>#DIV/0!</v>
      </c>
      <c r="Z367" s="405"/>
    </row>
    <row r="368" spans="1:26">
      <c r="A368" s="403">
        <f t="shared" si="100"/>
        <v>366</v>
      </c>
      <c r="B368" s="422">
        <f t="shared" si="103"/>
        <v>40388</v>
      </c>
      <c r="D368" s="411">
        <v>33760.091820000001</v>
      </c>
      <c r="E368" s="408">
        <v>33760.091820000001</v>
      </c>
      <c r="F368" s="408">
        <f t="shared" si="111"/>
        <v>573.60371999999916</v>
      </c>
      <c r="G368" s="409">
        <f t="shared" si="112"/>
        <v>1.7284254913372488E-2</v>
      </c>
      <c r="H368" s="408">
        <f t="shared" si="108"/>
        <v>10904.241820000003</v>
      </c>
      <c r="I368" s="409">
        <f t="shared" si="109"/>
        <v>0.47708756489038917</v>
      </c>
      <c r="L368" s="382">
        <v>1101.5999999999999</v>
      </c>
      <c r="M368" s="415">
        <f t="shared" si="110"/>
        <v>-9.6131173707236783E-4</v>
      </c>
      <c r="N368" s="415">
        <f t="shared" si="98"/>
        <v>0.18441424393600525</v>
      </c>
      <c r="O368" s="416" t="str">
        <f t="shared" si="99"/>
        <v>Yes</v>
      </c>
      <c r="P368" s="417">
        <f t="shared" si="101"/>
        <v>1</v>
      </c>
      <c r="Q368" s="415">
        <f>SUM($P$4:P368)/COUNT($P$4:P368)</f>
        <v>0.53424657534246578</v>
      </c>
      <c r="W368" s="417">
        <f t="shared" si="102"/>
        <v>0</v>
      </c>
      <c r="X368" s="415" t="e">
        <f>SUM($W$4:W368)/COUNT($W$4:W368)</f>
        <v>#DIV/0!</v>
      </c>
      <c r="Z368" s="405"/>
    </row>
    <row r="369" spans="1:26">
      <c r="A369" s="403">
        <f t="shared" si="100"/>
        <v>367</v>
      </c>
      <c r="B369" s="422">
        <f t="shared" si="103"/>
        <v>40395</v>
      </c>
      <c r="D369" s="411">
        <v>32915.919999999998</v>
      </c>
      <c r="E369" s="408">
        <v>32915.919999999998</v>
      </c>
      <c r="F369" s="408">
        <f t="shared" si="111"/>
        <v>-844.17182000000321</v>
      </c>
      <c r="G369" s="409">
        <f t="shared" si="112"/>
        <v>-2.5005021446650844E-2</v>
      </c>
      <c r="H369" s="408">
        <f t="shared" si="108"/>
        <v>10060.07</v>
      </c>
      <c r="I369" s="409">
        <f t="shared" si="109"/>
        <v>0.44015295865172366</v>
      </c>
      <c r="L369" s="382">
        <v>1121.6400000000001</v>
      </c>
      <c r="M369" s="415">
        <f t="shared" si="110"/>
        <v>1.8191721132897687E-2</v>
      </c>
      <c r="N369" s="415">
        <f t="shared" si="98"/>
        <v>0.20596077756752118</v>
      </c>
      <c r="O369" s="416" t="str">
        <f t="shared" si="99"/>
        <v>No</v>
      </c>
      <c r="P369" s="417">
        <f t="shared" si="101"/>
        <v>0</v>
      </c>
      <c r="Q369" s="415">
        <f>SUM($P$4:P369)/COUNT($P$4:P369)</f>
        <v>0.53278688524590168</v>
      </c>
      <c r="W369" s="417">
        <f t="shared" si="102"/>
        <v>0</v>
      </c>
      <c r="X369" s="415" t="e">
        <f>SUM($W$4:W369)/COUNT($W$4:W369)</f>
        <v>#DIV/0!</v>
      </c>
      <c r="Z369" s="405"/>
    </row>
    <row r="370" spans="1:26">
      <c r="A370" s="403">
        <f t="shared" si="100"/>
        <v>368</v>
      </c>
      <c r="B370" s="422">
        <f t="shared" si="103"/>
        <v>40402</v>
      </c>
      <c r="D370" s="411">
        <v>32071.74</v>
      </c>
      <c r="E370" s="408">
        <v>32071.74</v>
      </c>
      <c r="F370" s="408">
        <f t="shared" si="111"/>
        <v>-844.17999999999665</v>
      </c>
      <c r="G370" s="409">
        <f t="shared" si="112"/>
        <v>-2.564655643834346E-2</v>
      </c>
      <c r="H370" s="408">
        <f t="shared" si="108"/>
        <v>9215.8900000000031</v>
      </c>
      <c r="I370" s="409">
        <f t="shared" si="109"/>
        <v>0.40321799451781515</v>
      </c>
      <c r="L370" s="382">
        <v>1079.25</v>
      </c>
      <c r="M370" s="415">
        <f t="shared" si="110"/>
        <v>-3.7792874719161262E-2</v>
      </c>
      <c r="N370" s="415">
        <f t="shared" si="98"/>
        <v>0.16038405298468938</v>
      </c>
      <c r="O370" s="416" t="str">
        <f t="shared" si="99"/>
        <v>Yes</v>
      </c>
      <c r="P370" s="417">
        <f t="shared" si="101"/>
        <v>1</v>
      </c>
      <c r="Q370" s="415">
        <f>SUM($P$4:P370)/COUNT($P$4:P370)</f>
        <v>0.5340599455040872</v>
      </c>
      <c r="W370" s="417">
        <f t="shared" si="102"/>
        <v>0</v>
      </c>
      <c r="X370" s="415" t="e">
        <f>SUM($W$4:W370)/COUNT($W$4:W370)</f>
        <v>#DIV/0!</v>
      </c>
      <c r="Z370" s="405"/>
    </row>
    <row r="371" spans="1:26">
      <c r="A371" s="403">
        <f t="shared" si="100"/>
        <v>369</v>
      </c>
      <c r="B371" s="422">
        <f t="shared" si="103"/>
        <v>40409</v>
      </c>
      <c r="D371" s="411">
        <v>31227.568719999996</v>
      </c>
      <c r="E371" s="408">
        <v>31227.568719999996</v>
      </c>
      <c r="F371" s="408">
        <f t="shared" si="111"/>
        <v>-844.17128000000594</v>
      </c>
      <c r="G371" s="409">
        <f t="shared" si="112"/>
        <v>-2.6321343338403413E-2</v>
      </c>
      <c r="H371" s="408">
        <f t="shared" si="108"/>
        <v>8371.7187199999971</v>
      </c>
      <c r="I371" s="409">
        <f t="shared" si="109"/>
        <v>0.36628341190548586</v>
      </c>
      <c r="L371" s="382">
        <v>1071.69</v>
      </c>
      <c r="M371" s="415">
        <f t="shared" si="110"/>
        <v>-7.0048644892285461E-3</v>
      </c>
      <c r="N371" s="415">
        <f t="shared" si="98"/>
        <v>0.15225571993806986</v>
      </c>
      <c r="O371" s="416" t="str">
        <f t="shared" si="99"/>
        <v>No</v>
      </c>
      <c r="P371" s="417">
        <f t="shared" si="101"/>
        <v>0</v>
      </c>
      <c r="Q371" s="415">
        <f>SUM($P$4:P371)/COUNT($P$4:P371)</f>
        <v>0.53260869565217395</v>
      </c>
      <c r="W371" s="417">
        <f t="shared" si="102"/>
        <v>0</v>
      </c>
      <c r="X371" s="415" t="e">
        <f>SUM($W$4:W371)/COUNT($W$4:W371)</f>
        <v>#DIV/0!</v>
      </c>
      <c r="Z371" s="405"/>
    </row>
    <row r="372" spans="1:26">
      <c r="A372" s="403">
        <f t="shared" si="100"/>
        <v>370</v>
      </c>
      <c r="B372" s="422">
        <f t="shared" si="103"/>
        <v>40416</v>
      </c>
      <c r="D372" s="411">
        <v>33051.66921</v>
      </c>
      <c r="E372" s="408">
        <v>33051.66921</v>
      </c>
      <c r="F372" s="408">
        <f t="shared" si="111"/>
        <v>1824.1004900000044</v>
      </c>
      <c r="G372" s="409">
        <f t="shared" si="112"/>
        <v>5.8413144691336294E-2</v>
      </c>
      <c r="H372" s="408">
        <f t="shared" si="108"/>
        <v>10195.819210000001</v>
      </c>
      <c r="I372" s="409">
        <f t="shared" si="109"/>
        <v>0.44609232253449349</v>
      </c>
      <c r="L372" s="382">
        <v>1064.5899999999999</v>
      </c>
      <c r="M372" s="415">
        <f t="shared" si="110"/>
        <v>-6.6250501544291573E-3</v>
      </c>
      <c r="N372" s="415">
        <f t="shared" si="98"/>
        <v>0.14462196800275229</v>
      </c>
      <c r="O372" s="416" t="str">
        <f t="shared" si="99"/>
        <v>Yes</v>
      </c>
      <c r="P372" s="417">
        <f t="shared" si="101"/>
        <v>1</v>
      </c>
      <c r="Q372" s="415">
        <f>SUM($P$4:P372)/COUNT($P$4:P372)</f>
        <v>0.53387533875338755</v>
      </c>
      <c r="W372" s="417">
        <f t="shared" si="102"/>
        <v>0</v>
      </c>
      <c r="X372" s="415" t="e">
        <f>SUM($W$4:W372)/COUNT($W$4:W372)</f>
        <v>#DIV/0!</v>
      </c>
      <c r="Z372" s="405"/>
    </row>
    <row r="373" spans="1:26">
      <c r="A373" s="403">
        <f t="shared" si="100"/>
        <v>371</v>
      </c>
      <c r="B373" s="422">
        <f t="shared" si="103"/>
        <v>40423</v>
      </c>
      <c r="D373" s="411">
        <v>32880.08365</v>
      </c>
      <c r="E373" s="408">
        <v>32880.08365</v>
      </c>
      <c r="F373" s="408">
        <f t="shared" si="111"/>
        <v>-171.58555999999953</v>
      </c>
      <c r="G373" s="409">
        <f t="shared" si="112"/>
        <v>-5.1914340213742305E-3</v>
      </c>
      <c r="H373" s="408">
        <f t="shared" si="108"/>
        <v>10024.233650000002</v>
      </c>
      <c r="I373" s="409">
        <f t="shared" si="109"/>
        <v>0.43858502965323987</v>
      </c>
      <c r="L373" s="382">
        <v>1104.51</v>
      </c>
      <c r="M373" s="415">
        <f t="shared" si="110"/>
        <v>3.7498003926394352E-2</v>
      </c>
      <c r="N373" s="415">
        <f t="shared" si="98"/>
        <v>0.18754300705315674</v>
      </c>
      <c r="O373" s="416" t="str">
        <f t="shared" si="99"/>
        <v>No</v>
      </c>
      <c r="P373" s="417">
        <f t="shared" si="101"/>
        <v>0</v>
      </c>
      <c r="Q373" s="415">
        <f>SUM($P$4:P373)/COUNT($P$4:P373)</f>
        <v>0.53243243243243243</v>
      </c>
      <c r="W373" s="417">
        <f t="shared" si="102"/>
        <v>0</v>
      </c>
      <c r="X373" s="415" t="e">
        <f>SUM($W$4:W373)/COUNT($W$4:W373)</f>
        <v>#DIV/0!</v>
      </c>
      <c r="Z373" s="405"/>
    </row>
    <row r="374" spans="1:26">
      <c r="A374" s="403">
        <f t="shared" si="100"/>
        <v>372</v>
      </c>
      <c r="B374" s="422">
        <f t="shared" si="103"/>
        <v>40430</v>
      </c>
      <c r="D374" s="411">
        <v>33162.777199999997</v>
      </c>
      <c r="E374" s="408">
        <v>33162.777199999997</v>
      </c>
      <c r="F374" s="408">
        <f t="shared" si="111"/>
        <v>282.69354999999632</v>
      </c>
      <c r="G374" s="409">
        <f t="shared" si="112"/>
        <v>8.5977138321542412E-3</v>
      </c>
      <c r="H374" s="408">
        <f t="shared" si="108"/>
        <v>10306.927199999998</v>
      </c>
      <c r="I374" s="409">
        <f t="shared" si="109"/>
        <v>0.45095357206141973</v>
      </c>
      <c r="L374" s="382">
        <v>1109.55</v>
      </c>
      <c r="M374" s="415">
        <f t="shared" si="110"/>
        <v>4.5631094331421984E-3</v>
      </c>
      <c r="N374" s="415">
        <f t="shared" si="98"/>
        <v>0.19296189575090295</v>
      </c>
      <c r="O374" s="416" t="str">
        <f t="shared" si="99"/>
        <v>Yes</v>
      </c>
      <c r="P374" s="417">
        <f t="shared" si="101"/>
        <v>1</v>
      </c>
      <c r="Q374" s="415">
        <f>SUM($P$4:P374)/COUNT($P$4:P374)</f>
        <v>0.53369272237196763</v>
      </c>
      <c r="W374" s="417">
        <f t="shared" si="102"/>
        <v>0</v>
      </c>
      <c r="X374" s="415" t="e">
        <f>SUM($W$4:W374)/COUNT($W$4:W374)</f>
        <v>#DIV/0!</v>
      </c>
      <c r="Z374" s="405"/>
    </row>
    <row r="375" spans="1:26">
      <c r="A375" s="403">
        <f t="shared" si="100"/>
        <v>373</v>
      </c>
      <c r="B375" s="422">
        <f t="shared" si="103"/>
        <v>40437</v>
      </c>
      <c r="D375" s="411">
        <v>32802.641459999999</v>
      </c>
      <c r="E375" s="408">
        <v>32802.641459999999</v>
      </c>
      <c r="F375" s="408">
        <f t="shared" si="111"/>
        <v>-360.1357399999979</v>
      </c>
      <c r="G375" s="409">
        <f t="shared" si="112"/>
        <v>-1.0859637533613964E-2</v>
      </c>
      <c r="H375" s="408">
        <f t="shared" si="108"/>
        <v>9946.7914600000004</v>
      </c>
      <c r="I375" s="409">
        <f t="shared" si="109"/>
        <v>0.43519674219073012</v>
      </c>
      <c r="L375" s="382">
        <v>1125.5899999999999</v>
      </c>
      <c r="M375" s="415">
        <f t="shared" si="110"/>
        <v>1.4456311117119425E-2</v>
      </c>
      <c r="N375" s="415">
        <f t="shared" si="98"/>
        <v>0.21020772406674681</v>
      </c>
      <c r="O375" s="416" t="str">
        <f t="shared" si="99"/>
        <v>No</v>
      </c>
      <c r="P375" s="417">
        <f t="shared" si="101"/>
        <v>0</v>
      </c>
      <c r="Q375" s="415">
        <f>SUM($P$4:P375)/COUNT($P$4:P375)</f>
        <v>0.532258064516129</v>
      </c>
      <c r="W375" s="417">
        <f t="shared" si="102"/>
        <v>0</v>
      </c>
      <c r="X375" s="415" t="e">
        <f>SUM($W$4:W375)/COUNT($W$4:W375)</f>
        <v>#DIV/0!</v>
      </c>
      <c r="Z375" s="405"/>
    </row>
    <row r="376" spans="1:26">
      <c r="A376" s="403">
        <f t="shared" si="100"/>
        <v>374</v>
      </c>
      <c r="B376" s="422">
        <f t="shared" si="103"/>
        <v>40444</v>
      </c>
      <c r="D376" s="411">
        <v>33327.527240000003</v>
      </c>
      <c r="E376" s="408">
        <v>33327.527240000003</v>
      </c>
      <c r="F376" s="408">
        <f t="shared" si="111"/>
        <v>524.88578000000416</v>
      </c>
      <c r="G376" s="409">
        <f t="shared" si="112"/>
        <v>1.600132661999365E-2</v>
      </c>
      <c r="H376" s="408">
        <f t="shared" si="108"/>
        <v>10471.677240000005</v>
      </c>
      <c r="I376" s="409">
        <f t="shared" si="109"/>
        <v>0.45816179402647483</v>
      </c>
      <c r="L376" s="382">
        <v>1148.67</v>
      </c>
      <c r="M376" s="415">
        <f t="shared" si="110"/>
        <v>2.0504801926101157E-2</v>
      </c>
      <c r="N376" s="415">
        <f t="shared" si="98"/>
        <v>0.23502279373817303</v>
      </c>
      <c r="O376" s="416" t="str">
        <f t="shared" si="99"/>
        <v>No</v>
      </c>
      <c r="P376" s="417">
        <f t="shared" si="101"/>
        <v>0</v>
      </c>
      <c r="Q376" s="415">
        <f>SUM($P$4:P376)/COUNT($P$4:P376)</f>
        <v>0.53083109919571048</v>
      </c>
      <c r="W376" s="417">
        <f t="shared" si="102"/>
        <v>0</v>
      </c>
      <c r="X376" s="415" t="e">
        <f>SUM($W$4:W376)/COUNT($W$4:W376)</f>
        <v>#DIV/0!</v>
      </c>
      <c r="Z376" s="405"/>
    </row>
    <row r="377" spans="1:26">
      <c r="A377" s="403">
        <f t="shared" si="100"/>
        <v>375</v>
      </c>
      <c r="B377" s="422">
        <f t="shared" si="103"/>
        <v>40451</v>
      </c>
      <c r="D377" s="411">
        <v>33500.400529999999</v>
      </c>
      <c r="E377" s="408">
        <v>33500.400529999999</v>
      </c>
      <c r="F377" s="408">
        <f t="shared" si="111"/>
        <v>172.8732899999959</v>
      </c>
      <c r="G377" s="409">
        <f t="shared" si="112"/>
        <v>5.1871022039855497E-3</v>
      </c>
      <c r="H377" s="408">
        <f t="shared" si="108"/>
        <v>10644.55053</v>
      </c>
      <c r="I377" s="409">
        <f t="shared" si="109"/>
        <v>0.46572542828203733</v>
      </c>
      <c r="L377" s="382">
        <v>1146.24</v>
      </c>
      <c r="M377" s="415">
        <f t="shared" ref="M377:M384" si="113">(L377/L376)-1</f>
        <v>-2.1154900885372863E-3</v>
      </c>
      <c r="N377" s="415">
        <f t="shared" si="98"/>
        <v>0.23241011525890243</v>
      </c>
      <c r="O377" s="416" t="str">
        <f t="shared" si="99"/>
        <v>Yes</v>
      </c>
      <c r="P377" s="417">
        <f t="shared" si="101"/>
        <v>1</v>
      </c>
      <c r="Q377" s="415">
        <f>SUM($P$4:P377)/COUNT($P$4:P377)</f>
        <v>0.53208556149732622</v>
      </c>
      <c r="W377" s="417">
        <f t="shared" si="102"/>
        <v>0</v>
      </c>
      <c r="X377" s="415" t="e">
        <f>SUM($W$4:W377)/COUNT($W$4:W377)</f>
        <v>#DIV/0!</v>
      </c>
      <c r="Z377" s="405"/>
    </row>
    <row r="378" spans="1:26">
      <c r="A378" s="403">
        <f t="shared" si="100"/>
        <v>376</v>
      </c>
      <c r="B378" s="422">
        <f t="shared" si="103"/>
        <v>40458</v>
      </c>
      <c r="D378" s="411">
        <v>34145.30171</v>
      </c>
      <c r="E378" s="408">
        <v>34145.30171</v>
      </c>
      <c r="F378" s="408">
        <f t="shared" si="111"/>
        <v>644.90118000000075</v>
      </c>
      <c r="G378" s="409">
        <f t="shared" si="112"/>
        <v>1.9250551330647125E-2</v>
      </c>
      <c r="H378" s="408">
        <f t="shared" si="108"/>
        <v>11289.451710000001</v>
      </c>
      <c r="I378" s="409">
        <f t="shared" si="109"/>
        <v>0.49394145087581531</v>
      </c>
      <c r="L378" s="382">
        <v>1165.1500000000001</v>
      </c>
      <c r="M378" s="415">
        <f t="shared" si="113"/>
        <v>1.6497417643774437E-2</v>
      </c>
      <c r="N378" s="415">
        <f t="shared" si="98"/>
        <v>0.25274169963874082</v>
      </c>
      <c r="O378" s="416" t="str">
        <f t="shared" si="99"/>
        <v>Yes</v>
      </c>
      <c r="P378" s="417">
        <f t="shared" si="101"/>
        <v>1</v>
      </c>
      <c r="Q378" s="415">
        <f>SUM($P$4:P378)/COUNT($P$4:P378)</f>
        <v>0.53333333333333333</v>
      </c>
      <c r="W378" s="417">
        <f t="shared" si="102"/>
        <v>0</v>
      </c>
      <c r="X378" s="415" t="e">
        <f>SUM($W$4:W378)/COUNT($W$4:W378)</f>
        <v>#DIV/0!</v>
      </c>
      <c r="Z378" s="405"/>
    </row>
    <row r="379" spans="1:26">
      <c r="A379" s="403">
        <f t="shared" si="100"/>
        <v>377</v>
      </c>
      <c r="B379" s="422">
        <f t="shared" si="103"/>
        <v>40465</v>
      </c>
      <c r="D379" s="411">
        <v>34360.598129999998</v>
      </c>
      <c r="E379" s="408">
        <v>34360.598129999998</v>
      </c>
      <c r="F379" s="408">
        <f t="shared" si="111"/>
        <v>215.29641999999876</v>
      </c>
      <c r="G379" s="409">
        <f t="shared" si="112"/>
        <v>6.3053014387906003E-3</v>
      </c>
      <c r="H379" s="408">
        <f t="shared" si="108"/>
        <v>11504.74813</v>
      </c>
      <c r="I379" s="409">
        <f t="shared" si="109"/>
        <v>0.5033612020554914</v>
      </c>
      <c r="L379" s="382">
        <v>1176.19</v>
      </c>
      <c r="M379" s="415">
        <f t="shared" si="113"/>
        <v>9.4751748701884519E-3</v>
      </c>
      <c r="N379" s="415">
        <f t="shared" si="98"/>
        <v>0.26461164630999479</v>
      </c>
      <c r="O379" s="416" t="str">
        <f t="shared" si="99"/>
        <v>No</v>
      </c>
      <c r="P379" s="417">
        <f t="shared" si="101"/>
        <v>0</v>
      </c>
      <c r="Q379" s="415">
        <f>SUM($P$4:P379)/COUNT($P$4:P379)</f>
        <v>0.53191489361702127</v>
      </c>
      <c r="W379" s="417">
        <f t="shared" si="102"/>
        <v>0</v>
      </c>
      <c r="X379" s="415" t="e">
        <f>SUM($W$4:W379)/COUNT($W$4:W379)</f>
        <v>#DIV/0!</v>
      </c>
      <c r="Z379" s="405"/>
    </row>
    <row r="380" spans="1:26">
      <c r="A380" s="403">
        <f t="shared" si="100"/>
        <v>378</v>
      </c>
      <c r="B380" s="422">
        <f t="shared" si="103"/>
        <v>40472</v>
      </c>
      <c r="D380" s="411">
        <v>34100</v>
      </c>
      <c r="E380" s="408">
        <v>34100</v>
      </c>
      <c r="F380" s="408">
        <f t="shared" si="111"/>
        <v>-260.59812999999849</v>
      </c>
      <c r="G380" s="409">
        <f t="shared" si="112"/>
        <v>-7.5842140178715711E-3</v>
      </c>
      <c r="H380" s="408">
        <f t="shared" si="108"/>
        <v>11244.150000000001</v>
      </c>
      <c r="I380" s="409">
        <f t="shared" si="109"/>
        <v>0.49195938895293767</v>
      </c>
      <c r="L380" s="382">
        <v>1183.08</v>
      </c>
      <c r="M380" s="415">
        <f t="shared" si="113"/>
        <v>5.8578971084601861E-3</v>
      </c>
      <c r="N380" s="415">
        <f t="shared" si="98"/>
        <v>0.27201961121623941</v>
      </c>
      <c r="O380" s="416" t="str">
        <f t="shared" si="99"/>
        <v>No</v>
      </c>
      <c r="P380" s="417">
        <f t="shared" si="101"/>
        <v>0</v>
      </c>
      <c r="Q380" s="415">
        <f>SUM($P$4:P380)/COUNT($P$4:P380)</f>
        <v>0.5305039787798409</v>
      </c>
      <c r="W380" s="417">
        <f t="shared" si="102"/>
        <v>0</v>
      </c>
      <c r="X380" s="415" t="e">
        <f>SUM($W$4:W380)/COUNT($W$4:W380)</f>
        <v>#DIV/0!</v>
      </c>
      <c r="Z380" s="405"/>
    </row>
    <row r="381" spans="1:26">
      <c r="A381" s="403">
        <f t="shared" si="100"/>
        <v>379</v>
      </c>
      <c r="B381" s="422">
        <f t="shared" si="103"/>
        <v>40479</v>
      </c>
      <c r="D381" s="411">
        <v>33992.562019999998</v>
      </c>
      <c r="E381" s="408">
        <v>33992.562019999998</v>
      </c>
      <c r="F381" s="408">
        <f t="shared" si="111"/>
        <v>-107.43798000000243</v>
      </c>
      <c r="G381" s="409">
        <f t="shared" si="112"/>
        <v>-3.1506739002933326E-3</v>
      </c>
      <c r="H381" s="408">
        <f t="shared" si="108"/>
        <v>11136.712019999999</v>
      </c>
      <c r="I381" s="409">
        <f t="shared" si="109"/>
        <v>0.48725871144586619</v>
      </c>
      <c r="L381" s="382">
        <v>1183.26</v>
      </c>
      <c r="M381" s="415">
        <f t="shared" si="113"/>
        <v>1.5214524799689322E-4</v>
      </c>
      <c r="N381" s="415">
        <f t="shared" si="98"/>
        <v>0.27221314295544463</v>
      </c>
      <c r="O381" s="416" t="str">
        <f t="shared" si="99"/>
        <v>No</v>
      </c>
      <c r="P381" s="417">
        <f t="shared" si="101"/>
        <v>0</v>
      </c>
      <c r="Q381" s="415">
        <f>SUM($P$4:P381)/COUNT($P$4:P381)</f>
        <v>0.52910052910052907</v>
      </c>
      <c r="W381" s="417">
        <f t="shared" si="102"/>
        <v>0</v>
      </c>
      <c r="X381" s="415" t="e">
        <f>SUM($W$4:W381)/COUNT($W$4:W381)</f>
        <v>#DIV/0!</v>
      </c>
      <c r="Z381" s="405"/>
    </row>
    <row r="382" spans="1:26">
      <c r="A382" s="403">
        <f t="shared" si="100"/>
        <v>380</v>
      </c>
      <c r="B382" s="422">
        <f t="shared" si="103"/>
        <v>40486</v>
      </c>
      <c r="D382" s="411">
        <v>36656.459549999992</v>
      </c>
      <c r="E382" s="408">
        <v>36656.459549999992</v>
      </c>
      <c r="F382" s="408">
        <f t="shared" si="111"/>
        <v>2663.8975299999947</v>
      </c>
      <c r="G382" s="409">
        <f t="shared" si="112"/>
        <v>7.8367071256137066E-2</v>
      </c>
      <c r="H382" s="408">
        <f t="shared" si="108"/>
        <v>13800.609549999994</v>
      </c>
      <c r="I382" s="409">
        <f t="shared" si="109"/>
        <v>0.60381082086205473</v>
      </c>
      <c r="L382" s="382">
        <v>1225.8499999999999</v>
      </c>
      <c r="M382" s="415">
        <f t="shared" si="113"/>
        <v>3.599377989621888E-2</v>
      </c>
      <c r="N382" s="415">
        <f t="shared" si="98"/>
        <v>0.31800490280405969</v>
      </c>
      <c r="O382" s="416" t="str">
        <f t="shared" si="99"/>
        <v>Yes</v>
      </c>
      <c r="P382" s="417">
        <f t="shared" si="101"/>
        <v>1</v>
      </c>
      <c r="Q382" s="415">
        <f>SUM($P$4:P382)/COUNT($P$4:P382)</f>
        <v>0.53034300791556732</v>
      </c>
      <c r="W382" s="417">
        <f t="shared" si="102"/>
        <v>0</v>
      </c>
      <c r="X382" s="415" t="e">
        <f>SUM($W$4:W382)/COUNT($W$4:W382)</f>
        <v>#DIV/0!</v>
      </c>
      <c r="Z382" s="405"/>
    </row>
    <row r="383" spans="1:26">
      <c r="A383" s="403">
        <f t="shared" si="100"/>
        <v>381</v>
      </c>
      <c r="B383" s="422">
        <f t="shared" si="103"/>
        <v>40493</v>
      </c>
      <c r="D383" s="411">
        <v>36870.676109999993</v>
      </c>
      <c r="E383" s="408">
        <v>36870.676109999993</v>
      </c>
      <c r="F383" s="408">
        <f t="shared" si="111"/>
        <v>214.21656000000075</v>
      </c>
      <c r="G383" s="409">
        <f t="shared" si="112"/>
        <v>5.8438966182154939E-3</v>
      </c>
      <c r="H383" s="408">
        <f t="shared" si="108"/>
        <v>14014.826109999995</v>
      </c>
      <c r="I383" s="409">
        <f t="shared" si="109"/>
        <v>0.61318332549434817</v>
      </c>
      <c r="L383" s="382">
        <v>1199.21</v>
      </c>
      <c r="M383" s="415">
        <f t="shared" si="113"/>
        <v>-2.1731859526043062E-2</v>
      </c>
      <c r="N383" s="415">
        <f t="shared" si="98"/>
        <v>0.28936220540168578</v>
      </c>
      <c r="O383" s="416" t="str">
        <f t="shared" si="99"/>
        <v>Yes</v>
      </c>
      <c r="P383" s="417">
        <f t="shared" si="101"/>
        <v>1</v>
      </c>
      <c r="Q383" s="415">
        <f>SUM($P$4:P383)/COUNT($P$4:P383)</f>
        <v>0.53157894736842104</v>
      </c>
      <c r="W383" s="417">
        <f t="shared" si="102"/>
        <v>0</v>
      </c>
      <c r="X383" s="415" t="e">
        <f>SUM($W$4:W383)/COUNT($W$4:W383)</f>
        <v>#DIV/0!</v>
      </c>
      <c r="Z383" s="405"/>
    </row>
    <row r="384" spans="1:26">
      <c r="A384" s="403">
        <f t="shared" si="100"/>
        <v>382</v>
      </c>
      <c r="B384" s="422">
        <f t="shared" si="103"/>
        <v>40500</v>
      </c>
      <c r="D384" s="411">
        <v>36840</v>
      </c>
      <c r="E384" s="408">
        <v>36840</v>
      </c>
      <c r="F384" s="408">
        <f t="shared" si="111"/>
        <v>-30.676109999993059</v>
      </c>
      <c r="G384" s="409">
        <f t="shared" si="112"/>
        <v>-8.3199206622830424E-4</v>
      </c>
      <c r="H384" s="408">
        <f t="shared" si="108"/>
        <v>13984.150000000001</v>
      </c>
      <c r="I384" s="409">
        <f t="shared" si="109"/>
        <v>0.61184116976616498</v>
      </c>
      <c r="L384" s="382">
        <v>1199.73</v>
      </c>
      <c r="M384" s="415">
        <f t="shared" si="113"/>
        <v>4.3361879904257883E-4</v>
      </c>
      <c r="N384" s="415">
        <f t="shared" si="98"/>
        <v>0.28992129709272318</v>
      </c>
      <c r="O384" s="416" t="str">
        <f t="shared" si="99"/>
        <v>No</v>
      </c>
      <c r="P384" s="417">
        <f t="shared" si="101"/>
        <v>0</v>
      </c>
      <c r="Q384" s="415">
        <f>SUM($P$4:P384)/COUNT($P$4:P384)</f>
        <v>0.53018372703412076</v>
      </c>
      <c r="W384" s="417">
        <f t="shared" si="102"/>
        <v>0</v>
      </c>
      <c r="X384" s="415" t="e">
        <f>SUM($W$4:W384)/COUNT($W$4:W384)</f>
        <v>#DIV/0!</v>
      </c>
      <c r="Z384" s="405"/>
    </row>
    <row r="385" spans="1:26">
      <c r="A385" s="403">
        <f t="shared" si="100"/>
        <v>383</v>
      </c>
      <c r="B385" s="422">
        <f t="shared" si="103"/>
        <v>40507</v>
      </c>
      <c r="D385" s="411">
        <v>36804.239809999985</v>
      </c>
      <c r="E385" s="408">
        <v>36804.239809999985</v>
      </c>
      <c r="F385" s="408">
        <f t="shared" si="111"/>
        <v>-35.760190000015427</v>
      </c>
      <c r="G385" s="409">
        <f t="shared" si="112"/>
        <v>-9.7068919652598673E-4</v>
      </c>
      <c r="H385" s="408">
        <f t="shared" si="108"/>
        <v>13948.389809999986</v>
      </c>
      <c r="I385" s="409">
        <f t="shared" si="109"/>
        <v>0.61027657295615723</v>
      </c>
      <c r="L385" s="382">
        <v>1189.4000000000001</v>
      </c>
      <c r="M385" s="415">
        <f t="shared" ref="M385:M389" si="114">(L385/L384)-1</f>
        <v>-8.6102706442282573E-3</v>
      </c>
      <c r="N385" s="415">
        <f t="shared" si="98"/>
        <v>0.27881472561500087</v>
      </c>
      <c r="O385" s="416" t="str">
        <f t="shared" si="99"/>
        <v>Yes</v>
      </c>
      <c r="P385" s="417">
        <f t="shared" si="101"/>
        <v>1</v>
      </c>
      <c r="Q385" s="415">
        <f>SUM($P$4:P385)/COUNT($P$4:P385)</f>
        <v>0.53141361256544506</v>
      </c>
      <c r="W385" s="417">
        <f t="shared" si="102"/>
        <v>0</v>
      </c>
      <c r="X385" s="415" t="e">
        <f>SUM($W$4:W385)/COUNT($W$4:W385)</f>
        <v>#DIV/0!</v>
      </c>
      <c r="Z385" s="405"/>
    </row>
    <row r="386" spans="1:26">
      <c r="A386" s="403">
        <f t="shared" si="100"/>
        <v>384</v>
      </c>
      <c r="B386" s="422">
        <f t="shared" si="103"/>
        <v>40514</v>
      </c>
      <c r="D386" s="411">
        <f>D385+106.29</f>
        <v>36910.529809999985</v>
      </c>
      <c r="E386" s="408">
        <f>E385+106.29</f>
        <v>36910.529809999985</v>
      </c>
      <c r="F386" s="408">
        <f t="shared" si="111"/>
        <v>106.29000000000087</v>
      </c>
      <c r="G386" s="409">
        <f t="shared" si="112"/>
        <v>2.8879824864938008E-3</v>
      </c>
      <c r="H386" s="408">
        <f t="shared" si="108"/>
        <v>14054.679809999987</v>
      </c>
      <c r="I386" s="409">
        <f t="shared" si="109"/>
        <v>0.61492702349726613</v>
      </c>
      <c r="L386" s="382">
        <v>1224.71</v>
      </c>
      <c r="M386" s="415">
        <f t="shared" si="114"/>
        <v>2.9687237262485233E-2</v>
      </c>
      <c r="N386" s="415">
        <f t="shared" si="98"/>
        <v>0.31677920178909336</v>
      </c>
      <c r="O386" s="416" t="str">
        <f t="shared" si="99"/>
        <v>No</v>
      </c>
      <c r="P386" s="417">
        <f t="shared" si="101"/>
        <v>0</v>
      </c>
      <c r="Q386" s="415">
        <f>SUM($P$4:P386)/COUNT($P$4:P386)</f>
        <v>0.5300261096605744</v>
      </c>
      <c r="W386" s="417">
        <f t="shared" si="102"/>
        <v>0</v>
      </c>
      <c r="X386" s="415" t="e">
        <f>SUM($W$4:W386)/COUNT($W$4:W386)</f>
        <v>#DIV/0!</v>
      </c>
    </row>
    <row r="387" spans="1:26">
      <c r="A387" s="403">
        <f t="shared" si="100"/>
        <v>385</v>
      </c>
      <c r="B387" s="422">
        <f t="shared" si="103"/>
        <v>40521</v>
      </c>
      <c r="D387" s="411">
        <f t="shared" ref="D387:E388" si="115">D386+106.29</f>
        <v>37016.819809999986</v>
      </c>
      <c r="E387" s="408">
        <f t="shared" si="115"/>
        <v>37016.819809999986</v>
      </c>
      <c r="F387" s="408">
        <f t="shared" si="111"/>
        <v>106.29000000000087</v>
      </c>
      <c r="G387" s="409">
        <f t="shared" si="112"/>
        <v>2.8796660613417124E-3</v>
      </c>
      <c r="H387" s="408">
        <f t="shared" si="108"/>
        <v>14160.969809999988</v>
      </c>
      <c r="I387" s="409">
        <f t="shared" si="109"/>
        <v>0.61957747403837482</v>
      </c>
      <c r="L387" s="382">
        <v>1240.4000000000001</v>
      </c>
      <c r="M387" s="415">
        <f t="shared" si="114"/>
        <v>1.2811196119897783E-2</v>
      </c>
      <c r="N387" s="415">
        <f t="shared" si="98"/>
        <v>0.33364871838981602</v>
      </c>
      <c r="O387" s="416" t="str">
        <f t="shared" si="99"/>
        <v>No</v>
      </c>
      <c r="P387" s="417">
        <f t="shared" si="101"/>
        <v>0</v>
      </c>
      <c r="Q387" s="415">
        <f>SUM($P$4:P387)/COUNT($P$4:P387)</f>
        <v>0.52864583333333337</v>
      </c>
      <c r="W387" s="417">
        <f t="shared" si="102"/>
        <v>0</v>
      </c>
      <c r="X387" s="415" t="e">
        <f>SUM($W$4:W387)/COUNT($W$4:W387)</f>
        <v>#DIV/0!</v>
      </c>
    </row>
    <row r="388" spans="1:26">
      <c r="A388" s="403">
        <f t="shared" si="100"/>
        <v>386</v>
      </c>
      <c r="B388" s="422">
        <f t="shared" si="103"/>
        <v>40528</v>
      </c>
      <c r="D388" s="411">
        <f t="shared" si="115"/>
        <v>37123.109809999987</v>
      </c>
      <c r="E388" s="408">
        <f t="shared" si="115"/>
        <v>37123.109809999987</v>
      </c>
      <c r="F388" s="408">
        <f t="shared" si="111"/>
        <v>106.29000000000087</v>
      </c>
      <c r="G388" s="409">
        <f t="shared" si="112"/>
        <v>2.8713973957126271E-3</v>
      </c>
      <c r="H388" s="408">
        <f t="shared" si="108"/>
        <v>14267.259809999989</v>
      </c>
      <c r="I388" s="409">
        <f t="shared" si="109"/>
        <v>0.62422792457948351</v>
      </c>
      <c r="L388" s="382">
        <v>1243.9100000000001</v>
      </c>
      <c r="M388" s="415">
        <f t="shared" si="114"/>
        <v>2.8297323444050893E-3</v>
      </c>
      <c r="N388" s="415">
        <f t="shared" ref="N388:N451" si="116">(L388/$L$3)-1</f>
        <v>0.33742258730431796</v>
      </c>
      <c r="O388" s="416" t="str">
        <f t="shared" ref="O388:O451" si="117">IF(G388&gt;M388,"Yes","No")</f>
        <v>Yes</v>
      </c>
      <c r="P388" s="417">
        <f t="shared" si="101"/>
        <v>1</v>
      </c>
      <c r="Q388" s="415">
        <f>SUM($P$4:P388)/COUNT($P$4:P388)</f>
        <v>0.52987012987012982</v>
      </c>
      <c r="W388" s="417">
        <f t="shared" si="102"/>
        <v>0</v>
      </c>
      <c r="X388" s="415" t="e">
        <f>SUM($W$4:W388)/COUNT($W$4:W388)</f>
        <v>#DIV/0!</v>
      </c>
    </row>
    <row r="389" spans="1:26">
      <c r="A389" s="403">
        <f t="shared" ref="A389:A452" si="118">A388+1</f>
        <v>387</v>
      </c>
      <c r="B389" s="422">
        <f t="shared" si="103"/>
        <v>40535</v>
      </c>
      <c r="D389" s="411">
        <v>37229.407539999993</v>
      </c>
      <c r="E389" s="408">
        <v>37229.407539999993</v>
      </c>
      <c r="F389" s="408">
        <f t="shared" si="111"/>
        <v>106.29773000000569</v>
      </c>
      <c r="G389" s="409">
        <f t="shared" si="112"/>
        <v>2.8633843054648445E-3</v>
      </c>
      <c r="H389" s="408">
        <f t="shared" si="108"/>
        <v>14373.557539999994</v>
      </c>
      <c r="I389" s="409">
        <f t="shared" si="109"/>
        <v>0.62887871332722245</v>
      </c>
      <c r="L389" s="382">
        <v>1256.77</v>
      </c>
      <c r="M389" s="415">
        <f t="shared" si="114"/>
        <v>1.0338368531485287E-2</v>
      </c>
      <c r="N389" s="415">
        <f t="shared" si="116"/>
        <v>0.35124935489420261</v>
      </c>
      <c r="O389" s="416" t="str">
        <f t="shared" si="117"/>
        <v>No</v>
      </c>
      <c r="P389" s="417">
        <f t="shared" si="101"/>
        <v>0</v>
      </c>
      <c r="Q389" s="415">
        <f>SUM($P$4:P389)/COUNT($P$4:P389)</f>
        <v>0.52849740932642486</v>
      </c>
      <c r="W389" s="417">
        <f t="shared" si="102"/>
        <v>0</v>
      </c>
      <c r="X389" s="415" t="e">
        <f>SUM($W$4:W389)/COUNT($W$4:W389)</f>
        <v>#DIV/0!</v>
      </c>
    </row>
    <row r="390" spans="1:26">
      <c r="A390" s="403">
        <f t="shared" si="118"/>
        <v>388</v>
      </c>
      <c r="B390" s="422">
        <f t="shared" si="103"/>
        <v>40542</v>
      </c>
      <c r="D390" s="411">
        <v>37326.932840000001</v>
      </c>
      <c r="E390" s="408">
        <v>37326.932840000001</v>
      </c>
      <c r="F390" s="408">
        <f t="shared" si="111"/>
        <v>97.525300000008428</v>
      </c>
      <c r="G390" s="409">
        <f t="shared" si="112"/>
        <v>2.6195770076444802E-3</v>
      </c>
      <c r="H390" s="408">
        <f t="shared" si="108"/>
        <v>14471.082840000003</v>
      </c>
      <c r="I390" s="409">
        <f t="shared" si="109"/>
        <v>0.63314568655289571</v>
      </c>
      <c r="L390" s="382">
        <v>1257.6400000000001</v>
      </c>
      <c r="M390" s="415">
        <f t="shared" ref="M390" si="119">(L390/L389)-1</f>
        <v>6.9225076983059353E-4</v>
      </c>
      <c r="N390" s="415">
        <f t="shared" si="116"/>
        <v>0.35218475830036122</v>
      </c>
      <c r="O390" s="416" t="str">
        <f t="shared" si="117"/>
        <v>Yes</v>
      </c>
      <c r="P390" s="417">
        <f t="shared" ref="P390:P453" si="120">IF(O390="Yes",1,0)</f>
        <v>1</v>
      </c>
      <c r="Q390" s="415">
        <f>SUM($P$4:P390)/COUNT($P$4:P390)</f>
        <v>0.52971576227390182</v>
      </c>
      <c r="W390" s="417">
        <f t="shared" ref="W390:W453" si="121">IF(V390="Yes",1,0)</f>
        <v>0</v>
      </c>
      <c r="X390" s="415" t="e">
        <f>SUM($W$4:W390)/COUNT($W$4:W390)</f>
        <v>#DIV/0!</v>
      </c>
    </row>
    <row r="391" spans="1:26">
      <c r="A391" s="403">
        <f t="shared" si="118"/>
        <v>389</v>
      </c>
      <c r="B391" s="422">
        <f t="shared" si="103"/>
        <v>40549</v>
      </c>
      <c r="D391" s="411">
        <v>37814.249459999992</v>
      </c>
      <c r="E391" s="408">
        <v>37814.249459999992</v>
      </c>
      <c r="F391" s="408">
        <f t="shared" si="111"/>
        <v>487.31661999999051</v>
      </c>
      <c r="G391" s="409">
        <f t="shared" si="112"/>
        <v>1.3055361984571467E-2</v>
      </c>
      <c r="H391" s="408">
        <f t="shared" si="108"/>
        <v>14958.399459999993</v>
      </c>
      <c r="I391" s="409">
        <f t="shared" si="109"/>
        <v>0.65446699466438552</v>
      </c>
      <c r="L391" s="382">
        <v>1271.5</v>
      </c>
      <c r="M391" s="415">
        <f t="shared" ref="M391" si="122">(L391/L390)-1</f>
        <v>1.1020641837091505E-2</v>
      </c>
      <c r="N391" s="415">
        <f t="shared" si="116"/>
        <v>0.36708670221916395</v>
      </c>
      <c r="O391" s="416" t="str">
        <f t="shared" si="117"/>
        <v>Yes</v>
      </c>
      <c r="P391" s="417">
        <f t="shared" si="120"/>
        <v>1</v>
      </c>
      <c r="Q391" s="415">
        <f>SUM($P$4:P391)/COUNT($P$4:P391)</f>
        <v>0.53092783505154639</v>
      </c>
      <c r="W391" s="417">
        <f t="shared" si="121"/>
        <v>0</v>
      </c>
      <c r="X391" s="415" t="e">
        <f>SUM($W$4:W391)/COUNT($W$4:W391)</f>
        <v>#DIV/0!</v>
      </c>
    </row>
    <row r="392" spans="1:26">
      <c r="A392" s="403">
        <f t="shared" si="118"/>
        <v>390</v>
      </c>
      <c r="B392" s="422">
        <f t="shared" si="103"/>
        <v>40556</v>
      </c>
      <c r="D392" s="411">
        <v>38481</v>
      </c>
      <c r="E392" s="408">
        <v>38481</v>
      </c>
      <c r="F392" s="408">
        <f t="shared" si="111"/>
        <v>666.75054000000819</v>
      </c>
      <c r="G392" s="409">
        <f t="shared" si="112"/>
        <v>1.7632256345727626E-2</v>
      </c>
      <c r="H392" s="408">
        <f t="shared" si="108"/>
        <v>15625.150000000001</v>
      </c>
      <c r="I392" s="409">
        <f t="shared" si="109"/>
        <v>0.6836389808298533</v>
      </c>
      <c r="L392" s="382">
        <v>1293.24</v>
      </c>
      <c r="M392" s="415">
        <f>(L392/L391)-1</f>
        <v>1.7097915847424261E-2</v>
      </c>
      <c r="N392" s="415">
        <f t="shared" si="116"/>
        <v>0.39046103560983991</v>
      </c>
      <c r="O392" s="416" t="str">
        <f t="shared" si="117"/>
        <v>Yes</v>
      </c>
      <c r="P392" s="417">
        <f t="shared" si="120"/>
        <v>1</v>
      </c>
      <c r="Q392" s="415">
        <f>SUM($P$4:P392)/COUNT($P$4:P392)</f>
        <v>0.53213367609254503</v>
      </c>
      <c r="W392" s="417">
        <f t="shared" si="121"/>
        <v>0</v>
      </c>
      <c r="X392" s="415" t="e">
        <f>SUM($W$4:W392)/COUNT($W$4:W392)</f>
        <v>#DIV/0!</v>
      </c>
    </row>
    <row r="393" spans="1:26">
      <c r="A393" s="403">
        <f t="shared" si="118"/>
        <v>391</v>
      </c>
      <c r="B393" s="422">
        <f t="shared" si="103"/>
        <v>40563</v>
      </c>
      <c r="D393" s="411">
        <v>38183.156649999997</v>
      </c>
      <c r="E393" s="408">
        <v>38183.156649999997</v>
      </c>
      <c r="F393" s="408">
        <f t="shared" si="111"/>
        <v>-297.84335000000283</v>
      </c>
      <c r="G393" s="409">
        <f t="shared" si="112"/>
        <v>-7.740010654608831E-3</v>
      </c>
      <c r="H393" s="408">
        <f t="shared" si="108"/>
        <v>15327.306649999999</v>
      </c>
      <c r="I393" s="409">
        <f t="shared" si="109"/>
        <v>0.67060759717971541</v>
      </c>
      <c r="L393" s="382">
        <v>1283.3499999999999</v>
      </c>
      <c r="M393" s="415">
        <f>(L393/L392)-1</f>
        <v>-7.6474590949863197E-3</v>
      </c>
      <c r="N393" s="415">
        <f t="shared" si="116"/>
        <v>0.3798275417168413</v>
      </c>
      <c r="O393" s="416" t="str">
        <f t="shared" si="117"/>
        <v>No</v>
      </c>
      <c r="P393" s="417">
        <f t="shared" si="120"/>
        <v>0</v>
      </c>
      <c r="Q393" s="415">
        <f>SUM($P$4:P393)/COUNT($P$4:P393)</f>
        <v>0.53076923076923077</v>
      </c>
      <c r="W393" s="417">
        <f t="shared" si="121"/>
        <v>0</v>
      </c>
      <c r="X393" s="415" t="e">
        <f>SUM($W$4:W393)/COUNT($W$4:W393)</f>
        <v>#DIV/0!</v>
      </c>
    </row>
    <row r="394" spans="1:26">
      <c r="A394" s="403">
        <f t="shared" si="118"/>
        <v>392</v>
      </c>
      <c r="B394" s="422">
        <f t="shared" si="103"/>
        <v>40570</v>
      </c>
      <c r="D394" s="411">
        <v>38492.453280000002</v>
      </c>
      <c r="E394" s="408">
        <v>38492.453280000002</v>
      </c>
      <c r="F394" s="408">
        <f t="shared" si="111"/>
        <v>309.29663000000437</v>
      </c>
      <c r="G394" s="409">
        <f t="shared" si="112"/>
        <v>8.1003420653542602E-3</v>
      </c>
      <c r="H394" s="408">
        <f t="shared" si="108"/>
        <v>15636.603280000003</v>
      </c>
      <c r="I394" s="409">
        <f t="shared" si="109"/>
        <v>0.68414009017385058</v>
      </c>
      <c r="L394" s="382">
        <v>1276.3399999999999</v>
      </c>
      <c r="M394" s="415">
        <f>(L394/L393)-1</f>
        <v>-5.4622667238087841E-3</v>
      </c>
      <c r="N394" s="415">
        <f t="shared" si="116"/>
        <v>0.37229055565112668</v>
      </c>
      <c r="O394" s="416" t="str">
        <f t="shared" si="117"/>
        <v>Yes</v>
      </c>
      <c r="P394" s="417">
        <f t="shared" si="120"/>
        <v>1</v>
      </c>
      <c r="Q394" s="415">
        <f>SUM($P$4:P394)/COUNT($P$4:P394)</f>
        <v>0.53196930946291565</v>
      </c>
      <c r="W394" s="417">
        <f t="shared" si="121"/>
        <v>0</v>
      </c>
      <c r="X394" s="415" t="e">
        <f>SUM($W$4:W394)/COUNT($W$4:W394)</f>
        <v>#DIV/0!</v>
      </c>
    </row>
    <row r="395" spans="1:26">
      <c r="A395" s="403">
        <f t="shared" si="118"/>
        <v>393</v>
      </c>
      <c r="B395" s="422">
        <f t="shared" ref="B395:B460" si="123">B394+7</f>
        <v>40577</v>
      </c>
      <c r="D395" s="411">
        <v>39204.419079999992</v>
      </c>
      <c r="E395" s="408">
        <v>39204.419079999992</v>
      </c>
      <c r="F395" s="408">
        <f t="shared" si="111"/>
        <v>711.96579999999085</v>
      </c>
      <c r="G395" s="409">
        <f t="shared" si="112"/>
        <v>1.8496243791504829E-2</v>
      </c>
      <c r="H395" s="408">
        <f t="shared" si="108"/>
        <v>16348.569079999994</v>
      </c>
      <c r="I395" s="409">
        <f t="shared" si="109"/>
        <v>0.71529035586075307</v>
      </c>
      <c r="L395" s="382">
        <v>1310.87</v>
      </c>
      <c r="M395" s="415">
        <f>(L395/L394)-1</f>
        <v>2.7053919801933723E-2</v>
      </c>
      <c r="N395" s="415">
        <f t="shared" si="116"/>
        <v>0.40941639428866305</v>
      </c>
      <c r="O395" s="416" t="str">
        <f t="shared" si="117"/>
        <v>No</v>
      </c>
      <c r="P395" s="417">
        <f t="shared" si="120"/>
        <v>0</v>
      </c>
      <c r="Q395" s="415">
        <f>SUM($P$4:P395)/COUNT($P$4:P395)</f>
        <v>0.53061224489795922</v>
      </c>
      <c r="W395" s="417">
        <f t="shared" si="121"/>
        <v>0</v>
      </c>
      <c r="X395" s="415" t="e">
        <f>SUM($W$4:W395)/COUNT($W$4:W395)</f>
        <v>#DIV/0!</v>
      </c>
    </row>
    <row r="396" spans="1:26">
      <c r="A396" s="403">
        <f t="shared" si="118"/>
        <v>394</v>
      </c>
      <c r="B396" s="422">
        <f t="shared" si="123"/>
        <v>40584</v>
      </c>
      <c r="D396" s="411">
        <v>38995.910000000003</v>
      </c>
      <c r="E396" s="408">
        <v>38995.910000000003</v>
      </c>
      <c r="F396" s="408">
        <f t="shared" si="111"/>
        <v>-208.5090799999889</v>
      </c>
      <c r="G396" s="409">
        <f t="shared" si="112"/>
        <v>-5.3185096194005022E-3</v>
      </c>
      <c r="H396" s="408">
        <f t="shared" si="108"/>
        <v>16140.060000000005</v>
      </c>
      <c r="I396" s="409">
        <f t="shared" si="109"/>
        <v>0.70616756760304278</v>
      </c>
      <c r="L396" s="382">
        <v>1329.15</v>
      </c>
      <c r="M396" s="415">
        <f t="shared" ref="M396:M398" si="124">(L396/L395)-1</f>
        <v>1.3944937331695995E-2</v>
      </c>
      <c r="N396" s="415">
        <f t="shared" si="116"/>
        <v>0.42907061758128329</v>
      </c>
      <c r="O396" s="416" t="str">
        <f t="shared" si="117"/>
        <v>No</v>
      </c>
      <c r="P396" s="417">
        <f t="shared" si="120"/>
        <v>0</v>
      </c>
      <c r="Q396" s="415">
        <f>SUM($P$4:P396)/COUNT($P$4:P396)</f>
        <v>0.52926208651399487</v>
      </c>
      <c r="W396" s="417">
        <f t="shared" si="121"/>
        <v>0</v>
      </c>
      <c r="X396" s="415" t="e">
        <f>SUM($W$4:W396)/COUNT($W$4:W396)</f>
        <v>#DIV/0!</v>
      </c>
    </row>
    <row r="397" spans="1:26">
      <c r="A397" s="403">
        <f t="shared" si="118"/>
        <v>395</v>
      </c>
      <c r="B397" s="422">
        <f t="shared" si="123"/>
        <v>40591</v>
      </c>
      <c r="D397" s="411">
        <v>38765.408150000003</v>
      </c>
      <c r="E397" s="408">
        <v>38765.408150000003</v>
      </c>
      <c r="F397" s="408">
        <f t="shared" si="111"/>
        <v>-230.50185000000056</v>
      </c>
      <c r="G397" s="409">
        <f t="shared" si="112"/>
        <v>-5.910923735335305E-3</v>
      </c>
      <c r="H397" s="408">
        <f t="shared" si="108"/>
        <v>15909.558150000004</v>
      </c>
      <c r="I397" s="409">
        <f t="shared" si="109"/>
        <v>0.69608254123123858</v>
      </c>
      <c r="L397" s="382">
        <v>1343.01</v>
      </c>
      <c r="M397" s="415">
        <f t="shared" si="124"/>
        <v>1.0427716961968203E-2</v>
      </c>
      <c r="N397" s="415">
        <f t="shared" si="116"/>
        <v>0.44397256150008602</v>
      </c>
      <c r="O397" s="416" t="str">
        <f t="shared" si="117"/>
        <v>No</v>
      </c>
      <c r="P397" s="417">
        <f t="shared" si="120"/>
        <v>0</v>
      </c>
      <c r="Q397" s="415">
        <f>SUM($P$4:P397)/COUNT($P$4:P397)</f>
        <v>0.52791878172588835</v>
      </c>
      <c r="W397" s="417">
        <f t="shared" si="121"/>
        <v>0</v>
      </c>
      <c r="X397" s="415" t="e">
        <f>SUM($W$4:W397)/COUNT($W$4:W397)</f>
        <v>#DIV/0!</v>
      </c>
    </row>
    <row r="398" spans="1:26">
      <c r="A398" s="403">
        <f t="shared" si="118"/>
        <v>396</v>
      </c>
      <c r="B398" s="422">
        <f t="shared" si="123"/>
        <v>40598</v>
      </c>
      <c r="D398" s="411">
        <v>38790.81</v>
      </c>
      <c r="E398" s="408">
        <v>38790.81</v>
      </c>
      <c r="F398" s="408">
        <f t="shared" si="111"/>
        <v>25.401849999994738</v>
      </c>
      <c r="G398" s="409">
        <f t="shared" si="112"/>
        <v>6.5527105768370397E-4</v>
      </c>
      <c r="H398" s="408">
        <f t="shared" si="108"/>
        <v>15934.96</v>
      </c>
      <c r="I398" s="409">
        <f t="shared" si="109"/>
        <v>0.69719393503195026</v>
      </c>
      <c r="L398" s="382">
        <v>1319.88</v>
      </c>
      <c r="M398" s="415">
        <f t="shared" si="124"/>
        <v>-1.722250765072475E-2</v>
      </c>
      <c r="N398" s="415">
        <f t="shared" si="116"/>
        <v>0.41910373301221404</v>
      </c>
      <c r="O398" s="416" t="str">
        <f t="shared" si="117"/>
        <v>Yes</v>
      </c>
      <c r="P398" s="417">
        <f t="shared" si="120"/>
        <v>1</v>
      </c>
      <c r="Q398" s="415">
        <f>SUM($P$4:P398)/COUNT($P$4:P398)</f>
        <v>0.52911392405063296</v>
      </c>
      <c r="W398" s="417">
        <f t="shared" si="121"/>
        <v>0</v>
      </c>
      <c r="X398" s="415" t="e">
        <f>SUM($W$4:W398)/COUNT($W$4:W398)</f>
        <v>#DIV/0!</v>
      </c>
    </row>
    <row r="399" spans="1:26">
      <c r="A399" s="403">
        <f t="shared" si="118"/>
        <v>397</v>
      </c>
      <c r="B399" s="422">
        <f t="shared" si="123"/>
        <v>40605</v>
      </c>
      <c r="D399" s="411">
        <v>38940.104079999997</v>
      </c>
      <c r="E399" s="408">
        <v>38940.104079999997</v>
      </c>
      <c r="F399" s="408">
        <f t="shared" si="111"/>
        <v>149.29407999999967</v>
      </c>
      <c r="G399" s="409">
        <f t="shared" si="112"/>
        <v>3.8486971527533775E-3</v>
      </c>
      <c r="H399" s="408">
        <f t="shared" si="108"/>
        <v>16084.254079999999</v>
      </c>
      <c r="I399" s="409">
        <f t="shared" si="109"/>
        <v>0.70372592049737803</v>
      </c>
      <c r="L399" s="382">
        <v>1321.15</v>
      </c>
      <c r="M399" s="415">
        <f t="shared" ref="M399:M400" si="125">(L399/L398)-1</f>
        <v>9.6220868563801076E-4</v>
      </c>
      <c r="N399" s="415">
        <f t="shared" si="116"/>
        <v>0.42046920694993983</v>
      </c>
      <c r="O399" s="416" t="str">
        <f t="shared" si="117"/>
        <v>Yes</v>
      </c>
      <c r="P399" s="417">
        <f t="shared" si="120"/>
        <v>1</v>
      </c>
      <c r="Q399" s="415">
        <f>SUM($P$4:P399)/COUNT($P$4:P399)</f>
        <v>0.53030303030303028</v>
      </c>
      <c r="W399" s="417">
        <f t="shared" si="121"/>
        <v>0</v>
      </c>
      <c r="X399" s="415" t="e">
        <f>SUM($W$4:W399)/COUNT($W$4:W399)</f>
        <v>#DIV/0!</v>
      </c>
    </row>
    <row r="400" spans="1:26">
      <c r="A400" s="403">
        <f t="shared" si="118"/>
        <v>398</v>
      </c>
      <c r="B400" s="422">
        <f t="shared" si="123"/>
        <v>40612</v>
      </c>
      <c r="D400" s="411">
        <v>38670.833279999999</v>
      </c>
      <c r="E400" s="408">
        <v>38670.833279999999</v>
      </c>
      <c r="F400" s="408">
        <f t="shared" si="111"/>
        <v>-269.27079999999842</v>
      </c>
      <c r="G400" s="409">
        <f t="shared" si="112"/>
        <v>-6.9149994937558468E-3</v>
      </c>
      <c r="H400" s="408">
        <f t="shared" si="108"/>
        <v>15814.98328</v>
      </c>
      <c r="I400" s="409">
        <f t="shared" si="109"/>
        <v>0.69194465661964011</v>
      </c>
      <c r="L400" s="382">
        <v>1304.28</v>
      </c>
      <c r="M400" s="415">
        <f t="shared" si="125"/>
        <v>-1.2769178367331602E-2</v>
      </c>
      <c r="N400" s="415">
        <f t="shared" si="116"/>
        <v>0.4023309822810941</v>
      </c>
      <c r="O400" s="416" t="str">
        <f t="shared" si="117"/>
        <v>Yes</v>
      </c>
      <c r="P400" s="417">
        <f t="shared" si="120"/>
        <v>1</v>
      </c>
      <c r="Q400" s="415">
        <f>SUM($P$4:P400)/COUNT($P$4:P400)</f>
        <v>0.53148614609571787</v>
      </c>
      <c r="W400" s="417">
        <f t="shared" si="121"/>
        <v>0</v>
      </c>
      <c r="X400" s="415" t="e">
        <f>SUM($W$4:W400)/COUNT($W$4:W400)</f>
        <v>#DIV/0!</v>
      </c>
    </row>
    <row r="401" spans="1:24">
      <c r="A401" s="403">
        <f t="shared" si="118"/>
        <v>399</v>
      </c>
      <c r="B401" s="422">
        <f t="shared" si="123"/>
        <v>40619</v>
      </c>
      <c r="D401" s="411">
        <v>37859.991129999995</v>
      </c>
      <c r="E401" s="408">
        <v>37859.991129999995</v>
      </c>
      <c r="F401" s="408">
        <f t="shared" si="111"/>
        <v>-810.84215000000404</v>
      </c>
      <c r="G401" s="409">
        <f t="shared" si="112"/>
        <v>-2.0967796171575181E-2</v>
      </c>
      <c r="H401" s="408">
        <f t="shared" si="108"/>
        <v>15004.141129999996</v>
      </c>
      <c r="I401" s="409">
        <f t="shared" si="109"/>
        <v>0.65646830592605387</v>
      </c>
      <c r="L401" s="382">
        <v>1276.71</v>
      </c>
      <c r="M401" s="415">
        <f t="shared" ref="M401:M402" si="126">(L401/L400)-1</f>
        <v>-2.1138099181157388E-2</v>
      </c>
      <c r="N401" s="415">
        <f t="shared" si="116"/>
        <v>0.37268837089282636</v>
      </c>
      <c r="O401" s="416" t="str">
        <f t="shared" si="117"/>
        <v>Yes</v>
      </c>
      <c r="P401" s="417">
        <f t="shared" si="120"/>
        <v>1</v>
      </c>
      <c r="Q401" s="415">
        <f>SUM($P$4:P401)/COUNT($P$4:P401)</f>
        <v>0.53266331658291455</v>
      </c>
      <c r="W401" s="417">
        <f t="shared" si="121"/>
        <v>0</v>
      </c>
      <c r="X401" s="415" t="e">
        <f>SUM($W$4:W401)/COUNT($W$4:W401)</f>
        <v>#DIV/0!</v>
      </c>
    </row>
    <row r="402" spans="1:24">
      <c r="A402" s="403">
        <f t="shared" si="118"/>
        <v>400</v>
      </c>
      <c r="B402" s="422">
        <f t="shared" si="123"/>
        <v>40626</v>
      </c>
      <c r="D402" s="411">
        <v>39005.864710000002</v>
      </c>
      <c r="E402" s="408">
        <v>39005.864710000002</v>
      </c>
      <c r="F402" s="408">
        <f t="shared" si="111"/>
        <v>1145.8735800000068</v>
      </c>
      <c r="G402" s="409">
        <f t="shared" si="112"/>
        <v>3.0266081575809567E-2</v>
      </c>
      <c r="H402" s="408">
        <f t="shared" si="108"/>
        <v>16150.014710000003</v>
      </c>
      <c r="I402" s="409">
        <f t="shared" si="109"/>
        <v>0.70660311080095495</v>
      </c>
      <c r="L402" s="382">
        <v>1309.02</v>
      </c>
      <c r="M402" s="415">
        <f t="shared" si="126"/>
        <v>2.5307235002467232E-2</v>
      </c>
      <c r="N402" s="415">
        <f t="shared" si="116"/>
        <v>0.40742731808016508</v>
      </c>
      <c r="O402" s="416" t="str">
        <f t="shared" si="117"/>
        <v>Yes</v>
      </c>
      <c r="P402" s="417">
        <f t="shared" si="120"/>
        <v>1</v>
      </c>
      <c r="Q402" s="415">
        <f>SUM($P$4:P402)/COUNT($P$4:P402)</f>
        <v>0.53383458646616544</v>
      </c>
      <c r="W402" s="417">
        <f t="shared" si="121"/>
        <v>0</v>
      </c>
      <c r="X402" s="415" t="e">
        <f>SUM($W$4:W402)/COUNT($W$4:W402)</f>
        <v>#DIV/0!</v>
      </c>
    </row>
    <row r="403" spans="1:24">
      <c r="A403" s="403">
        <f t="shared" si="118"/>
        <v>401</v>
      </c>
      <c r="B403" s="422">
        <f t="shared" si="123"/>
        <v>40633</v>
      </c>
      <c r="D403" s="411">
        <v>39920.137799999997</v>
      </c>
      <c r="E403" s="408">
        <v>39920.137799999997</v>
      </c>
      <c r="F403" s="408">
        <f t="shared" si="111"/>
        <v>914.27308999999514</v>
      </c>
      <c r="G403" s="409">
        <f t="shared" si="112"/>
        <v>2.3439374996488738E-2</v>
      </c>
      <c r="H403" s="408">
        <f t="shared" si="108"/>
        <v>17064.287799999998</v>
      </c>
      <c r="I403" s="409">
        <f t="shared" si="109"/>
        <v>0.74660482108519255</v>
      </c>
      <c r="L403" s="382">
        <v>1332.41</v>
      </c>
      <c r="M403" s="415">
        <f t="shared" ref="M403" si="127">(L403/L402)-1</f>
        <v>1.7868328978930981E-2</v>
      </c>
      <c r="N403" s="415">
        <f t="shared" si="116"/>
        <v>0.43257569241355576</v>
      </c>
      <c r="O403" s="416" t="str">
        <f t="shared" si="117"/>
        <v>Yes</v>
      </c>
      <c r="P403" s="417">
        <f t="shared" si="120"/>
        <v>1</v>
      </c>
      <c r="Q403" s="415">
        <f>SUM($P$4:P403)/COUNT($P$4:P403)</f>
        <v>0.53500000000000003</v>
      </c>
      <c r="W403" s="417">
        <f t="shared" si="121"/>
        <v>0</v>
      </c>
      <c r="X403" s="415" t="e">
        <f>SUM($W$4:W403)/COUNT($W$4:W403)</f>
        <v>#DIV/0!</v>
      </c>
    </row>
    <row r="404" spans="1:24">
      <c r="A404" s="403">
        <f t="shared" si="118"/>
        <v>402</v>
      </c>
      <c r="B404" s="422">
        <f t="shared" si="123"/>
        <v>40640</v>
      </c>
      <c r="D404" s="411">
        <v>39687.383809999999</v>
      </c>
      <c r="E404" s="408">
        <v>39687.383809999999</v>
      </c>
      <c r="F404" s="408">
        <f t="shared" si="111"/>
        <v>-232.75398999999743</v>
      </c>
      <c r="G404" s="409">
        <f t="shared" si="112"/>
        <v>-5.8304906452502081E-3</v>
      </c>
      <c r="H404" s="408">
        <f t="shared" si="108"/>
        <v>16831.533810000001</v>
      </c>
      <c r="I404" s="409">
        <f t="shared" si="109"/>
        <v>0.73642125801490654</v>
      </c>
      <c r="L404" s="382">
        <v>1328.17</v>
      </c>
      <c r="M404" s="415">
        <f t="shared" ref="M404:M451" si="128">(L404/L403)-1</f>
        <v>-3.182203676045714E-3</v>
      </c>
      <c r="N404" s="415">
        <f t="shared" si="116"/>
        <v>0.4280169447789437</v>
      </c>
      <c r="O404" s="416" t="str">
        <f t="shared" si="117"/>
        <v>No</v>
      </c>
      <c r="P404" s="417">
        <f t="shared" si="120"/>
        <v>0</v>
      </c>
      <c r="Q404" s="415">
        <f>SUM($P$4:P404)/COUNT($P$4:P404)</f>
        <v>0.53366583541147128</v>
      </c>
      <c r="W404" s="417">
        <f t="shared" si="121"/>
        <v>0</v>
      </c>
      <c r="X404" s="415" t="e">
        <f>SUM($W$4:W404)/COUNT($W$4:W404)</f>
        <v>#DIV/0!</v>
      </c>
    </row>
    <row r="405" spans="1:24">
      <c r="A405" s="403">
        <f t="shared" si="118"/>
        <v>403</v>
      </c>
      <c r="B405" s="422">
        <f t="shared" si="123"/>
        <v>40647</v>
      </c>
      <c r="D405" s="411">
        <v>39495</v>
      </c>
      <c r="E405" s="408">
        <v>39495</v>
      </c>
      <c r="F405" s="408">
        <f t="shared" si="111"/>
        <v>-192.38380999999936</v>
      </c>
      <c r="G405" s="409">
        <f t="shared" si="112"/>
        <v>-4.8474802703302178E-3</v>
      </c>
      <c r="H405" s="408">
        <f t="shared" si="108"/>
        <v>16639.150000000001</v>
      </c>
      <c r="I405" s="409">
        <f t="shared" si="109"/>
        <v>0.72800399022569717</v>
      </c>
      <c r="L405" s="382">
        <v>1314.52</v>
      </c>
      <c r="M405" s="415">
        <f t="shared" si="128"/>
        <v>-1.0277298839757032E-2</v>
      </c>
      <c r="N405" s="415">
        <f t="shared" si="116"/>
        <v>0.41334078788921369</v>
      </c>
      <c r="O405" s="416" t="str">
        <f t="shared" si="117"/>
        <v>Yes</v>
      </c>
      <c r="P405" s="417">
        <f t="shared" si="120"/>
        <v>1</v>
      </c>
      <c r="Q405" s="415">
        <f>SUM($P$4:P405)/COUNT($P$4:P405)</f>
        <v>0.53482587064676612</v>
      </c>
      <c r="W405" s="417">
        <f t="shared" si="121"/>
        <v>0</v>
      </c>
      <c r="X405" s="415" t="e">
        <f>SUM($W$4:W405)/COUNT($W$4:W405)</f>
        <v>#DIV/0!</v>
      </c>
    </row>
    <row r="406" spans="1:24">
      <c r="A406" s="403">
        <f t="shared" si="118"/>
        <v>404</v>
      </c>
      <c r="B406" s="422">
        <f t="shared" si="123"/>
        <v>40654</v>
      </c>
      <c r="D406" s="411">
        <v>40254</v>
      </c>
      <c r="E406" s="408">
        <v>40254</v>
      </c>
      <c r="F406" s="408">
        <f t="shared" si="111"/>
        <v>759</v>
      </c>
      <c r="G406" s="409">
        <f t="shared" si="112"/>
        <v>1.9217622483858721E-2</v>
      </c>
      <c r="H406" s="408">
        <f t="shared" si="108"/>
        <v>17398.150000000001</v>
      </c>
      <c r="I406" s="409">
        <f t="shared" si="109"/>
        <v>0.76121211856045612</v>
      </c>
      <c r="L406" s="382">
        <v>1337.38</v>
      </c>
      <c r="M406" s="415">
        <f t="shared" si="128"/>
        <v>1.7390378236923132E-2</v>
      </c>
      <c r="N406" s="415">
        <f t="shared" si="116"/>
        <v>0.43791931876827794</v>
      </c>
      <c r="O406" s="416" t="str">
        <f t="shared" si="117"/>
        <v>Yes</v>
      </c>
      <c r="P406" s="417">
        <f t="shared" si="120"/>
        <v>1</v>
      </c>
      <c r="Q406" s="415">
        <f>SUM($P$4:P406)/COUNT($P$4:P406)</f>
        <v>0.53598014888337464</v>
      </c>
      <c r="W406" s="417">
        <f t="shared" si="121"/>
        <v>0</v>
      </c>
      <c r="X406" s="415" t="e">
        <f>SUM($W$4:W406)/COUNT($W$4:W406)</f>
        <v>#DIV/0!</v>
      </c>
    </row>
    <row r="407" spans="1:24">
      <c r="A407" s="403">
        <f t="shared" si="118"/>
        <v>405</v>
      </c>
      <c r="B407" s="422">
        <f t="shared" si="123"/>
        <v>40661</v>
      </c>
      <c r="D407" s="411">
        <v>40523</v>
      </c>
      <c r="E407" s="408">
        <v>40523</v>
      </c>
      <c r="F407" s="408">
        <f t="shared" si="111"/>
        <v>269</v>
      </c>
      <c r="G407" s="409">
        <f t="shared" si="112"/>
        <v>6.6825657077558276E-3</v>
      </c>
      <c r="H407" s="408">
        <f t="shared" si="108"/>
        <v>17667.150000000001</v>
      </c>
      <c r="I407" s="409">
        <f t="shared" si="109"/>
        <v>0.77298153426803218</v>
      </c>
      <c r="L407" s="382">
        <v>1360.48</v>
      </c>
      <c r="M407" s="415">
        <f t="shared" si="128"/>
        <v>1.7272577726599625E-2</v>
      </c>
      <c r="N407" s="415">
        <f t="shared" si="116"/>
        <v>0.46275589196628242</v>
      </c>
      <c r="O407" s="416" t="str">
        <f t="shared" si="117"/>
        <v>No</v>
      </c>
      <c r="P407" s="417">
        <f t="shared" si="120"/>
        <v>0</v>
      </c>
      <c r="Q407" s="415">
        <f>SUM($P$4:P407)/COUNT($P$4:P407)</f>
        <v>0.53465346534653468</v>
      </c>
      <c r="W407" s="417">
        <f t="shared" si="121"/>
        <v>0</v>
      </c>
      <c r="X407" s="415" t="e">
        <f>SUM($W$4:W407)/COUNT($W$4:W407)</f>
        <v>#DIV/0!</v>
      </c>
    </row>
    <row r="408" spans="1:24">
      <c r="A408" s="403">
        <f t="shared" si="118"/>
        <v>406</v>
      </c>
      <c r="B408" s="422">
        <f t="shared" si="123"/>
        <v>40668</v>
      </c>
      <c r="D408" s="411">
        <v>39477.019999999997</v>
      </c>
      <c r="E408" s="408">
        <v>39477.019999999997</v>
      </c>
      <c r="F408" s="408">
        <f t="shared" si="111"/>
        <v>-1045.9800000000032</v>
      </c>
      <c r="G408" s="409">
        <f t="shared" si="112"/>
        <v>-2.5812007995459463E-2</v>
      </c>
      <c r="H408" s="408">
        <f t="shared" si="108"/>
        <v>16621.169999999998</v>
      </c>
      <c r="I408" s="409">
        <f t="shared" si="109"/>
        <v>0.72721732072970369</v>
      </c>
      <c r="L408" s="382">
        <v>1335.1</v>
      </c>
      <c r="M408" s="415">
        <f t="shared" si="128"/>
        <v>-1.8655180524520865E-2</v>
      </c>
      <c r="N408" s="415">
        <f t="shared" si="116"/>
        <v>0.43546791673834484</v>
      </c>
      <c r="O408" s="416" t="str">
        <f t="shared" si="117"/>
        <v>No</v>
      </c>
      <c r="P408" s="417">
        <f t="shared" si="120"/>
        <v>0</v>
      </c>
      <c r="Q408" s="415">
        <f>SUM($P$4:P408)/COUNT($P$4:P408)</f>
        <v>0.53333333333333333</v>
      </c>
      <c r="W408" s="417">
        <f t="shared" si="121"/>
        <v>0</v>
      </c>
      <c r="X408" s="415" t="e">
        <f>SUM($W$4:W408)/COUNT($W$4:W408)</f>
        <v>#DIV/0!</v>
      </c>
    </row>
    <row r="409" spans="1:24">
      <c r="A409" s="403">
        <f t="shared" si="118"/>
        <v>407</v>
      </c>
      <c r="B409" s="422">
        <f t="shared" si="123"/>
        <v>40675</v>
      </c>
      <c r="D409" s="411">
        <v>40029.949999999997</v>
      </c>
      <c r="E409" s="408">
        <v>40029.949999999997</v>
      </c>
      <c r="F409" s="408">
        <f t="shared" si="111"/>
        <v>552.93000000000029</v>
      </c>
      <c r="G409" s="409">
        <f t="shared" si="112"/>
        <v>1.4006376367821094E-2</v>
      </c>
      <c r="H409" s="408">
        <f t="shared" si="108"/>
        <v>17174.099999999999</v>
      </c>
      <c r="I409" s="409">
        <f t="shared" si="109"/>
        <v>0.75140937659286355</v>
      </c>
      <c r="L409" s="382">
        <v>1348.65</v>
      </c>
      <c r="M409" s="415">
        <f t="shared" si="128"/>
        <v>1.0149052505430411E-2</v>
      </c>
      <c r="N409" s="415">
        <f t="shared" si="116"/>
        <v>0.45003655599518333</v>
      </c>
      <c r="O409" s="416" t="str">
        <f t="shared" si="117"/>
        <v>Yes</v>
      </c>
      <c r="P409" s="417">
        <f t="shared" si="120"/>
        <v>1</v>
      </c>
      <c r="Q409" s="415">
        <f>SUM($P$4:P409)/COUNT($P$4:P409)</f>
        <v>0.53448275862068961</v>
      </c>
      <c r="W409" s="417">
        <f t="shared" si="121"/>
        <v>0</v>
      </c>
      <c r="X409" s="415" t="e">
        <f>SUM($W$4:W409)/COUNT($W$4:W409)</f>
        <v>#DIV/0!</v>
      </c>
    </row>
    <row r="410" spans="1:24">
      <c r="A410" s="403">
        <f t="shared" si="118"/>
        <v>408</v>
      </c>
      <c r="B410" s="422">
        <f t="shared" si="123"/>
        <v>40682</v>
      </c>
      <c r="D410" s="411">
        <v>39881.57</v>
      </c>
      <c r="E410" s="408">
        <v>39881.57</v>
      </c>
      <c r="F410" s="408">
        <f t="shared" si="111"/>
        <v>-148.37999999999738</v>
      </c>
      <c r="G410" s="409">
        <f t="shared" si="112"/>
        <v>-3.7067245899632395E-3</v>
      </c>
      <c r="H410" s="408">
        <f t="shared" si="108"/>
        <v>17025.72</v>
      </c>
      <c r="I410" s="409">
        <f t="shared" si="109"/>
        <v>0.74491738438955468</v>
      </c>
      <c r="L410" s="382">
        <v>1343.6</v>
      </c>
      <c r="M410" s="415">
        <f t="shared" si="128"/>
        <v>-3.7444852259668204E-3</v>
      </c>
      <c r="N410" s="415">
        <f t="shared" si="116"/>
        <v>0.44460691553414744</v>
      </c>
      <c r="O410" s="416" t="str">
        <f t="shared" si="117"/>
        <v>Yes</v>
      </c>
      <c r="P410" s="417">
        <f t="shared" si="120"/>
        <v>1</v>
      </c>
      <c r="Q410" s="415">
        <f>SUM($P$4:P410)/COUNT($P$4:P410)</f>
        <v>0.53562653562653562</v>
      </c>
      <c r="W410" s="417">
        <f t="shared" si="121"/>
        <v>0</v>
      </c>
      <c r="X410" s="415" t="e">
        <f>SUM($W$4:W410)/COUNT($W$4:W410)</f>
        <v>#DIV/0!</v>
      </c>
    </row>
    <row r="411" spans="1:24">
      <c r="A411" s="403">
        <f t="shared" si="118"/>
        <v>409</v>
      </c>
      <c r="B411" s="422">
        <f t="shared" si="123"/>
        <v>40689</v>
      </c>
      <c r="D411" s="411">
        <v>38313.910000000003</v>
      </c>
      <c r="E411" s="408">
        <v>38313.910000000003</v>
      </c>
      <c r="F411" s="408">
        <f t="shared" si="111"/>
        <v>-1567.6599999999962</v>
      </c>
      <c r="G411" s="409">
        <f t="shared" si="112"/>
        <v>-3.9307880808102547E-2</v>
      </c>
      <c r="H411" s="408">
        <f t="shared" si="108"/>
        <v>15458.060000000005</v>
      </c>
      <c r="I411" s="409">
        <f t="shared" si="109"/>
        <v>0.67632837982398408</v>
      </c>
      <c r="L411" s="382">
        <v>1331.1</v>
      </c>
      <c r="M411" s="415">
        <f t="shared" si="128"/>
        <v>-9.3033640964572673E-3</v>
      </c>
      <c r="N411" s="415">
        <f t="shared" si="116"/>
        <v>0.43116721142267322</v>
      </c>
      <c r="O411" s="416" t="str">
        <f t="shared" si="117"/>
        <v>No</v>
      </c>
      <c r="P411" s="417">
        <f t="shared" si="120"/>
        <v>0</v>
      </c>
      <c r="Q411" s="415">
        <f>SUM($P$4:P411)/COUNT($P$4:P411)</f>
        <v>0.53431372549019607</v>
      </c>
      <c r="W411" s="417">
        <f t="shared" si="121"/>
        <v>0</v>
      </c>
      <c r="X411" s="415" t="e">
        <f>SUM($W$4:W411)/COUNT($W$4:W411)</f>
        <v>#DIV/0!</v>
      </c>
    </row>
    <row r="412" spans="1:24">
      <c r="A412" s="403">
        <f t="shared" si="118"/>
        <v>410</v>
      </c>
      <c r="B412" s="422">
        <f t="shared" si="123"/>
        <v>40696</v>
      </c>
      <c r="D412" s="411">
        <v>38064.29</v>
      </c>
      <c r="E412" s="408">
        <v>38064.29</v>
      </c>
      <c r="F412" s="408">
        <f t="shared" si="111"/>
        <v>-249.62000000000262</v>
      </c>
      <c r="G412" s="409">
        <f t="shared" si="112"/>
        <v>-6.5151272736194699E-3</v>
      </c>
      <c r="H412" s="408">
        <f t="shared" si="108"/>
        <v>15208.440000000002</v>
      </c>
      <c r="I412" s="409">
        <f t="shared" si="109"/>
        <v>0.66540688707705042</v>
      </c>
      <c r="L412" s="382">
        <v>1300.1600000000001</v>
      </c>
      <c r="M412" s="415">
        <f t="shared" si="128"/>
        <v>-2.324393358876109E-2</v>
      </c>
      <c r="N412" s="415">
        <f t="shared" si="116"/>
        <v>0.39790125580595226</v>
      </c>
      <c r="O412" s="416" t="str">
        <f t="shared" si="117"/>
        <v>Yes</v>
      </c>
      <c r="P412" s="417">
        <f t="shared" si="120"/>
        <v>1</v>
      </c>
      <c r="Q412" s="415">
        <f>SUM($P$4:P412)/COUNT($P$4:P412)</f>
        <v>0.53545232273838628</v>
      </c>
      <c r="W412" s="417">
        <f t="shared" si="121"/>
        <v>0</v>
      </c>
      <c r="X412" s="415" t="e">
        <f>SUM($W$4:W412)/COUNT($W$4:W412)</f>
        <v>#DIV/0!</v>
      </c>
    </row>
    <row r="413" spans="1:24">
      <c r="A413" s="403">
        <f t="shared" si="118"/>
        <v>411</v>
      </c>
      <c r="B413" s="422">
        <f t="shared" si="123"/>
        <v>40703</v>
      </c>
      <c r="D413" s="411">
        <v>37146.99</v>
      </c>
      <c r="E413" s="408">
        <v>37146.99</v>
      </c>
      <c r="F413" s="408">
        <f t="shared" si="111"/>
        <v>-917.30000000000291</v>
      </c>
      <c r="G413" s="409">
        <f t="shared" si="112"/>
        <v>-2.4098702484664836E-2</v>
      </c>
      <c r="H413" s="408">
        <f t="shared" si="108"/>
        <v>14291.14</v>
      </c>
      <c r="I413" s="409">
        <f t="shared" si="109"/>
        <v>0.62527274198946881</v>
      </c>
      <c r="L413" s="382">
        <v>1270.98</v>
      </c>
      <c r="M413" s="415">
        <f t="shared" si="128"/>
        <v>-2.2443391582574468E-2</v>
      </c>
      <c r="N413" s="415">
        <f t="shared" si="116"/>
        <v>0.36652761052812655</v>
      </c>
      <c r="O413" s="416" t="str">
        <f t="shared" si="117"/>
        <v>No</v>
      </c>
      <c r="P413" s="417">
        <f t="shared" si="120"/>
        <v>0</v>
      </c>
      <c r="Q413" s="415">
        <f>SUM($P$4:P413)/COUNT($P$4:P413)</f>
        <v>0.53414634146341466</v>
      </c>
      <c r="W413" s="417">
        <f t="shared" si="121"/>
        <v>0</v>
      </c>
      <c r="X413" s="415" t="e">
        <f>SUM($W$4:W413)/COUNT($W$4:W413)</f>
        <v>#DIV/0!</v>
      </c>
    </row>
    <row r="414" spans="1:24">
      <c r="A414" s="403">
        <f t="shared" si="118"/>
        <v>412</v>
      </c>
      <c r="B414" s="422">
        <f t="shared" si="123"/>
        <v>40710</v>
      </c>
      <c r="D414" s="411">
        <v>36813.47</v>
      </c>
      <c r="E414" s="408">
        <v>36813.47</v>
      </c>
      <c r="F414" s="408">
        <f t="shared" si="111"/>
        <v>-333.5199999999968</v>
      </c>
      <c r="G414" s="409">
        <f t="shared" si="112"/>
        <v>-8.9783855973255555E-3</v>
      </c>
      <c r="H414" s="408">
        <f t="shared" si="108"/>
        <v>13957.620000000003</v>
      </c>
      <c r="I414" s="409">
        <f t="shared" si="109"/>
        <v>0.61068041661106465</v>
      </c>
      <c r="L414" s="382">
        <v>1271.5</v>
      </c>
      <c r="M414" s="415">
        <f t="shared" si="128"/>
        <v>4.0913310988366369E-4</v>
      </c>
      <c r="N414" s="415">
        <f t="shared" si="116"/>
        <v>0.36708670221916395</v>
      </c>
      <c r="O414" s="416" t="str">
        <f t="shared" si="117"/>
        <v>No</v>
      </c>
      <c r="P414" s="417">
        <f t="shared" si="120"/>
        <v>0</v>
      </c>
      <c r="Q414" s="415">
        <f>SUM($P$4:P414)/COUNT($P$4:P414)</f>
        <v>0.53284671532846717</v>
      </c>
      <c r="W414" s="417">
        <f t="shared" si="121"/>
        <v>0</v>
      </c>
      <c r="X414" s="415" t="e">
        <f>SUM($W$4:W414)/COUNT($W$4:W414)</f>
        <v>#DIV/0!</v>
      </c>
    </row>
    <row r="415" spans="1:24">
      <c r="A415" s="403">
        <f t="shared" si="118"/>
        <v>413</v>
      </c>
      <c r="B415" s="422">
        <f t="shared" si="123"/>
        <v>40717</v>
      </c>
      <c r="D415" s="411">
        <v>37435.67</v>
      </c>
      <c r="E415" s="408">
        <v>37435.67</v>
      </c>
      <c r="F415" s="408">
        <f t="shared" si="111"/>
        <v>622.19999999999709</v>
      </c>
      <c r="G415" s="409">
        <f t="shared" si="112"/>
        <v>1.6901422223984719E-2</v>
      </c>
      <c r="H415" s="408">
        <f t="shared" si="108"/>
        <v>14579.82</v>
      </c>
      <c r="I415" s="409">
        <f t="shared" si="109"/>
        <v>0.637903206400112</v>
      </c>
      <c r="L415" s="382">
        <v>1268.45</v>
      </c>
      <c r="M415" s="415">
        <f t="shared" si="128"/>
        <v>-2.3987416437278863E-3</v>
      </c>
      <c r="N415" s="415">
        <f t="shared" si="116"/>
        <v>0.3638074144159642</v>
      </c>
      <c r="O415" s="416" t="str">
        <f t="shared" si="117"/>
        <v>Yes</v>
      </c>
      <c r="P415" s="417">
        <f t="shared" si="120"/>
        <v>1</v>
      </c>
      <c r="Q415" s="415">
        <f>SUM($P$4:P415)/COUNT($P$4:P415)</f>
        <v>0.53398058252427183</v>
      </c>
      <c r="W415" s="417">
        <f t="shared" si="121"/>
        <v>0</v>
      </c>
      <c r="X415" s="415" t="e">
        <f>SUM($W$4:W415)/COUNT($W$4:W415)</f>
        <v>#DIV/0!</v>
      </c>
    </row>
    <row r="416" spans="1:24">
      <c r="A416" s="403">
        <f t="shared" si="118"/>
        <v>414</v>
      </c>
      <c r="B416" s="422">
        <f t="shared" si="123"/>
        <v>40724</v>
      </c>
      <c r="D416" s="411">
        <v>38107.410000000003</v>
      </c>
      <c r="E416" s="408">
        <v>38107.410000000003</v>
      </c>
      <c r="F416" s="408">
        <f t="shared" si="111"/>
        <v>671.74000000000524</v>
      </c>
      <c r="G416" s="409">
        <f t="shared" si="112"/>
        <v>1.7943848741053703E-2</v>
      </c>
      <c r="H416" s="408">
        <f t="shared" si="108"/>
        <v>15251.560000000005</v>
      </c>
      <c r="I416" s="409">
        <f t="shared" si="109"/>
        <v>0.66729349378824265</v>
      </c>
      <c r="L416" s="382">
        <v>1339.67</v>
      </c>
      <c r="M416" s="415">
        <f t="shared" si="128"/>
        <v>5.614726634869327E-2</v>
      </c>
      <c r="N416" s="415">
        <f t="shared" si="116"/>
        <v>0.44038147256150006</v>
      </c>
      <c r="O416" s="416" t="str">
        <f t="shared" si="117"/>
        <v>No</v>
      </c>
      <c r="P416" s="417">
        <f t="shared" si="120"/>
        <v>0</v>
      </c>
      <c r="Q416" s="415">
        <f>SUM($P$4:P416)/COUNT($P$4:P416)</f>
        <v>0.53268765133171914</v>
      </c>
      <c r="W416" s="417">
        <f t="shared" si="121"/>
        <v>0</v>
      </c>
      <c r="X416" s="415" t="e">
        <f>SUM($W$4:W416)/COUNT($W$4:W416)</f>
        <v>#DIV/0!</v>
      </c>
    </row>
    <row r="417" spans="1:24">
      <c r="A417" s="403">
        <f t="shared" si="118"/>
        <v>415</v>
      </c>
      <c r="B417" s="422">
        <f t="shared" si="123"/>
        <v>40731</v>
      </c>
      <c r="D417" s="411">
        <v>38862.03</v>
      </c>
      <c r="E417" s="408">
        <v>38862.03</v>
      </c>
      <c r="F417" s="408">
        <f t="shared" si="111"/>
        <v>754.61999999999534</v>
      </c>
      <c r="G417" s="409">
        <f t="shared" si="112"/>
        <v>1.9802447870374662E-2</v>
      </c>
      <c r="H417" s="408">
        <f t="shared" si="108"/>
        <v>16006.18</v>
      </c>
      <c r="I417" s="409">
        <f t="shared" si="109"/>
        <v>0.70030998628359931</v>
      </c>
      <c r="L417" s="382">
        <v>1343.8</v>
      </c>
      <c r="M417" s="415">
        <f t="shared" si="128"/>
        <v>3.0828487612619693E-3</v>
      </c>
      <c r="N417" s="415">
        <f t="shared" si="116"/>
        <v>0.44482195079993114</v>
      </c>
      <c r="O417" s="416" t="str">
        <f t="shared" si="117"/>
        <v>Yes</v>
      </c>
      <c r="P417" s="417">
        <f t="shared" si="120"/>
        <v>1</v>
      </c>
      <c r="Q417" s="415">
        <f>SUM($P$4:P417)/COUNT($P$4:P417)</f>
        <v>0.53381642512077299</v>
      </c>
      <c r="W417" s="417">
        <f t="shared" si="121"/>
        <v>0</v>
      </c>
      <c r="X417" s="415" t="e">
        <f>SUM($W$4:W417)/COUNT($W$4:W417)</f>
        <v>#DIV/0!</v>
      </c>
    </row>
    <row r="418" spans="1:24">
      <c r="A418" s="403">
        <f t="shared" si="118"/>
        <v>416</v>
      </c>
      <c r="B418" s="422">
        <f t="shared" si="123"/>
        <v>40738</v>
      </c>
      <c r="D418" s="411">
        <v>37805.71</v>
      </c>
      <c r="E418" s="408">
        <v>37805.71</v>
      </c>
      <c r="F418" s="408">
        <f t="shared" si="111"/>
        <v>-1056.3199999999997</v>
      </c>
      <c r="G418" s="409">
        <f t="shared" si="112"/>
        <v>-2.7181287235895857E-2</v>
      </c>
      <c r="H418" s="408">
        <f t="shared" si="108"/>
        <v>14949.86</v>
      </c>
      <c r="I418" s="409">
        <f t="shared" si="109"/>
        <v>0.65409337215636265</v>
      </c>
      <c r="L418" s="382">
        <v>1316.14</v>
      </c>
      <c r="M418" s="415">
        <f t="shared" si="128"/>
        <v>-2.0583420151808252E-2</v>
      </c>
      <c r="N418" s="415">
        <f t="shared" si="116"/>
        <v>0.41508257354206091</v>
      </c>
      <c r="O418" s="416" t="str">
        <f t="shared" si="117"/>
        <v>No</v>
      </c>
      <c r="P418" s="417">
        <f t="shared" si="120"/>
        <v>0</v>
      </c>
      <c r="Q418" s="415">
        <f>SUM($P$4:P418)/COUNT($P$4:P418)</f>
        <v>0.53253012048192772</v>
      </c>
      <c r="W418" s="417">
        <f t="shared" si="121"/>
        <v>0</v>
      </c>
      <c r="X418" s="415" t="e">
        <f>SUM($W$4:W418)/COUNT($W$4:W418)</f>
        <v>#DIV/0!</v>
      </c>
    </row>
    <row r="419" spans="1:24">
      <c r="A419" s="403">
        <f t="shared" si="118"/>
        <v>417</v>
      </c>
      <c r="B419" s="422">
        <f t="shared" si="123"/>
        <v>40745</v>
      </c>
      <c r="D419" s="411">
        <v>38336.769999999997</v>
      </c>
      <c r="E419" s="408">
        <v>38336.769999999997</v>
      </c>
      <c r="F419" s="408">
        <f t="shared" si="111"/>
        <v>531.05999999999767</v>
      </c>
      <c r="G419" s="409">
        <f t="shared" si="112"/>
        <v>1.4047084421903389E-2</v>
      </c>
      <c r="H419" s="408">
        <f t="shared" si="108"/>
        <v>15480.919999999998</v>
      </c>
      <c r="I419" s="409">
        <f t="shared" si="109"/>
        <v>0.6773285613967539</v>
      </c>
      <c r="L419" s="382">
        <v>1345.02</v>
      </c>
      <c r="M419" s="415">
        <f t="shared" si="128"/>
        <v>2.1942954396948489E-2</v>
      </c>
      <c r="N419" s="415">
        <f t="shared" si="116"/>
        <v>0.44613366592121095</v>
      </c>
      <c r="O419" s="416" t="str">
        <f t="shared" si="117"/>
        <v>No</v>
      </c>
      <c r="P419" s="417">
        <f t="shared" si="120"/>
        <v>0</v>
      </c>
      <c r="Q419" s="415">
        <f>SUM($P$4:P419)/COUNT($P$4:P419)</f>
        <v>0.53125</v>
      </c>
      <c r="W419" s="417">
        <f t="shared" si="121"/>
        <v>0</v>
      </c>
      <c r="X419" s="415" t="e">
        <f>SUM($W$4:W419)/COUNT($W$4:W419)</f>
        <v>#DIV/0!</v>
      </c>
    </row>
    <row r="420" spans="1:24">
      <c r="A420" s="403">
        <f t="shared" si="118"/>
        <v>418</v>
      </c>
      <c r="B420" s="422">
        <f t="shared" si="123"/>
        <v>40752</v>
      </c>
      <c r="D420" s="411">
        <v>36902.33</v>
      </c>
      <c r="E420" s="408">
        <v>36902.33</v>
      </c>
      <c r="F420" s="408">
        <f t="shared" si="111"/>
        <v>-1434.4399999999951</v>
      </c>
      <c r="G420" s="409">
        <f t="shared" si="112"/>
        <v>-3.7416819413842006E-2</v>
      </c>
      <c r="H420" s="408">
        <f t="shared" si="108"/>
        <v>14046.480000000003</v>
      </c>
      <c r="I420" s="409">
        <f t="shared" si="109"/>
        <v>0.61456826151729227</v>
      </c>
      <c r="L420" s="382">
        <v>1292.28</v>
      </c>
      <c r="M420" s="415">
        <f t="shared" si="128"/>
        <v>-3.9211312842931667E-2</v>
      </c>
      <c r="N420" s="415">
        <f t="shared" si="116"/>
        <v>0.3894288663340788</v>
      </c>
      <c r="O420" s="416" t="str">
        <f t="shared" si="117"/>
        <v>Yes</v>
      </c>
      <c r="P420" s="417">
        <f t="shared" si="120"/>
        <v>1</v>
      </c>
      <c r="Q420" s="415">
        <f>SUM($P$4:P420)/COUNT($P$4:P420)</f>
        <v>0.53237410071942448</v>
      </c>
      <c r="W420" s="417">
        <f t="shared" si="121"/>
        <v>0</v>
      </c>
      <c r="X420" s="415" t="e">
        <f>SUM($W$4:W420)/COUNT($W$4:W420)</f>
        <v>#DIV/0!</v>
      </c>
    </row>
    <row r="421" spans="1:24">
      <c r="A421" s="403">
        <f t="shared" si="118"/>
        <v>419</v>
      </c>
      <c r="B421" s="422">
        <f t="shared" si="123"/>
        <v>40759</v>
      </c>
      <c r="D421" s="411">
        <v>34582.33</v>
      </c>
      <c r="E421" s="408">
        <v>34582.33</v>
      </c>
      <c r="F421" s="408">
        <f t="shared" si="111"/>
        <v>-2320</v>
      </c>
      <c r="G421" s="409">
        <f t="shared" si="112"/>
        <v>-6.2868658970856361E-2</v>
      </c>
      <c r="H421" s="408">
        <f t="shared" si="108"/>
        <v>11726.480000000003</v>
      </c>
      <c r="I421" s="409">
        <f t="shared" si="109"/>
        <v>0.51306252009879327</v>
      </c>
      <c r="L421" s="382">
        <v>1199.3800000000001</v>
      </c>
      <c r="M421" s="415">
        <f t="shared" si="128"/>
        <v>-7.1888445228588171E-2</v>
      </c>
      <c r="N421" s="415">
        <f t="shared" si="116"/>
        <v>0.28954498537760198</v>
      </c>
      <c r="O421" s="416" t="str">
        <f t="shared" si="117"/>
        <v>Yes</v>
      </c>
      <c r="P421" s="417">
        <f t="shared" si="120"/>
        <v>1</v>
      </c>
      <c r="Q421" s="415">
        <f>SUM($P$4:P421)/COUNT($P$4:P421)</f>
        <v>0.53349282296650713</v>
      </c>
      <c r="W421" s="417">
        <f t="shared" si="121"/>
        <v>0</v>
      </c>
      <c r="X421" s="415" t="e">
        <f>SUM($W$4:W421)/COUNT($W$4:W421)</f>
        <v>#DIV/0!</v>
      </c>
    </row>
    <row r="422" spans="1:24">
      <c r="A422" s="403">
        <f t="shared" si="118"/>
        <v>420</v>
      </c>
      <c r="B422" s="422">
        <f t="shared" si="123"/>
        <v>40766</v>
      </c>
      <c r="D422" s="411">
        <v>33741.78</v>
      </c>
      <c r="E422" s="408">
        <v>33741.78</v>
      </c>
      <c r="F422" s="408">
        <f t="shared" si="111"/>
        <v>-840.55000000000291</v>
      </c>
      <c r="G422" s="409">
        <f t="shared" si="112"/>
        <v>-2.4305765401001156E-2</v>
      </c>
      <c r="H422" s="408">
        <f t="shared" si="108"/>
        <v>10885.93</v>
      </c>
      <c r="I422" s="409">
        <f t="shared" si="109"/>
        <v>0.47628637744822444</v>
      </c>
      <c r="L422" s="382">
        <v>1178.81</v>
      </c>
      <c r="M422" s="415">
        <f t="shared" si="128"/>
        <v>-1.7150527772682667E-2</v>
      </c>
      <c r="N422" s="415">
        <f t="shared" si="116"/>
        <v>0.26742860829175963</v>
      </c>
      <c r="O422" s="416" t="str">
        <f t="shared" si="117"/>
        <v>No</v>
      </c>
      <c r="P422" s="417">
        <f t="shared" si="120"/>
        <v>0</v>
      </c>
      <c r="Q422" s="415">
        <f>SUM($P$4:P422)/COUNT($P$4:P422)</f>
        <v>0.53221957040572787</v>
      </c>
      <c r="W422" s="417">
        <f t="shared" si="121"/>
        <v>0</v>
      </c>
      <c r="X422" s="415" t="e">
        <f>SUM($W$4:W422)/COUNT($W$4:W422)</f>
        <v>#DIV/0!</v>
      </c>
    </row>
    <row r="423" spans="1:24">
      <c r="A423" s="403">
        <f t="shared" si="118"/>
        <v>421</v>
      </c>
      <c r="B423" s="422">
        <f t="shared" si="123"/>
        <v>40773</v>
      </c>
      <c r="D423" s="411">
        <v>33059.879999999997</v>
      </c>
      <c r="E423" s="408">
        <v>33059.879999999997</v>
      </c>
      <c r="F423" s="408">
        <f t="shared" si="111"/>
        <v>-681.90000000000146</v>
      </c>
      <c r="G423" s="409">
        <f t="shared" si="112"/>
        <v>-2.0209366547941476E-2</v>
      </c>
      <c r="H423" s="408">
        <f t="shared" si="108"/>
        <v>10204.029999999999</v>
      </c>
      <c r="I423" s="409">
        <f t="shared" si="109"/>
        <v>0.44645156491664051</v>
      </c>
      <c r="L423" s="382">
        <v>1123.53</v>
      </c>
      <c r="M423" s="415">
        <f t="shared" si="128"/>
        <v>-4.6894749790042489E-2</v>
      </c>
      <c r="N423" s="415">
        <f t="shared" si="116"/>
        <v>0.2079928608291759</v>
      </c>
      <c r="O423" s="416" t="str">
        <f t="shared" si="117"/>
        <v>Yes</v>
      </c>
      <c r="P423" s="417">
        <f t="shared" si="120"/>
        <v>1</v>
      </c>
      <c r="Q423" s="415">
        <f>SUM($P$4:P423)/COUNT($P$4:P423)</f>
        <v>0.53333333333333333</v>
      </c>
      <c r="W423" s="417">
        <f t="shared" si="121"/>
        <v>0</v>
      </c>
      <c r="X423" s="415" t="e">
        <f>SUM($W$4:W423)/COUNT($W$4:W423)</f>
        <v>#DIV/0!</v>
      </c>
    </row>
    <row r="424" spans="1:24">
      <c r="A424" s="403">
        <f t="shared" si="118"/>
        <v>422</v>
      </c>
      <c r="B424" s="422">
        <f t="shared" si="123"/>
        <v>40780</v>
      </c>
      <c r="D424" s="411">
        <v>33658.54</v>
      </c>
      <c r="E424" s="408">
        <v>33658.54</v>
      </c>
      <c r="F424" s="408">
        <f t="shared" si="111"/>
        <v>598.66000000000349</v>
      </c>
      <c r="G424" s="409">
        <f t="shared" si="112"/>
        <v>1.8108353690334145E-2</v>
      </c>
      <c r="H424" s="408">
        <f t="shared" si="108"/>
        <v>10802.690000000002</v>
      </c>
      <c r="I424" s="409">
        <f t="shared" si="109"/>
        <v>0.47264442145008845</v>
      </c>
      <c r="L424" s="382">
        <v>1159.27</v>
      </c>
      <c r="M424" s="415">
        <f t="shared" si="128"/>
        <v>3.1810454549500156E-2</v>
      </c>
      <c r="N424" s="415">
        <f t="shared" si="116"/>
        <v>0.24641966282470307</v>
      </c>
      <c r="O424" s="416" t="str">
        <f t="shared" si="117"/>
        <v>No</v>
      </c>
      <c r="P424" s="417">
        <f t="shared" si="120"/>
        <v>0</v>
      </c>
      <c r="Q424" s="415">
        <f>SUM($P$4:P424)/COUNT($P$4:P424)</f>
        <v>0.53206650831353919</v>
      </c>
      <c r="W424" s="417">
        <f t="shared" si="121"/>
        <v>0</v>
      </c>
      <c r="X424" s="415" t="e">
        <f>SUM($W$4:W424)/COUNT($W$4:W424)</f>
        <v>#DIV/0!</v>
      </c>
    </row>
    <row r="425" spans="1:24">
      <c r="A425" s="403">
        <f t="shared" si="118"/>
        <v>423</v>
      </c>
      <c r="B425" s="422">
        <f t="shared" si="123"/>
        <v>40787</v>
      </c>
      <c r="D425" s="411">
        <v>34778.03</v>
      </c>
      <c r="E425" s="408">
        <v>34778.03</v>
      </c>
      <c r="F425" s="408">
        <f t="shared" si="111"/>
        <v>1119.489999999998</v>
      </c>
      <c r="G425" s="409">
        <f t="shared" si="112"/>
        <v>3.3260206770703515E-2</v>
      </c>
      <c r="H425" s="408">
        <f t="shared" ref="H425:H488" si="129">E425-$D$3</f>
        <v>11922.18</v>
      </c>
      <c r="I425" s="409">
        <f t="shared" ref="I425:I488" si="130">(E425/$D$3)-1</f>
        <v>0.52162487940724156</v>
      </c>
      <c r="L425" s="382">
        <v>1204.42</v>
      </c>
      <c r="M425" s="415">
        <f t="shared" si="128"/>
        <v>3.8946923494958208E-2</v>
      </c>
      <c r="N425" s="415">
        <f t="shared" si="116"/>
        <v>0.29496387407534841</v>
      </c>
      <c r="O425" s="416" t="str">
        <f t="shared" si="117"/>
        <v>No</v>
      </c>
      <c r="P425" s="417">
        <f t="shared" si="120"/>
        <v>0</v>
      </c>
      <c r="Q425" s="415">
        <f>SUM($P$4:P425)/COUNT($P$4:P425)</f>
        <v>0.53080568720379151</v>
      </c>
      <c r="W425" s="417">
        <f t="shared" si="121"/>
        <v>0</v>
      </c>
      <c r="X425" s="415" t="e">
        <f>SUM($W$4:W425)/COUNT($W$4:W425)</f>
        <v>#DIV/0!</v>
      </c>
    </row>
    <row r="426" spans="1:24">
      <c r="A426" s="403">
        <f t="shared" si="118"/>
        <v>424</v>
      </c>
      <c r="B426" s="422">
        <f t="shared" si="123"/>
        <v>40794</v>
      </c>
      <c r="D426" s="411">
        <v>34369.410000000003</v>
      </c>
      <c r="E426" s="408">
        <v>34369.410000000003</v>
      </c>
      <c r="F426" s="408">
        <f t="shared" si="111"/>
        <v>-408.61999999999534</v>
      </c>
      <c r="G426" s="409">
        <f t="shared" si="112"/>
        <v>-1.1749371657911456E-2</v>
      </c>
      <c r="H426" s="408">
        <f t="shared" si="129"/>
        <v>11513.560000000005</v>
      </c>
      <c r="I426" s="409">
        <f t="shared" si="130"/>
        <v>0.50374674317516099</v>
      </c>
      <c r="L426" s="382">
        <v>1154.23</v>
      </c>
      <c r="M426" s="415">
        <f t="shared" si="128"/>
        <v>-4.1671509938393636E-2</v>
      </c>
      <c r="N426" s="415">
        <f t="shared" si="116"/>
        <v>0.24100077412695686</v>
      </c>
      <c r="O426" s="416" t="str">
        <f t="shared" si="117"/>
        <v>Yes</v>
      </c>
      <c r="P426" s="417">
        <f t="shared" si="120"/>
        <v>1</v>
      </c>
      <c r="Q426" s="415">
        <f>SUM($P$4:P426)/COUNT($P$4:P426)</f>
        <v>0.53191489361702127</v>
      </c>
      <c r="W426" s="417">
        <f t="shared" si="121"/>
        <v>0</v>
      </c>
      <c r="X426" s="415" t="e">
        <f>SUM($W$4:W426)/COUNT($W$4:W426)</f>
        <v>#DIV/0!</v>
      </c>
    </row>
    <row r="427" spans="1:24">
      <c r="A427" s="403">
        <f t="shared" si="118"/>
        <v>425</v>
      </c>
      <c r="B427" s="422">
        <f t="shared" si="123"/>
        <v>40801</v>
      </c>
      <c r="D427" s="411">
        <v>34890.93</v>
      </c>
      <c r="E427" s="408">
        <v>34890.93</v>
      </c>
      <c r="F427" s="408">
        <f t="shared" si="111"/>
        <v>521.5199999999968</v>
      </c>
      <c r="G427" s="409">
        <f t="shared" si="112"/>
        <v>1.5173958470628301E-2</v>
      </c>
      <c r="H427" s="408">
        <f t="shared" si="129"/>
        <v>12035.080000000002</v>
      </c>
      <c r="I427" s="409">
        <f t="shared" si="130"/>
        <v>0.52656453380644352</v>
      </c>
      <c r="L427" s="382">
        <v>1216.01</v>
      </c>
      <c r="M427" s="415">
        <f t="shared" si="128"/>
        <v>5.3524860729663892E-2</v>
      </c>
      <c r="N427" s="415">
        <f t="shared" si="116"/>
        <v>0.30742516772750728</v>
      </c>
      <c r="O427" s="416" t="str">
        <f t="shared" si="117"/>
        <v>No</v>
      </c>
      <c r="P427" s="417">
        <f t="shared" si="120"/>
        <v>0</v>
      </c>
      <c r="Q427" s="415">
        <f>SUM($P$4:P427)/COUNT($P$4:P427)</f>
        <v>0.53066037735849059</v>
      </c>
      <c r="W427" s="417">
        <f t="shared" si="121"/>
        <v>0</v>
      </c>
      <c r="X427" s="415" t="e">
        <f>SUM($W$4:W427)/COUNT($W$4:W427)</f>
        <v>#DIV/0!</v>
      </c>
    </row>
    <row r="428" spans="1:24">
      <c r="A428" s="403">
        <f t="shared" si="118"/>
        <v>426</v>
      </c>
      <c r="B428" s="422">
        <f t="shared" si="123"/>
        <v>40808</v>
      </c>
      <c r="D428" s="411">
        <v>32716.34</v>
      </c>
      <c r="E428" s="408">
        <v>32716.34</v>
      </c>
      <c r="F428" s="408">
        <f t="shared" si="111"/>
        <v>-2174.59</v>
      </c>
      <c r="G428" s="409">
        <f t="shared" si="112"/>
        <v>-6.2325366506424507E-2</v>
      </c>
      <c r="H428" s="408">
        <f t="shared" si="129"/>
        <v>9860.4900000000016</v>
      </c>
      <c r="I428" s="409">
        <f t="shared" si="130"/>
        <v>0.43142083974124801</v>
      </c>
      <c r="L428" s="382">
        <v>1136.43</v>
      </c>
      <c r="M428" s="415">
        <f t="shared" si="128"/>
        <v>-6.5443540760355523E-2</v>
      </c>
      <c r="N428" s="415">
        <f t="shared" si="116"/>
        <v>0.22186263547221752</v>
      </c>
      <c r="O428" s="416" t="str">
        <f t="shared" si="117"/>
        <v>Yes</v>
      </c>
      <c r="P428" s="417">
        <f t="shared" si="120"/>
        <v>1</v>
      </c>
      <c r="Q428" s="415">
        <f>SUM($P$4:P428)/COUNT($P$4:P428)</f>
        <v>0.53176470588235292</v>
      </c>
      <c r="W428" s="417">
        <f t="shared" si="121"/>
        <v>0</v>
      </c>
      <c r="X428" s="415" t="e">
        <f>SUM($W$4:W428)/COUNT($W$4:W428)</f>
        <v>#DIV/0!</v>
      </c>
    </row>
    <row r="429" spans="1:24">
      <c r="A429" s="403">
        <f t="shared" si="118"/>
        <v>427</v>
      </c>
      <c r="B429" s="422">
        <f t="shared" si="123"/>
        <v>40815</v>
      </c>
      <c r="D429" s="411">
        <v>33129.85</v>
      </c>
      <c r="E429" s="408">
        <v>33129.85</v>
      </c>
      <c r="F429" s="408">
        <f t="shared" si="111"/>
        <v>413.5099999999984</v>
      </c>
      <c r="G429" s="409">
        <f t="shared" si="112"/>
        <v>1.2639249989454759E-2</v>
      </c>
      <c r="H429" s="408">
        <f t="shared" si="129"/>
        <v>10274</v>
      </c>
      <c r="I429" s="409">
        <f t="shared" si="130"/>
        <v>0.4495129255748529</v>
      </c>
      <c r="L429" s="382">
        <v>1131.42</v>
      </c>
      <c r="M429" s="415">
        <f t="shared" si="128"/>
        <v>-4.4085425411155565E-3</v>
      </c>
      <c r="N429" s="415">
        <f t="shared" si="116"/>
        <v>0.21647600206433859</v>
      </c>
      <c r="O429" s="416" t="str">
        <f t="shared" si="117"/>
        <v>Yes</v>
      </c>
      <c r="P429" s="417">
        <f t="shared" si="120"/>
        <v>1</v>
      </c>
      <c r="Q429" s="415">
        <f>SUM($P$4:P429)/COUNT($P$4:P429)</f>
        <v>0.53286384976525825</v>
      </c>
      <c r="W429" s="417">
        <f t="shared" si="121"/>
        <v>0</v>
      </c>
      <c r="X429" s="415" t="e">
        <f>SUM($W$4:W429)/COUNT($W$4:W429)</f>
        <v>#DIV/0!</v>
      </c>
    </row>
    <row r="430" spans="1:24">
      <c r="A430" s="403">
        <f t="shared" si="118"/>
        <v>428</v>
      </c>
      <c r="B430" s="422">
        <f t="shared" si="123"/>
        <v>40822</v>
      </c>
      <c r="D430" s="411">
        <v>34158.519999999997</v>
      </c>
      <c r="E430" s="408">
        <v>34158.519999999997</v>
      </c>
      <c r="F430" s="408">
        <f t="shared" si="111"/>
        <v>1028.6699999999983</v>
      </c>
      <c r="G430" s="409">
        <f t="shared" si="112"/>
        <v>3.1049642542903211E-2</v>
      </c>
      <c r="H430" s="408">
        <f t="shared" si="129"/>
        <v>11302.669999999998</v>
      </c>
      <c r="I430" s="409">
        <f t="shared" si="130"/>
        <v>0.49451978377526973</v>
      </c>
      <c r="L430" s="382">
        <v>1164.97</v>
      </c>
      <c r="M430" s="415">
        <f t="shared" si="128"/>
        <v>2.9653002421735408E-2</v>
      </c>
      <c r="N430" s="415">
        <f t="shared" si="116"/>
        <v>0.2525481678995356</v>
      </c>
      <c r="O430" s="416" t="str">
        <f t="shared" si="117"/>
        <v>Yes</v>
      </c>
      <c r="P430" s="417">
        <f t="shared" si="120"/>
        <v>1</v>
      </c>
      <c r="Q430" s="415">
        <f>SUM($P$4:P430)/COUNT($P$4:P430)</f>
        <v>0.53395784543325531</v>
      </c>
      <c r="W430" s="417">
        <f t="shared" si="121"/>
        <v>0</v>
      </c>
      <c r="X430" s="415" t="e">
        <f>SUM($W$4:W430)/COUNT($W$4:W430)</f>
        <v>#DIV/0!</v>
      </c>
    </row>
    <row r="431" spans="1:24">
      <c r="A431" s="403">
        <f t="shared" si="118"/>
        <v>429</v>
      </c>
      <c r="B431" s="422">
        <f t="shared" si="123"/>
        <v>40829</v>
      </c>
      <c r="D431" s="411">
        <v>36089.79</v>
      </c>
      <c r="E431" s="408">
        <v>36089.79</v>
      </c>
      <c r="F431" s="408">
        <f t="shared" ref="F431:F460" si="131">E431-E430</f>
        <v>1931.2700000000041</v>
      </c>
      <c r="G431" s="409">
        <f t="shared" ref="G431:G494" si="132">(E431/E430)-1</f>
        <v>5.653845658418466E-2</v>
      </c>
      <c r="H431" s="408">
        <f t="shared" si="129"/>
        <v>13233.940000000002</v>
      </c>
      <c r="I431" s="409">
        <f t="shared" si="130"/>
        <v>0.57901762568445281</v>
      </c>
      <c r="L431" s="382">
        <v>1203.6600000000001</v>
      </c>
      <c r="M431" s="415">
        <f t="shared" si="128"/>
        <v>3.3211155652076885E-2</v>
      </c>
      <c r="N431" s="415">
        <f t="shared" si="116"/>
        <v>0.29414674006537078</v>
      </c>
      <c r="O431" s="416" t="str">
        <f t="shared" si="117"/>
        <v>Yes</v>
      </c>
      <c r="P431" s="417">
        <f t="shared" si="120"/>
        <v>1</v>
      </c>
      <c r="Q431" s="415">
        <f>SUM($P$4:P431)/COUNT($P$4:P431)</f>
        <v>0.53504672897196259</v>
      </c>
      <c r="W431" s="417">
        <f t="shared" si="121"/>
        <v>0</v>
      </c>
      <c r="X431" s="415" t="e">
        <f>SUM($W$4:W431)/COUNT($W$4:W431)</f>
        <v>#DIV/0!</v>
      </c>
    </row>
    <row r="432" spans="1:24">
      <c r="A432" s="403">
        <f t="shared" si="118"/>
        <v>430</v>
      </c>
      <c r="B432" s="422">
        <f t="shared" si="123"/>
        <v>40836</v>
      </c>
      <c r="D432" s="411">
        <v>36000.46</v>
      </c>
      <c r="E432" s="408">
        <v>36000.46</v>
      </c>
      <c r="F432" s="408">
        <f t="shared" si="131"/>
        <v>-89.330000000001746</v>
      </c>
      <c r="G432" s="409">
        <f t="shared" si="132"/>
        <v>-2.4752152894211843E-3</v>
      </c>
      <c r="H432" s="408">
        <f t="shared" si="129"/>
        <v>13144.61</v>
      </c>
      <c r="I432" s="409">
        <f t="shared" si="130"/>
        <v>0.57510921711509311</v>
      </c>
      <c r="L432" s="382">
        <v>1215.3900000000001</v>
      </c>
      <c r="M432" s="415">
        <f t="shared" si="128"/>
        <v>9.7452769054384714E-3</v>
      </c>
      <c r="N432" s="415">
        <f t="shared" si="116"/>
        <v>0.30675855840357813</v>
      </c>
      <c r="O432" s="416" t="str">
        <f t="shared" si="117"/>
        <v>No</v>
      </c>
      <c r="P432" s="417">
        <f t="shared" si="120"/>
        <v>0</v>
      </c>
      <c r="Q432" s="415">
        <f>SUM($P$4:P432)/COUNT($P$4:P432)</f>
        <v>0.53379953379953382</v>
      </c>
      <c r="W432" s="417">
        <f t="shared" si="121"/>
        <v>0</v>
      </c>
      <c r="X432" s="415" t="e">
        <f>SUM($W$4:W432)/COUNT($W$4:W432)</f>
        <v>#DIV/0!</v>
      </c>
    </row>
    <row r="433" spans="1:24">
      <c r="A433" s="403">
        <f t="shared" si="118"/>
        <v>431</v>
      </c>
      <c r="B433" s="422">
        <f t="shared" si="123"/>
        <v>40843</v>
      </c>
      <c r="D433" s="411">
        <v>38327.5</v>
      </c>
      <c r="E433" s="408">
        <v>38327.5</v>
      </c>
      <c r="F433" s="408">
        <f t="shared" si="131"/>
        <v>2327.0400000000009</v>
      </c>
      <c r="G433" s="409">
        <f t="shared" si="132"/>
        <v>6.4639174054998305E-2</v>
      </c>
      <c r="H433" s="408">
        <f t="shared" si="129"/>
        <v>15471.650000000001</v>
      </c>
      <c r="I433" s="409">
        <f t="shared" si="130"/>
        <v>0.67692297595582751</v>
      </c>
      <c r="L433" s="382">
        <v>1284.5899999999999</v>
      </c>
      <c r="M433" s="415">
        <f t="shared" si="128"/>
        <v>5.6936456610635178E-2</v>
      </c>
      <c r="N433" s="415">
        <f t="shared" si="116"/>
        <v>0.38116076036469959</v>
      </c>
      <c r="O433" s="416" t="str">
        <f t="shared" si="117"/>
        <v>Yes</v>
      </c>
      <c r="P433" s="417">
        <f t="shared" si="120"/>
        <v>1</v>
      </c>
      <c r="Q433" s="415">
        <f>SUM($P$4:P433)/COUNT($P$4:P433)</f>
        <v>0.53488372093023251</v>
      </c>
      <c r="W433" s="417">
        <f t="shared" si="121"/>
        <v>0</v>
      </c>
      <c r="X433" s="415" t="e">
        <f>SUM($W$4:W433)/COUNT($W$4:W433)</f>
        <v>#DIV/0!</v>
      </c>
    </row>
    <row r="434" spans="1:24">
      <c r="A434" s="403">
        <f t="shared" si="118"/>
        <v>432</v>
      </c>
      <c r="B434" s="422">
        <f t="shared" si="123"/>
        <v>40850</v>
      </c>
      <c r="D434" s="411">
        <v>37955.33</v>
      </c>
      <c r="E434" s="408">
        <v>37955.33</v>
      </c>
      <c r="F434" s="408">
        <f t="shared" si="131"/>
        <v>-372.16999999999825</v>
      </c>
      <c r="G434" s="409">
        <f t="shared" si="132"/>
        <v>-9.7102602569956176E-3</v>
      </c>
      <c r="H434" s="408">
        <f t="shared" si="129"/>
        <v>15099.480000000003</v>
      </c>
      <c r="I434" s="409">
        <f t="shared" si="130"/>
        <v>0.66063961742836108</v>
      </c>
      <c r="L434" s="382">
        <v>1261.1500000000001</v>
      </c>
      <c r="M434" s="415">
        <f t="shared" si="128"/>
        <v>-1.8247067157614372E-2</v>
      </c>
      <c r="N434" s="415">
        <f t="shared" si="116"/>
        <v>0.35595862721486338</v>
      </c>
      <c r="O434" s="416" t="str">
        <f t="shared" si="117"/>
        <v>Yes</v>
      </c>
      <c r="P434" s="417">
        <f t="shared" si="120"/>
        <v>1</v>
      </c>
      <c r="Q434" s="415">
        <f>SUM($P$4:P434)/COUNT($P$4:P434)</f>
        <v>0.53596287703016243</v>
      </c>
      <c r="W434" s="417">
        <f t="shared" si="121"/>
        <v>0</v>
      </c>
      <c r="X434" s="415" t="e">
        <f>SUM($W$4:W434)/COUNT($W$4:W434)</f>
        <v>#DIV/0!</v>
      </c>
    </row>
    <row r="435" spans="1:24">
      <c r="A435" s="403">
        <f t="shared" si="118"/>
        <v>433</v>
      </c>
      <c r="B435" s="422">
        <f t="shared" si="123"/>
        <v>40857</v>
      </c>
      <c r="D435" s="411">
        <v>37249.440000000002</v>
      </c>
      <c r="E435" s="408">
        <v>37249.440000000002</v>
      </c>
      <c r="F435" s="408">
        <f t="shared" si="131"/>
        <v>-705.88999999999942</v>
      </c>
      <c r="G435" s="409">
        <f t="shared" si="132"/>
        <v>-1.8597914970045037E-2</v>
      </c>
      <c r="H435" s="408">
        <f t="shared" si="129"/>
        <v>14393.590000000004</v>
      </c>
      <c r="I435" s="409">
        <f t="shared" si="130"/>
        <v>0.6297551830275403</v>
      </c>
      <c r="L435" s="382">
        <v>1263.8499999999999</v>
      </c>
      <c r="M435" s="415">
        <f t="shared" si="128"/>
        <v>2.1409031439558746E-3</v>
      </c>
      <c r="N435" s="415">
        <f t="shared" si="116"/>
        <v>0.35886160330294148</v>
      </c>
      <c r="O435" s="416" t="str">
        <f t="shared" si="117"/>
        <v>No</v>
      </c>
      <c r="P435" s="417">
        <f t="shared" si="120"/>
        <v>0</v>
      </c>
      <c r="Q435" s="415">
        <f>SUM($P$4:P435)/COUNT($P$4:P435)</f>
        <v>0.53472222222222221</v>
      </c>
      <c r="W435" s="417">
        <f t="shared" si="121"/>
        <v>0</v>
      </c>
      <c r="X435" s="415" t="e">
        <f>SUM($W$4:W435)/COUNT($W$4:W435)</f>
        <v>#DIV/0!</v>
      </c>
    </row>
    <row r="436" spans="1:24">
      <c r="A436" s="403">
        <f t="shared" si="118"/>
        <v>434</v>
      </c>
      <c r="B436" s="422">
        <f t="shared" si="123"/>
        <v>40864</v>
      </c>
      <c r="D436" s="411">
        <v>36896.26</v>
      </c>
      <c r="E436" s="408">
        <v>36896.26</v>
      </c>
      <c r="F436" s="408">
        <f t="shared" si="131"/>
        <v>-353.18000000000029</v>
      </c>
      <c r="G436" s="409">
        <f t="shared" si="132"/>
        <v>-9.4814848223221393E-3</v>
      </c>
      <c r="H436" s="408">
        <f t="shared" si="129"/>
        <v>14040.410000000003</v>
      </c>
      <c r="I436" s="409">
        <f t="shared" si="130"/>
        <v>0.61430268399556365</v>
      </c>
      <c r="L436" s="382">
        <v>1215.6500000000001</v>
      </c>
      <c r="M436" s="415">
        <f t="shared" si="128"/>
        <v>-3.8137437195869595E-2</v>
      </c>
      <c r="N436" s="415">
        <f t="shared" si="116"/>
        <v>0.30703810424909683</v>
      </c>
      <c r="O436" s="416" t="str">
        <f t="shared" si="117"/>
        <v>Yes</v>
      </c>
      <c r="P436" s="417">
        <f t="shared" si="120"/>
        <v>1</v>
      </c>
      <c r="Q436" s="415">
        <f>SUM($P$4:P436)/COUNT($P$4:P436)</f>
        <v>0.53579676674364896</v>
      </c>
      <c r="W436" s="417">
        <f t="shared" si="121"/>
        <v>0</v>
      </c>
      <c r="X436" s="415" t="e">
        <f>SUM($W$4:W436)/COUNT($W$4:W436)</f>
        <v>#DIV/0!</v>
      </c>
    </row>
    <row r="437" spans="1:24">
      <c r="A437" s="403">
        <f t="shared" si="118"/>
        <v>435</v>
      </c>
      <c r="B437" s="422">
        <f t="shared" si="123"/>
        <v>40871</v>
      </c>
      <c r="D437" s="411">
        <v>35412.25</v>
      </c>
      <c r="E437" s="408">
        <v>35412.25</v>
      </c>
      <c r="F437" s="408">
        <f t="shared" si="131"/>
        <v>-1484.010000000002</v>
      </c>
      <c r="G437" s="409">
        <f t="shared" si="132"/>
        <v>-4.022114978591329E-2</v>
      </c>
      <c r="H437" s="408">
        <f t="shared" si="129"/>
        <v>12556.400000000001</v>
      </c>
      <c r="I437" s="409">
        <f t="shared" si="130"/>
        <v>0.54937357394277631</v>
      </c>
      <c r="L437" s="382">
        <v>1158.67</v>
      </c>
      <c r="M437" s="415">
        <f t="shared" si="128"/>
        <v>-4.6872043762596127E-2</v>
      </c>
      <c r="N437" s="415">
        <f t="shared" si="116"/>
        <v>0.2457745570273524</v>
      </c>
      <c r="O437" s="416" t="str">
        <f t="shared" si="117"/>
        <v>Yes</v>
      </c>
      <c r="P437" s="417">
        <f t="shared" si="120"/>
        <v>1</v>
      </c>
      <c r="Q437" s="415">
        <f>SUM($P$4:P437)/COUNT($P$4:P437)</f>
        <v>0.53686635944700456</v>
      </c>
      <c r="W437" s="417">
        <f t="shared" si="121"/>
        <v>0</v>
      </c>
      <c r="X437" s="415" t="e">
        <f>SUM($W$4:W437)/COUNT($W$4:W437)</f>
        <v>#DIV/0!</v>
      </c>
    </row>
    <row r="438" spans="1:24">
      <c r="A438" s="403">
        <f t="shared" si="118"/>
        <v>436</v>
      </c>
      <c r="B438" s="422">
        <f t="shared" si="123"/>
        <v>40878</v>
      </c>
      <c r="D438" s="411">
        <v>37759.21</v>
      </c>
      <c r="E438" s="408">
        <v>37759.21</v>
      </c>
      <c r="F438" s="408">
        <f t="shared" si="131"/>
        <v>2346.9599999999991</v>
      </c>
      <c r="G438" s="409">
        <f t="shared" si="132"/>
        <v>6.6275370810948253E-2</v>
      </c>
      <c r="H438" s="408">
        <f t="shared" si="129"/>
        <v>14903.36</v>
      </c>
      <c r="I438" s="409">
        <f t="shared" si="130"/>
        <v>0.65205888208051777</v>
      </c>
      <c r="L438" s="382">
        <v>1244.28</v>
      </c>
      <c r="M438" s="415">
        <f t="shared" si="128"/>
        <v>7.3886438761683548E-2</v>
      </c>
      <c r="N438" s="415">
        <f t="shared" si="116"/>
        <v>0.33782040254601742</v>
      </c>
      <c r="O438" s="416" t="str">
        <f t="shared" si="117"/>
        <v>No</v>
      </c>
      <c r="P438" s="417">
        <f t="shared" si="120"/>
        <v>0</v>
      </c>
      <c r="Q438" s="415">
        <f>SUM($P$4:P438)/COUNT($P$4:P438)</f>
        <v>0.53563218390804601</v>
      </c>
      <c r="W438" s="417">
        <f t="shared" si="121"/>
        <v>0</v>
      </c>
      <c r="X438" s="415" t="e">
        <f>SUM($W$4:W438)/COUNT($W$4:W438)</f>
        <v>#DIV/0!</v>
      </c>
    </row>
    <row r="439" spans="1:24">
      <c r="A439" s="403">
        <f t="shared" si="118"/>
        <v>437</v>
      </c>
      <c r="B439" s="422">
        <f t="shared" si="123"/>
        <v>40885</v>
      </c>
      <c r="D439" s="411">
        <v>37485.46</v>
      </c>
      <c r="E439" s="408">
        <v>37485.46</v>
      </c>
      <c r="F439" s="408">
        <f t="shared" si="131"/>
        <v>-273.75</v>
      </c>
      <c r="G439" s="409">
        <f t="shared" si="132"/>
        <v>-7.249886848797904E-3</v>
      </c>
      <c r="H439" s="408">
        <f t="shared" si="129"/>
        <v>14629.61</v>
      </c>
      <c r="I439" s="409">
        <f t="shared" si="130"/>
        <v>0.64008164211788232</v>
      </c>
      <c r="L439" s="382">
        <v>1255.19</v>
      </c>
      <c r="M439" s="415">
        <f t="shared" si="128"/>
        <v>8.7681229305300867E-3</v>
      </c>
      <c r="N439" s="415">
        <f t="shared" si="116"/>
        <v>0.34955057629451236</v>
      </c>
      <c r="O439" s="416" t="str">
        <f t="shared" si="117"/>
        <v>No</v>
      </c>
      <c r="P439" s="417">
        <f t="shared" si="120"/>
        <v>0</v>
      </c>
      <c r="Q439" s="415">
        <f>SUM($P$4:P439)/COUNT($P$4:P439)</f>
        <v>0.5344036697247706</v>
      </c>
      <c r="W439" s="417">
        <f t="shared" si="121"/>
        <v>0</v>
      </c>
      <c r="X439" s="415" t="e">
        <f>SUM($W$4:W439)/COUNT($W$4:W439)</f>
        <v>#DIV/0!</v>
      </c>
    </row>
    <row r="440" spans="1:24">
      <c r="A440" s="403">
        <f t="shared" si="118"/>
        <v>438</v>
      </c>
      <c r="B440" s="422">
        <f t="shared" si="123"/>
        <v>40892</v>
      </c>
      <c r="D440" s="411">
        <v>36860.699999999997</v>
      </c>
      <c r="E440" s="408">
        <v>36860.699999999997</v>
      </c>
      <c r="F440" s="408">
        <f t="shared" si="131"/>
        <v>-624.76000000000204</v>
      </c>
      <c r="G440" s="409">
        <f t="shared" si="132"/>
        <v>-1.6666728913023898E-2</v>
      </c>
      <c r="H440" s="408">
        <f t="shared" si="129"/>
        <v>14004.849999999999</v>
      </c>
      <c r="I440" s="409">
        <f t="shared" si="130"/>
        <v>0.6127468459934764</v>
      </c>
      <c r="L440" s="382">
        <v>1219.6600000000001</v>
      </c>
      <c r="M440" s="415">
        <f t="shared" si="128"/>
        <v>-2.8306471530206601E-2</v>
      </c>
      <c r="N440" s="415">
        <f t="shared" si="116"/>
        <v>0.31134956132805791</v>
      </c>
      <c r="O440" s="416" t="str">
        <f t="shared" si="117"/>
        <v>Yes</v>
      </c>
      <c r="P440" s="417">
        <f t="shared" si="120"/>
        <v>1</v>
      </c>
      <c r="Q440" s="415">
        <f>SUM($P$4:P440)/COUNT($P$4:P440)</f>
        <v>0.53546910755148747</v>
      </c>
      <c r="W440" s="417">
        <f t="shared" si="121"/>
        <v>0</v>
      </c>
      <c r="X440" s="415" t="e">
        <f>SUM($W$4:W440)/COUNT($W$4:W440)</f>
        <v>#DIV/0!</v>
      </c>
    </row>
    <row r="441" spans="1:24">
      <c r="A441" s="403">
        <f t="shared" si="118"/>
        <v>439</v>
      </c>
      <c r="B441" s="422">
        <f t="shared" si="123"/>
        <v>40899</v>
      </c>
      <c r="D441" s="411">
        <v>38081.199999999997</v>
      </c>
      <c r="E441" s="408">
        <v>38081.199999999997</v>
      </c>
      <c r="F441" s="408">
        <f t="shared" si="131"/>
        <v>1220.5</v>
      </c>
      <c r="G441" s="409">
        <f t="shared" si="132"/>
        <v>3.3111145474719716E-2</v>
      </c>
      <c r="H441" s="408">
        <f t="shared" si="129"/>
        <v>15225.349999999999</v>
      </c>
      <c r="I441" s="409">
        <f t="shared" si="130"/>
        <v>0.66614674142506192</v>
      </c>
      <c r="L441" s="382">
        <v>1265.33</v>
      </c>
      <c r="M441" s="415">
        <f t="shared" si="128"/>
        <v>3.7444861682763841E-2</v>
      </c>
      <c r="N441" s="415">
        <f t="shared" si="116"/>
        <v>0.36045286426973999</v>
      </c>
      <c r="O441" s="416" t="str">
        <f t="shared" si="117"/>
        <v>No</v>
      </c>
      <c r="P441" s="417">
        <f t="shared" si="120"/>
        <v>0</v>
      </c>
      <c r="Q441" s="415">
        <f>SUM($P$4:P441)/COUNT($P$4:P441)</f>
        <v>0.53424657534246578</v>
      </c>
      <c r="W441" s="417">
        <f t="shared" si="121"/>
        <v>0</v>
      </c>
      <c r="X441" s="415" t="e">
        <f>SUM($W$4:W441)/COUNT($W$4:W441)</f>
        <v>#DIV/0!</v>
      </c>
    </row>
    <row r="442" spans="1:24">
      <c r="A442" s="403">
        <f t="shared" si="118"/>
        <v>440</v>
      </c>
      <c r="B442" s="422">
        <f t="shared" si="123"/>
        <v>40906</v>
      </c>
      <c r="D442" s="411">
        <v>38298.57</v>
      </c>
      <c r="E442" s="408">
        <v>38298.57</v>
      </c>
      <c r="F442" s="408">
        <f t="shared" si="131"/>
        <v>217.37000000000262</v>
      </c>
      <c r="G442" s="409">
        <f t="shared" si="132"/>
        <v>5.708065922292338E-3</v>
      </c>
      <c r="H442" s="408">
        <f t="shared" si="129"/>
        <v>15442.720000000001</v>
      </c>
      <c r="I442" s="409">
        <f t="shared" si="130"/>
        <v>0.67565721686132885</v>
      </c>
      <c r="L442" s="382">
        <v>1257.5999999999999</v>
      </c>
      <c r="M442" s="415">
        <f t="shared" si="128"/>
        <v>-6.1090782641682884E-3</v>
      </c>
      <c r="N442" s="415">
        <f t="shared" si="116"/>
        <v>0.35214175124720448</v>
      </c>
      <c r="O442" s="416" t="str">
        <f t="shared" si="117"/>
        <v>Yes</v>
      </c>
      <c r="P442" s="417">
        <f t="shared" si="120"/>
        <v>1</v>
      </c>
      <c r="Q442" s="415">
        <f>SUM($P$4:P442)/COUNT($P$4:P442)</f>
        <v>0.53530751708428248</v>
      </c>
      <c r="W442" s="417">
        <f t="shared" si="121"/>
        <v>0</v>
      </c>
      <c r="X442" s="415" t="e">
        <f>SUM($W$4:W442)/COUNT($W$4:W442)</f>
        <v>#DIV/0!</v>
      </c>
    </row>
    <row r="443" spans="1:24">
      <c r="A443" s="403">
        <f t="shared" si="118"/>
        <v>441</v>
      </c>
      <c r="B443" s="422">
        <f t="shared" si="123"/>
        <v>40913</v>
      </c>
      <c r="D443" s="411">
        <v>38913.339999999997</v>
      </c>
      <c r="E443" s="408">
        <v>38913.339999999997</v>
      </c>
      <c r="F443" s="408">
        <f t="shared" si="131"/>
        <v>614.7699999999968</v>
      </c>
      <c r="G443" s="409">
        <f t="shared" si="132"/>
        <v>1.6052035363200101E-2</v>
      </c>
      <c r="H443" s="408">
        <f t="shared" si="129"/>
        <v>16057.489999999998</v>
      </c>
      <c r="I443" s="409">
        <f t="shared" si="130"/>
        <v>0.70255492576298839</v>
      </c>
      <c r="L443" s="382">
        <v>1277.81</v>
      </c>
      <c r="M443" s="415">
        <f t="shared" si="128"/>
        <v>1.6070292620865123E-2</v>
      </c>
      <c r="N443" s="415">
        <f t="shared" si="116"/>
        <v>0.37387106485463595</v>
      </c>
      <c r="O443" s="416" t="str">
        <f t="shared" si="117"/>
        <v>No</v>
      </c>
      <c r="P443" s="417">
        <f t="shared" si="120"/>
        <v>0</v>
      </c>
      <c r="Q443" s="415">
        <f>SUM($P$4:P443)/COUNT($P$4:P443)</f>
        <v>0.53409090909090906</v>
      </c>
      <c r="W443" s="417">
        <f t="shared" si="121"/>
        <v>0</v>
      </c>
      <c r="X443" s="415" t="e">
        <f>SUM($W$4:W443)/COUNT($W$4:W443)</f>
        <v>#DIV/0!</v>
      </c>
    </row>
    <row r="444" spans="1:24">
      <c r="A444" s="403">
        <f t="shared" si="118"/>
        <v>442</v>
      </c>
      <c r="B444" s="422">
        <f t="shared" si="123"/>
        <v>40920</v>
      </c>
      <c r="D444" s="411">
        <v>39312.980000000003</v>
      </c>
      <c r="E444" s="408">
        <v>39312.980000000003</v>
      </c>
      <c r="F444" s="408">
        <f t="shared" si="131"/>
        <v>399.64000000000669</v>
      </c>
      <c r="G444" s="409">
        <f t="shared" si="132"/>
        <v>1.0269999953743447E-2</v>
      </c>
      <c r="H444" s="408">
        <f t="shared" si="129"/>
        <v>16457.130000000005</v>
      </c>
      <c r="I444" s="409">
        <f t="shared" si="130"/>
        <v>0.7200401647718202</v>
      </c>
      <c r="L444" s="382">
        <v>1295.5</v>
      </c>
      <c r="M444" s="415">
        <f t="shared" si="128"/>
        <v>1.3843998716554173E-2</v>
      </c>
      <c r="N444" s="415">
        <f t="shared" si="116"/>
        <v>0.39289093411319453</v>
      </c>
      <c r="O444" s="416" t="str">
        <f t="shared" si="117"/>
        <v>No</v>
      </c>
      <c r="P444" s="417">
        <f t="shared" si="120"/>
        <v>0</v>
      </c>
      <c r="Q444" s="415">
        <f>SUM($P$4:P444)/COUNT($P$4:P444)</f>
        <v>0.53287981859410427</v>
      </c>
      <c r="W444" s="417">
        <f t="shared" si="121"/>
        <v>0</v>
      </c>
      <c r="X444" s="415" t="e">
        <f>SUM($W$4:W444)/COUNT($W$4:W444)</f>
        <v>#DIV/0!</v>
      </c>
    </row>
    <row r="445" spans="1:24">
      <c r="A445" s="403">
        <f t="shared" si="118"/>
        <v>443</v>
      </c>
      <c r="B445" s="422">
        <f t="shared" si="123"/>
        <v>40927</v>
      </c>
      <c r="D445" s="411">
        <v>39890.879999999997</v>
      </c>
      <c r="E445" s="408">
        <v>39890.879999999997</v>
      </c>
      <c r="F445" s="408">
        <f t="shared" si="131"/>
        <v>577.89999999999418</v>
      </c>
      <c r="G445" s="409">
        <f t="shared" si="132"/>
        <v>1.4699979497865501E-2</v>
      </c>
      <c r="H445" s="408">
        <f t="shared" si="129"/>
        <v>17035.03</v>
      </c>
      <c r="I445" s="409">
        <f t="shared" si="130"/>
        <v>0.74532471992947102</v>
      </c>
      <c r="L445" s="382">
        <v>1314.5</v>
      </c>
      <c r="M445" s="415">
        <f t="shared" si="128"/>
        <v>1.4666152064839899E-2</v>
      </c>
      <c r="N445" s="415">
        <f t="shared" si="116"/>
        <v>0.41331928436263543</v>
      </c>
      <c r="O445" s="416" t="str">
        <f t="shared" si="117"/>
        <v>Yes</v>
      </c>
      <c r="P445" s="417">
        <f t="shared" si="120"/>
        <v>1</v>
      </c>
      <c r="Q445" s="415">
        <f>SUM($P$4:P445)/COUNT($P$4:P445)</f>
        <v>0.5339366515837104</v>
      </c>
      <c r="W445" s="417">
        <f t="shared" si="121"/>
        <v>0</v>
      </c>
      <c r="X445" s="415" t="e">
        <f>SUM($W$4:W445)/COUNT($W$4:W445)</f>
        <v>#DIV/0!</v>
      </c>
    </row>
    <row r="446" spans="1:24">
      <c r="A446" s="403">
        <f t="shared" si="118"/>
        <v>444</v>
      </c>
      <c r="B446" s="422">
        <f t="shared" si="123"/>
        <v>40934</v>
      </c>
      <c r="D446" s="411">
        <v>40010.550000000003</v>
      </c>
      <c r="E446" s="408">
        <v>40010.550000000003</v>
      </c>
      <c r="F446" s="408">
        <f t="shared" si="131"/>
        <v>119.67000000000553</v>
      </c>
      <c r="G446" s="409">
        <f t="shared" si="132"/>
        <v>2.9999338194597325E-3</v>
      </c>
      <c r="H446" s="408">
        <f t="shared" si="129"/>
        <v>17154.700000000004</v>
      </c>
      <c r="I446" s="409">
        <f t="shared" si="130"/>
        <v>0.75056057858272629</v>
      </c>
      <c r="L446" s="382">
        <v>1318.43</v>
      </c>
      <c r="M446" s="415">
        <f t="shared" si="128"/>
        <v>2.989729935336749E-3</v>
      </c>
      <c r="N446" s="415">
        <f t="shared" si="116"/>
        <v>0.41754472733528303</v>
      </c>
      <c r="O446" s="416" t="str">
        <f t="shared" si="117"/>
        <v>Yes</v>
      </c>
      <c r="P446" s="417">
        <f t="shared" si="120"/>
        <v>1</v>
      </c>
      <c r="Q446" s="415">
        <f>SUM($P$4:P446)/COUNT($P$4:P446)</f>
        <v>0.53498871331828446</v>
      </c>
      <c r="W446" s="417">
        <f t="shared" si="121"/>
        <v>0</v>
      </c>
      <c r="X446" s="415" t="e">
        <f>SUM($W$4:W446)/COUNT($W$4:W446)</f>
        <v>#DIV/0!</v>
      </c>
    </row>
    <row r="447" spans="1:24">
      <c r="A447" s="403">
        <f t="shared" si="118"/>
        <v>445</v>
      </c>
      <c r="B447" s="422">
        <f t="shared" si="123"/>
        <v>40941</v>
      </c>
      <c r="D447" s="411">
        <v>40226.61</v>
      </c>
      <c r="E447" s="408">
        <v>40226.61</v>
      </c>
      <c r="F447" s="408">
        <f t="shared" si="131"/>
        <v>216.05999999999767</v>
      </c>
      <c r="G447" s="409">
        <f t="shared" si="132"/>
        <v>5.4000757300260993E-3</v>
      </c>
      <c r="H447" s="408">
        <f t="shared" si="129"/>
        <v>17370.760000000002</v>
      </c>
      <c r="I447" s="409">
        <f t="shared" si="130"/>
        <v>0.76001373827707153</v>
      </c>
      <c r="L447" s="382">
        <v>1325.54</v>
      </c>
      <c r="M447" s="415">
        <f t="shared" si="128"/>
        <v>5.3927777735638394E-3</v>
      </c>
      <c r="N447" s="415">
        <f t="shared" si="116"/>
        <v>0.42518923103388939</v>
      </c>
      <c r="O447" s="416" t="str">
        <f t="shared" si="117"/>
        <v>Yes</v>
      </c>
      <c r="P447" s="417">
        <f t="shared" si="120"/>
        <v>1</v>
      </c>
      <c r="Q447" s="415">
        <f>SUM($P$4:P447)/COUNT($P$4:P447)</f>
        <v>0.536036036036036</v>
      </c>
      <c r="W447" s="417">
        <f t="shared" si="121"/>
        <v>0</v>
      </c>
      <c r="X447" s="415" t="e">
        <f>SUM($W$4:W447)/COUNT($W$4:W447)</f>
        <v>#DIV/0!</v>
      </c>
    </row>
    <row r="448" spans="1:24">
      <c r="A448" s="403">
        <f t="shared" si="118"/>
        <v>446</v>
      </c>
      <c r="B448" s="422">
        <f t="shared" si="123"/>
        <v>40948</v>
      </c>
      <c r="D448" s="411">
        <v>41027.120000000003</v>
      </c>
      <c r="E448" s="408">
        <v>41027.120000000003</v>
      </c>
      <c r="F448" s="408">
        <f t="shared" si="131"/>
        <v>800.51000000000204</v>
      </c>
      <c r="G448" s="409">
        <f t="shared" si="132"/>
        <v>1.9900011460075806E-2</v>
      </c>
      <c r="H448" s="408">
        <f t="shared" si="129"/>
        <v>18171.270000000004</v>
      </c>
      <c r="I448" s="409">
        <f t="shared" si="130"/>
        <v>0.79503803183867605</v>
      </c>
      <c r="L448" s="382">
        <v>1351.95</v>
      </c>
      <c r="M448" s="415">
        <f t="shared" si="128"/>
        <v>1.992395552001458E-2</v>
      </c>
      <c r="N448" s="415">
        <f t="shared" si="116"/>
        <v>0.45358463788061232</v>
      </c>
      <c r="O448" s="416" t="str">
        <f t="shared" si="117"/>
        <v>No</v>
      </c>
      <c r="P448" s="417">
        <f t="shared" si="120"/>
        <v>0</v>
      </c>
      <c r="Q448" s="415">
        <f>SUM($P$4:P448)/COUNT($P$4:P448)</f>
        <v>0.53483146067415732</v>
      </c>
      <c r="W448" s="417">
        <f t="shared" si="121"/>
        <v>0</v>
      </c>
      <c r="X448" s="415" t="e">
        <f>SUM($W$4:W448)/COUNT($W$4:W448)</f>
        <v>#DIV/0!</v>
      </c>
    </row>
    <row r="449" spans="1:24">
      <c r="A449" s="403">
        <f t="shared" si="118"/>
        <v>447</v>
      </c>
      <c r="B449" s="422">
        <f t="shared" si="123"/>
        <v>40955</v>
      </c>
      <c r="D449" s="411">
        <v>40837.594140000001</v>
      </c>
      <c r="E449" s="408">
        <v>40837.594140000001</v>
      </c>
      <c r="F449" s="408">
        <f t="shared" si="131"/>
        <v>-189.52586000000156</v>
      </c>
      <c r="G449" s="409">
        <f t="shared" si="132"/>
        <v>-4.6195263035767598E-3</v>
      </c>
      <c r="H449" s="408">
        <f t="shared" si="129"/>
        <v>17981.744140000003</v>
      </c>
      <c r="I449" s="409">
        <f t="shared" si="130"/>
        <v>0.78674580643467662</v>
      </c>
      <c r="L449" s="382">
        <v>1358.04</v>
      </c>
      <c r="M449" s="415">
        <f t="shared" si="128"/>
        <v>4.5046044602241597E-3</v>
      </c>
      <c r="N449" s="415">
        <f t="shared" si="116"/>
        <v>0.46013246172372257</v>
      </c>
      <c r="O449" s="416" t="str">
        <f t="shared" si="117"/>
        <v>No</v>
      </c>
      <c r="P449" s="417">
        <f t="shared" si="120"/>
        <v>0</v>
      </c>
      <c r="Q449" s="415">
        <f>SUM($P$4:P449)/COUNT($P$4:P449)</f>
        <v>0.53363228699551568</v>
      </c>
      <c r="W449" s="417">
        <f t="shared" si="121"/>
        <v>0</v>
      </c>
      <c r="X449" s="415" t="e">
        <f>SUM($W$4:W449)/COUNT($W$4:W449)</f>
        <v>#DIV/0!</v>
      </c>
    </row>
    <row r="450" spans="1:24">
      <c r="A450" s="403">
        <f t="shared" si="118"/>
        <v>448</v>
      </c>
      <c r="B450" s="422">
        <f t="shared" si="123"/>
        <v>40962</v>
      </c>
      <c r="D450" s="411">
        <v>40851.889970000004</v>
      </c>
      <c r="E450" s="408">
        <v>40851.889970000004</v>
      </c>
      <c r="F450" s="408">
        <f t="shared" si="131"/>
        <v>14.295830000002752</v>
      </c>
      <c r="G450" s="409">
        <f t="shared" si="132"/>
        <v>3.5006543115634337E-4</v>
      </c>
      <c r="H450" s="408">
        <f t="shared" si="129"/>
        <v>17996.039970000005</v>
      </c>
      <c r="I450" s="409">
        <f t="shared" si="130"/>
        <v>0.78737128437577275</v>
      </c>
      <c r="L450" s="382">
        <v>1363.46</v>
      </c>
      <c r="M450" s="415">
        <f t="shared" si="128"/>
        <v>3.9910459191188075E-3</v>
      </c>
      <c r="N450" s="415">
        <f t="shared" si="116"/>
        <v>0.46595991742645793</v>
      </c>
      <c r="O450" s="416" t="str">
        <f t="shared" si="117"/>
        <v>No</v>
      </c>
      <c r="P450" s="417">
        <f t="shared" si="120"/>
        <v>0</v>
      </c>
      <c r="Q450" s="415">
        <f>SUM($P$4:P450)/COUNT($P$4:P450)</f>
        <v>0.53243847874720363</v>
      </c>
      <c r="W450" s="417">
        <f t="shared" si="121"/>
        <v>0</v>
      </c>
      <c r="X450" s="415" t="e">
        <f>SUM($W$4:W450)/COUNT($W$4:W450)</f>
        <v>#DIV/0!</v>
      </c>
    </row>
    <row r="451" spans="1:24">
      <c r="A451" s="403">
        <f t="shared" si="118"/>
        <v>449</v>
      </c>
      <c r="B451" s="422">
        <f t="shared" si="123"/>
        <v>40969</v>
      </c>
      <c r="D451" s="411">
        <v>40773.422509999997</v>
      </c>
      <c r="E451" s="408">
        <v>40773.422509999997</v>
      </c>
      <c r="F451" s="408">
        <f t="shared" si="131"/>
        <v>-78.467460000007122</v>
      </c>
      <c r="G451" s="409">
        <f t="shared" si="132"/>
        <v>-1.9207791869024771E-3</v>
      </c>
      <c r="H451" s="408">
        <f t="shared" si="129"/>
        <v>17917.572509999998</v>
      </c>
      <c r="I451" s="409">
        <f t="shared" si="130"/>
        <v>0.78393813881347651</v>
      </c>
      <c r="L451" s="382">
        <v>1370.98</v>
      </c>
      <c r="M451" s="415">
        <f t="shared" si="128"/>
        <v>5.5153799891451971E-3</v>
      </c>
      <c r="N451" s="415">
        <f t="shared" si="116"/>
        <v>0.47404524341992071</v>
      </c>
      <c r="O451" s="416" t="str">
        <f t="shared" si="117"/>
        <v>No</v>
      </c>
      <c r="P451" s="417">
        <f t="shared" si="120"/>
        <v>0</v>
      </c>
      <c r="Q451" s="415">
        <f>SUM($P$4:P451)/COUNT($P$4:P451)</f>
        <v>0.53125</v>
      </c>
      <c r="W451" s="417">
        <f t="shared" si="121"/>
        <v>0</v>
      </c>
      <c r="X451" s="415" t="e">
        <f>SUM($W$4:W451)/COUNT($W$4:W451)</f>
        <v>#DIV/0!</v>
      </c>
    </row>
    <row r="452" spans="1:24">
      <c r="A452" s="403">
        <f t="shared" si="118"/>
        <v>450</v>
      </c>
      <c r="B452" s="422">
        <f t="shared" si="123"/>
        <v>40976</v>
      </c>
      <c r="D452" s="411">
        <v>40773.422509999997</v>
      </c>
      <c r="E452" s="408">
        <v>40773.422509999997</v>
      </c>
      <c r="F452" s="408">
        <f t="shared" si="131"/>
        <v>0</v>
      </c>
      <c r="G452" s="409">
        <f t="shared" si="132"/>
        <v>0</v>
      </c>
      <c r="H452" s="408">
        <f t="shared" si="129"/>
        <v>17917.572509999998</v>
      </c>
      <c r="I452" s="409">
        <f t="shared" si="130"/>
        <v>0.78393813881347651</v>
      </c>
      <c r="L452" s="382">
        <v>1371.98</v>
      </c>
      <c r="M452" s="415">
        <f t="shared" ref="M452:M458" si="133">(L452/L451)-1</f>
        <v>7.2940524296494225E-4</v>
      </c>
      <c r="N452" s="415">
        <f t="shared" ref="N452:N491" si="134">(L452/$L$3)-1</f>
        <v>0.47512041974883878</v>
      </c>
      <c r="O452" s="416" t="str">
        <f t="shared" ref="O452:O515" si="135">IF(G452&gt;M452,"Yes","No")</f>
        <v>No</v>
      </c>
      <c r="P452" s="417">
        <f t="shared" si="120"/>
        <v>0</v>
      </c>
      <c r="Q452" s="415">
        <f>SUM($P$4:P452)/COUNT($P$4:P452)</f>
        <v>0.53006681514476617</v>
      </c>
      <c r="W452" s="417">
        <f t="shared" si="121"/>
        <v>0</v>
      </c>
      <c r="X452" s="415" t="e">
        <f>SUM($W$4:W452)/COUNT($W$4:W452)</f>
        <v>#DIV/0!</v>
      </c>
    </row>
    <row r="453" spans="1:24">
      <c r="A453" s="403">
        <f t="shared" ref="A453:A516" si="136">A452+1</f>
        <v>451</v>
      </c>
      <c r="B453" s="422">
        <f t="shared" si="123"/>
        <v>40983</v>
      </c>
      <c r="D453" s="411">
        <v>41393.199820000009</v>
      </c>
      <c r="E453" s="408">
        <v>41393.199820000009</v>
      </c>
      <c r="F453" s="408">
        <f t="shared" si="131"/>
        <v>619.77731000001222</v>
      </c>
      <c r="G453" s="409">
        <f t="shared" si="132"/>
        <v>1.5200522101082026E-2</v>
      </c>
      <c r="H453" s="408">
        <f t="shared" si="129"/>
        <v>18537.34982000001</v>
      </c>
      <c r="I453" s="409">
        <f t="shared" si="130"/>
        <v>0.81105492991947403</v>
      </c>
      <c r="L453" s="382">
        <v>1403.58</v>
      </c>
      <c r="M453" s="415">
        <f t="shared" si="133"/>
        <v>2.3032405720200044E-2</v>
      </c>
      <c r="N453" s="415">
        <f t="shared" si="134"/>
        <v>0.50909599174264564</v>
      </c>
      <c r="O453" s="416" t="str">
        <f t="shared" si="135"/>
        <v>No</v>
      </c>
      <c r="P453" s="417">
        <f t="shared" si="120"/>
        <v>0</v>
      </c>
      <c r="Q453" s="415">
        <f>SUM($P$4:P453)/COUNT($P$4:P453)</f>
        <v>0.52888888888888885</v>
      </c>
      <c r="W453" s="417">
        <f t="shared" si="121"/>
        <v>0</v>
      </c>
      <c r="X453" s="415" t="e">
        <f>SUM($W$4:W453)/COUNT($W$4:W453)</f>
        <v>#DIV/0!</v>
      </c>
    </row>
    <row r="454" spans="1:24">
      <c r="A454" s="403">
        <f t="shared" si="136"/>
        <v>452</v>
      </c>
      <c r="B454" s="422">
        <f t="shared" si="123"/>
        <v>40990</v>
      </c>
      <c r="D454" s="411">
        <v>41119.368170000002</v>
      </c>
      <c r="E454" s="408">
        <v>41119.368170000002</v>
      </c>
      <c r="F454" s="408">
        <f t="shared" si="131"/>
        <v>-273.83165000000736</v>
      </c>
      <c r="G454" s="409">
        <f t="shared" si="132"/>
        <v>-6.615377675337375E-3</v>
      </c>
      <c r="H454" s="408">
        <f t="shared" si="129"/>
        <v>18263.518170000003</v>
      </c>
      <c r="I454" s="409">
        <f t="shared" si="130"/>
        <v>0.79907411756727509</v>
      </c>
      <c r="L454" s="382">
        <v>1392.79</v>
      </c>
      <c r="M454" s="415">
        <f t="shared" si="133"/>
        <v>-7.6874848601433676E-3</v>
      </c>
      <c r="N454" s="415">
        <f t="shared" si="134"/>
        <v>0.49749483915362114</v>
      </c>
      <c r="O454" s="416" t="str">
        <f t="shared" si="135"/>
        <v>Yes</v>
      </c>
      <c r="P454" s="417">
        <f t="shared" ref="P454:P487" si="137">IF(O454="Yes",1,0)</f>
        <v>1</v>
      </c>
      <c r="Q454" s="415">
        <f>SUM($P$4:P454)/COUNT($P$4:P454)</f>
        <v>0.52993348115299332</v>
      </c>
      <c r="W454" s="417">
        <f t="shared" ref="W454:W488" si="138">IF(V454="Yes",1,0)</f>
        <v>0</v>
      </c>
      <c r="X454" s="415" t="e">
        <f>SUM($W$4:W454)/COUNT($W$4:W454)</f>
        <v>#DIV/0!</v>
      </c>
    </row>
    <row r="455" spans="1:24">
      <c r="A455" s="403">
        <f t="shared" si="136"/>
        <v>453</v>
      </c>
      <c r="B455" s="422">
        <f t="shared" si="123"/>
        <v>40997</v>
      </c>
      <c r="D455" s="411">
        <v>41164.53471</v>
      </c>
      <c r="E455" s="408">
        <v>41164.53471</v>
      </c>
      <c r="F455" s="408">
        <f t="shared" si="131"/>
        <v>45.166539999998349</v>
      </c>
      <c r="G455" s="409">
        <f t="shared" si="132"/>
        <v>1.0984249517955735E-3</v>
      </c>
      <c r="H455" s="408">
        <f t="shared" si="129"/>
        <v>18308.684710000001</v>
      </c>
      <c r="I455" s="409">
        <f t="shared" si="130"/>
        <v>0.80105026546814062</v>
      </c>
      <c r="L455" s="382">
        <v>1394.94</v>
      </c>
      <c r="M455" s="415">
        <f t="shared" si="133"/>
        <v>1.5436641561183961E-3</v>
      </c>
      <c r="N455" s="415">
        <f t="shared" si="134"/>
        <v>0.49980646826079478</v>
      </c>
      <c r="O455" s="416" t="str">
        <f t="shared" si="135"/>
        <v>No</v>
      </c>
      <c r="P455" s="417">
        <f t="shared" si="137"/>
        <v>0</v>
      </c>
      <c r="Q455" s="415">
        <f>SUM($P$4:P455)/COUNT($P$4:P455)</f>
        <v>0.52876106194690264</v>
      </c>
      <c r="W455" s="417">
        <f t="shared" si="138"/>
        <v>0</v>
      </c>
      <c r="X455" s="415" t="e">
        <f>SUM($W$4:W455)/COUNT($W$4:W455)</f>
        <v>#DIV/0!</v>
      </c>
    </row>
    <row r="456" spans="1:24">
      <c r="A456" s="403">
        <f t="shared" si="136"/>
        <v>454</v>
      </c>
      <c r="B456" s="422">
        <f t="shared" si="123"/>
        <v>41004</v>
      </c>
      <c r="D456" s="411">
        <v>41259.21</v>
      </c>
      <c r="E456" s="408">
        <v>41259.21</v>
      </c>
      <c r="F456" s="408">
        <f t="shared" si="131"/>
        <v>94.675289999999222</v>
      </c>
      <c r="G456" s="409">
        <f t="shared" si="132"/>
        <v>2.2999237248029214E-3</v>
      </c>
      <c r="H456" s="408">
        <f t="shared" si="129"/>
        <v>18403.36</v>
      </c>
      <c r="I456" s="409">
        <f t="shared" si="130"/>
        <v>0.80519254370325322</v>
      </c>
      <c r="L456" s="382">
        <v>1398.08</v>
      </c>
      <c r="M456" s="415">
        <f t="shared" si="133"/>
        <v>2.25099287424535E-3</v>
      </c>
      <c r="N456" s="415">
        <f t="shared" si="134"/>
        <v>0.50318252193359703</v>
      </c>
      <c r="O456" s="416" t="str">
        <f t="shared" si="135"/>
        <v>Yes</v>
      </c>
      <c r="P456" s="417">
        <f t="shared" si="137"/>
        <v>1</v>
      </c>
      <c r="Q456" s="415">
        <f>SUM($P$4:P456)/COUNT($P$4:P456)</f>
        <v>0.5298013245033113</v>
      </c>
      <c r="W456" s="417">
        <f t="shared" si="138"/>
        <v>0</v>
      </c>
      <c r="X456" s="415" t="e">
        <f>SUM($W$4:W456)/COUNT($W$4:W456)</f>
        <v>#DIV/0!</v>
      </c>
    </row>
    <row r="457" spans="1:24">
      <c r="A457" s="403">
        <f t="shared" si="136"/>
        <v>455</v>
      </c>
      <c r="B457" s="422">
        <f t="shared" si="123"/>
        <v>41011</v>
      </c>
      <c r="D457" s="411">
        <v>41268.771470000007</v>
      </c>
      <c r="E457" s="408">
        <v>41268.771470000007</v>
      </c>
      <c r="F457" s="408">
        <f t="shared" si="131"/>
        <v>9.5614700000078301</v>
      </c>
      <c r="G457" s="409">
        <f t="shared" si="132"/>
        <v>2.3174147057125616E-4</v>
      </c>
      <c r="H457" s="408">
        <f t="shared" si="129"/>
        <v>18412.921470000008</v>
      </c>
      <c r="I457" s="409">
        <f t="shared" si="130"/>
        <v>0.80561088167799544</v>
      </c>
      <c r="L457" s="382">
        <v>1387.43</v>
      </c>
      <c r="M457" s="415">
        <f t="shared" si="133"/>
        <v>-7.6175898374912787E-3</v>
      </c>
      <c r="N457" s="415">
        <f t="shared" si="134"/>
        <v>0.49173189403062101</v>
      </c>
      <c r="O457" s="416" t="str">
        <f t="shared" si="135"/>
        <v>Yes</v>
      </c>
      <c r="P457" s="417">
        <f t="shared" si="137"/>
        <v>1</v>
      </c>
      <c r="Q457" s="415">
        <f>SUM($P$4:P457)/COUNT($P$4:P457)</f>
        <v>0.53083700440528636</v>
      </c>
      <c r="W457" s="417">
        <f t="shared" si="138"/>
        <v>0</v>
      </c>
      <c r="X457" s="415" t="e">
        <f>SUM($W$4:W457)/COUNT($W$4:W457)</f>
        <v>#DIV/0!</v>
      </c>
    </row>
    <row r="458" spans="1:24">
      <c r="A458" s="403">
        <f t="shared" si="136"/>
        <v>456</v>
      </c>
      <c r="B458" s="422">
        <f t="shared" si="123"/>
        <v>41018</v>
      </c>
      <c r="D458" s="411">
        <v>40513.05404000001</v>
      </c>
      <c r="E458" s="408">
        <v>40513.05404000001</v>
      </c>
      <c r="F458" s="408">
        <f t="shared" si="131"/>
        <v>-755.71742999999697</v>
      </c>
      <c r="G458" s="409">
        <f t="shared" si="132"/>
        <v>-1.8312089337317872E-2</v>
      </c>
      <c r="H458" s="408">
        <f t="shared" si="129"/>
        <v>17657.204040000011</v>
      </c>
      <c r="I458" s="409">
        <f t="shared" si="130"/>
        <v>0.77254637390427461</v>
      </c>
      <c r="L458" s="382">
        <v>1376.92</v>
      </c>
      <c r="M458" s="415">
        <f t="shared" si="133"/>
        <v>-7.5751569448548883E-3</v>
      </c>
      <c r="N458" s="415">
        <f t="shared" si="134"/>
        <v>0.48043179081369347</v>
      </c>
      <c r="O458" s="416" t="str">
        <f t="shared" si="135"/>
        <v>No</v>
      </c>
      <c r="P458" s="417">
        <f t="shared" si="137"/>
        <v>0</v>
      </c>
      <c r="Q458" s="415">
        <f>SUM($P$4:P458)/COUNT($P$4:P458)</f>
        <v>0.52967032967032968</v>
      </c>
      <c r="W458" s="417">
        <f t="shared" si="138"/>
        <v>0</v>
      </c>
      <c r="X458" s="415" t="e">
        <f>SUM($W$4:W458)/COUNT($W$4:W458)</f>
        <v>#DIV/0!</v>
      </c>
    </row>
    <row r="459" spans="1:24">
      <c r="A459" s="403">
        <f t="shared" si="136"/>
        <v>457</v>
      </c>
      <c r="B459" s="422">
        <f>B458+7</f>
        <v>41025</v>
      </c>
      <c r="D459" s="411">
        <v>40601.141130000004</v>
      </c>
      <c r="E459" s="408">
        <f>(D459)</f>
        <v>40601.141130000004</v>
      </c>
      <c r="F459" s="408">
        <f t="shared" si="131"/>
        <v>88.087089999993623</v>
      </c>
      <c r="G459" s="409">
        <f t="shared" si="132"/>
        <v>2.1742890553997363E-3</v>
      </c>
      <c r="H459" s="408">
        <f t="shared" si="129"/>
        <v>17745.291130000005</v>
      </c>
      <c r="I459" s="409">
        <f t="shared" si="130"/>
        <v>0.7764004020852433</v>
      </c>
      <c r="L459" s="382">
        <v>1399.98</v>
      </c>
      <c r="M459" s="415">
        <f t="shared" ref="M459:M464" si="139">(L459/L458)-1</f>
        <v>1.6747523458152891E-2</v>
      </c>
      <c r="N459" s="415">
        <f t="shared" si="134"/>
        <v>0.50522535695854121</v>
      </c>
      <c r="O459" s="416" t="str">
        <f t="shared" si="135"/>
        <v>No</v>
      </c>
      <c r="P459" s="417">
        <f t="shared" si="137"/>
        <v>0</v>
      </c>
      <c r="Q459" s="415">
        <f>SUM($P$4:P459)/COUNT($P$4:P459)</f>
        <v>0.52850877192982459</v>
      </c>
      <c r="W459" s="417">
        <f t="shared" si="138"/>
        <v>0</v>
      </c>
      <c r="X459" s="415" t="e">
        <f>SUM($W$4:W459)/COUNT($W$4:W459)</f>
        <v>#DIV/0!</v>
      </c>
    </row>
    <row r="460" spans="1:24">
      <c r="A460" s="403">
        <f t="shared" si="136"/>
        <v>458</v>
      </c>
      <c r="B460" s="422">
        <f t="shared" si="123"/>
        <v>41032</v>
      </c>
      <c r="D460" s="411">
        <v>40470.18</v>
      </c>
      <c r="E460" s="408">
        <f>D460</f>
        <v>40470.18</v>
      </c>
      <c r="F460" s="408">
        <f t="shared" si="131"/>
        <v>-130.96113000000332</v>
      </c>
      <c r="G460" s="409">
        <f t="shared" si="132"/>
        <v>-3.2255529365710078E-3</v>
      </c>
      <c r="H460" s="408">
        <f t="shared" si="129"/>
        <v>17614.330000000002</v>
      </c>
      <c r="I460" s="409">
        <f t="shared" si="130"/>
        <v>0.77067052855177143</v>
      </c>
      <c r="L460" s="382">
        <v>1391.57</v>
      </c>
      <c r="M460" s="415">
        <f t="shared" si="139"/>
        <v>-6.0072286746953862E-3</v>
      </c>
      <c r="N460" s="415">
        <f t="shared" si="134"/>
        <v>0.49618312403234111</v>
      </c>
      <c r="O460" s="416" t="str">
        <f t="shared" si="135"/>
        <v>Yes</v>
      </c>
      <c r="P460" s="417">
        <f t="shared" si="137"/>
        <v>1</v>
      </c>
      <c r="Q460" s="415">
        <f>SUM($P$4:P460)/COUNT($P$4:P460)</f>
        <v>0.52954048140043763</v>
      </c>
      <c r="W460" s="417">
        <f t="shared" si="138"/>
        <v>0</v>
      </c>
      <c r="X460" s="415" t="e">
        <f>SUM($W$4:W460)/COUNT($W$4:W460)</f>
        <v>#DIV/0!</v>
      </c>
    </row>
    <row r="461" spans="1:24">
      <c r="A461" s="403">
        <f t="shared" si="136"/>
        <v>459</v>
      </c>
      <c r="B461" s="422">
        <f t="shared" ref="B461:B524" si="140">B460+7</f>
        <v>41039</v>
      </c>
      <c r="D461" s="411">
        <v>39597.51</v>
      </c>
      <c r="E461" s="408">
        <f>D461</f>
        <v>39597.51</v>
      </c>
      <c r="F461" s="408">
        <f>E461-E450</f>
        <v>-1254.3799700000018</v>
      </c>
      <c r="G461" s="409">
        <f t="shared" si="132"/>
        <v>-2.1563284373827818E-2</v>
      </c>
      <c r="H461" s="408">
        <f t="shared" si="129"/>
        <v>16741.660000000003</v>
      </c>
      <c r="I461" s="409">
        <f t="shared" si="130"/>
        <v>0.73248905641225348</v>
      </c>
      <c r="L461" s="382">
        <v>1358.03</v>
      </c>
      <c r="M461" s="415">
        <f t="shared" si="139"/>
        <v>-2.4102272972254313E-2</v>
      </c>
      <c r="N461" s="415">
        <f t="shared" si="134"/>
        <v>0.46012170996043333</v>
      </c>
      <c r="O461" s="416" t="str">
        <f t="shared" si="135"/>
        <v>Yes</v>
      </c>
      <c r="P461" s="417">
        <f t="shared" si="137"/>
        <v>1</v>
      </c>
      <c r="Q461" s="415">
        <f>SUM($P$4:P461)/COUNT($P$4:P461)</f>
        <v>0.53056768558951961</v>
      </c>
      <c r="W461" s="417">
        <f t="shared" si="138"/>
        <v>0</v>
      </c>
      <c r="X461" s="415" t="e">
        <f>SUM($W$4:W461)/COUNT($W$4:W461)</f>
        <v>#DIV/0!</v>
      </c>
    </row>
    <row r="462" spans="1:24">
      <c r="A462" s="403">
        <f t="shared" si="136"/>
        <v>460</v>
      </c>
      <c r="B462" s="422">
        <f t="shared" si="140"/>
        <v>41046</v>
      </c>
      <c r="D462" s="411">
        <v>38075.29</v>
      </c>
      <c r="E462" s="408">
        <v>38075.29</v>
      </c>
      <c r="F462" s="408">
        <f>E462-E451</f>
        <v>-2698.1325099999958</v>
      </c>
      <c r="G462" s="409">
        <f t="shared" si="132"/>
        <v>-3.8442316196144688E-2</v>
      </c>
      <c r="H462" s="408">
        <f t="shared" si="129"/>
        <v>15219.440000000002</v>
      </c>
      <c r="I462" s="409">
        <f t="shared" si="130"/>
        <v>0.66588816429929332</v>
      </c>
      <c r="L462" s="382">
        <v>1304.8599999999999</v>
      </c>
      <c r="M462" s="415">
        <f t="shared" si="139"/>
        <v>-3.9152301495548714E-2</v>
      </c>
      <c r="N462" s="415">
        <f t="shared" si="134"/>
        <v>0.40295458455186628</v>
      </c>
      <c r="O462" s="416" t="str">
        <f t="shared" si="135"/>
        <v>Yes</v>
      </c>
      <c r="P462" s="417">
        <f t="shared" si="137"/>
        <v>1</v>
      </c>
      <c r="Q462" s="415">
        <f>SUM($P$4:P462)/COUNT($P$4:P462)</f>
        <v>0.53159041394335516</v>
      </c>
      <c r="W462" s="417">
        <f t="shared" si="138"/>
        <v>0</v>
      </c>
      <c r="X462" s="415" t="e">
        <f>SUM($W$4:W462)/COUNT($W$4:W462)</f>
        <v>#DIV/0!</v>
      </c>
    </row>
    <row r="463" spans="1:24">
      <c r="A463" s="403">
        <f t="shared" si="136"/>
        <v>461</v>
      </c>
      <c r="B463" s="422">
        <f t="shared" si="140"/>
        <v>41053</v>
      </c>
      <c r="D463" s="411">
        <v>38231.85</v>
      </c>
      <c r="E463" s="408">
        <f t="shared" ref="E463:E471" si="141">D463</f>
        <v>38231.85</v>
      </c>
      <c r="F463" s="408">
        <f t="shared" ref="F463:F494" si="142">E463-E462</f>
        <v>156.55999999999767</v>
      </c>
      <c r="G463" s="409">
        <f t="shared" si="132"/>
        <v>4.1118531204882292E-3</v>
      </c>
      <c r="H463" s="408">
        <f t="shared" si="129"/>
        <v>15376</v>
      </c>
      <c r="I463" s="409">
        <f t="shared" si="130"/>
        <v>0.67273805174605195</v>
      </c>
      <c r="L463" s="382">
        <v>1320.68</v>
      </c>
      <c r="M463" s="415">
        <f t="shared" si="139"/>
        <v>1.2123906012905694E-2</v>
      </c>
      <c r="N463" s="415">
        <f t="shared" si="134"/>
        <v>0.41996387407534841</v>
      </c>
      <c r="O463" s="416" t="str">
        <f t="shared" si="135"/>
        <v>No</v>
      </c>
      <c r="P463" s="417">
        <f t="shared" si="137"/>
        <v>0</v>
      </c>
      <c r="Q463" s="415">
        <f>SUM($P$4:P463)/COUNT($P$4:P463)</f>
        <v>0.5304347826086957</v>
      </c>
      <c r="W463" s="417">
        <f t="shared" si="138"/>
        <v>0</v>
      </c>
      <c r="X463" s="415" t="e">
        <f>SUM($W$4:W463)/COUNT($W$4:W463)</f>
        <v>#DIV/0!</v>
      </c>
    </row>
    <row r="464" spans="1:24">
      <c r="A464" s="403">
        <f t="shared" si="136"/>
        <v>462</v>
      </c>
      <c r="B464" s="422">
        <f t="shared" si="140"/>
        <v>41060</v>
      </c>
      <c r="D464" s="411">
        <v>38054.910000000003</v>
      </c>
      <c r="E464" s="408">
        <f t="shared" si="141"/>
        <v>38054.910000000003</v>
      </c>
      <c r="F464" s="408">
        <f t="shared" si="142"/>
        <v>-176.93999999999505</v>
      </c>
      <c r="G464" s="409">
        <f t="shared" si="132"/>
        <v>-4.6280784215253501E-3</v>
      </c>
      <c r="H464" s="408">
        <f t="shared" si="129"/>
        <v>15199.060000000005</v>
      </c>
      <c r="I464" s="409">
        <f t="shared" si="130"/>
        <v>0.66499648886390172</v>
      </c>
      <c r="L464" s="382">
        <v>1310.33</v>
      </c>
      <c r="M464" s="415">
        <f t="shared" si="139"/>
        <v>-7.8368719144683574E-3</v>
      </c>
      <c r="N464" s="415">
        <f t="shared" si="134"/>
        <v>0.40883579907104761</v>
      </c>
      <c r="O464" s="416" t="str">
        <f t="shared" si="135"/>
        <v>Yes</v>
      </c>
      <c r="P464" s="417">
        <f t="shared" si="137"/>
        <v>1</v>
      </c>
      <c r="Q464" s="415">
        <f>SUM($P$4:P464)/COUNT($P$4:P464)</f>
        <v>0.53145336225596529</v>
      </c>
      <c r="W464" s="417">
        <f t="shared" si="138"/>
        <v>0</v>
      </c>
      <c r="X464" s="415" t="e">
        <f>SUM($W$4:W464)/COUNT($W$4:W464)</f>
        <v>#DIV/0!</v>
      </c>
    </row>
    <row r="465" spans="1:24">
      <c r="A465" s="403">
        <f t="shared" si="136"/>
        <v>463</v>
      </c>
      <c r="B465" s="422">
        <f t="shared" si="140"/>
        <v>41067</v>
      </c>
      <c r="D465" s="411">
        <v>38191.910000000003</v>
      </c>
      <c r="E465" s="408">
        <f t="shared" si="141"/>
        <v>38191.910000000003</v>
      </c>
      <c r="F465" s="408">
        <f t="shared" si="142"/>
        <v>137</v>
      </c>
      <c r="G465" s="409">
        <f t="shared" si="132"/>
        <v>3.6000610696491631E-3</v>
      </c>
      <c r="H465" s="408">
        <f t="shared" si="129"/>
        <v>15336.060000000005</v>
      </c>
      <c r="I465" s="409">
        <f t="shared" si="130"/>
        <v>0.67099057790456307</v>
      </c>
      <c r="L465" s="382">
        <v>1314.99</v>
      </c>
      <c r="M465" s="415">
        <f t="shared" ref="M465:M471" si="143">(L465/L464)-1</f>
        <v>3.5563560324498589E-3</v>
      </c>
      <c r="N465" s="415">
        <f t="shared" si="134"/>
        <v>0.41384612076380511</v>
      </c>
      <c r="O465" s="416" t="str">
        <f t="shared" si="135"/>
        <v>Yes</v>
      </c>
      <c r="P465" s="417">
        <f t="shared" si="137"/>
        <v>1</v>
      </c>
      <c r="Q465" s="415">
        <f>SUM($P$4:P465)/COUNT($P$4:P465)</f>
        <v>0.53246753246753242</v>
      </c>
      <c r="W465" s="417">
        <f t="shared" si="138"/>
        <v>0</v>
      </c>
      <c r="X465" s="415" t="e">
        <f>SUM($W$4:W465)/COUNT($W$4:W465)</f>
        <v>#DIV/0!</v>
      </c>
    </row>
    <row r="466" spans="1:24">
      <c r="A466" s="403">
        <f t="shared" si="136"/>
        <v>464</v>
      </c>
      <c r="B466" s="422">
        <f t="shared" si="140"/>
        <v>41074</v>
      </c>
      <c r="D466" s="411">
        <v>38600.559999999998</v>
      </c>
      <c r="E466" s="408">
        <f t="shared" si="141"/>
        <v>38600.559999999998</v>
      </c>
      <c r="F466" s="408">
        <f t="shared" si="142"/>
        <v>408.64999999999418</v>
      </c>
      <c r="G466" s="409">
        <f t="shared" si="132"/>
        <v>1.0699910007119229E-2</v>
      </c>
      <c r="H466" s="408">
        <f t="shared" si="129"/>
        <v>15744.71</v>
      </c>
      <c r="I466" s="409">
        <f t="shared" si="130"/>
        <v>0.68887002671088582</v>
      </c>
      <c r="L466" s="382">
        <v>1329.1</v>
      </c>
      <c r="M466" s="415">
        <f t="shared" si="143"/>
        <v>1.0730119620681489E-2</v>
      </c>
      <c r="N466" s="415">
        <f t="shared" si="134"/>
        <v>0.42901685876483731</v>
      </c>
      <c r="O466" s="416" t="str">
        <f t="shared" si="135"/>
        <v>No</v>
      </c>
      <c r="P466" s="417">
        <f t="shared" si="137"/>
        <v>0</v>
      </c>
      <c r="Q466" s="415">
        <f>SUM($P$4:P466)/COUNT($P$4:P466)</f>
        <v>0.53131749460043198</v>
      </c>
      <c r="W466" s="417">
        <f t="shared" si="138"/>
        <v>0</v>
      </c>
      <c r="X466" s="415" t="e">
        <f>SUM($W$4:W466)/COUNT($W$4:W466)</f>
        <v>#DIV/0!</v>
      </c>
    </row>
    <row r="467" spans="1:24">
      <c r="A467" s="403">
        <f t="shared" si="136"/>
        <v>465</v>
      </c>
      <c r="B467" s="422">
        <f t="shared" si="140"/>
        <v>41081</v>
      </c>
      <c r="D467" s="411">
        <v>38496.339999999997</v>
      </c>
      <c r="E467" s="408">
        <f t="shared" si="141"/>
        <v>38496.339999999997</v>
      </c>
      <c r="F467" s="408">
        <f t="shared" si="142"/>
        <v>-104.22000000000116</v>
      </c>
      <c r="G467" s="409">
        <f t="shared" si="132"/>
        <v>-2.6999608295839028E-3</v>
      </c>
      <c r="H467" s="408">
        <f t="shared" si="129"/>
        <v>15640.489999999998</v>
      </c>
      <c r="I467" s="409">
        <f t="shared" si="130"/>
        <v>0.68431014379250832</v>
      </c>
      <c r="L467" s="382">
        <v>1325.51</v>
      </c>
      <c r="M467" s="415">
        <f t="shared" si="143"/>
        <v>-2.701075916033302E-3</v>
      </c>
      <c r="N467" s="415">
        <f t="shared" si="134"/>
        <v>0.42515697574402189</v>
      </c>
      <c r="O467" s="416" t="str">
        <f t="shared" si="135"/>
        <v>Yes</v>
      </c>
      <c r="P467" s="417">
        <f t="shared" si="137"/>
        <v>1</v>
      </c>
      <c r="Q467" s="415">
        <f>SUM($P$4:P467)/COUNT($P$4:P467)</f>
        <v>0.53232758620689657</v>
      </c>
      <c r="W467" s="417">
        <f t="shared" si="138"/>
        <v>0</v>
      </c>
      <c r="X467" s="415" t="e">
        <f>SUM($W$4:W467)/COUNT($W$4:W467)</f>
        <v>#DIV/0!</v>
      </c>
    </row>
    <row r="468" spans="1:24">
      <c r="A468" s="403">
        <f t="shared" si="136"/>
        <v>466</v>
      </c>
      <c r="B468" s="422">
        <f t="shared" si="140"/>
        <v>41088</v>
      </c>
      <c r="D468" s="411">
        <v>38600.28</v>
      </c>
      <c r="E468" s="408">
        <f t="shared" si="141"/>
        <v>38600.28</v>
      </c>
      <c r="F468" s="408">
        <f t="shared" si="142"/>
        <v>103.94000000000233</v>
      </c>
      <c r="G468" s="409">
        <f t="shared" si="132"/>
        <v>2.6999969347736297E-3</v>
      </c>
      <c r="H468" s="408">
        <f t="shared" si="129"/>
        <v>15744.43</v>
      </c>
      <c r="I468" s="409">
        <f t="shared" si="130"/>
        <v>0.68885777601795617</v>
      </c>
      <c r="L468" s="382">
        <v>1329.04</v>
      </c>
      <c r="M468" s="415">
        <f t="shared" si="143"/>
        <v>2.6631258911664624E-3</v>
      </c>
      <c r="N468" s="415">
        <f t="shared" si="134"/>
        <v>0.42895234818510231</v>
      </c>
      <c r="O468" s="416" t="str">
        <f t="shared" si="135"/>
        <v>Yes</v>
      </c>
      <c r="P468" s="417">
        <f t="shared" si="137"/>
        <v>1</v>
      </c>
      <c r="Q468" s="415">
        <f>SUM($P$4:P468)/COUNT($P$4:P468)</f>
        <v>0.53333333333333333</v>
      </c>
      <c r="W468" s="417">
        <f t="shared" si="138"/>
        <v>0</v>
      </c>
      <c r="X468" s="415" t="e">
        <f>SUM($W$4:W468)/COUNT($W$4:W468)</f>
        <v>#DIV/0!</v>
      </c>
    </row>
    <row r="469" spans="1:24">
      <c r="A469" s="403">
        <f t="shared" si="136"/>
        <v>467</v>
      </c>
      <c r="B469" s="422">
        <f t="shared" si="140"/>
        <v>41095</v>
      </c>
      <c r="D469" s="411">
        <v>39719.69</v>
      </c>
      <c r="E469" s="408">
        <f t="shared" si="141"/>
        <v>39719.69</v>
      </c>
      <c r="F469" s="408">
        <f t="shared" si="142"/>
        <v>1119.4100000000035</v>
      </c>
      <c r="G469" s="409">
        <f t="shared" si="132"/>
        <v>2.9000048704310055E-2</v>
      </c>
      <c r="H469" s="408">
        <f t="shared" si="129"/>
        <v>16863.840000000004</v>
      </c>
      <c r="I469" s="409">
        <f t="shared" si="130"/>
        <v>0.73783473377712938</v>
      </c>
      <c r="L469" s="382">
        <v>1367.58</v>
      </c>
      <c r="M469" s="415">
        <f t="shared" si="143"/>
        <v>2.8998374766748825E-2</v>
      </c>
      <c r="N469" s="415">
        <f t="shared" si="134"/>
        <v>0.47038964390159976</v>
      </c>
      <c r="O469" s="416" t="str">
        <f t="shared" si="135"/>
        <v>Yes</v>
      </c>
      <c r="P469" s="417">
        <f t="shared" si="137"/>
        <v>1</v>
      </c>
      <c r="Q469" s="415">
        <f>SUM($P$4:P469)/COUNT($P$4:P469)</f>
        <v>0.53433476394849788</v>
      </c>
      <c r="W469" s="417">
        <f t="shared" si="138"/>
        <v>0</v>
      </c>
      <c r="X469" s="415" t="e">
        <f>SUM($W$4:W469)/COUNT($W$4:W469)</f>
        <v>#DIV/0!</v>
      </c>
    </row>
    <row r="470" spans="1:24">
      <c r="A470" s="403">
        <f t="shared" si="136"/>
        <v>468</v>
      </c>
      <c r="B470" s="422">
        <f t="shared" si="140"/>
        <v>41102</v>
      </c>
      <c r="D470" s="411">
        <v>38766.42</v>
      </c>
      <c r="E470" s="408">
        <f t="shared" si="141"/>
        <v>38766.42</v>
      </c>
      <c r="F470" s="408">
        <f t="shared" si="142"/>
        <v>-953.27000000000407</v>
      </c>
      <c r="G470" s="409">
        <f t="shared" si="132"/>
        <v>-2.3999935548339013E-2</v>
      </c>
      <c r="H470" s="408">
        <f t="shared" si="129"/>
        <v>15910.57</v>
      </c>
      <c r="I470" s="409">
        <f t="shared" si="130"/>
        <v>0.69612681217281347</v>
      </c>
      <c r="L470" s="382">
        <v>1334.76</v>
      </c>
      <c r="M470" s="415">
        <f t="shared" si="143"/>
        <v>-2.3998596060193833E-2</v>
      </c>
      <c r="N470" s="415">
        <f t="shared" si="134"/>
        <v>0.43510235678651288</v>
      </c>
      <c r="O470" s="416" t="str">
        <f t="shared" si="135"/>
        <v>No</v>
      </c>
      <c r="P470" s="417">
        <f t="shared" si="137"/>
        <v>0</v>
      </c>
      <c r="Q470" s="415">
        <f>SUM($P$4:P470)/COUNT($P$4:P470)</f>
        <v>0.53319057815845827</v>
      </c>
      <c r="W470" s="417">
        <f t="shared" si="138"/>
        <v>0</v>
      </c>
      <c r="X470" s="415" t="e">
        <f>SUM($W$4:W470)/COUNT($W$4:W470)</f>
        <v>#DIV/0!</v>
      </c>
    </row>
    <row r="471" spans="1:24">
      <c r="A471" s="403">
        <f t="shared" si="136"/>
        <v>469</v>
      </c>
      <c r="B471" s="422">
        <f t="shared" si="140"/>
        <v>41109</v>
      </c>
      <c r="D471" s="411">
        <v>39979.800000000003</v>
      </c>
      <c r="E471" s="408">
        <f t="shared" si="141"/>
        <v>39979.800000000003</v>
      </c>
      <c r="F471" s="408">
        <f t="shared" si="142"/>
        <v>1213.3800000000047</v>
      </c>
      <c r="G471" s="409">
        <f t="shared" si="132"/>
        <v>3.1299769233269492E-2</v>
      </c>
      <c r="H471" s="408">
        <f t="shared" si="129"/>
        <v>17123.950000000004</v>
      </c>
      <c r="I471" s="409">
        <f t="shared" si="130"/>
        <v>0.74921518998418368</v>
      </c>
      <c r="L471" s="382">
        <v>1376.51</v>
      </c>
      <c r="M471" s="415">
        <f t="shared" si="143"/>
        <v>3.1279031436363125E-2</v>
      </c>
      <c r="N471" s="415">
        <f t="shared" si="134"/>
        <v>0.47999096851883705</v>
      </c>
      <c r="O471" s="416" t="str">
        <f t="shared" si="135"/>
        <v>Yes</v>
      </c>
      <c r="P471" s="417">
        <f t="shared" si="137"/>
        <v>1</v>
      </c>
      <c r="Q471" s="415">
        <f>SUM($P$4:P471)/COUNT($P$4:P471)</f>
        <v>0.53418803418803418</v>
      </c>
      <c r="W471" s="417">
        <f t="shared" si="138"/>
        <v>0</v>
      </c>
      <c r="X471" s="415" t="e">
        <f>SUM($W$4:W471)/COUNT($W$4:W471)</f>
        <v>#DIV/0!</v>
      </c>
    </row>
    <row r="472" spans="1:24">
      <c r="A472" s="403">
        <f t="shared" si="136"/>
        <v>470</v>
      </c>
      <c r="B472" s="422">
        <f t="shared" si="140"/>
        <v>41116</v>
      </c>
      <c r="D472" s="411">
        <v>38207.230000000003</v>
      </c>
      <c r="E472" s="408">
        <v>38207.230000000003</v>
      </c>
      <c r="F472" s="408">
        <f t="shared" si="142"/>
        <v>-1772.5699999999997</v>
      </c>
      <c r="G472" s="409">
        <f t="shared" si="132"/>
        <v>-4.4336640003201588E-2</v>
      </c>
      <c r="H472" s="408">
        <f t="shared" si="129"/>
        <v>15351.380000000005</v>
      </c>
      <c r="I472" s="409">
        <f t="shared" si="130"/>
        <v>0.671660865817723</v>
      </c>
      <c r="L472" s="382">
        <v>1360.02</v>
      </c>
      <c r="M472" s="415">
        <f>(L472/L471)-1</f>
        <v>-1.1979571525088772E-2</v>
      </c>
      <c r="N472" s="415">
        <f t="shared" si="134"/>
        <v>0.46226131085498023</v>
      </c>
      <c r="O472" s="416" t="str">
        <f t="shared" si="135"/>
        <v>No</v>
      </c>
      <c r="P472" s="417">
        <f t="shared" si="137"/>
        <v>0</v>
      </c>
      <c r="Q472" s="415">
        <f>SUM($P$4:P472)/COUNT($P$4:P472)</f>
        <v>0.53304904051172708</v>
      </c>
      <c r="W472" s="417">
        <f t="shared" si="138"/>
        <v>0</v>
      </c>
      <c r="X472" s="415" t="e">
        <f>SUM($W$4:W472)/COUNT($W$4:W472)</f>
        <v>#DIV/0!</v>
      </c>
    </row>
    <row r="473" spans="1:24">
      <c r="A473" s="403">
        <f t="shared" si="136"/>
        <v>471</v>
      </c>
      <c r="B473" s="422">
        <f t="shared" si="140"/>
        <v>41123</v>
      </c>
      <c r="D473" s="411">
        <v>38353.26</v>
      </c>
      <c r="E473" s="408">
        <v>38353.26</v>
      </c>
      <c r="F473" s="408">
        <f t="shared" si="142"/>
        <v>146.02999999999884</v>
      </c>
      <c r="G473" s="409">
        <f t="shared" si="132"/>
        <v>3.8220514808322559E-3</v>
      </c>
      <c r="H473" s="408">
        <f t="shared" si="129"/>
        <v>15497.410000000003</v>
      </c>
      <c r="I473" s="409">
        <f t="shared" si="130"/>
        <v>0.67805003970537103</v>
      </c>
      <c r="L473" s="382">
        <v>1365</v>
      </c>
      <c r="M473" s="415">
        <f t="shared" ref="M473:M491" si="144">(L473/L472)-1</f>
        <v>3.6617108571932455E-3</v>
      </c>
      <c r="N473" s="415">
        <f t="shared" si="134"/>
        <v>0.46761568897299144</v>
      </c>
      <c r="O473" s="416" t="str">
        <f t="shared" si="135"/>
        <v>Yes</v>
      </c>
      <c r="P473" s="417">
        <f t="shared" si="137"/>
        <v>1</v>
      </c>
      <c r="Q473" s="415">
        <f>SUM($P$4:P473)/COUNT($P$4:P473)</f>
        <v>0.53404255319148941</v>
      </c>
      <c r="W473" s="417">
        <f t="shared" si="138"/>
        <v>0</v>
      </c>
      <c r="X473" s="415" t="e">
        <f>SUM($W$4:W473)/COUNT($W$4:W473)</f>
        <v>#DIV/0!</v>
      </c>
    </row>
    <row r="474" spans="1:24">
      <c r="A474" s="403">
        <f t="shared" si="136"/>
        <v>472</v>
      </c>
      <c r="B474" s="422">
        <f t="shared" si="140"/>
        <v>41130</v>
      </c>
      <c r="D474" s="411">
        <v>39415.94</v>
      </c>
      <c r="E474" s="408">
        <v>39415.94</v>
      </c>
      <c r="F474" s="408">
        <f t="shared" si="142"/>
        <v>1062.6800000000003</v>
      </c>
      <c r="G474" s="409">
        <f t="shared" si="132"/>
        <v>2.7707683779683911E-2</v>
      </c>
      <c r="H474" s="408">
        <f t="shared" si="129"/>
        <v>16560.090000000004</v>
      </c>
      <c r="I474" s="409">
        <f t="shared" si="130"/>
        <v>0.7245449195720135</v>
      </c>
      <c r="L474" s="382">
        <v>1402.8</v>
      </c>
      <c r="M474" s="415">
        <f t="shared" si="144"/>
        <v>2.7692307692307683E-2</v>
      </c>
      <c r="N474" s="415">
        <f t="shared" si="134"/>
        <v>0.50825735420608975</v>
      </c>
      <c r="O474" s="416" t="str">
        <f t="shared" si="135"/>
        <v>Yes</v>
      </c>
      <c r="P474" s="417">
        <f t="shared" si="137"/>
        <v>1</v>
      </c>
      <c r="Q474" s="415">
        <f>SUM($P$4:P474)/COUNT($P$4:P474)</f>
        <v>0.53503184713375795</v>
      </c>
      <c r="W474" s="417">
        <f t="shared" si="138"/>
        <v>0</v>
      </c>
      <c r="X474" s="415" t="e">
        <f>SUM($W$4:W474)/COUNT($W$4:W474)</f>
        <v>#DIV/0!</v>
      </c>
    </row>
    <row r="475" spans="1:24">
      <c r="A475" s="403">
        <f t="shared" si="136"/>
        <v>473</v>
      </c>
      <c r="B475" s="422">
        <f t="shared" si="140"/>
        <v>41137</v>
      </c>
      <c r="D475" s="411">
        <v>39842.959999999999</v>
      </c>
      <c r="E475" s="408">
        <v>39842.959999999999</v>
      </c>
      <c r="F475" s="408">
        <f t="shared" si="142"/>
        <v>427.0199999999968</v>
      </c>
      <c r="G475" s="409">
        <f t="shared" si="132"/>
        <v>1.0833688096744565E-2</v>
      </c>
      <c r="H475" s="408">
        <f t="shared" si="129"/>
        <v>16987.11</v>
      </c>
      <c r="I475" s="409">
        <f t="shared" si="130"/>
        <v>0.74322810133948214</v>
      </c>
      <c r="L475" s="382">
        <v>1415.84</v>
      </c>
      <c r="M475" s="415">
        <f t="shared" si="144"/>
        <v>9.2956943256343738E-3</v>
      </c>
      <c r="N475" s="415">
        <f t="shared" si="134"/>
        <v>0.52227765353517963</v>
      </c>
      <c r="O475" s="416" t="str">
        <f t="shared" si="135"/>
        <v>Yes</v>
      </c>
      <c r="P475" s="417">
        <f t="shared" si="137"/>
        <v>1</v>
      </c>
      <c r="Q475" s="415">
        <f>SUM($P$4:P475)/COUNT($P$4:P475)</f>
        <v>0.53601694915254239</v>
      </c>
      <c r="W475" s="417">
        <f t="shared" si="138"/>
        <v>0</v>
      </c>
      <c r="X475" s="415" t="e">
        <f>SUM($W$4:W475)/COUNT($W$4:W475)</f>
        <v>#DIV/0!</v>
      </c>
    </row>
    <row r="476" spans="1:24">
      <c r="A476" s="403">
        <f t="shared" si="136"/>
        <v>474</v>
      </c>
      <c r="B476" s="422">
        <f t="shared" si="140"/>
        <v>41144</v>
      </c>
      <c r="D476" s="411">
        <v>39588.76</v>
      </c>
      <c r="E476" s="408">
        <v>39588.76</v>
      </c>
      <c r="F476" s="408">
        <f t="shared" si="142"/>
        <v>-254.19999999999709</v>
      </c>
      <c r="G476" s="409">
        <f t="shared" si="132"/>
        <v>-6.3800480687177252E-3</v>
      </c>
      <c r="H476" s="408">
        <f t="shared" si="129"/>
        <v>16732.910000000003</v>
      </c>
      <c r="I476" s="409">
        <f t="shared" si="130"/>
        <v>0.73210622225819666</v>
      </c>
      <c r="L476" s="382">
        <v>1402.08</v>
      </c>
      <c r="M476" s="415">
        <f t="shared" si="144"/>
        <v>-9.7186122725732016E-3</v>
      </c>
      <c r="N476" s="415">
        <f t="shared" si="134"/>
        <v>0.50748322724926864</v>
      </c>
      <c r="O476" s="416" t="str">
        <f t="shared" si="135"/>
        <v>Yes</v>
      </c>
      <c r="P476" s="417">
        <f t="shared" si="137"/>
        <v>1</v>
      </c>
      <c r="Q476" s="415">
        <f>SUM($P$4:P476)/COUNT($P$4:P476)</f>
        <v>0.53699788583509511</v>
      </c>
      <c r="W476" s="417">
        <f t="shared" si="138"/>
        <v>0</v>
      </c>
      <c r="X476" s="415" t="e">
        <f>SUM($W$4:W476)/COUNT($W$4:W476)</f>
        <v>#DIV/0!</v>
      </c>
    </row>
    <row r="477" spans="1:24">
      <c r="A477" s="403">
        <f t="shared" si="136"/>
        <v>475</v>
      </c>
      <c r="B477" s="422">
        <f t="shared" si="140"/>
        <v>41151</v>
      </c>
      <c r="D477" s="411">
        <v>39623.96</v>
      </c>
      <c r="E477" s="408">
        <v>39623.96</v>
      </c>
      <c r="F477" s="408">
        <f t="shared" si="142"/>
        <v>35.19999999999709</v>
      </c>
      <c r="G477" s="409">
        <f t="shared" si="132"/>
        <v>8.8914126130745785E-4</v>
      </c>
      <c r="H477" s="408">
        <f t="shared" si="129"/>
        <v>16768.11</v>
      </c>
      <c r="I477" s="409">
        <f t="shared" si="130"/>
        <v>0.73364630936937369</v>
      </c>
      <c r="L477" s="382">
        <v>1400.07</v>
      </c>
      <c r="M477" s="415">
        <f t="shared" si="144"/>
        <v>-1.4335843889079491E-3</v>
      </c>
      <c r="N477" s="415">
        <f t="shared" si="134"/>
        <v>0.5053221228281437</v>
      </c>
      <c r="O477" s="416" t="str">
        <f t="shared" si="135"/>
        <v>Yes</v>
      </c>
      <c r="P477" s="417">
        <f t="shared" si="137"/>
        <v>1</v>
      </c>
      <c r="Q477" s="415">
        <f>SUM($P$4:P477)/COUNT($P$4:P477)</f>
        <v>0.53797468354430378</v>
      </c>
      <c r="S477" s="382">
        <v>13000.71</v>
      </c>
      <c r="W477" s="417">
        <f t="shared" si="138"/>
        <v>0</v>
      </c>
      <c r="X477" s="415" t="e">
        <f>SUM($W$4:W477)/COUNT($W$4:W477)</f>
        <v>#DIV/0!</v>
      </c>
    </row>
    <row r="478" spans="1:24">
      <c r="A478" s="403">
        <f t="shared" si="136"/>
        <v>476</v>
      </c>
      <c r="B478" s="422">
        <f t="shared" si="140"/>
        <v>41158</v>
      </c>
      <c r="D478" s="411">
        <v>40381.870000000003</v>
      </c>
      <c r="E478" s="408">
        <v>40381.870000000003</v>
      </c>
      <c r="F478" s="408">
        <f t="shared" si="142"/>
        <v>757.91000000000349</v>
      </c>
      <c r="G478" s="409">
        <f t="shared" si="132"/>
        <v>1.9127568269299733E-2</v>
      </c>
      <c r="H478" s="408">
        <f t="shared" si="129"/>
        <v>17526.020000000004</v>
      </c>
      <c r="I478" s="409">
        <f t="shared" si="130"/>
        <v>0.76680674750665601</v>
      </c>
      <c r="L478" s="382">
        <v>1432.12</v>
      </c>
      <c r="M478" s="415">
        <f t="shared" si="144"/>
        <v>2.2891712557229216E-2</v>
      </c>
      <c r="N478" s="415">
        <f t="shared" si="134"/>
        <v>0.53978152416996372</v>
      </c>
      <c r="O478" s="416" t="str">
        <f t="shared" si="135"/>
        <v>No</v>
      </c>
      <c r="P478" s="417">
        <f t="shared" si="137"/>
        <v>0</v>
      </c>
      <c r="Q478" s="415">
        <f>SUM($P$4:P478)/COUNT($P$4:P478)</f>
        <v>0.5368421052631579</v>
      </c>
      <c r="S478" s="382">
        <v>13292</v>
      </c>
      <c r="T478" s="415">
        <f>(S478/S477)-1</f>
        <v>2.2405699381033983E-2</v>
      </c>
      <c r="U478" s="415">
        <f t="shared" ref="U478:U491" si="145">(S478/$S$3)-1</f>
        <v>0.54870040593381075</v>
      </c>
      <c r="V478" s="416" t="str">
        <f t="shared" ref="V478:V509" si="146">IF(G478&gt;T478,"Yes","No")</f>
        <v>No</v>
      </c>
      <c r="W478" s="417">
        <f t="shared" si="138"/>
        <v>0</v>
      </c>
      <c r="X478" s="415">
        <f>SUM($W$478:W478)/COUNT($W$478:W478)</f>
        <v>0</v>
      </c>
    </row>
    <row r="479" spans="1:24">
      <c r="A479" s="403">
        <f t="shared" si="136"/>
        <v>477</v>
      </c>
      <c r="B479" s="422">
        <f t="shared" si="140"/>
        <v>41165</v>
      </c>
      <c r="D479" s="411">
        <v>41104.82</v>
      </c>
      <c r="E479" s="408">
        <v>41104.82</v>
      </c>
      <c r="F479" s="408">
        <f t="shared" si="142"/>
        <v>722.94999999999709</v>
      </c>
      <c r="G479" s="409">
        <f t="shared" si="132"/>
        <v>1.7902836099467301E-2</v>
      </c>
      <c r="H479" s="408">
        <f t="shared" si="129"/>
        <v>18248.97</v>
      </c>
      <c r="I479" s="409">
        <f t="shared" si="130"/>
        <v>0.79843759912670076</v>
      </c>
      <c r="L479" s="382">
        <v>1459.99</v>
      </c>
      <c r="M479" s="415">
        <f t="shared" si="144"/>
        <v>1.9460659721252549E-2</v>
      </c>
      <c r="N479" s="415">
        <f t="shared" si="134"/>
        <v>0.5697466884569069</v>
      </c>
      <c r="O479" s="416" t="str">
        <f t="shared" si="135"/>
        <v>No</v>
      </c>
      <c r="P479" s="417">
        <f t="shared" si="137"/>
        <v>0</v>
      </c>
      <c r="Q479" s="415">
        <f>SUM($P$4:P479)/COUNT($P$4:P479)</f>
        <v>0.5357142857142857</v>
      </c>
      <c r="S479" s="382">
        <v>13529.86</v>
      </c>
      <c r="T479" s="415">
        <f t="shared" ref="T479:T491" si="147">(S479/S478)-1</f>
        <v>1.7894974420704202E-2</v>
      </c>
      <c r="U479" s="415">
        <f t="shared" si="145"/>
        <v>0.57641436008333069</v>
      </c>
      <c r="V479" s="416" t="str">
        <f t="shared" si="146"/>
        <v>Yes</v>
      </c>
      <c r="W479" s="417">
        <f t="shared" si="138"/>
        <v>1</v>
      </c>
      <c r="X479" s="415">
        <f>SUM($W$478:W479)/COUNT($W$478:W479)</f>
        <v>0.5</v>
      </c>
    </row>
    <row r="480" spans="1:24">
      <c r="A480" s="403">
        <f t="shared" si="136"/>
        <v>478</v>
      </c>
      <c r="B480" s="422">
        <f t="shared" si="140"/>
        <v>41172</v>
      </c>
      <c r="D480" s="411">
        <v>41012.585077953358</v>
      </c>
      <c r="E480" s="408">
        <v>41012.585077953358</v>
      </c>
      <c r="F480" s="408">
        <f t="shared" si="142"/>
        <v>-92.234922046642168</v>
      </c>
      <c r="G480" s="409">
        <f t="shared" si="132"/>
        <v>-2.2438955345539524E-3</v>
      </c>
      <c r="H480" s="408">
        <f t="shared" si="129"/>
        <v>18156.735077953359</v>
      </c>
      <c r="I480" s="409">
        <f t="shared" si="130"/>
        <v>0.79440209302884646</v>
      </c>
      <c r="L480" s="382">
        <v>1460.26</v>
      </c>
      <c r="M480" s="415">
        <f t="shared" si="144"/>
        <v>1.8493277351216975E-4</v>
      </c>
      <c r="N480" s="415">
        <f t="shared" si="134"/>
        <v>0.57003698606571462</v>
      </c>
      <c r="O480" s="416" t="str">
        <f t="shared" si="135"/>
        <v>No</v>
      </c>
      <c r="P480" s="417">
        <f t="shared" si="137"/>
        <v>0</v>
      </c>
      <c r="Q480" s="415">
        <f>SUM($P$4:P480)/COUNT($P$4:P480)</f>
        <v>0.53459119496855345</v>
      </c>
      <c r="S480" s="382">
        <v>13596.93</v>
      </c>
      <c r="T480" s="415">
        <f t="shared" si="147"/>
        <v>4.9571835924391294E-3</v>
      </c>
      <c r="U480" s="415">
        <f t="shared" si="145"/>
        <v>0.58422893548402133</v>
      </c>
      <c r="V480" s="416" t="str">
        <f t="shared" si="146"/>
        <v>No</v>
      </c>
      <c r="W480" s="417">
        <f t="shared" si="138"/>
        <v>0</v>
      </c>
      <c r="X480" s="415">
        <f>SUM($W$478:W480)/COUNT($W$478:W480)</f>
        <v>0.33333333333333331</v>
      </c>
    </row>
    <row r="481" spans="1:24">
      <c r="A481" s="403">
        <f t="shared" si="136"/>
        <v>479</v>
      </c>
      <c r="B481" s="422">
        <f t="shared" si="140"/>
        <v>41179</v>
      </c>
      <c r="D481" s="411">
        <v>40547.910000000003</v>
      </c>
      <c r="E481" s="408">
        <f>D481</f>
        <v>40547.910000000003</v>
      </c>
      <c r="F481" s="408">
        <f t="shared" si="142"/>
        <v>-464.67507795335405</v>
      </c>
      <c r="G481" s="409">
        <f t="shared" si="132"/>
        <v>-1.1330060689179633E-2</v>
      </c>
      <c r="H481" s="408">
        <f t="shared" si="129"/>
        <v>17692.060000000005</v>
      </c>
      <c r="I481" s="409">
        <f t="shared" si="130"/>
        <v>0.77407140841403876</v>
      </c>
      <c r="L481" s="382">
        <v>1460.26</v>
      </c>
      <c r="M481" s="415">
        <f t="shared" si="144"/>
        <v>0</v>
      </c>
      <c r="N481" s="415">
        <f t="shared" si="134"/>
        <v>0.57003698606571462</v>
      </c>
      <c r="O481" s="416" t="str">
        <f t="shared" si="135"/>
        <v>No</v>
      </c>
      <c r="P481" s="417">
        <f t="shared" si="137"/>
        <v>0</v>
      </c>
      <c r="Q481" s="415">
        <f>SUM($P$4:P481)/COUNT($P$4:P481)</f>
        <v>0.53347280334728031</v>
      </c>
      <c r="S481" s="382">
        <v>13485.97</v>
      </c>
      <c r="T481" s="415">
        <f t="shared" si="147"/>
        <v>-8.1606656796792132E-3</v>
      </c>
      <c r="U481" s="415">
        <f t="shared" si="145"/>
        <v>0.57130057278146218</v>
      </c>
      <c r="V481" s="416" t="str">
        <f t="shared" si="146"/>
        <v>No</v>
      </c>
      <c r="W481" s="417">
        <f t="shared" si="138"/>
        <v>0</v>
      </c>
      <c r="X481" s="415">
        <f>SUM($W$478:W481)/COUNT($W$478:W481)</f>
        <v>0.25</v>
      </c>
    </row>
    <row r="482" spans="1:24">
      <c r="A482" s="403">
        <f t="shared" si="136"/>
        <v>480</v>
      </c>
      <c r="B482" s="422">
        <f t="shared" si="140"/>
        <v>41186</v>
      </c>
      <c r="D482" s="411">
        <v>41960.800000000003</v>
      </c>
      <c r="E482" s="408">
        <v>41960.800000000003</v>
      </c>
      <c r="F482" s="408">
        <f t="shared" si="142"/>
        <v>1412.8899999999994</v>
      </c>
      <c r="G482" s="409">
        <f t="shared" si="132"/>
        <v>3.4844952551191799E-2</v>
      </c>
      <c r="H482" s="408">
        <f t="shared" si="129"/>
        <v>19104.950000000004</v>
      </c>
      <c r="I482" s="409">
        <f t="shared" si="130"/>
        <v>0.83588884246265205</v>
      </c>
      <c r="L482" s="382">
        <v>1461.4</v>
      </c>
      <c r="M482" s="415">
        <f t="shared" si="144"/>
        <v>7.8068289208776953E-4</v>
      </c>
      <c r="N482" s="415">
        <f t="shared" si="134"/>
        <v>0.57126268708068118</v>
      </c>
      <c r="O482" s="416" t="str">
        <f t="shared" si="135"/>
        <v>Yes</v>
      </c>
      <c r="P482" s="417">
        <f t="shared" si="137"/>
        <v>1</v>
      </c>
      <c r="Q482" s="415">
        <f>SUM($P$4:P482)/COUNT($P$4:P482)</f>
        <v>0.53444676409185798</v>
      </c>
      <c r="S482" s="382">
        <v>13575.36</v>
      </c>
      <c r="T482" s="415">
        <f t="shared" si="147"/>
        <v>6.628370076457335E-3</v>
      </c>
      <c r="U482" s="415">
        <f t="shared" si="145"/>
        <v>0.58171573447920699</v>
      </c>
      <c r="V482" s="416" t="str">
        <f t="shared" si="146"/>
        <v>Yes</v>
      </c>
      <c r="W482" s="417">
        <f t="shared" si="138"/>
        <v>1</v>
      </c>
      <c r="X482" s="415">
        <f>SUM($W$478:W482)/COUNT($W$478:W482)</f>
        <v>0.4</v>
      </c>
    </row>
    <row r="483" spans="1:24">
      <c r="A483" s="403">
        <f t="shared" si="136"/>
        <v>481</v>
      </c>
      <c r="B483" s="422">
        <f t="shared" si="140"/>
        <v>41193</v>
      </c>
      <c r="D483" s="411">
        <v>41235.269999999997</v>
      </c>
      <c r="E483" s="408">
        <v>41235.269999999997</v>
      </c>
      <c r="F483" s="408">
        <f t="shared" si="142"/>
        <v>-725.53000000000611</v>
      </c>
      <c r="G483" s="409">
        <f t="shared" si="132"/>
        <v>-1.7290661760500425E-2</v>
      </c>
      <c r="H483" s="408">
        <f t="shared" si="129"/>
        <v>18379.419999999998</v>
      </c>
      <c r="I483" s="409">
        <f t="shared" si="130"/>
        <v>0.80414510945775364</v>
      </c>
      <c r="L483" s="382">
        <v>1432.84</v>
      </c>
      <c r="M483" s="415">
        <f t="shared" si="144"/>
        <v>-1.954290406459569E-2</v>
      </c>
      <c r="N483" s="415">
        <f t="shared" si="134"/>
        <v>0.54055565112678461</v>
      </c>
      <c r="O483" s="416" t="str">
        <f t="shared" si="135"/>
        <v>Yes</v>
      </c>
      <c r="P483" s="417">
        <f t="shared" si="137"/>
        <v>1</v>
      </c>
      <c r="Q483" s="415">
        <f>SUM($P$4:P483)/COUNT($P$4:P483)</f>
        <v>0.53541666666666665</v>
      </c>
      <c r="S483" s="382">
        <v>13326.39</v>
      </c>
      <c r="T483" s="415">
        <f t="shared" si="147"/>
        <v>-1.8339845131178922E-2</v>
      </c>
      <c r="U483" s="415">
        <f t="shared" si="145"/>
        <v>0.55270731286730945</v>
      </c>
      <c r="V483" s="416" t="str">
        <f t="shared" si="146"/>
        <v>Yes</v>
      </c>
      <c r="W483" s="417">
        <f t="shared" si="138"/>
        <v>1</v>
      </c>
      <c r="X483" s="415">
        <f>SUM($W$478:W483)/COUNT($W$478:W483)</f>
        <v>0.5</v>
      </c>
    </row>
    <row r="484" spans="1:24">
      <c r="A484" s="403">
        <f t="shared" si="136"/>
        <v>482</v>
      </c>
      <c r="B484" s="422">
        <f t="shared" si="140"/>
        <v>41200</v>
      </c>
      <c r="D484" s="411">
        <v>40700.233639999999</v>
      </c>
      <c r="E484" s="408">
        <v>40700.233639999999</v>
      </c>
      <c r="F484" s="408">
        <f t="shared" si="142"/>
        <v>-535.03635999999824</v>
      </c>
      <c r="G484" s="409">
        <f t="shared" si="132"/>
        <v>-1.2975211754403415E-2</v>
      </c>
      <c r="H484" s="408">
        <f t="shared" si="129"/>
        <v>17844.38364</v>
      </c>
      <c r="I484" s="409">
        <f t="shared" si="130"/>
        <v>0.78073594462686802</v>
      </c>
      <c r="L484" s="382">
        <v>1457.34</v>
      </c>
      <c r="M484" s="415">
        <f t="shared" si="144"/>
        <v>1.709890846151696E-2</v>
      </c>
      <c r="N484" s="415">
        <f t="shared" si="134"/>
        <v>0.56689747118527434</v>
      </c>
      <c r="O484" s="416" t="str">
        <f t="shared" si="135"/>
        <v>No</v>
      </c>
      <c r="P484" s="417">
        <f t="shared" si="137"/>
        <v>0</v>
      </c>
      <c r="Q484" s="415">
        <f>SUM($P$4:P484)/COUNT($P$4:P484)</f>
        <v>0.53430353430353428</v>
      </c>
      <c r="S484" s="382">
        <v>13548.94</v>
      </c>
      <c r="T484" s="415">
        <f t="shared" si="147"/>
        <v>1.6699946497138463E-2</v>
      </c>
      <c r="U484" s="415">
        <f t="shared" si="145"/>
        <v>0.578637441917909</v>
      </c>
      <c r="V484" s="416" t="str">
        <f t="shared" si="146"/>
        <v>No</v>
      </c>
      <c r="W484" s="417">
        <f t="shared" si="138"/>
        <v>0</v>
      </c>
      <c r="X484" s="415">
        <f>SUM($W$478:W484)/COUNT($W$478:W484)</f>
        <v>0.42857142857142855</v>
      </c>
    </row>
    <row r="485" spans="1:24">
      <c r="A485" s="403">
        <f t="shared" si="136"/>
        <v>483</v>
      </c>
      <c r="B485" s="422">
        <f t="shared" si="140"/>
        <v>41207</v>
      </c>
      <c r="D485" s="411">
        <v>40165.19728</v>
      </c>
      <c r="E485" s="408">
        <v>40165.19728</v>
      </c>
      <c r="F485" s="408">
        <f t="shared" si="142"/>
        <v>-535.03635999999824</v>
      </c>
      <c r="G485" s="409">
        <f t="shared" si="132"/>
        <v>-1.314578104716746E-2</v>
      </c>
      <c r="H485" s="408">
        <f t="shared" si="129"/>
        <v>17309.347280000002</v>
      </c>
      <c r="I485" s="409">
        <f t="shared" si="130"/>
        <v>0.7573267797959824</v>
      </c>
      <c r="L485" s="382">
        <v>1412.97</v>
      </c>
      <c r="M485" s="415">
        <f t="shared" si="144"/>
        <v>-3.0445880851414198E-2</v>
      </c>
      <c r="N485" s="415">
        <f t="shared" si="134"/>
        <v>0.51919189747118533</v>
      </c>
      <c r="O485" s="416" t="str">
        <f t="shared" si="135"/>
        <v>Yes</v>
      </c>
      <c r="P485" s="417">
        <f t="shared" si="137"/>
        <v>1</v>
      </c>
      <c r="Q485" s="415">
        <f>SUM($P$4:P485)/COUNT($P$4:P485)</f>
        <v>0.53526970954356845</v>
      </c>
      <c r="S485" s="382">
        <v>13103.68</v>
      </c>
      <c r="T485" s="415">
        <f t="shared" si="147"/>
        <v>-3.2863087444479078E-2</v>
      </c>
      <c r="U485" s="415">
        <f t="shared" si="145"/>
        <v>0.52675854162103208</v>
      </c>
      <c r="V485" s="416" t="str">
        <f t="shared" si="146"/>
        <v>Yes</v>
      </c>
      <c r="W485" s="417">
        <f t="shared" si="138"/>
        <v>1</v>
      </c>
      <c r="X485" s="415">
        <f>SUM($W$478:W485)/COUNT($W$478:W485)</f>
        <v>0.5</v>
      </c>
    </row>
    <row r="486" spans="1:24">
      <c r="A486" s="403">
        <f t="shared" si="136"/>
        <v>484</v>
      </c>
      <c r="B486" s="422">
        <f t="shared" si="140"/>
        <v>41214</v>
      </c>
      <c r="D486" s="411">
        <v>40718.718090000002</v>
      </c>
      <c r="E486" s="408">
        <v>40718.718090000002</v>
      </c>
      <c r="F486" s="408">
        <f t="shared" si="142"/>
        <v>553.5208100000018</v>
      </c>
      <c r="G486" s="409">
        <f t="shared" si="132"/>
        <v>1.3781105222546053E-2</v>
      </c>
      <c r="H486" s="408">
        <f t="shared" si="129"/>
        <v>17862.868090000004</v>
      </c>
      <c r="I486" s="409">
        <f t="shared" si="130"/>
        <v>0.78154468505874886</v>
      </c>
      <c r="L486" s="382">
        <v>1427.59</v>
      </c>
      <c r="M486" s="415">
        <f t="shared" si="144"/>
        <v>1.0346999582439675E-2</v>
      </c>
      <c r="N486" s="415">
        <f t="shared" si="134"/>
        <v>0.53491097539996546</v>
      </c>
      <c r="O486" s="416" t="str">
        <f t="shared" si="135"/>
        <v>Yes</v>
      </c>
      <c r="P486" s="417">
        <f t="shared" si="137"/>
        <v>1</v>
      </c>
      <c r="Q486" s="415">
        <f>SUM($P$4:P486)/COUNT($P$4:P486)</f>
        <v>0.53623188405797106</v>
      </c>
      <c r="S486" s="382">
        <v>13232.62</v>
      </c>
      <c r="T486" s="415">
        <f t="shared" si="147"/>
        <v>9.8399838823903796E-3</v>
      </c>
      <c r="U486" s="415">
        <f t="shared" si="145"/>
        <v>0.54178182106288486</v>
      </c>
      <c r="V486" s="416" t="str">
        <f t="shared" si="146"/>
        <v>Yes</v>
      </c>
      <c r="W486" s="417">
        <f t="shared" si="138"/>
        <v>1</v>
      </c>
      <c r="X486" s="415">
        <f>SUM($W$478:W486)/COUNT($W$478:W486)</f>
        <v>0.55555555555555558</v>
      </c>
    </row>
    <row r="487" spans="1:24">
      <c r="A487" s="403">
        <f t="shared" si="136"/>
        <v>485</v>
      </c>
      <c r="B487" s="422">
        <f t="shared" si="140"/>
        <v>41221</v>
      </c>
      <c r="D487" s="411">
        <v>40056.262699999999</v>
      </c>
      <c r="E487" s="408">
        <v>40056.262699999999</v>
      </c>
      <c r="F487" s="408">
        <f t="shared" si="142"/>
        <v>-662.45539000000281</v>
      </c>
      <c r="G487" s="409">
        <f t="shared" si="132"/>
        <v>-1.6269063002813278E-2</v>
      </c>
      <c r="H487" s="408">
        <f t="shared" si="129"/>
        <v>17200.412700000001</v>
      </c>
      <c r="I487" s="409">
        <f t="shared" si="130"/>
        <v>0.75256062233520082</v>
      </c>
      <c r="L487" s="382">
        <v>1377.51</v>
      </c>
      <c r="M487" s="415">
        <f t="shared" si="144"/>
        <v>-3.5080100028719641E-2</v>
      </c>
      <c r="N487" s="415">
        <f t="shared" si="134"/>
        <v>0.4810661448477549</v>
      </c>
      <c r="O487" s="416" t="str">
        <f t="shared" si="135"/>
        <v>Yes</v>
      </c>
      <c r="P487" s="417">
        <f t="shared" si="137"/>
        <v>1</v>
      </c>
      <c r="Q487" s="415">
        <f>SUM($P$4:P487)/COUNT($P$4:P487)</f>
        <v>0.53719008264462809</v>
      </c>
      <c r="S487" s="382">
        <v>12811.32</v>
      </c>
      <c r="T487" s="415">
        <f t="shared" si="147"/>
        <v>-3.1837988244202697E-2</v>
      </c>
      <c r="U487" s="415">
        <f t="shared" si="145"/>
        <v>0.49269458956875933</v>
      </c>
      <c r="V487" s="416" t="str">
        <f t="shared" si="146"/>
        <v>Yes</v>
      </c>
      <c r="W487" s="417">
        <f t="shared" si="138"/>
        <v>1</v>
      </c>
      <c r="X487" s="415">
        <f>SUM($W$478:W487)/COUNT($W$478:W487)</f>
        <v>0.6</v>
      </c>
    </row>
    <row r="488" spans="1:24">
      <c r="A488" s="403">
        <f t="shared" si="136"/>
        <v>486</v>
      </c>
      <c r="B488" s="422">
        <f t="shared" si="140"/>
        <v>41228</v>
      </c>
      <c r="D488" s="411">
        <v>39654.838309999999</v>
      </c>
      <c r="E488" s="408">
        <v>39654.838309999999</v>
      </c>
      <c r="F488" s="408">
        <f t="shared" si="142"/>
        <v>-401.42439000000013</v>
      </c>
      <c r="G488" s="409">
        <f t="shared" si="132"/>
        <v>-1.0021513814367888E-2</v>
      </c>
      <c r="H488" s="408">
        <f t="shared" si="129"/>
        <v>16798.988310000001</v>
      </c>
      <c r="I488" s="409">
        <f t="shared" si="130"/>
        <v>0.73499731184795158</v>
      </c>
      <c r="L488" s="382">
        <v>1353.33</v>
      </c>
      <c r="M488" s="415">
        <f t="shared" si="144"/>
        <v>-1.7553411590478518E-2</v>
      </c>
      <c r="N488" s="415">
        <f t="shared" si="134"/>
        <v>0.45506838121451909</v>
      </c>
      <c r="O488" s="416" t="str">
        <f t="shared" si="135"/>
        <v>Yes</v>
      </c>
      <c r="P488" s="417">
        <f t="shared" ref="P488" si="148">IF(O488="Yes",1,0)</f>
        <v>1</v>
      </c>
      <c r="Q488" s="415">
        <f>SUM($P$4:P488)/COUNT($P$4:P488)</f>
        <v>0.53814432989690719</v>
      </c>
      <c r="S488" s="382">
        <v>12542.38</v>
      </c>
      <c r="T488" s="415">
        <f t="shared" si="147"/>
        <v>-2.0992372370684742E-2</v>
      </c>
      <c r="U488" s="415">
        <f t="shared" si="145"/>
        <v>0.46135938890882544</v>
      </c>
      <c r="V488" s="416" t="str">
        <f t="shared" si="146"/>
        <v>Yes</v>
      </c>
      <c r="W488" s="417">
        <f t="shared" si="138"/>
        <v>1</v>
      </c>
      <c r="X488" s="415">
        <f>SUM($W$478:W488)/COUNT($W$478:W488)</f>
        <v>0.63636363636363635</v>
      </c>
    </row>
    <row r="489" spans="1:24">
      <c r="A489" s="403">
        <f t="shared" si="136"/>
        <v>487</v>
      </c>
      <c r="B489" s="422">
        <f t="shared" si="140"/>
        <v>41235</v>
      </c>
      <c r="D489" s="411">
        <v>40815.434999999998</v>
      </c>
      <c r="E489" s="408">
        <v>40815.434999999998</v>
      </c>
      <c r="F489" s="408">
        <f t="shared" si="142"/>
        <v>1160.5966899999985</v>
      </c>
      <c r="G489" s="409">
        <f t="shared" si="132"/>
        <v>2.9267467463291119E-2</v>
      </c>
      <c r="H489" s="408">
        <f t="shared" ref="H489:H533" si="149">E489-$D$3</f>
        <v>17959.584999999999</v>
      </c>
      <c r="I489" s="409">
        <f t="shared" ref="I489:I533" si="150">(E489/$D$3)-1</f>
        <v>0.78577628922135911</v>
      </c>
      <c r="L489" s="382">
        <v>1391.03</v>
      </c>
      <c r="M489" s="415">
        <f t="shared" si="144"/>
        <v>2.7857211470964316E-2</v>
      </c>
      <c r="N489" s="415">
        <f t="shared" si="134"/>
        <v>0.49560252881472544</v>
      </c>
      <c r="O489" s="416" t="str">
        <f t="shared" si="135"/>
        <v>Yes</v>
      </c>
      <c r="P489" s="417">
        <f t="shared" ref="P489:P490" si="151">IF(O489="Yes",1,0)</f>
        <v>1</v>
      </c>
      <c r="Q489" s="415">
        <f>SUM($P$4:P489)/COUNT($P$4:P489)</f>
        <v>0.53909465020576131</v>
      </c>
      <c r="S489" s="382">
        <v>12836.89</v>
      </c>
      <c r="T489" s="415">
        <f t="shared" si="147"/>
        <v>2.3481189375541112E-2</v>
      </c>
      <c r="U489" s="415">
        <f t="shared" si="145"/>
        <v>0.49567384546551874</v>
      </c>
      <c r="V489" s="416" t="str">
        <f t="shared" si="146"/>
        <v>Yes</v>
      </c>
      <c r="W489" s="417">
        <f t="shared" ref="W489:W490" si="152">IF(V489="Yes",1,0)</f>
        <v>1</v>
      </c>
      <c r="X489" s="415">
        <f>SUM($W$478:W489)/COUNT($W$478:W489)</f>
        <v>0.66666666666666663</v>
      </c>
    </row>
    <row r="490" spans="1:24">
      <c r="A490" s="403">
        <f t="shared" si="136"/>
        <v>488</v>
      </c>
      <c r="B490" s="422">
        <f t="shared" si="140"/>
        <v>41242</v>
      </c>
      <c r="D490" s="411">
        <v>41576.026640000004</v>
      </c>
      <c r="E490" s="408">
        <v>41576.026640000004</v>
      </c>
      <c r="F490" s="408">
        <f t="shared" si="142"/>
        <v>760.59164000000601</v>
      </c>
      <c r="G490" s="409">
        <f t="shared" si="132"/>
        <v>1.86349022128518E-2</v>
      </c>
      <c r="H490" s="408">
        <f t="shared" si="149"/>
        <v>18720.176640000005</v>
      </c>
      <c r="I490" s="409">
        <f t="shared" si="150"/>
        <v>0.81905405574502832</v>
      </c>
      <c r="L490" s="382">
        <v>1415.95</v>
      </c>
      <c r="M490" s="415">
        <f t="shared" si="144"/>
        <v>1.7914782571188281E-2</v>
      </c>
      <c r="N490" s="415">
        <f t="shared" si="134"/>
        <v>0.52239592293136083</v>
      </c>
      <c r="O490" s="416" t="str">
        <f t="shared" si="135"/>
        <v>Yes</v>
      </c>
      <c r="P490" s="417">
        <f t="shared" si="151"/>
        <v>1</v>
      </c>
      <c r="Q490" s="415">
        <f>SUM($P$4:P490)/COUNT($P$4:P490)</f>
        <v>0.54004106776180694</v>
      </c>
      <c r="S490" s="382">
        <v>13021.82</v>
      </c>
      <c r="T490" s="415">
        <f t="shared" si="147"/>
        <v>1.440613731207474E-2</v>
      </c>
      <c r="U490" s="415">
        <f t="shared" si="145"/>
        <v>0.51722072825737397</v>
      </c>
      <c r="V490" s="416" t="str">
        <f t="shared" si="146"/>
        <v>Yes</v>
      </c>
      <c r="W490" s="417">
        <f t="shared" si="152"/>
        <v>1</v>
      </c>
      <c r="X490" s="415">
        <f>SUM($W$478:W490)/COUNT($W$478:W490)</f>
        <v>0.69230769230769229</v>
      </c>
    </row>
    <row r="491" spans="1:24">
      <c r="A491" s="403">
        <f t="shared" si="136"/>
        <v>489</v>
      </c>
      <c r="B491" s="422">
        <f t="shared" si="140"/>
        <v>41249</v>
      </c>
      <c r="D491" s="411">
        <v>42184.788499999995</v>
      </c>
      <c r="E491" s="408">
        <v>42184.788499999995</v>
      </c>
      <c r="F491" s="408">
        <f t="shared" si="142"/>
        <v>608.76185999999143</v>
      </c>
      <c r="G491" s="409">
        <f t="shared" si="132"/>
        <v>1.4642136567574404E-2</v>
      </c>
      <c r="H491" s="408">
        <f t="shared" si="149"/>
        <v>19328.938499999997</v>
      </c>
      <c r="I491" s="409">
        <f t="shared" si="150"/>
        <v>0.84568889365304711</v>
      </c>
      <c r="L491" s="382">
        <v>1413.94</v>
      </c>
      <c r="M491" s="415">
        <f t="shared" si="144"/>
        <v>-1.4195416504819702E-3</v>
      </c>
      <c r="N491" s="415">
        <f t="shared" si="134"/>
        <v>0.52023481851023567</v>
      </c>
      <c r="O491" s="416" t="str">
        <f t="shared" si="135"/>
        <v>Yes</v>
      </c>
      <c r="P491" s="417">
        <f t="shared" ref="P491" si="153">IF(O491="Yes",1,0)</f>
        <v>1</v>
      </c>
      <c r="Q491" s="415">
        <f>SUM($P$4:P491)/COUNT($P$4:P491)</f>
        <v>0.54098360655737709</v>
      </c>
      <c r="S491" s="382">
        <v>13074.04</v>
      </c>
      <c r="T491" s="415">
        <f t="shared" si="147"/>
        <v>4.0101921236816995E-3</v>
      </c>
      <c r="U491" s="415">
        <f t="shared" si="145"/>
        <v>0.52330507487171851</v>
      </c>
      <c r="V491" s="416" t="str">
        <f t="shared" si="146"/>
        <v>Yes</v>
      </c>
      <c r="W491" s="417">
        <f t="shared" ref="W491:W520" si="154">IF(V491="Yes",1,0)</f>
        <v>1</v>
      </c>
      <c r="X491" s="415">
        <f>SUM($W$478:W491)/COUNT($W$478:W491)</f>
        <v>0.7142857142857143</v>
      </c>
    </row>
    <row r="492" spans="1:24">
      <c r="A492" s="403">
        <f t="shared" si="136"/>
        <v>490</v>
      </c>
      <c r="B492" s="422">
        <f t="shared" si="140"/>
        <v>41256</v>
      </c>
      <c r="D492" s="411">
        <v>42004.612049999996</v>
      </c>
      <c r="E492" s="408">
        <v>42004.612049999996</v>
      </c>
      <c r="F492" s="408">
        <f t="shared" si="142"/>
        <v>-180.17644999999902</v>
      </c>
      <c r="G492" s="409">
        <f t="shared" si="132"/>
        <v>-4.2711237013787207E-3</v>
      </c>
      <c r="H492" s="408">
        <f t="shared" si="149"/>
        <v>19148.762049999998</v>
      </c>
      <c r="I492" s="409">
        <f t="shared" si="150"/>
        <v>0.83780572807399412</v>
      </c>
      <c r="L492" s="382">
        <v>1419.45</v>
      </c>
      <c r="M492" s="415">
        <f t="shared" ref="M492:M495" si="155">(L492/L491)-1</f>
        <v>3.8969121744911739E-3</v>
      </c>
      <c r="N492" s="415">
        <f t="shared" ref="N492:N495" si="156">(L492/$L$3)-1</f>
        <v>0.52615904008257353</v>
      </c>
      <c r="O492" s="416" t="str">
        <f t="shared" si="135"/>
        <v>No</v>
      </c>
      <c r="P492" s="417">
        <f t="shared" ref="P492" si="157">IF(O492="Yes",1,0)</f>
        <v>0</v>
      </c>
      <c r="Q492" s="415">
        <f>SUM($P$4:P492)/COUNT($P$4:P492)</f>
        <v>0.53987730061349692</v>
      </c>
      <c r="S492" s="382">
        <v>13170.72</v>
      </c>
      <c r="T492" s="415">
        <f t="shared" ref="T492:T495" si="158">(S492/S491)-1</f>
        <v>7.3948068079949802E-3</v>
      </c>
      <c r="U492" s="415">
        <f t="shared" ref="U492:U495" si="159">(S492/$S$3)-1</f>
        <v>0.53456962161003307</v>
      </c>
      <c r="V492" s="416" t="str">
        <f t="shared" si="146"/>
        <v>No</v>
      </c>
      <c r="W492" s="417">
        <f t="shared" si="154"/>
        <v>0</v>
      </c>
      <c r="X492" s="415">
        <f>SUM($W$478:W492)/COUNT($W$478:W492)</f>
        <v>0.66666666666666663</v>
      </c>
    </row>
    <row r="493" spans="1:24">
      <c r="A493" s="403">
        <f t="shared" si="136"/>
        <v>491</v>
      </c>
      <c r="B493" s="422">
        <f t="shared" si="140"/>
        <v>41263</v>
      </c>
      <c r="D493" s="411">
        <v>42586.80442</v>
      </c>
      <c r="E493" s="408">
        <v>42586.80442</v>
      </c>
      <c r="F493" s="408">
        <f t="shared" si="142"/>
        <v>582.1923700000043</v>
      </c>
      <c r="G493" s="409">
        <f t="shared" si="132"/>
        <v>1.3860201096655533E-2</v>
      </c>
      <c r="H493" s="408">
        <f t="shared" si="149"/>
        <v>19730.954420000002</v>
      </c>
      <c r="I493" s="409">
        <f t="shared" si="150"/>
        <v>0.86327808504168524</v>
      </c>
      <c r="L493" s="382">
        <v>1443.69</v>
      </c>
      <c r="M493" s="415">
        <f t="shared" si="155"/>
        <v>1.7077036880481788E-2</v>
      </c>
      <c r="N493" s="415">
        <f t="shared" si="156"/>
        <v>0.55222131429554455</v>
      </c>
      <c r="O493" s="416" t="str">
        <f t="shared" si="135"/>
        <v>No</v>
      </c>
      <c r="P493" s="417">
        <f t="shared" ref="P493" si="160">IF(O493="Yes",1,0)</f>
        <v>0</v>
      </c>
      <c r="Q493" s="415">
        <f>SUM($P$4:P493)/COUNT($P$4:P493)</f>
        <v>0.53877551020408165</v>
      </c>
      <c r="S493" s="382">
        <v>13311.72</v>
      </c>
      <c r="T493" s="415">
        <f t="shared" si="158"/>
        <v>1.0705565071613465E-2</v>
      </c>
      <c r="U493" s="415">
        <f t="shared" si="159"/>
        <v>0.55099805655110057</v>
      </c>
      <c r="V493" s="416" t="str">
        <f t="shared" si="146"/>
        <v>Yes</v>
      </c>
      <c r="W493" s="417">
        <f t="shared" si="154"/>
        <v>1</v>
      </c>
      <c r="X493" s="415">
        <f>SUM($W$478:W493)/COUNT($W$478:W493)</f>
        <v>0.6875</v>
      </c>
    </row>
    <row r="494" spans="1:24">
      <c r="A494" s="403">
        <f t="shared" si="136"/>
        <v>492</v>
      </c>
      <c r="B494" s="422">
        <f t="shared" si="140"/>
        <v>41270</v>
      </c>
      <c r="D494" s="411">
        <v>42024.114944000001</v>
      </c>
      <c r="E494" s="408">
        <v>42024.114944000001</v>
      </c>
      <c r="F494" s="408">
        <f t="shared" si="142"/>
        <v>-562.68947599999956</v>
      </c>
      <c r="G494" s="409">
        <f t="shared" si="132"/>
        <v>-1.3212765871104981E-2</v>
      </c>
      <c r="H494" s="408">
        <f t="shared" si="149"/>
        <v>19168.264944000002</v>
      </c>
      <c r="I494" s="409">
        <f t="shared" si="150"/>
        <v>0.83865902795126868</v>
      </c>
      <c r="L494" s="382">
        <v>1418.1</v>
      </c>
      <c r="M494" s="415">
        <f t="shared" si="155"/>
        <v>-1.7725411965172633E-2</v>
      </c>
      <c r="N494" s="415">
        <f t="shared" si="156"/>
        <v>0.52470755203853425</v>
      </c>
      <c r="O494" s="416" t="str">
        <f t="shared" si="135"/>
        <v>Yes</v>
      </c>
      <c r="P494" s="417">
        <f t="shared" ref="P494" si="161">IF(O494="Yes",1,0)</f>
        <v>1</v>
      </c>
      <c r="Q494" s="415">
        <f>SUM($P$4:P494)/COUNT($P$4:P494)</f>
        <v>0.53971486761710796</v>
      </c>
      <c r="S494" s="382">
        <v>13096.31</v>
      </c>
      <c r="T494" s="415">
        <f t="shared" si="158"/>
        <v>-1.6181980991186729E-2</v>
      </c>
      <c r="U494" s="415">
        <f t="shared" si="159"/>
        <v>0.52589983548262298</v>
      </c>
      <c r="V494" s="416" t="str">
        <f t="shared" si="146"/>
        <v>Yes</v>
      </c>
      <c r="W494" s="417">
        <f t="shared" si="154"/>
        <v>1</v>
      </c>
      <c r="X494" s="415">
        <f>SUM($W$478:W494)/COUNT($W$478:W494)</f>
        <v>0.70588235294117652</v>
      </c>
    </row>
    <row r="495" spans="1:24">
      <c r="A495" s="403">
        <f t="shared" si="136"/>
        <v>493</v>
      </c>
      <c r="B495" s="422">
        <f t="shared" si="140"/>
        <v>41277</v>
      </c>
      <c r="D495" s="411">
        <v>43258.213370000005</v>
      </c>
      <c r="E495" s="408">
        <v>43258.213370000005</v>
      </c>
      <c r="F495" s="408">
        <f t="shared" ref="F495:F526" si="162">E495-E494</f>
        <v>1234.0984260000041</v>
      </c>
      <c r="G495" s="409">
        <f t="shared" ref="G495:G533" si="163">(E495/E494)-1</f>
        <v>2.9366434668392838E-2</v>
      </c>
      <c r="H495" s="408">
        <f t="shared" si="149"/>
        <v>20402.363370000006</v>
      </c>
      <c r="I495" s="409">
        <f t="shared" si="150"/>
        <v>0.89265388817305014</v>
      </c>
      <c r="L495" s="382">
        <v>1459.37</v>
      </c>
      <c r="M495" s="415">
        <f t="shared" si="155"/>
        <v>2.910232000564128E-2</v>
      </c>
      <c r="N495" s="415">
        <f t="shared" si="156"/>
        <v>0.56908007913297753</v>
      </c>
      <c r="O495" s="416" t="str">
        <f t="shared" si="135"/>
        <v>Yes</v>
      </c>
      <c r="P495" s="417">
        <f t="shared" ref="P495" si="164">IF(O495="Yes",1,0)</f>
        <v>1</v>
      </c>
      <c r="Q495" s="415">
        <f>SUM($P$4:P495)/COUNT($P$4:P495)</f>
        <v>0.54065040650406504</v>
      </c>
      <c r="S495" s="382">
        <v>13391.36</v>
      </c>
      <c r="T495" s="415">
        <f t="shared" si="158"/>
        <v>2.2529246787835744E-2</v>
      </c>
      <c r="U495" s="415">
        <f t="shared" si="159"/>
        <v>0.56027720944972903</v>
      </c>
      <c r="V495" s="416" t="str">
        <f t="shared" si="146"/>
        <v>Yes</v>
      </c>
      <c r="W495" s="417">
        <f t="shared" si="154"/>
        <v>1</v>
      </c>
      <c r="X495" s="415">
        <f>SUM($W$478:W495)/COUNT($W$478:W495)</f>
        <v>0.72222222222222221</v>
      </c>
    </row>
    <row r="496" spans="1:24">
      <c r="A496" s="403">
        <f t="shared" si="136"/>
        <v>494</v>
      </c>
      <c r="B496" s="422">
        <f t="shared" si="140"/>
        <v>41284</v>
      </c>
      <c r="D496" s="411">
        <v>43476.738859999998</v>
      </c>
      <c r="E496" s="408">
        <v>43476.738859999998</v>
      </c>
      <c r="F496" s="408">
        <f t="shared" si="162"/>
        <v>218.52548999999271</v>
      </c>
      <c r="G496" s="409">
        <f t="shared" si="163"/>
        <v>5.0516531538387088E-3</v>
      </c>
      <c r="H496" s="408">
        <f t="shared" si="149"/>
        <v>20620.888859999999</v>
      </c>
      <c r="I496" s="409">
        <f t="shared" si="150"/>
        <v>0.90221491915636487</v>
      </c>
      <c r="L496" s="382">
        <v>1472.12</v>
      </c>
      <c r="M496" s="415">
        <f t="shared" ref="M496:M498" si="165">(L496/L495)-1</f>
        <v>8.7366466351919136E-3</v>
      </c>
      <c r="N496" s="415">
        <f t="shared" ref="N496:N498" si="166">(L496/$L$3)-1</f>
        <v>0.58278857732668143</v>
      </c>
      <c r="O496" s="416" t="str">
        <f t="shared" si="135"/>
        <v>No</v>
      </c>
      <c r="P496" s="417">
        <f t="shared" ref="P496" si="167">IF(O496="Yes",1,0)</f>
        <v>0</v>
      </c>
      <c r="Q496" s="415">
        <f>SUM($P$4:P496)/COUNT($P$4:P496)</f>
        <v>0.53955375253549698</v>
      </c>
      <c r="S496" s="382">
        <v>13471.22</v>
      </c>
      <c r="T496" s="415">
        <f t="shared" ref="T496:T498" si="168">(S496/S495)-1</f>
        <v>5.9635466450007613E-3</v>
      </c>
      <c r="U496" s="415">
        <f t="shared" ref="U496:U498" si="169">(S496/$S$3)-1</f>
        <v>0.56958199536741416</v>
      </c>
      <c r="V496" s="416" t="str">
        <f t="shared" si="146"/>
        <v>No</v>
      </c>
      <c r="W496" s="417">
        <f t="shared" si="154"/>
        <v>0</v>
      </c>
      <c r="X496" s="415">
        <f>SUM($W$478:W496)/COUNT($W$478:W496)</f>
        <v>0.68421052631578949</v>
      </c>
    </row>
    <row r="497" spans="1:24">
      <c r="A497" s="403">
        <f t="shared" si="136"/>
        <v>495</v>
      </c>
      <c r="B497" s="422">
        <f t="shared" si="140"/>
        <v>41291</v>
      </c>
      <c r="D497" s="411">
        <v>44130.664919999996</v>
      </c>
      <c r="E497" s="408">
        <v>44130.664919999996</v>
      </c>
      <c r="F497" s="408">
        <f t="shared" si="162"/>
        <v>653.92605999999796</v>
      </c>
      <c r="G497" s="409">
        <f t="shared" si="163"/>
        <v>1.5040825902460586E-2</v>
      </c>
      <c r="H497" s="408">
        <f t="shared" si="149"/>
        <v>21274.814919999997</v>
      </c>
      <c r="I497" s="409">
        <f t="shared" si="150"/>
        <v>0.93082580258445868</v>
      </c>
      <c r="L497" s="382">
        <v>1480.94</v>
      </c>
      <c r="M497" s="415">
        <f t="shared" si="165"/>
        <v>5.9913594000489123E-3</v>
      </c>
      <c r="N497" s="415">
        <f t="shared" si="166"/>
        <v>0.59227163254773774</v>
      </c>
      <c r="O497" s="416" t="str">
        <f t="shared" si="135"/>
        <v>Yes</v>
      </c>
      <c r="P497" s="417">
        <f t="shared" ref="P497" si="170">IF(O497="Yes",1,0)</f>
        <v>1</v>
      </c>
      <c r="Q497" s="415">
        <f>SUM($P$4:P497)/COUNT($P$4:P497)</f>
        <v>0.54048582995951422</v>
      </c>
      <c r="S497" s="382">
        <v>13596.02</v>
      </c>
      <c r="T497" s="415">
        <f t="shared" si="168"/>
        <v>9.2641943342919308E-3</v>
      </c>
      <c r="U497" s="415">
        <f t="shared" si="169"/>
        <v>0.58412290799610367</v>
      </c>
      <c r="V497" s="416" t="str">
        <f t="shared" si="146"/>
        <v>Yes</v>
      </c>
      <c r="W497" s="417">
        <f t="shared" si="154"/>
        <v>1</v>
      </c>
      <c r="X497" s="415">
        <f>SUM($W$478:W497)/COUNT($W$478:W497)</f>
        <v>0.7</v>
      </c>
    </row>
    <row r="498" spans="1:24">
      <c r="A498" s="403">
        <f t="shared" si="136"/>
        <v>496</v>
      </c>
      <c r="B498" s="422">
        <f t="shared" si="140"/>
        <v>41298</v>
      </c>
      <c r="D498" s="411">
        <v>44948.84979</v>
      </c>
      <c r="E498" s="408">
        <v>44948.84979</v>
      </c>
      <c r="F498" s="408">
        <f t="shared" si="162"/>
        <v>818.18487000000459</v>
      </c>
      <c r="G498" s="409">
        <f t="shared" si="163"/>
        <v>1.8540053078357488E-2</v>
      </c>
      <c r="H498" s="408">
        <f t="shared" si="149"/>
        <v>22092.999790000002</v>
      </c>
      <c r="I498" s="409">
        <f t="shared" si="150"/>
        <v>0.96662341544943642</v>
      </c>
      <c r="L498" s="382">
        <v>1494.82</v>
      </c>
      <c r="M498" s="415">
        <f t="shared" si="165"/>
        <v>9.3724256215645951E-3</v>
      </c>
      <c r="N498" s="415">
        <f t="shared" si="166"/>
        <v>0.60719507999311872</v>
      </c>
      <c r="O498" s="416" t="str">
        <f t="shared" si="135"/>
        <v>Yes</v>
      </c>
      <c r="P498" s="417">
        <f t="shared" ref="P498" si="171">IF(O498="Yes",1,0)</f>
        <v>1</v>
      </c>
      <c r="Q498" s="415">
        <f>SUM($P$4:P498)/COUNT($P$4:P498)</f>
        <v>0.54141414141414146</v>
      </c>
      <c r="S498" s="382">
        <v>13825.33</v>
      </c>
      <c r="T498" s="415">
        <f t="shared" si="168"/>
        <v>1.6865965186870779E-2</v>
      </c>
      <c r="U498" s="415">
        <f t="shared" si="169"/>
        <v>0.61084066981409069</v>
      </c>
      <c r="V498" s="416" t="str">
        <f t="shared" si="146"/>
        <v>Yes</v>
      </c>
      <c r="W498" s="417">
        <f t="shared" si="154"/>
        <v>1</v>
      </c>
      <c r="X498" s="415">
        <f>SUM($W$478:W498)/COUNT($W$478:W498)</f>
        <v>0.7142857142857143</v>
      </c>
    </row>
    <row r="499" spans="1:24">
      <c r="A499" s="403">
        <f t="shared" si="136"/>
        <v>497</v>
      </c>
      <c r="B499" s="422">
        <f t="shared" si="140"/>
        <v>41305</v>
      </c>
      <c r="D499" s="411">
        <v>45140.510329999997</v>
      </c>
      <c r="E499" s="408">
        <v>45140.510329999997</v>
      </c>
      <c r="F499" s="408">
        <f t="shared" si="162"/>
        <v>191.66053999999713</v>
      </c>
      <c r="G499" s="409">
        <f t="shared" si="163"/>
        <v>4.2639698433981632E-3</v>
      </c>
      <c r="H499" s="408">
        <f t="shared" si="149"/>
        <v>22284.660329999999</v>
      </c>
      <c r="I499" s="409">
        <f t="shared" si="150"/>
        <v>0.97500903838623376</v>
      </c>
      <c r="L499" s="382">
        <v>1498.11</v>
      </c>
      <c r="M499" s="415">
        <f t="shared" ref="M499:M505" si="172">(L499/L498)-1</f>
        <v>2.2009338917059473E-3</v>
      </c>
      <c r="N499" s="415">
        <f t="shared" ref="N499:N505" si="173">(L499/$L$3)-1</f>
        <v>0.61073241011525869</v>
      </c>
      <c r="O499" s="416" t="str">
        <f t="shared" si="135"/>
        <v>Yes</v>
      </c>
      <c r="P499" s="417">
        <f t="shared" ref="P499" si="174">IF(O499="Yes",1,0)</f>
        <v>1</v>
      </c>
      <c r="Q499" s="415">
        <f>SUM($P$4:P499)/COUNT($P$4:P499)</f>
        <v>0.54233870967741937</v>
      </c>
      <c r="S499" s="382">
        <v>13860.58</v>
      </c>
      <c r="T499" s="415">
        <f t="shared" ref="T499:T505" si="175">(S499/S498)-1</f>
        <v>2.5496678921950178E-3</v>
      </c>
      <c r="U499" s="415">
        <f t="shared" ref="U499:U505" si="176">(S499/$S$3)-1</f>
        <v>0.61494777854935756</v>
      </c>
      <c r="V499" s="416" t="str">
        <f t="shared" si="146"/>
        <v>Yes</v>
      </c>
      <c r="W499" s="417">
        <f t="shared" si="154"/>
        <v>1</v>
      </c>
      <c r="X499" s="415">
        <f>SUM($W$478:W499)/COUNT($W$478:W499)</f>
        <v>0.72727272727272729</v>
      </c>
    </row>
    <row r="500" spans="1:24">
      <c r="A500" s="403">
        <f t="shared" si="136"/>
        <v>498</v>
      </c>
      <c r="B500" s="422">
        <f t="shared" si="140"/>
        <v>41312</v>
      </c>
      <c r="D500" s="411">
        <v>45397.156219999997</v>
      </c>
      <c r="E500" s="408">
        <v>45397.156219999997</v>
      </c>
      <c r="F500" s="408">
        <f t="shared" si="162"/>
        <v>256.64588999999978</v>
      </c>
      <c r="G500" s="409">
        <f t="shared" si="163"/>
        <v>5.6854893337223711E-3</v>
      </c>
      <c r="H500" s="408">
        <f t="shared" si="149"/>
        <v>22541.306219999999</v>
      </c>
      <c r="I500" s="409">
        <f t="shared" si="150"/>
        <v>0.98623793120798386</v>
      </c>
      <c r="L500" s="382">
        <v>1509.39</v>
      </c>
      <c r="M500" s="415">
        <f t="shared" si="172"/>
        <v>7.5294871538138519E-3</v>
      </c>
      <c r="N500" s="415">
        <f t="shared" si="173"/>
        <v>0.62286039910545332</v>
      </c>
      <c r="O500" s="416" t="str">
        <f t="shared" si="135"/>
        <v>No</v>
      </c>
      <c r="P500" s="417">
        <f t="shared" ref="P500" si="177">IF(O500="Yes",1,0)</f>
        <v>0</v>
      </c>
      <c r="Q500" s="415">
        <f>SUM($P$4:P500)/COUNT($P$4:P500)</f>
        <v>0.54124748490945673</v>
      </c>
      <c r="S500" s="382">
        <v>13944.05</v>
      </c>
      <c r="T500" s="415">
        <f t="shared" si="175"/>
        <v>6.0221145146883703E-3</v>
      </c>
      <c r="U500" s="415">
        <f t="shared" si="176"/>
        <v>0.62467317900702324</v>
      </c>
      <c r="V500" s="416" t="str">
        <f t="shared" si="146"/>
        <v>No</v>
      </c>
      <c r="W500" s="417">
        <f t="shared" si="154"/>
        <v>0</v>
      </c>
      <c r="X500" s="415">
        <f>SUM($W$478:W500)/COUNT($W$478:W500)</f>
        <v>0.69565217391304346</v>
      </c>
    </row>
    <row r="501" spans="1:24">
      <c r="A501" s="403">
        <f t="shared" si="136"/>
        <v>499</v>
      </c>
      <c r="B501" s="422">
        <f t="shared" si="140"/>
        <v>41319</v>
      </c>
      <c r="D501" s="411">
        <v>45877.828829999991</v>
      </c>
      <c r="E501" s="408">
        <v>45873.428389999994</v>
      </c>
      <c r="F501" s="408">
        <f t="shared" si="162"/>
        <v>476.27216999999655</v>
      </c>
      <c r="G501" s="409">
        <f t="shared" si="163"/>
        <v>1.0491233585027349E-2</v>
      </c>
      <c r="H501" s="408">
        <f t="shared" si="149"/>
        <v>23017.578389999995</v>
      </c>
      <c r="I501" s="409">
        <f t="shared" si="150"/>
        <v>1.0070760172997284</v>
      </c>
      <c r="L501" s="382">
        <v>1521.38</v>
      </c>
      <c r="M501" s="415">
        <f t="shared" si="172"/>
        <v>7.9436063575351046E-3</v>
      </c>
      <c r="N501" s="415">
        <f t="shared" si="173"/>
        <v>0.63575176328917937</v>
      </c>
      <c r="O501" s="416" t="str">
        <f t="shared" si="135"/>
        <v>Yes</v>
      </c>
      <c r="P501" s="417">
        <f t="shared" ref="P501" si="178">IF(O501="Yes",1,0)</f>
        <v>1</v>
      </c>
      <c r="Q501" s="415">
        <f>SUM($P$4:P501)/COUNT($P$4:P501)</f>
        <v>0.54216867469879515</v>
      </c>
      <c r="S501" s="382">
        <v>13973.39</v>
      </c>
      <c r="T501" s="415">
        <f t="shared" si="175"/>
        <v>2.1041232640446328E-3</v>
      </c>
      <c r="U501" s="415">
        <f t="shared" si="176"/>
        <v>0.62809169163944123</v>
      </c>
      <c r="V501" s="416" t="str">
        <f t="shared" si="146"/>
        <v>Yes</v>
      </c>
      <c r="W501" s="417">
        <f t="shared" si="154"/>
        <v>1</v>
      </c>
      <c r="X501" s="415">
        <f>SUM($W$478:W501)/COUNT($W$478:W501)</f>
        <v>0.70833333333333337</v>
      </c>
    </row>
    <row r="502" spans="1:24">
      <c r="A502" s="403">
        <f t="shared" si="136"/>
        <v>500</v>
      </c>
      <c r="B502" s="422">
        <f t="shared" si="140"/>
        <v>41326</v>
      </c>
      <c r="D502" s="411">
        <v>45168.442880000002</v>
      </c>
      <c r="E502" s="408">
        <v>45168.442880000002</v>
      </c>
      <c r="F502" s="408">
        <f t="shared" si="162"/>
        <v>-704.98550999999134</v>
      </c>
      <c r="G502" s="409">
        <f t="shared" si="163"/>
        <v>-1.536805804018937E-2</v>
      </c>
      <c r="H502" s="408">
        <f t="shared" si="149"/>
        <v>22312.592880000004</v>
      </c>
      <c r="I502" s="409">
        <f t="shared" si="150"/>
        <v>0.97623115657479409</v>
      </c>
      <c r="L502" s="382">
        <v>1502.42</v>
      </c>
      <c r="M502" s="415">
        <f t="shared" si="172"/>
        <v>-1.2462369690675601E-2</v>
      </c>
      <c r="N502" s="415">
        <f t="shared" si="173"/>
        <v>0.61536642009289522</v>
      </c>
      <c r="O502" s="416" t="str">
        <f t="shared" si="135"/>
        <v>No</v>
      </c>
      <c r="P502" s="417">
        <f t="shared" ref="P502" si="179">IF(O502="Yes",1,0)</f>
        <v>0</v>
      </c>
      <c r="Q502" s="415">
        <f>SUM($P$4:P502)/COUNT($P$4:P502)</f>
        <v>0.5410821643286573</v>
      </c>
      <c r="S502" s="382">
        <v>13880.62</v>
      </c>
      <c r="T502" s="415">
        <f t="shared" si="175"/>
        <v>-6.6390475038625718E-3</v>
      </c>
      <c r="U502" s="415">
        <f t="shared" si="176"/>
        <v>0.61728271355800279</v>
      </c>
      <c r="V502" s="416" t="str">
        <f t="shared" si="146"/>
        <v>No</v>
      </c>
      <c r="W502" s="417">
        <f t="shared" si="154"/>
        <v>0</v>
      </c>
      <c r="X502" s="415">
        <f>SUM($W$478:W502)/COUNT($W$478:W502)</f>
        <v>0.68</v>
      </c>
    </row>
    <row r="503" spans="1:24">
      <c r="A503" s="403">
        <f t="shared" si="136"/>
        <v>501</v>
      </c>
      <c r="B503" s="422">
        <f t="shared" si="140"/>
        <v>41333</v>
      </c>
      <c r="D503" s="411">
        <v>45214.908349999991</v>
      </c>
      <c r="E503" s="408">
        <v>45214.908349999991</v>
      </c>
      <c r="F503" s="408">
        <f t="shared" si="162"/>
        <v>46.465469999988272</v>
      </c>
      <c r="G503" s="409">
        <f t="shared" si="163"/>
        <v>1.0287153383488068E-3</v>
      </c>
      <c r="H503" s="408">
        <f t="shared" si="149"/>
        <v>22359.058349999992</v>
      </c>
      <c r="I503" s="409">
        <f t="shared" si="150"/>
        <v>0.97826413587768535</v>
      </c>
      <c r="L503" s="382">
        <v>1514.68</v>
      </c>
      <c r="M503" s="415">
        <f t="shared" si="172"/>
        <v>8.160168261870826E-3</v>
      </c>
      <c r="N503" s="415">
        <f t="shared" si="173"/>
        <v>0.62854808188542921</v>
      </c>
      <c r="O503" s="416" t="str">
        <f t="shared" si="135"/>
        <v>No</v>
      </c>
      <c r="P503" s="417">
        <f t="shared" ref="P503" si="180">IF(O503="Yes",1,0)</f>
        <v>0</v>
      </c>
      <c r="Q503" s="415">
        <f>SUM($P$4:P503)/COUNT($P$4:P503)</f>
        <v>0.54</v>
      </c>
      <c r="S503" s="382">
        <v>14054.49</v>
      </c>
      <c r="T503" s="415">
        <f t="shared" si="175"/>
        <v>1.2526097537429726E-2</v>
      </c>
      <c r="U503" s="415">
        <f t="shared" si="176"/>
        <v>0.63754095457362969</v>
      </c>
      <c r="V503" s="416" t="str">
        <f t="shared" si="146"/>
        <v>No</v>
      </c>
      <c r="W503" s="417">
        <f t="shared" si="154"/>
        <v>0</v>
      </c>
      <c r="X503" s="415">
        <f>SUM($W$478:W503)/COUNT($W$478:W503)</f>
        <v>0.65384615384615385</v>
      </c>
    </row>
    <row r="504" spans="1:24">
      <c r="A504" s="403">
        <f t="shared" si="136"/>
        <v>502</v>
      </c>
      <c r="B504" s="422">
        <f t="shared" si="140"/>
        <v>41340</v>
      </c>
      <c r="D504" s="411">
        <v>45908.160049999999</v>
      </c>
      <c r="E504" s="408">
        <v>45908.160049999999</v>
      </c>
      <c r="F504" s="408">
        <f t="shared" si="162"/>
        <v>693.25170000000799</v>
      </c>
      <c r="G504" s="409">
        <f t="shared" si="163"/>
        <v>1.5332369904051957E-2</v>
      </c>
      <c r="H504" s="408">
        <f t="shared" si="149"/>
        <v>23052.31005</v>
      </c>
      <c r="I504" s="409">
        <f t="shared" si="150"/>
        <v>1.0085956133768819</v>
      </c>
      <c r="L504" s="382">
        <v>1544.26</v>
      </c>
      <c r="M504" s="415">
        <f t="shared" si="172"/>
        <v>1.9528877386642662E-2</v>
      </c>
      <c r="N504" s="415">
        <f t="shared" si="173"/>
        <v>0.66035179769482188</v>
      </c>
      <c r="O504" s="416" t="str">
        <f t="shared" si="135"/>
        <v>No</v>
      </c>
      <c r="P504" s="417">
        <f t="shared" ref="P504" si="181">IF(O504="Yes",1,0)</f>
        <v>0</v>
      </c>
      <c r="Q504" s="415">
        <f>SUM($P$4:P504)/COUNT($P$4:P504)</f>
        <v>0.53892215568862278</v>
      </c>
      <c r="S504" s="382">
        <v>14329.49</v>
      </c>
      <c r="T504" s="415">
        <f t="shared" si="175"/>
        <v>1.9566700748301802E-2</v>
      </c>
      <c r="U504" s="415">
        <f t="shared" si="176"/>
        <v>0.66958222839486026</v>
      </c>
      <c r="V504" s="416" t="str">
        <f t="shared" si="146"/>
        <v>No</v>
      </c>
      <c r="W504" s="417">
        <f t="shared" si="154"/>
        <v>0</v>
      </c>
      <c r="X504" s="415">
        <f>SUM($W$478:W504)/COUNT($W$478:W504)</f>
        <v>0.62962962962962965</v>
      </c>
    </row>
    <row r="505" spans="1:24">
      <c r="A505" s="403">
        <f t="shared" si="136"/>
        <v>503</v>
      </c>
      <c r="B505" s="422">
        <f t="shared" si="140"/>
        <v>41347</v>
      </c>
      <c r="D505" s="411">
        <v>46499.591789999999</v>
      </c>
      <c r="E505" s="408">
        <v>46499.591789999999</v>
      </c>
      <c r="F505" s="408">
        <f t="shared" si="162"/>
        <v>591.43173999999999</v>
      </c>
      <c r="G505" s="409">
        <f t="shared" si="163"/>
        <v>1.2882932780487355E-2</v>
      </c>
      <c r="H505" s="408">
        <f t="shared" si="149"/>
        <v>23643.74179</v>
      </c>
      <c r="I505" s="409">
        <f t="shared" si="150"/>
        <v>1.0344722156471975</v>
      </c>
      <c r="L505" s="382">
        <v>1563.23</v>
      </c>
      <c r="M505" s="415">
        <f t="shared" si="172"/>
        <v>1.2284200847007654E-2</v>
      </c>
      <c r="N505" s="415">
        <f t="shared" si="173"/>
        <v>0.68074789265439528</v>
      </c>
      <c r="O505" s="416" t="str">
        <f t="shared" si="135"/>
        <v>Yes</v>
      </c>
      <c r="P505" s="417">
        <f t="shared" ref="P505" si="182">IF(O505="Yes",1,0)</f>
        <v>1</v>
      </c>
      <c r="Q505" s="415">
        <f>SUM($P$4:P505)/COUNT($P$4:P505)</f>
        <v>0.53984063745019917</v>
      </c>
      <c r="S505" s="382">
        <v>14539.14</v>
      </c>
      <c r="T505" s="415">
        <f t="shared" si="175"/>
        <v>1.4630667246356976E-2</v>
      </c>
      <c r="U505" s="415">
        <f t="shared" si="176"/>
        <v>0.69400933041893653</v>
      </c>
      <c r="V505" s="416" t="str">
        <f t="shared" si="146"/>
        <v>No</v>
      </c>
      <c r="W505" s="417">
        <f t="shared" si="154"/>
        <v>0</v>
      </c>
      <c r="X505" s="415">
        <f>SUM($W$478:W505)/COUNT($W$478:W505)</f>
        <v>0.6071428571428571</v>
      </c>
    </row>
    <row r="506" spans="1:24">
      <c r="A506" s="403">
        <f t="shared" si="136"/>
        <v>504</v>
      </c>
      <c r="B506" s="422">
        <f t="shared" si="140"/>
        <v>41354</v>
      </c>
      <c r="D506" s="411">
        <v>46154.520150000004</v>
      </c>
      <c r="E506" s="408">
        <v>46154.520150000004</v>
      </c>
      <c r="F506" s="408">
        <f t="shared" si="162"/>
        <v>-345.07163999999466</v>
      </c>
      <c r="G506" s="409">
        <f t="shared" si="163"/>
        <v>-7.4209606303297093E-3</v>
      </c>
      <c r="H506" s="408">
        <f t="shared" si="149"/>
        <v>23298.670150000005</v>
      </c>
      <c r="I506" s="409">
        <f t="shared" si="150"/>
        <v>1.0193744774313802</v>
      </c>
      <c r="L506" s="382">
        <v>1545.8</v>
      </c>
      <c r="M506" s="415">
        <f t="shared" ref="M506:M512" si="183">(L506/L505)-1</f>
        <v>-1.1149990724333647E-2</v>
      </c>
      <c r="N506" s="415">
        <f t="shared" ref="N506:N512" si="184">(L506/$L$3)-1</f>
        <v>0.6620075692413554</v>
      </c>
      <c r="O506" s="416" t="str">
        <f t="shared" si="135"/>
        <v>Yes</v>
      </c>
      <c r="P506" s="417">
        <f t="shared" ref="P506" si="185">IF(O506="Yes",1,0)</f>
        <v>1</v>
      </c>
      <c r="Q506" s="415">
        <f>SUM($P$4:P506)/COUNT($P$4:P506)</f>
        <v>0.54075546719681911</v>
      </c>
      <c r="S506" s="382">
        <v>14421.49</v>
      </c>
      <c r="T506" s="415">
        <f t="shared" ref="T506" si="186">(S506/S505)-1</f>
        <v>-8.0919504179751689E-3</v>
      </c>
      <c r="U506" s="415">
        <f t="shared" ref="U506" si="187">(S506/$S$3)-1</f>
        <v>0.68030149090959924</v>
      </c>
      <c r="V506" s="416" t="str">
        <f t="shared" si="146"/>
        <v>Yes</v>
      </c>
      <c r="W506" s="417">
        <f t="shared" si="154"/>
        <v>1</v>
      </c>
      <c r="X506" s="415">
        <f>SUM($W$478:W506)/COUNT($W$478:W506)</f>
        <v>0.62068965517241381</v>
      </c>
    </row>
    <row r="507" spans="1:24">
      <c r="A507" s="403">
        <f t="shared" si="136"/>
        <v>505</v>
      </c>
      <c r="B507" s="422">
        <f t="shared" si="140"/>
        <v>41361</v>
      </c>
      <c r="D507" s="411">
        <v>46602.26</v>
      </c>
      <c r="E507" s="408">
        <v>46602.26</v>
      </c>
      <c r="F507" s="408">
        <f t="shared" si="162"/>
        <v>447.73984999999811</v>
      </c>
      <c r="G507" s="409">
        <f t="shared" si="163"/>
        <v>9.7008884188345412E-3</v>
      </c>
      <c r="H507" s="408">
        <f t="shared" si="149"/>
        <v>23746.410000000003</v>
      </c>
      <c r="I507" s="409">
        <f t="shared" si="150"/>
        <v>1.038964203912784</v>
      </c>
      <c r="L507" s="382">
        <v>1569.19</v>
      </c>
      <c r="M507" s="415">
        <f t="shared" si="183"/>
        <v>1.5131323586492496E-2</v>
      </c>
      <c r="N507" s="415">
        <f t="shared" si="184"/>
        <v>0.6871559435747463</v>
      </c>
      <c r="O507" s="416" t="str">
        <f t="shared" si="135"/>
        <v>No</v>
      </c>
      <c r="P507" s="417">
        <f t="shared" ref="P507:P508" si="188">IF(O507="Yes",1,0)</f>
        <v>0</v>
      </c>
      <c r="Q507" s="415">
        <f>SUM($P$4:P507)/COUNT($P$4:P507)</f>
        <v>0.53968253968253965</v>
      </c>
      <c r="S507" s="382">
        <v>14578.54</v>
      </c>
      <c r="T507" s="415">
        <f t="shared" ref="T507:T512" si="189">(S507/S506)-1</f>
        <v>1.0889998190200867E-2</v>
      </c>
      <c r="U507" s="415">
        <f t="shared" ref="U507:U512" si="190">(S507/$S$3)-1</f>
        <v>0.69859997110459671</v>
      </c>
      <c r="V507" s="416" t="str">
        <f t="shared" si="146"/>
        <v>No</v>
      </c>
      <c r="W507" s="417">
        <f t="shared" si="154"/>
        <v>0</v>
      </c>
      <c r="X507" s="415">
        <f>SUM($W$478:W507)/COUNT($W$478:W507)</f>
        <v>0.6</v>
      </c>
    </row>
    <row r="508" spans="1:24">
      <c r="A508" s="403">
        <f t="shared" si="136"/>
        <v>506</v>
      </c>
      <c r="B508" s="422">
        <f t="shared" si="140"/>
        <v>41368</v>
      </c>
      <c r="D508" s="411">
        <v>45634.816179999994</v>
      </c>
      <c r="E508" s="408">
        <v>45634.816179999994</v>
      </c>
      <c r="F508" s="408">
        <f t="shared" si="162"/>
        <v>-967.44382000000769</v>
      </c>
      <c r="G508" s="409">
        <f t="shared" si="163"/>
        <v>-2.0759590200132072E-2</v>
      </c>
      <c r="H508" s="408">
        <f t="shared" si="149"/>
        <v>22778.966179999996</v>
      </c>
      <c r="I508" s="409">
        <f t="shared" si="150"/>
        <v>0.99663614260681599</v>
      </c>
      <c r="L508" s="382">
        <v>1559.98</v>
      </c>
      <c r="M508" s="415">
        <f t="shared" si="183"/>
        <v>-5.8692701329985386E-3</v>
      </c>
      <c r="N508" s="415">
        <f t="shared" si="184"/>
        <v>0.67725356958541205</v>
      </c>
      <c r="O508" s="416" t="str">
        <f t="shared" si="135"/>
        <v>No</v>
      </c>
      <c r="P508" s="417">
        <f t="shared" si="188"/>
        <v>0</v>
      </c>
      <c r="Q508" s="415">
        <f>SUM($P$4:P508)/COUNT($P$4:P508)</f>
        <v>0.53861386138613865</v>
      </c>
      <c r="S508" s="382">
        <v>14606.11</v>
      </c>
      <c r="T508" s="415">
        <f t="shared" si="189"/>
        <v>1.8911358750601792E-3</v>
      </c>
      <c r="U508" s="415">
        <f t="shared" si="190"/>
        <v>0.70181225444732886</v>
      </c>
      <c r="V508" s="416" t="str">
        <f t="shared" si="146"/>
        <v>No</v>
      </c>
      <c r="W508" s="417">
        <f t="shared" si="154"/>
        <v>0</v>
      </c>
      <c r="X508" s="415">
        <f>SUM($W$478:W508)/COUNT($W$478:W508)</f>
        <v>0.58064516129032262</v>
      </c>
    </row>
    <row r="509" spans="1:24">
      <c r="A509" s="403">
        <f t="shared" si="136"/>
        <v>507</v>
      </c>
      <c r="B509" s="422">
        <f t="shared" si="140"/>
        <v>41375</v>
      </c>
      <c r="D509" s="411">
        <v>46552.753780000006</v>
      </c>
      <c r="E509" s="408">
        <v>46552.753780000006</v>
      </c>
      <c r="F509" s="408">
        <f t="shared" si="162"/>
        <v>917.93760000001203</v>
      </c>
      <c r="G509" s="409">
        <f t="shared" si="163"/>
        <v>2.0114852580523923E-2</v>
      </c>
      <c r="H509" s="408">
        <f t="shared" si="149"/>
        <v>23696.903780000008</v>
      </c>
      <c r="I509" s="409">
        <f t="shared" si="150"/>
        <v>1.0367981842722984</v>
      </c>
      <c r="L509" s="382">
        <v>1593.37</v>
      </c>
      <c r="M509" s="415">
        <f t="shared" si="183"/>
        <v>2.140412056564811E-2</v>
      </c>
      <c r="N509" s="415">
        <f t="shared" si="184"/>
        <v>0.71315370720798188</v>
      </c>
      <c r="O509" s="416" t="str">
        <f t="shared" si="135"/>
        <v>No</v>
      </c>
      <c r="P509" s="417">
        <f t="shared" ref="P509" si="191">IF(O509="Yes",1,0)</f>
        <v>0</v>
      </c>
      <c r="Q509" s="415">
        <f>SUM($P$4:P509)/COUNT($P$4:P509)</f>
        <v>0.53754940711462451</v>
      </c>
      <c r="S509" s="382">
        <v>14865.14</v>
      </c>
      <c r="T509" s="415">
        <f t="shared" si="189"/>
        <v>1.7734359114096598E-2</v>
      </c>
      <c r="U509" s="415">
        <f t="shared" si="190"/>
        <v>0.73199280411246814</v>
      </c>
      <c r="V509" s="416" t="str">
        <f t="shared" si="146"/>
        <v>Yes</v>
      </c>
      <c r="W509" s="417">
        <f t="shared" si="154"/>
        <v>1</v>
      </c>
      <c r="X509" s="415">
        <f>SUM($W$478:W509)/COUNT($W$478:W509)</f>
        <v>0.59375</v>
      </c>
    </row>
    <row r="510" spans="1:24">
      <c r="A510" s="403">
        <f t="shared" si="136"/>
        <v>508</v>
      </c>
      <c r="B510" s="422">
        <f t="shared" si="140"/>
        <v>41382</v>
      </c>
      <c r="D510" s="411">
        <v>45013.575560000005</v>
      </c>
      <c r="E510" s="408">
        <v>45013.575560000005</v>
      </c>
      <c r="F510" s="408">
        <f t="shared" si="162"/>
        <v>-1539.1782200000016</v>
      </c>
      <c r="G510" s="409">
        <f t="shared" si="163"/>
        <v>-3.3063097132210117E-2</v>
      </c>
      <c r="H510" s="408">
        <f t="shared" si="149"/>
        <v>22157.725560000006</v>
      </c>
      <c r="I510" s="409">
        <f t="shared" si="150"/>
        <v>0.96945532806699419</v>
      </c>
      <c r="L510" s="382">
        <v>1541.61</v>
      </c>
      <c r="M510" s="415">
        <f t="shared" si="183"/>
        <v>-3.2484608094792811E-2</v>
      </c>
      <c r="N510" s="415">
        <f t="shared" si="184"/>
        <v>0.65750258042318932</v>
      </c>
      <c r="O510" s="416" t="str">
        <f t="shared" si="135"/>
        <v>No</v>
      </c>
      <c r="P510" s="417">
        <f t="shared" ref="P510" si="192">IF(O510="Yes",1,0)</f>
        <v>0</v>
      </c>
      <c r="Q510" s="415">
        <f>SUM($P$4:P510)/COUNT($P$4:P510)</f>
        <v>0.53648915187376722</v>
      </c>
      <c r="S510" s="382">
        <v>14537.14</v>
      </c>
      <c r="T510" s="415">
        <f t="shared" si="189"/>
        <v>-2.2065046141509614E-2</v>
      </c>
      <c r="U510" s="415">
        <f t="shared" si="190"/>
        <v>0.693776302972964</v>
      </c>
      <c r="V510" s="416" t="str">
        <f t="shared" ref="V510:V538" si="193">IF(G510&gt;T510,"Yes","No")</f>
        <v>No</v>
      </c>
      <c r="W510" s="417">
        <f t="shared" si="154"/>
        <v>0</v>
      </c>
      <c r="X510" s="415">
        <f>SUM($W$478:W510)/COUNT($W$478:W510)</f>
        <v>0.5757575757575758</v>
      </c>
    </row>
    <row r="511" spans="1:24">
      <c r="A511" s="403">
        <f t="shared" si="136"/>
        <v>509</v>
      </c>
      <c r="B511" s="422">
        <f t="shared" si="140"/>
        <v>41389</v>
      </c>
      <c r="D511" s="411">
        <v>46519.793840000006</v>
      </c>
      <c r="E511" s="408">
        <v>46519.793840000006</v>
      </c>
      <c r="F511" s="408">
        <f t="shared" si="162"/>
        <v>1506.218280000001</v>
      </c>
      <c r="G511" s="409">
        <f t="shared" si="163"/>
        <v>3.3461422721070333E-2</v>
      </c>
      <c r="H511" s="408">
        <f t="shared" si="149"/>
        <v>23663.943840000007</v>
      </c>
      <c r="I511" s="409">
        <f t="shared" si="150"/>
        <v>1.0353561053297082</v>
      </c>
      <c r="L511" s="382">
        <v>1585.16</v>
      </c>
      <c r="M511" s="415">
        <f t="shared" si="183"/>
        <v>2.8249687015522884E-2</v>
      </c>
      <c r="N511" s="415">
        <f t="shared" si="184"/>
        <v>0.7043265095475657</v>
      </c>
      <c r="O511" s="416" t="str">
        <f t="shared" si="135"/>
        <v>Yes</v>
      </c>
      <c r="P511" s="417">
        <f t="shared" ref="P511" si="194">IF(O511="Yes",1,0)</f>
        <v>1</v>
      </c>
      <c r="Q511" s="415">
        <f>SUM($P$4:P511)/COUNT($P$4:P511)</f>
        <v>0.53740157480314965</v>
      </c>
      <c r="S511" s="382">
        <v>14700.8</v>
      </c>
      <c r="T511" s="415">
        <f t="shared" si="189"/>
        <v>1.1258060388769753E-2</v>
      </c>
      <c r="U511" s="415">
        <f t="shared" si="190"/>
        <v>0.7128449388769007</v>
      </c>
      <c r="V511" s="416" t="str">
        <f t="shared" si="193"/>
        <v>Yes</v>
      </c>
      <c r="W511" s="417">
        <f t="shared" si="154"/>
        <v>1</v>
      </c>
      <c r="X511" s="415">
        <f>SUM($W$478:W511)/COUNT($W$478:W511)</f>
        <v>0.58823529411764708</v>
      </c>
    </row>
    <row r="512" spans="1:24">
      <c r="A512" s="403">
        <f t="shared" si="136"/>
        <v>510</v>
      </c>
      <c r="B512" s="422">
        <f t="shared" si="140"/>
        <v>41396</v>
      </c>
      <c r="D512" s="411">
        <v>47024.077540000006</v>
      </c>
      <c r="E512" s="408">
        <v>47024.077540000006</v>
      </c>
      <c r="F512" s="408">
        <f t="shared" si="162"/>
        <v>504.28369999999995</v>
      </c>
      <c r="G512" s="409">
        <f t="shared" si="163"/>
        <v>1.084019636317457E-2</v>
      </c>
      <c r="H512" s="408">
        <f t="shared" si="149"/>
        <v>24168.227540000007</v>
      </c>
      <c r="I512" s="409">
        <f t="shared" si="150"/>
        <v>1.0574197651804682</v>
      </c>
      <c r="L512" s="382">
        <v>1597.59</v>
      </c>
      <c r="M512" s="415">
        <f t="shared" si="183"/>
        <v>7.8414797244441559E-3</v>
      </c>
      <c r="N512" s="415">
        <f t="shared" si="184"/>
        <v>0.71769095131601568</v>
      </c>
      <c r="O512" s="416" t="str">
        <f t="shared" si="135"/>
        <v>Yes</v>
      </c>
      <c r="P512" s="417">
        <f t="shared" ref="P512" si="195">IF(O512="Yes",1,0)</f>
        <v>1</v>
      </c>
      <c r="Q512" s="415">
        <f>SUM($P$4:P512)/COUNT($P$4:P512)</f>
        <v>0.53831041257367385</v>
      </c>
      <c r="S512" s="382">
        <v>14831.58</v>
      </c>
      <c r="T512" s="415">
        <f t="shared" si="189"/>
        <v>8.8961144971702044E-3</v>
      </c>
      <c r="U512" s="415">
        <f t="shared" si="190"/>
        <v>0.72808260356904819</v>
      </c>
      <c r="V512" s="416" t="str">
        <f t="shared" si="193"/>
        <v>Yes</v>
      </c>
      <c r="W512" s="417">
        <f t="shared" si="154"/>
        <v>1</v>
      </c>
      <c r="X512" s="415">
        <f>SUM($W$478:W512)/COUNT($W$478:W512)</f>
        <v>0.6</v>
      </c>
    </row>
    <row r="513" spans="1:24">
      <c r="A513" s="403">
        <f t="shared" si="136"/>
        <v>511</v>
      </c>
      <c r="B513" s="422">
        <f t="shared" si="140"/>
        <v>41403</v>
      </c>
      <c r="D513" s="411">
        <v>49302.942459999998</v>
      </c>
      <c r="E513" s="408">
        <v>49302.942459999998</v>
      </c>
      <c r="F513" s="408">
        <f t="shared" si="162"/>
        <v>2278.8649199999927</v>
      </c>
      <c r="G513" s="409">
        <f t="shared" si="163"/>
        <v>4.8461661327891647E-2</v>
      </c>
      <c r="H513" s="408">
        <f t="shared" si="149"/>
        <v>26447.09246</v>
      </c>
      <c r="I513" s="409">
        <f t="shared" si="150"/>
        <v>1.1571257450499544</v>
      </c>
      <c r="L513" s="382">
        <v>1626.67</v>
      </c>
      <c r="M513" s="415">
        <f t="shared" ref="M513:M515" si="196">(L513/L512)-1</f>
        <v>1.8202417391195658E-2</v>
      </c>
      <c r="N513" s="415">
        <f t="shared" ref="N513:N515" si="197">(L513/$L$3)-1</f>
        <v>0.74895707896094965</v>
      </c>
      <c r="O513" s="416" t="str">
        <f t="shared" si="135"/>
        <v>Yes</v>
      </c>
      <c r="P513" s="417">
        <f t="shared" ref="P513" si="198">IF(O513="Yes",1,0)</f>
        <v>1</v>
      </c>
      <c r="Q513" s="415">
        <f>SUM($P$4:P513)/COUNT($P$4:P513)</f>
        <v>0.53921568627450978</v>
      </c>
      <c r="S513" s="382">
        <v>15082.62</v>
      </c>
      <c r="T513" s="415">
        <f t="shared" ref="T513:T515" si="199">(S513/S512)-1</f>
        <v>1.6926045640450971E-2</v>
      </c>
      <c r="U513" s="415">
        <f t="shared" ref="U513:U515" si="200">(S513/$S$3)-1</f>
        <v>0.75733220858752737</v>
      </c>
      <c r="V513" s="416" t="str">
        <f t="shared" si="193"/>
        <v>Yes</v>
      </c>
      <c r="W513" s="417">
        <f t="shared" si="154"/>
        <v>1</v>
      </c>
      <c r="X513" s="415">
        <f>SUM($W$478:W513)/COUNT($W$478:W513)</f>
        <v>0.61111111111111116</v>
      </c>
    </row>
    <row r="514" spans="1:24">
      <c r="A514" s="403">
        <f t="shared" si="136"/>
        <v>512</v>
      </c>
      <c r="B514" s="422">
        <f t="shared" si="140"/>
        <v>41410</v>
      </c>
      <c r="D514" s="411">
        <v>51476.929619999995</v>
      </c>
      <c r="E514" s="408">
        <v>51476.929619999995</v>
      </c>
      <c r="F514" s="408">
        <f t="shared" si="162"/>
        <v>2173.9871599999969</v>
      </c>
      <c r="G514" s="409">
        <f t="shared" si="163"/>
        <v>4.4094470867814373E-2</v>
      </c>
      <c r="H514" s="408">
        <f t="shared" si="149"/>
        <v>28621.079619999997</v>
      </c>
      <c r="I514" s="409">
        <f t="shared" si="150"/>
        <v>1.252243063373272</v>
      </c>
      <c r="L514" s="382">
        <v>1650.47</v>
      </c>
      <c r="M514" s="415">
        <f t="shared" si="196"/>
        <v>1.4631117559185336E-2</v>
      </c>
      <c r="N514" s="415">
        <f t="shared" si="197"/>
        <v>0.77454627558919653</v>
      </c>
      <c r="O514" s="416" t="str">
        <f t="shared" si="135"/>
        <v>Yes</v>
      </c>
      <c r="P514" s="417">
        <f t="shared" ref="P514" si="201">IF(O514="Yes",1,0)</f>
        <v>1</v>
      </c>
      <c r="Q514" s="415">
        <f>SUM($P$4:P514)/COUNT($P$4:P514)</f>
        <v>0.54011741682974557</v>
      </c>
      <c r="S514" s="382">
        <v>15233.22</v>
      </c>
      <c r="T514" s="415">
        <f t="shared" si="199"/>
        <v>9.9850026056480523E-3</v>
      </c>
      <c r="U514" s="415">
        <f t="shared" si="200"/>
        <v>0.77487917526926298</v>
      </c>
      <c r="V514" s="416" t="str">
        <f t="shared" si="193"/>
        <v>Yes</v>
      </c>
      <c r="W514" s="417">
        <f t="shared" si="154"/>
        <v>1</v>
      </c>
      <c r="X514" s="415">
        <f>SUM($W$478:W514)/COUNT($W$478:W514)</f>
        <v>0.6216216216216216</v>
      </c>
    </row>
    <row r="515" spans="1:24">
      <c r="A515" s="403">
        <f t="shared" si="136"/>
        <v>513</v>
      </c>
      <c r="B515" s="422">
        <f t="shared" si="140"/>
        <v>41417</v>
      </c>
      <c r="D515" s="411">
        <v>51524.299709999999</v>
      </c>
      <c r="E515" s="408">
        <v>51524.299709999999</v>
      </c>
      <c r="F515" s="408">
        <f t="shared" si="162"/>
        <v>47.370090000003984</v>
      </c>
      <c r="G515" s="409">
        <f t="shared" si="163"/>
        <v>9.2021980234036072E-4</v>
      </c>
      <c r="H515" s="408">
        <f t="shared" si="149"/>
        <v>28668.449710000001</v>
      </c>
      <c r="I515" s="409">
        <f t="shared" si="150"/>
        <v>1.2543156220398717</v>
      </c>
      <c r="L515" s="382">
        <v>1650.51</v>
      </c>
      <c r="M515" s="415">
        <f t="shared" si="196"/>
        <v>2.4235520791116016E-5</v>
      </c>
      <c r="N515" s="415">
        <f t="shared" si="197"/>
        <v>0.77458928264235327</v>
      </c>
      <c r="O515" s="416" t="str">
        <f t="shared" si="135"/>
        <v>Yes</v>
      </c>
      <c r="P515" s="417">
        <f t="shared" ref="P515" si="202">IF(O515="Yes",1,0)</f>
        <v>1</v>
      </c>
      <c r="Q515" s="415">
        <f>SUM($P$4:P515)/COUNT($P$4:P515)</f>
        <v>0.541015625</v>
      </c>
      <c r="S515" s="382">
        <v>15294.5</v>
      </c>
      <c r="T515" s="415">
        <f t="shared" si="199"/>
        <v>4.0227870404287991E-3</v>
      </c>
      <c r="U515" s="415">
        <f t="shared" si="200"/>
        <v>0.7820191362138631</v>
      </c>
      <c r="V515" s="416" t="str">
        <f t="shared" si="193"/>
        <v>No</v>
      </c>
      <c r="W515" s="417">
        <f t="shared" si="154"/>
        <v>0</v>
      </c>
      <c r="X515" s="415">
        <f>SUM($W$478:W515)/COUNT($W$478:W515)</f>
        <v>0.60526315789473684</v>
      </c>
    </row>
    <row r="516" spans="1:24">
      <c r="A516" s="403">
        <f t="shared" si="136"/>
        <v>514</v>
      </c>
      <c r="B516" s="422">
        <f t="shared" si="140"/>
        <v>41424</v>
      </c>
      <c r="D516" s="411">
        <v>51715.413349999995</v>
      </c>
      <c r="E516" s="408">
        <v>51715.413349999995</v>
      </c>
      <c r="F516" s="408">
        <f t="shared" si="162"/>
        <v>191.11363999999594</v>
      </c>
      <c r="G516" s="409">
        <f t="shared" si="163"/>
        <v>3.7091943233709124E-3</v>
      </c>
      <c r="H516" s="408">
        <f t="shared" si="149"/>
        <v>28859.563349999997</v>
      </c>
      <c r="I516" s="409">
        <f t="shared" si="150"/>
        <v>1.2626773167482286</v>
      </c>
      <c r="L516" s="382">
        <v>1654.41</v>
      </c>
      <c r="M516" s="415">
        <f t="shared" ref="M516:M519" si="203">(L516/L515)-1</f>
        <v>2.3629060108694144E-3</v>
      </c>
      <c r="N516" s="415">
        <f t="shared" ref="N516:N519" si="204">(L516/$L$3)-1</f>
        <v>0.77878247032513337</v>
      </c>
      <c r="O516" s="416" t="str">
        <f t="shared" ref="O516:O538" si="205">IF(G516&gt;M516,"Yes","No")</f>
        <v>Yes</v>
      </c>
      <c r="P516" s="417">
        <f t="shared" ref="P516" si="206">IF(O516="Yes",1,0)</f>
        <v>1</v>
      </c>
      <c r="Q516" s="415">
        <f>SUM($P$4:P516)/COUNT($P$4:P516)</f>
        <v>0.54191033138401556</v>
      </c>
      <c r="S516" s="382">
        <v>15324.53</v>
      </c>
      <c r="T516" s="415">
        <f t="shared" ref="T516" si="207">(S516/S515)-1</f>
        <v>1.9634509137271827E-3</v>
      </c>
      <c r="U516" s="415">
        <f t="shared" ref="U516" si="208">(S516/$S$3)-1</f>
        <v>0.78551804331514163</v>
      </c>
      <c r="V516" s="416" t="str">
        <f t="shared" si="193"/>
        <v>Yes</v>
      </c>
      <c r="W516" s="417">
        <f t="shared" si="154"/>
        <v>1</v>
      </c>
      <c r="X516" s="415">
        <f>SUM($W$478:W516)/COUNT($W$478:W516)</f>
        <v>0.61538461538461542</v>
      </c>
    </row>
    <row r="517" spans="1:24">
      <c r="A517" s="403">
        <f t="shared" ref="A517:A580" si="209">A516+1</f>
        <v>515</v>
      </c>
      <c r="B517" s="422">
        <f t="shared" si="140"/>
        <v>41431</v>
      </c>
      <c r="D517" s="411">
        <v>50163.276700000009</v>
      </c>
      <c r="E517" s="408">
        <v>50163.276700000009</v>
      </c>
      <c r="F517" s="408">
        <f t="shared" si="162"/>
        <v>-1552.1366499999858</v>
      </c>
      <c r="G517" s="409">
        <f t="shared" si="163"/>
        <v>-3.0013037689468391E-2</v>
      </c>
      <c r="H517" s="408">
        <f t="shared" si="149"/>
        <v>27307.426700000011</v>
      </c>
      <c r="I517" s="409">
        <f t="shared" si="150"/>
        <v>1.1947674971615587</v>
      </c>
      <c r="L517" s="382">
        <v>1622.46</v>
      </c>
      <c r="M517" s="415">
        <f t="shared" si="203"/>
        <v>-1.9312020599488666E-2</v>
      </c>
      <c r="N517" s="415">
        <f t="shared" si="204"/>
        <v>0.74443058661620509</v>
      </c>
      <c r="O517" s="416" t="str">
        <f t="shared" si="205"/>
        <v>No</v>
      </c>
      <c r="P517" s="417">
        <f t="shared" ref="P517" si="210">IF(O517="Yes",1,0)</f>
        <v>0</v>
      </c>
      <c r="Q517" s="415">
        <f>SUM($P$4:P517)/COUNT($P$4:P517)</f>
        <v>0.54085603112840464</v>
      </c>
      <c r="S517" s="382">
        <v>15040.39</v>
      </c>
      <c r="T517" s="415">
        <f t="shared" ref="T517" si="211">(S517/S516)-1</f>
        <v>-1.8541514813178672E-2</v>
      </c>
      <c r="U517" s="415">
        <f t="shared" ref="U517" si="212">(S517/$S$3)-1</f>
        <v>0.75241183406581613</v>
      </c>
      <c r="V517" s="416" t="str">
        <f t="shared" si="193"/>
        <v>No</v>
      </c>
      <c r="W517" s="417">
        <f t="shared" si="154"/>
        <v>0</v>
      </c>
      <c r="X517" s="415">
        <f>SUM($W$478:W517)/COUNT($W$478:W517)</f>
        <v>0.6</v>
      </c>
    </row>
    <row r="518" spans="1:24">
      <c r="A518" s="403">
        <f t="shared" si="209"/>
        <v>516</v>
      </c>
      <c r="B518" s="422">
        <f t="shared" si="140"/>
        <v>41438</v>
      </c>
      <c r="D518" s="411">
        <v>51169.509570000002</v>
      </c>
      <c r="E518" s="408">
        <v>51169.509570000002</v>
      </c>
      <c r="F518" s="408">
        <f t="shared" si="162"/>
        <v>1006.2328699999925</v>
      </c>
      <c r="G518" s="409">
        <f t="shared" si="163"/>
        <v>2.0059153552064446E-2</v>
      </c>
      <c r="H518" s="408">
        <f t="shared" si="149"/>
        <v>28313.659570000003</v>
      </c>
      <c r="I518" s="409">
        <f t="shared" si="150"/>
        <v>1.2387926753982024</v>
      </c>
      <c r="L518" s="382">
        <v>1636.36</v>
      </c>
      <c r="M518" s="415">
        <f t="shared" si="203"/>
        <v>8.5672374049281519E-3</v>
      </c>
      <c r="N518" s="415">
        <f t="shared" si="204"/>
        <v>0.75937553758816434</v>
      </c>
      <c r="O518" s="416" t="str">
        <f t="shared" si="205"/>
        <v>Yes</v>
      </c>
      <c r="P518" s="417">
        <f t="shared" ref="P518" si="213">IF(O518="Yes",1,0)</f>
        <v>1</v>
      </c>
      <c r="Q518" s="415">
        <f>SUM($P$4:P518)/COUNT($P$4:P518)</f>
        <v>0.54174757281553398</v>
      </c>
      <c r="S518" s="382">
        <v>15176.08</v>
      </c>
      <c r="T518" s="415">
        <f t="shared" ref="T518:T519" si="214">(S518/S517)-1</f>
        <v>9.0217075488070453E-3</v>
      </c>
      <c r="U518" s="415">
        <f t="shared" ref="U518:U519" si="215">(S518/$S$3)-1</f>
        <v>0.76822158113782635</v>
      </c>
      <c r="V518" s="416" t="str">
        <f t="shared" si="193"/>
        <v>Yes</v>
      </c>
      <c r="W518" s="417">
        <f t="shared" si="154"/>
        <v>1</v>
      </c>
      <c r="X518" s="415">
        <f>SUM($W$478:W518)/COUNT($W$478:W518)</f>
        <v>0.6097560975609756</v>
      </c>
    </row>
    <row r="519" spans="1:24">
      <c r="A519" s="403">
        <f t="shared" si="209"/>
        <v>517</v>
      </c>
      <c r="B519" s="422">
        <f t="shared" si="140"/>
        <v>41445</v>
      </c>
      <c r="D519" s="411">
        <v>50605.351009999998</v>
      </c>
      <c r="E519" s="408">
        <v>50605.351009999998</v>
      </c>
      <c r="F519" s="408">
        <f t="shared" si="162"/>
        <v>-564.15856000000349</v>
      </c>
      <c r="G519" s="409">
        <f t="shared" si="163"/>
        <v>-1.1025287612503543E-2</v>
      </c>
      <c r="H519" s="408">
        <f t="shared" si="149"/>
        <v>27749.50101</v>
      </c>
      <c r="I519" s="409">
        <f t="shared" si="150"/>
        <v>1.2141093422471712</v>
      </c>
      <c r="L519" s="382">
        <v>1588.19</v>
      </c>
      <c r="M519" s="415">
        <f t="shared" si="203"/>
        <v>-2.9437287638416909E-2</v>
      </c>
      <c r="N519" s="415">
        <f t="shared" si="204"/>
        <v>0.70758429382418719</v>
      </c>
      <c r="O519" s="416" t="str">
        <f t="shared" si="205"/>
        <v>Yes</v>
      </c>
      <c r="P519" s="417">
        <f t="shared" ref="P519" si="216">IF(O519="Yes",1,0)</f>
        <v>1</v>
      </c>
      <c r="Q519" s="415">
        <f>SUM($P$4:P519)/COUNT($P$4:P519)</f>
        <v>0.54263565891472865</v>
      </c>
      <c r="S519" s="382">
        <v>14758.32</v>
      </c>
      <c r="T519" s="415">
        <f t="shared" si="214"/>
        <v>-2.7527530165892711E-2</v>
      </c>
      <c r="U519" s="415">
        <f t="shared" si="215"/>
        <v>0.71954680822307249</v>
      </c>
      <c r="V519" s="416" t="str">
        <f t="shared" si="193"/>
        <v>Yes</v>
      </c>
      <c r="W519" s="417">
        <f t="shared" si="154"/>
        <v>1</v>
      </c>
      <c r="X519" s="415">
        <f>SUM($W$478:W519)/COUNT($W$478:W519)</f>
        <v>0.61904761904761907</v>
      </c>
    </row>
    <row r="520" spans="1:24">
      <c r="A520" s="403">
        <f t="shared" si="209"/>
        <v>518</v>
      </c>
      <c r="B520" s="422">
        <f t="shared" si="140"/>
        <v>41452</v>
      </c>
      <c r="D520" s="411">
        <v>52167.389090000004</v>
      </c>
      <c r="E520" s="408">
        <v>52167.389090000004</v>
      </c>
      <c r="F520" s="408">
        <f t="shared" si="162"/>
        <v>1562.0380800000057</v>
      </c>
      <c r="G520" s="409">
        <f t="shared" si="163"/>
        <v>3.0867053559046287E-2</v>
      </c>
      <c r="H520" s="408">
        <f t="shared" si="149"/>
        <v>29311.539090000006</v>
      </c>
      <c r="I520" s="409">
        <f t="shared" si="150"/>
        <v>1.2824523738998992</v>
      </c>
      <c r="L520" s="382">
        <v>1613.2</v>
      </c>
      <c r="M520" s="415">
        <f t="shared" ref="M520" si="217">(L520/L519)-1</f>
        <v>1.5747486132011934E-2</v>
      </c>
      <c r="N520" s="415">
        <f t="shared" ref="N520" si="218">(L520/$L$3)-1</f>
        <v>0.73447445381042487</v>
      </c>
      <c r="O520" s="416" t="str">
        <f t="shared" si="205"/>
        <v>Yes</v>
      </c>
      <c r="P520" s="417">
        <f t="shared" ref="P520" si="219">IF(O520="Yes",1,0)</f>
        <v>1</v>
      </c>
      <c r="Q520" s="415">
        <f>SUM($P$4:P520)/COUNT($P$4:P520)</f>
        <v>0.54352030947775631</v>
      </c>
      <c r="S520" s="382">
        <v>15024.49</v>
      </c>
      <c r="T520" s="415">
        <f t="shared" ref="T520:T521" si="220">(S520/S519)-1</f>
        <v>1.8035250624732324E-2</v>
      </c>
      <c r="U520" s="415">
        <f t="shared" ref="U520:U521" si="221">(S520/$S$3)-1</f>
        <v>0.75055926587033417</v>
      </c>
      <c r="V520" s="416" t="str">
        <f t="shared" si="193"/>
        <v>Yes</v>
      </c>
      <c r="W520" s="417">
        <f t="shared" si="154"/>
        <v>1</v>
      </c>
      <c r="X520" s="415">
        <f>SUM($W$478:W520)/COUNT($W$478:W520)</f>
        <v>0.62790697674418605</v>
      </c>
    </row>
    <row r="521" spans="1:24">
      <c r="A521" s="403">
        <f t="shared" si="209"/>
        <v>519</v>
      </c>
      <c r="B521" s="422">
        <f t="shared" si="140"/>
        <v>41459</v>
      </c>
      <c r="D521" s="411">
        <v>52938.623689999993</v>
      </c>
      <c r="E521" s="408">
        <v>52938.623689999993</v>
      </c>
      <c r="F521" s="408">
        <f t="shared" si="162"/>
        <v>771.23459999998886</v>
      </c>
      <c r="G521" s="409">
        <f t="shared" si="163"/>
        <v>1.4783845108089277E-2</v>
      </c>
      <c r="H521" s="408">
        <f t="shared" si="149"/>
        <v>30082.773689999995</v>
      </c>
      <c r="I521" s="409">
        <f t="shared" si="150"/>
        <v>1.3161957962622259</v>
      </c>
      <c r="L521" s="382">
        <v>1615.41</v>
      </c>
      <c r="M521" s="415">
        <f t="shared" ref="M521" si="222">(L521/L520)-1</f>
        <v>1.3699479295810058E-3</v>
      </c>
      <c r="N521" s="415">
        <f t="shared" ref="N521" si="223">(L521/$L$3)-1</f>
        <v>0.73685059349733351</v>
      </c>
      <c r="O521" s="416" t="str">
        <f t="shared" si="205"/>
        <v>Yes</v>
      </c>
      <c r="P521" s="417">
        <f t="shared" ref="P521" si="224">IF(O521="Yes",1,0)</f>
        <v>1</v>
      </c>
      <c r="Q521" s="415">
        <f>SUM($P$4:P521)/COUNT($P$4:P521)</f>
        <v>0.54440154440154442</v>
      </c>
      <c r="S521" s="382">
        <v>14988.55</v>
      </c>
      <c r="T521" s="415">
        <f t="shared" si="220"/>
        <v>-2.3920945070349253E-3</v>
      </c>
      <c r="U521" s="415">
        <f t="shared" si="221"/>
        <v>0.74637176266620675</v>
      </c>
      <c r="V521" s="416" t="str">
        <f t="shared" si="193"/>
        <v>Yes</v>
      </c>
      <c r="W521" s="417">
        <f t="shared" ref="W521" si="225">IF(V521="Yes",1,0)</f>
        <v>1</v>
      </c>
      <c r="X521" s="415">
        <f>SUM($W$478:W521)/COUNT($W$478:W521)</f>
        <v>0.63636363636363635</v>
      </c>
    </row>
    <row r="522" spans="1:24">
      <c r="A522" s="403">
        <f t="shared" si="209"/>
        <v>520</v>
      </c>
      <c r="B522" s="422">
        <f t="shared" si="140"/>
        <v>41466</v>
      </c>
      <c r="D522" s="411">
        <v>55487.447919999999</v>
      </c>
      <c r="E522" s="408">
        <f t="shared" ref="E522:E528" si="226">D522</f>
        <v>55487.447919999999</v>
      </c>
      <c r="F522" s="408">
        <f t="shared" si="162"/>
        <v>2548.8242300000056</v>
      </c>
      <c r="G522" s="409">
        <f t="shared" si="163"/>
        <v>4.8146779276422302E-2</v>
      </c>
      <c r="H522" s="408">
        <f t="shared" si="149"/>
        <v>32631.59792</v>
      </c>
      <c r="I522" s="409">
        <f t="shared" si="150"/>
        <v>1.4277131640258403</v>
      </c>
      <c r="L522" s="382">
        <v>1675.02</v>
      </c>
      <c r="M522" s="415">
        <f t="shared" ref="M522:M528" si="227">(L522/L521)-1</f>
        <v>3.6900848700949007E-2</v>
      </c>
      <c r="N522" s="415">
        <f t="shared" ref="N522:N528" si="228">(L522/$L$3)-1</f>
        <v>0.80094185446413202</v>
      </c>
      <c r="O522" s="416" t="str">
        <f t="shared" si="205"/>
        <v>Yes</v>
      </c>
      <c r="P522" s="417">
        <f t="shared" ref="P522" si="229">IF(O522="Yes",1,0)</f>
        <v>1</v>
      </c>
      <c r="Q522" s="415">
        <f>SUM($P$4:P522)/COUNT($P$4:P522)</f>
        <v>0.54527938342967242</v>
      </c>
      <c r="S522" s="382">
        <v>15460.92</v>
      </c>
      <c r="T522" s="415">
        <f t="shared" ref="T522:T529" si="230">(S522/S521)-1</f>
        <v>3.1515390081095385E-2</v>
      </c>
      <c r="U522" s="415">
        <f t="shared" ref="U522:U525" si="231">(S522/$S$3)-1</f>
        <v>0.8014093499932422</v>
      </c>
      <c r="V522" s="416" t="str">
        <f t="shared" si="193"/>
        <v>Yes</v>
      </c>
      <c r="W522" s="417">
        <f t="shared" ref="W522" si="232">IF(V522="Yes",1,0)</f>
        <v>1</v>
      </c>
      <c r="X522" s="415">
        <f>SUM($W$478:W522)/COUNT($W$478:W522)</f>
        <v>0.64444444444444449</v>
      </c>
    </row>
    <row r="523" spans="1:24">
      <c r="A523" s="403">
        <f t="shared" si="209"/>
        <v>521</v>
      </c>
      <c r="B523" s="422">
        <f t="shared" si="140"/>
        <v>41473</v>
      </c>
      <c r="D523" s="411">
        <v>55469.736499999999</v>
      </c>
      <c r="E523" s="408">
        <f t="shared" si="226"/>
        <v>55469.736499999999</v>
      </c>
      <c r="F523" s="408">
        <f t="shared" si="162"/>
        <v>-17.711419999999634</v>
      </c>
      <c r="G523" s="409">
        <f t="shared" si="163"/>
        <v>-3.1919687540027386E-4</v>
      </c>
      <c r="H523" s="408">
        <f t="shared" si="149"/>
        <v>32613.886500000001</v>
      </c>
      <c r="I523" s="409">
        <f t="shared" si="150"/>
        <v>1.4269382455695152</v>
      </c>
      <c r="L523" s="382">
        <v>1689.37</v>
      </c>
      <c r="M523" s="415">
        <f t="shared" si="227"/>
        <v>8.567061885828231E-3</v>
      </c>
      <c r="N523" s="415">
        <f t="shared" si="228"/>
        <v>0.81637063478410443</v>
      </c>
      <c r="O523" s="416" t="str">
        <f t="shared" si="205"/>
        <v>No</v>
      </c>
      <c r="P523" s="417">
        <f t="shared" ref="P523" si="233">IF(O523="Yes",1,0)</f>
        <v>0</v>
      </c>
      <c r="Q523" s="415">
        <f>SUM($P$4:P523)/COUNT($P$4:P523)</f>
        <v>0.54423076923076918</v>
      </c>
      <c r="S523" s="382">
        <v>15548.54</v>
      </c>
      <c r="T523" s="415">
        <f t="shared" si="230"/>
        <v>5.6671918618038664E-3</v>
      </c>
      <c r="U523" s="415">
        <f t="shared" si="231"/>
        <v>0.81161828240130118</v>
      </c>
      <c r="V523" s="416" t="str">
        <f t="shared" si="193"/>
        <v>No</v>
      </c>
      <c r="W523" s="417">
        <f t="shared" ref="W523" si="234">IF(V523="Yes",1,0)</f>
        <v>0</v>
      </c>
      <c r="X523" s="415">
        <f>SUM($W$478:W523)/COUNT($W$478:W523)</f>
        <v>0.63043478260869568</v>
      </c>
    </row>
    <row r="524" spans="1:24">
      <c r="A524" s="403">
        <f t="shared" si="209"/>
        <v>522</v>
      </c>
      <c r="B524" s="422">
        <f t="shared" si="140"/>
        <v>41480</v>
      </c>
      <c r="D524" s="411">
        <v>54965.461609999991</v>
      </c>
      <c r="E524" s="408">
        <f t="shared" si="226"/>
        <v>54965.461609999991</v>
      </c>
      <c r="F524" s="408">
        <f t="shared" si="162"/>
        <v>-504.27489000000787</v>
      </c>
      <c r="G524" s="409">
        <f t="shared" si="163"/>
        <v>-9.0909912651200298E-3</v>
      </c>
      <c r="H524" s="408">
        <f t="shared" si="149"/>
        <v>32109.611609999993</v>
      </c>
      <c r="I524" s="409">
        <f t="shared" si="150"/>
        <v>1.404874971178057</v>
      </c>
      <c r="L524" s="382">
        <v>1690.25</v>
      </c>
      <c r="M524" s="415">
        <f t="shared" si="227"/>
        <v>5.2090424240991418E-4</v>
      </c>
      <c r="N524" s="415">
        <f t="shared" si="228"/>
        <v>0.81731678995355228</v>
      </c>
      <c r="O524" s="416" t="str">
        <f t="shared" si="205"/>
        <v>No</v>
      </c>
      <c r="P524" s="417">
        <f t="shared" ref="P524" si="235">IF(O524="Yes",1,0)</f>
        <v>0</v>
      </c>
      <c r="Q524" s="415">
        <f>SUM($P$4:P524)/COUNT($P$4:P524)</f>
        <v>0.54318618042226485</v>
      </c>
      <c r="S524" s="382">
        <v>15555.61</v>
      </c>
      <c r="T524" s="415">
        <f t="shared" si="230"/>
        <v>4.5470507198741572E-4</v>
      </c>
      <c r="U524" s="415">
        <f t="shared" si="231"/>
        <v>0.81244203442281426</v>
      </c>
      <c r="V524" s="416" t="str">
        <f t="shared" si="193"/>
        <v>No</v>
      </c>
      <c r="W524" s="417">
        <f t="shared" ref="W524" si="236">IF(V524="Yes",1,0)</f>
        <v>0</v>
      </c>
      <c r="X524" s="415">
        <f>SUM($W$478:W524)/COUNT($W$478:W524)</f>
        <v>0.61702127659574468</v>
      </c>
    </row>
    <row r="525" spans="1:24">
      <c r="A525" s="403">
        <f t="shared" si="209"/>
        <v>523</v>
      </c>
      <c r="B525" s="422">
        <f t="shared" ref="B525:B588" si="237">B524+7</f>
        <v>41487</v>
      </c>
      <c r="D525" s="411">
        <v>55544.842089999998</v>
      </c>
      <c r="E525" s="408">
        <f t="shared" si="226"/>
        <v>55544.842089999998</v>
      </c>
      <c r="F525" s="408">
        <f t="shared" si="162"/>
        <v>579.38048000000708</v>
      </c>
      <c r="G525" s="409">
        <f t="shared" si="163"/>
        <v>1.0540809865491996E-2</v>
      </c>
      <c r="H525" s="408">
        <f t="shared" si="149"/>
        <v>32688.99209</v>
      </c>
      <c r="I525" s="409">
        <f t="shared" si="150"/>
        <v>1.4302243009995252</v>
      </c>
      <c r="L525" s="382">
        <v>1706.87</v>
      </c>
      <c r="M525" s="415">
        <f t="shared" si="227"/>
        <v>9.8328649608045993E-3</v>
      </c>
      <c r="N525" s="415">
        <f t="shared" si="228"/>
        <v>0.83518622054016833</v>
      </c>
      <c r="O525" s="416" t="str">
        <f t="shared" si="205"/>
        <v>Yes</v>
      </c>
      <c r="P525" s="417">
        <f t="shared" ref="P525:P526" si="238">IF(O525="Yes",1,0)</f>
        <v>1</v>
      </c>
      <c r="Q525" s="415">
        <f>SUM($P$4:P525)/COUNT($P$4:P525)</f>
        <v>0.54406130268199238</v>
      </c>
      <c r="S525" s="382">
        <v>15628.02</v>
      </c>
      <c r="T525" s="415">
        <f t="shared" si="230"/>
        <v>4.6549122792356457E-3</v>
      </c>
      <c r="U525" s="415">
        <f t="shared" si="231"/>
        <v>0.82087879310425182</v>
      </c>
      <c r="V525" s="416" t="str">
        <f t="shared" si="193"/>
        <v>Yes</v>
      </c>
      <c r="W525" s="417">
        <f t="shared" ref="W525" si="239">IF(V525="Yes",1,0)</f>
        <v>1</v>
      </c>
      <c r="X525" s="415">
        <f>SUM($W$478:W525)/COUNT($W$478:W525)</f>
        <v>0.625</v>
      </c>
    </row>
    <row r="526" spans="1:24">
      <c r="A526" s="403">
        <f t="shared" si="209"/>
        <v>524</v>
      </c>
      <c r="B526" s="422">
        <f t="shared" si="237"/>
        <v>41494</v>
      </c>
      <c r="D526" s="411">
        <v>53750.599860000002</v>
      </c>
      <c r="E526" s="408">
        <f t="shared" si="226"/>
        <v>53750.599860000002</v>
      </c>
      <c r="F526" s="408">
        <f t="shared" si="162"/>
        <v>-1794.2422299999962</v>
      </c>
      <c r="G526" s="409">
        <f t="shared" si="163"/>
        <v>-3.230258944822928E-2</v>
      </c>
      <c r="H526" s="408">
        <f t="shared" si="149"/>
        <v>30894.749860000004</v>
      </c>
      <c r="I526" s="409">
        <f t="shared" si="150"/>
        <v>1.3517217631372276</v>
      </c>
      <c r="L526" s="382">
        <v>1697.48</v>
      </c>
      <c r="M526" s="415">
        <f t="shared" si="227"/>
        <v>-5.5012976969539551E-3</v>
      </c>
      <c r="N526" s="415">
        <f t="shared" si="228"/>
        <v>0.82509031481162909</v>
      </c>
      <c r="O526" s="416" t="str">
        <f t="shared" si="205"/>
        <v>No</v>
      </c>
      <c r="P526" s="417">
        <f t="shared" si="238"/>
        <v>0</v>
      </c>
      <c r="Q526" s="415">
        <f>SUM($P$4:P526)/COUNT($P$4:P526)</f>
        <v>0.54302103250478007</v>
      </c>
      <c r="S526" s="382">
        <v>15498.32</v>
      </c>
      <c r="T526" s="415">
        <f t="shared" si="230"/>
        <v>-8.2991959314103747E-3</v>
      </c>
      <c r="U526" s="415">
        <f t="shared" ref="U526:U529" si="240">(S526/$S$3)-1</f>
        <v>0.8057669632329294</v>
      </c>
      <c r="V526" s="416" t="str">
        <f t="shared" si="193"/>
        <v>No</v>
      </c>
      <c r="W526" s="417">
        <f t="shared" ref="W526" si="241">IF(V526="Yes",1,0)</f>
        <v>0</v>
      </c>
      <c r="X526" s="415">
        <f>SUM($W$478:W526)/COUNT($W$478:W526)</f>
        <v>0.61224489795918369</v>
      </c>
    </row>
    <row r="527" spans="1:24">
      <c r="A527" s="403">
        <f t="shared" si="209"/>
        <v>525</v>
      </c>
      <c r="B527" s="422">
        <f t="shared" si="237"/>
        <v>41501</v>
      </c>
      <c r="D527" s="411">
        <v>51488.608650000002</v>
      </c>
      <c r="E527" s="408">
        <f t="shared" si="226"/>
        <v>51488.608650000002</v>
      </c>
      <c r="F527" s="408">
        <f t="shared" ref="F527:F533" si="242">E527-E526</f>
        <v>-2261.9912100000001</v>
      </c>
      <c r="G527" s="409">
        <f t="shared" si="163"/>
        <v>-4.2083087740260261E-2</v>
      </c>
      <c r="H527" s="408">
        <f t="shared" si="149"/>
        <v>28632.758650000003</v>
      </c>
      <c r="I527" s="409">
        <f t="shared" si="150"/>
        <v>1.2527540498384444</v>
      </c>
      <c r="L527" s="382">
        <v>1661.32</v>
      </c>
      <c r="M527" s="415">
        <f t="shared" si="227"/>
        <v>-2.1302165563069964E-2</v>
      </c>
      <c r="N527" s="415">
        <f t="shared" si="228"/>
        <v>0.78621193875795625</v>
      </c>
      <c r="O527" s="416" t="str">
        <f t="shared" si="205"/>
        <v>No</v>
      </c>
      <c r="P527" s="417">
        <f t="shared" ref="P527" si="243">IF(O527="Yes",1,0)</f>
        <v>0</v>
      </c>
      <c r="Q527" s="415">
        <f>SUM($P$4:P527)/COUNT($P$4:P527)</f>
        <v>0.5419847328244275</v>
      </c>
      <c r="S527" s="382">
        <v>15112.19</v>
      </c>
      <c r="T527" s="415">
        <f t="shared" si="230"/>
        <v>-2.491431329331173E-2</v>
      </c>
      <c r="U527" s="415">
        <f t="shared" si="240"/>
        <v>0.76077751937623206</v>
      </c>
      <c r="V527" s="416" t="str">
        <f t="shared" si="193"/>
        <v>No</v>
      </c>
      <c r="W527" s="417">
        <f t="shared" ref="W527" si="244">IF(V527="Yes",1,0)</f>
        <v>0</v>
      </c>
      <c r="X527" s="415">
        <f>SUM($W$478:W527)/COUNT($W$478:W527)</f>
        <v>0.6</v>
      </c>
    </row>
    <row r="528" spans="1:24">
      <c r="A528" s="403">
        <f t="shared" si="209"/>
        <v>526</v>
      </c>
      <c r="B528" s="422">
        <f t="shared" si="237"/>
        <v>41508</v>
      </c>
      <c r="D528" s="411">
        <v>51765.866479999997</v>
      </c>
      <c r="E528" s="408">
        <f t="shared" si="226"/>
        <v>51765.866479999997</v>
      </c>
      <c r="F528" s="408">
        <f t="shared" si="242"/>
        <v>277.25782999999501</v>
      </c>
      <c r="G528" s="409">
        <f t="shared" si="163"/>
        <v>5.3848382636378922E-3</v>
      </c>
      <c r="H528" s="408">
        <f t="shared" si="149"/>
        <v>28910.016479999998</v>
      </c>
      <c r="I528" s="409">
        <f t="shared" si="150"/>
        <v>1.2648847660445792</v>
      </c>
      <c r="L528" s="382">
        <v>1656.96</v>
      </c>
      <c r="M528" s="415">
        <f t="shared" si="227"/>
        <v>-2.6244191365901726E-3</v>
      </c>
      <c r="N528" s="415">
        <f t="shared" si="228"/>
        <v>0.78152416996387397</v>
      </c>
      <c r="O528" s="416" t="str">
        <f t="shared" si="205"/>
        <v>Yes</v>
      </c>
      <c r="P528" s="417">
        <f t="shared" ref="P528" si="245">IF(O528="Yes",1,0)</f>
        <v>1</v>
      </c>
      <c r="Q528" s="415">
        <f>SUM($P$4:P528)/COUNT($P$4:P528)</f>
        <v>0.54285714285714282</v>
      </c>
      <c r="S528" s="382">
        <v>14963.74</v>
      </c>
      <c r="T528" s="415">
        <f t="shared" si="230"/>
        <v>-9.8231957115415547E-3</v>
      </c>
      <c r="U528" s="415">
        <f t="shared" si="240"/>
        <v>0.74348105719891677</v>
      </c>
      <c r="V528" s="416" t="str">
        <f t="shared" si="193"/>
        <v>Yes</v>
      </c>
      <c r="W528" s="417">
        <f t="shared" ref="W528" si="246">IF(V528="Yes",1,0)</f>
        <v>1</v>
      </c>
      <c r="X528" s="415">
        <f>SUM($W$478:W528)/COUNT($W$478:W528)</f>
        <v>0.60784313725490191</v>
      </c>
    </row>
    <row r="529" spans="1:24">
      <c r="A529" s="403">
        <f t="shared" si="209"/>
        <v>527</v>
      </c>
      <c r="B529" s="422">
        <f t="shared" si="237"/>
        <v>41515</v>
      </c>
      <c r="D529" s="411">
        <v>51321.179999999993</v>
      </c>
      <c r="E529" s="408">
        <f t="shared" ref="E529:E536" si="247">D529</f>
        <v>51321.179999999993</v>
      </c>
      <c r="F529" s="408">
        <f t="shared" si="242"/>
        <v>-444.68648000000394</v>
      </c>
      <c r="G529" s="409">
        <f t="shared" si="163"/>
        <v>-8.5903416718005055E-3</v>
      </c>
      <c r="H529" s="408">
        <f t="shared" si="149"/>
        <v>28465.329999999994</v>
      </c>
      <c r="I529" s="409">
        <f t="shared" si="150"/>
        <v>1.2454286320570005</v>
      </c>
      <c r="L529" s="382">
        <v>1638.17</v>
      </c>
      <c r="M529" s="415">
        <f t="shared" ref="M529" si="248">(L529/L528)-1</f>
        <v>-1.1340044418694406E-2</v>
      </c>
      <c r="N529" s="415">
        <f t="shared" ref="N529" si="249">(L529/$L$3)-1</f>
        <v>0.76132160674350602</v>
      </c>
      <c r="O529" s="416" t="str">
        <f t="shared" si="205"/>
        <v>Yes</v>
      </c>
      <c r="P529" s="417">
        <f t="shared" ref="P529" si="250">IF(O529="Yes",1,0)</f>
        <v>1</v>
      </c>
      <c r="Q529" s="415">
        <f>SUM($P$4:P529)/COUNT($P$4:P529)</f>
        <v>0.54372623574144485</v>
      </c>
      <c r="S529" s="382">
        <v>14840.95</v>
      </c>
      <c r="T529" s="415">
        <f t="shared" si="230"/>
        <v>-8.2058362414743069E-3</v>
      </c>
      <c r="U529" s="415">
        <f t="shared" si="240"/>
        <v>0.72917433715343005</v>
      </c>
      <c r="V529" s="416" t="str">
        <f t="shared" si="193"/>
        <v>No</v>
      </c>
      <c r="W529" s="417">
        <f t="shared" ref="W529" si="251">IF(V529="Yes",1,0)</f>
        <v>0</v>
      </c>
      <c r="X529" s="415">
        <f>SUM($W$478:W529)/COUNT($W$478:W529)</f>
        <v>0.59615384615384615</v>
      </c>
    </row>
    <row r="530" spans="1:24">
      <c r="A530" s="403">
        <f t="shared" si="209"/>
        <v>528</v>
      </c>
      <c r="B530" s="422">
        <f t="shared" si="237"/>
        <v>41522</v>
      </c>
      <c r="D530" s="411">
        <v>51641.85828</v>
      </c>
      <c r="E530" s="408">
        <f t="shared" si="247"/>
        <v>51641.85828</v>
      </c>
      <c r="F530" s="408">
        <f t="shared" si="242"/>
        <v>320.67828000000736</v>
      </c>
      <c r="G530" s="409">
        <f t="shared" si="163"/>
        <v>6.2484588234332783E-3</v>
      </c>
      <c r="H530" s="408">
        <f t="shared" si="149"/>
        <v>28786.008280000002</v>
      </c>
      <c r="I530" s="409">
        <f t="shared" si="150"/>
        <v>1.2594591004053668</v>
      </c>
      <c r="L530" s="382">
        <v>1655.08</v>
      </c>
      <c r="M530" s="415">
        <f t="shared" ref="M530" si="252">(L530/L529)-1</f>
        <v>1.0322494002453775E-2</v>
      </c>
      <c r="N530" s="415">
        <f t="shared" ref="N530" si="253">(L530/$L$3)-1</f>
        <v>0.77950283846550827</v>
      </c>
      <c r="O530" s="416" t="str">
        <f t="shared" si="205"/>
        <v>No</v>
      </c>
      <c r="P530" s="417">
        <f t="shared" ref="P530" si="254">IF(O530="Yes",1,0)</f>
        <v>0</v>
      </c>
      <c r="Q530" s="415">
        <f>SUM($P$4:P530)/COUNT($P$4:P530)</f>
        <v>0.54269449715370022</v>
      </c>
      <c r="S530" s="382">
        <v>14937.48</v>
      </c>
      <c r="T530" s="415">
        <f t="shared" ref="T530" si="255">(S530/S529)-1</f>
        <v>6.5043006007026172E-3</v>
      </c>
      <c r="U530" s="415">
        <f t="shared" ref="U530" si="256">(S530/$S$3)-1</f>
        <v>0.74042140683329682</v>
      </c>
      <c r="V530" s="416" t="str">
        <f t="shared" si="193"/>
        <v>No</v>
      </c>
      <c r="W530" s="417">
        <f t="shared" ref="W530" si="257">IF(V530="Yes",1,0)</f>
        <v>0</v>
      </c>
      <c r="X530" s="415">
        <f>SUM($W$478:W530)/COUNT($W$478:W530)</f>
        <v>0.58490566037735847</v>
      </c>
    </row>
    <row r="531" spans="1:24">
      <c r="A531" s="403">
        <f t="shared" si="209"/>
        <v>529</v>
      </c>
      <c r="B531" s="422">
        <f t="shared" si="237"/>
        <v>41529</v>
      </c>
      <c r="D531" s="411">
        <v>53271.439579999998</v>
      </c>
      <c r="E531" s="408">
        <f t="shared" si="247"/>
        <v>53271.439579999998</v>
      </c>
      <c r="F531" s="408">
        <f t="shared" si="242"/>
        <v>1629.581299999998</v>
      </c>
      <c r="G531" s="409">
        <f t="shared" si="163"/>
        <v>3.1555434956745287E-2</v>
      </c>
      <c r="H531" s="408">
        <f t="shared" si="149"/>
        <v>30415.58958</v>
      </c>
      <c r="I531" s="409">
        <f t="shared" si="150"/>
        <v>1.3307573150856347</v>
      </c>
      <c r="L531" s="382">
        <v>1683.42</v>
      </c>
      <c r="M531" s="415">
        <f t="shared" ref="M531:M532" si="258">(L531/L530)-1</f>
        <v>1.7123039369698168E-2</v>
      </c>
      <c r="N531" s="415">
        <f t="shared" ref="N531:N532" si="259">(L531/$L$3)-1</f>
        <v>0.80997333562704288</v>
      </c>
      <c r="O531" s="416" t="str">
        <f t="shared" si="205"/>
        <v>Yes</v>
      </c>
      <c r="P531" s="417">
        <f t="shared" ref="P531" si="260">IF(O531="Yes",1,0)</f>
        <v>1</v>
      </c>
      <c r="Q531" s="415">
        <f>SUM($P$4:P531)/COUNT($P$4:P531)</f>
        <v>0.54356060606060608</v>
      </c>
      <c r="S531" s="382">
        <v>15300.64</v>
      </c>
      <c r="T531" s="415">
        <f t="shared" ref="T531:T532" si="261">(S531/S530)-1</f>
        <v>2.4311999078827196E-2</v>
      </c>
      <c r="U531" s="415">
        <f t="shared" ref="U531:U532" si="262">(S531/$S$3)-1</f>
        <v>0.7827345304729989</v>
      </c>
      <c r="V531" s="416" t="str">
        <f t="shared" si="193"/>
        <v>Yes</v>
      </c>
      <c r="W531" s="417">
        <f t="shared" ref="W531" si="263">IF(V531="Yes",1,0)</f>
        <v>1</v>
      </c>
      <c r="X531" s="415">
        <f>SUM($W$478:W531)/COUNT($W$478:W531)</f>
        <v>0.59259259259259256</v>
      </c>
    </row>
    <row r="532" spans="1:24">
      <c r="A532" s="403">
        <f t="shared" si="209"/>
        <v>530</v>
      </c>
      <c r="B532" s="422">
        <f t="shared" si="237"/>
        <v>41536</v>
      </c>
      <c r="D532" s="411">
        <v>54338.890270000004</v>
      </c>
      <c r="E532" s="408">
        <f t="shared" si="247"/>
        <v>54338.890270000004</v>
      </c>
      <c r="F532" s="408">
        <f t="shared" si="242"/>
        <v>1067.4506900000051</v>
      </c>
      <c r="G532" s="409">
        <f t="shared" si="163"/>
        <v>2.0037954641660694E-2</v>
      </c>
      <c r="H532" s="408">
        <f t="shared" si="149"/>
        <v>31483.040270000005</v>
      </c>
      <c r="I532" s="409">
        <f t="shared" si="150"/>
        <v>1.3774609244460394</v>
      </c>
      <c r="L532" s="382">
        <v>1722.34</v>
      </c>
      <c r="M532" s="415">
        <f t="shared" si="258"/>
        <v>2.311960176307748E-2</v>
      </c>
      <c r="N532" s="415">
        <f t="shared" si="259"/>
        <v>0.85181919834852904</v>
      </c>
      <c r="O532" s="416" t="str">
        <f t="shared" si="205"/>
        <v>No</v>
      </c>
      <c r="P532" s="417">
        <f t="shared" ref="P532" si="264">IF(O532="Yes",1,0)</f>
        <v>0</v>
      </c>
      <c r="Q532" s="415">
        <f>SUM($P$4:P532)/COUNT($P$4:P532)</f>
        <v>0.5425330812854442</v>
      </c>
      <c r="S532" s="382">
        <v>15636.55</v>
      </c>
      <c r="T532" s="415">
        <f t="shared" si="261"/>
        <v>2.1953983624214413E-2</v>
      </c>
      <c r="U532" s="415">
        <f t="shared" si="262"/>
        <v>0.82187265516132468</v>
      </c>
      <c r="V532" s="416" t="str">
        <f t="shared" si="193"/>
        <v>No</v>
      </c>
      <c r="W532" s="417">
        <f t="shared" ref="W532" si="265">IF(V532="Yes",1,0)</f>
        <v>0</v>
      </c>
      <c r="X532" s="415">
        <f>SUM($W$478:W532)/COUNT($W$478:W532)</f>
        <v>0.58181818181818179</v>
      </c>
    </row>
    <row r="533" spans="1:24">
      <c r="A533" s="403">
        <f t="shared" si="209"/>
        <v>531</v>
      </c>
      <c r="B533" s="422">
        <f t="shared" si="237"/>
        <v>41543</v>
      </c>
      <c r="D533" s="411">
        <v>53710.914519999998</v>
      </c>
      <c r="E533" s="408">
        <f t="shared" si="247"/>
        <v>53710.914519999998</v>
      </c>
      <c r="F533" s="408">
        <f t="shared" si="242"/>
        <v>-627.97575000000506</v>
      </c>
      <c r="G533" s="409">
        <f t="shared" si="163"/>
        <v>-1.1556653933853078E-2</v>
      </c>
      <c r="H533" s="408">
        <f t="shared" si="149"/>
        <v>30855.06452</v>
      </c>
      <c r="I533" s="409">
        <f t="shared" si="150"/>
        <v>1.3499854313009578</v>
      </c>
      <c r="L533" s="382">
        <v>1698.67</v>
      </c>
      <c r="M533" s="415">
        <f t="shared" ref="M533" si="266">(L533/L532)-1</f>
        <v>-1.3742931128580826E-2</v>
      </c>
      <c r="N533" s="415">
        <f t="shared" ref="N533" si="267">(L533/$L$3)-1</f>
        <v>0.8263697746430414</v>
      </c>
      <c r="O533" s="416" t="str">
        <f t="shared" si="205"/>
        <v>Yes</v>
      </c>
      <c r="P533" s="417">
        <f t="shared" ref="P533" si="268">IF(O533="Yes",1,0)</f>
        <v>1</v>
      </c>
      <c r="Q533" s="415">
        <f>SUM($P$4:P533)/COUNT($P$4:P533)</f>
        <v>0.54339622641509433</v>
      </c>
      <c r="S533" s="382">
        <v>15328.3</v>
      </c>
      <c r="T533" s="415">
        <f t="shared" ref="T533" si="269">(S533/S532)-1</f>
        <v>-1.9713427834144981E-2</v>
      </c>
      <c r="U533" s="415">
        <f t="shared" ref="U533" si="270">(S533/$S$3)-1</f>
        <v>0.78595730005079978</v>
      </c>
      <c r="V533" s="416" t="str">
        <f t="shared" si="193"/>
        <v>Yes</v>
      </c>
      <c r="W533" s="417">
        <f t="shared" ref="W533" si="271">IF(V533="Yes",1,0)</f>
        <v>1</v>
      </c>
      <c r="X533" s="415">
        <f>SUM($W$478:W533)/COUNT($W$478:W533)</f>
        <v>0.5892857142857143</v>
      </c>
    </row>
    <row r="534" spans="1:24">
      <c r="A534" s="403">
        <f t="shared" si="209"/>
        <v>532</v>
      </c>
      <c r="B534" s="422">
        <f t="shared" si="237"/>
        <v>41550</v>
      </c>
      <c r="D534" s="411">
        <v>53544.831089999992</v>
      </c>
      <c r="E534" s="408">
        <f t="shared" si="247"/>
        <v>53544.831089999992</v>
      </c>
      <c r="F534" s="408">
        <f t="shared" ref="F534" si="272">E534-E533</f>
        <v>-166.08343000000605</v>
      </c>
      <c r="G534" s="409">
        <f t="shared" ref="G534" si="273">(E534/E533)-1</f>
        <v>-3.0921728197006448E-3</v>
      </c>
      <c r="H534" s="408">
        <f t="shared" ref="H534" si="274">E534-$D$3</f>
        <v>30688.981089999994</v>
      </c>
      <c r="I534" s="409">
        <f t="shared" ref="I534" si="275">(E534/$D$3)-1</f>
        <v>1.3427188702235968</v>
      </c>
      <c r="L534" s="382">
        <v>1678.66</v>
      </c>
      <c r="M534" s="415">
        <f t="shared" ref="M534" si="276">(L534/L533)-1</f>
        <v>-1.1779804199756327E-2</v>
      </c>
      <c r="N534" s="415">
        <f t="shared" ref="N534" si="277">(L534/$L$3)-1</f>
        <v>0.80485549630139341</v>
      </c>
      <c r="O534" s="416" t="str">
        <f t="shared" si="205"/>
        <v>Yes</v>
      </c>
      <c r="P534" s="417">
        <f t="shared" ref="P534" si="278">IF(O534="Yes",1,0)</f>
        <v>1</v>
      </c>
      <c r="Q534" s="415">
        <f>SUM($P$4:P534)/COUNT($P$4:P534)</f>
        <v>0.54425612052730699</v>
      </c>
      <c r="S534" s="382">
        <v>14996.48</v>
      </c>
      <c r="T534" s="415">
        <f t="shared" ref="T534" si="279">(S534/S533)-1</f>
        <v>-2.1647540823183209E-2</v>
      </c>
      <c r="U534" s="415">
        <f t="shared" ref="U534" si="280">(S534/$S$3)-1</f>
        <v>0.747295716489488</v>
      </c>
      <c r="V534" s="416" t="str">
        <f t="shared" si="193"/>
        <v>Yes</v>
      </c>
      <c r="W534" s="417">
        <f t="shared" ref="W534" si="281">IF(V534="Yes",1,0)</f>
        <v>1</v>
      </c>
      <c r="X534" s="415">
        <f>SUM($W$478:W534)/COUNT($W$478:W534)</f>
        <v>0.59649122807017541</v>
      </c>
    </row>
    <row r="535" spans="1:24">
      <c r="A535" s="403">
        <f t="shared" si="209"/>
        <v>533</v>
      </c>
      <c r="B535" s="422">
        <f t="shared" si="237"/>
        <v>41557</v>
      </c>
      <c r="D535" s="411">
        <v>53744.816409999992</v>
      </c>
      <c r="E535" s="408">
        <f t="shared" si="247"/>
        <v>53744.816409999992</v>
      </c>
      <c r="F535" s="408">
        <f t="shared" ref="F535" si="282">E535-E534</f>
        <v>199.98531999999977</v>
      </c>
      <c r="G535" s="409">
        <f t="shared" ref="G535" si="283">(E535/E534)-1</f>
        <v>3.7349136401954031E-3</v>
      </c>
      <c r="H535" s="408">
        <f t="shared" ref="H535" si="284">E535-$D$3</f>
        <v>30888.966409999994</v>
      </c>
      <c r="I535" s="409">
        <f t="shared" ref="I535" si="285">(E535/$D$3)-1</f>
        <v>1.3514687228871383</v>
      </c>
      <c r="L535" s="382">
        <v>1692.56</v>
      </c>
      <c r="M535" s="415">
        <f t="shared" ref="M535" si="286">(L535/L534)-1</f>
        <v>8.2804141398495901E-3</v>
      </c>
      <c r="N535" s="415">
        <f t="shared" ref="N535" si="287">(L535/$L$3)-1</f>
        <v>0.81980044727335266</v>
      </c>
      <c r="O535" s="416" t="str">
        <f t="shared" si="205"/>
        <v>No</v>
      </c>
      <c r="P535" s="417">
        <f t="shared" ref="P535" si="288">IF(O535="Yes",1,0)</f>
        <v>0</v>
      </c>
      <c r="Q535" s="415">
        <f>SUM($P$4:P535)/COUNT($P$4:P535)</f>
        <v>0.54323308270676696</v>
      </c>
      <c r="S535" s="382">
        <v>15126.07</v>
      </c>
      <c r="T535" s="415">
        <f t="shared" ref="T535" si="289">(S535/S534)-1</f>
        <v>8.6413611727551576E-3</v>
      </c>
      <c r="U535" s="415">
        <f t="shared" ref="U535" si="290">(S535/$S$3)-1</f>
        <v>0.76239472985128187</v>
      </c>
      <c r="V535" s="416" t="str">
        <f t="shared" si="193"/>
        <v>No</v>
      </c>
      <c r="W535" s="417">
        <f t="shared" ref="W535" si="291">IF(V535="Yes",1,0)</f>
        <v>0</v>
      </c>
      <c r="X535" s="415">
        <f>SUM($W$478:W535)/COUNT($W$478:W535)</f>
        <v>0.58620689655172409</v>
      </c>
    </row>
    <row r="536" spans="1:24">
      <c r="A536" s="403">
        <f t="shared" si="209"/>
        <v>534</v>
      </c>
      <c r="B536" s="422">
        <f t="shared" si="237"/>
        <v>41564</v>
      </c>
      <c r="D536" s="411">
        <v>54206.152409999995</v>
      </c>
      <c r="E536" s="408">
        <f t="shared" si="247"/>
        <v>54206.152409999995</v>
      </c>
      <c r="F536" s="408">
        <f t="shared" ref="F536" si="292">E536-E535</f>
        <v>461.33600000000297</v>
      </c>
      <c r="G536" s="409">
        <f t="shared" ref="G536" si="293">(E536/E535)-1</f>
        <v>8.5838231631611972E-3</v>
      </c>
      <c r="H536" s="408">
        <f t="shared" ref="H536" si="294">E536-$D$3</f>
        <v>31350.302409999997</v>
      </c>
      <c r="I536" s="409">
        <f t="shared" ref="I536" si="295">(E536/$D$3)-1</f>
        <v>1.3716533145781056</v>
      </c>
      <c r="L536" s="382">
        <v>1729.47</v>
      </c>
      <c r="M536" s="415">
        <f t="shared" ref="M536" si="296">(L536/L535)-1</f>
        <v>2.1807203289691435E-2</v>
      </c>
      <c r="N536" s="415">
        <f t="shared" ref="N536" si="297">(L536/$L$3)-1</f>
        <v>0.85948520557371411</v>
      </c>
      <c r="O536" s="416" t="str">
        <f t="shared" si="205"/>
        <v>No</v>
      </c>
      <c r="P536" s="417">
        <f t="shared" ref="P536" si="298">IF(O536="Yes",1,0)</f>
        <v>0</v>
      </c>
      <c r="Q536" s="415">
        <f>SUM($P$4:P536)/COUNT($P$4:P536)</f>
        <v>0.54221388367729828</v>
      </c>
      <c r="S536" s="382">
        <v>15346.83</v>
      </c>
      <c r="T536" s="415">
        <f t="shared" ref="T536" si="299">(S536/S535)-1</f>
        <v>1.4594669996899512E-2</v>
      </c>
      <c r="U536" s="415">
        <f t="shared" ref="U536" si="300">(S536/$S$3)-1</f>
        <v>0.78811629933773597</v>
      </c>
      <c r="V536" s="416" t="str">
        <f t="shared" si="193"/>
        <v>No</v>
      </c>
      <c r="W536" s="417">
        <f t="shared" ref="W536" si="301">IF(V536="Yes",1,0)</f>
        <v>0</v>
      </c>
      <c r="X536" s="415">
        <f>SUM($W$478:W536)/COUNT($W$478:W536)</f>
        <v>0.57627118644067798</v>
      </c>
    </row>
    <row r="537" spans="1:24">
      <c r="A537" s="403">
        <f t="shared" si="209"/>
        <v>535</v>
      </c>
      <c r="B537" s="422">
        <f t="shared" si="237"/>
        <v>41571</v>
      </c>
      <c r="D537" s="411">
        <v>54268.322670000001</v>
      </c>
      <c r="E537" s="408">
        <f t="shared" ref="E537" si="302">D537</f>
        <v>54268.322670000001</v>
      </c>
      <c r="F537" s="408">
        <f t="shared" ref="F537" si="303">E537-E536</f>
        <v>62.170260000006238</v>
      </c>
      <c r="G537" s="409">
        <f t="shared" ref="G537" si="304">(E537/E536)-1</f>
        <v>1.146922576791054E-3</v>
      </c>
      <c r="H537" s="408">
        <f t="shared" ref="H537" si="305">E537-$D$3</f>
        <v>31412.472670000003</v>
      </c>
      <c r="I537" s="409">
        <f t="shared" ref="I537" si="306">(E537/$D$3)-1</f>
        <v>1.3743734173089166</v>
      </c>
      <c r="L537" s="382">
        <v>1752.07</v>
      </c>
      <c r="M537" s="415">
        <f t="shared" ref="M537" si="307">(L537/L536)-1</f>
        <v>1.3067587179887319E-2</v>
      </c>
      <c r="N537" s="415">
        <f t="shared" ref="N537" si="308">(L537/$L$3)-1</f>
        <v>0.88378419060725943</v>
      </c>
      <c r="O537" s="416" t="str">
        <f t="shared" si="205"/>
        <v>No</v>
      </c>
      <c r="P537" s="417">
        <f t="shared" ref="P537" si="309">IF(O537="Yes",1,0)</f>
        <v>0</v>
      </c>
      <c r="Q537" s="415">
        <f>SUM($P$4:P537)/COUNT($P$4:P537)</f>
        <v>0.54119850187265917</v>
      </c>
      <c r="S537" s="382">
        <v>15509.21</v>
      </c>
      <c r="T537" s="415">
        <f t="shared" ref="T537" si="310">(S537/S536)-1</f>
        <v>1.0580686695558672E-2</v>
      </c>
      <c r="U537" s="415">
        <f t="shared" ref="U537" si="311">(S537/$S$3)-1</f>
        <v>0.80703579767625011</v>
      </c>
      <c r="V537" s="416" t="str">
        <f t="shared" si="193"/>
        <v>No</v>
      </c>
      <c r="W537" s="417">
        <f t="shared" ref="W537" si="312">IF(V537="Yes",1,0)</f>
        <v>0</v>
      </c>
      <c r="X537" s="415">
        <f>SUM($W$478:W537)/COUNT($W$478:W537)</f>
        <v>0.56666666666666665</v>
      </c>
    </row>
    <row r="538" spans="1:24">
      <c r="A538" s="403">
        <f t="shared" si="209"/>
        <v>536</v>
      </c>
      <c r="B538" s="422">
        <f t="shared" si="237"/>
        <v>41578</v>
      </c>
      <c r="D538" s="411">
        <v>53844.157950000008</v>
      </c>
      <c r="E538" s="408">
        <f t="shared" ref="E538" si="313">D538</f>
        <v>53844.157950000008</v>
      </c>
      <c r="F538" s="408">
        <f t="shared" ref="F538" si="314">E538-E537</f>
        <v>-424.16471999999339</v>
      </c>
      <c r="G538" s="409">
        <f t="shared" ref="G538" si="315">(E538/E537)-1</f>
        <v>-7.8160646788236754E-3</v>
      </c>
      <c r="H538" s="408">
        <f t="shared" ref="H538" si="316">E538-$D$3</f>
        <v>30988.307950000009</v>
      </c>
      <c r="I538" s="409">
        <f t="shared" ref="I538" si="317">(E538/$D$3)-1</f>
        <v>1.3558151611075506</v>
      </c>
      <c r="L538" s="382">
        <v>1756.54</v>
      </c>
      <c r="M538" s="415">
        <f t="shared" ref="M538" si="318">(L538/L537)-1</f>
        <v>2.5512679287928997E-3</v>
      </c>
      <c r="N538" s="415">
        <f t="shared" ref="N538" si="319">(L538/$L$3)-1</f>
        <v>0.8885902287975227</v>
      </c>
      <c r="O538" s="416" t="str">
        <f t="shared" si="205"/>
        <v>No</v>
      </c>
      <c r="P538" s="417">
        <f t="shared" ref="P538" si="320">IF(O538="Yes",1,0)</f>
        <v>0</v>
      </c>
      <c r="Q538" s="415">
        <f>SUM($P$4:P538)/COUNT($P$4:P538)</f>
        <v>0.54018691588785051</v>
      </c>
      <c r="S538" s="382">
        <v>15545.75</v>
      </c>
      <c r="T538" s="415">
        <f t="shared" ref="T538" si="321">(S538/S537)-1</f>
        <v>2.3560194232976617E-3</v>
      </c>
      <c r="U538" s="415">
        <f t="shared" ref="U538" si="322">(S538/$S$3)-1</f>
        <v>0.81129320911416936</v>
      </c>
      <c r="V538" s="416" t="str">
        <f t="shared" si="193"/>
        <v>No</v>
      </c>
      <c r="W538" s="417">
        <f t="shared" ref="W538" si="323">IF(V538="Yes",1,0)</f>
        <v>0</v>
      </c>
      <c r="X538" s="415">
        <f>SUM($W$478:W538)/COUNT($W$478:W538)</f>
        <v>0.55737704918032782</v>
      </c>
    </row>
    <row r="539" spans="1:24">
      <c r="A539" s="403">
        <f t="shared" si="209"/>
        <v>537</v>
      </c>
      <c r="B539" s="422">
        <f t="shared" si="237"/>
        <v>41585</v>
      </c>
      <c r="D539" s="411">
        <v>52907.849669999996</v>
      </c>
      <c r="E539" s="408">
        <f t="shared" ref="E539" si="324">D539</f>
        <v>52907.849669999996</v>
      </c>
      <c r="F539" s="408">
        <f t="shared" ref="F539:F540" si="325">E539-E538</f>
        <v>-936.30828000001202</v>
      </c>
      <c r="G539" s="409">
        <f t="shared" ref="G539:G540" si="326">(E539/E538)-1</f>
        <v>-1.7389226903120503E-2</v>
      </c>
      <c r="H539" s="408">
        <f t="shared" ref="H539:H540" si="327">E539-$D$3</f>
        <v>30051.999669999997</v>
      </c>
      <c r="I539" s="409">
        <f t="shared" ref="I539:I540" si="328">(E539/$D$3)-1</f>
        <v>1.3148493567292401</v>
      </c>
      <c r="L539" s="382">
        <v>1747.15</v>
      </c>
      <c r="M539" s="415">
        <f t="shared" ref="M539:M541" si="329">(L539/L538)-1</f>
        <v>-5.3457365047194783E-3</v>
      </c>
      <c r="N539" s="415">
        <f t="shared" ref="N539:N541" si="330">(L539/$L$3)-1</f>
        <v>0.87849432306898323</v>
      </c>
      <c r="O539" s="416" t="str">
        <f t="shared" ref="O539" si="331">IF(G539&gt;M539,"Yes","No")</f>
        <v>No</v>
      </c>
      <c r="P539" s="417">
        <f t="shared" ref="P539:P540" si="332">IF(O539="Yes",1,0)</f>
        <v>0</v>
      </c>
      <c r="Q539" s="415">
        <f>SUM($P$4:P539)/COUNT($P$4:P539)</f>
        <v>0.53917910447761197</v>
      </c>
      <c r="S539" s="382">
        <v>15593.98</v>
      </c>
      <c r="T539" s="415">
        <f t="shared" ref="T539:T540" si="333">(S539/S538)-1</f>
        <v>3.1024556550824922E-3</v>
      </c>
      <c r="U539" s="415">
        <f t="shared" ref="U539:U540" si="334">(S539/$S$3)-1</f>
        <v>0.81691266597379819</v>
      </c>
      <c r="V539" s="416" t="str">
        <f t="shared" ref="V539" si="335">IF(G539&gt;T539,"Yes","No")</f>
        <v>No</v>
      </c>
      <c r="W539" s="417">
        <f t="shared" ref="W539:W540" si="336">IF(V539="Yes",1,0)</f>
        <v>0</v>
      </c>
      <c r="X539" s="415">
        <f>SUM($W$478:W539)/COUNT($W$478:W539)</f>
        <v>0.54838709677419351</v>
      </c>
    </row>
    <row r="540" spans="1:24">
      <c r="A540" s="403">
        <f t="shared" si="209"/>
        <v>538</v>
      </c>
      <c r="B540" s="422">
        <f t="shared" si="237"/>
        <v>41592</v>
      </c>
      <c r="D540" s="411">
        <v>55010.895779999999</v>
      </c>
      <c r="E540" s="408">
        <f>D540</f>
        <v>55010.895779999999</v>
      </c>
      <c r="F540" s="408">
        <f t="shared" si="325"/>
        <v>2103.046110000003</v>
      </c>
      <c r="G540" s="409">
        <f t="shared" si="326"/>
        <v>3.9749226685969141E-2</v>
      </c>
      <c r="H540" s="408">
        <f t="shared" si="327"/>
        <v>32155.04578</v>
      </c>
      <c r="I540" s="409">
        <f t="shared" si="328"/>
        <v>1.4068628285537401</v>
      </c>
      <c r="L540" s="382">
        <v>1790.62</v>
      </c>
      <c r="M540" s="415">
        <f t="shared" si="329"/>
        <v>2.4880519703517123E-2</v>
      </c>
      <c r="N540" s="415">
        <f t="shared" si="330"/>
        <v>0.92523223808704613</v>
      </c>
      <c r="O540" s="416" t="str">
        <f t="shared" ref="O540:O545" si="337">IF(G540&gt;M540,"Yes","No")</f>
        <v>Yes</v>
      </c>
      <c r="P540" s="417">
        <f t="shared" si="332"/>
        <v>1</v>
      </c>
      <c r="Q540" s="415">
        <f>SUM($P$4:P540)/COUNT($P$4:P540)</f>
        <v>0.54003724394785846</v>
      </c>
      <c r="S540" s="382">
        <v>15876.22</v>
      </c>
      <c r="T540" s="415">
        <f t="shared" si="333"/>
        <v>1.8099292162744751E-2</v>
      </c>
      <c r="U540" s="415">
        <f t="shared" si="334"/>
        <v>0.84979749914944969</v>
      </c>
      <c r="V540" s="416" t="str">
        <f t="shared" ref="V540:V545" si="338">IF(G540&gt;T540,"Yes","No")</f>
        <v>Yes</v>
      </c>
      <c r="W540" s="417">
        <f t="shared" si="336"/>
        <v>1</v>
      </c>
      <c r="X540" s="415">
        <f>SUM($W$478:W540)/COUNT($W$478:W540)</f>
        <v>0.55555555555555558</v>
      </c>
    </row>
    <row r="541" spans="1:24">
      <c r="A541" s="403">
        <f t="shared" si="209"/>
        <v>539</v>
      </c>
      <c r="B541" s="422">
        <f t="shared" si="237"/>
        <v>41599</v>
      </c>
      <c r="D541" s="411">
        <v>54483.941489999997</v>
      </c>
      <c r="E541" s="408">
        <f>D541</f>
        <v>54483.941489999997</v>
      </c>
      <c r="F541" s="408">
        <f t="shared" ref="F541" si="339">E541-E540</f>
        <v>-526.95429000000149</v>
      </c>
      <c r="G541" s="409">
        <f t="shared" ref="G541" si="340">(E541/E540)-1</f>
        <v>-9.5790894245278979E-3</v>
      </c>
      <c r="H541" s="408">
        <f t="shared" ref="H541" si="341">E541-$D$3</f>
        <v>31628.091489999999</v>
      </c>
      <c r="I541" s="409">
        <f t="shared" ref="I541" si="342">(E541/$D$3)-1</f>
        <v>1.3838072742864518</v>
      </c>
      <c r="L541" s="382">
        <v>1795.85</v>
      </c>
      <c r="M541" s="415">
        <f t="shared" si="329"/>
        <v>2.9207760440517205E-3</v>
      </c>
      <c r="N541" s="415">
        <f t="shared" si="330"/>
        <v>0.93085541028728702</v>
      </c>
      <c r="O541" s="416" t="str">
        <f t="shared" si="337"/>
        <v>No</v>
      </c>
      <c r="P541" s="417">
        <f t="shared" ref="P541" si="343">IF(O541="Yes",1,0)</f>
        <v>0</v>
      </c>
      <c r="Q541" s="415">
        <f>SUM($P$4:P541)/COUNT($P$4:P541)</f>
        <v>0.53903345724907059</v>
      </c>
      <c r="S541" s="382">
        <v>16009.99</v>
      </c>
      <c r="T541" s="415">
        <f t="shared" ref="T541" si="344">(S541/S540)-1</f>
        <v>8.4258091661617573E-3</v>
      </c>
      <c r="U541" s="415">
        <f t="shared" ref="U541" si="345">(S541/$S$3)-1</f>
        <v>0.86538353987332628</v>
      </c>
      <c r="V541" s="416" t="str">
        <f t="shared" si="338"/>
        <v>No</v>
      </c>
      <c r="W541" s="417">
        <f t="shared" ref="W541" si="346">IF(V541="Yes",1,0)</f>
        <v>0</v>
      </c>
      <c r="X541" s="415">
        <f>SUM($W$478:W541)/COUNT($W$478:W541)</f>
        <v>0.546875</v>
      </c>
    </row>
    <row r="542" spans="1:24">
      <c r="A542" s="403">
        <f t="shared" si="209"/>
        <v>540</v>
      </c>
      <c r="B542" s="422">
        <f t="shared" si="237"/>
        <v>41606</v>
      </c>
      <c r="D542" s="411">
        <v>56970.483560000001</v>
      </c>
      <c r="E542" s="408">
        <f>D542</f>
        <v>56970.483560000001</v>
      </c>
      <c r="F542" s="408">
        <f t="shared" ref="F542" si="347">E542-E541</f>
        <v>2486.5420700000032</v>
      </c>
      <c r="G542" s="409">
        <f t="shared" ref="G542" si="348">(E542/E541)-1</f>
        <v>4.5638072466845703E-2</v>
      </c>
      <c r="H542" s="408">
        <f t="shared" ref="H542" si="349">E542-$D$3</f>
        <v>34114.633560000002</v>
      </c>
      <c r="I542" s="409">
        <f t="shared" ref="I542" si="350">(E542/$D$3)-1</f>
        <v>1.4925996434173308</v>
      </c>
      <c r="L542" s="382">
        <v>1807.23</v>
      </c>
      <c r="M542" s="415">
        <f t="shared" ref="M542" si="351">(L542/L541)-1</f>
        <v>6.3368321407690775E-3</v>
      </c>
      <c r="N542" s="415">
        <f t="shared" ref="N542" si="352">(L542/$L$3)-1</f>
        <v>0.94309091691037317</v>
      </c>
      <c r="O542" s="416" t="str">
        <f t="shared" si="337"/>
        <v>Yes</v>
      </c>
      <c r="P542" s="417">
        <f t="shared" ref="P542" si="353">IF(O542="Yes",1,0)</f>
        <v>1</v>
      </c>
      <c r="Q542" s="415">
        <f>SUM($P$4:P542)/COUNT($P$4:P542)</f>
        <v>0.53988868274582558</v>
      </c>
      <c r="S542" s="382">
        <v>16097.33</v>
      </c>
      <c r="T542" s="415">
        <f t="shared" ref="T542" si="354">(S542/S541)-1</f>
        <v>5.455343819702474E-3</v>
      </c>
      <c r="U542" s="415">
        <f t="shared" ref="U542" si="355">(S542/$S$3)-1</f>
        <v>0.87555984843894907</v>
      </c>
      <c r="V542" s="416" t="str">
        <f t="shared" si="338"/>
        <v>Yes</v>
      </c>
      <c r="W542" s="417">
        <f t="shared" ref="W542" si="356">IF(V542="Yes",1,0)</f>
        <v>1</v>
      </c>
      <c r="X542" s="415">
        <f>SUM($W$478:W542)/COUNT($W$478:W542)</f>
        <v>0.55384615384615388</v>
      </c>
    </row>
    <row r="543" spans="1:24">
      <c r="A543" s="403">
        <f t="shared" si="209"/>
        <v>541</v>
      </c>
      <c r="B543" s="422">
        <f t="shared" si="237"/>
        <v>41613</v>
      </c>
      <c r="D543" s="411">
        <v>59106.213450000003</v>
      </c>
      <c r="E543" s="408">
        <f t="shared" ref="E543:E545" si="357">D543</f>
        <v>59106.213450000003</v>
      </c>
      <c r="F543" s="408">
        <f t="shared" ref="F543" si="358">E543-E542</f>
        <v>2135.7298900000023</v>
      </c>
      <c r="G543" s="409">
        <f t="shared" ref="G543" si="359">(E543/E542)-1</f>
        <v>3.7488358120581822E-2</v>
      </c>
      <c r="H543" s="408">
        <f t="shared" ref="H543" si="360">E543-$D$3</f>
        <v>36250.363450000004</v>
      </c>
      <c r="I543" s="409">
        <f t="shared" ref="I543" si="361">(E543/$D$3)-1</f>
        <v>1.5860431115009948</v>
      </c>
      <c r="L543" s="382">
        <v>1785.03</v>
      </c>
      <c r="M543" s="415">
        <f t="shared" ref="M543:M544" si="362">(L543/L542)-1</f>
        <v>-1.2283992629604445E-2</v>
      </c>
      <c r="N543" s="415">
        <f t="shared" ref="N543:N544" si="363">(L543/$L$3)-1</f>
        <v>0.9192220024083948</v>
      </c>
      <c r="O543" s="416" t="str">
        <f t="shared" si="337"/>
        <v>Yes</v>
      </c>
      <c r="P543" s="417">
        <f t="shared" ref="P543" si="364">IF(O543="Yes",1,0)</f>
        <v>1</v>
      </c>
      <c r="Q543" s="415">
        <f>SUM($P$4:P543)/COUNT($P$4:P543)</f>
        <v>0.54074074074074074</v>
      </c>
      <c r="S543" s="382">
        <v>15821.51</v>
      </c>
      <c r="T543" s="415">
        <f t="shared" ref="T543" si="365">(S543/S542)-1</f>
        <v>-1.7134518581652936E-2</v>
      </c>
      <c r="U543" s="415">
        <f t="shared" ref="U543" si="366">(S543/$S$3)-1</f>
        <v>0.84342303336486957</v>
      </c>
      <c r="V543" s="416" t="str">
        <f t="shared" si="338"/>
        <v>Yes</v>
      </c>
      <c r="W543" s="417">
        <f t="shared" ref="W543" si="367">IF(V543="Yes",1,0)</f>
        <v>1</v>
      </c>
      <c r="X543" s="415">
        <f>SUM($W$478:W543)/COUNT($W$478:W543)</f>
        <v>0.56060606060606055</v>
      </c>
    </row>
    <row r="544" spans="1:24">
      <c r="A544" s="403">
        <f t="shared" si="209"/>
        <v>542</v>
      </c>
      <c r="B544" s="422">
        <f t="shared" si="237"/>
        <v>41620</v>
      </c>
      <c r="D544" s="411">
        <v>58346.691500000001</v>
      </c>
      <c r="E544" s="408">
        <f t="shared" si="357"/>
        <v>58346.691500000001</v>
      </c>
      <c r="F544" s="408">
        <f t="shared" ref="F544" si="368">E544-E543</f>
        <v>-759.52195000000211</v>
      </c>
      <c r="G544" s="409">
        <f t="shared" ref="G544" si="369">(E544/E543)-1</f>
        <v>-1.2850120243999563E-2</v>
      </c>
      <c r="H544" s="408">
        <f t="shared" ref="H544" si="370">E544-$D$3</f>
        <v>35490.841500000002</v>
      </c>
      <c r="I544" s="409">
        <f t="shared" ref="I544" si="371">(E544/$D$3)-1</f>
        <v>1.5528121465620401</v>
      </c>
      <c r="L544" s="382">
        <v>1775.5</v>
      </c>
      <c r="M544" s="415">
        <f t="shared" si="362"/>
        <v>-5.3388458457280796E-3</v>
      </c>
      <c r="N544" s="415">
        <f t="shared" si="363"/>
        <v>0.90897557199380685</v>
      </c>
      <c r="O544" s="416" t="str">
        <f t="shared" si="337"/>
        <v>No</v>
      </c>
      <c r="P544" s="417">
        <f t="shared" ref="P544" si="372">IF(O544="Yes",1,0)</f>
        <v>0</v>
      </c>
      <c r="Q544" s="415">
        <f>SUM($P$4:P544)/COUNT($P$4:P544)</f>
        <v>0.53974121996303137</v>
      </c>
      <c r="S544" s="382">
        <v>15739.43</v>
      </c>
      <c r="T544" s="415">
        <f t="shared" ref="T544" si="373">(S544/S543)-1</f>
        <v>-5.1878739766305637E-3</v>
      </c>
      <c r="U544" s="415">
        <f t="shared" ref="U544" si="374">(S544/$S$3)-1</f>
        <v>0.83385958698215479</v>
      </c>
      <c r="V544" s="416" t="str">
        <f t="shared" si="338"/>
        <v>No</v>
      </c>
      <c r="W544" s="417">
        <f t="shared" ref="W544" si="375">IF(V544="Yes",1,0)</f>
        <v>0</v>
      </c>
      <c r="X544" s="415">
        <f>SUM($W$478:W544)/COUNT($W$478:W544)</f>
        <v>0.55223880597014929</v>
      </c>
    </row>
    <row r="545" spans="1:24">
      <c r="A545" s="403">
        <f t="shared" si="209"/>
        <v>543</v>
      </c>
      <c r="B545" s="422">
        <f t="shared" si="237"/>
        <v>41627</v>
      </c>
      <c r="D545" s="411">
        <v>58872.375899999999</v>
      </c>
      <c r="E545" s="408">
        <f t="shared" si="357"/>
        <v>58872.375899999999</v>
      </c>
      <c r="F545" s="408">
        <f t="shared" ref="F545" si="376">E545-E544</f>
        <v>525.68439999999828</v>
      </c>
      <c r="G545" s="409">
        <f t="shared" ref="G545" si="377">(E545/E544)-1</f>
        <v>9.0096693828818353E-3</v>
      </c>
      <c r="H545" s="408">
        <f t="shared" ref="H545" si="378">E545-$D$3</f>
        <v>36016.525900000001</v>
      </c>
      <c r="I545" s="409">
        <f t="shared" ref="I545" si="379">(E545/$D$3)-1</f>
        <v>1.5758121399991687</v>
      </c>
      <c r="L545" s="382">
        <v>1809.6</v>
      </c>
      <c r="M545" s="415">
        <f t="shared" ref="M545" si="380">(L545/L544)-1</f>
        <v>1.9205857504928092E-2</v>
      </c>
      <c r="N545" s="415">
        <f t="shared" ref="N545" si="381">(L545/$L$3)-1</f>
        <v>0.94563908480990855</v>
      </c>
      <c r="O545" s="416" t="str">
        <f t="shared" si="337"/>
        <v>No</v>
      </c>
      <c r="P545" s="417">
        <f t="shared" ref="P545" si="382">IF(O545="Yes",1,0)</f>
        <v>0</v>
      </c>
      <c r="Q545" s="415">
        <f>SUM($P$4:P545)/COUNT($P$4:P545)</f>
        <v>0.53874538745387457</v>
      </c>
      <c r="S545" s="382">
        <v>16179.08</v>
      </c>
      <c r="T545" s="415">
        <f t="shared" ref="T545" si="383">(S545/S544)-1</f>
        <v>2.7933031882348969E-2</v>
      </c>
      <c r="U545" s="415">
        <f t="shared" ref="U545" si="384">(S545/$S$3)-1</f>
        <v>0.88508484529307863</v>
      </c>
      <c r="V545" s="416" t="str">
        <f t="shared" si="338"/>
        <v>No</v>
      </c>
      <c r="W545" s="417">
        <f t="shared" ref="W545" si="385">IF(V545="Yes",1,0)</f>
        <v>0</v>
      </c>
      <c r="X545" s="415">
        <f>SUM($W$478:W545)/COUNT($W$478:W545)</f>
        <v>0.54411764705882348</v>
      </c>
    </row>
    <row r="546" spans="1:24">
      <c r="A546" s="403">
        <f t="shared" si="209"/>
        <v>544</v>
      </c>
      <c r="B546" s="422">
        <f t="shared" si="237"/>
        <v>41634</v>
      </c>
      <c r="D546" s="411">
        <v>59672.559860000001</v>
      </c>
      <c r="E546" s="408">
        <f t="shared" ref="E546" si="386">D546</f>
        <v>59672.559860000001</v>
      </c>
      <c r="F546" s="408">
        <f t="shared" ref="F546" si="387">E546-E545</f>
        <v>800.18396000000212</v>
      </c>
      <c r="G546" s="409">
        <f t="shared" ref="G546" si="388">(E546/E545)-1</f>
        <v>1.3591840787251064E-2</v>
      </c>
      <c r="H546" s="408">
        <f t="shared" ref="H546" si="389">E546-$D$3</f>
        <v>36816.709860000003</v>
      </c>
      <c r="I546" s="409">
        <f t="shared" ref="I546" si="390">(E546/$D$3)-1</f>
        <v>1.6108221685039061</v>
      </c>
      <c r="L546" s="382">
        <v>1842.02</v>
      </c>
      <c r="M546" s="415">
        <f t="shared" ref="M546" si="391">(L546/L545)-1</f>
        <v>1.7915561450044359E-2</v>
      </c>
      <c r="N546" s="415">
        <f t="shared" ref="N546" si="392">(L546/$L$3)-1</f>
        <v>0.98049630139342847</v>
      </c>
      <c r="O546" s="416" t="str">
        <f t="shared" ref="O546" si="393">IF(G546&gt;M546,"Yes","No")</f>
        <v>No</v>
      </c>
      <c r="P546" s="417">
        <f t="shared" ref="P546" si="394">IF(O546="Yes",1,0)</f>
        <v>0</v>
      </c>
      <c r="Q546" s="415">
        <f>SUM($P$4:P546)/COUNT($P$4:P546)</f>
        <v>0.53775322283609572</v>
      </c>
      <c r="S546" s="382">
        <v>16479.88</v>
      </c>
      <c r="T546" s="415">
        <f t="shared" ref="T546" si="395">(S546/S545)-1</f>
        <v>1.8591910046801274E-2</v>
      </c>
      <c r="U546" s="415">
        <f t="shared" ref="U546" si="396">(S546/$S$3)-1</f>
        <v>0.92013217316735574</v>
      </c>
      <c r="V546" s="416" t="str">
        <f t="shared" ref="V546" si="397">IF(G546&gt;T546,"Yes","No")</f>
        <v>No</v>
      </c>
      <c r="W546" s="417">
        <f t="shared" ref="W546" si="398">IF(V546="Yes",1,0)</f>
        <v>0</v>
      </c>
      <c r="X546" s="415">
        <f>SUM($W$478:W546)/COUNT($W$478:W546)</f>
        <v>0.53623188405797106</v>
      </c>
    </row>
    <row r="547" spans="1:24">
      <c r="A547" s="403">
        <f t="shared" si="209"/>
        <v>545</v>
      </c>
      <c r="B547" s="422">
        <f t="shared" si="237"/>
        <v>41641</v>
      </c>
      <c r="D547" s="411">
        <v>59179.269069999995</v>
      </c>
      <c r="E547" s="408">
        <f t="shared" ref="E547" si="399">D547</f>
        <v>59179.269069999995</v>
      </c>
      <c r="F547" s="408">
        <f t="shared" ref="F547" si="400">E547-E546</f>
        <v>-493.29079000000638</v>
      </c>
      <c r="G547" s="409">
        <f t="shared" ref="G547" si="401">(E547/E546)-1</f>
        <v>-8.2666269246255419E-3</v>
      </c>
      <c r="H547" s="408">
        <f t="shared" ref="H547" si="402">E547-$D$3</f>
        <v>36323.419069999996</v>
      </c>
      <c r="I547" s="409">
        <f t="shared" ref="I547" si="403">(E547/$D$3)-1</f>
        <v>1.5892394756703427</v>
      </c>
      <c r="L547" s="382">
        <v>1831.98</v>
      </c>
      <c r="M547" s="415">
        <f t="shared" ref="M547" si="404">(L547/L546)-1</f>
        <v>-5.450537996330107E-3</v>
      </c>
      <c r="N547" s="415">
        <f t="shared" ref="N547" si="405">(L547/$L$3)-1</f>
        <v>0.96970153105109236</v>
      </c>
      <c r="O547" s="416" t="str">
        <f t="shared" ref="O547" si="406">IF(G547&gt;M547,"Yes","No")</f>
        <v>No</v>
      </c>
      <c r="P547" s="417">
        <f t="shared" ref="P547" si="407">IF(O547="Yes",1,0)</f>
        <v>0</v>
      </c>
      <c r="Q547" s="415">
        <f>SUM($P$4:P547)/COUNT($P$4:P547)</f>
        <v>0.53676470588235292</v>
      </c>
      <c r="S547" s="382">
        <v>16441.349999999999</v>
      </c>
      <c r="T547" s="415">
        <f t="shared" ref="T547" si="408">(S547/S546)-1</f>
        <v>-2.3380024611830974E-3</v>
      </c>
      <c r="U547" s="415">
        <f t="shared" ref="U547" si="409">(S547/$S$3)-1</f>
        <v>0.91564289942069355</v>
      </c>
      <c r="V547" s="416" t="str">
        <f t="shared" ref="V547" si="410">IF(G547&gt;T547,"Yes","No")</f>
        <v>No</v>
      </c>
      <c r="W547" s="417">
        <f t="shared" ref="W547" si="411">IF(V547="Yes",1,0)</f>
        <v>0</v>
      </c>
      <c r="X547" s="415">
        <f>SUM($W$478:W547)/COUNT($W$478:W547)</f>
        <v>0.52857142857142858</v>
      </c>
    </row>
    <row r="548" spans="1:24">
      <c r="A548" s="403">
        <f t="shared" si="209"/>
        <v>546</v>
      </c>
      <c r="B548" s="422">
        <f t="shared" si="237"/>
        <v>41648</v>
      </c>
      <c r="D548" s="411">
        <v>60489.635550000006</v>
      </c>
      <c r="E548" s="408">
        <f t="shared" ref="E548" si="412">D548</f>
        <v>60489.635550000006</v>
      </c>
      <c r="F548" s="408">
        <f t="shared" ref="F548" si="413">E548-E547</f>
        <v>1310.3664800000115</v>
      </c>
      <c r="G548" s="409">
        <f t="shared" ref="G548" si="414">(E548/E547)-1</f>
        <v>2.2142322820007276E-2</v>
      </c>
      <c r="H548" s="408">
        <f t="shared" ref="H548" si="415">E548-$D$3</f>
        <v>37633.785550000008</v>
      </c>
      <c r="I548" s="409">
        <f t="shared" ref="I548" si="416">(E548/$D$3)-1</f>
        <v>1.6465712519989415</v>
      </c>
      <c r="L548" s="382">
        <v>1838.13</v>
      </c>
      <c r="M548" s="415">
        <f t="shared" ref="M548" si="417">(L548/L547)-1</f>
        <v>3.3570235482920374E-3</v>
      </c>
      <c r="N548" s="415">
        <f t="shared" ref="N548" si="418">(L548/$L$3)-1</f>
        <v>0.97631386547393784</v>
      </c>
      <c r="O548" s="416" t="str">
        <f t="shared" ref="O548" si="419">IF(G548&gt;M548,"Yes","No")</f>
        <v>Yes</v>
      </c>
      <c r="P548" s="417">
        <f t="shared" ref="P548" si="420">IF(O548="Yes",1,0)</f>
        <v>1</v>
      </c>
      <c r="Q548" s="415">
        <f>SUM($P$4:P548)/COUNT($P$4:P548)</f>
        <v>0.53761467889908254</v>
      </c>
      <c r="S548" s="382">
        <v>16444.759999999998</v>
      </c>
      <c r="T548" s="415">
        <f t="shared" ref="T548" si="421">(S548/S547)-1</f>
        <v>2.0740389323270492E-4</v>
      </c>
      <c r="U548" s="415">
        <f t="shared" ref="U548" si="422">(S548/$S$3)-1</f>
        <v>0.91604021121607682</v>
      </c>
      <c r="V548" s="416" t="str">
        <f t="shared" ref="V548" si="423">IF(G548&gt;T548,"Yes","No")</f>
        <v>Yes</v>
      </c>
      <c r="W548" s="417">
        <f t="shared" ref="W548" si="424">IF(V548="Yes",1,0)</f>
        <v>1</v>
      </c>
      <c r="X548" s="415">
        <f>SUM($W$478:W548)/COUNT($W$478:W548)</f>
        <v>0.53521126760563376</v>
      </c>
    </row>
    <row r="549" spans="1:24">
      <c r="A549" s="403">
        <f t="shared" si="209"/>
        <v>547</v>
      </c>
      <c r="B549" s="422">
        <f t="shared" si="237"/>
        <v>41655</v>
      </c>
      <c r="D549" s="411">
        <v>60632.46819</v>
      </c>
      <c r="E549" s="408">
        <f t="shared" ref="E549" si="425">D549</f>
        <v>60632.46819</v>
      </c>
      <c r="F549" s="408">
        <f t="shared" ref="F549" si="426">E549-E548</f>
        <v>142.83263999999326</v>
      </c>
      <c r="G549" s="409">
        <f t="shared" ref="G549" si="427">(E549/E548)-1</f>
        <v>2.361274600207075E-3</v>
      </c>
      <c r="H549" s="408">
        <f t="shared" ref="H549" si="428">E549-$D$3</f>
        <v>37776.618190000001</v>
      </c>
      <c r="I549" s="409">
        <f t="shared" ref="I549" si="429">(E549/$D$3)-1</f>
        <v>1.6528205334739248</v>
      </c>
      <c r="L549" s="382">
        <v>1845.89</v>
      </c>
      <c r="M549" s="415">
        <f t="shared" ref="M549" si="430">(L549/L548)-1</f>
        <v>4.2216818179345861E-3</v>
      </c>
      <c r="N549" s="415">
        <f t="shared" ref="N549" si="431">(L549/$L$3)-1</f>
        <v>0.98465723378634107</v>
      </c>
      <c r="O549" s="416" t="str">
        <f t="shared" ref="O549" si="432">IF(G549&gt;M549,"Yes","No")</f>
        <v>No</v>
      </c>
      <c r="P549" s="417">
        <f t="shared" ref="P549" si="433">IF(O549="Yes",1,0)</f>
        <v>0</v>
      </c>
      <c r="Q549" s="415">
        <f>SUM($P$4:P549)/COUNT($P$4:P549)</f>
        <v>0.53663003663003661</v>
      </c>
      <c r="S549" s="382">
        <v>16417.009999999998</v>
      </c>
      <c r="T549" s="415">
        <f t="shared" ref="T549" si="434">(S549/S548)-1</f>
        <v>-1.6874676188646243E-3</v>
      </c>
      <c r="U549" s="415">
        <f t="shared" ref="U549" si="435">(S549/$S$3)-1</f>
        <v>0.91280695540320722</v>
      </c>
      <c r="V549" s="416" t="str">
        <f t="shared" ref="V549" si="436">IF(G549&gt;T549,"Yes","No")</f>
        <v>Yes</v>
      </c>
      <c r="W549" s="417">
        <f t="shared" ref="W549" si="437">IF(V549="Yes",1,0)</f>
        <v>1</v>
      </c>
      <c r="X549" s="415">
        <f>SUM($W$478:W549)/COUNT($W$478:W549)</f>
        <v>0.54166666666666663</v>
      </c>
    </row>
    <row r="550" spans="1:24">
      <c r="A550" s="403">
        <f t="shared" si="209"/>
        <v>548</v>
      </c>
      <c r="B550" s="422">
        <f t="shared" si="237"/>
        <v>41662</v>
      </c>
      <c r="D550" s="411">
        <v>60402.289379999995</v>
      </c>
      <c r="E550" s="408">
        <f t="shared" ref="E550:E552" si="438">D550</f>
        <v>60402.289379999995</v>
      </c>
      <c r="F550" s="408">
        <f t="shared" ref="F550:F552" si="439">E550-E549</f>
        <v>-230.17881000000489</v>
      </c>
      <c r="G550" s="409">
        <f t="shared" ref="G550:G552" si="440">(E550/E549)-1</f>
        <v>-3.7962962233156761E-3</v>
      </c>
      <c r="H550" s="408">
        <f t="shared" ref="H550" si="441">E550-$D$3</f>
        <v>37546.439379999996</v>
      </c>
      <c r="I550" s="409">
        <f t="shared" ref="I550" si="442">(E550/$D$3)-1</f>
        <v>1.6427496409015636</v>
      </c>
      <c r="L550" s="382">
        <v>1828.46</v>
      </c>
      <c r="M550" s="415">
        <f t="shared" ref="M550:M552" si="443">(L550/L549)-1</f>
        <v>-9.4425995048459388E-3</v>
      </c>
      <c r="N550" s="415">
        <f t="shared" ref="N550:N552" si="444">(L550/$L$3)-1</f>
        <v>0.96591691037330119</v>
      </c>
      <c r="O550" s="416" t="str">
        <f t="shared" ref="O550:O552" si="445">IF(G550&gt;M550,"Yes","No")</f>
        <v>Yes</v>
      </c>
      <c r="P550" s="417">
        <f t="shared" ref="P550:P552" si="446">IF(O550="Yes",1,0)</f>
        <v>1</v>
      </c>
      <c r="Q550" s="415">
        <f>SUM($P$4:P550)/COUNT($P$4:P550)</f>
        <v>0.53747714808043878</v>
      </c>
      <c r="S550" s="382">
        <v>16197.35</v>
      </c>
      <c r="T550" s="415">
        <f t="shared" ref="T550:T552" si="447">(S550/S549)-1</f>
        <v>-1.338002474262967E-2</v>
      </c>
      <c r="U550" s="415">
        <f t="shared" ref="U550:U552" si="448">(S550/$S$3)-1</f>
        <v>0.88721355101203825</v>
      </c>
      <c r="V550" s="416" t="str">
        <f t="shared" ref="V550:V552" si="449">IF(G550&gt;T550,"Yes","No")</f>
        <v>Yes</v>
      </c>
      <c r="W550" s="417">
        <f t="shared" ref="W550:W552" si="450">IF(V550="Yes",1,0)</f>
        <v>1</v>
      </c>
      <c r="X550" s="415">
        <f>SUM($W$478:W550)/COUNT($W$478:W550)</f>
        <v>0.54794520547945202</v>
      </c>
    </row>
    <row r="551" spans="1:24">
      <c r="A551" s="403">
        <f t="shared" si="209"/>
        <v>549</v>
      </c>
      <c r="B551" s="422">
        <f t="shared" si="237"/>
        <v>41669</v>
      </c>
      <c r="D551" s="411">
        <v>58161.644639999999</v>
      </c>
      <c r="E551" s="408">
        <f t="shared" si="438"/>
        <v>58161.644639999999</v>
      </c>
      <c r="F551" s="408">
        <f t="shared" si="439"/>
        <v>-2240.6447399999961</v>
      </c>
      <c r="G551" s="409">
        <f t="shared" si="440"/>
        <v>-3.7095361169239172E-2</v>
      </c>
      <c r="H551" s="408">
        <f t="shared" ref="H551:H552" si="451">E551-$D$3</f>
        <v>35305.79464</v>
      </c>
      <c r="I551" s="409">
        <f t="shared" ref="I551:I552" si="452">(E551/$D$3)-1</f>
        <v>1.5447158884924428</v>
      </c>
      <c r="L551" s="382">
        <v>1794.19</v>
      </c>
      <c r="M551" s="415">
        <f t="shared" si="443"/>
        <v>-1.8742548374041546E-2</v>
      </c>
      <c r="N551" s="415">
        <f t="shared" si="444"/>
        <v>0.92907061758128329</v>
      </c>
      <c r="O551" s="416" t="str">
        <f t="shared" si="445"/>
        <v>No</v>
      </c>
      <c r="P551" s="417">
        <f t="shared" si="446"/>
        <v>0</v>
      </c>
      <c r="Q551" s="415">
        <f>SUM($P$4:P551)/COUNT($P$4:P551)</f>
        <v>0.53649635036496346</v>
      </c>
      <c r="S551" s="382">
        <v>15848.61</v>
      </c>
      <c r="T551" s="415">
        <f t="shared" si="447"/>
        <v>-2.1530682488184794E-2</v>
      </c>
      <c r="U551" s="415">
        <f t="shared" si="448"/>
        <v>0.8465805552577983</v>
      </c>
      <c r="V551" s="416" t="str">
        <f t="shared" si="449"/>
        <v>No</v>
      </c>
      <c r="W551" s="417">
        <f t="shared" si="450"/>
        <v>0</v>
      </c>
      <c r="X551" s="415">
        <f>SUM($W$478:W551)/COUNT($W$478:W551)</f>
        <v>0.54054054054054057</v>
      </c>
    </row>
    <row r="552" spans="1:24">
      <c r="A552" s="403">
        <f t="shared" si="209"/>
        <v>550</v>
      </c>
      <c r="B552" s="422">
        <f t="shared" si="237"/>
        <v>41676</v>
      </c>
      <c r="D552" s="411">
        <v>57841.109790000002</v>
      </c>
      <c r="E552" s="408">
        <f t="shared" si="438"/>
        <v>57841.109790000002</v>
      </c>
      <c r="F552" s="408">
        <f t="shared" si="439"/>
        <v>-320.53484999999637</v>
      </c>
      <c r="G552" s="409">
        <f t="shared" si="440"/>
        <v>-5.5111036144867009E-3</v>
      </c>
      <c r="H552" s="408">
        <f t="shared" si="451"/>
        <v>34985.259790000004</v>
      </c>
      <c r="I552" s="409">
        <f t="shared" si="452"/>
        <v>1.5306916955615306</v>
      </c>
      <c r="L552" s="382">
        <v>1773.43</v>
      </c>
      <c r="M552" s="415">
        <f t="shared" si="443"/>
        <v>-1.1570680920080956E-2</v>
      </c>
      <c r="N552" s="415">
        <f t="shared" si="444"/>
        <v>0.90674995699294691</v>
      </c>
      <c r="O552" s="416" t="str">
        <f t="shared" si="445"/>
        <v>Yes</v>
      </c>
      <c r="P552" s="417">
        <f t="shared" si="446"/>
        <v>1</v>
      </c>
      <c r="Q552" s="415">
        <f>SUM($P$4:P552)/COUNT($P$4:P552)</f>
        <v>0.53734061930783239</v>
      </c>
      <c r="S552" s="382">
        <v>15628.53</v>
      </c>
      <c r="T552" s="415">
        <f t="shared" si="447"/>
        <v>-1.3886391298669087E-2</v>
      </c>
      <c r="U552" s="415">
        <f t="shared" si="448"/>
        <v>0.82093821510297493</v>
      </c>
      <c r="V552" s="416" t="str">
        <f t="shared" si="449"/>
        <v>Yes</v>
      </c>
      <c r="W552" s="417">
        <f t="shared" si="450"/>
        <v>1</v>
      </c>
      <c r="X552" s="415">
        <f>SUM($W$478:W552)/COUNT($W$478:W552)</f>
        <v>0.54666666666666663</v>
      </c>
    </row>
    <row r="553" spans="1:24">
      <c r="A553" s="403">
        <f t="shared" si="209"/>
        <v>551</v>
      </c>
      <c r="B553" s="422">
        <f t="shared" si="237"/>
        <v>41683</v>
      </c>
      <c r="D553" s="411">
        <v>59121.448150000011</v>
      </c>
      <c r="E553" s="408">
        <f t="shared" ref="E553" si="453">D553</f>
        <v>59121.448150000011</v>
      </c>
      <c r="F553" s="408">
        <f t="shared" ref="F553" si="454">E553-E552</f>
        <v>1280.3383600000088</v>
      </c>
      <c r="G553" s="409">
        <f t="shared" ref="G553" si="455">(E553/E552)-1</f>
        <v>2.213543904410642E-2</v>
      </c>
      <c r="H553" s="408">
        <f t="shared" ref="H553" si="456">E553-$D$3</f>
        <v>36265.598150000013</v>
      </c>
      <c r="I553" s="409">
        <f t="shared" ref="I553" si="457">(E553/$D$3)-1</f>
        <v>1.586709667328059</v>
      </c>
      <c r="L553" s="382">
        <v>1829.83</v>
      </c>
      <c r="M553" s="415">
        <f t="shared" ref="M553" si="458">(L553/L552)-1</f>
        <v>3.1802777668134663E-2</v>
      </c>
      <c r="N553" s="415">
        <f t="shared" ref="N553" si="459">(L553/$L$3)-1</f>
        <v>0.96738990194391872</v>
      </c>
      <c r="O553" s="416" t="str">
        <f t="shared" ref="O553" si="460">IF(G553&gt;M553,"Yes","No")</f>
        <v>No</v>
      </c>
      <c r="P553" s="417">
        <f t="shared" ref="P553" si="461">IF(O553="Yes",1,0)</f>
        <v>0</v>
      </c>
      <c r="Q553" s="415">
        <f>SUM($P$4:P553)/COUNT($P$4:P553)</f>
        <v>0.53636363636363638</v>
      </c>
      <c r="S553" s="382">
        <v>16027.59</v>
      </c>
      <c r="T553" s="415">
        <f t="shared" ref="T553" si="462">(S553/S552)-1</f>
        <v>2.5534071342602216E-2</v>
      </c>
      <c r="U553" s="415">
        <f t="shared" ref="U553" si="463">(S553/$S$3)-1</f>
        <v>0.86743418139788497</v>
      </c>
      <c r="V553" s="416" t="str">
        <f t="shared" ref="V553" si="464">IF(G553&gt;T553,"Yes","No")</f>
        <v>No</v>
      </c>
      <c r="W553" s="417">
        <f t="shared" ref="W553" si="465">IF(V553="Yes",1,0)</f>
        <v>0</v>
      </c>
      <c r="X553" s="415">
        <f>SUM($W$478:W553)/COUNT($W$478:W553)</f>
        <v>0.53947368421052633</v>
      </c>
    </row>
    <row r="554" spans="1:24">
      <c r="A554" s="403">
        <f t="shared" si="209"/>
        <v>552</v>
      </c>
      <c r="B554" s="422">
        <f t="shared" si="237"/>
        <v>41690</v>
      </c>
      <c r="D554" s="411">
        <v>59934.932500000003</v>
      </c>
      <c r="E554" s="408">
        <f t="shared" ref="E554" si="466">D554</f>
        <v>59934.932500000003</v>
      </c>
      <c r="F554" s="408">
        <f t="shared" ref="F554" si="467">E554-E553</f>
        <v>813.48434999999154</v>
      </c>
      <c r="G554" s="409">
        <f t="shared" ref="G554" si="468">(E554/E553)-1</f>
        <v>1.3759547092555335E-2</v>
      </c>
      <c r="H554" s="408">
        <f t="shared" ref="H554" si="469">E554-$D$3</f>
        <v>37079.082500000004</v>
      </c>
      <c r="I554" s="409">
        <f t="shared" ref="I554" si="470">(E554/$D$3)-1</f>
        <v>1.6223016208104273</v>
      </c>
      <c r="L554" s="382">
        <v>1839.78</v>
      </c>
      <c r="M554" s="415">
        <f t="shared" ref="M554" si="471">(L554/L553)-1</f>
        <v>5.4376636080948337E-3</v>
      </c>
      <c r="N554" s="415">
        <f t="shared" ref="N554" si="472">(L554/$L$3)-1</f>
        <v>0.97808790641665211</v>
      </c>
      <c r="O554" s="416" t="str">
        <f t="shared" ref="O554" si="473">IF(G554&gt;M554,"Yes","No")</f>
        <v>Yes</v>
      </c>
      <c r="P554" s="417">
        <f t="shared" ref="P554" si="474">IF(O554="Yes",1,0)</f>
        <v>1</v>
      </c>
      <c r="Q554" s="415">
        <f>SUM($P$4:P554)/COUNT($P$4:P554)</f>
        <v>0.5372050816696915</v>
      </c>
      <c r="S554" s="382">
        <v>16133.23</v>
      </c>
      <c r="T554" s="415">
        <f t="shared" ref="T554" si="475">(S554/S553)-1</f>
        <v>6.5911344125972882E-3</v>
      </c>
      <c r="U554" s="415">
        <f t="shared" ref="U554" si="476">(S554/$S$3)-1</f>
        <v>0.87974269109415704</v>
      </c>
      <c r="V554" s="416" t="str">
        <f t="shared" ref="V554" si="477">IF(G554&gt;T554,"Yes","No")</f>
        <v>Yes</v>
      </c>
      <c r="W554" s="417">
        <f t="shared" ref="W554" si="478">IF(V554="Yes",1,0)</f>
        <v>1</v>
      </c>
      <c r="X554" s="415">
        <f>SUM($W$478:W554)/COUNT($W$478:W554)</f>
        <v>0.54545454545454541</v>
      </c>
    </row>
    <row r="555" spans="1:24">
      <c r="A555" s="403">
        <f t="shared" si="209"/>
        <v>553</v>
      </c>
      <c r="B555" s="422">
        <f t="shared" si="237"/>
        <v>41697</v>
      </c>
      <c r="D555" s="411">
        <v>61225.532309999995</v>
      </c>
      <c r="E555" s="408">
        <f t="shared" ref="E555" si="479">D555</f>
        <v>61225.532309999995</v>
      </c>
      <c r="F555" s="408">
        <f t="shared" ref="F555" si="480">E555-E554</f>
        <v>1290.5998099999924</v>
      </c>
      <c r="G555" s="409">
        <f t="shared" ref="G555" si="481">(E555/E554)-1</f>
        <v>2.1533348852941447E-2</v>
      </c>
      <c r="H555" s="408">
        <f t="shared" ref="H555" si="482">E555-$D$3</f>
        <v>38369.682309999997</v>
      </c>
      <c r="I555" s="409">
        <f t="shared" ref="I555" si="483">(E555/$D$3)-1</f>
        <v>1.678768556408972</v>
      </c>
      <c r="L555" s="382">
        <v>1854.29</v>
      </c>
      <c r="M555" s="415">
        <f t="shared" ref="M555" si="484">(L555/L554)-1</f>
        <v>7.886812553674849E-3</v>
      </c>
      <c r="N555" s="415">
        <f t="shared" ref="N555" si="485">(L555/$L$3)-1</f>
        <v>0.99368871494925148</v>
      </c>
      <c r="O555" s="416" t="str">
        <f t="shared" ref="O555" si="486">IF(G555&gt;M555,"Yes","No")</f>
        <v>Yes</v>
      </c>
      <c r="P555" s="417">
        <f t="shared" ref="P555" si="487">IF(O555="Yes",1,0)</f>
        <v>1</v>
      </c>
      <c r="Q555" s="415">
        <f>SUM($P$4:P555)/COUNT($P$4:P555)</f>
        <v>0.53804347826086951</v>
      </c>
      <c r="S555" s="382">
        <v>16272.65</v>
      </c>
      <c r="T555" s="415">
        <f t="shared" ref="T555" si="488">(S555/S554)-1</f>
        <v>8.6417908875036087E-3</v>
      </c>
      <c r="U555" s="415">
        <f t="shared" ref="U555" si="489">(S555/$S$3)-1</f>
        <v>0.89598703435290594</v>
      </c>
      <c r="V555" s="416" t="str">
        <f t="shared" ref="V555" si="490">IF(G555&gt;T555,"Yes","No")</f>
        <v>Yes</v>
      </c>
      <c r="W555" s="417">
        <f t="shared" ref="W555" si="491">IF(V555="Yes",1,0)</f>
        <v>1</v>
      </c>
      <c r="X555" s="415">
        <f>SUM($W$478:W555)/COUNT($W$478:W555)</f>
        <v>0.55128205128205132</v>
      </c>
    </row>
    <row r="556" spans="1:24">
      <c r="A556" s="403">
        <f t="shared" si="209"/>
        <v>554</v>
      </c>
      <c r="B556" s="422">
        <f t="shared" si="237"/>
        <v>41704</v>
      </c>
      <c r="D556" s="411">
        <v>62530.964810000005</v>
      </c>
      <c r="E556" s="408">
        <f t="shared" ref="E556" si="492">D556</f>
        <v>62530.964810000005</v>
      </c>
      <c r="F556" s="408">
        <f t="shared" ref="F556" si="493">E556-E555</f>
        <v>1305.4325000000099</v>
      </c>
      <c r="G556" s="409">
        <f t="shared" ref="G556" si="494">(E556/E555)-1</f>
        <v>2.1321701106497226E-2</v>
      </c>
      <c r="H556" s="408">
        <f t="shared" ref="H556" si="495">E556-$D$3</f>
        <v>39675.114810000006</v>
      </c>
      <c r="I556" s="409">
        <f t="shared" ref="I556" si="496">(E556/$D$3)-1</f>
        <v>1.7358844589022069</v>
      </c>
      <c r="L556" s="382">
        <v>1877.03</v>
      </c>
      <c r="M556" s="415">
        <f t="shared" ref="M556" si="497">(L556/L555)-1</f>
        <v>1.2263453936547153E-2</v>
      </c>
      <c r="N556" s="415">
        <f t="shared" ref="N556" si="498">(L556/$L$3)-1</f>
        <v>1.0181382246688457</v>
      </c>
      <c r="O556" s="416" t="str">
        <f t="shared" ref="O556" si="499">IF(G556&gt;M556,"Yes","No")</f>
        <v>Yes</v>
      </c>
      <c r="P556" s="417">
        <f t="shared" ref="P556" si="500">IF(O556="Yes",1,0)</f>
        <v>1</v>
      </c>
      <c r="Q556" s="415">
        <f>SUM($P$4:P556)/COUNT($P$4:P556)</f>
        <v>0.53887884267631103</v>
      </c>
      <c r="S556" s="382">
        <v>16421.89</v>
      </c>
      <c r="T556" s="415">
        <f t="shared" ref="T556" si="501">(S556/S555)-1</f>
        <v>9.1712167348281248E-3</v>
      </c>
      <c r="U556" s="415">
        <f t="shared" ref="U556" si="502">(S556/$S$3)-1</f>
        <v>0.9133755423713803</v>
      </c>
      <c r="V556" s="416" t="str">
        <f t="shared" ref="V556" si="503">IF(G556&gt;T556,"Yes","No")</f>
        <v>Yes</v>
      </c>
      <c r="W556" s="417">
        <f t="shared" ref="W556" si="504">IF(V556="Yes",1,0)</f>
        <v>1</v>
      </c>
      <c r="X556" s="415">
        <f>SUM($W$478:W556)/COUNT($W$478:W556)</f>
        <v>0.55696202531645567</v>
      </c>
    </row>
    <row r="557" spans="1:24">
      <c r="A557" s="403">
        <f t="shared" si="209"/>
        <v>555</v>
      </c>
      <c r="B557" s="422">
        <f t="shared" si="237"/>
        <v>41711</v>
      </c>
      <c r="D557" s="411">
        <v>61550.683209999996</v>
      </c>
      <c r="E557" s="408">
        <f t="shared" ref="E557" si="505">D557</f>
        <v>61550.683209999996</v>
      </c>
      <c r="F557" s="408">
        <f t="shared" ref="F557" si="506">E557-E556</f>
        <v>-980.28160000000935</v>
      </c>
      <c r="G557" s="409">
        <f t="shared" ref="G557" si="507">(E557/E556)-1</f>
        <v>-1.5676738764204057E-2</v>
      </c>
      <c r="H557" s="408">
        <f t="shared" ref="H557" si="508">E557-$D$3</f>
        <v>38694.833209999997</v>
      </c>
      <c r="I557" s="409">
        <f t="shared" ref="I557" si="509">(E557/$D$3)-1</f>
        <v>1.6929947129509513</v>
      </c>
      <c r="L557" s="382">
        <v>1846.34</v>
      </c>
      <c r="M557" s="415">
        <f t="shared" ref="M557" si="510">(L557/L556)-1</f>
        <v>-1.6350298077281722E-2</v>
      </c>
      <c r="N557" s="415">
        <f t="shared" ref="N557" si="511">(L557/$L$3)-1</f>
        <v>0.98514106313435379</v>
      </c>
      <c r="O557" s="416" t="str">
        <f t="shared" ref="O557" si="512">IF(G557&gt;M557,"Yes","No")</f>
        <v>Yes</v>
      </c>
      <c r="P557" s="417">
        <f t="shared" ref="P557" si="513">IF(O557="Yes",1,0)</f>
        <v>1</v>
      </c>
      <c r="Q557" s="415">
        <f>SUM($P$4:P557)/COUNT($P$4:P557)</f>
        <v>0.53971119133574008</v>
      </c>
      <c r="S557" s="382">
        <v>16108.89</v>
      </c>
      <c r="T557" s="415">
        <f t="shared" ref="T557" si="514">(S557/S556)-1</f>
        <v>-1.9059925501875852E-2</v>
      </c>
      <c r="U557" s="415">
        <f t="shared" ref="U557" si="515">(S557/$S$3)-1</f>
        <v>0.87690674707667049</v>
      </c>
      <c r="V557" s="416" t="str">
        <f t="shared" ref="V557" si="516">IF(G557&gt;T557,"Yes","No")</f>
        <v>Yes</v>
      </c>
      <c r="W557" s="417">
        <f t="shared" ref="W557" si="517">IF(V557="Yes",1,0)</f>
        <v>1</v>
      </c>
      <c r="X557" s="415">
        <f>SUM($W$478:W557)/COUNT($W$478:W557)</f>
        <v>0.5625</v>
      </c>
    </row>
    <row r="558" spans="1:24">
      <c r="A558" s="403">
        <f t="shared" si="209"/>
        <v>556</v>
      </c>
      <c r="B558" s="422">
        <f t="shared" si="237"/>
        <v>41718</v>
      </c>
      <c r="D558" s="411">
        <v>63056.341679999998</v>
      </c>
      <c r="E558" s="408">
        <f t="shared" ref="E558" si="518">D558</f>
        <v>63056.341679999998</v>
      </c>
      <c r="F558" s="408">
        <f t="shared" ref="F558" si="519">E558-E557</f>
        <v>1505.6584700000021</v>
      </c>
      <c r="G558" s="409">
        <f t="shared" ref="G558" si="520">(E558/E557)-1</f>
        <v>2.4462091913146855E-2</v>
      </c>
      <c r="H558" s="408">
        <f t="shared" ref="H558" si="521">E558-$D$3</f>
        <v>40200.491679999999</v>
      </c>
      <c r="I558" s="409">
        <f t="shared" ref="I558" si="522">(E558/$D$3)-1</f>
        <v>1.7588709971407757</v>
      </c>
      <c r="L558" s="382">
        <v>1872.01</v>
      </c>
      <c r="M558" s="415">
        <f t="shared" ref="M558" si="523">(L558/L557)-1</f>
        <v>1.390318142920588E-2</v>
      </c>
      <c r="N558" s="415">
        <f t="shared" ref="N558" si="524">(L558/$L$3)-1</f>
        <v>1.0127408394976776</v>
      </c>
      <c r="O558" s="416" t="str">
        <f t="shared" ref="O558" si="525">IF(G558&gt;M558,"Yes","No")</f>
        <v>Yes</v>
      </c>
      <c r="P558" s="417">
        <f t="shared" ref="P558" si="526">IF(O558="Yes",1,0)</f>
        <v>1</v>
      </c>
      <c r="Q558" s="415">
        <f>SUM($P$4:P558)/COUNT($P$4:P558)</f>
        <v>0.54054054054054057</v>
      </c>
      <c r="S558" s="382">
        <v>16331.05</v>
      </c>
      <c r="T558" s="415">
        <f t="shared" ref="T558" si="527">(S558/S557)-1</f>
        <v>1.3791142654770105E-2</v>
      </c>
      <c r="U558" s="415">
        <f t="shared" ref="U558" si="528">(S558/$S$3)-1</f>
        <v>0.90279143577530552</v>
      </c>
      <c r="V558" s="416" t="str">
        <f t="shared" ref="V558" si="529">IF(G558&gt;T558,"Yes","No")</f>
        <v>Yes</v>
      </c>
      <c r="W558" s="417">
        <f t="shared" ref="W558" si="530">IF(V558="Yes",1,0)</f>
        <v>1</v>
      </c>
      <c r="X558" s="415">
        <f>SUM($W$478:W558)/COUNT($W$478:W558)</f>
        <v>0.5679012345679012</v>
      </c>
    </row>
    <row r="559" spans="1:24">
      <c r="A559" s="403">
        <f t="shared" si="209"/>
        <v>557</v>
      </c>
      <c r="B559" s="422">
        <f t="shared" si="237"/>
        <v>41725</v>
      </c>
      <c r="D559" s="411">
        <v>61896.339899999999</v>
      </c>
      <c r="E559" s="408">
        <f t="shared" ref="E559:E560" si="531">D559</f>
        <v>61896.339899999999</v>
      </c>
      <c r="F559" s="408">
        <f t="shared" ref="F559:F560" si="532">E559-E558</f>
        <v>-1160.0017799999987</v>
      </c>
      <c r="G559" s="409">
        <f t="shared" ref="G559:G560" si="533">(E559/E558)-1</f>
        <v>-1.8396274650483324E-2</v>
      </c>
      <c r="H559" s="408">
        <f t="shared" ref="H559:H560" si="534">E559-$D$3</f>
        <v>39040.4899</v>
      </c>
      <c r="I559" s="409">
        <f t="shared" ref="I559:I560" si="535">(E559/$D$3)-1</f>
        <v>1.7081180485521212</v>
      </c>
      <c r="L559" s="382">
        <v>1849.04</v>
      </c>
      <c r="M559" s="415">
        <f t="shared" ref="M559:M560" si="536">(L559/L558)-1</f>
        <v>-1.2270233599179559E-2</v>
      </c>
      <c r="N559" s="415">
        <f t="shared" ref="N559:N560" si="537">(L559/$L$3)-1</f>
        <v>0.98804403922243234</v>
      </c>
      <c r="O559" s="416" t="str">
        <f t="shared" ref="O559:O560" si="538">IF(G559&gt;M559,"Yes","No")</f>
        <v>No</v>
      </c>
      <c r="P559" s="417">
        <f t="shared" ref="P559:P560" si="539">IF(O559="Yes",1,0)</f>
        <v>0</v>
      </c>
      <c r="Q559" s="415">
        <f>SUM($P$4:P559)/COUNT($P$4:P559)</f>
        <v>0.53956834532374098</v>
      </c>
      <c r="S559" s="382">
        <v>16264.23</v>
      </c>
      <c r="T559" s="415">
        <f t="shared" ref="T559:T560" si="540">(S559/S558)-1</f>
        <v>-4.0915923960798128E-3</v>
      </c>
      <c r="U559" s="415">
        <f t="shared" ref="U559:U560" si="541">(S559/$S$3)-1</f>
        <v>0.89500598880536142</v>
      </c>
      <c r="V559" s="416" t="str">
        <f t="shared" ref="V559:V560" si="542">IF(G559&gt;T559,"Yes","No")</f>
        <v>No</v>
      </c>
      <c r="W559" s="417">
        <f t="shared" ref="W559:W560" si="543">IF(V559="Yes",1,0)</f>
        <v>0</v>
      </c>
      <c r="X559" s="415">
        <f>SUM($W$478:W559)/COUNT($W$478:W559)</f>
        <v>0.56097560975609762</v>
      </c>
    </row>
    <row r="560" spans="1:24">
      <c r="A560" s="403">
        <f t="shared" si="209"/>
        <v>558</v>
      </c>
      <c r="B560" s="422">
        <f t="shared" si="237"/>
        <v>41732</v>
      </c>
      <c r="D560" s="411">
        <v>62952.897960000009</v>
      </c>
      <c r="E560" s="408">
        <f t="shared" si="531"/>
        <v>62952.897960000009</v>
      </c>
      <c r="F560" s="408">
        <f t="shared" si="532"/>
        <v>1056.5580600000103</v>
      </c>
      <c r="G560" s="409">
        <f t="shared" si="533"/>
        <v>1.7069798661875524E-2</v>
      </c>
      <c r="H560" s="408">
        <f t="shared" si="534"/>
        <v>40097.047960000011</v>
      </c>
      <c r="I560" s="409">
        <f t="shared" si="535"/>
        <v>1.7543450783934973</v>
      </c>
      <c r="L560" s="382">
        <v>1888.77</v>
      </c>
      <c r="M560" s="415">
        <f t="shared" si="536"/>
        <v>2.1486825595985026E-2</v>
      </c>
      <c r="N560" s="415">
        <f t="shared" si="537"/>
        <v>1.0307607947703423</v>
      </c>
      <c r="O560" s="416" t="str">
        <f t="shared" si="538"/>
        <v>No</v>
      </c>
      <c r="P560" s="417">
        <f t="shared" si="539"/>
        <v>0</v>
      </c>
      <c r="Q560" s="415">
        <f>SUM($P$4:P560)/COUNT($P$4:P560)</f>
        <v>0.53859964093357271</v>
      </c>
      <c r="S560" s="382">
        <v>16572.55</v>
      </c>
      <c r="T560" s="415">
        <f t="shared" si="540"/>
        <v>1.895693801673981E-2</v>
      </c>
      <c r="U560" s="415">
        <f t="shared" si="541"/>
        <v>0.9309294998764952</v>
      </c>
      <c r="V560" s="416" t="str">
        <f t="shared" si="542"/>
        <v>No</v>
      </c>
      <c r="W560" s="417">
        <f t="shared" si="543"/>
        <v>0</v>
      </c>
      <c r="X560" s="415">
        <f>SUM($W$478:W560)/COUNT($W$478:W560)</f>
        <v>0.55421686746987953</v>
      </c>
    </row>
    <row r="561" spans="1:24">
      <c r="A561" s="403">
        <f t="shared" si="209"/>
        <v>559</v>
      </c>
      <c r="B561" s="422">
        <f t="shared" si="237"/>
        <v>41739</v>
      </c>
      <c r="D561" s="411">
        <v>61008.372510000001</v>
      </c>
      <c r="E561" s="408">
        <f t="shared" ref="E561" si="544">D561</f>
        <v>61008.372510000001</v>
      </c>
      <c r="F561" s="408">
        <f t="shared" ref="F561" si="545">E561-E560</f>
        <v>-1944.5254500000083</v>
      </c>
      <c r="G561" s="409">
        <f t="shared" ref="G561" si="546">(E561/E560)-1</f>
        <v>-3.0888577222220159E-2</v>
      </c>
      <c r="H561" s="408">
        <f t="shared" ref="H561" si="547">E561-$D$3</f>
        <v>38152.522510000003</v>
      </c>
      <c r="I561" s="409">
        <f t="shared" ref="I561" si="548">(E561/$D$3)-1</f>
        <v>1.6692672777428976</v>
      </c>
      <c r="L561" s="382">
        <v>1833.08</v>
      </c>
      <c r="M561" s="415">
        <f t="shared" ref="M561" si="549">(L561/L560)-1</f>
        <v>-2.9484796984280859E-2</v>
      </c>
      <c r="N561" s="415">
        <f t="shared" ref="N561" si="550">(L561/$L$3)-1</f>
        <v>0.97088422501290195</v>
      </c>
      <c r="O561" s="416" t="str">
        <f t="shared" ref="O561" si="551">IF(G561&gt;M561,"Yes","No")</f>
        <v>No</v>
      </c>
      <c r="P561" s="417">
        <f t="shared" ref="P561" si="552">IF(O561="Yes",1,0)</f>
        <v>0</v>
      </c>
      <c r="Q561" s="415">
        <f>SUM($P$4:P561)/COUNT($P$4:P561)</f>
        <v>0.5376344086021505</v>
      </c>
      <c r="S561" s="382">
        <v>16170.22</v>
      </c>
      <c r="T561" s="415">
        <f t="shared" ref="T561" si="553">(S561/S560)-1</f>
        <v>-2.4276891606904161E-2</v>
      </c>
      <c r="U561" s="415">
        <f t="shared" ref="U561" si="554">(S561/$S$3)-1</f>
        <v>0.88405253370741987</v>
      </c>
      <c r="V561" s="416" t="str">
        <f t="shared" ref="V561" si="555">IF(G561&gt;T561,"Yes","No")</f>
        <v>No</v>
      </c>
      <c r="W561" s="417">
        <f t="shared" ref="W561" si="556">IF(V561="Yes",1,0)</f>
        <v>0</v>
      </c>
      <c r="X561" s="415">
        <f>SUM($W$478:W561)/COUNT($W$478:W561)</f>
        <v>0.54761904761904767</v>
      </c>
    </row>
    <row r="562" spans="1:24">
      <c r="A562" s="403">
        <f t="shared" si="209"/>
        <v>560</v>
      </c>
      <c r="B562" s="422">
        <f t="shared" si="237"/>
        <v>41746</v>
      </c>
      <c r="D562" s="411">
        <v>61992.267090000008</v>
      </c>
      <c r="E562" s="408">
        <f t="shared" ref="E562" si="557">D562</f>
        <v>61992.267090000008</v>
      </c>
      <c r="F562" s="408">
        <f t="shared" ref="F562" si="558">E562-E561</f>
        <v>983.89458000000741</v>
      </c>
      <c r="G562" s="409">
        <f t="shared" ref="G562" si="559">(E562/E561)-1</f>
        <v>1.6127205816525159E-2</v>
      </c>
      <c r="H562" s="408">
        <f t="shared" ref="H562" si="560">E562-$D$3</f>
        <v>39136.41709000001</v>
      </c>
      <c r="I562" s="409">
        <f t="shared" ref="I562" si="561">(E562/$D$3)-1</f>
        <v>1.7123151005103732</v>
      </c>
      <c r="L562" s="382">
        <v>1864.85</v>
      </c>
      <c r="M562" s="415">
        <f t="shared" ref="M562" si="562">(L562/L561)-1</f>
        <v>1.7331485805311297E-2</v>
      </c>
      <c r="N562" s="415">
        <f t="shared" ref="N562" si="563">(L562/$L$3)-1</f>
        <v>1.0050425769826248</v>
      </c>
      <c r="O562" s="416" t="str">
        <f t="shared" ref="O562" si="564">IF(G562&gt;M562,"Yes","No")</f>
        <v>No</v>
      </c>
      <c r="P562" s="417">
        <f t="shared" ref="P562" si="565">IF(O562="Yes",1,0)</f>
        <v>0</v>
      </c>
      <c r="Q562" s="415">
        <f>SUM($P$4:P562)/COUNT($P$4:P562)</f>
        <v>0.53667262969588547</v>
      </c>
      <c r="S562" s="382">
        <v>16408.54</v>
      </c>
      <c r="T562" s="415">
        <f t="shared" ref="T562" si="566">(S562/S561)-1</f>
        <v>1.4738203932908922E-2</v>
      </c>
      <c r="U562" s="415">
        <f t="shared" ref="U562" si="567">(S562/$S$3)-1</f>
        <v>0.91182008416951343</v>
      </c>
      <c r="V562" s="416" t="str">
        <f t="shared" ref="V562" si="568">IF(G562&gt;T562,"Yes","No")</f>
        <v>Yes</v>
      </c>
      <c r="W562" s="417">
        <f t="shared" ref="W562" si="569">IF(V562="Yes",1,0)</f>
        <v>1</v>
      </c>
      <c r="X562" s="415">
        <f>SUM($W$478:W562)/COUNT($W$478:W562)</f>
        <v>0.55294117647058827</v>
      </c>
    </row>
    <row r="563" spans="1:24">
      <c r="A563" s="403">
        <f t="shared" si="209"/>
        <v>561</v>
      </c>
      <c r="B563" s="422">
        <f t="shared" si="237"/>
        <v>41753</v>
      </c>
      <c r="D563" s="411">
        <v>62785.290809999991</v>
      </c>
      <c r="E563" s="408">
        <f t="shared" ref="E563" si="570">D563</f>
        <v>62785.290809999991</v>
      </c>
      <c r="F563" s="408">
        <f t="shared" ref="F563" si="571">E563-E562</f>
        <v>793.02371999998286</v>
      </c>
      <c r="G563" s="409">
        <f t="shared" ref="G563" si="572">(E563/E562)-1</f>
        <v>1.2792300672738399E-2</v>
      </c>
      <c r="H563" s="408">
        <f t="shared" ref="H563" si="573">E563-$D$3</f>
        <v>39929.440809999993</v>
      </c>
      <c r="I563" s="409">
        <f t="shared" ref="I563" si="574">(E563/$D$3)-1</f>
        <v>1.7470118507953103</v>
      </c>
      <c r="L563" s="382">
        <v>1878.61</v>
      </c>
      <c r="M563" s="415">
        <f t="shared" ref="M563" si="575">(L563/L562)-1</f>
        <v>7.3786095396413121E-3</v>
      </c>
      <c r="N563" s="415">
        <f t="shared" ref="N563" si="576">(L563/$L$3)-1</f>
        <v>1.019837003268536</v>
      </c>
      <c r="O563" s="416" t="str">
        <f t="shared" ref="O563" si="577">IF(G563&gt;M563,"Yes","No")</f>
        <v>Yes</v>
      </c>
      <c r="P563" s="417">
        <f t="shared" ref="P563" si="578">IF(O563="Yes",1,0)</f>
        <v>1</v>
      </c>
      <c r="Q563" s="415">
        <f>SUM($P$4:P563)/COUNT($P$4:P563)</f>
        <v>0.53749999999999998</v>
      </c>
      <c r="S563" s="382">
        <v>16501.650000000001</v>
      </c>
      <c r="T563" s="415">
        <f t="shared" ref="T563" si="579">(S563/S562)-1</f>
        <v>5.6744841405755864E-3</v>
      </c>
      <c r="U563" s="415">
        <f t="shared" ref="U563" si="580">(S563/$S$3)-1</f>
        <v>0.92266867691676735</v>
      </c>
      <c r="V563" s="416" t="str">
        <f t="shared" ref="V563" si="581">IF(G563&gt;T563,"Yes","No")</f>
        <v>Yes</v>
      </c>
      <c r="W563" s="417">
        <f t="shared" ref="W563" si="582">IF(V563="Yes",1,0)</f>
        <v>1</v>
      </c>
      <c r="X563" s="415">
        <f>SUM($W$478:W563)/COUNT($W$478:W563)</f>
        <v>0.55813953488372092</v>
      </c>
    </row>
    <row r="564" spans="1:24">
      <c r="A564" s="403">
        <f t="shared" si="209"/>
        <v>562</v>
      </c>
      <c r="B564" s="422">
        <f t="shared" si="237"/>
        <v>41760</v>
      </c>
      <c r="D564" s="411">
        <v>62601.628210000003</v>
      </c>
      <c r="E564" s="408">
        <f t="shared" ref="E564" si="583">D564</f>
        <v>62601.628210000003</v>
      </c>
      <c r="F564" s="408">
        <f t="shared" ref="F564" si="584">E564-E563</f>
        <v>-183.66259999998874</v>
      </c>
      <c r="G564" s="409">
        <f t="shared" ref="G564" si="585">(E564/E563)-1</f>
        <v>-2.9252488541589017E-3</v>
      </c>
      <c r="H564" s="408">
        <f t="shared" ref="H564" si="586">E564-$D$3</f>
        <v>39745.778210000004</v>
      </c>
      <c r="I564" s="409">
        <f t="shared" ref="I564" si="587">(E564/$D$3)-1</f>
        <v>1.7389761575264102</v>
      </c>
      <c r="L564" s="382">
        <v>1883.68</v>
      </c>
      <c r="M564" s="415">
        <f t="shared" ref="M564" si="588">(L564/L563)-1</f>
        <v>2.6988039028856825E-3</v>
      </c>
      <c r="N564" s="415">
        <f t="shared" ref="N564" si="589">(L564/$L$3)-1</f>
        <v>1.0252881472561501</v>
      </c>
      <c r="O564" s="416" t="str">
        <f t="shared" ref="O564" si="590">IF(G564&gt;M564,"Yes","No")</f>
        <v>No</v>
      </c>
      <c r="P564" s="417">
        <f t="shared" ref="P564" si="591">IF(O564="Yes",1,0)</f>
        <v>0</v>
      </c>
      <c r="Q564" s="415">
        <f>SUM($P$4:P564)/COUNT($P$4:P564)</f>
        <v>0.53654188948306591</v>
      </c>
      <c r="S564" s="382">
        <v>16558.87</v>
      </c>
      <c r="T564" s="415">
        <f t="shared" ref="T564" si="592">(S564/S563)-1</f>
        <v>3.4675320346750915E-3</v>
      </c>
      <c r="U564" s="415">
        <f t="shared" ref="U564" si="593">(S564/$S$3)-1</f>
        <v>0.92933559214604267</v>
      </c>
      <c r="V564" s="416" t="str">
        <f t="shared" ref="V564" si="594">IF(G564&gt;T564,"Yes","No")</f>
        <v>No</v>
      </c>
      <c r="W564" s="417">
        <f t="shared" ref="W564" si="595">IF(V564="Yes",1,0)</f>
        <v>0</v>
      </c>
      <c r="X564" s="415">
        <f>SUM($W$478:W564)/COUNT($W$478:W564)</f>
        <v>0.55172413793103448</v>
      </c>
    </row>
    <row r="565" spans="1:24">
      <c r="A565" s="403">
        <f t="shared" si="209"/>
        <v>563</v>
      </c>
      <c r="B565" s="422">
        <f t="shared" si="237"/>
        <v>41767</v>
      </c>
      <c r="D565" s="411">
        <v>60637.962699999996</v>
      </c>
      <c r="E565" s="408">
        <f t="shared" ref="E565" si="596">D565</f>
        <v>60637.962699999996</v>
      </c>
      <c r="F565" s="408">
        <f t="shared" ref="F565" si="597">E565-E564</f>
        <v>-1963.6655100000062</v>
      </c>
      <c r="G565" s="409">
        <f t="shared" ref="G565" si="598">(E565/E564)-1</f>
        <v>-3.1367642761827241E-2</v>
      </c>
      <c r="H565" s="408">
        <f t="shared" ref="H565:H582" si="599">E565-$D$3</f>
        <v>37782.112699999998</v>
      </c>
      <c r="I565" s="409">
        <f t="shared" ref="I565" si="600">(E565/$D$3)-1</f>
        <v>1.6530609318839597</v>
      </c>
      <c r="L565" s="382">
        <v>1875.63</v>
      </c>
      <c r="M565" s="415">
        <f t="shared" ref="M565" si="601">(L565/L564)-1</f>
        <v>-4.2735496474984869E-3</v>
      </c>
      <c r="N565" s="415">
        <f t="shared" ref="N565:N582" si="602">(L565/$L$3)-1</f>
        <v>1.0166329778083605</v>
      </c>
      <c r="O565" s="416" t="str">
        <f t="shared" ref="O565" si="603">IF(G565&gt;M565,"Yes","No")</f>
        <v>No</v>
      </c>
      <c r="P565" s="417">
        <f t="shared" ref="P565" si="604">IF(O565="Yes",1,0)</f>
        <v>0</v>
      </c>
      <c r="Q565" s="415">
        <f>SUM($P$4:P565)/COUNT($P$4:P565)</f>
        <v>0.53558718861209964</v>
      </c>
      <c r="S565" s="382">
        <v>16550.97</v>
      </c>
      <c r="T565" s="415">
        <f t="shared" ref="T565" si="605">(S565/S564)-1</f>
        <v>-4.7708569485704899E-4</v>
      </c>
      <c r="U565" s="415">
        <f t="shared" ref="U565:U582" si="606">(S565/$S$3)-1</f>
        <v>0.92841513373445128</v>
      </c>
      <c r="V565" s="416" t="str">
        <f t="shared" ref="V565:V582" si="607">IF(G565&gt;T565,"Yes","No")</f>
        <v>No</v>
      </c>
      <c r="W565" s="417">
        <f t="shared" ref="W565" si="608">IF(V565="Yes",1,0)</f>
        <v>0</v>
      </c>
      <c r="X565" s="415">
        <f>SUM($W$478:W565)/COUNT($W$478:W565)</f>
        <v>0.54545454545454541</v>
      </c>
    </row>
    <row r="566" spans="1:24">
      <c r="A566" s="403">
        <f t="shared" si="209"/>
        <v>564</v>
      </c>
      <c r="B566" s="422">
        <f t="shared" si="237"/>
        <v>41774</v>
      </c>
    </row>
    <row r="567" spans="1:24">
      <c r="A567" s="403">
        <f t="shared" si="209"/>
        <v>565</v>
      </c>
      <c r="B567" s="422">
        <f t="shared" si="237"/>
        <v>41781</v>
      </c>
    </row>
    <row r="568" spans="1:24">
      <c r="A568" s="403">
        <f t="shared" si="209"/>
        <v>566</v>
      </c>
      <c r="B568" s="422">
        <f t="shared" si="237"/>
        <v>41788</v>
      </c>
    </row>
    <row r="569" spans="1:24">
      <c r="A569" s="403">
        <f t="shared" si="209"/>
        <v>567</v>
      </c>
      <c r="B569" s="422">
        <f t="shared" si="237"/>
        <v>41795</v>
      </c>
    </row>
    <row r="570" spans="1:24">
      <c r="A570" s="403">
        <f t="shared" si="209"/>
        <v>568</v>
      </c>
      <c r="B570" s="422">
        <f t="shared" si="237"/>
        <v>41802</v>
      </c>
    </row>
    <row r="571" spans="1:24">
      <c r="A571" s="403">
        <f t="shared" si="209"/>
        <v>569</v>
      </c>
      <c r="B571" s="422">
        <f t="shared" si="237"/>
        <v>41809</v>
      </c>
    </row>
    <row r="572" spans="1:24">
      <c r="A572" s="403">
        <f t="shared" si="209"/>
        <v>570</v>
      </c>
      <c r="B572" s="422">
        <f t="shared" si="237"/>
        <v>41816</v>
      </c>
    </row>
    <row r="573" spans="1:24">
      <c r="A573" s="403">
        <f t="shared" si="209"/>
        <v>571</v>
      </c>
      <c r="B573" s="422">
        <f t="shared" si="237"/>
        <v>41823</v>
      </c>
    </row>
    <row r="574" spans="1:24">
      <c r="A574" s="403">
        <f t="shared" si="209"/>
        <v>572</v>
      </c>
      <c r="B574" s="422">
        <f t="shared" si="237"/>
        <v>41830</v>
      </c>
    </row>
    <row r="575" spans="1:24">
      <c r="A575" s="403">
        <f t="shared" si="209"/>
        <v>573</v>
      </c>
      <c r="B575" s="422">
        <f t="shared" si="237"/>
        <v>41837</v>
      </c>
      <c r="L575" s="382" t="s">
        <v>196</v>
      </c>
    </row>
    <row r="576" spans="1:24">
      <c r="A576" s="403">
        <f t="shared" si="209"/>
        <v>574</v>
      </c>
      <c r="B576" s="422">
        <f t="shared" si="237"/>
        <v>41844</v>
      </c>
      <c r="L576" s="466" t="s">
        <v>182</v>
      </c>
    </row>
    <row r="577" spans="1:24">
      <c r="A577" s="403">
        <f t="shared" si="209"/>
        <v>575</v>
      </c>
      <c r="B577" s="422">
        <f t="shared" si="237"/>
        <v>41851</v>
      </c>
      <c r="L577" s="382" t="s">
        <v>206</v>
      </c>
    </row>
    <row r="578" spans="1:24">
      <c r="A578" s="403">
        <f t="shared" si="209"/>
        <v>576</v>
      </c>
      <c r="B578" s="422">
        <f t="shared" si="237"/>
        <v>41858</v>
      </c>
      <c r="L578" s="382" t="s">
        <v>205</v>
      </c>
    </row>
    <row r="579" spans="1:24">
      <c r="A579" s="403">
        <f t="shared" si="209"/>
        <v>577</v>
      </c>
      <c r="B579" s="422">
        <f t="shared" si="237"/>
        <v>41865</v>
      </c>
    </row>
    <row r="580" spans="1:24">
      <c r="A580" s="403">
        <f t="shared" si="209"/>
        <v>578</v>
      </c>
      <c r="B580" s="422">
        <f t="shared" si="237"/>
        <v>41872</v>
      </c>
      <c r="L580" s="382" t="s">
        <v>257</v>
      </c>
    </row>
    <row r="581" spans="1:24">
      <c r="A581" s="403">
        <f t="shared" ref="A581:A644" si="609">A580+1</f>
        <v>579</v>
      </c>
      <c r="B581" s="422">
        <f t="shared" si="237"/>
        <v>41879</v>
      </c>
      <c r="D581" s="411">
        <v>63361.425660000001</v>
      </c>
      <c r="E581" s="411">
        <v>63361.425660000001</v>
      </c>
      <c r="H581" s="408">
        <f t="shared" si="599"/>
        <v>40505.575660000002</v>
      </c>
      <c r="L581" s="382">
        <v>1996.74</v>
      </c>
      <c r="N581" s="415">
        <f t="shared" si="602"/>
        <v>1.1468475830036127</v>
      </c>
      <c r="O581" s="416" t="str">
        <f t="shared" ref="O581:O582" si="610">IF(G581&gt;M581,"Yes","No")</f>
        <v>No</v>
      </c>
      <c r="P581" s="417">
        <f t="shared" ref="P581:P582" si="611">IF(O581="Yes",1,0)</f>
        <v>0</v>
      </c>
      <c r="Q581" s="415">
        <f>SUM($P$4:P581)/COUNT($P$4:P581)</f>
        <v>0.53463587921847244</v>
      </c>
      <c r="S581" s="382">
        <v>17079.57</v>
      </c>
      <c r="U581" s="415">
        <f t="shared" si="606"/>
        <v>0.9900042877050057</v>
      </c>
      <c r="V581" s="416" t="str">
        <f t="shared" si="607"/>
        <v>No</v>
      </c>
      <c r="W581" s="417">
        <f t="shared" ref="W581:W582" si="612">IF(V581="Yes",1,0)</f>
        <v>0</v>
      </c>
      <c r="X581" s="415">
        <f>SUM($W$478:W581)/COUNT($W$478:W581)</f>
        <v>0.5393258426966292</v>
      </c>
    </row>
    <row r="582" spans="1:24">
      <c r="A582" s="403">
        <f t="shared" si="609"/>
        <v>580</v>
      </c>
      <c r="B582" s="422">
        <f t="shared" si="237"/>
        <v>41886</v>
      </c>
      <c r="D582" s="411">
        <v>60637.962699999996</v>
      </c>
      <c r="E582" s="411">
        <v>60637.962699999996</v>
      </c>
      <c r="F582" s="408">
        <f>E582-E581</f>
        <v>-2723.4629600000044</v>
      </c>
      <c r="G582" s="409">
        <f>(E582/E581)-1</f>
        <v>-4.2982981074545568E-2</v>
      </c>
      <c r="H582" s="408">
        <f t="shared" si="599"/>
        <v>37782.112699999998</v>
      </c>
      <c r="I582" s="409">
        <f>(E582/$D$3)-1</f>
        <v>1.6530609318839597</v>
      </c>
      <c r="L582" s="382">
        <v>1997.65</v>
      </c>
      <c r="M582" s="415">
        <f>L582/L581-1</f>
        <v>4.5574286086313975E-4</v>
      </c>
      <c r="N582" s="415">
        <f t="shared" si="602"/>
        <v>1.147825993462928</v>
      </c>
      <c r="O582" s="416" t="str">
        <f t="shared" si="610"/>
        <v>No</v>
      </c>
      <c r="P582" s="417">
        <f t="shared" si="611"/>
        <v>0</v>
      </c>
      <c r="Q582" s="415">
        <f>SUM($P$4:P582)/COUNT($P$4:P582)</f>
        <v>0.53368794326241131</v>
      </c>
      <c r="S582" s="382">
        <v>17069.580000000002</v>
      </c>
      <c r="T582" s="415">
        <f>S582/S581-1</f>
        <v>-5.8490933905230857E-4</v>
      </c>
      <c r="U582" s="415">
        <f t="shared" si="606"/>
        <v>0.98884031561237307</v>
      </c>
      <c r="V582" s="416" t="str">
        <f t="shared" si="607"/>
        <v>No</v>
      </c>
      <c r="W582" s="417">
        <f t="shared" si="612"/>
        <v>0</v>
      </c>
      <c r="X582" s="415">
        <f>SUM($W$478:W582)/COUNT($W$478:W582)</f>
        <v>0.53333333333333333</v>
      </c>
    </row>
    <row r="583" spans="1:24">
      <c r="A583" s="403">
        <f t="shared" si="609"/>
        <v>581</v>
      </c>
      <c r="B583" s="422">
        <f t="shared" si="237"/>
        <v>41893</v>
      </c>
      <c r="D583" s="411">
        <v>64118.22</v>
      </c>
      <c r="E583" s="411">
        <v>64118.22</v>
      </c>
      <c r="F583" s="408">
        <f>E583-E582</f>
        <v>3480.2573000000048</v>
      </c>
      <c r="G583" s="409">
        <f>(E583/E582)-1</f>
        <v>5.7394034117178583E-2</v>
      </c>
      <c r="H583" s="408">
        <f t="shared" ref="H583" si="613">E583-$D$3</f>
        <v>41262.370000000003</v>
      </c>
      <c r="I583" s="409">
        <f>(E583/$D$3)-1</f>
        <v>1.8053308015234615</v>
      </c>
      <c r="L583" s="382">
        <v>1997.45</v>
      </c>
      <c r="M583" s="415">
        <f>L583/L582-1</f>
        <v>-1.0011763822492803E-4</v>
      </c>
      <c r="N583" s="415">
        <f t="shared" ref="N583" si="614">(L583/$L$3)-1</f>
        <v>1.1476109581971441</v>
      </c>
      <c r="O583" s="416" t="str">
        <f t="shared" ref="O583" si="615">IF(G583&gt;M583,"Yes","No")</f>
        <v>Yes</v>
      </c>
      <c r="P583" s="417">
        <f t="shared" ref="P583" si="616">IF(O583="Yes",1,0)</f>
        <v>1</v>
      </c>
      <c r="Q583" s="415">
        <f>SUM($P$4:P583)/COUNT($P$4:P583)</f>
        <v>0.53451327433628315</v>
      </c>
      <c r="S583" s="382">
        <v>17049</v>
      </c>
      <c r="T583" s="415">
        <f>S583/S582-1</f>
        <v>-1.2056535661686407E-3</v>
      </c>
      <c r="U583" s="415">
        <f t="shared" ref="U583" si="617">(S583/$S$3)-1</f>
        <v>0.98644246319331486</v>
      </c>
      <c r="V583" s="416" t="str">
        <f t="shared" ref="V583" si="618">IF(G583&gt;T583,"Yes","No")</f>
        <v>Yes</v>
      </c>
      <c r="W583" s="417">
        <f t="shared" ref="W583" si="619">IF(V583="Yes",1,0)</f>
        <v>1</v>
      </c>
      <c r="X583" s="415">
        <f>SUM($W$478:W583)/COUNT($W$478:W583)</f>
        <v>0.53846153846153844</v>
      </c>
    </row>
    <row r="584" spans="1:24">
      <c r="A584" s="403">
        <f t="shared" si="609"/>
        <v>582</v>
      </c>
      <c r="B584" s="422">
        <f t="shared" si="237"/>
        <v>41900</v>
      </c>
      <c r="D584" s="411">
        <v>64598.080000000002</v>
      </c>
      <c r="E584" s="411">
        <v>64598.080000000002</v>
      </c>
      <c r="F584" s="408">
        <f t="shared" ref="F584:F586" si="620">E584-E583</f>
        <v>479.86000000000058</v>
      </c>
      <c r="G584" s="409">
        <f t="shared" ref="G584:G586" si="621">(E584/E583)-1</f>
        <v>7.4839881706010303E-3</v>
      </c>
      <c r="H584" s="408">
        <f t="shared" ref="H584:H586" si="622">E584-$D$3</f>
        <v>41742.230000000003</v>
      </c>
      <c r="I584" s="409">
        <f t="shared" ref="I584:I586" si="623">(E584/$D$3)-1</f>
        <v>1.826325864056686</v>
      </c>
      <c r="L584" s="382">
        <v>2011.36</v>
      </c>
      <c r="M584" s="415">
        <f t="shared" ref="M584:M587" si="624">L584/L583-1</f>
        <v>6.9638789456556438E-3</v>
      </c>
      <c r="N584" s="415">
        <f t="shared" ref="N584:N587" si="625">(L584/$L$3)-1</f>
        <v>1.1625666609323928</v>
      </c>
      <c r="O584" s="416" t="str">
        <f t="shared" ref="O584:O586" si="626">IF(G584&gt;M584,"Yes","No")</f>
        <v>Yes</v>
      </c>
      <c r="P584" s="417">
        <f t="shared" ref="P584:P586" si="627">IF(O584="Yes",1,0)</f>
        <v>1</v>
      </c>
      <c r="Q584" s="415">
        <f>SUM($P$4:P584)/COUNT($P$4:P584)</f>
        <v>0.53533568904593642</v>
      </c>
      <c r="S584" s="382">
        <v>17265.990000000002</v>
      </c>
      <c r="T584" s="415">
        <f t="shared" ref="T584:T587" si="628">S584/S583-1</f>
        <v>1.2727432693999674E-2</v>
      </c>
      <c r="U584" s="415">
        <f t="shared" ref="U584:U587" si="629">(S584/$S$3)-1</f>
        <v>1.0117247759441108</v>
      </c>
      <c r="V584" s="416" t="str">
        <f t="shared" ref="V584:V586" si="630">IF(G584&gt;T584,"Yes","No")</f>
        <v>No</v>
      </c>
      <c r="W584" s="417">
        <f t="shared" ref="W584:W586" si="631">IF(V584="Yes",1,0)</f>
        <v>0</v>
      </c>
      <c r="X584" s="415">
        <f>SUM($W$478:W584)/COUNT($W$478:W584)</f>
        <v>0.53260869565217395</v>
      </c>
    </row>
    <row r="585" spans="1:24">
      <c r="A585" s="403">
        <f t="shared" si="609"/>
        <v>583</v>
      </c>
      <c r="B585" s="422">
        <f t="shared" si="237"/>
        <v>41907</v>
      </c>
      <c r="D585" s="411">
        <v>62278.29</v>
      </c>
      <c r="E585" s="411">
        <v>62278.29</v>
      </c>
      <c r="F585" s="408">
        <f t="shared" si="620"/>
        <v>-2319.7900000000009</v>
      </c>
      <c r="G585" s="409">
        <f t="shared" si="621"/>
        <v>-3.5911129247185092E-2</v>
      </c>
      <c r="H585" s="408">
        <f t="shared" si="622"/>
        <v>39422.44</v>
      </c>
      <c r="I585" s="409">
        <f t="shared" si="623"/>
        <v>1.7248293106578845</v>
      </c>
      <c r="L585" s="382">
        <v>1965.99</v>
      </c>
      <c r="M585" s="415">
        <f t="shared" si="624"/>
        <v>-2.2556876938986559E-2</v>
      </c>
      <c r="N585" s="415">
        <f t="shared" si="625"/>
        <v>1.1137859108893857</v>
      </c>
      <c r="O585" s="416" t="str">
        <f t="shared" si="626"/>
        <v>No</v>
      </c>
      <c r="P585" s="417">
        <f t="shared" si="627"/>
        <v>0</v>
      </c>
      <c r="Q585" s="415">
        <f>SUM($P$4:P585)/COUNT($P$4:P585)</f>
        <v>0.53439153439153442</v>
      </c>
      <c r="S585" s="382">
        <v>16945.8</v>
      </c>
      <c r="T585" s="415">
        <f t="shared" si="628"/>
        <v>-1.8544549139667188E-2</v>
      </c>
      <c r="U585" s="415">
        <f t="shared" si="629"/>
        <v>0.97441824698112933</v>
      </c>
      <c r="V585" s="416" t="str">
        <f t="shared" si="630"/>
        <v>No</v>
      </c>
      <c r="W585" s="417">
        <f t="shared" si="631"/>
        <v>0</v>
      </c>
      <c r="X585" s="415">
        <f>SUM($W$478:W585)/COUNT($W$478:W585)</f>
        <v>0.5268817204301075</v>
      </c>
    </row>
    <row r="586" spans="1:24">
      <c r="A586" s="403">
        <f t="shared" si="609"/>
        <v>584</v>
      </c>
      <c r="B586" s="422">
        <f t="shared" si="237"/>
        <v>41914</v>
      </c>
      <c r="D586" s="411">
        <v>61815</v>
      </c>
      <c r="E586" s="411">
        <v>61815</v>
      </c>
      <c r="F586" s="408">
        <f t="shared" si="620"/>
        <v>-463.29000000000087</v>
      </c>
      <c r="G586" s="409">
        <f t="shared" si="621"/>
        <v>-7.4390289136070376E-3</v>
      </c>
      <c r="H586" s="408">
        <f t="shared" si="622"/>
        <v>38959.15</v>
      </c>
      <c r="I586" s="409">
        <f t="shared" si="623"/>
        <v>1.7045592266312566</v>
      </c>
      <c r="L586" s="382">
        <v>1946.17</v>
      </c>
      <c r="M586" s="415">
        <f t="shared" si="624"/>
        <v>-1.0081434798752786E-2</v>
      </c>
      <c r="N586" s="415">
        <f t="shared" si="625"/>
        <v>1.0924759160502324</v>
      </c>
      <c r="O586" s="416" t="str">
        <f t="shared" si="626"/>
        <v>Yes</v>
      </c>
      <c r="P586" s="417">
        <f t="shared" si="627"/>
        <v>1</v>
      </c>
      <c r="Q586" s="415">
        <f>SUM($P$4:P586)/COUNT($P$4:P586)</f>
        <v>0.53521126760563376</v>
      </c>
      <c r="S586" s="382">
        <v>16801.05</v>
      </c>
      <c r="T586" s="415">
        <f t="shared" si="628"/>
        <v>-8.5419395956519706E-3</v>
      </c>
      <c r="U586" s="415">
        <f t="shared" si="629"/>
        <v>0.95755288557886331</v>
      </c>
      <c r="V586" s="416" t="str">
        <f t="shared" si="630"/>
        <v>Yes</v>
      </c>
      <c r="W586" s="417">
        <f t="shared" si="631"/>
        <v>1</v>
      </c>
      <c r="X586" s="415">
        <f>SUM($W$478:W586)/COUNT($W$478:W586)</f>
        <v>0.53191489361702127</v>
      </c>
    </row>
    <row r="587" spans="1:24">
      <c r="A587" s="403">
        <f t="shared" si="609"/>
        <v>585</v>
      </c>
      <c r="B587" s="422">
        <f t="shared" si="237"/>
        <v>41921</v>
      </c>
      <c r="D587" s="411">
        <v>61172</v>
      </c>
      <c r="E587" s="411">
        <v>61172</v>
      </c>
      <c r="F587" s="408">
        <f t="shared" ref="F587" si="632">E587-E586</f>
        <v>-643</v>
      </c>
      <c r="G587" s="409">
        <f t="shared" ref="G587" si="633">(E587/E586)-1</f>
        <v>-1.0402005985602147E-2</v>
      </c>
      <c r="H587" s="408">
        <f t="shared" ref="H587" si="634">E587-$D$3</f>
        <v>38316.15</v>
      </c>
      <c r="I587" s="409">
        <f t="shared" ref="I587" si="635">(E587/$D$3)-1</f>
        <v>1.6764263853674226</v>
      </c>
      <c r="L587" s="382">
        <v>1928.21</v>
      </c>
      <c r="M587" s="415">
        <f t="shared" si="624"/>
        <v>-9.2283818988063704E-3</v>
      </c>
      <c r="N587" s="415">
        <f t="shared" si="625"/>
        <v>1.0731657491828659</v>
      </c>
      <c r="O587" s="416" t="str">
        <f t="shared" ref="O587" si="636">IF(G587&gt;M587,"Yes","No")</f>
        <v>No</v>
      </c>
      <c r="P587" s="417">
        <f t="shared" ref="P587" si="637">IF(O587="Yes",1,0)</f>
        <v>0</v>
      </c>
      <c r="Q587" s="415">
        <f>SUM($P$4:P587)/COUNT($P$4:P587)</f>
        <v>0.53427065026362042</v>
      </c>
      <c r="S587" s="382">
        <v>16659.25</v>
      </c>
      <c r="T587" s="415">
        <f t="shared" si="628"/>
        <v>-8.4399486936828083E-3</v>
      </c>
      <c r="U587" s="415">
        <f t="shared" si="629"/>
        <v>0.94103123965940694</v>
      </c>
      <c r="V587" s="416" t="str">
        <f t="shared" ref="V587" si="638">IF(G587&gt;T587,"Yes","No")</f>
        <v>No</v>
      </c>
      <c r="W587" s="417">
        <f t="shared" ref="W587" si="639">IF(V587="Yes",1,0)</f>
        <v>0</v>
      </c>
      <c r="X587" s="415">
        <f>SUM($W$478:W587)/COUNT($W$478:W587)</f>
        <v>0.52631578947368418</v>
      </c>
    </row>
    <row r="588" spans="1:24">
      <c r="A588" s="403">
        <f t="shared" si="609"/>
        <v>586</v>
      </c>
      <c r="B588" s="422">
        <f t="shared" si="237"/>
        <v>41928</v>
      </c>
    </row>
    <row r="589" spans="1:24">
      <c r="A589" s="403">
        <f t="shared" si="609"/>
        <v>587</v>
      </c>
      <c r="B589" s="422">
        <f t="shared" ref="B589:B652" si="640">B588+7</f>
        <v>41935</v>
      </c>
    </row>
    <row r="590" spans="1:24">
      <c r="A590" s="403">
        <f t="shared" si="609"/>
        <v>588</v>
      </c>
      <c r="B590" s="422">
        <f t="shared" si="640"/>
        <v>41942</v>
      </c>
    </row>
    <row r="591" spans="1:24">
      <c r="A591" s="403">
        <f t="shared" si="609"/>
        <v>589</v>
      </c>
      <c r="B591" s="422">
        <f t="shared" si="640"/>
        <v>41949</v>
      </c>
    </row>
    <row r="592" spans="1:24">
      <c r="A592" s="403">
        <f t="shared" si="609"/>
        <v>590</v>
      </c>
      <c r="B592" s="422">
        <f t="shared" si="640"/>
        <v>41956</v>
      </c>
    </row>
    <row r="593" spans="1:2">
      <c r="A593" s="403">
        <f t="shared" si="609"/>
        <v>591</v>
      </c>
      <c r="B593" s="422">
        <f t="shared" si="640"/>
        <v>41963</v>
      </c>
    </row>
    <row r="594" spans="1:2">
      <c r="A594" s="403">
        <f t="shared" si="609"/>
        <v>592</v>
      </c>
      <c r="B594" s="422">
        <f t="shared" si="640"/>
        <v>41970</v>
      </c>
    </row>
    <row r="595" spans="1:2">
      <c r="A595" s="403">
        <f t="shared" si="609"/>
        <v>593</v>
      </c>
      <c r="B595" s="422">
        <f t="shared" si="640"/>
        <v>41977</v>
      </c>
    </row>
    <row r="596" spans="1:2">
      <c r="A596" s="403">
        <f t="shared" si="609"/>
        <v>594</v>
      </c>
      <c r="B596" s="422">
        <f t="shared" si="640"/>
        <v>41984</v>
      </c>
    </row>
    <row r="597" spans="1:2">
      <c r="A597" s="403">
        <f t="shared" si="609"/>
        <v>595</v>
      </c>
      <c r="B597" s="422">
        <f t="shared" si="640"/>
        <v>41991</v>
      </c>
    </row>
    <row r="598" spans="1:2">
      <c r="A598" s="403">
        <f t="shared" si="609"/>
        <v>596</v>
      </c>
      <c r="B598" s="422">
        <f t="shared" si="640"/>
        <v>41998</v>
      </c>
    </row>
    <row r="599" spans="1:2">
      <c r="A599" s="403">
        <f t="shared" si="609"/>
        <v>597</v>
      </c>
      <c r="B599" s="422">
        <f t="shared" si="640"/>
        <v>42005</v>
      </c>
    </row>
    <row r="600" spans="1:2">
      <c r="A600" s="403">
        <f t="shared" si="609"/>
        <v>598</v>
      </c>
      <c r="B600" s="422">
        <f t="shared" si="640"/>
        <v>42012</v>
      </c>
    </row>
    <row r="601" spans="1:2">
      <c r="A601" s="403">
        <f t="shared" si="609"/>
        <v>599</v>
      </c>
      <c r="B601" s="422">
        <f t="shared" si="640"/>
        <v>42019</v>
      </c>
    </row>
    <row r="602" spans="1:2">
      <c r="A602" s="403">
        <f t="shared" si="609"/>
        <v>600</v>
      </c>
      <c r="B602" s="422">
        <f t="shared" si="640"/>
        <v>42026</v>
      </c>
    </row>
    <row r="603" spans="1:2">
      <c r="A603" s="403">
        <f t="shared" si="609"/>
        <v>601</v>
      </c>
      <c r="B603" s="422">
        <f t="shared" si="640"/>
        <v>42033</v>
      </c>
    </row>
    <row r="604" spans="1:2">
      <c r="A604" s="403">
        <f t="shared" si="609"/>
        <v>602</v>
      </c>
      <c r="B604" s="422">
        <f t="shared" si="640"/>
        <v>42040</v>
      </c>
    </row>
    <row r="605" spans="1:2">
      <c r="A605" s="403">
        <f t="shared" si="609"/>
        <v>603</v>
      </c>
      <c r="B605" s="422">
        <f t="shared" si="640"/>
        <v>42047</v>
      </c>
    </row>
    <row r="606" spans="1:2">
      <c r="A606" s="403">
        <f t="shared" si="609"/>
        <v>604</v>
      </c>
      <c r="B606" s="422">
        <f t="shared" si="640"/>
        <v>42054</v>
      </c>
    </row>
    <row r="607" spans="1:2">
      <c r="A607" s="403">
        <f t="shared" si="609"/>
        <v>605</v>
      </c>
      <c r="B607" s="422">
        <f t="shared" si="640"/>
        <v>42061</v>
      </c>
    </row>
    <row r="608" spans="1:2">
      <c r="A608" s="403">
        <f t="shared" si="609"/>
        <v>606</v>
      </c>
      <c r="B608" s="422">
        <f t="shared" si="640"/>
        <v>42068</v>
      </c>
    </row>
    <row r="609" spans="1:2">
      <c r="A609" s="403">
        <f t="shared" si="609"/>
        <v>607</v>
      </c>
      <c r="B609" s="422">
        <f t="shared" si="640"/>
        <v>42075</v>
      </c>
    </row>
    <row r="610" spans="1:2">
      <c r="A610" s="403">
        <f t="shared" si="609"/>
        <v>608</v>
      </c>
      <c r="B610" s="422">
        <f t="shared" si="640"/>
        <v>42082</v>
      </c>
    </row>
    <row r="611" spans="1:2">
      <c r="A611" s="403">
        <f t="shared" si="609"/>
        <v>609</v>
      </c>
      <c r="B611" s="422">
        <f t="shared" si="640"/>
        <v>42089</v>
      </c>
    </row>
    <row r="612" spans="1:2">
      <c r="A612" s="403">
        <f t="shared" si="609"/>
        <v>610</v>
      </c>
      <c r="B612" s="422">
        <f t="shared" si="640"/>
        <v>42096</v>
      </c>
    </row>
    <row r="613" spans="1:2">
      <c r="A613" s="403">
        <f t="shared" si="609"/>
        <v>611</v>
      </c>
      <c r="B613" s="422">
        <f t="shared" si="640"/>
        <v>42103</v>
      </c>
    </row>
    <row r="614" spans="1:2">
      <c r="A614" s="403">
        <f t="shared" si="609"/>
        <v>612</v>
      </c>
      <c r="B614" s="422">
        <f t="shared" si="640"/>
        <v>42110</v>
      </c>
    </row>
    <row r="615" spans="1:2">
      <c r="A615" s="403">
        <f t="shared" si="609"/>
        <v>613</v>
      </c>
      <c r="B615" s="422">
        <f t="shared" si="640"/>
        <v>42117</v>
      </c>
    </row>
    <row r="616" spans="1:2">
      <c r="A616" s="403">
        <f t="shared" si="609"/>
        <v>614</v>
      </c>
      <c r="B616" s="422">
        <f t="shared" si="640"/>
        <v>42124</v>
      </c>
    </row>
    <row r="617" spans="1:2">
      <c r="A617" s="403">
        <f t="shared" si="609"/>
        <v>615</v>
      </c>
      <c r="B617" s="422">
        <f t="shared" si="640"/>
        <v>42131</v>
      </c>
    </row>
    <row r="618" spans="1:2">
      <c r="A618" s="403">
        <f t="shared" si="609"/>
        <v>616</v>
      </c>
      <c r="B618" s="422">
        <f t="shared" si="640"/>
        <v>42138</v>
      </c>
    </row>
    <row r="619" spans="1:2">
      <c r="A619" s="403">
        <f t="shared" si="609"/>
        <v>617</v>
      </c>
      <c r="B619" s="422">
        <f t="shared" si="640"/>
        <v>42145</v>
      </c>
    </row>
    <row r="620" spans="1:2">
      <c r="A620" s="403">
        <f t="shared" si="609"/>
        <v>618</v>
      </c>
      <c r="B620" s="422">
        <f t="shared" si="640"/>
        <v>42152</v>
      </c>
    </row>
    <row r="621" spans="1:2">
      <c r="A621" s="403">
        <f t="shared" si="609"/>
        <v>619</v>
      </c>
      <c r="B621" s="422">
        <f t="shared" si="640"/>
        <v>42159</v>
      </c>
    </row>
    <row r="622" spans="1:2">
      <c r="A622" s="403">
        <f t="shared" si="609"/>
        <v>620</v>
      </c>
      <c r="B622" s="422">
        <f t="shared" si="640"/>
        <v>42166</v>
      </c>
    </row>
    <row r="623" spans="1:2">
      <c r="A623" s="403">
        <f t="shared" si="609"/>
        <v>621</v>
      </c>
      <c r="B623" s="422">
        <f t="shared" si="640"/>
        <v>42173</v>
      </c>
    </row>
    <row r="624" spans="1:2">
      <c r="A624" s="403">
        <f t="shared" si="609"/>
        <v>622</v>
      </c>
      <c r="B624" s="422">
        <f t="shared" si="640"/>
        <v>42180</v>
      </c>
    </row>
    <row r="625" spans="1:2">
      <c r="A625" s="403">
        <f t="shared" si="609"/>
        <v>623</v>
      </c>
      <c r="B625" s="422">
        <f t="shared" si="640"/>
        <v>42187</v>
      </c>
    </row>
    <row r="626" spans="1:2">
      <c r="A626" s="403">
        <f t="shared" si="609"/>
        <v>624</v>
      </c>
      <c r="B626" s="422">
        <f t="shared" si="640"/>
        <v>42194</v>
      </c>
    </row>
    <row r="627" spans="1:2">
      <c r="A627" s="403">
        <f t="shared" si="609"/>
        <v>625</v>
      </c>
      <c r="B627" s="422">
        <f t="shared" si="640"/>
        <v>42201</v>
      </c>
    </row>
    <row r="628" spans="1:2">
      <c r="A628" s="403">
        <f t="shared" si="609"/>
        <v>626</v>
      </c>
      <c r="B628" s="422">
        <f t="shared" si="640"/>
        <v>42208</v>
      </c>
    </row>
    <row r="629" spans="1:2">
      <c r="A629" s="403">
        <f t="shared" si="609"/>
        <v>627</v>
      </c>
      <c r="B629" s="422">
        <f t="shared" si="640"/>
        <v>42215</v>
      </c>
    </row>
    <row r="630" spans="1:2">
      <c r="A630" s="403">
        <f t="shared" si="609"/>
        <v>628</v>
      </c>
      <c r="B630" s="422">
        <f t="shared" si="640"/>
        <v>42222</v>
      </c>
    </row>
    <row r="631" spans="1:2">
      <c r="A631" s="403">
        <f t="shared" si="609"/>
        <v>629</v>
      </c>
      <c r="B631" s="422">
        <f t="shared" si="640"/>
        <v>42229</v>
      </c>
    </row>
    <row r="632" spans="1:2">
      <c r="A632" s="403">
        <f t="shared" si="609"/>
        <v>630</v>
      </c>
      <c r="B632" s="422">
        <f t="shared" si="640"/>
        <v>42236</v>
      </c>
    </row>
    <row r="633" spans="1:2">
      <c r="A633" s="403">
        <f t="shared" si="609"/>
        <v>631</v>
      </c>
      <c r="B633" s="422">
        <f t="shared" si="640"/>
        <v>42243</v>
      </c>
    </row>
    <row r="634" spans="1:2">
      <c r="A634" s="403">
        <f t="shared" si="609"/>
        <v>632</v>
      </c>
      <c r="B634" s="422">
        <f t="shared" si="640"/>
        <v>42250</v>
      </c>
    </row>
    <row r="635" spans="1:2">
      <c r="A635" s="403">
        <f t="shared" si="609"/>
        <v>633</v>
      </c>
      <c r="B635" s="422">
        <f t="shared" si="640"/>
        <v>42257</v>
      </c>
    </row>
    <row r="636" spans="1:2">
      <c r="A636" s="403">
        <f t="shared" si="609"/>
        <v>634</v>
      </c>
      <c r="B636" s="422">
        <f t="shared" si="640"/>
        <v>42264</v>
      </c>
    </row>
    <row r="637" spans="1:2">
      <c r="A637" s="403">
        <f t="shared" si="609"/>
        <v>635</v>
      </c>
      <c r="B637" s="422">
        <f t="shared" si="640"/>
        <v>42271</v>
      </c>
    </row>
    <row r="638" spans="1:2">
      <c r="A638" s="403">
        <f t="shared" si="609"/>
        <v>636</v>
      </c>
      <c r="B638" s="422">
        <f t="shared" si="640"/>
        <v>42278</v>
      </c>
    </row>
    <row r="639" spans="1:2">
      <c r="A639" s="403">
        <f t="shared" si="609"/>
        <v>637</v>
      </c>
      <c r="B639" s="422">
        <f t="shared" si="640"/>
        <v>42285</v>
      </c>
    </row>
    <row r="640" spans="1:2">
      <c r="A640" s="403">
        <f t="shared" si="609"/>
        <v>638</v>
      </c>
      <c r="B640" s="422">
        <f t="shared" si="640"/>
        <v>42292</v>
      </c>
    </row>
    <row r="641" spans="1:2">
      <c r="A641" s="403">
        <f t="shared" si="609"/>
        <v>639</v>
      </c>
      <c r="B641" s="422">
        <f t="shared" si="640"/>
        <v>42299</v>
      </c>
    </row>
    <row r="642" spans="1:2">
      <c r="A642" s="403">
        <f t="shared" si="609"/>
        <v>640</v>
      </c>
      <c r="B642" s="422">
        <f t="shared" si="640"/>
        <v>42306</v>
      </c>
    </row>
    <row r="643" spans="1:2">
      <c r="A643" s="403">
        <f t="shared" si="609"/>
        <v>641</v>
      </c>
      <c r="B643" s="422">
        <f t="shared" si="640"/>
        <v>42313</v>
      </c>
    </row>
    <row r="644" spans="1:2">
      <c r="A644" s="403">
        <f t="shared" si="609"/>
        <v>642</v>
      </c>
      <c r="B644" s="422">
        <f t="shared" si="640"/>
        <v>42320</v>
      </c>
    </row>
    <row r="645" spans="1:2">
      <c r="A645" s="403">
        <f t="shared" ref="A645:A708" si="641">A644+1</f>
        <v>643</v>
      </c>
      <c r="B645" s="422">
        <f t="shared" si="640"/>
        <v>42327</v>
      </c>
    </row>
    <row r="646" spans="1:2">
      <c r="A646" s="403">
        <f t="shared" si="641"/>
        <v>644</v>
      </c>
      <c r="B646" s="422">
        <f t="shared" si="640"/>
        <v>42334</v>
      </c>
    </row>
    <row r="647" spans="1:2">
      <c r="A647" s="403">
        <f t="shared" si="641"/>
        <v>645</v>
      </c>
      <c r="B647" s="422">
        <f t="shared" si="640"/>
        <v>42341</v>
      </c>
    </row>
    <row r="648" spans="1:2">
      <c r="A648" s="403">
        <f t="shared" si="641"/>
        <v>646</v>
      </c>
      <c r="B648" s="422">
        <f t="shared" si="640"/>
        <v>42348</v>
      </c>
    </row>
    <row r="649" spans="1:2">
      <c r="A649" s="403">
        <f t="shared" si="641"/>
        <v>647</v>
      </c>
      <c r="B649" s="422">
        <f t="shared" si="640"/>
        <v>42355</v>
      </c>
    </row>
    <row r="650" spans="1:2">
      <c r="A650" s="403">
        <f t="shared" si="641"/>
        <v>648</v>
      </c>
      <c r="B650" s="422">
        <f t="shared" si="640"/>
        <v>42362</v>
      </c>
    </row>
    <row r="651" spans="1:2">
      <c r="A651" s="403">
        <f t="shared" si="641"/>
        <v>649</v>
      </c>
      <c r="B651" s="422">
        <f t="shared" si="640"/>
        <v>42369</v>
      </c>
    </row>
    <row r="652" spans="1:2">
      <c r="A652" s="403">
        <f t="shared" si="641"/>
        <v>650</v>
      </c>
      <c r="B652" s="422">
        <f t="shared" si="640"/>
        <v>42376</v>
      </c>
    </row>
    <row r="653" spans="1:2">
      <c r="A653" s="403">
        <f t="shared" si="641"/>
        <v>651</v>
      </c>
      <c r="B653" s="422">
        <f t="shared" ref="B653:B716" si="642">B652+7</f>
        <v>42383</v>
      </c>
    </row>
    <row r="654" spans="1:2">
      <c r="A654" s="403">
        <f t="shared" si="641"/>
        <v>652</v>
      </c>
      <c r="B654" s="422">
        <f t="shared" si="642"/>
        <v>42390</v>
      </c>
    </row>
    <row r="655" spans="1:2">
      <c r="A655" s="403">
        <f t="shared" si="641"/>
        <v>653</v>
      </c>
      <c r="B655" s="422">
        <f t="shared" si="642"/>
        <v>42397</v>
      </c>
    </row>
    <row r="656" spans="1:2">
      <c r="A656" s="403">
        <f t="shared" si="641"/>
        <v>654</v>
      </c>
      <c r="B656" s="422">
        <f t="shared" si="642"/>
        <v>42404</v>
      </c>
    </row>
    <row r="657" spans="1:2">
      <c r="A657" s="403">
        <f t="shared" si="641"/>
        <v>655</v>
      </c>
      <c r="B657" s="422">
        <f t="shared" si="642"/>
        <v>42411</v>
      </c>
    </row>
    <row r="658" spans="1:2">
      <c r="A658" s="403">
        <f t="shared" si="641"/>
        <v>656</v>
      </c>
      <c r="B658" s="422">
        <f t="shared" si="642"/>
        <v>42418</v>
      </c>
    </row>
    <row r="659" spans="1:2">
      <c r="A659" s="403">
        <f t="shared" si="641"/>
        <v>657</v>
      </c>
      <c r="B659" s="422">
        <f t="shared" si="642"/>
        <v>42425</v>
      </c>
    </row>
    <row r="660" spans="1:2">
      <c r="A660" s="403">
        <f t="shared" si="641"/>
        <v>658</v>
      </c>
      <c r="B660" s="422">
        <f t="shared" si="642"/>
        <v>42432</v>
      </c>
    </row>
    <row r="661" spans="1:2">
      <c r="A661" s="403">
        <f t="shared" si="641"/>
        <v>659</v>
      </c>
      <c r="B661" s="422">
        <f t="shared" si="642"/>
        <v>42439</v>
      </c>
    </row>
    <row r="662" spans="1:2">
      <c r="A662" s="403">
        <f t="shared" si="641"/>
        <v>660</v>
      </c>
      <c r="B662" s="422">
        <f t="shared" si="642"/>
        <v>42446</v>
      </c>
    </row>
    <row r="663" spans="1:2">
      <c r="A663" s="403">
        <f t="shared" si="641"/>
        <v>661</v>
      </c>
      <c r="B663" s="422">
        <f t="shared" si="642"/>
        <v>42453</v>
      </c>
    </row>
    <row r="664" spans="1:2">
      <c r="A664" s="403">
        <f t="shared" si="641"/>
        <v>662</v>
      </c>
      <c r="B664" s="422">
        <f t="shared" si="642"/>
        <v>42460</v>
      </c>
    </row>
    <row r="665" spans="1:2">
      <c r="A665" s="403">
        <f t="shared" si="641"/>
        <v>663</v>
      </c>
      <c r="B665" s="422">
        <f t="shared" si="642"/>
        <v>42467</v>
      </c>
    </row>
    <row r="666" spans="1:2">
      <c r="A666" s="403">
        <f t="shared" si="641"/>
        <v>664</v>
      </c>
      <c r="B666" s="422">
        <f t="shared" si="642"/>
        <v>42474</v>
      </c>
    </row>
    <row r="667" spans="1:2">
      <c r="A667" s="403">
        <f t="shared" si="641"/>
        <v>665</v>
      </c>
      <c r="B667" s="422">
        <f t="shared" si="642"/>
        <v>42481</v>
      </c>
    </row>
    <row r="668" spans="1:2">
      <c r="A668" s="403">
        <f t="shared" si="641"/>
        <v>666</v>
      </c>
      <c r="B668" s="422">
        <f t="shared" si="642"/>
        <v>42488</v>
      </c>
    </row>
    <row r="669" spans="1:2">
      <c r="A669" s="403">
        <f t="shared" si="641"/>
        <v>667</v>
      </c>
      <c r="B669" s="422">
        <f t="shared" si="642"/>
        <v>42495</v>
      </c>
    </row>
    <row r="670" spans="1:2">
      <c r="A670" s="403">
        <f t="shared" si="641"/>
        <v>668</v>
      </c>
      <c r="B670" s="422">
        <f t="shared" si="642"/>
        <v>42502</v>
      </c>
    </row>
    <row r="671" spans="1:2">
      <c r="A671" s="403">
        <f t="shared" si="641"/>
        <v>669</v>
      </c>
      <c r="B671" s="422">
        <f t="shared" si="642"/>
        <v>42509</v>
      </c>
    </row>
    <row r="672" spans="1:2">
      <c r="A672" s="403">
        <f t="shared" si="641"/>
        <v>670</v>
      </c>
      <c r="B672" s="422">
        <f t="shared" si="642"/>
        <v>42516</v>
      </c>
    </row>
    <row r="673" spans="1:2">
      <c r="A673" s="403">
        <f t="shared" si="641"/>
        <v>671</v>
      </c>
      <c r="B673" s="422">
        <f t="shared" si="642"/>
        <v>42523</v>
      </c>
    </row>
    <row r="674" spans="1:2">
      <c r="A674" s="403">
        <f t="shared" si="641"/>
        <v>672</v>
      </c>
      <c r="B674" s="422">
        <f t="shared" si="642"/>
        <v>42530</v>
      </c>
    </row>
    <row r="675" spans="1:2">
      <c r="A675" s="403">
        <f t="shared" si="641"/>
        <v>673</v>
      </c>
      <c r="B675" s="422">
        <f t="shared" si="642"/>
        <v>42537</v>
      </c>
    </row>
    <row r="676" spans="1:2">
      <c r="A676" s="403">
        <f t="shared" si="641"/>
        <v>674</v>
      </c>
      <c r="B676" s="422">
        <f t="shared" si="642"/>
        <v>42544</v>
      </c>
    </row>
    <row r="677" spans="1:2">
      <c r="A677" s="403">
        <f t="shared" si="641"/>
        <v>675</v>
      </c>
      <c r="B677" s="422">
        <f t="shared" si="642"/>
        <v>42551</v>
      </c>
    </row>
    <row r="678" spans="1:2">
      <c r="A678" s="403">
        <f t="shared" si="641"/>
        <v>676</v>
      </c>
      <c r="B678" s="422">
        <f t="shared" si="642"/>
        <v>42558</v>
      </c>
    </row>
    <row r="679" spans="1:2">
      <c r="A679" s="403">
        <f t="shared" si="641"/>
        <v>677</v>
      </c>
      <c r="B679" s="422">
        <f t="shared" si="642"/>
        <v>42565</v>
      </c>
    </row>
    <row r="680" spans="1:2">
      <c r="A680" s="403">
        <f t="shared" si="641"/>
        <v>678</v>
      </c>
      <c r="B680" s="422">
        <f t="shared" si="642"/>
        <v>42572</v>
      </c>
    </row>
    <row r="681" spans="1:2">
      <c r="A681" s="403">
        <f t="shared" si="641"/>
        <v>679</v>
      </c>
      <c r="B681" s="422">
        <f t="shared" si="642"/>
        <v>42579</v>
      </c>
    </row>
    <row r="682" spans="1:2">
      <c r="A682" s="403">
        <f t="shared" si="641"/>
        <v>680</v>
      </c>
      <c r="B682" s="422">
        <f t="shared" si="642"/>
        <v>42586</v>
      </c>
    </row>
    <row r="683" spans="1:2">
      <c r="A683" s="403">
        <f t="shared" si="641"/>
        <v>681</v>
      </c>
      <c r="B683" s="422">
        <f t="shared" si="642"/>
        <v>42593</v>
      </c>
    </row>
    <row r="684" spans="1:2">
      <c r="A684" s="403">
        <f t="shared" si="641"/>
        <v>682</v>
      </c>
      <c r="B684" s="422">
        <f t="shared" si="642"/>
        <v>42600</v>
      </c>
    </row>
    <row r="685" spans="1:2">
      <c r="A685" s="403">
        <f t="shared" si="641"/>
        <v>683</v>
      </c>
      <c r="B685" s="422">
        <f t="shared" si="642"/>
        <v>42607</v>
      </c>
    </row>
    <row r="686" spans="1:2">
      <c r="A686" s="403">
        <f t="shared" si="641"/>
        <v>684</v>
      </c>
      <c r="B686" s="422">
        <f t="shared" si="642"/>
        <v>42614</v>
      </c>
    </row>
    <row r="687" spans="1:2">
      <c r="A687" s="403">
        <f t="shared" si="641"/>
        <v>685</v>
      </c>
      <c r="B687" s="422">
        <f t="shared" si="642"/>
        <v>42621</v>
      </c>
    </row>
    <row r="688" spans="1:2">
      <c r="A688" s="403">
        <f t="shared" si="641"/>
        <v>686</v>
      </c>
      <c r="B688" s="422">
        <f t="shared" si="642"/>
        <v>42628</v>
      </c>
    </row>
    <row r="689" spans="1:2">
      <c r="A689" s="403">
        <f t="shared" si="641"/>
        <v>687</v>
      </c>
      <c r="B689" s="422">
        <f t="shared" si="642"/>
        <v>42635</v>
      </c>
    </row>
    <row r="690" spans="1:2">
      <c r="A690" s="403">
        <f t="shared" si="641"/>
        <v>688</v>
      </c>
      <c r="B690" s="422">
        <f t="shared" si="642"/>
        <v>42642</v>
      </c>
    </row>
    <row r="691" spans="1:2">
      <c r="A691" s="403">
        <f t="shared" si="641"/>
        <v>689</v>
      </c>
      <c r="B691" s="422">
        <f t="shared" si="642"/>
        <v>42649</v>
      </c>
    </row>
    <row r="692" spans="1:2">
      <c r="A692" s="403">
        <f t="shared" si="641"/>
        <v>690</v>
      </c>
      <c r="B692" s="422">
        <f t="shared" si="642"/>
        <v>42656</v>
      </c>
    </row>
    <row r="693" spans="1:2">
      <c r="A693" s="403">
        <f t="shared" si="641"/>
        <v>691</v>
      </c>
      <c r="B693" s="422">
        <f t="shared" si="642"/>
        <v>42663</v>
      </c>
    </row>
    <row r="694" spans="1:2">
      <c r="A694" s="403">
        <f t="shared" si="641"/>
        <v>692</v>
      </c>
      <c r="B694" s="422">
        <f t="shared" si="642"/>
        <v>42670</v>
      </c>
    </row>
    <row r="695" spans="1:2">
      <c r="A695" s="403">
        <f t="shared" si="641"/>
        <v>693</v>
      </c>
      <c r="B695" s="422">
        <f t="shared" si="642"/>
        <v>42677</v>
      </c>
    </row>
    <row r="696" spans="1:2">
      <c r="A696" s="403">
        <f t="shared" si="641"/>
        <v>694</v>
      </c>
      <c r="B696" s="422">
        <f t="shared" si="642"/>
        <v>42684</v>
      </c>
    </row>
    <row r="697" spans="1:2">
      <c r="A697" s="403">
        <f t="shared" si="641"/>
        <v>695</v>
      </c>
      <c r="B697" s="422">
        <f t="shared" si="642"/>
        <v>42691</v>
      </c>
    </row>
    <row r="698" spans="1:2">
      <c r="A698" s="403">
        <f t="shared" si="641"/>
        <v>696</v>
      </c>
      <c r="B698" s="422">
        <f t="shared" si="642"/>
        <v>42698</v>
      </c>
    </row>
    <row r="699" spans="1:2">
      <c r="A699" s="403">
        <f t="shared" si="641"/>
        <v>697</v>
      </c>
      <c r="B699" s="422">
        <f t="shared" si="642"/>
        <v>42705</v>
      </c>
    </row>
    <row r="700" spans="1:2">
      <c r="A700" s="403">
        <f t="shared" si="641"/>
        <v>698</v>
      </c>
      <c r="B700" s="422">
        <f t="shared" si="642"/>
        <v>42712</v>
      </c>
    </row>
    <row r="701" spans="1:2">
      <c r="A701" s="403">
        <f t="shared" si="641"/>
        <v>699</v>
      </c>
      <c r="B701" s="422">
        <f t="shared" si="642"/>
        <v>42719</v>
      </c>
    </row>
    <row r="702" spans="1:2">
      <c r="A702" s="403">
        <f t="shared" si="641"/>
        <v>700</v>
      </c>
      <c r="B702" s="422">
        <f t="shared" si="642"/>
        <v>42726</v>
      </c>
    </row>
    <row r="703" spans="1:2">
      <c r="A703" s="403">
        <f t="shared" si="641"/>
        <v>701</v>
      </c>
      <c r="B703" s="422">
        <f t="shared" si="642"/>
        <v>42733</v>
      </c>
    </row>
    <row r="704" spans="1:2">
      <c r="A704" s="403">
        <f t="shared" si="641"/>
        <v>702</v>
      </c>
      <c r="B704" s="422">
        <f t="shared" si="642"/>
        <v>42740</v>
      </c>
    </row>
    <row r="705" spans="1:2">
      <c r="A705" s="403">
        <f t="shared" si="641"/>
        <v>703</v>
      </c>
      <c r="B705" s="422">
        <f t="shared" si="642"/>
        <v>42747</v>
      </c>
    </row>
    <row r="706" spans="1:2">
      <c r="A706" s="403">
        <f t="shared" si="641"/>
        <v>704</v>
      </c>
      <c r="B706" s="422">
        <f t="shared" si="642"/>
        <v>42754</v>
      </c>
    </row>
    <row r="707" spans="1:2">
      <c r="A707" s="403">
        <f t="shared" si="641"/>
        <v>705</v>
      </c>
      <c r="B707" s="422">
        <f t="shared" si="642"/>
        <v>42761</v>
      </c>
    </row>
    <row r="708" spans="1:2">
      <c r="A708" s="403">
        <f t="shared" si="641"/>
        <v>706</v>
      </c>
      <c r="B708" s="422">
        <f t="shared" si="642"/>
        <v>42768</v>
      </c>
    </row>
    <row r="709" spans="1:2">
      <c r="A709" s="403">
        <f t="shared" ref="A709:A772" si="643">A708+1</f>
        <v>707</v>
      </c>
      <c r="B709" s="422">
        <f t="shared" si="642"/>
        <v>42775</v>
      </c>
    </row>
    <row r="710" spans="1:2">
      <c r="A710" s="403">
        <f t="shared" si="643"/>
        <v>708</v>
      </c>
      <c r="B710" s="422">
        <f t="shared" si="642"/>
        <v>42782</v>
      </c>
    </row>
    <row r="711" spans="1:2">
      <c r="A711" s="403">
        <f t="shared" si="643"/>
        <v>709</v>
      </c>
      <c r="B711" s="422">
        <f t="shared" si="642"/>
        <v>42789</v>
      </c>
    </row>
    <row r="712" spans="1:2">
      <c r="A712" s="403">
        <f t="shared" si="643"/>
        <v>710</v>
      </c>
      <c r="B712" s="422">
        <f t="shared" si="642"/>
        <v>42796</v>
      </c>
    </row>
    <row r="713" spans="1:2">
      <c r="A713" s="403">
        <f t="shared" si="643"/>
        <v>711</v>
      </c>
      <c r="B713" s="422">
        <f t="shared" si="642"/>
        <v>42803</v>
      </c>
    </row>
    <row r="714" spans="1:2">
      <c r="A714" s="403">
        <f t="shared" si="643"/>
        <v>712</v>
      </c>
      <c r="B714" s="422">
        <f t="shared" si="642"/>
        <v>42810</v>
      </c>
    </row>
    <row r="715" spans="1:2">
      <c r="A715" s="403">
        <f t="shared" si="643"/>
        <v>713</v>
      </c>
      <c r="B715" s="422">
        <f t="shared" si="642"/>
        <v>42817</v>
      </c>
    </row>
    <row r="716" spans="1:2">
      <c r="A716" s="403">
        <f t="shared" si="643"/>
        <v>714</v>
      </c>
      <c r="B716" s="422">
        <f t="shared" si="642"/>
        <v>42824</v>
      </c>
    </row>
    <row r="717" spans="1:2">
      <c r="A717" s="403">
        <f t="shared" si="643"/>
        <v>715</v>
      </c>
      <c r="B717" s="422">
        <f t="shared" ref="B717:B780" si="644">B716+7</f>
        <v>42831</v>
      </c>
    </row>
    <row r="718" spans="1:2">
      <c r="A718" s="403">
        <f t="shared" si="643"/>
        <v>716</v>
      </c>
      <c r="B718" s="422">
        <f t="shared" si="644"/>
        <v>42838</v>
      </c>
    </row>
    <row r="719" spans="1:2">
      <c r="A719" s="403">
        <f t="shared" si="643"/>
        <v>717</v>
      </c>
      <c r="B719" s="422">
        <f t="shared" si="644"/>
        <v>42845</v>
      </c>
    </row>
    <row r="720" spans="1:2">
      <c r="A720" s="403">
        <f t="shared" si="643"/>
        <v>718</v>
      </c>
      <c r="B720" s="422">
        <f t="shared" si="644"/>
        <v>42852</v>
      </c>
    </row>
    <row r="721" spans="1:2">
      <c r="A721" s="403">
        <f t="shared" si="643"/>
        <v>719</v>
      </c>
      <c r="B721" s="422">
        <f t="shared" si="644"/>
        <v>42859</v>
      </c>
    </row>
    <row r="722" spans="1:2">
      <c r="A722" s="403">
        <f t="shared" si="643"/>
        <v>720</v>
      </c>
      <c r="B722" s="422">
        <f t="shared" si="644"/>
        <v>42866</v>
      </c>
    </row>
    <row r="723" spans="1:2">
      <c r="A723" s="403">
        <f t="shared" si="643"/>
        <v>721</v>
      </c>
      <c r="B723" s="422">
        <f t="shared" si="644"/>
        <v>42873</v>
      </c>
    </row>
    <row r="724" spans="1:2">
      <c r="A724" s="403">
        <f t="shared" si="643"/>
        <v>722</v>
      </c>
      <c r="B724" s="422">
        <f t="shared" si="644"/>
        <v>42880</v>
      </c>
    </row>
    <row r="725" spans="1:2">
      <c r="A725" s="403">
        <f t="shared" si="643"/>
        <v>723</v>
      </c>
      <c r="B725" s="422">
        <f t="shared" si="644"/>
        <v>42887</v>
      </c>
    </row>
    <row r="726" spans="1:2">
      <c r="A726" s="403">
        <f t="shared" si="643"/>
        <v>724</v>
      </c>
      <c r="B726" s="422">
        <f t="shared" si="644"/>
        <v>42894</v>
      </c>
    </row>
    <row r="727" spans="1:2">
      <c r="A727" s="403">
        <f t="shared" si="643"/>
        <v>725</v>
      </c>
      <c r="B727" s="422">
        <f t="shared" si="644"/>
        <v>42901</v>
      </c>
    </row>
    <row r="728" spans="1:2">
      <c r="A728" s="403">
        <f t="shared" si="643"/>
        <v>726</v>
      </c>
      <c r="B728" s="422">
        <f t="shared" si="644"/>
        <v>42908</v>
      </c>
    </row>
    <row r="729" spans="1:2">
      <c r="A729" s="403">
        <f t="shared" si="643"/>
        <v>727</v>
      </c>
      <c r="B729" s="422">
        <f t="shared" si="644"/>
        <v>42915</v>
      </c>
    </row>
    <row r="730" spans="1:2">
      <c r="A730" s="403">
        <f t="shared" si="643"/>
        <v>728</v>
      </c>
      <c r="B730" s="422">
        <f t="shared" si="644"/>
        <v>42922</v>
      </c>
    </row>
    <row r="731" spans="1:2">
      <c r="A731" s="403">
        <f t="shared" si="643"/>
        <v>729</v>
      </c>
      <c r="B731" s="422">
        <f t="shared" si="644"/>
        <v>42929</v>
      </c>
    </row>
    <row r="732" spans="1:2">
      <c r="A732" s="403">
        <f t="shared" si="643"/>
        <v>730</v>
      </c>
      <c r="B732" s="422">
        <f t="shared" si="644"/>
        <v>42936</v>
      </c>
    </row>
    <row r="733" spans="1:2">
      <c r="A733" s="403">
        <f t="shared" si="643"/>
        <v>731</v>
      </c>
      <c r="B733" s="422">
        <f t="shared" si="644"/>
        <v>42943</v>
      </c>
    </row>
    <row r="734" spans="1:2">
      <c r="A734" s="403">
        <f t="shared" si="643"/>
        <v>732</v>
      </c>
      <c r="B734" s="422">
        <f t="shared" si="644"/>
        <v>42950</v>
      </c>
    </row>
    <row r="735" spans="1:2">
      <c r="A735" s="403">
        <f t="shared" si="643"/>
        <v>733</v>
      </c>
      <c r="B735" s="422">
        <f t="shared" si="644"/>
        <v>42957</v>
      </c>
    </row>
    <row r="736" spans="1:2">
      <c r="A736" s="403">
        <f t="shared" si="643"/>
        <v>734</v>
      </c>
      <c r="B736" s="422">
        <f t="shared" si="644"/>
        <v>42964</v>
      </c>
    </row>
    <row r="737" spans="1:2">
      <c r="A737" s="403">
        <f t="shared" si="643"/>
        <v>735</v>
      </c>
      <c r="B737" s="422">
        <f t="shared" si="644"/>
        <v>42971</v>
      </c>
    </row>
    <row r="738" spans="1:2">
      <c r="A738" s="403">
        <f t="shared" si="643"/>
        <v>736</v>
      </c>
      <c r="B738" s="422">
        <f t="shared" si="644"/>
        <v>42978</v>
      </c>
    </row>
    <row r="739" spans="1:2">
      <c r="A739" s="403">
        <f t="shared" si="643"/>
        <v>737</v>
      </c>
      <c r="B739" s="422">
        <f t="shared" si="644"/>
        <v>42985</v>
      </c>
    </row>
    <row r="740" spans="1:2">
      <c r="A740" s="403">
        <f t="shared" si="643"/>
        <v>738</v>
      </c>
      <c r="B740" s="422">
        <f t="shared" si="644"/>
        <v>42992</v>
      </c>
    </row>
    <row r="741" spans="1:2">
      <c r="A741" s="403">
        <f t="shared" si="643"/>
        <v>739</v>
      </c>
      <c r="B741" s="422">
        <f t="shared" si="644"/>
        <v>42999</v>
      </c>
    </row>
    <row r="742" spans="1:2">
      <c r="A742" s="403">
        <f t="shared" si="643"/>
        <v>740</v>
      </c>
      <c r="B742" s="422">
        <f t="shared" si="644"/>
        <v>43006</v>
      </c>
    </row>
    <row r="743" spans="1:2">
      <c r="A743" s="403">
        <f t="shared" si="643"/>
        <v>741</v>
      </c>
      <c r="B743" s="422">
        <f t="shared" si="644"/>
        <v>43013</v>
      </c>
    </row>
    <row r="744" spans="1:2">
      <c r="A744" s="403">
        <f t="shared" si="643"/>
        <v>742</v>
      </c>
      <c r="B744" s="422">
        <f t="shared" si="644"/>
        <v>43020</v>
      </c>
    </row>
    <row r="745" spans="1:2">
      <c r="A745" s="403">
        <f t="shared" si="643"/>
        <v>743</v>
      </c>
      <c r="B745" s="422">
        <f t="shared" si="644"/>
        <v>43027</v>
      </c>
    </row>
    <row r="746" spans="1:2">
      <c r="A746" s="403">
        <f t="shared" si="643"/>
        <v>744</v>
      </c>
      <c r="B746" s="422">
        <f t="shared" si="644"/>
        <v>43034</v>
      </c>
    </row>
    <row r="747" spans="1:2">
      <c r="A747" s="403">
        <f t="shared" si="643"/>
        <v>745</v>
      </c>
      <c r="B747" s="422">
        <f t="shared" si="644"/>
        <v>43041</v>
      </c>
    </row>
    <row r="748" spans="1:2">
      <c r="A748" s="403">
        <f t="shared" si="643"/>
        <v>746</v>
      </c>
      <c r="B748" s="422">
        <f t="shared" si="644"/>
        <v>43048</v>
      </c>
    </row>
    <row r="749" spans="1:2">
      <c r="A749" s="403">
        <f t="shared" si="643"/>
        <v>747</v>
      </c>
      <c r="B749" s="422">
        <f t="shared" si="644"/>
        <v>43055</v>
      </c>
    </row>
    <row r="750" spans="1:2">
      <c r="A750" s="403">
        <f t="shared" si="643"/>
        <v>748</v>
      </c>
      <c r="B750" s="422">
        <f t="shared" si="644"/>
        <v>43062</v>
      </c>
    </row>
    <row r="751" spans="1:2">
      <c r="A751" s="403">
        <f t="shared" si="643"/>
        <v>749</v>
      </c>
      <c r="B751" s="422">
        <f t="shared" si="644"/>
        <v>43069</v>
      </c>
    </row>
    <row r="752" spans="1:2">
      <c r="A752" s="403">
        <f t="shared" si="643"/>
        <v>750</v>
      </c>
      <c r="B752" s="422">
        <f t="shared" si="644"/>
        <v>43076</v>
      </c>
    </row>
    <row r="753" spans="1:2">
      <c r="A753" s="403">
        <f t="shared" si="643"/>
        <v>751</v>
      </c>
      <c r="B753" s="422">
        <f t="shared" si="644"/>
        <v>43083</v>
      </c>
    </row>
    <row r="754" spans="1:2">
      <c r="A754" s="403">
        <f t="shared" si="643"/>
        <v>752</v>
      </c>
      <c r="B754" s="422">
        <f t="shared" si="644"/>
        <v>43090</v>
      </c>
    </row>
    <row r="755" spans="1:2">
      <c r="A755" s="403">
        <f t="shared" si="643"/>
        <v>753</v>
      </c>
      <c r="B755" s="422">
        <f t="shared" si="644"/>
        <v>43097</v>
      </c>
    </row>
    <row r="756" spans="1:2">
      <c r="A756" s="403">
        <f t="shared" si="643"/>
        <v>754</v>
      </c>
      <c r="B756" s="422">
        <f t="shared" si="644"/>
        <v>43104</v>
      </c>
    </row>
    <row r="757" spans="1:2">
      <c r="A757" s="403">
        <f t="shared" si="643"/>
        <v>755</v>
      </c>
      <c r="B757" s="422">
        <f t="shared" si="644"/>
        <v>43111</v>
      </c>
    </row>
    <row r="758" spans="1:2">
      <c r="A758" s="403">
        <f t="shared" si="643"/>
        <v>756</v>
      </c>
      <c r="B758" s="422">
        <f t="shared" si="644"/>
        <v>43118</v>
      </c>
    </row>
    <row r="759" spans="1:2">
      <c r="A759" s="403">
        <f t="shared" si="643"/>
        <v>757</v>
      </c>
      <c r="B759" s="422">
        <f t="shared" si="644"/>
        <v>43125</v>
      </c>
    </row>
    <row r="760" spans="1:2">
      <c r="A760" s="403">
        <f t="shared" si="643"/>
        <v>758</v>
      </c>
      <c r="B760" s="422">
        <f t="shared" si="644"/>
        <v>43132</v>
      </c>
    </row>
    <row r="761" spans="1:2">
      <c r="A761" s="403">
        <f t="shared" si="643"/>
        <v>759</v>
      </c>
      <c r="B761" s="422">
        <f t="shared" si="644"/>
        <v>43139</v>
      </c>
    </row>
    <row r="762" spans="1:2">
      <c r="A762" s="403">
        <f t="shared" si="643"/>
        <v>760</v>
      </c>
      <c r="B762" s="422">
        <f t="shared" si="644"/>
        <v>43146</v>
      </c>
    </row>
    <row r="763" spans="1:2">
      <c r="A763" s="403">
        <f t="shared" si="643"/>
        <v>761</v>
      </c>
      <c r="B763" s="422">
        <f t="shared" si="644"/>
        <v>43153</v>
      </c>
    </row>
    <row r="764" spans="1:2">
      <c r="A764" s="403">
        <f t="shared" si="643"/>
        <v>762</v>
      </c>
      <c r="B764" s="422">
        <f t="shared" si="644"/>
        <v>43160</v>
      </c>
    </row>
    <row r="765" spans="1:2">
      <c r="A765" s="403">
        <f t="shared" si="643"/>
        <v>763</v>
      </c>
      <c r="B765" s="422">
        <f t="shared" si="644"/>
        <v>43167</v>
      </c>
    </row>
    <row r="766" spans="1:2">
      <c r="A766" s="403">
        <f t="shared" si="643"/>
        <v>764</v>
      </c>
      <c r="B766" s="422">
        <f t="shared" si="644"/>
        <v>43174</v>
      </c>
    </row>
    <row r="767" spans="1:2">
      <c r="A767" s="403">
        <f t="shared" si="643"/>
        <v>765</v>
      </c>
      <c r="B767" s="422">
        <f t="shared" si="644"/>
        <v>43181</v>
      </c>
    </row>
    <row r="768" spans="1:2">
      <c r="A768" s="403">
        <f t="shared" si="643"/>
        <v>766</v>
      </c>
      <c r="B768" s="422">
        <f t="shared" si="644"/>
        <v>43188</v>
      </c>
    </row>
    <row r="769" spans="1:2">
      <c r="A769" s="403">
        <f t="shared" si="643"/>
        <v>767</v>
      </c>
      <c r="B769" s="422">
        <f t="shared" si="644"/>
        <v>43195</v>
      </c>
    </row>
    <row r="770" spans="1:2">
      <c r="A770" s="403">
        <f t="shared" si="643"/>
        <v>768</v>
      </c>
      <c r="B770" s="422">
        <f t="shared" si="644"/>
        <v>43202</v>
      </c>
    </row>
    <row r="771" spans="1:2">
      <c r="A771" s="403">
        <f t="shared" si="643"/>
        <v>769</v>
      </c>
      <c r="B771" s="422">
        <f t="shared" si="644"/>
        <v>43209</v>
      </c>
    </row>
    <row r="772" spans="1:2">
      <c r="A772" s="403">
        <f t="shared" si="643"/>
        <v>770</v>
      </c>
      <c r="B772" s="422">
        <f t="shared" si="644"/>
        <v>43216</v>
      </c>
    </row>
    <row r="773" spans="1:2">
      <c r="A773" s="403">
        <f t="shared" ref="A773:A780" si="645">A772+1</f>
        <v>771</v>
      </c>
      <c r="B773" s="422">
        <f t="shared" si="644"/>
        <v>43223</v>
      </c>
    </row>
    <row r="774" spans="1:2">
      <c r="A774" s="403">
        <f t="shared" si="645"/>
        <v>772</v>
      </c>
      <c r="B774" s="422">
        <f t="shared" si="644"/>
        <v>43230</v>
      </c>
    </row>
    <row r="775" spans="1:2">
      <c r="A775" s="403">
        <f t="shared" si="645"/>
        <v>773</v>
      </c>
      <c r="B775" s="422">
        <f t="shared" si="644"/>
        <v>43237</v>
      </c>
    </row>
    <row r="776" spans="1:2">
      <c r="A776" s="403">
        <f t="shared" si="645"/>
        <v>774</v>
      </c>
      <c r="B776" s="422">
        <f t="shared" si="644"/>
        <v>43244</v>
      </c>
    </row>
    <row r="777" spans="1:2">
      <c r="A777" s="403">
        <f t="shared" si="645"/>
        <v>775</v>
      </c>
      <c r="B777" s="422">
        <f t="shared" si="644"/>
        <v>43251</v>
      </c>
    </row>
    <row r="778" spans="1:2">
      <c r="A778" s="403">
        <f t="shared" si="645"/>
        <v>776</v>
      </c>
      <c r="B778" s="422">
        <f t="shared" si="644"/>
        <v>43258</v>
      </c>
    </row>
    <row r="779" spans="1:2">
      <c r="A779" s="403">
        <f t="shared" si="645"/>
        <v>777</v>
      </c>
      <c r="B779" s="422">
        <f t="shared" si="644"/>
        <v>43265</v>
      </c>
    </row>
    <row r="780" spans="1:2">
      <c r="A780" s="403">
        <f t="shared" si="645"/>
        <v>778</v>
      </c>
      <c r="B780" s="422">
        <f t="shared" si="644"/>
        <v>43272</v>
      </c>
    </row>
  </sheetData>
  <phoneticPr fontId="10" type="noConversion"/>
  <conditionalFormatting sqref="F1:G1 M1 F3:G548 M3:M552 T3:T552 F566:G1048576 M566:M1048576 T566:T1048576">
    <cfRule type="cellIs" dxfId="16" priority="20" operator="lessThan">
      <formula>0</formula>
    </cfRule>
  </conditionalFormatting>
  <conditionalFormatting sqref="F549:G552">
    <cfRule type="cellIs" dxfId="15" priority="4" operator="lessThan">
      <formula>0</formula>
    </cfRule>
  </conditionalFormatting>
  <conditionalFormatting sqref="F553:G565">
    <cfRule type="cellIs" dxfId="14" priority="3" operator="lessThan">
      <formula>0</formula>
    </cfRule>
  </conditionalFormatting>
  <conditionalFormatting sqref="M553:M565">
    <cfRule type="cellIs" dxfId="13" priority="2" operator="lessThan">
      <formula>0</formula>
    </cfRule>
  </conditionalFormatting>
  <conditionalFormatting sqref="T553:T565">
    <cfRule type="cellIs" dxfId="12" priority="1" operator="lessThan">
      <formula>0</formula>
    </cfRule>
  </conditionalFormatting>
  <hyperlinks>
    <hyperlink ref="L576" r:id="rId1"/>
    <hyperlink ref="L578"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5"/>
    <pageSetUpPr fitToPage="1"/>
  </sheetPr>
  <dimension ref="B1:J39"/>
  <sheetViews>
    <sheetView showGridLines="0" zoomScaleNormal="100" workbookViewId="0">
      <selection activeCell="D20" sqref="D20"/>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41725</v>
      </c>
      <c r="I3" s="15"/>
      <c r="J3" s="6"/>
    </row>
    <row r="4" spans="2:10" ht="13.5" thickBot="1">
      <c r="B4" s="5"/>
      <c r="C4" s="16"/>
      <c r="D4" s="163" t="s">
        <v>138</v>
      </c>
      <c r="E4" s="164" t="s">
        <v>80</v>
      </c>
      <c r="F4" s="164" t="s">
        <v>81</v>
      </c>
      <c r="G4" s="165" t="s">
        <v>4</v>
      </c>
      <c r="H4" s="166" t="s">
        <v>26</v>
      </c>
      <c r="I4" s="17"/>
      <c r="J4" s="6"/>
    </row>
    <row r="5" spans="2:10">
      <c r="B5" s="5"/>
      <c r="C5" s="16"/>
      <c r="D5" s="118" t="s">
        <v>52</v>
      </c>
      <c r="E5" s="433">
        <f>SUMIF(Holdings!$V$4:$V$21,$D5,Holdings!$I$4:$I$21)</f>
        <v>8050.26</v>
      </c>
      <c r="F5" s="119">
        <f t="shared" ref="F5:F16" ca="1" si="0">E5/$E$17</f>
        <v>0.13605550479694248</v>
      </c>
      <c r="G5" s="53" t="str">
        <f t="shared" ref="G5:G13" ca="1" si="1">IF(F5&gt;0.2,"Overweight",IF(F5&gt;0.125,"Slightly Overweight",IF(F5&gt;0.08,"Equal Weight","Underweight")))</f>
        <v>Slightly Overweight</v>
      </c>
      <c r="H5" s="52" t="str">
        <f>(IF(D5="Cash","NA",COUNTIF(Holdings!$S$4:$V$27,'V.P. of PM'!$D5)))</f>
        <v>NA</v>
      </c>
      <c r="I5" s="434"/>
      <c r="J5" s="6"/>
    </row>
    <row r="6" spans="2:10">
      <c r="B6" s="5"/>
      <c r="C6" s="16"/>
      <c r="D6" s="116" t="s">
        <v>109</v>
      </c>
      <c r="E6" s="432">
        <f ca="1">SUMIF(Holdings!$V$4:$V$27,$D6,Holdings!$I$4:$I$26)</f>
        <v>0</v>
      </c>
      <c r="F6" s="117">
        <f t="shared" ca="1" si="0"/>
        <v>0</v>
      </c>
      <c r="G6" s="40" t="str">
        <f t="shared" ca="1" si="1"/>
        <v>Underweight</v>
      </c>
      <c r="H6" s="188">
        <f>(IF(D6="Cash","NA",COUNTIF(Holdings!$S$4:$V$27,'V.P. of PM'!$D6)))</f>
        <v>0</v>
      </c>
      <c r="I6" s="434"/>
      <c r="J6" s="6"/>
    </row>
    <row r="7" spans="2:10">
      <c r="B7" s="5"/>
      <c r="C7" s="16"/>
      <c r="D7" s="118" t="s">
        <v>95</v>
      </c>
      <c r="E7" s="433">
        <f ca="1">SUMIF(Holdings!$V$4:$V$27,$D7,Holdings!$I$4:$I$26)</f>
        <v>13390.43</v>
      </c>
      <c r="F7" s="119">
        <f t="shared" ca="1" si="0"/>
        <v>0.22630843141688869</v>
      </c>
      <c r="G7" s="53" t="str">
        <f t="shared" ca="1" si="1"/>
        <v>Overweight</v>
      </c>
      <c r="H7" s="52">
        <f>(IF(D7="Cash","NA",COUNTIF(Holdings!$S$4:$V$27,'V.P. of PM'!$D7)))</f>
        <v>3</v>
      </c>
      <c r="I7" s="434"/>
      <c r="J7" s="6"/>
    </row>
    <row r="8" spans="2:10">
      <c r="B8" s="5"/>
      <c r="C8" s="16"/>
      <c r="D8" s="116" t="s">
        <v>96</v>
      </c>
      <c r="E8" s="432">
        <f ca="1">SUMIF(Holdings!$V$4:$V$27,$D8,Holdings!$I$4:$I$26)</f>
        <v>5392.17</v>
      </c>
      <c r="F8" s="117">
        <f t="shared" ca="1" si="0"/>
        <v>9.1131766092142269E-2</v>
      </c>
      <c r="G8" s="40" t="str">
        <f t="shared" ca="1" si="1"/>
        <v>Equal Weight</v>
      </c>
      <c r="H8" s="188">
        <f>(IF(D8="Cash","NA",COUNTIF(Holdings!$S$4:$V$27,'V.P. of PM'!$D8)))</f>
        <v>2</v>
      </c>
      <c r="I8" s="434"/>
      <c r="J8" s="6"/>
    </row>
    <row r="9" spans="2:10">
      <c r="B9" s="7"/>
      <c r="C9" s="18"/>
      <c r="D9" s="118" t="s">
        <v>43</v>
      </c>
      <c r="E9" s="433">
        <f ca="1">SUMIF(Holdings!$V$4:$V$27,$D9,Holdings!$I$4:$I$26)</f>
        <v>2665.32</v>
      </c>
      <c r="F9" s="119">
        <f t="shared" ca="1" si="0"/>
        <v>4.5045931192953609E-2</v>
      </c>
      <c r="G9" s="53" t="str">
        <f t="shared" ca="1" si="1"/>
        <v>Underweight</v>
      </c>
      <c r="H9" s="52">
        <f>(IF(D9="Cash","NA",COUNTIF(Holdings!$S$4:$V$27,'V.P. of PM'!$D9)))</f>
        <v>1</v>
      </c>
      <c r="I9" s="434"/>
      <c r="J9" s="6"/>
    </row>
    <row r="10" spans="2:10">
      <c r="B10" s="5"/>
      <c r="C10" s="16"/>
      <c r="D10" s="116" t="s">
        <v>3</v>
      </c>
      <c r="E10" s="432">
        <f ca="1">SUMIF(Holdings!$V$4:$V$27,$D10,Holdings!$I$4:$I$26)</f>
        <v>6324.82</v>
      </c>
      <c r="F10" s="117">
        <f t="shared" ca="1" si="0"/>
        <v>0.10689425904875093</v>
      </c>
      <c r="G10" s="40" t="str">
        <f t="shared" ca="1" si="1"/>
        <v>Equal Weight</v>
      </c>
      <c r="H10" s="188">
        <f>(IF(D10="Cash","NA",COUNTIF(Holdings!$S$4:$V$27,'V.P. of PM'!$D10)))</f>
        <v>2</v>
      </c>
      <c r="I10" s="434"/>
      <c r="J10" s="6"/>
    </row>
    <row r="11" spans="2:10">
      <c r="B11" s="5"/>
      <c r="C11" s="16"/>
      <c r="D11" s="118" t="s">
        <v>135</v>
      </c>
      <c r="E11" s="433">
        <f ca="1">SUMIF(Holdings!$V$4:$V$27,$D11,Holdings!$I$4:$I$26)</f>
        <v>4588.869999999999</v>
      </c>
      <c r="F11" s="119">
        <f t="shared" ca="1" si="0"/>
        <v>7.7555386322621281E-2</v>
      </c>
      <c r="G11" s="53" t="str">
        <f t="shared" ca="1" si="1"/>
        <v>Underweight</v>
      </c>
      <c r="H11" s="52">
        <f>(IF(D11="Cash","NA",COUNTIF(Holdings!$S$4:$V$27,'V.P. of PM'!$D11)))</f>
        <v>2</v>
      </c>
      <c r="I11" s="434"/>
      <c r="J11" s="6"/>
    </row>
    <row r="12" spans="2:10">
      <c r="B12" s="5"/>
      <c r="C12" s="16"/>
      <c r="D12" s="116" t="s">
        <v>20</v>
      </c>
      <c r="E12" s="432">
        <f ca="1">SUMIF(Holdings!$V$4:$V$27,$D12,Holdings!$I$4:$I$26)</f>
        <v>7986</v>
      </c>
      <c r="F12" s="117">
        <f t="shared" ca="1" si="0"/>
        <v>0.13496946201841711</v>
      </c>
      <c r="G12" s="40" t="str">
        <f t="shared" ca="1" si="1"/>
        <v>Slightly Overweight</v>
      </c>
      <c r="H12" s="188">
        <f>(IF(D12="Cash","NA",COUNTIF(Holdings!$S$4:$V$27,'V.P. of PM'!$D12)))</f>
        <v>2</v>
      </c>
      <c r="I12" s="434"/>
      <c r="J12" s="6"/>
    </row>
    <row r="13" spans="2:10">
      <c r="B13" s="5"/>
      <c r="C13" s="16"/>
      <c r="D13" s="118" t="s">
        <v>97</v>
      </c>
      <c r="E13" s="433">
        <f ca="1">SUMIF(Holdings!$V$4:$V$27,$D13,Holdings!$I$4:$I$26)</f>
        <v>10771.07</v>
      </c>
      <c r="F13" s="119">
        <f t="shared" ca="1" si="0"/>
        <v>0.18203925911128374</v>
      </c>
      <c r="G13" s="53" t="str">
        <f t="shared" ca="1" si="1"/>
        <v>Slightly Overweight</v>
      </c>
      <c r="H13" s="52">
        <f>(IF(D13="Cash","NA",COUNTIF(Holdings!$S$4:$V$27,'V.P. of PM'!$D13)))</f>
        <v>4</v>
      </c>
      <c r="I13" s="434"/>
      <c r="J13" s="6"/>
    </row>
    <row r="14" spans="2:10">
      <c r="B14" s="5"/>
      <c r="C14" s="16"/>
      <c r="D14" s="116" t="s">
        <v>19</v>
      </c>
      <c r="E14" s="432">
        <f ca="1">SUMIF(Holdings!$V$4:$V$27,$D14,Holdings!$I$4:$I$26)</f>
        <v>0</v>
      </c>
      <c r="F14" s="117">
        <f t="shared" ca="1" si="0"/>
        <v>0</v>
      </c>
      <c r="G14" s="40" t="str">
        <f t="shared" ref="G14:G16" ca="1" si="2">IF(F14&gt;0.2,"Overweight",IF(F14&gt;0.125,"Slightly Overweight",IF(F14&gt;0.08,"Equal Weight","Underweight")))</f>
        <v>Underweight</v>
      </c>
      <c r="H14" s="188">
        <f>(IF(D14="Cash","NA",COUNTIF(Holdings!$S$4:$V$27,'V.P. of PM'!$D14)))</f>
        <v>0</v>
      </c>
      <c r="I14" s="434"/>
      <c r="J14" s="6"/>
    </row>
    <row r="15" spans="2:10">
      <c r="B15" s="5"/>
      <c r="C15" s="16"/>
      <c r="D15" s="118" t="s">
        <v>44</v>
      </c>
      <c r="E15" s="433">
        <f ca="1">SUMIF(Holdings!$V$4:$V$27,$D15,Holdings!$I$4:$I$26)</f>
        <v>0</v>
      </c>
      <c r="F15" s="119">
        <f t="shared" ca="1" si="0"/>
        <v>0</v>
      </c>
      <c r="G15" s="53" t="str">
        <f t="shared" ca="1" si="2"/>
        <v>Underweight</v>
      </c>
      <c r="H15" s="52">
        <f>(IF(D15="Cash","NA",COUNTIF(Holdings!$S$4:$V$27,'V.P. of PM'!$D15)))</f>
        <v>0</v>
      </c>
      <c r="I15" s="434"/>
      <c r="J15" s="6"/>
    </row>
    <row r="16" spans="2:10" ht="12.75" customHeight="1" thickBot="1">
      <c r="B16" s="5"/>
      <c r="C16" s="16"/>
      <c r="D16" s="116" t="s">
        <v>136</v>
      </c>
      <c r="E16" s="432">
        <f ca="1">SUMIF(Holdings!$V$4:$V$27,$D16,Holdings!$I$4:$I$26)</f>
        <v>0</v>
      </c>
      <c r="F16" s="117">
        <f t="shared" ca="1" si="0"/>
        <v>0</v>
      </c>
      <c r="G16" s="40" t="str">
        <f t="shared" ca="1" si="2"/>
        <v>Underweight</v>
      </c>
      <c r="H16" s="188">
        <f>(IF(D16="Cash","NA",COUNTIF(Holdings!$S$4:$V$27,'V.P. of PM'!$D16)))</f>
        <v>0</v>
      </c>
      <c r="I16" s="434"/>
      <c r="J16" s="6"/>
    </row>
    <row r="17" spans="2:10" ht="13.5" thickBot="1">
      <c r="B17" s="5"/>
      <c r="C17" s="16"/>
      <c r="D17" s="120" t="s">
        <v>5</v>
      </c>
      <c r="E17" s="121">
        <f ca="1">SUM(E5:E16)</f>
        <v>59168.939999999995</v>
      </c>
      <c r="F17" s="122">
        <f ca="1">SUM(F5:F16)</f>
        <v>1.0000000000000002</v>
      </c>
      <c r="G17" s="123"/>
      <c r="H17" s="124">
        <f>(SUM(H5:H16))</f>
        <v>16</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11" t="s">
        <v>28</v>
      </c>
      <c r="H20" s="512"/>
      <c r="I20" s="17"/>
      <c r="J20" s="6"/>
    </row>
    <row r="21" spans="2:10" ht="30.95" customHeight="1">
      <c r="B21" s="5"/>
      <c r="C21" s="16"/>
      <c r="D21" s="147" t="s">
        <v>29</v>
      </c>
      <c r="E21" s="148">
        <f ca="1">OFFSET(Data!$G$3,MATCH($H$3,Data!$B$3:$B$1000,0)-1,,)</f>
        <v>-1.8396274650483324E-2</v>
      </c>
      <c r="F21" s="148">
        <f ca="1">OFFSET(Data!M3,MATCH(H3,Data!B3:B1000,0)-1,,)</f>
        <v>-1.2270233599179559E-2</v>
      </c>
      <c r="G21" s="513" t="str">
        <f ca="1">"IPO "&amp;IF(E21&gt;F21,"out-performed","under-performed")&amp;" the S&amp;P 500 by "&amp;ABS(ROUND((E21-F21),4))*100&amp;"%."</f>
        <v>IPO under-performed the S&amp;P 500 by 0.61%.</v>
      </c>
      <c r="H21" s="514"/>
      <c r="I21" s="17"/>
      <c r="J21" s="6"/>
    </row>
    <row r="22" spans="2:10" ht="30" customHeight="1">
      <c r="B22" s="5"/>
      <c r="C22" s="16"/>
      <c r="D22" s="147" t="s">
        <v>105</v>
      </c>
      <c r="E22" s="148">
        <f ca="1">((OFFSET(Data!$D$3,MATCH($H$3,Data!$B$3:$B$1000,0)-1,,)-(OFFSET(Data!$D$3,MATCH($H$3,Data!$B$3:$B$1000,0)-5,,)))/(OFFSET(Data!$D$3,MATCH($H$3,Data!$B$3:$B$1000,0)-5,,)))</f>
        <v>1.0956337408444886E-2</v>
      </c>
      <c r="F22" s="148">
        <f ca="1">((OFFSET(Data!$L$3,MATCH($H$3,Data!$B$3:$B$1000,0)-1,,)-(OFFSET(Data!$L$3,MATCH($H$3,Data!$B$3:$B$1000,0)-5,,)))/(OFFSET(Data!$L$3,MATCH($H$3,Data!$B$3:$B$1000,0)-5,,)))</f>
        <v>-2.8312723468281661E-3</v>
      </c>
      <c r="G22" s="513" t="str">
        <f t="shared" ref="G22:G26" ca="1" si="3">"IPO "&amp;IF(E22&gt;F22,"out-performed","under-performed")&amp;" the S&amp;P 500 by "&amp;ABS(ROUND((E22-F22),4))*100&amp;"%."</f>
        <v>IPO out-performed the S&amp;P 500 by 1.38%.</v>
      </c>
      <c r="H22" s="514"/>
      <c r="I22" s="17"/>
      <c r="J22" s="6"/>
    </row>
    <row r="23" spans="2:10" ht="24.6" customHeight="1">
      <c r="B23" s="5"/>
      <c r="C23" s="16"/>
      <c r="D23" s="147" t="s">
        <v>85</v>
      </c>
      <c r="E23" s="148">
        <f ca="1">((OFFSET(Data!$D$3,MATCH($H$3,Data!$B$3:$B$1000,0)-1,,)-(OFFSET(Data!$D$3,MATCH($H$3,Data!$B$3:$B$1000,0)-14,,)))/(OFFSET(Data!$D$3,MATCH($H$3,Data!$B$3:$B$1000,0)-14,,)))</f>
        <v>3.7266375788424198E-2</v>
      </c>
      <c r="F23" s="148">
        <f ca="1">((OFFSET(Data!$L$3,MATCH($H$3,Data!$B$3:$B$1000,0)-1,,)-(OFFSET(Data!$L$3,MATCH($H$3,Data!$B$3:$B$1000,0)-14,,)))/(OFFSET(Data!$L$3,MATCH($H$3,Data!$B$3:$B$1000,0)-14,,)))</f>
        <v>3.8110335392666649E-3</v>
      </c>
      <c r="G23" s="513" t="str">
        <f t="shared" ca="1" si="3"/>
        <v>IPO out-performed the S&amp;P 500 by 3.35%.</v>
      </c>
      <c r="H23" s="514"/>
      <c r="I23" s="17"/>
      <c r="J23" s="6"/>
    </row>
    <row r="24" spans="2:10" ht="24.6" customHeight="1">
      <c r="B24" s="5"/>
      <c r="C24" s="16"/>
      <c r="D24" s="147" t="s">
        <v>86</v>
      </c>
      <c r="E24" s="148">
        <f ca="1">((OFFSET(Data!$D$3,MATCH($H$3,Data!$B$3:$B$1000,0)-1,,)-(OFFSET(Data!$D$3,MATCH($H$3,Data!$B$3:$B$1000,0)-27,,)))/(OFFSET(Data!$D$3,MATCH($H$3,Data!$B$3:$B$1000,0)-27,,)))</f>
        <v>0.1523978031867628</v>
      </c>
      <c r="F24" s="148">
        <f ca="1">((OFFSET(Data!$L$3,MATCH($H$3,Data!$B$3:$B$1000,0)-1,,)-(OFFSET(Data!$L$3,MATCH($H$3,Data!$B$3:$B$1000,0)-27,,)))/(OFFSET(Data!$L$3,MATCH($H$3,Data!$B$3:$B$1000,0)-27,,)))</f>
        <v>8.8522196777478787E-2</v>
      </c>
      <c r="G24" s="513" t="str">
        <f t="shared" ca="1" si="3"/>
        <v>IPO out-performed the S&amp;P 500 by 6.39%.</v>
      </c>
      <c r="H24" s="514"/>
      <c r="I24" s="17"/>
      <c r="J24" s="6"/>
    </row>
    <row r="25" spans="2:10" ht="24.95" customHeight="1">
      <c r="B25" s="5"/>
      <c r="C25" s="16"/>
      <c r="D25" s="147" t="s">
        <v>30</v>
      </c>
      <c r="E25" s="148">
        <f ca="1">((OFFSET(Data!$D$3,MATCH($H$3,Data!$B$3:$B$1000,0)-1,,)-(OFFSET(Data!$D$3,MATCH($H$3,Data!$B$3:$B$1000,0)-53,,)))/(OFFSET(Data!$D$3,MATCH($H$3,Data!$B$3:$B$1000,0)-53,,)))</f>
        <v>0.32818322330290411</v>
      </c>
      <c r="F25" s="148">
        <f ca="1">((OFFSET(Data!$L$3,MATCH($H$3,Data!$B$3:$B$1000,0)-1,,)-(OFFSET(Data!$L$3,MATCH($H$3,Data!$B$3:$B$1000,0)-53,,)))/(OFFSET(Data!$L$3,MATCH($H$3,Data!$B$3:$B$1000,0)-53,,)))</f>
        <v>0.17834041766771386</v>
      </c>
      <c r="G25" s="513" t="str">
        <f t="shared" ca="1" si="3"/>
        <v>IPO out-performed the S&amp;P 500 by 14.98%.</v>
      </c>
      <c r="H25" s="514"/>
      <c r="I25" s="17"/>
      <c r="J25" s="6"/>
    </row>
    <row r="26" spans="2:10" ht="27.6" customHeight="1" thickBot="1">
      <c r="B26" s="5"/>
      <c r="C26" s="16"/>
      <c r="D26" s="149" t="s">
        <v>31</v>
      </c>
      <c r="E26" s="148">
        <f ca="1">((OFFSET(Data!$D$3,MATCH($H$3,Data!$B$3:$B$1000,0)-1,,)-(OFFSET(Data!$D$3,MATCH($H$3,Data!$B$3:$B$1000,0)-105,,)))/(OFFSET(Data!$D$3,MATCH($H$3,Data!$B$3:$B$1000,0)-105,,)))</f>
        <v>0.50363268614727408</v>
      </c>
      <c r="F26" s="148">
        <f ca="1">((OFFSET(Data!$L$3,MATCH($H$3,Data!$B$3:$B$1000,0)-1,,)-(OFFSET(Data!$L$3,MATCH($H$3,Data!$B$3:$B$1000,0)-105,,)))/(OFFSET(Data!$L$3,MATCH($H$3,Data!$B$3:$B$1000,0)-105,,)))</f>
        <v>0.3255337147117438</v>
      </c>
      <c r="G26" s="513" t="str">
        <f t="shared" ca="1" si="3"/>
        <v>IPO out-performed the S&amp;P 500 by 17.81%.</v>
      </c>
      <c r="H26" s="514"/>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11" t="s">
        <v>141</v>
      </c>
      <c r="F29" s="511"/>
      <c r="G29" s="511" t="s">
        <v>140</v>
      </c>
      <c r="H29" s="512"/>
      <c r="I29" s="17"/>
      <c r="J29" s="6"/>
    </row>
    <row r="30" spans="2:10">
      <c r="B30" s="5"/>
      <c r="C30" s="16"/>
      <c r="D30" s="128" t="s">
        <v>7</v>
      </c>
      <c r="E30" s="510">
        <f ca="1">SUMIF(Holdings!$Y$4:$Y$27,$D30,Holdings!$I$4:$I$26)</f>
        <v>41399.629999999997</v>
      </c>
      <c r="F30" s="510"/>
      <c r="G30" s="508">
        <f t="shared" ref="G30:G35" ca="1" si="4">E30/$E$36</f>
        <v>0.67755336454064219</v>
      </c>
      <c r="H30" s="509"/>
      <c r="I30" s="17"/>
      <c r="J30" s="6"/>
    </row>
    <row r="31" spans="2:10">
      <c r="B31" s="5"/>
      <c r="C31" s="16"/>
      <c r="D31" s="128" t="s">
        <v>82</v>
      </c>
      <c r="E31" s="510">
        <f ca="1">SUMIF(Holdings!$Y$4:$Y$27,$D31,Holdings!$I$4:$I$26)</f>
        <v>2622.95</v>
      </c>
      <c r="F31" s="510"/>
      <c r="G31" s="508">
        <f t="shared" ca="1" si="4"/>
        <v>4.2927644462568325E-2</v>
      </c>
      <c r="H31" s="509"/>
      <c r="I31" s="17"/>
      <c r="J31" s="6"/>
    </row>
    <row r="32" spans="2:10">
      <c r="B32" s="5"/>
      <c r="C32" s="16"/>
      <c r="D32" s="128" t="s">
        <v>139</v>
      </c>
      <c r="E32" s="510">
        <f ca="1">SUMIF(Holdings!$Y$4:$Y$27,$D32,Holdings!$I$4:$I$26)</f>
        <v>7096.1</v>
      </c>
      <c r="F32" s="510"/>
      <c r="G32" s="508">
        <f t="shared" ca="1" si="4"/>
        <v>0.11613597585574682</v>
      </c>
      <c r="H32" s="509"/>
      <c r="I32" s="17"/>
      <c r="J32" s="6"/>
    </row>
    <row r="33" spans="2:10">
      <c r="B33" s="5"/>
      <c r="C33" s="16"/>
      <c r="D33" s="128" t="s">
        <v>109</v>
      </c>
      <c r="E33" s="510">
        <f ca="1">SUMIF(Holdings!$Y$4:$Y$27,$D33,Holdings!$I$4:$I$26)</f>
        <v>1932.71216</v>
      </c>
      <c r="F33" s="510"/>
      <c r="G33" s="508">
        <f t="shared" ca="1" si="4"/>
        <v>3.1631094932409107E-2</v>
      </c>
      <c r="H33" s="509"/>
      <c r="I33" s="17"/>
      <c r="J33" s="6"/>
    </row>
    <row r="34" spans="2:10">
      <c r="B34" s="5"/>
      <c r="C34" s="16"/>
      <c r="D34" s="436" t="s">
        <v>270</v>
      </c>
      <c r="E34" s="510">
        <f ca="1">SUMIF(Holdings!$Y$4:$Y$27,$D34,Holdings!$I$4:$I$26)</f>
        <v>0</v>
      </c>
      <c r="F34" s="510"/>
      <c r="G34" s="508">
        <f t="shared" ca="1" si="4"/>
        <v>0</v>
      </c>
      <c r="H34" s="509"/>
      <c r="I34" s="17"/>
      <c r="J34" s="6"/>
    </row>
    <row r="35" spans="2:10" ht="13.5" thickBot="1">
      <c r="B35" s="5"/>
      <c r="C35" s="16"/>
      <c r="D35" s="436" t="s">
        <v>52</v>
      </c>
      <c r="E35" s="505">
        <f ca="1">SUMIF(Holdings!$Y$4:$Y$27,$D35,Holdings!$I$4:$I$26)</f>
        <v>8050.26</v>
      </c>
      <c r="F35" s="505"/>
      <c r="G35" s="508">
        <f t="shared" ca="1" si="4"/>
        <v>0.13175192020863352</v>
      </c>
      <c r="H35" s="509"/>
      <c r="I35" s="17"/>
      <c r="J35" s="6"/>
    </row>
    <row r="36" spans="2:10" ht="14.25" thickTop="1" thickBot="1">
      <c r="B36" s="5"/>
      <c r="C36" s="16"/>
      <c r="D36" s="435" t="s">
        <v>142</v>
      </c>
      <c r="E36" s="504">
        <f ca="1">SUM(E30:E35)</f>
        <v>61101.652159999998</v>
      </c>
      <c r="F36" s="504"/>
      <c r="G36" s="506">
        <f ca="1">SUM(G30:G35)</f>
        <v>1</v>
      </c>
      <c r="H36" s="507"/>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0:F30"/>
    <mergeCell ref="G25:H25"/>
    <mergeCell ref="G29:H29"/>
    <mergeCell ref="E29:F29"/>
    <mergeCell ref="G32:H32"/>
    <mergeCell ref="G26:H26"/>
    <mergeCell ref="G30:H30"/>
    <mergeCell ref="G20:H20"/>
    <mergeCell ref="G21:H21"/>
    <mergeCell ref="G22:H22"/>
    <mergeCell ref="G23:H23"/>
    <mergeCell ref="G31:H31"/>
    <mergeCell ref="G24:H24"/>
    <mergeCell ref="E36:F36"/>
    <mergeCell ref="E35:F35"/>
    <mergeCell ref="G36:H36"/>
    <mergeCell ref="G33:H33"/>
    <mergeCell ref="E31:F31"/>
    <mergeCell ref="G35:H35"/>
    <mergeCell ref="E33:F33"/>
    <mergeCell ref="E32:F32"/>
    <mergeCell ref="E34:F34"/>
    <mergeCell ref="G34:H34"/>
  </mergeCells>
  <phoneticPr fontId="10" type="noConversion"/>
  <conditionalFormatting sqref="E21">
    <cfRule type="cellIs" dxfId="11" priority="3" operator="lessThan">
      <formula>0</formula>
    </cfRule>
  </conditionalFormatting>
  <conditionalFormatting sqref="F21">
    <cfRule type="cellIs" dxfId="10" priority="2" operator="lessThan">
      <formula>0</formula>
    </cfRule>
  </conditionalFormatting>
  <conditionalFormatting sqref="E22:F26">
    <cfRule type="cellIs" dxfId="9"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660066"/>
  </sheetPr>
  <dimension ref="B1:N165"/>
  <sheetViews>
    <sheetView showGridLines="0" workbookViewId="0">
      <pane ySplit="4" topLeftCell="A128" activePane="bottomLeft" state="frozen"/>
      <selection pane="bottomLeft" activeCell="I157" sqref="I157"/>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15" t="s">
        <v>10</v>
      </c>
      <c r="C2" s="516"/>
      <c r="D2" s="516"/>
      <c r="E2" s="516"/>
      <c r="F2" s="516"/>
      <c r="G2" s="516"/>
      <c r="H2" s="516"/>
      <c r="I2" s="516"/>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4"/>
      <c r="J16" s="31"/>
    </row>
    <row r="17" spans="2:10">
      <c r="B17" s="28">
        <v>38670</v>
      </c>
      <c r="C17" s="25" t="s">
        <v>15</v>
      </c>
      <c r="D17" s="25" t="s">
        <v>79</v>
      </c>
      <c r="E17" s="137">
        <v>27.8</v>
      </c>
      <c r="F17" s="25">
        <v>21</v>
      </c>
      <c r="G17" s="27">
        <f>F17*E17</f>
        <v>583.80000000000007</v>
      </c>
      <c r="H17" s="25">
        <v>9.99</v>
      </c>
      <c r="I17" s="33">
        <v>0.9</v>
      </c>
      <c r="J17" s="31"/>
    </row>
    <row r="18" spans="2:10">
      <c r="B18" s="20"/>
      <c r="E18" s="344"/>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4">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4">
        <v>3.36</v>
      </c>
      <c r="F57" s="25">
        <v>33</v>
      </c>
      <c r="G57" s="27">
        <f>E57*F57</f>
        <v>110.88</v>
      </c>
      <c r="H57" s="36">
        <v>9.99</v>
      </c>
      <c r="I57" s="146">
        <v>0.73</v>
      </c>
      <c r="J57" s="22"/>
    </row>
    <row r="58" spans="2:10">
      <c r="B58" s="28"/>
      <c r="C58" s="135"/>
      <c r="D58" s="135"/>
      <c r="E58" s="344"/>
      <c r="F58" s="25"/>
      <c r="G58" s="27"/>
      <c r="H58" s="36"/>
      <c r="I58" s="146"/>
      <c r="J58" s="22"/>
    </row>
    <row r="59" spans="2:10">
      <c r="B59" s="28">
        <v>40214</v>
      </c>
      <c r="C59" s="135" t="s">
        <v>93</v>
      </c>
      <c r="D59" s="135" t="s">
        <v>42</v>
      </c>
      <c r="E59" s="344">
        <v>9.34</v>
      </c>
      <c r="F59" s="25">
        <v>250</v>
      </c>
      <c r="G59" s="27">
        <f>E59*F59</f>
        <v>2335</v>
      </c>
      <c r="H59" s="36">
        <v>9.99</v>
      </c>
      <c r="I59" s="146">
        <v>0.78</v>
      </c>
      <c r="J59" s="22"/>
    </row>
    <row r="60" spans="2:10">
      <c r="B60" s="28"/>
      <c r="C60" s="135"/>
      <c r="D60" s="135"/>
      <c r="E60" s="344"/>
      <c r="F60" s="25"/>
      <c r="G60" s="27"/>
      <c r="H60" s="36"/>
      <c r="I60" s="146"/>
      <c r="J60" s="22"/>
    </row>
    <row r="61" spans="2:10">
      <c r="B61" s="28">
        <v>40242</v>
      </c>
      <c r="C61" s="135" t="s">
        <v>15</v>
      </c>
      <c r="D61" s="135" t="s">
        <v>113</v>
      </c>
      <c r="E61" s="344">
        <v>50</v>
      </c>
      <c r="F61" s="25">
        <v>25</v>
      </c>
      <c r="G61" s="27">
        <f>E61*F61</f>
        <v>1250</v>
      </c>
      <c r="H61" s="36">
        <v>9.99</v>
      </c>
      <c r="I61" s="146">
        <v>0.82</v>
      </c>
      <c r="J61" s="22"/>
    </row>
    <row r="62" spans="2:10">
      <c r="B62" s="28"/>
      <c r="C62" s="135"/>
      <c r="D62" s="135"/>
      <c r="E62" s="344"/>
      <c r="F62" s="25"/>
      <c r="G62" s="27"/>
      <c r="H62" s="36"/>
      <c r="I62" s="146"/>
      <c r="J62" s="22"/>
    </row>
    <row r="63" spans="2:10">
      <c r="B63" s="28"/>
      <c r="C63" s="135" t="s">
        <v>15</v>
      </c>
      <c r="D63" s="135" t="s">
        <v>101</v>
      </c>
      <c r="E63" s="344">
        <v>1.1399999999999999</v>
      </c>
      <c r="F63" s="25">
        <v>800</v>
      </c>
      <c r="G63" s="27">
        <f>E63*F63</f>
        <v>911.99999999999989</v>
      </c>
      <c r="H63" s="36"/>
      <c r="I63" s="146"/>
      <c r="J63" s="152" t="s">
        <v>51</v>
      </c>
    </row>
    <row r="64" spans="2:10">
      <c r="B64" s="28"/>
      <c r="D64" s="135"/>
      <c r="E64" s="344"/>
      <c r="F64" s="25"/>
      <c r="G64" s="27"/>
      <c r="H64" s="36"/>
      <c r="I64" s="146"/>
      <c r="J64" s="152"/>
    </row>
    <row r="65" spans="2:10">
      <c r="B65" s="28">
        <v>40466</v>
      </c>
      <c r="C65" s="135" t="s">
        <v>32</v>
      </c>
      <c r="D65" s="135" t="s">
        <v>33</v>
      </c>
      <c r="E65" s="344">
        <v>23.93</v>
      </c>
      <c r="F65" s="25">
        <v>100</v>
      </c>
      <c r="G65" s="27">
        <f>E65*F65</f>
        <v>2393</v>
      </c>
      <c r="H65" s="36">
        <v>9.99</v>
      </c>
      <c r="I65" s="146">
        <v>1</v>
      </c>
      <c r="J65" s="152"/>
    </row>
    <row r="66" spans="2:10">
      <c r="B66" s="28"/>
      <c r="C66" s="135"/>
      <c r="D66" s="135"/>
      <c r="E66" s="344"/>
      <c r="F66" s="25"/>
      <c r="G66" s="27"/>
      <c r="H66" s="36"/>
      <c r="I66" s="146"/>
      <c r="J66" s="152"/>
    </row>
    <row r="67" spans="2:10">
      <c r="B67" s="28">
        <v>40466</v>
      </c>
      <c r="C67" s="135" t="s">
        <v>32</v>
      </c>
      <c r="D67" s="135" t="s">
        <v>34</v>
      </c>
      <c r="E67" s="344">
        <v>74.08</v>
      </c>
      <c r="F67" s="25">
        <v>43</v>
      </c>
      <c r="G67" s="27">
        <f>E67*F67</f>
        <v>3185.44</v>
      </c>
      <c r="H67" s="36">
        <v>9.99</v>
      </c>
      <c r="I67" s="146">
        <v>0.94</v>
      </c>
      <c r="J67" s="152"/>
    </row>
    <row r="68" spans="2:10">
      <c r="B68" s="28"/>
      <c r="C68" s="135"/>
      <c r="D68" s="135"/>
      <c r="E68" s="344"/>
      <c r="F68" s="25"/>
      <c r="G68" s="27"/>
      <c r="H68" s="36"/>
      <c r="I68" s="146"/>
      <c r="J68" s="152"/>
    </row>
    <row r="69" spans="2:10">
      <c r="B69" s="28">
        <v>40466</v>
      </c>
      <c r="C69" s="135" t="s">
        <v>35</v>
      </c>
      <c r="D69" s="135" t="s">
        <v>36</v>
      </c>
      <c r="E69" s="344">
        <v>14.43</v>
      </c>
      <c r="F69" s="25">
        <v>117</v>
      </c>
      <c r="G69" s="27">
        <f>E69*F69</f>
        <v>1688.31</v>
      </c>
      <c r="H69" s="36">
        <v>9.99</v>
      </c>
      <c r="I69" s="146">
        <v>0.97</v>
      </c>
      <c r="J69" s="152"/>
    </row>
    <row r="70" spans="2:10">
      <c r="B70" s="28"/>
      <c r="C70" s="135"/>
      <c r="D70" s="135"/>
      <c r="E70" s="344"/>
      <c r="F70" s="25"/>
      <c r="G70" s="27"/>
      <c r="H70" s="36"/>
      <c r="I70" s="146"/>
      <c r="J70" s="152"/>
    </row>
    <row r="71" spans="2:10">
      <c r="B71" s="28">
        <v>40480</v>
      </c>
      <c r="C71" s="162" t="s">
        <v>15</v>
      </c>
      <c r="D71" s="162" t="s">
        <v>145</v>
      </c>
      <c r="E71" s="344">
        <v>56.3</v>
      </c>
      <c r="F71" s="25">
        <v>27</v>
      </c>
      <c r="G71" s="27">
        <f>E71*F71</f>
        <v>1520.1</v>
      </c>
      <c r="H71" s="36">
        <v>9.99</v>
      </c>
      <c r="I71" s="146">
        <v>0.93</v>
      </c>
      <c r="J71" s="152"/>
    </row>
    <row r="72" spans="2:10">
      <c r="B72" s="28"/>
      <c r="C72" s="135"/>
      <c r="D72" s="135"/>
      <c r="E72" s="344"/>
      <c r="F72" s="25"/>
      <c r="G72" s="27"/>
      <c r="H72" s="36"/>
      <c r="I72" s="146"/>
      <c r="J72" s="152"/>
    </row>
    <row r="73" spans="2:10">
      <c r="B73" s="28">
        <v>40480</v>
      </c>
      <c r="C73" s="162" t="s">
        <v>15</v>
      </c>
      <c r="D73" s="162" t="s">
        <v>150</v>
      </c>
      <c r="E73" s="344">
        <v>10.89</v>
      </c>
      <c r="F73" s="25">
        <v>100</v>
      </c>
      <c r="G73" s="27">
        <f>E73*F73</f>
        <v>1089</v>
      </c>
      <c r="H73" s="36">
        <v>9.99</v>
      </c>
      <c r="I73" s="146"/>
      <c r="J73" s="152"/>
    </row>
    <row r="74" spans="2:10">
      <c r="B74" s="28"/>
      <c r="C74" s="135"/>
      <c r="D74" s="135"/>
      <c r="E74" s="344"/>
      <c r="F74" s="25"/>
      <c r="G74" s="27"/>
      <c r="H74" s="36"/>
      <c r="I74" s="146"/>
      <c r="J74" s="152"/>
    </row>
    <row r="75" spans="2:10">
      <c r="B75" s="28">
        <v>40616</v>
      </c>
      <c r="C75" s="135" t="s">
        <v>32</v>
      </c>
      <c r="D75" s="162" t="s">
        <v>106</v>
      </c>
      <c r="E75" s="344">
        <v>46.6</v>
      </c>
      <c r="F75" s="25">
        <v>51</v>
      </c>
      <c r="G75" s="27">
        <f>F75*E75</f>
        <v>2376.6</v>
      </c>
      <c r="H75" s="36">
        <v>9.99</v>
      </c>
      <c r="I75" s="146">
        <v>0.86</v>
      </c>
      <c r="J75" s="152"/>
    </row>
    <row r="76" spans="2:10">
      <c r="B76" s="28"/>
      <c r="C76" s="162"/>
      <c r="D76" s="162"/>
      <c r="E76" s="344"/>
      <c r="F76" s="25"/>
      <c r="G76" s="27"/>
      <c r="H76" s="36"/>
      <c r="I76" s="146"/>
      <c r="J76" s="152"/>
    </row>
    <row r="77" spans="2:10">
      <c r="B77" s="28">
        <v>40616</v>
      </c>
      <c r="C77" s="162" t="s">
        <v>15</v>
      </c>
      <c r="D77" s="162" t="s">
        <v>151</v>
      </c>
      <c r="E77" s="344">
        <v>32.159999999999997</v>
      </c>
      <c r="F77" s="25">
        <v>34</v>
      </c>
      <c r="G77" s="27">
        <f>F77*E77</f>
        <v>1093.4399999999998</v>
      </c>
      <c r="H77" s="36">
        <v>9.99</v>
      </c>
      <c r="I77" s="146">
        <v>0.88</v>
      </c>
      <c r="J77" s="152"/>
    </row>
    <row r="78" spans="2:10">
      <c r="B78" s="28"/>
      <c r="C78" s="162"/>
      <c r="D78" s="162"/>
      <c r="E78" s="344"/>
      <c r="F78" s="25"/>
      <c r="G78" s="27"/>
      <c r="H78" s="36"/>
      <c r="I78" s="146"/>
      <c r="J78" s="152"/>
    </row>
    <row r="79" spans="2:10">
      <c r="B79" s="28">
        <v>40658</v>
      </c>
      <c r="C79" s="135" t="s">
        <v>32</v>
      </c>
      <c r="D79" s="191" t="s">
        <v>145</v>
      </c>
      <c r="E79" s="344">
        <v>135.35</v>
      </c>
      <c r="F79" s="25">
        <v>27</v>
      </c>
      <c r="G79" s="27">
        <f>E79*F79</f>
        <v>3654.45</v>
      </c>
      <c r="H79" s="36">
        <v>9.99</v>
      </c>
      <c r="I79" s="146"/>
      <c r="J79" s="152"/>
    </row>
    <row r="80" spans="2:10">
      <c r="B80" s="28"/>
      <c r="C80" s="162"/>
      <c r="D80" s="162"/>
      <c r="E80" s="344"/>
      <c r="F80" s="25"/>
      <c r="G80" s="27"/>
      <c r="H80" s="36"/>
      <c r="I80" s="146"/>
      <c r="J80" s="152"/>
    </row>
    <row r="81" spans="2:14">
      <c r="B81" s="28">
        <v>40773</v>
      </c>
      <c r="C81" s="191" t="s">
        <v>15</v>
      </c>
      <c r="D81" s="191" t="s">
        <v>157</v>
      </c>
      <c r="E81" s="344">
        <v>177.43</v>
      </c>
      <c r="F81" s="25">
        <v>9</v>
      </c>
      <c r="G81" s="27">
        <f>E81*F81</f>
        <v>1596.8700000000001</v>
      </c>
      <c r="H81" s="36">
        <v>9.99</v>
      </c>
      <c r="I81" s="146"/>
      <c r="J81" s="152"/>
    </row>
    <row r="82" spans="2:14">
      <c r="B82" s="28"/>
      <c r="C82" s="162"/>
      <c r="D82" s="162"/>
      <c r="E82" s="344"/>
      <c r="F82" s="25"/>
      <c r="G82" s="27"/>
      <c r="H82" s="36"/>
      <c r="I82" s="146"/>
      <c r="J82" s="152"/>
    </row>
    <row r="83" spans="2:14">
      <c r="B83" s="28">
        <v>40829</v>
      </c>
      <c r="C83" s="191" t="s">
        <v>15</v>
      </c>
      <c r="D83" s="191" t="s">
        <v>158</v>
      </c>
      <c r="E83" s="344">
        <v>17.23</v>
      </c>
      <c r="F83" s="25">
        <v>87.057000000000002</v>
      </c>
      <c r="G83" s="27">
        <f>E83*F83</f>
        <v>1499.9921100000001</v>
      </c>
      <c r="H83" s="36">
        <v>9.99</v>
      </c>
      <c r="I83" s="146">
        <v>0.69</v>
      </c>
      <c r="J83" s="152"/>
      <c r="N83" s="266"/>
    </row>
    <row r="84" spans="2:14">
      <c r="B84" s="28"/>
      <c r="C84" s="162"/>
      <c r="D84" s="162"/>
      <c r="E84" s="344"/>
      <c r="F84" s="25"/>
      <c r="G84" s="27"/>
      <c r="H84" s="36"/>
      <c r="I84" s="146"/>
      <c r="J84" s="152"/>
      <c r="N84" s="266"/>
    </row>
    <row r="85" spans="2:14">
      <c r="B85" s="28">
        <v>40891</v>
      </c>
      <c r="C85" s="135" t="s">
        <v>93</v>
      </c>
      <c r="D85" s="135" t="s">
        <v>157</v>
      </c>
      <c r="E85" s="344">
        <v>156.06</v>
      </c>
      <c r="F85" s="25">
        <v>9</v>
      </c>
      <c r="G85" s="27">
        <f>E85*F85</f>
        <v>1404.54</v>
      </c>
      <c r="H85" s="36">
        <v>9.99</v>
      </c>
      <c r="I85" s="146" t="s">
        <v>133</v>
      </c>
      <c r="J85" s="152"/>
    </row>
    <row r="86" spans="2:14">
      <c r="B86" s="28"/>
      <c r="C86" s="135"/>
      <c r="D86" s="135"/>
      <c r="E86" s="344"/>
      <c r="F86" s="25"/>
      <c r="G86" s="27"/>
      <c r="H86" s="36"/>
      <c r="I86" s="146"/>
      <c r="J86" s="152"/>
    </row>
    <row r="87" spans="2:14">
      <c r="B87" s="28">
        <v>40942</v>
      </c>
      <c r="C87" s="135" t="s">
        <v>93</v>
      </c>
      <c r="D87" s="135" t="s">
        <v>59</v>
      </c>
      <c r="E87" s="344">
        <v>21.22</v>
      </c>
      <c r="F87" s="25">
        <v>41</v>
      </c>
      <c r="G87" s="27">
        <f>F87*E87</f>
        <v>870.02</v>
      </c>
      <c r="H87" s="36">
        <v>9.99</v>
      </c>
      <c r="I87" s="146"/>
      <c r="J87" s="152"/>
    </row>
    <row r="88" spans="2:14">
      <c r="B88" s="28"/>
      <c r="C88" s="135"/>
      <c r="D88" s="135"/>
      <c r="E88" s="344"/>
      <c r="F88" s="25"/>
      <c r="G88" s="27"/>
      <c r="H88" s="36"/>
      <c r="I88" s="146"/>
      <c r="J88" s="152"/>
    </row>
    <row r="89" spans="2:14">
      <c r="B89" s="28">
        <v>40942</v>
      </c>
      <c r="C89" s="135" t="s">
        <v>15</v>
      </c>
      <c r="D89" s="135" t="s">
        <v>53</v>
      </c>
      <c r="E89" s="344">
        <v>12.47</v>
      </c>
      <c r="F89" s="25">
        <v>65</v>
      </c>
      <c r="G89" s="27">
        <f>F89*E89</f>
        <v>810.55000000000007</v>
      </c>
      <c r="H89" s="36">
        <v>9.99</v>
      </c>
      <c r="I89" s="146"/>
      <c r="J89" s="152"/>
    </row>
    <row r="90" spans="2:14">
      <c r="B90" s="28"/>
      <c r="C90" s="135"/>
      <c r="D90" s="135"/>
      <c r="E90" s="344"/>
      <c r="F90" s="25"/>
      <c r="G90" s="27"/>
      <c r="H90" s="36"/>
      <c r="I90" s="146"/>
      <c r="J90" s="152"/>
    </row>
    <row r="91" spans="2:14">
      <c r="B91" s="28">
        <v>41166</v>
      </c>
      <c r="C91" s="135" t="s">
        <v>93</v>
      </c>
      <c r="D91" s="135" t="s">
        <v>151</v>
      </c>
      <c r="E91" s="344">
        <v>19.71</v>
      </c>
      <c r="F91" s="25">
        <v>36.591000000000001</v>
      </c>
      <c r="G91" s="27">
        <v>711.2</v>
      </c>
      <c r="H91" s="36">
        <v>9.99</v>
      </c>
      <c r="I91" s="146">
        <v>0.85</v>
      </c>
      <c r="J91" s="152"/>
    </row>
    <row r="92" spans="2:14">
      <c r="B92" s="28"/>
      <c r="C92" s="135"/>
      <c r="D92" s="135"/>
      <c r="E92" s="344"/>
      <c r="F92" s="25"/>
      <c r="G92" s="27"/>
      <c r="H92" s="36"/>
      <c r="I92" s="146"/>
      <c r="J92" s="152"/>
    </row>
    <row r="93" spans="2:14">
      <c r="B93" s="28">
        <v>41173</v>
      </c>
      <c r="C93" s="135" t="s">
        <v>15</v>
      </c>
      <c r="D93" s="135" t="s">
        <v>190</v>
      </c>
      <c r="E93" s="344">
        <v>16.649999999999999</v>
      </c>
      <c r="F93" s="25">
        <v>100</v>
      </c>
      <c r="G93" s="27">
        <v>1674.98</v>
      </c>
      <c r="H93" s="36">
        <v>9.99</v>
      </c>
      <c r="I93" s="146">
        <v>0.66</v>
      </c>
      <c r="J93" s="152"/>
    </row>
    <row r="94" spans="2:14">
      <c r="B94" s="28"/>
      <c r="C94" s="135"/>
      <c r="D94" s="135"/>
      <c r="E94" s="344"/>
      <c r="F94" s="25"/>
      <c r="G94" s="27"/>
      <c r="H94" s="36"/>
      <c r="I94" s="146"/>
      <c r="J94" s="152"/>
    </row>
    <row r="95" spans="2:14">
      <c r="B95" s="28">
        <v>41215</v>
      </c>
      <c r="C95" s="135" t="s">
        <v>93</v>
      </c>
      <c r="D95" s="135" t="s">
        <v>39</v>
      </c>
      <c r="E95" s="344">
        <v>23</v>
      </c>
      <c r="F95" s="25">
        <v>57.813000000000002</v>
      </c>
      <c r="G95" s="27">
        <v>1319.69</v>
      </c>
      <c r="H95" s="36">
        <v>9.99</v>
      </c>
      <c r="I95" s="146">
        <v>0.72</v>
      </c>
      <c r="J95" s="152"/>
    </row>
    <row r="96" spans="2:14">
      <c r="B96" s="28"/>
      <c r="C96" s="135"/>
      <c r="D96" s="135"/>
      <c r="E96" s="344"/>
      <c r="F96" s="25"/>
      <c r="G96" s="27"/>
      <c r="H96" s="36"/>
      <c r="I96" s="146"/>
      <c r="J96" s="152"/>
    </row>
    <row r="97" spans="2:10">
      <c r="B97" s="28">
        <v>41215</v>
      </c>
      <c r="C97" s="135" t="s">
        <v>15</v>
      </c>
      <c r="D97" s="135" t="s">
        <v>198</v>
      </c>
      <c r="E97" s="344">
        <v>12.43</v>
      </c>
      <c r="F97" s="25">
        <v>150</v>
      </c>
      <c r="G97" s="27">
        <v>1875.74</v>
      </c>
      <c r="H97" s="36">
        <v>9.99</v>
      </c>
      <c r="I97" s="146">
        <v>0.78</v>
      </c>
      <c r="J97" s="152"/>
    </row>
    <row r="98" spans="2:10">
      <c r="B98" s="28"/>
      <c r="C98" s="135"/>
      <c r="D98" s="135"/>
      <c r="E98" s="344"/>
      <c r="F98" s="25"/>
      <c r="G98" s="27"/>
      <c r="H98" s="36"/>
      <c r="I98" s="146"/>
      <c r="J98" s="152"/>
    </row>
    <row r="99" spans="2:10">
      <c r="B99" s="28">
        <v>41222</v>
      </c>
      <c r="C99" s="135" t="s">
        <v>15</v>
      </c>
      <c r="D99" s="135" t="s">
        <v>201</v>
      </c>
      <c r="E99" s="344">
        <v>83</v>
      </c>
      <c r="F99" s="25">
        <v>15</v>
      </c>
      <c r="G99" s="27">
        <v>1319.69</v>
      </c>
      <c r="H99" s="36">
        <v>9.99</v>
      </c>
      <c r="I99" s="146">
        <v>0.72</v>
      </c>
      <c r="J99" s="152"/>
    </row>
    <row r="100" spans="2:10">
      <c r="B100" s="28"/>
      <c r="C100" s="135"/>
      <c r="D100" s="135"/>
      <c r="E100" s="344"/>
      <c r="F100" s="25"/>
      <c r="G100" s="27"/>
      <c r="H100" s="36"/>
      <c r="I100" s="146"/>
      <c r="J100" s="152"/>
    </row>
    <row r="101" spans="2:10">
      <c r="B101" s="28">
        <v>41243</v>
      </c>
      <c r="C101" s="135" t="s">
        <v>15</v>
      </c>
      <c r="D101" s="135" t="s">
        <v>210</v>
      </c>
      <c r="E101" s="344">
        <v>19.489999999999998</v>
      </c>
      <c r="F101" s="25">
        <v>75</v>
      </c>
      <c r="G101" s="27">
        <v>1471.73</v>
      </c>
      <c r="H101" s="36">
        <v>9.99</v>
      </c>
      <c r="I101" s="146">
        <v>0.96</v>
      </c>
      <c r="J101" s="152"/>
    </row>
    <row r="102" spans="2:10">
      <c r="B102" s="28"/>
      <c r="C102" s="135"/>
      <c r="D102" s="135"/>
      <c r="E102" s="344"/>
      <c r="F102" s="25"/>
      <c r="G102" s="27"/>
      <c r="H102" s="36"/>
      <c r="I102" s="146"/>
      <c r="J102" s="152"/>
    </row>
    <row r="103" spans="2:10">
      <c r="B103" s="28">
        <v>41243</v>
      </c>
      <c r="C103" s="135" t="s">
        <v>93</v>
      </c>
      <c r="D103" s="135" t="s">
        <v>84</v>
      </c>
      <c r="E103" s="344">
        <v>54.07</v>
      </c>
      <c r="F103" s="25">
        <v>41.744999999999997</v>
      </c>
      <c r="G103" s="27">
        <v>2247.11</v>
      </c>
      <c r="H103" s="36">
        <v>9.99</v>
      </c>
      <c r="I103" s="146">
        <v>0.96</v>
      </c>
      <c r="J103" s="152"/>
    </row>
    <row r="104" spans="2:10">
      <c r="B104" s="28"/>
      <c r="C104" s="135"/>
      <c r="D104" s="135"/>
      <c r="E104" s="344"/>
      <c r="F104" s="25"/>
      <c r="G104" s="27"/>
      <c r="H104" s="36"/>
      <c r="I104" s="146"/>
      <c r="J104" s="152"/>
    </row>
    <row r="105" spans="2:10">
      <c r="B105" s="28">
        <v>41298</v>
      </c>
      <c r="C105" s="135" t="s">
        <v>93</v>
      </c>
      <c r="D105" s="135" t="s">
        <v>163</v>
      </c>
      <c r="E105" s="344">
        <v>14.86</v>
      </c>
      <c r="F105" s="341">
        <v>134.99299999999999</v>
      </c>
      <c r="G105" s="27">
        <f>F105*E105</f>
        <v>2005.9959799999999</v>
      </c>
      <c r="H105" s="36">
        <v>9.99</v>
      </c>
      <c r="I105" s="146">
        <v>1</v>
      </c>
      <c r="J105" s="152"/>
    </row>
    <row r="106" spans="2:10">
      <c r="B106" s="28"/>
      <c r="C106" s="135"/>
      <c r="D106" s="135"/>
      <c r="E106" s="344"/>
      <c r="F106" s="25"/>
      <c r="G106" s="27"/>
      <c r="H106" s="36"/>
      <c r="I106" s="146"/>
      <c r="J106" s="152"/>
    </row>
    <row r="107" spans="2:10">
      <c r="B107" s="28">
        <v>41334</v>
      </c>
      <c r="C107" s="135" t="s">
        <v>15</v>
      </c>
      <c r="D107" s="135" t="s">
        <v>223</v>
      </c>
      <c r="E107" s="344">
        <v>21.75</v>
      </c>
      <c r="F107" s="341">
        <v>100</v>
      </c>
      <c r="G107" s="27">
        <f>F107*E107</f>
        <v>2175</v>
      </c>
      <c r="H107" s="36">
        <v>9.99</v>
      </c>
      <c r="I107" s="146">
        <f>(31/40)</f>
        <v>0.77500000000000002</v>
      </c>
      <c r="J107" s="152"/>
    </row>
    <row r="108" spans="2:10">
      <c r="B108" s="28"/>
      <c r="C108" s="135"/>
      <c r="D108" s="135"/>
      <c r="E108" s="344"/>
      <c r="F108" s="343"/>
      <c r="G108" s="27"/>
      <c r="H108" s="36"/>
      <c r="I108" s="146"/>
      <c r="J108" s="152"/>
    </row>
    <row r="109" spans="2:10">
      <c r="B109" s="28">
        <v>41355</v>
      </c>
      <c r="C109" s="135" t="s">
        <v>93</v>
      </c>
      <c r="D109" s="135" t="s">
        <v>60</v>
      </c>
      <c r="E109" s="344">
        <v>131.71</v>
      </c>
      <c r="F109" s="343">
        <v>15.202</v>
      </c>
      <c r="G109" s="27">
        <f>F109*E109</f>
        <v>2002.2554200000002</v>
      </c>
      <c r="H109" s="36">
        <v>9.99</v>
      </c>
      <c r="I109" s="146">
        <v>0.76</v>
      </c>
      <c r="J109" s="152"/>
    </row>
    <row r="110" spans="2:10">
      <c r="B110" s="28"/>
      <c r="C110" s="135"/>
      <c r="D110" s="135"/>
      <c r="E110" s="344"/>
      <c r="F110" s="343"/>
      <c r="G110" s="27"/>
      <c r="H110" s="36"/>
      <c r="I110" s="146"/>
      <c r="J110" s="152"/>
    </row>
    <row r="111" spans="2:10">
      <c r="B111" s="28">
        <v>41355</v>
      </c>
      <c r="C111" s="135" t="s">
        <v>93</v>
      </c>
      <c r="D111" s="135" t="s">
        <v>47</v>
      </c>
      <c r="E111" s="344">
        <v>83.3</v>
      </c>
      <c r="F111" s="343">
        <v>47.706000000000003</v>
      </c>
      <c r="G111" s="27">
        <f>F111*E111</f>
        <v>3973.9097999999999</v>
      </c>
      <c r="H111" s="36">
        <v>9.99</v>
      </c>
      <c r="I111" s="146">
        <v>0.78</v>
      </c>
      <c r="J111" s="152"/>
    </row>
    <row r="112" spans="2:10">
      <c r="B112" s="28"/>
      <c r="C112" s="135"/>
      <c r="D112" s="135"/>
      <c r="E112" s="344"/>
      <c r="F112" s="343"/>
      <c r="G112" s="27"/>
      <c r="H112" s="36"/>
      <c r="I112" s="146"/>
      <c r="J112" s="152"/>
    </row>
    <row r="113" spans="2:10">
      <c r="B113" s="28">
        <v>41355</v>
      </c>
      <c r="C113" s="135" t="s">
        <v>15</v>
      </c>
      <c r="D113" s="135" t="s">
        <v>225</v>
      </c>
      <c r="E113" s="344">
        <v>8.61</v>
      </c>
      <c r="F113" s="343">
        <v>300</v>
      </c>
      <c r="G113" s="27">
        <f>F113*E113</f>
        <v>2583</v>
      </c>
      <c r="H113" s="36">
        <v>9.99</v>
      </c>
      <c r="I113" s="146">
        <v>0.78</v>
      </c>
      <c r="J113" s="152"/>
    </row>
    <row r="114" spans="2:10">
      <c r="B114" s="28"/>
      <c r="C114" s="135"/>
      <c r="D114" s="135"/>
      <c r="E114" s="344"/>
      <c r="F114" s="352"/>
      <c r="G114" s="27"/>
      <c r="H114" s="36"/>
      <c r="I114" s="146"/>
      <c r="J114" s="152"/>
    </row>
    <row r="115" spans="2:10">
      <c r="B115" s="28">
        <v>41365</v>
      </c>
      <c r="C115" s="135" t="s">
        <v>93</v>
      </c>
      <c r="D115" s="135" t="s">
        <v>53</v>
      </c>
      <c r="E115" s="344">
        <v>13.01</v>
      </c>
      <c r="F115" s="352">
        <v>66.475999999999999</v>
      </c>
      <c r="G115" s="27">
        <f>F115*E115</f>
        <v>864.85275999999999</v>
      </c>
      <c r="H115" s="36">
        <v>9.99</v>
      </c>
      <c r="I115" s="146">
        <v>0.76</v>
      </c>
      <c r="J115" s="152"/>
    </row>
    <row r="116" spans="2:10">
      <c r="B116" s="28"/>
      <c r="C116" s="135"/>
      <c r="D116" s="135"/>
      <c r="E116" s="344"/>
      <c r="F116" s="352"/>
      <c r="G116" s="27"/>
      <c r="H116" s="36"/>
      <c r="I116" s="146"/>
      <c r="J116" s="152"/>
    </row>
    <row r="117" spans="2:10">
      <c r="B117" s="28">
        <v>41365</v>
      </c>
      <c r="C117" s="135" t="s">
        <v>15</v>
      </c>
      <c r="D117" s="135" t="s">
        <v>227</v>
      </c>
      <c r="E117" s="344">
        <v>16.48</v>
      </c>
      <c r="F117" s="352">
        <v>150</v>
      </c>
      <c r="G117" s="27">
        <f>F117*E117</f>
        <v>2472</v>
      </c>
      <c r="H117" s="36">
        <v>9.99</v>
      </c>
      <c r="I117" s="146">
        <v>0.76</v>
      </c>
      <c r="J117" s="152"/>
    </row>
    <row r="118" spans="2:10">
      <c r="B118" s="28"/>
      <c r="C118" s="135"/>
      <c r="D118" s="135"/>
      <c r="E118" s="344"/>
      <c r="F118" s="352"/>
      <c r="G118" s="27"/>
      <c r="H118" s="36"/>
      <c r="I118" s="146"/>
      <c r="J118" s="152"/>
    </row>
    <row r="119" spans="2:10">
      <c r="B119" s="28">
        <v>41397</v>
      </c>
      <c r="C119" s="135" t="s">
        <v>93</v>
      </c>
      <c r="D119" s="135" t="s">
        <v>225</v>
      </c>
      <c r="E119" s="344">
        <v>11.25</v>
      </c>
      <c r="F119" s="352">
        <v>100</v>
      </c>
      <c r="G119" s="27">
        <f>F119*E119</f>
        <v>1125</v>
      </c>
      <c r="H119" s="36">
        <v>9.99</v>
      </c>
      <c r="I119" s="146" t="s">
        <v>133</v>
      </c>
      <c r="J119" s="152"/>
    </row>
    <row r="120" spans="2:10">
      <c r="B120" s="28"/>
      <c r="C120" s="135"/>
      <c r="D120" s="135"/>
      <c r="E120" s="344"/>
      <c r="F120" s="353"/>
      <c r="G120" s="27"/>
      <c r="H120" s="36"/>
      <c r="I120" s="146"/>
      <c r="J120" s="152"/>
    </row>
    <row r="121" spans="2:10">
      <c r="B121" s="28">
        <v>41416</v>
      </c>
      <c r="C121" s="135" t="s">
        <v>93</v>
      </c>
      <c r="D121" s="135" t="s">
        <v>108</v>
      </c>
      <c r="E121" s="344">
        <v>28.061</v>
      </c>
      <c r="F121" s="353">
        <v>60</v>
      </c>
      <c r="G121" s="27">
        <f>F121*E121</f>
        <v>1683.66</v>
      </c>
      <c r="H121" s="36">
        <v>9.99</v>
      </c>
      <c r="I121" s="146" t="s">
        <v>133</v>
      </c>
      <c r="J121" s="152"/>
    </row>
    <row r="122" spans="2:10">
      <c r="B122" s="28"/>
      <c r="C122" s="135"/>
      <c r="D122" s="135"/>
      <c r="E122" s="344"/>
      <c r="F122" s="353"/>
      <c r="G122" s="27"/>
      <c r="H122" s="36"/>
      <c r="I122" s="146"/>
      <c r="J122" s="152"/>
    </row>
    <row r="123" spans="2:10">
      <c r="B123" s="28">
        <v>41416</v>
      </c>
      <c r="C123" s="135" t="s">
        <v>93</v>
      </c>
      <c r="D123" s="135" t="s">
        <v>113</v>
      </c>
      <c r="E123" s="344">
        <v>28.75</v>
      </c>
      <c r="F123" s="353">
        <v>53.13</v>
      </c>
      <c r="G123" s="27">
        <f>F123*E123</f>
        <v>1527.4875000000002</v>
      </c>
      <c r="H123" s="36">
        <v>9.99</v>
      </c>
      <c r="I123" s="146" t="s">
        <v>133</v>
      </c>
      <c r="J123" s="152"/>
    </row>
    <row r="124" spans="2:10">
      <c r="B124" s="28"/>
      <c r="C124" s="135"/>
      <c r="D124" s="135"/>
      <c r="E124" s="344"/>
      <c r="F124" s="353"/>
      <c r="G124" s="27"/>
      <c r="H124" s="36"/>
      <c r="I124" s="146"/>
      <c r="J124" s="152"/>
    </row>
    <row r="125" spans="2:10">
      <c r="B125" s="28">
        <v>41416</v>
      </c>
      <c r="C125" s="135" t="s">
        <v>15</v>
      </c>
      <c r="D125" s="135" t="s">
        <v>232</v>
      </c>
      <c r="E125" s="344">
        <v>11.61</v>
      </c>
      <c r="F125" s="353">
        <v>150</v>
      </c>
      <c r="G125" s="27">
        <f>F125*E125</f>
        <v>1741.5</v>
      </c>
      <c r="H125" s="36">
        <v>9.99</v>
      </c>
      <c r="I125" s="146" t="s">
        <v>133</v>
      </c>
      <c r="J125" s="152"/>
    </row>
    <row r="126" spans="2:10">
      <c r="B126" s="28"/>
      <c r="C126" s="135"/>
      <c r="D126" s="135"/>
      <c r="E126" s="344"/>
      <c r="F126" s="353"/>
      <c r="G126" s="27"/>
      <c r="H126" s="36"/>
      <c r="I126" s="146"/>
      <c r="J126" s="152"/>
    </row>
    <row r="127" spans="2:10">
      <c r="B127" s="28">
        <v>41416</v>
      </c>
      <c r="C127" s="135" t="s">
        <v>15</v>
      </c>
      <c r="D127" s="135" t="s">
        <v>232</v>
      </c>
      <c r="E127" s="344">
        <v>11.46</v>
      </c>
      <c r="F127" s="353">
        <v>50</v>
      </c>
      <c r="G127" s="27">
        <f>F127*E127</f>
        <v>573</v>
      </c>
      <c r="H127" s="36">
        <v>9.99</v>
      </c>
      <c r="I127" s="146" t="s">
        <v>133</v>
      </c>
      <c r="J127" s="152"/>
    </row>
    <row r="128" spans="2:10">
      <c r="B128" s="28"/>
      <c r="C128" s="135"/>
      <c r="D128" s="135"/>
      <c r="E128" s="344"/>
      <c r="F128" s="353"/>
      <c r="G128" s="27"/>
      <c r="H128" s="36"/>
      <c r="I128" s="146"/>
      <c r="J128" s="152"/>
    </row>
    <row r="129" spans="2:10">
      <c r="B129" s="28">
        <v>41416</v>
      </c>
      <c r="C129" s="135" t="s">
        <v>15</v>
      </c>
      <c r="D129" s="135" t="s">
        <v>198</v>
      </c>
      <c r="E129" s="344">
        <v>17.73</v>
      </c>
      <c r="F129" s="353">
        <v>50</v>
      </c>
      <c r="G129" s="27">
        <f>F129*E129</f>
        <v>886.5</v>
      </c>
      <c r="H129" s="36">
        <v>9.99</v>
      </c>
      <c r="I129" s="146" t="s">
        <v>133</v>
      </c>
      <c r="J129" s="152"/>
    </row>
    <row r="130" spans="2:10">
      <c r="B130" s="28"/>
      <c r="C130" s="135"/>
      <c r="D130" s="135"/>
      <c r="E130" s="344"/>
      <c r="F130" s="368"/>
      <c r="G130" s="27"/>
      <c r="H130" s="36"/>
      <c r="I130" s="146"/>
      <c r="J130" s="152"/>
    </row>
    <row r="131" spans="2:10">
      <c r="B131" s="28">
        <v>41424</v>
      </c>
      <c r="C131" s="135" t="s">
        <v>93</v>
      </c>
      <c r="D131" s="135" t="s">
        <v>83</v>
      </c>
      <c r="E131" s="344">
        <v>41.2</v>
      </c>
      <c r="F131" s="368">
        <v>25</v>
      </c>
      <c r="G131" s="27">
        <f>F131*E131</f>
        <v>1030</v>
      </c>
      <c r="H131" s="36">
        <v>9.99</v>
      </c>
      <c r="I131" s="146" t="s">
        <v>133</v>
      </c>
      <c r="J131" s="152"/>
    </row>
    <row r="132" spans="2:10">
      <c r="B132" s="28"/>
      <c r="C132" s="135"/>
      <c r="D132" s="135"/>
      <c r="E132" s="344"/>
      <c r="F132" s="368"/>
      <c r="G132" s="27"/>
      <c r="H132" s="36"/>
      <c r="I132" s="146"/>
      <c r="J132" s="152"/>
    </row>
    <row r="133" spans="2:10">
      <c r="B133" s="28">
        <v>41424</v>
      </c>
      <c r="C133" s="135" t="s">
        <v>15</v>
      </c>
      <c r="D133" s="135" t="s">
        <v>233</v>
      </c>
      <c r="E133" s="344">
        <v>15.04</v>
      </c>
      <c r="F133" s="368">
        <v>135</v>
      </c>
      <c r="G133" s="27">
        <f>F133*E133</f>
        <v>2030.3999999999999</v>
      </c>
      <c r="H133" s="36">
        <v>9.99</v>
      </c>
      <c r="I133" s="146" t="s">
        <v>133</v>
      </c>
      <c r="J133" s="152"/>
    </row>
    <row r="134" spans="2:10">
      <c r="B134" s="28"/>
      <c r="C134" s="135"/>
      <c r="D134" s="135"/>
      <c r="E134" s="344"/>
      <c r="F134" s="371"/>
      <c r="G134" s="27"/>
      <c r="H134" s="36"/>
      <c r="I134" s="146"/>
      <c r="J134" s="152"/>
    </row>
    <row r="135" spans="2:10">
      <c r="B135" s="28">
        <v>41438</v>
      </c>
      <c r="C135" s="135" t="s">
        <v>93</v>
      </c>
      <c r="D135" s="135" t="s">
        <v>107</v>
      </c>
      <c r="E135" s="344">
        <v>45.66</v>
      </c>
      <c r="F135" s="371">
        <v>62</v>
      </c>
      <c r="G135" s="27">
        <f>F135*E135</f>
        <v>2830.9199999999996</v>
      </c>
      <c r="H135" s="36">
        <v>9.99</v>
      </c>
      <c r="I135" s="146" t="s">
        <v>133</v>
      </c>
      <c r="J135" s="152"/>
    </row>
    <row r="136" spans="2:10">
      <c r="B136" s="28"/>
      <c r="C136" s="135"/>
      <c r="D136" s="135"/>
      <c r="E136" s="344"/>
      <c r="F136" s="371"/>
      <c r="G136" s="27"/>
      <c r="H136" s="36"/>
      <c r="I136" s="146"/>
      <c r="J136" s="152"/>
    </row>
    <row r="137" spans="2:10">
      <c r="B137" s="28">
        <v>41438</v>
      </c>
      <c r="C137" s="135" t="s">
        <v>93</v>
      </c>
      <c r="D137" s="135" t="s">
        <v>46</v>
      </c>
      <c r="E137" s="344">
        <v>61.03</v>
      </c>
      <c r="F137" s="371">
        <v>45</v>
      </c>
      <c r="G137" s="27">
        <f>F137*E137</f>
        <v>2746.35</v>
      </c>
      <c r="H137" s="36">
        <v>9.99</v>
      </c>
      <c r="I137" s="146" t="s">
        <v>133</v>
      </c>
      <c r="J137" s="152"/>
    </row>
    <row r="138" spans="2:10">
      <c r="B138" s="28"/>
      <c r="C138" s="135"/>
      <c r="D138" s="135"/>
      <c r="E138" s="344"/>
      <c r="F138" s="371"/>
      <c r="G138" s="27"/>
      <c r="H138" s="36"/>
      <c r="I138" s="146"/>
      <c r="J138" s="152"/>
    </row>
    <row r="139" spans="2:10">
      <c r="B139" s="28">
        <v>41438</v>
      </c>
      <c r="C139" s="135" t="s">
        <v>93</v>
      </c>
      <c r="D139" s="135" t="s">
        <v>150</v>
      </c>
      <c r="E139" s="344">
        <v>8.86</v>
      </c>
      <c r="F139" s="371">
        <v>105</v>
      </c>
      <c r="G139" s="27">
        <f>F139*E139</f>
        <v>930.3</v>
      </c>
      <c r="H139" s="36">
        <v>9.99</v>
      </c>
      <c r="I139" s="146" t="s">
        <v>133</v>
      </c>
      <c r="J139" s="152"/>
    </row>
    <row r="140" spans="2:10">
      <c r="B140" s="28"/>
      <c r="C140" s="135"/>
      <c r="D140" s="135"/>
      <c r="E140" s="344"/>
      <c r="F140" s="371"/>
      <c r="G140" s="27"/>
      <c r="H140" s="36"/>
      <c r="I140" s="146"/>
      <c r="J140" s="152"/>
    </row>
    <row r="141" spans="2:10">
      <c r="B141" s="28">
        <v>41438</v>
      </c>
      <c r="C141" s="135" t="s">
        <v>15</v>
      </c>
      <c r="D141" s="135" t="s">
        <v>55</v>
      </c>
      <c r="E141" s="344">
        <v>24.72</v>
      </c>
      <c r="F141" s="371">
        <v>112</v>
      </c>
      <c r="G141" s="27">
        <f>F141*E141</f>
        <v>2768.64</v>
      </c>
      <c r="H141" s="36">
        <v>9.99</v>
      </c>
      <c r="I141" s="146" t="s">
        <v>133</v>
      </c>
      <c r="J141" s="152"/>
    </row>
    <row r="142" spans="2:10">
      <c r="B142" s="28"/>
      <c r="C142" s="135"/>
      <c r="D142" s="135"/>
      <c r="E142" s="344"/>
      <c r="F142" s="372"/>
      <c r="G142" s="27"/>
      <c r="H142" s="36"/>
      <c r="I142" s="146"/>
      <c r="J142" s="152"/>
    </row>
    <row r="143" spans="2:10">
      <c r="B143" s="28">
        <v>41449</v>
      </c>
      <c r="C143" s="135" t="s">
        <v>15</v>
      </c>
      <c r="D143" s="135" t="s">
        <v>232</v>
      </c>
      <c r="E143" s="344">
        <v>9.4700000000000006</v>
      </c>
      <c r="F143" s="372">
        <v>50</v>
      </c>
      <c r="G143" s="27">
        <f>F143*E143</f>
        <v>473.50000000000006</v>
      </c>
      <c r="H143" s="36">
        <v>9.99</v>
      </c>
      <c r="I143" s="146" t="s">
        <v>133</v>
      </c>
      <c r="J143" s="152"/>
    </row>
    <row r="144" spans="2:10">
      <c r="B144" s="28"/>
      <c r="C144" s="135"/>
      <c r="D144" s="135"/>
      <c r="E144" s="344"/>
      <c r="F144" s="376"/>
      <c r="G144" s="27"/>
      <c r="H144" s="36"/>
      <c r="I144" s="146"/>
      <c r="J144" s="152"/>
    </row>
    <row r="145" spans="2:10">
      <c r="B145" s="28">
        <v>41530</v>
      </c>
      <c r="C145" s="135" t="s">
        <v>15</v>
      </c>
      <c r="D145" s="135" t="s">
        <v>248</v>
      </c>
      <c r="E145" s="344">
        <v>115.4</v>
      </c>
      <c r="F145" s="376">
        <v>20</v>
      </c>
      <c r="G145" s="27">
        <f>F145*E145</f>
        <v>2308</v>
      </c>
      <c r="H145" s="36">
        <v>9.99</v>
      </c>
      <c r="I145" s="146">
        <v>0.86</v>
      </c>
      <c r="J145" s="152"/>
    </row>
    <row r="146" spans="2:10">
      <c r="B146" s="28"/>
      <c r="C146" s="135"/>
      <c r="D146" s="135"/>
      <c r="E146" s="344"/>
      <c r="F146" s="377"/>
      <c r="G146" s="27"/>
      <c r="H146" s="36"/>
      <c r="I146" s="146"/>
      <c r="J146" s="152"/>
    </row>
    <row r="147" spans="2:10">
      <c r="B147" s="28">
        <v>41544</v>
      </c>
      <c r="C147" s="135" t="s">
        <v>15</v>
      </c>
      <c r="D147" s="135" t="s">
        <v>255</v>
      </c>
      <c r="E147" s="344">
        <v>122.58</v>
      </c>
      <c r="F147" s="377">
        <v>18</v>
      </c>
      <c r="G147" s="27">
        <f>F147*E147</f>
        <v>2206.44</v>
      </c>
      <c r="H147" s="36">
        <v>9.99</v>
      </c>
      <c r="I147" s="146">
        <v>0.86</v>
      </c>
      <c r="J147" s="152"/>
    </row>
    <row r="148" spans="2:10">
      <c r="B148" s="28"/>
      <c r="C148" s="135"/>
      <c r="D148" s="135"/>
      <c r="E148" s="344"/>
      <c r="F148" s="377"/>
      <c r="G148" s="27"/>
      <c r="H148" s="36"/>
      <c r="I148" s="146"/>
      <c r="J148" s="152"/>
    </row>
    <row r="149" spans="2:10">
      <c r="B149" s="28">
        <v>41551</v>
      </c>
      <c r="C149" s="135" t="s">
        <v>93</v>
      </c>
      <c r="D149" s="135" t="s">
        <v>201</v>
      </c>
      <c r="E149" s="344">
        <v>83.94</v>
      </c>
      <c r="F149" s="377">
        <v>15.281000000000001</v>
      </c>
      <c r="G149" s="27">
        <f>F149*E149</f>
        <v>1282.68714</v>
      </c>
      <c r="H149" s="36">
        <v>9.99</v>
      </c>
      <c r="I149" s="146">
        <v>0.7</v>
      </c>
      <c r="J149" s="152"/>
    </row>
    <row r="150" spans="2:10">
      <c r="B150" s="28"/>
      <c r="C150" s="135"/>
      <c r="D150" s="135"/>
      <c r="E150" s="344"/>
      <c r="F150" s="377"/>
      <c r="G150" s="27"/>
      <c r="H150" s="36"/>
      <c r="I150" s="146"/>
      <c r="J150" s="152"/>
    </row>
    <row r="151" spans="2:10">
      <c r="B151" s="28">
        <v>41576</v>
      </c>
      <c r="C151" s="135" t="s">
        <v>93</v>
      </c>
      <c r="D151" s="135" t="s">
        <v>225</v>
      </c>
      <c r="E151" s="344">
        <v>9.58</v>
      </c>
      <c r="F151" s="377">
        <v>200</v>
      </c>
      <c r="G151" s="27">
        <f>F151*E151</f>
        <v>1916</v>
      </c>
      <c r="H151" s="36">
        <v>9.99</v>
      </c>
      <c r="I151" s="146" t="s">
        <v>133</v>
      </c>
      <c r="J151" s="152"/>
    </row>
    <row r="152" spans="2:10">
      <c r="B152" s="28"/>
      <c r="C152" s="135"/>
      <c r="D152" s="135"/>
      <c r="E152" s="344"/>
      <c r="F152" s="377"/>
      <c r="G152" s="27"/>
      <c r="H152" s="36"/>
      <c r="I152" s="146"/>
      <c r="J152" s="152"/>
    </row>
    <row r="153" spans="2:10">
      <c r="B153" s="28">
        <v>41586</v>
      </c>
      <c r="C153" s="135" t="s">
        <v>15</v>
      </c>
      <c r="D153" s="135" t="s">
        <v>269</v>
      </c>
      <c r="E153" s="344">
        <v>34.9</v>
      </c>
      <c r="F153" s="377">
        <v>100</v>
      </c>
      <c r="G153" s="27">
        <f>F153*E153</f>
        <v>3490</v>
      </c>
      <c r="H153" s="36">
        <v>9.99</v>
      </c>
      <c r="I153" s="146">
        <v>0.72</v>
      </c>
      <c r="J153" s="152" t="s">
        <v>291</v>
      </c>
    </row>
    <row r="154" spans="2:10">
      <c r="B154" s="28"/>
      <c r="C154" s="135"/>
      <c r="D154" s="135"/>
      <c r="E154" s="344"/>
      <c r="F154" s="377"/>
      <c r="G154" s="27"/>
      <c r="H154" s="36"/>
      <c r="I154" s="146"/>
      <c r="J154" s="152"/>
    </row>
    <row r="155" spans="2:10">
      <c r="B155" s="28">
        <v>41614</v>
      </c>
      <c r="C155" s="135" t="s">
        <v>93</v>
      </c>
      <c r="D155" s="135" t="s">
        <v>269</v>
      </c>
      <c r="E155" s="344">
        <v>65.849999999999994</v>
      </c>
      <c r="F155" s="377">
        <v>100</v>
      </c>
      <c r="G155" s="27">
        <f>F155*E155</f>
        <v>6584.9999999999991</v>
      </c>
      <c r="H155" s="36">
        <v>9.99</v>
      </c>
      <c r="I155" s="146">
        <v>0.88</v>
      </c>
      <c r="J155" s="152" t="s">
        <v>291</v>
      </c>
    </row>
    <row r="156" spans="2:10">
      <c r="B156" s="28"/>
      <c r="C156" s="135"/>
      <c r="D156" s="135"/>
      <c r="E156" s="344"/>
      <c r="F156" s="377"/>
      <c r="G156" s="27"/>
      <c r="H156" s="36"/>
      <c r="I156" s="146"/>
      <c r="J156" s="152"/>
    </row>
    <row r="157" spans="2:10">
      <c r="B157" s="28">
        <v>41698</v>
      </c>
      <c r="C157" s="135" t="s">
        <v>15</v>
      </c>
      <c r="D157" s="135" t="s">
        <v>290</v>
      </c>
      <c r="E157" s="344">
        <v>86.37</v>
      </c>
      <c r="F157" s="377">
        <v>42</v>
      </c>
      <c r="G157" s="27">
        <f>F157*E157</f>
        <v>3627.54</v>
      </c>
      <c r="H157" s="36">
        <v>9.99</v>
      </c>
      <c r="I157" s="146">
        <v>0.89</v>
      </c>
      <c r="J157" s="152"/>
    </row>
    <row r="158" spans="2:10">
      <c r="B158" s="28"/>
      <c r="C158" s="135"/>
      <c r="D158" s="135"/>
      <c r="F158" s="25"/>
      <c r="G158" s="138"/>
      <c r="H158" s="36"/>
      <c r="I158" s="146"/>
      <c r="J158" s="152"/>
    </row>
    <row r="159" spans="2:10" ht="13.5" thickBot="1">
      <c r="B159" s="28"/>
      <c r="C159" s="184"/>
      <c r="D159" s="517" t="s">
        <v>94</v>
      </c>
      <c r="E159" s="517"/>
      <c r="F159" s="517"/>
      <c r="G159" s="517"/>
      <c r="H159" s="517"/>
      <c r="I159" s="517"/>
      <c r="J159" s="22"/>
    </row>
    <row r="160" spans="2:10" ht="15.75" customHeight="1">
      <c r="B160" s="175" t="s">
        <v>159</v>
      </c>
      <c r="C160" s="176"/>
      <c r="D160" s="23" t="s">
        <v>15</v>
      </c>
      <c r="E160" s="21" t="s">
        <v>99</v>
      </c>
      <c r="F160" s="21"/>
      <c r="G160" s="21"/>
      <c r="H160" s="21"/>
      <c r="I160" s="21"/>
      <c r="J160" s="22"/>
    </row>
    <row r="161" spans="2:10" ht="12.75" customHeight="1">
      <c r="B161" s="174"/>
      <c r="C161" s="177"/>
      <c r="D161" s="23" t="s">
        <v>16</v>
      </c>
      <c r="E161" s="21" t="s">
        <v>18</v>
      </c>
      <c r="F161" s="21"/>
      <c r="G161" s="21"/>
      <c r="H161" s="21"/>
      <c r="I161" s="21"/>
      <c r="J161" s="22"/>
    </row>
    <row r="162" spans="2:10" ht="12.75" customHeight="1" thickBot="1">
      <c r="B162" s="178"/>
      <c r="C162" s="185"/>
      <c r="D162" s="23" t="s">
        <v>17</v>
      </c>
      <c r="E162" s="136" t="s">
        <v>90</v>
      </c>
      <c r="F162" s="21"/>
      <c r="G162" s="21"/>
      <c r="H162" s="21"/>
      <c r="I162" s="21"/>
      <c r="J162" s="22"/>
    </row>
    <row r="163" spans="2:10">
      <c r="B163" s="20"/>
      <c r="C163" s="21"/>
      <c r="D163" s="23" t="s">
        <v>93</v>
      </c>
      <c r="E163" s="21" t="s">
        <v>98</v>
      </c>
      <c r="F163" s="21"/>
      <c r="G163" s="21"/>
      <c r="H163" s="21"/>
      <c r="I163" s="21"/>
      <c r="J163" s="22"/>
    </row>
    <row r="164" spans="2:10" ht="13.5" thickBot="1">
      <c r="B164" s="20"/>
      <c r="C164" s="34"/>
      <c r="D164" s="34"/>
      <c r="E164" s="34"/>
      <c r="F164" s="34"/>
      <c r="G164" s="34"/>
      <c r="H164" s="34"/>
      <c r="I164" s="34"/>
      <c r="J164" s="35"/>
    </row>
    <row r="165" spans="2:10" ht="13.5" thickTop="1">
      <c r="B165" s="186"/>
    </row>
  </sheetData>
  <mergeCells count="2">
    <mergeCell ref="B2:I2"/>
    <mergeCell ref="D159:I159"/>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3"/>
    <pageSetUpPr fitToPage="1"/>
  </sheetPr>
  <dimension ref="A1:AZ64"/>
  <sheetViews>
    <sheetView zoomScale="95" zoomScaleNormal="95" zoomScalePageLayoutView="95" workbookViewId="0">
      <pane xSplit="3" topLeftCell="D1" activePane="topRight" state="frozen"/>
      <selection pane="topRight" activeCell="J27" sqref="J27"/>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20" t="s">
        <v>41</v>
      </c>
      <c r="X3" s="521"/>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CLASS B </v>
      </c>
      <c r="D5" s="220"/>
      <c r="E5" s="222">
        <f>'Holdings Pull Sheet'!F16</f>
        <v>137.09</v>
      </c>
      <c r="F5" s="203">
        <v>77.89</v>
      </c>
      <c r="G5" s="200">
        <v>26</v>
      </c>
      <c r="H5" s="202">
        <f t="shared" ref="H5:H25" si="1">E5*G5</f>
        <v>3564.34</v>
      </c>
      <c r="I5" s="204">
        <f t="shared" ref="I5:I7" si="2">F5*ROUNDDOWN(G5,0)+9.95</f>
        <v>2035.0900000000001</v>
      </c>
      <c r="J5" s="202">
        <v>2248.2200317382799</v>
      </c>
      <c r="K5" s="202">
        <v>2287.2199999999998</v>
      </c>
      <c r="L5" s="230"/>
      <c r="M5" s="231">
        <f t="shared" ref="M5:M25" si="3">H5-I5</f>
        <v>1529.25</v>
      </c>
      <c r="N5" s="93">
        <f t="shared" ref="N5:N6" si="4">(H5/I5)-1</f>
        <v>0.75144096821270789</v>
      </c>
      <c r="O5" s="93">
        <f t="shared" ref="O5:O6" si="5">(H5/J5)-1</f>
        <v>0.58540532051221073</v>
      </c>
      <c r="P5" s="93">
        <f t="shared" ref="P5:P6" si="6">(H5/K5)-1</f>
        <v>0.55837217233147673</v>
      </c>
      <c r="Q5" s="236">
        <f>('Holdings Pull Sheet'!F16/'Holdings Pull Sheet'!G16)-1</f>
        <v>-2.03658710876089E-2</v>
      </c>
      <c r="R5" s="57"/>
      <c r="S5" s="131" t="s">
        <v>3</v>
      </c>
      <c r="T5" s="57"/>
      <c r="U5" s="98" t="e">
        <f t="shared" si="0"/>
        <v>#REF!</v>
      </c>
      <c r="V5" s="53"/>
      <c r="W5" s="102">
        <f>'Holdings Pull Sheet'!O16/1000000000</f>
        <v>319.364766003</v>
      </c>
      <c r="X5" s="134" t="str">
        <f>IF(W5&lt;2,"Small", IF(W5&lt;10, "Mid", IF(W5&gt;10, "Large")))</f>
        <v>Large</v>
      </c>
      <c r="Y5" s="53"/>
      <c r="Z5" s="102">
        <f>'Holdings Pull Sheet'!Q16</f>
        <v>15.19</v>
      </c>
      <c r="AA5" s="101">
        <f>'Holdings Pull Sheet'!P16</f>
        <v>9</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19.64</v>
      </c>
      <c r="F6" s="203">
        <v>17.23</v>
      </c>
      <c r="G6" s="200">
        <v>89.052000000000007</v>
      </c>
      <c r="H6" s="202">
        <f t="shared" si="1"/>
        <v>1748.9812800000002</v>
      </c>
      <c r="I6" s="204">
        <f t="shared" si="2"/>
        <v>1543.42</v>
      </c>
      <c r="J6" s="202">
        <v>1602.045459617618</v>
      </c>
      <c r="K6" s="202">
        <v>1610.9506800000001</v>
      </c>
      <c r="L6" s="232"/>
      <c r="M6" s="231">
        <f t="shared" si="3"/>
        <v>205.56128000000012</v>
      </c>
      <c r="N6" s="93">
        <f t="shared" si="4"/>
        <v>0.13318557489212268</v>
      </c>
      <c r="O6" s="93">
        <f t="shared" si="5"/>
        <v>9.1717634790122293E-2</v>
      </c>
      <c r="P6" s="93">
        <f t="shared" si="6"/>
        <v>8.5682697622996074E-2</v>
      </c>
      <c r="Q6" s="236">
        <f>('Holdings Pull Sheet'!F17/'Holdings Pull Sheet'!G17)-1</f>
        <v>-1.3561024610748373E-2</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S.A.B. DE C.V. </v>
      </c>
      <c r="D7" s="220"/>
      <c r="E7" s="222">
        <f>'Holdings Pull Sheet'!F18</f>
        <v>12.2</v>
      </c>
      <c r="F7" s="203">
        <v>83</v>
      </c>
      <c r="G7" s="200">
        <v>15</v>
      </c>
      <c r="H7" s="202">
        <f t="shared" si="1"/>
        <v>183</v>
      </c>
      <c r="I7" s="204">
        <f t="shared" si="2"/>
        <v>1254.95</v>
      </c>
      <c r="J7" s="202">
        <v>1245</v>
      </c>
      <c r="K7" s="202">
        <v>1293.75</v>
      </c>
      <c r="L7" s="232"/>
      <c r="M7" s="231">
        <f t="shared" si="3"/>
        <v>-1071.95</v>
      </c>
      <c r="N7" s="93">
        <f t="shared" ref="N7:N25" si="8">(H7/I7)-1</f>
        <v>-0.8541774572692139</v>
      </c>
      <c r="O7" s="93">
        <f t="shared" ref="O7:O25" si="9">(H7/J7)-1</f>
        <v>-0.8530120481927711</v>
      </c>
      <c r="P7" s="93">
        <f t="shared" ref="P7:P25" si="10">(H7/K7)-1</f>
        <v>-0.85855072463768112</v>
      </c>
      <c r="Q7" s="236">
        <f>('Holdings Pull Sheet'!F18/'Holdings Pull Sheet'!G18)-1</f>
        <v>-2.6336791699920203E-2</v>
      </c>
      <c r="R7" s="57"/>
      <c r="S7" s="131" t="s">
        <v>20</v>
      </c>
      <c r="T7" s="57"/>
      <c r="U7" s="98" t="e">
        <f t="shared" si="0"/>
        <v>#REF!</v>
      </c>
      <c r="V7" s="53"/>
      <c r="W7" s="102">
        <f>'Holdings Pull Sheet'!O18/1000000000</f>
        <v>14.494176889</v>
      </c>
      <c r="X7" s="145" t="str">
        <f>IF(W7&lt;2,"Small", IF(W7&lt;10, "Mid", IF(W7&gt;10, "Large")))</f>
        <v>Large</v>
      </c>
      <c r="Y7" s="53"/>
      <c r="Z7" s="102">
        <f>'Holdings Pull Sheet'!Q18</f>
        <v>-25.33</v>
      </c>
      <c r="AA7" s="101">
        <f>'Holdings Pull Sheet'!P18</f>
        <v>-6.46</v>
      </c>
      <c r="AC7" s="262" t="e">
        <f t="shared" si="7"/>
        <v>#REF!</v>
      </c>
      <c r="AD7" s="55"/>
      <c r="AE7" s="55"/>
      <c r="AF7" s="56"/>
      <c r="AG7" s="168"/>
      <c r="AH7" s="43"/>
    </row>
    <row r="8" spans="1:34">
      <c r="A8" s="1"/>
      <c r="B8" s="96" t="s">
        <v>112</v>
      </c>
      <c r="C8" s="225" t="str">
        <f>'Holdings Pull Sheet'!C19</f>
        <v xml:space="preserve">CISCO SYSTEMS INC </v>
      </c>
      <c r="D8" s="220"/>
      <c r="E8" s="222">
        <f>'Holdings Pull Sheet'!F19</f>
        <v>24.19</v>
      </c>
      <c r="F8" s="203">
        <v>18.48</v>
      </c>
      <c r="G8" s="200">
        <v>67.037999999999997</v>
      </c>
      <c r="H8" s="202">
        <f t="shared" si="1"/>
        <v>1621.64922</v>
      </c>
      <c r="I8" s="204">
        <f t="shared" ref="I8:I20" si="11">F8*ROUNDDOWN(G8,0)+9.95</f>
        <v>1248.1100000000001</v>
      </c>
      <c r="J8" s="202">
        <v>1311.6533503665908</v>
      </c>
      <c r="K8" s="202">
        <v>1274.39238</v>
      </c>
      <c r="L8" s="232"/>
      <c r="M8" s="231">
        <f t="shared" si="3"/>
        <v>373.53921999999989</v>
      </c>
      <c r="N8" s="93">
        <f t="shared" si="8"/>
        <v>0.29928389324658866</v>
      </c>
      <c r="O8" s="93">
        <f t="shared" si="9"/>
        <v>0.23633978409521794</v>
      </c>
      <c r="P8" s="93">
        <f t="shared" si="10"/>
        <v>0.27248816412414523</v>
      </c>
      <c r="Q8" s="236">
        <f>('Holdings Pull Sheet'!F19/'Holdings Pull Sheet'!G19)-1</f>
        <v>-1.905920519059201E-2</v>
      </c>
      <c r="R8" s="58"/>
      <c r="S8" s="131" t="s">
        <v>97</v>
      </c>
      <c r="T8" s="58"/>
      <c r="U8" s="98" t="e">
        <f t="shared" si="0"/>
        <v>#REF!</v>
      </c>
      <c r="V8" s="53"/>
      <c r="W8" s="102">
        <f>'Holdings Pull Sheet'!O19/1000000000</f>
        <v>123.349724658</v>
      </c>
      <c r="X8" s="145" t="str">
        <f t="shared" ref="X8:X15" si="12">IF(W8&lt;2,"Small", IF(W8&lt;10, "Mid", IF(W8&gt;10, "Large")))</f>
        <v>Large</v>
      </c>
      <c r="Y8" s="53"/>
      <c r="Z8" s="102">
        <f>'Holdings Pull Sheet'!Q19</f>
        <v>16.27</v>
      </c>
      <c r="AA8" s="101">
        <f>'Holdings Pull Sheet'!P19</f>
        <v>1.49</v>
      </c>
      <c r="AC8" s="262" t="e">
        <f t="shared" si="7"/>
        <v>#REF!</v>
      </c>
      <c r="AD8" s="55"/>
      <c r="AE8" s="55"/>
      <c r="AF8" s="56"/>
      <c r="AG8" s="168"/>
      <c r="AH8" s="43"/>
    </row>
    <row r="9" spans="1:34">
      <c r="A9" s="1"/>
      <c r="B9" s="96" t="s">
        <v>107</v>
      </c>
      <c r="C9" s="225" t="str">
        <f>'Holdings Pull Sheet'!C20</f>
        <v xml:space="preserve">DELTA AIR LINES Inc </v>
      </c>
      <c r="D9" s="220"/>
      <c r="E9" s="222">
        <f>'Holdings Pull Sheet'!F20</f>
        <v>33.71</v>
      </c>
      <c r="F9" s="203">
        <v>12.47</v>
      </c>
      <c r="G9" s="200">
        <v>65.665000000000006</v>
      </c>
      <c r="H9" s="202">
        <f t="shared" si="1"/>
        <v>2213.5671500000003</v>
      </c>
      <c r="I9" s="204">
        <f t="shared" si="11"/>
        <v>820.50000000000011</v>
      </c>
      <c r="J9" s="202">
        <v>647.68745750808728</v>
      </c>
      <c r="K9" s="202">
        <v>757.11745000000008</v>
      </c>
      <c r="L9" s="207"/>
      <c r="M9" s="231">
        <f t="shared" si="3"/>
        <v>1393.0671500000003</v>
      </c>
      <c r="N9" s="93">
        <f t="shared" si="8"/>
        <v>1.6978271176112125</v>
      </c>
      <c r="O9" s="93">
        <f t="shared" si="9"/>
        <v>2.4176470832343715</v>
      </c>
      <c r="P9" s="93">
        <f t="shared" si="10"/>
        <v>1.9236773633998268</v>
      </c>
      <c r="Q9" s="236">
        <f>('Holdings Pull Sheet'!F21/'Holdings Pull Sheet'!G21)-1</f>
        <v>-2.4036762106751541E-2</v>
      </c>
      <c r="R9" s="58"/>
      <c r="S9" s="131" t="s">
        <v>95</v>
      </c>
      <c r="T9" s="58"/>
      <c r="U9" s="98" t="e">
        <f t="shared" si="0"/>
        <v>#REF!</v>
      </c>
      <c r="V9" s="53"/>
      <c r="W9" s="102">
        <f>'Holdings Pull Sheet'!O21/1000000000</f>
        <v>4.03677712</v>
      </c>
      <c r="X9" s="145" t="str">
        <f t="shared" si="12"/>
        <v>Mid</v>
      </c>
      <c r="Y9" s="53"/>
      <c r="Z9" s="102">
        <f>'Holdings Pull Sheet'!Q21</f>
        <v>14.87</v>
      </c>
      <c r="AA9" s="101">
        <f>'Holdings Pull Sheet'!P21</f>
        <v>1.86</v>
      </c>
      <c r="AC9" s="262" t="e">
        <f t="shared" si="7"/>
        <v>#REF!</v>
      </c>
      <c r="AD9" s="55"/>
      <c r="AE9" s="55"/>
      <c r="AF9" s="56"/>
      <c r="AG9" s="168"/>
      <c r="AH9" s="43"/>
    </row>
    <row r="10" spans="1:34">
      <c r="A10" s="1"/>
      <c r="B10" s="96" t="s">
        <v>54</v>
      </c>
      <c r="C10" s="225" t="str">
        <f>'Holdings Pull Sheet'!C21</f>
        <v xml:space="preserve">GENTEX CORP </v>
      </c>
      <c r="D10" s="220"/>
      <c r="E10" s="222">
        <f>'Holdings Pull Sheet'!F21</f>
        <v>27.61</v>
      </c>
      <c r="F10" s="203">
        <v>16.399999999999999</v>
      </c>
      <c r="G10" s="200">
        <v>91.933999999999997</v>
      </c>
      <c r="H10" s="202">
        <f t="shared" si="1"/>
        <v>2538.29774</v>
      </c>
      <c r="I10" s="204">
        <f t="shared" si="11"/>
        <v>1502.35</v>
      </c>
      <c r="J10" s="202">
        <v>1669.6919303893999</v>
      </c>
      <c r="K10" s="202">
        <v>1608.845</v>
      </c>
      <c r="L10" s="207"/>
      <c r="M10" s="231">
        <f t="shared" si="3"/>
        <v>1035.9477400000001</v>
      </c>
      <c r="N10" s="93">
        <f t="shared" si="8"/>
        <v>0.6895515292708092</v>
      </c>
      <c r="O10" s="93">
        <f t="shared" si="9"/>
        <v>0.52021920559203205</v>
      </c>
      <c r="P10" s="93">
        <f t="shared" si="10"/>
        <v>0.57771428571428562</v>
      </c>
      <c r="Q10" s="236">
        <f>('Holdings Pull Sheet'!F22/'Holdings Pull Sheet'!G22)-1</f>
        <v>-1.084068445105757E-2</v>
      </c>
      <c r="R10" s="58"/>
      <c r="S10" s="131" t="s">
        <v>95</v>
      </c>
      <c r="T10" s="58"/>
      <c r="U10" s="98" t="e">
        <f t="shared" si="0"/>
        <v>#REF!</v>
      </c>
      <c r="V10" s="53"/>
      <c r="W10" s="102">
        <f>'Holdings Pull Sheet'!O22/1000000000</f>
        <v>125.264919496</v>
      </c>
      <c r="X10" s="151" t="str">
        <f t="shared" si="12"/>
        <v>Large</v>
      </c>
      <c r="Y10" s="53"/>
      <c r="Z10" s="102">
        <f>'Holdings Pull Sheet'!Q22</f>
        <v>22.26</v>
      </c>
      <c r="AA10" s="101">
        <f>'Holdings Pull Sheet'!P22</f>
        <v>4.18</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93.07</v>
      </c>
      <c r="F11" s="203">
        <v>29.37</v>
      </c>
      <c r="G11" s="200">
        <v>60.268999999999998</v>
      </c>
      <c r="H11" s="202">
        <f t="shared" si="1"/>
        <v>5609.2358299999996</v>
      </c>
      <c r="I11" s="204">
        <f t="shared" si="11"/>
        <v>1772.15</v>
      </c>
      <c r="J11" s="202">
        <v>2834.4509964294448</v>
      </c>
      <c r="K11" s="202">
        <v>2710.29693</v>
      </c>
      <c r="L11" s="207"/>
      <c r="M11" s="231">
        <f t="shared" si="3"/>
        <v>3837.0858299999995</v>
      </c>
      <c r="N11" s="93">
        <f t="shared" si="8"/>
        <v>2.1652150382303978</v>
      </c>
      <c r="O11" s="93">
        <f t="shared" si="9"/>
        <v>0.97894965799936173</v>
      </c>
      <c r="P11" s="93">
        <f t="shared" si="10"/>
        <v>1.0696019568601289</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23" t="s">
        <v>188</v>
      </c>
      <c r="Y29" s="524"/>
      <c r="Z29" s="525"/>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22"/>
      <c r="B30" s="522"/>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9"/>
      <c r="B32" s="519"/>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9"/>
      <c r="B33" s="519"/>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9"/>
      <c r="B34" s="519"/>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9"/>
      <c r="B35" s="519"/>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9"/>
      <c r="B36" s="519"/>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9"/>
      <c r="B37" s="519"/>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9"/>
      <c r="B38" s="519"/>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9"/>
      <c r="B39" s="519"/>
      <c r="C39" s="179"/>
      <c r="D39" s="210"/>
      <c r="E39" s="44"/>
      <c r="G39" s="209"/>
      <c r="H39" s="209"/>
    </row>
    <row r="40" spans="1:26">
      <c r="A40" s="519"/>
      <c r="B40" s="519"/>
      <c r="C40" s="179"/>
      <c r="D40" s="210"/>
      <c r="E40" s="44"/>
      <c r="G40" s="209"/>
      <c r="H40" s="209"/>
    </row>
    <row r="41" spans="1:26">
      <c r="A41" s="519"/>
      <c r="B41" s="519"/>
      <c r="C41" s="179"/>
      <c r="D41" s="210"/>
      <c r="E41" s="44"/>
      <c r="G41" s="209"/>
      <c r="H41" s="209"/>
    </row>
    <row r="42" spans="1:26">
      <c r="A42" s="519"/>
      <c r="B42" s="519"/>
      <c r="C42" s="179"/>
      <c r="D42" s="210"/>
      <c r="E42" s="44"/>
      <c r="G42" s="209"/>
      <c r="H42" s="209"/>
    </row>
    <row r="43" spans="1:26">
      <c r="A43" s="518"/>
      <c r="B43" s="518"/>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8" priority="17" operator="lessThan">
      <formula>1</formula>
    </cfRule>
  </conditionalFormatting>
  <conditionalFormatting sqref="X4:X25">
    <cfRule type="containsText" dxfId="7" priority="13" operator="containsText" text="Mid">
      <formula>NOT(ISERROR(SEARCH("Mid",X4)))</formula>
    </cfRule>
    <cfRule type="containsText" dxfId="6" priority="14" operator="containsText" text="Small">
      <formula>NOT(ISERROR(SEARCH("Small",X4)))</formula>
    </cfRule>
    <cfRule type="containsText" dxfId="5" priority="15" operator="containsText" text="Large">
      <formula>NOT(ISERROR(SEARCH("Large",X4)))</formula>
    </cfRule>
  </conditionalFormatting>
  <conditionalFormatting sqref="H31 M5:Q25">
    <cfRule type="cellIs" dxfId="4" priority="10" operator="lessThan">
      <formula>0</formula>
    </cfRule>
  </conditionalFormatting>
  <conditionalFormatting sqref="P27">
    <cfRule type="cellIs" dxfId="3" priority="4" operator="lessThan">
      <formula>0</formula>
    </cfRule>
  </conditionalFormatting>
  <conditionalFormatting sqref="Q27">
    <cfRule type="cellIs" dxfId="2" priority="3" operator="lessThan">
      <formula>0</formula>
    </cfRule>
  </conditionalFormatting>
  <conditionalFormatting sqref="O27">
    <cfRule type="cellIs" dxfId="1" priority="2" operator="lessThan">
      <formula>0</formula>
    </cfRule>
  </conditionalFormatting>
  <conditionalFormatting sqref="N27">
    <cfRule type="cellIs" dxfId="0"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262</v>
      </c>
      <c r="C4" s="442" t="s">
        <v>146</v>
      </c>
      <c r="D4" s="442" t="s">
        <v>147</v>
      </c>
      <c r="E4" s="442" t="s">
        <v>149</v>
      </c>
      <c r="P4" s="170"/>
      <c r="Q4" s="170"/>
      <c r="R4" s="170"/>
      <c r="S4" s="170"/>
    </row>
    <row r="5" spans="1:19" ht="15.75">
      <c r="A5" s="172" t="s">
        <v>95</v>
      </c>
      <c r="B5" s="439">
        <v>10.1</v>
      </c>
      <c r="C5" s="438">
        <v>5.05</v>
      </c>
      <c r="D5" s="438">
        <v>15.15</v>
      </c>
      <c r="E5" s="173">
        <v>0.10100000000000001</v>
      </c>
      <c r="P5" s="170"/>
      <c r="Q5" s="170"/>
      <c r="R5" s="170"/>
      <c r="S5" s="170"/>
    </row>
    <row r="6" spans="1:19" ht="15.75">
      <c r="A6" s="172" t="s">
        <v>96</v>
      </c>
      <c r="B6" s="439">
        <v>11.5</v>
      </c>
      <c r="C6" s="438">
        <v>5.75</v>
      </c>
      <c r="D6" s="438">
        <v>17.25</v>
      </c>
      <c r="E6" s="173">
        <v>0.115</v>
      </c>
      <c r="P6" s="170"/>
      <c r="Q6" s="170"/>
      <c r="R6" s="170"/>
      <c r="S6" s="170"/>
    </row>
    <row r="7" spans="1:19" ht="15.75">
      <c r="A7" s="172" t="s">
        <v>43</v>
      </c>
      <c r="B7" s="439">
        <v>10.7</v>
      </c>
      <c r="C7" s="438">
        <v>5.35</v>
      </c>
      <c r="D7" s="438">
        <v>16.05</v>
      </c>
      <c r="E7" s="173">
        <v>3.6999999999999998E-2</v>
      </c>
      <c r="P7" s="170"/>
      <c r="Q7" s="170"/>
      <c r="R7" s="170"/>
      <c r="S7" s="170"/>
    </row>
    <row r="8" spans="1:19" ht="15.75">
      <c r="A8" s="172" t="s">
        <v>3</v>
      </c>
      <c r="B8" s="439">
        <v>16.3</v>
      </c>
      <c r="C8" s="438">
        <v>8.15</v>
      </c>
      <c r="D8" s="438">
        <v>24.45</v>
      </c>
      <c r="E8" s="173">
        <v>0.16300000000000001</v>
      </c>
      <c r="P8" s="170"/>
      <c r="Q8" s="170"/>
      <c r="R8" s="170"/>
      <c r="S8" s="170"/>
    </row>
    <row r="9" spans="1:19" ht="15.75">
      <c r="A9" s="172" t="s">
        <v>135</v>
      </c>
      <c r="B9" s="439">
        <v>12.1</v>
      </c>
      <c r="C9" s="438">
        <v>6.05</v>
      </c>
      <c r="D9" s="438">
        <v>18.149999999999999</v>
      </c>
      <c r="E9" s="173">
        <v>0.121</v>
      </c>
      <c r="P9" s="170"/>
      <c r="Q9" s="170"/>
      <c r="R9" s="170"/>
      <c r="S9" s="170"/>
    </row>
    <row r="10" spans="1:19" ht="15.75">
      <c r="A10" s="172" t="s">
        <v>20</v>
      </c>
      <c r="B10" s="439">
        <v>10.3</v>
      </c>
      <c r="C10" s="438">
        <v>5.15</v>
      </c>
      <c r="D10" s="438">
        <v>15.45</v>
      </c>
      <c r="E10" s="173">
        <v>0.10299999999999999</v>
      </c>
      <c r="P10" s="170"/>
      <c r="Q10" s="170"/>
      <c r="R10" s="170"/>
      <c r="S10" s="170"/>
    </row>
    <row r="11" spans="1:19" ht="15.75">
      <c r="A11" s="172" t="s">
        <v>97</v>
      </c>
      <c r="B11" s="439">
        <v>18.8</v>
      </c>
      <c r="C11" s="438">
        <v>9.4</v>
      </c>
      <c r="D11" s="438">
        <v>28.2</v>
      </c>
      <c r="E11" s="173">
        <v>0.188</v>
      </c>
      <c r="P11" s="170"/>
      <c r="Q11" s="170"/>
      <c r="R11" s="170"/>
      <c r="S11" s="170"/>
    </row>
    <row r="12" spans="1:19" ht="15.75">
      <c r="A12" s="172" t="s">
        <v>19</v>
      </c>
      <c r="B12" s="439">
        <v>3.4</v>
      </c>
      <c r="C12" s="438">
        <v>1.7</v>
      </c>
      <c r="D12" s="438">
        <v>5.0999999999999996</v>
      </c>
      <c r="E12" s="173">
        <v>3.4000000000000002E-2</v>
      </c>
      <c r="P12" s="170"/>
      <c r="Q12" s="170"/>
      <c r="R12" s="170"/>
      <c r="S12" s="170"/>
    </row>
    <row r="13" spans="1:19" ht="15.75">
      <c r="A13" s="172" t="s">
        <v>44</v>
      </c>
      <c r="B13" s="439">
        <v>3</v>
      </c>
      <c r="C13" s="438">
        <v>1.5</v>
      </c>
      <c r="D13" s="438">
        <v>4.5</v>
      </c>
      <c r="E13" s="173">
        <v>0.03</v>
      </c>
      <c r="P13" s="170"/>
      <c r="Q13" s="170"/>
      <c r="R13" s="170"/>
      <c r="S13" s="170"/>
    </row>
    <row r="14" spans="1:19" ht="15.75">
      <c r="A14" s="172" t="s">
        <v>136</v>
      </c>
      <c r="B14" s="439">
        <v>3.7</v>
      </c>
      <c r="C14" s="438">
        <v>1.85</v>
      </c>
      <c r="D14" s="438">
        <v>5.55</v>
      </c>
      <c r="E14" s="173">
        <v>3.6999999999999998E-2</v>
      </c>
      <c r="P14" s="170"/>
      <c r="Q14" s="170"/>
      <c r="R14" s="170"/>
      <c r="S14" s="170"/>
    </row>
    <row r="15" spans="1:19" ht="15.75">
      <c r="B15" s="440">
        <f>SUM(B5:B14)</f>
        <v>99.9</v>
      </c>
      <c r="C15" s="440">
        <f>SUM(C5:C14)</f>
        <v>49.95</v>
      </c>
      <c r="D15" s="440">
        <f>SUM(D5:D14)</f>
        <v>149.85000000000002</v>
      </c>
      <c r="E15" s="441">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5</vt:i4>
      </vt:variant>
    </vt:vector>
  </HeadingPairs>
  <TitlesOfParts>
    <vt:vector size="21"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Summary!Print_Area</vt:lpstr>
      <vt:lpstr>'V.P. of PM'!Print_Area</vt:lpstr>
    </vt:vector>
  </TitlesOfParts>
  <Manager>Boomer K. Hoppough</Manager>
  <Company>Edward Jones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Win7LabUser</cp:lastModifiedBy>
  <cp:lastPrinted>2014-01-11T19:36:52Z</cp:lastPrinted>
  <dcterms:created xsi:type="dcterms:W3CDTF">2003-05-08T16:17:53Z</dcterms:created>
  <dcterms:modified xsi:type="dcterms:W3CDTF">2014-10-09T23:55:29Z</dcterms:modified>
</cp:coreProperties>
</file>