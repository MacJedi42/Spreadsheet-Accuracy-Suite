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4640" yWindow="1020" windowWidth="33960" windowHeight="118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" i="1" l="1"/>
  <c r="P7" i="1"/>
  <c r="M7" i="1"/>
  <c r="J7" i="1"/>
  <c r="G7" i="1"/>
  <c r="D7" i="1"/>
  <c r="V6" i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<sst xmlns="http://schemas.openxmlformats.org/spreadsheetml/2006/main" count="73" uniqueCount="20">
  <si>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</si>
  <si>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</si>
  <si>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</si>
  <si>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</si>
  <si>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</si>
  <si>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</si>
  <si>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</si>
  <si>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</si>
  <si>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</si>
  <si>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</si>
  <si>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</si>
  <si>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</si>
  <si>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</si>
  <si>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Special Education (TExES EC-12)</t>
  </si>
  <si>
    <t>Special Education Supplemental (TExES)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</si>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</sst>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7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21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3" xfId="0" applyNumberFormat="1" applyBorder="1" applyAlignment="1">
      <alignment horizontal="right"/>
    </xf>
    <xf numFmtId="0" fontId="5" fillId="0" borderId="21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2" xfId="0" applyFont="1" applyBorder="1" applyAlignment="1">
      <alignment horizontal="right" wrapText="1"/>
    </xf>
    <xf numFmtId="0" fontId="0" fillId="0" borderId="22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0" fontId="5" fillId="0" borderId="23" xfId="0" applyFont="1" applyBorder="1" applyAlignment="1">
      <alignment horizontal="right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0" fontId="5" fillId="0" borderId="24" xfId="0" applyFont="1" applyBorder="1" applyAlignment="1">
      <alignment horizontal="right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5.83203125" customWidth="1"/>
    <col min="3" max="4" width="7.1640625" customWidth="1"/>
    <col min="5" max="5" width="6.33203125" customWidth="1"/>
    <col min="6" max="6" width="7" customWidth="1"/>
    <col min="7" max="7" width="6.1640625" customWidth="1"/>
    <col min="8" max="8" width="5.6640625" customWidth="1"/>
    <col min="9" max="9" width="7.33203125" customWidth="1"/>
    <col min="10" max="10" width="6.1640625" customWidth="1"/>
    <col min="11" max="11" width="5.83203125" customWidth="1"/>
    <col min="12" max="12" width="7.1640625" customWidth="1"/>
    <col min="13" max="13" width="7" customWidth="1"/>
    <col min="14" max="14" width="6" customWidth="1"/>
    <col min="15" max="15" width="7.33203125" customWidth="1"/>
    <col min="16" max="17" width="7" customWidth="1"/>
    <col min="18" max="18" width="7.1640625" customWidth="1"/>
    <col min="19" max="19" width="6.1640625" customWidth="1"/>
    <col min="20" max="20" width="6.83203125" customWidth="1"/>
    <col min="21" max="21" width="7.33203125" customWidth="1"/>
    <col min="22" max="23" width="6.83203125" customWidth="1"/>
    <col min="24" max="24" width="7.1640625" customWidth="1"/>
    <col min="25" max="25" width="6" customWidth="1"/>
    <col min="26" max="26" width="6.33203125" customWidth="1"/>
    <col min="27" max="27" width="7.33203125" customWidth="1"/>
    <col min="28" max="28" width="7.1640625" customWidth="1"/>
    <col min="29" max="29" width="6.1640625" customWidth="1"/>
    <col min="30" max="30" width="6.83203125" customWidth="1"/>
    <col min="31" max="31" width="6.33203125" customWidth="1"/>
    <col min="32" max="32" width="6.5" customWidth="1"/>
    <col min="33" max="33" width="7.5" customWidth="1"/>
    <col min="34" max="34" width="7" customWidth="1"/>
    <col min="35" max="35" width="6" customWidth="1"/>
    <col min="36" max="36" width="7.5" customWidth="1"/>
    <col min="37" max="37" width="7.1640625" customWidth="1"/>
  </cols>
  <sheetData>
    <row r="1" spans="1:37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4" t="s">
        <v>5</v>
      </c>
      <c r="AG3" s="65"/>
      <c r="AH3" s="71"/>
      <c r="AI3" s="74" t="s">
        <v>17</v>
      </c>
      <c r="AJ3" s="66"/>
      <c r="AK3" s="67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5" t="s">
        <v>7</v>
      </c>
      <c r="AG4" s="56"/>
      <c r="AH4" s="63"/>
      <c r="AI4" s="75" t="s">
        <v>7</v>
      </c>
      <c r="AJ4" s="57"/>
      <c r="AK4" s="68"/>
    </row>
    <row r="5" spans="1:37" ht="46" thickBot="1">
      <c r="A5" s="29" t="s">
        <v>16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8" t="s">
        <v>11</v>
      </c>
      <c r="AG5" s="59" t="s">
        <v>9</v>
      </c>
      <c r="AH5" s="72" t="s">
        <v>10</v>
      </c>
      <c r="AI5" s="76" t="s">
        <v>11</v>
      </c>
      <c r="AJ5" s="60" t="s">
        <v>9</v>
      </c>
      <c r="AK5" s="69" t="s">
        <v>10</v>
      </c>
    </row>
    <row r="6" spans="1:37">
      <c r="A6" s="37" t="s">
        <v>13</v>
      </c>
      <c r="B6" s="41">
        <v>7</v>
      </c>
      <c r="C6" s="42">
        <v>6</v>
      </c>
      <c r="D6" s="40">
        <f>(C6/B6)</f>
        <v>0.8571428571428571</v>
      </c>
      <c r="E6" s="41">
        <v>7</v>
      </c>
      <c r="F6" s="42">
        <v>6</v>
      </c>
      <c r="G6" s="40">
        <f t="shared" ref="G6:G7" si="0">(F6/E6)</f>
        <v>0.8571428571428571</v>
      </c>
      <c r="H6" s="41">
        <v>16</v>
      </c>
      <c r="I6" s="42">
        <v>13</v>
      </c>
      <c r="J6" s="40">
        <f t="shared" ref="J6:J7" si="1">I6/H6</f>
        <v>0.8125</v>
      </c>
      <c r="K6" s="41">
        <v>16</v>
      </c>
      <c r="L6" s="42">
        <v>13</v>
      </c>
      <c r="M6" s="43">
        <f t="shared" ref="M6:M7" si="2">L6/K6</f>
        <v>0.8125</v>
      </c>
      <c r="N6" s="41">
        <v>10</v>
      </c>
      <c r="O6" s="42">
        <v>10</v>
      </c>
      <c r="P6" s="40">
        <f t="shared" ref="P6:P7" si="3">O6/N6</f>
        <v>1</v>
      </c>
      <c r="Q6" s="41">
        <v>10</v>
      </c>
      <c r="R6" s="42">
        <v>10</v>
      </c>
      <c r="S6" s="40">
        <f t="shared" ref="S6:S7" si="4">R6/Q6</f>
        <v>1</v>
      </c>
      <c r="T6" s="44">
        <v>15</v>
      </c>
      <c r="U6" s="42">
        <v>13</v>
      </c>
      <c r="V6" s="43">
        <f t="shared" ref="V6" si="5">U6/T6</f>
        <v>0.8666666666666667</v>
      </c>
      <c r="W6" s="38">
        <v>18</v>
      </c>
      <c r="X6" s="39">
        <v>17</v>
      </c>
      <c r="Y6" s="43">
        <v>0.94399999999999995</v>
      </c>
      <c r="Z6" s="38">
        <v>20</v>
      </c>
      <c r="AA6" s="39">
        <v>18</v>
      </c>
      <c r="AB6" s="40">
        <v>0.9</v>
      </c>
      <c r="AC6" s="38">
        <v>20</v>
      </c>
      <c r="AD6" s="39">
        <v>18</v>
      </c>
      <c r="AE6" s="43">
        <v>0.9</v>
      </c>
      <c r="AF6" s="38">
        <v>4</v>
      </c>
      <c r="AG6" s="39">
        <v>3</v>
      </c>
      <c r="AH6" s="43">
        <v>0.75</v>
      </c>
      <c r="AI6" s="45">
        <v>14</v>
      </c>
      <c r="AJ6" s="62">
        <v>12</v>
      </c>
      <c r="AK6" s="53">
        <v>0.85699999999999998</v>
      </c>
    </row>
    <row r="7" spans="1:37">
      <c r="A7" s="37" t="s">
        <v>14</v>
      </c>
      <c r="B7" s="41">
        <v>3</v>
      </c>
      <c r="C7" s="42">
        <v>1</v>
      </c>
      <c r="D7" s="40">
        <f>(C7/B7)</f>
        <v>0.33333333333333331</v>
      </c>
      <c r="E7" s="41">
        <v>4</v>
      </c>
      <c r="F7" s="42">
        <v>2</v>
      </c>
      <c r="G7" s="40">
        <f t="shared" si="0"/>
        <v>0.5</v>
      </c>
      <c r="H7" s="41">
        <v>6</v>
      </c>
      <c r="I7" s="42">
        <v>5</v>
      </c>
      <c r="J7" s="40">
        <f t="shared" si="1"/>
        <v>0.83333333333333337</v>
      </c>
      <c r="K7" s="41">
        <v>6</v>
      </c>
      <c r="L7" s="42">
        <v>5</v>
      </c>
      <c r="M7" s="43">
        <f t="shared" si="2"/>
        <v>0.83333333333333337</v>
      </c>
      <c r="N7" s="41">
        <v>2</v>
      </c>
      <c r="O7" s="42">
        <v>2</v>
      </c>
      <c r="P7" s="40">
        <f t="shared" si="3"/>
        <v>1</v>
      </c>
      <c r="Q7" s="41">
        <v>2</v>
      </c>
      <c r="R7" s="42">
        <v>2</v>
      </c>
      <c r="S7" s="40">
        <f t="shared" si="4"/>
        <v>1</v>
      </c>
      <c r="T7" s="44" t="s">
        <v>12</v>
      </c>
      <c r="U7" s="42" t="s">
        <v>12</v>
      </c>
      <c r="V7" s="43" t="s">
        <v>12</v>
      </c>
      <c r="W7" s="41" t="s">
        <v>12</v>
      </c>
      <c r="X7" s="42" t="s">
        <v>12</v>
      </c>
      <c r="Y7" s="43" t="s">
        <v>12</v>
      </c>
      <c r="Z7" s="38">
        <v>1</v>
      </c>
      <c r="AA7" s="39">
        <v>0</v>
      </c>
      <c r="AB7" s="40">
        <v>0</v>
      </c>
      <c r="AC7" s="38">
        <v>1</v>
      </c>
      <c r="AD7" s="39">
        <v>0</v>
      </c>
      <c r="AE7" s="43">
        <v>0</v>
      </c>
      <c r="AF7" s="54" t="s">
        <v>12</v>
      </c>
      <c r="AG7" s="61" t="s">
        <v>12</v>
      </c>
      <c r="AH7" s="73" t="s">
        <v>12</v>
      </c>
      <c r="AI7" s="54" t="s">
        <v>12</v>
      </c>
      <c r="AJ7" s="61" t="s">
        <v>12</v>
      </c>
      <c r="AK7" s="70" t="s">
        <v>12</v>
      </c>
    </row>
    <row r="8" spans="1:37" ht="37">
      <c r="A8" s="49" t="s">
        <v>15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1"/>
      <c r="Z8" s="4"/>
      <c r="AA8" s="4"/>
      <c r="AB8" s="6"/>
      <c r="AC8" s="4"/>
      <c r="AD8" s="4"/>
      <c r="AE8" s="4"/>
      <c r="AF8" s="4"/>
      <c r="AG8" s="4"/>
      <c r="AH8" s="4"/>
    </row>
    <row r="9" spans="1:37" ht="30">
      <c r="A9" s="52" t="s">
        <v>18</v>
      </c>
      <c r="B9" s="46"/>
      <c r="C9" s="46"/>
      <c r="D9" s="46"/>
      <c r="E9" s="47"/>
      <c r="F9" s="47"/>
      <c r="G9" s="4"/>
      <c r="H9" s="48"/>
      <c r="I9" s="48"/>
      <c r="J9" s="4"/>
      <c r="K9" s="48"/>
      <c r="L9" s="48"/>
      <c r="M9" s="4"/>
      <c r="N9" s="48"/>
      <c r="O9" s="48"/>
      <c r="P9" s="4"/>
      <c r="Q9" s="48"/>
      <c r="R9" s="48"/>
      <c r="S9" s="4"/>
      <c r="T9" s="4"/>
      <c r="U9" s="4"/>
      <c r="V9" s="4"/>
      <c r="W9" s="4"/>
      <c r="X9" s="4"/>
      <c r="Y9" s="6"/>
      <c r="Z9" s="4"/>
      <c r="AA9" s="4"/>
      <c r="AB9" s="6"/>
      <c r="AC9" s="4"/>
      <c r="AD9" s="4"/>
      <c r="AE9" s="4"/>
      <c r="AF9" s="4"/>
      <c r="AG9" s="4"/>
      <c r="AH9" s="4"/>
    </row>
    <row r="16" spans="1:37">
      <c r="A16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2011-11-30T21:32:43Z</dcterms:modified>
</cp:coreProperties>
</file>