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hidePivotFieldList="1" defaultThemeVersion="124226"/>
  <bookViews>
    <workbookView xWindow="240" yWindow="135" windowWidth="15480" windowHeight="9660"/>
  </bookViews>
  <sheets>
    <sheet name="ACSSF" sheetId="4" r:id="rId1"/>
    <sheet name="CSSF" sheetId="1" r:id="rId2"/>
    <sheet name="Instructions" sheetId="5" r:id="rId3"/>
  </sheets>
  <definedNames>
    <definedName name="factype">CSSF!$A$4:$A$22</definedName>
    <definedName name="_xlnm.Print_Area" localSheetId="0">ACSSF!$A$1:$E$52</definedName>
    <definedName name="_xlnm.Print_Area" localSheetId="1">CSSF!$A$1:$C$22</definedName>
    <definedName name="_xlnm.Print_Area" localSheetId="2">Instructions!$A$1:$A$15</definedName>
  </definedNames>
  <calcPr calcId="145621"/>
</workbook>
</file>

<file path=xl/calcChain.xml><?xml version="1.0" encoding="utf-8"?>
<calcChain xmlns="http://schemas.openxmlformats.org/spreadsheetml/2006/main">
  <c r="D31" i="4" l="1"/>
  <c r="D52" i="4"/>
  <c r="B9" i="4"/>
  <c r="B10" i="4"/>
  <c r="B11" i="4"/>
  <c r="B12" i="4"/>
  <c r="B13" i="4"/>
  <c r="B14" i="4"/>
  <c r="B15" i="4"/>
  <c r="B16" i="4"/>
  <c r="B17" i="4"/>
  <c r="B18" i="4"/>
  <c r="B19" i="4"/>
  <c r="A39" i="4"/>
  <c r="A37" i="4"/>
  <c r="D39" i="4"/>
  <c r="A33" i="4"/>
  <c r="A31" i="4"/>
  <c r="D29" i="4"/>
  <c r="D41" i="4" l="1"/>
  <c r="A41" i="4"/>
  <c r="D44" i="4"/>
  <c r="D46" i="4" s="1"/>
</calcChain>
</file>

<file path=xl/comments1.xml><?xml version="1.0" encoding="utf-8"?>
<comments xmlns="http://schemas.openxmlformats.org/spreadsheetml/2006/main">
  <authors>
    <author>Paul Turcotte</author>
  </authors>
  <commentList>
    <comment ref="A37" authorId="0">
      <text>
        <r>
          <rPr>
            <sz val="8"/>
            <color indexed="81"/>
            <rFont val="Tahoma"/>
            <family val="2"/>
          </rPr>
          <t>Login: gary.johnstone@thecb.state.tx.us
Password: frp6130</t>
        </r>
      </text>
    </comment>
  </commentList>
</comments>
</file>

<file path=xl/sharedStrings.xml><?xml version="1.0" encoding="utf-8"?>
<sst xmlns="http://schemas.openxmlformats.org/spreadsheetml/2006/main" count="83" uniqueCount="63">
  <si>
    <t>Facility Type</t>
  </si>
  <si>
    <t>NC AVG + 1STD</t>
  </si>
  <si>
    <t>RR AVG + 1STD</t>
  </si>
  <si>
    <t>Athletic</t>
  </si>
  <si>
    <t>Auditorium/Theater</t>
  </si>
  <si>
    <t xml:space="preserve">Childcare                                         </t>
  </si>
  <si>
    <t xml:space="preserve">Classroom, General                                </t>
  </si>
  <si>
    <t>Classroom, Medical/Healthcare</t>
  </si>
  <si>
    <t>Food Service</t>
  </si>
  <si>
    <t>Healthcare Facility, Clinic</t>
  </si>
  <si>
    <t>Healthcare Facility, Hospital</t>
  </si>
  <si>
    <t xml:space="preserve">Housing, Apartments                               </t>
  </si>
  <si>
    <t xml:space="preserve">Housing, Dormitory                                </t>
  </si>
  <si>
    <t>Laboratory, General</t>
  </si>
  <si>
    <t>Laboratory, Medical/Healthcare</t>
  </si>
  <si>
    <t>Library/Study Facilities</t>
  </si>
  <si>
    <t>Medical/Healthcare, RHAC</t>
  </si>
  <si>
    <t>Office, General</t>
  </si>
  <si>
    <t>Office, High Rise</t>
  </si>
  <si>
    <t>Office, Technology</t>
  </si>
  <si>
    <t>Other</t>
  </si>
  <si>
    <t>Parking</t>
  </si>
  <si>
    <t>Physical Plant</t>
  </si>
  <si>
    <t>Student Center</t>
  </si>
  <si>
    <t>Cost per Square Foot</t>
  </si>
  <si>
    <t>Daily Treasury Yield Curve Rates</t>
  </si>
  <si>
    <t>Adjusted Cost per Square Foot</t>
  </si>
  <si>
    <t>Start Date (MM/1/YYYY)</t>
  </si>
  <si>
    <t>Finish Date (MM/1/YYYY)</t>
  </si>
  <si>
    <t>Overall Adjustment Factor</t>
  </si>
  <si>
    <t>Construction Type</t>
  </si>
  <si>
    <t>New Construction</t>
  </si>
  <si>
    <t>Repair and Renovation</t>
  </si>
  <si>
    <t>Calculated Project Midpoint</t>
  </si>
  <si>
    <t>Texas Higher Education Coordinating Board</t>
  </si>
  <si>
    <t>Standard Construction Cost - Adjusted for Future Inflation</t>
  </si>
  <si>
    <t xml:space="preserve">Month Reported </t>
  </si>
  <si>
    <t>ENR Construction Index Last Reported Month (MM/1/YYYY)</t>
  </si>
  <si>
    <t>Seven-Year</t>
  </si>
  <si>
    <t>One-Month</t>
  </si>
  <si>
    <t>Three-Month</t>
  </si>
  <si>
    <t>Six-Month</t>
  </si>
  <si>
    <t>One-Year</t>
  </si>
  <si>
    <t>Two-Year</t>
  </si>
  <si>
    <t>Three-Year</t>
  </si>
  <si>
    <t>Five-Year</t>
  </si>
  <si>
    <t>Ten-Year</t>
  </si>
  <si>
    <t>Twenty-Year</t>
  </si>
  <si>
    <t>Thirty-Year</t>
  </si>
  <si>
    <t>Yield Rate</t>
  </si>
  <si>
    <t>As of Date</t>
  </si>
  <si>
    <t>Update the blue shaded areas to calculate the Standard Construction Cost - Adjusted for Future Inflation per THECB rule 17.30 (2) (b)</t>
  </si>
  <si>
    <t>This calculator uses the Treasury Bill yield and ICPS application start and finish dates to project future construction costs.  The published construction costs standards are inflated to the latest ENR index and then projected using the latest Treasury Bill Yield Curve.</t>
  </si>
  <si>
    <t>Instructions for Use of Construction Cost Calculator</t>
  </si>
  <si>
    <t xml:space="preserve"> </t>
  </si>
  <si>
    <r>
      <t>Step 1</t>
    </r>
    <r>
      <rPr>
        <sz val="11"/>
        <color theme="1"/>
        <rFont val="Tahoma"/>
        <family val="2"/>
      </rPr>
      <t xml:space="preserve">- Click on the yellow highlighted "Daily Treasury" cell to find the 30 yr inflation projection. Copy data into the spreadsheet. </t>
    </r>
  </si>
  <si>
    <r>
      <t>Step 2</t>
    </r>
    <r>
      <rPr>
        <sz val="11"/>
        <color theme="1"/>
        <rFont val="Tahoma"/>
        <family val="2"/>
      </rPr>
      <t>- Choose the appropriate construction and facility type as well as start and end date from the project application.</t>
    </r>
  </si>
  <si>
    <r>
      <t>Step 3</t>
    </r>
    <r>
      <rPr>
        <sz val="11"/>
        <color theme="1"/>
        <rFont val="Tahoma"/>
        <family val="2"/>
      </rPr>
      <t>- Making sure that the dates in 8B and 35D match, click on the green highlighted ENR Index cell. Click on the Building Cost Index History. Username: “capital” Password: “planning”. Find the corresponding ENR Cost Index for the month you are using and put that number in cell 37D.</t>
    </r>
  </si>
  <si>
    <t>The cells highlighted yellow and green provide links to the sources used to determine inflation. The Daily Treasury yield will be used to predict future inflation, whereas the ENR Construction Index provides actual inflation history.  The dates in cells 8B and 35D need to be the same, so it may sometimes be necessary to use the previous month's data for the Treasury Yield rate if the ENR BCI is not yet available.</t>
  </si>
  <si>
    <r>
      <rPr>
        <b/>
        <sz val="11"/>
        <color theme="1"/>
        <rFont val="Tahoma"/>
        <family val="2"/>
      </rPr>
      <t>All other fields are auto-calculated.</t>
    </r>
    <r>
      <rPr>
        <sz val="11"/>
        <color theme="1"/>
        <rFont val="Tahoma"/>
        <family val="2"/>
      </rPr>
      <t xml:space="preserve"> For reference, the second tab in the workbook has the annual calculations for the cost per square foot (the average plus one standard deviation) by category (which are linked to the first worksheet).</t>
    </r>
  </si>
  <si>
    <t>Classroom, General</t>
  </si>
  <si>
    <t>Housing, Apartments</t>
  </si>
  <si>
    <t>Housing, Dormitory</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</si>
</sst>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_(* #,##0.0000_);_(* \(#,##0.0000\);_(* &quot;-&quot;??_);_(@_)"/>
    <numFmt numFmtId="165" formatCode="_(* #,##0.00000_);_(* \(#,##0.00000\);_(* &quot;-&quot;??_);_(@_)"/>
    <numFmt numFmtId="166" formatCode="_(&quot;$&quot;* #,##0_);_(&quot;$&quot;* \(#,##0\);_(&quot;$&quot;* &quot;-&quot;??_);_(@_)"/>
    <numFmt numFmtId="167" formatCode="[$-409]mmmm\-yyyy;@"/>
  </numFmts>
  <fonts count="18" x14ac:knownFonts="1">
    <font>
      <sz val="11"/>
      <color theme="1"/>
      <name val="Tahoma"/>
      <family val="2"/>
    </font>
    <font>
      <sz val="11"/>
      <color theme="1"/>
      <name val="Tahoma"/>
      <family val="2"/>
    </font>
    <font>
      <sz val="11"/>
      <color indexed="8"/>
      <name val="Tahoma"/>
      <family val="2"/>
    </font>
    <font>
      <sz val="10"/>
      <color indexed="8"/>
      <name val="Arial"/>
      <family val="2"/>
    </font>
    <font>
      <u/>
      <sz val="11"/>
      <color theme="10"/>
      <name val="Tahoma"/>
      <family val="2"/>
    </font>
    <font>
      <sz val="11"/>
      <color indexed="8"/>
      <name val="Tahoma"/>
      <family val="2"/>
    </font>
    <font>
      <b/>
      <sz val="11"/>
      <color theme="1"/>
      <name val="Tahoma"/>
      <family val="2"/>
    </font>
    <font>
      <sz val="8"/>
      <color indexed="81"/>
      <name val="Tahoma"/>
      <family val="2"/>
    </font>
    <font>
      <b/>
      <sz val="11"/>
      <color rgb="FF333333"/>
      <name val="Tahoma"/>
      <family val="2"/>
    </font>
    <font>
      <sz val="11"/>
      <color rgb="FF333333"/>
      <name val="Tahoma"/>
      <family val="2"/>
    </font>
    <font>
      <sz val="8"/>
      <color rgb="FF333333"/>
      <name val="Arial"/>
      <family val="2"/>
    </font>
    <font>
      <sz val="11"/>
      <color theme="1"/>
      <name val="Calibri"/>
      <family val="2"/>
    </font>
    <font>
      <b/>
      <u/>
      <sz val="11"/>
      <color theme="1"/>
      <name val="Tahoma"/>
      <family val="2"/>
    </font>
    <font>
      <sz val="11"/>
      <name val="Tahoma"/>
      <family val="2"/>
    </font>
    <font>
      <sz val="11"/>
      <color indexed="8"/>
      <name val="Calibri"/>
      <family val="2"/>
    </font>
    <font>
      <sz val="10"/>
      <color indexed="8"/>
      <name val="Arial"/>
      <family val="2"/>
    </font>
    <font>
      <b/>
      <sz val="10"/>
      <color theme="0"/>
      <name val="Tahoma"/>
      <family val="2"/>
    </font>
    <font>
      <sz val="10"/>
      <color theme="0"/>
      <name val="Tahoma"/>
      <family val="2"/>
    </font>
  </fonts>
  <fills count="7">
    <fill>
      <patternFill patternType="none"/>
    </fill>
    <fill>
      <patternFill patternType="gray125"/>
    </fill>
    <fill>
      <patternFill patternType="solid">
        <fgColor indexed="22"/>
        <bgColor indexed="0"/>
      </patternFill>
    </fill>
    <fill>
      <patternFill patternType="solid">
        <fgColor theme="4" tint="0.59999389629810485"/>
        <bgColor indexed="64"/>
      </patternFill>
    </fill>
    <fill>
      <patternFill patternType="solid">
        <fgColor rgb="FF92D050"/>
        <bgColor indexed="64"/>
      </patternFill>
    </fill>
    <fill>
      <patternFill patternType="solid">
        <fgColor rgb="FFFFFFFF"/>
        <bgColor indexed="64"/>
      </patternFill>
    </fill>
    <fill>
      <patternFill patternType="solid">
        <fgColor theme="3" tint="-0.249977111117893"/>
        <bgColor indexed="64"/>
      </patternFill>
    </fill>
  </fills>
  <borders count="22">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 fillId="0" borderId="0"/>
    <xf numFmtId="0" fontId="4" fillId="0" borderId="0" applyNumberFormat="0" applyFill="0" applyBorder="0" applyAlignment="0" applyProtection="0">
      <alignment vertical="top"/>
      <protection locked="0"/>
    </xf>
    <xf numFmtId="0" fontId="15" fillId="0" borderId="0"/>
  </cellStyleXfs>
  <cellXfs count="84">
    <xf numFmtId="0" fontId="0" fillId="0" borderId="0" xfId="0"/>
    <xf numFmtId="0" fontId="2" fillId="0" borderId="2" xfId="4" applyFont="1" applyFill="1" applyBorder="1" applyAlignment="1">
      <alignment wrapText="1"/>
    </xf>
    <xf numFmtId="0" fontId="2" fillId="2" borderId="1" xfId="4" applyFont="1" applyFill="1" applyBorder="1" applyAlignment="1">
      <alignment horizontal="center" wrapText="1"/>
    </xf>
    <xf numFmtId="0" fontId="0" fillId="0" borderId="0" xfId="0" applyAlignment="1">
      <alignment wrapText="1"/>
    </xf>
    <xf numFmtId="165" fontId="0" fillId="0" borderId="0" xfId="1" applyNumberFormat="1" applyFont="1"/>
    <xf numFmtId="10" fontId="0" fillId="0" borderId="0" xfId="3" applyNumberFormat="1" applyFont="1"/>
    <xf numFmtId="0" fontId="0" fillId="0" borderId="0" xfId="0" applyAlignment="1">
      <alignment horizontal="right" indent="1"/>
    </xf>
    <xf numFmtId="0" fontId="5" fillId="0" borderId="0" xfId="4" applyFont="1" applyFill="1" applyBorder="1" applyAlignment="1">
      <alignment wrapText="1"/>
    </xf>
    <xf numFmtId="14" fontId="0" fillId="0" borderId="4" xfId="0" applyNumberFormat="1" applyBorder="1" applyAlignment="1">
      <alignment horizontal="right" indent="1"/>
    </xf>
    <xf numFmtId="166" fontId="0" fillId="0" borderId="4" xfId="2" applyNumberFormat="1" applyFont="1" applyBorder="1" applyAlignment="1">
      <alignment horizontal="right" indent="1"/>
    </xf>
    <xf numFmtId="0" fontId="0" fillId="0" borderId="0" xfId="0" applyBorder="1" applyAlignment="1">
      <alignment horizontal="right" indent="1"/>
    </xf>
    <xf numFmtId="164" fontId="0" fillId="0" borderId="4" xfId="1" applyNumberFormat="1" applyFont="1" applyBorder="1" applyAlignment="1">
      <alignment horizontal="right" indent="1"/>
    </xf>
    <xf numFmtId="0" fontId="0" fillId="3" borderId="4" xfId="0" applyFill="1" applyBorder="1" applyAlignment="1">
      <alignment horizontal="center"/>
    </xf>
    <xf numFmtId="14" fontId="0" fillId="3" borderId="4" xfId="0" applyNumberFormat="1" applyFill="1" applyBorder="1" applyAlignment="1">
      <alignment horizontal="right" indent="1"/>
    </xf>
    <xf numFmtId="0" fontId="0" fillId="0" borderId="0" xfId="0" applyAlignment="1">
      <alignment horizontal="right"/>
    </xf>
    <xf numFmtId="166" fontId="0" fillId="0" borderId="0" xfId="2" applyNumberFormat="1" applyFont="1" applyBorder="1" applyAlignment="1">
      <alignment horizontal="right" indent="1"/>
    </xf>
    <xf numFmtId="166" fontId="6" fillId="0" borderId="4" xfId="2" applyNumberFormat="1" applyFont="1" applyBorder="1" applyAlignment="1">
      <alignment horizontal="right" indent="1"/>
    </xf>
    <xf numFmtId="0" fontId="2" fillId="2" borderId="0" xfId="4" applyFont="1" applyFill="1" applyBorder="1" applyAlignment="1">
      <alignment horizontal="center" wrapText="1"/>
    </xf>
    <xf numFmtId="0" fontId="2" fillId="0" borderId="0" xfId="4" applyFont="1" applyFill="1" applyBorder="1" applyAlignment="1">
      <alignment wrapText="1"/>
    </xf>
    <xf numFmtId="164" fontId="0" fillId="0" borderId="0" xfId="1" applyNumberFormat="1" applyFont="1" applyBorder="1" applyAlignment="1">
      <alignment horizontal="right" indent="1"/>
    </xf>
    <xf numFmtId="166" fontId="6" fillId="0" borderId="0" xfId="2" applyNumberFormat="1" applyFont="1" applyBorder="1" applyAlignment="1">
      <alignment horizontal="right" indent="1"/>
    </xf>
    <xf numFmtId="0" fontId="0" fillId="0" borderId="0" xfId="0" applyFill="1"/>
    <xf numFmtId="14" fontId="0" fillId="0" borderId="0" xfId="0" applyNumberFormat="1" applyFill="1" applyBorder="1" applyAlignment="1">
      <alignment horizontal="right" indent="1"/>
    </xf>
    <xf numFmtId="0" fontId="0" fillId="0" borderId="0" xfId="0" applyFill="1" applyAlignment="1">
      <alignment horizontal="right" wrapText="1" indent="1"/>
    </xf>
    <xf numFmtId="0" fontId="0" fillId="0" borderId="0" xfId="0" applyFill="1" applyAlignment="1">
      <alignment horizontal="right" indent="1"/>
    </xf>
    <xf numFmtId="166" fontId="0" fillId="0" borderId="0" xfId="2" applyNumberFormat="1" applyFont="1" applyFill="1" applyBorder="1" applyAlignment="1">
      <alignment horizontal="right" indent="1"/>
    </xf>
    <xf numFmtId="0" fontId="0" fillId="0" borderId="0" xfId="0" applyFill="1" applyBorder="1" applyAlignment="1">
      <alignment horizontal="right" indent="1"/>
    </xf>
    <xf numFmtId="0" fontId="2" fillId="0" borderId="0" xfId="4" applyFont="1" applyFill="1" applyBorder="1" applyAlignment="1">
      <alignment horizontal="center" wrapText="1"/>
    </xf>
    <xf numFmtId="0" fontId="0" fillId="0" borderId="0" xfId="0" applyFill="1" applyBorder="1" applyAlignment="1">
      <alignment horizontal="left" wrapText="1" indent="1"/>
    </xf>
    <xf numFmtId="0" fontId="1" fillId="0" borderId="10" xfId="0" applyFont="1" applyBorder="1" applyAlignment="1">
      <alignment horizontal="left" indent="1"/>
    </xf>
    <xf numFmtId="0" fontId="8" fillId="0" borderId="11" xfId="0" applyFont="1" applyFill="1" applyBorder="1" applyAlignment="1">
      <alignment horizontal="center" vertical="center" wrapText="1"/>
    </xf>
    <xf numFmtId="14" fontId="9" fillId="0" borderId="9" xfId="1" applyNumberFormat="1" applyFont="1" applyFill="1" applyBorder="1" applyAlignment="1">
      <alignment horizontal="right" vertical="center" wrapText="1" indent="1"/>
    </xf>
    <xf numFmtId="14" fontId="9" fillId="0" borderId="3" xfId="1" applyNumberFormat="1" applyFont="1" applyFill="1" applyBorder="1" applyAlignment="1">
      <alignment horizontal="right" vertical="center" wrapText="1" indent="1"/>
    </xf>
    <xf numFmtId="0" fontId="0" fillId="0" borderId="0" xfId="0" applyAlignment="1">
      <alignment vertical="top" wrapText="1"/>
    </xf>
    <xf numFmtId="22" fontId="0" fillId="0" borderId="0" xfId="0" applyNumberFormat="1" applyAlignment="1">
      <alignment vertical="top" wrapText="1"/>
    </xf>
    <xf numFmtId="0" fontId="0" fillId="0" borderId="4" xfId="0" applyFill="1" applyBorder="1" applyAlignment="1">
      <alignment horizontal="right" indent="1"/>
    </xf>
    <xf numFmtId="0" fontId="0" fillId="3" borderId="4" xfId="0" applyFill="1" applyBorder="1" applyAlignment="1">
      <alignment horizontal="left"/>
    </xf>
    <xf numFmtId="0" fontId="1" fillId="0" borderId="0" xfId="0" applyFont="1" applyFill="1"/>
    <xf numFmtId="0" fontId="10" fillId="5" borderId="0" xfId="0" applyFont="1" applyFill="1" applyAlignment="1">
      <alignment wrapText="1"/>
    </xf>
    <xf numFmtId="0" fontId="11" fillId="0" borderId="0" xfId="0" applyFont="1"/>
    <xf numFmtId="14" fontId="8" fillId="3" borderId="7" xfId="1" applyNumberFormat="1" applyFont="1" applyFill="1" applyBorder="1" applyAlignment="1">
      <alignment horizontal="right" vertical="center" wrapText="1" indent="1"/>
    </xf>
    <xf numFmtId="0" fontId="6" fillId="0" borderId="17" xfId="0" applyFont="1" applyBorder="1" applyAlignment="1">
      <alignment horizontal="center"/>
    </xf>
    <xf numFmtId="0" fontId="6" fillId="0" borderId="0" xfId="0" applyFont="1" applyAlignment="1">
      <alignment wrapText="1"/>
    </xf>
    <xf numFmtId="0" fontId="0" fillId="0" borderId="0" xfId="0" applyFont="1" applyAlignment="1">
      <alignment wrapText="1"/>
    </xf>
    <xf numFmtId="0" fontId="0" fillId="0" borderId="0" xfId="0" applyAlignment="1">
      <alignment vertical="top" wrapText="1"/>
    </xf>
    <xf numFmtId="0" fontId="12" fillId="0" borderId="0" xfId="0" applyFont="1" applyAlignment="1">
      <alignment horizontal="center"/>
    </xf>
    <xf numFmtId="0" fontId="0" fillId="0" borderId="0" xfId="0" applyFont="1"/>
    <xf numFmtId="0" fontId="6" fillId="0" borderId="0" xfId="0" applyFont="1"/>
    <xf numFmtId="17" fontId="0" fillId="0" borderId="0" xfId="0" applyNumberFormat="1" applyAlignment="1">
      <alignment horizontal="right" wrapText="1" indent="1"/>
    </xf>
    <xf numFmtId="0" fontId="6" fillId="0" borderId="0" xfId="0" applyFont="1" applyAlignment="1">
      <alignment wrapText="1"/>
    </xf>
    <xf numFmtId="0" fontId="0" fillId="0" borderId="0" xfId="0" applyAlignment="1">
      <alignment wrapText="1"/>
    </xf>
    <xf numFmtId="14" fontId="10" fillId="5" borderId="0" xfId="0" applyNumberFormat="1" applyFont="1" applyFill="1" applyAlignment="1">
      <alignment wrapText="1"/>
    </xf>
    <xf numFmtId="0" fontId="0" fillId="0" borderId="0" xfId="0" applyFont="1" applyBorder="1"/>
    <xf numFmtId="0" fontId="9" fillId="5" borderId="3" xfId="0" applyFont="1" applyFill="1" applyBorder="1" applyAlignment="1">
      <alignment wrapText="1"/>
    </xf>
    <xf numFmtId="1" fontId="0" fillId="3" borderId="19" xfId="0" applyNumberFormat="1" applyFill="1" applyBorder="1" applyAlignment="1">
      <alignment horizontal="right" indent="1"/>
    </xf>
    <xf numFmtId="0" fontId="14" fillId="0" borderId="3" xfId="6" applyFont="1" applyFill="1" applyBorder="1" applyAlignment="1">
      <alignment wrapText="1"/>
    </xf>
    <xf numFmtId="3" fontId="14" fillId="0" borderId="3" xfId="6" applyNumberFormat="1" applyFont="1" applyFill="1" applyBorder="1" applyAlignment="1">
      <alignment horizontal="right" wrapText="1"/>
    </xf>
    <xf numFmtId="3" fontId="15" fillId="0" borderId="3" xfId="6" applyNumberFormat="1" applyBorder="1"/>
    <xf numFmtId="0" fontId="14" fillId="2" borderId="3" xfId="6" applyFont="1" applyFill="1" applyBorder="1" applyAlignment="1">
      <alignment horizontal="center"/>
    </xf>
    <xf numFmtId="0" fontId="9" fillId="5" borderId="0" xfId="0" applyFont="1" applyFill="1" applyAlignment="1">
      <alignment wrapText="1"/>
    </xf>
    <xf numFmtId="167" fontId="0" fillId="0" borderId="0" xfId="0" applyNumberFormat="1" applyBorder="1" applyAlignment="1">
      <alignment horizontal="left"/>
    </xf>
    <xf numFmtId="0" fontId="0" fillId="0" borderId="0" xfId="0" applyAlignment="1">
      <alignment vertical="top" wrapText="1"/>
    </xf>
    <xf numFmtId="0" fontId="13" fillId="4" borderId="10" xfId="5" applyFont="1" applyFill="1" applyBorder="1" applyAlignment="1" applyProtection="1">
      <alignment horizontal="right"/>
    </xf>
    <xf numFmtId="0" fontId="13" fillId="4" borderId="20" xfId="5" applyFont="1" applyFill="1" applyBorder="1" applyAlignment="1" applyProtection="1">
      <alignment horizontal="right"/>
    </xf>
    <xf numFmtId="0" fontId="13" fillId="4" borderId="21" xfId="5" applyFont="1" applyFill="1" applyBorder="1" applyAlignment="1" applyProtection="1">
      <alignment horizontal="right"/>
    </xf>
    <xf numFmtId="0" fontId="0" fillId="0" borderId="0" xfId="0" applyAlignment="1">
      <alignment horizontal="right" indent="1"/>
    </xf>
    <xf numFmtId="0" fontId="0" fillId="0" borderId="8" xfId="0" applyBorder="1" applyAlignment="1">
      <alignment horizontal="right" indent="1"/>
    </xf>
    <xf numFmtId="0" fontId="0" fillId="0" borderId="0" xfId="0" applyBorder="1" applyAlignment="1">
      <alignment horizontal="right" wrapText="1" indent="1"/>
    </xf>
    <xf numFmtId="0" fontId="0" fillId="0" borderId="8" xfId="0" applyBorder="1" applyAlignment="1">
      <alignment horizontal="right" wrapText="1" indent="1"/>
    </xf>
    <xf numFmtId="0" fontId="0" fillId="0" borderId="6" xfId="0" applyBorder="1" applyAlignment="1">
      <alignment horizontal="right" indent="1"/>
    </xf>
    <xf numFmtId="0" fontId="0" fillId="0" borderId="7" xfId="0" applyBorder="1" applyAlignment="1">
      <alignment horizontal="right" indent="1"/>
    </xf>
    <xf numFmtId="0" fontId="6" fillId="0" borderId="0" xfId="0" applyFont="1" applyAlignment="1">
      <alignment horizontal="center"/>
    </xf>
    <xf numFmtId="0" fontId="0" fillId="3" borderId="12" xfId="0" applyFill="1" applyBorder="1" applyAlignment="1">
      <alignment horizontal="left" wrapText="1" indent="1"/>
    </xf>
    <xf numFmtId="0" fontId="0" fillId="3" borderId="5" xfId="0" applyFill="1" applyBorder="1" applyAlignment="1">
      <alignment horizontal="left" wrapText="1" indent="1"/>
    </xf>
    <xf numFmtId="0" fontId="0" fillId="3" borderId="13" xfId="0" applyFill="1" applyBorder="1" applyAlignment="1">
      <alignment horizontal="left" wrapText="1" indent="1"/>
    </xf>
    <xf numFmtId="0" fontId="0" fillId="3" borderId="14" xfId="0" applyFill="1" applyBorder="1" applyAlignment="1">
      <alignment horizontal="left" wrapText="1" indent="1"/>
    </xf>
    <xf numFmtId="0" fontId="0" fillId="3" borderId="15" xfId="0" applyFill="1" applyBorder="1" applyAlignment="1">
      <alignment horizontal="left" wrapText="1" indent="1"/>
    </xf>
    <xf numFmtId="0" fontId="0" fillId="3" borderId="16" xfId="0" applyFill="1" applyBorder="1" applyAlignment="1">
      <alignment horizontal="left" wrapText="1" indent="1"/>
    </xf>
    <xf numFmtId="0" fontId="16" fillId="6" borderId="18" xfId="5" applyFont="1" applyFill="1" applyBorder="1" applyAlignment="1" applyProtection="1"/>
    <xf numFmtId="0" fontId="17" fillId="6" borderId="19" xfId="0" applyFont="1" applyFill="1" applyBorder="1" applyAlignment="1"/>
    <xf numFmtId="0" fontId="6" fillId="0" borderId="0" xfId="0" applyFont="1" applyAlignment="1">
      <alignment wrapText="1"/>
    </xf>
    <xf numFmtId="0" fontId="0" fillId="0" borderId="0" xfId="0" applyAlignment="1">
      <alignment wrapText="1"/>
    </xf>
    <xf numFmtId="14" fontId="9" fillId="5" borderId="0" xfId="0" applyNumberFormat="1" applyFont="1" applyFill="1" applyAlignment="1">
      <alignment wrapText="1"/>
    </xf>
    <xf numFmtId="0" fontId="0" fillId="0" borderId="0" xfId="0" applyFont="1" applyAlignment="1">
      <alignment wrapText="1"/>
    </xf>
  </cellXfs>
  <cellStyles count="7">
    <cellStyle name="Comma" xfId="1" builtinId="3"/>
    <cellStyle name="Currency" xfId="2" builtinId="4"/>
    <cellStyle name="Hyperlink" xfId="5" builtinId="8"/>
    <cellStyle name="Normal" xfId="0" builtinId="0"/>
    <cellStyle name="Normal_Sheet1" xfId="4"/>
    <cellStyle name="Normal_Sheet7" xfId="6"/>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nr.construction.com/economics/historical_indices/default.asp" TargetMode="External"/><Relationship Id="rId1" Type="http://schemas.openxmlformats.org/officeDocument/2006/relationships/hyperlink" Target="http://www.ustreas.gov/offices/domestic-finance/debt-management/interest-rate/yield.shtm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V88"/>
  <sheetViews>
    <sheetView showGridLines="0" tabSelected="1" workbookViewId="0">
      <selection activeCell="D34" sqref="D34"/>
    </sheetView>
  </sheetViews>
  <sheetFormatPr defaultRowHeight="14.25" x14ac:dyDescent="0.2"/>
  <cols>
    <col min="1" max="1" width="23.875" customWidth="1"/>
    <col min="2" max="2" width="14.75" customWidth="1"/>
    <col min="3" max="3" width="14.5" customWidth="1"/>
    <col min="4" max="4" width="26.125" customWidth="1"/>
    <col min="5" max="5" width="10.625" customWidth="1"/>
  </cols>
  <sheetData>
    <row r="1" spans="1:22" x14ac:dyDescent="0.2">
      <c r="A1" s="71" t="s">
        <v>34</v>
      </c>
      <c r="B1" s="71"/>
      <c r="C1" s="71"/>
      <c r="D1" s="71"/>
      <c r="E1" s="71"/>
    </row>
    <row r="2" spans="1:22" x14ac:dyDescent="0.2">
      <c r="A2" s="71" t="s">
        <v>35</v>
      </c>
      <c r="B2" s="71"/>
      <c r="C2" s="71"/>
      <c r="D2" s="71"/>
      <c r="E2" s="71"/>
    </row>
    <row r="3" spans="1:22" ht="15" thickBot="1" x14ac:dyDescent="0.25">
      <c r="F3" s="59"/>
      <c r="G3" s="59"/>
      <c r="H3" s="59"/>
      <c r="I3" s="59"/>
      <c r="J3" s="59"/>
      <c r="K3" s="59"/>
      <c r="L3" s="59"/>
      <c r="M3" s="59"/>
      <c r="N3" s="59"/>
      <c r="O3" s="59"/>
      <c r="P3" s="59"/>
    </row>
    <row r="4" spans="1:22" x14ac:dyDescent="0.2">
      <c r="A4" s="72" t="s">
        <v>51</v>
      </c>
      <c r="B4" s="73"/>
      <c r="C4" s="73"/>
      <c r="D4" s="73"/>
      <c r="E4" s="74"/>
    </row>
    <row r="5" spans="1:22" ht="15" thickBot="1" x14ac:dyDescent="0.25">
      <c r="A5" s="75"/>
      <c r="B5" s="76"/>
      <c r="C5" s="76"/>
      <c r="D5" s="76"/>
      <c r="E5" s="77"/>
    </row>
    <row r="6" spans="1:22" s="21" customFormat="1" ht="15" thickBot="1" x14ac:dyDescent="0.25">
      <c r="A6" s="28"/>
      <c r="B6" s="28"/>
      <c r="C6" s="28"/>
      <c r="D6" s="28"/>
      <c r="E6" s="28"/>
      <c r="F6" s="38"/>
      <c r="G6" s="38"/>
      <c r="H6" s="38"/>
      <c r="I6" s="38"/>
      <c r="J6" s="38"/>
      <c r="K6" s="38"/>
      <c r="L6" s="38"/>
      <c r="M6" s="38"/>
      <c r="N6" s="38"/>
      <c r="O6" s="38"/>
      <c r="P6" s="38"/>
    </row>
    <row r="7" spans="1:22" ht="15" thickBot="1" x14ac:dyDescent="0.25">
      <c r="B7" s="78" t="s">
        <v>25</v>
      </c>
      <c r="C7" s="79"/>
      <c r="D7" s="37"/>
      <c r="F7" s="81"/>
      <c r="G7" s="81"/>
      <c r="H7" s="81"/>
      <c r="I7" s="81"/>
      <c r="J7" s="51"/>
      <c r="K7" s="38"/>
      <c r="L7" s="38"/>
      <c r="M7" s="38"/>
      <c r="N7" s="38"/>
      <c r="O7" s="38"/>
      <c r="P7" s="38"/>
      <c r="Q7" s="38"/>
      <c r="R7" s="38"/>
      <c r="S7" s="38"/>
      <c r="T7" s="38"/>
      <c r="U7" s="38"/>
    </row>
    <row r="8" spans="1:22" ht="15" customHeight="1" thickBot="1" x14ac:dyDescent="0.25">
      <c r="B8" s="40">
        <v>40787</v>
      </c>
      <c r="C8" s="41" t="s">
        <v>49</v>
      </c>
      <c r="D8" s="30" t="s">
        <v>50</v>
      </c>
      <c r="E8" s="51"/>
      <c r="F8" s="81"/>
      <c r="G8" s="81"/>
      <c r="H8" s="81"/>
      <c r="I8" s="81"/>
      <c r="J8" s="38"/>
      <c r="K8" s="38"/>
      <c r="L8" s="38"/>
      <c r="M8" s="38"/>
      <c r="N8" s="38"/>
      <c r="O8" s="38"/>
      <c r="P8" s="38"/>
      <c r="Q8" s="38"/>
      <c r="R8" s="38"/>
      <c r="S8" s="38"/>
      <c r="T8" s="38"/>
      <c r="U8" s="38"/>
      <c r="V8" s="38"/>
    </row>
    <row r="9" spans="1:22" x14ac:dyDescent="0.2">
      <c r="B9" s="31">
        <f>DATE(YEAR($B$8),MONTH($B$8)+1,1)</f>
        <v>40817</v>
      </c>
      <c r="C9" s="29" t="s">
        <v>39</v>
      </c>
      <c r="D9" s="53">
        <v>0.02</v>
      </c>
      <c r="E9" s="38"/>
      <c r="F9" s="81"/>
      <c r="G9" s="81"/>
      <c r="H9" s="81"/>
      <c r="I9" s="81"/>
      <c r="J9" s="3"/>
      <c r="L9" s="38"/>
    </row>
    <row r="10" spans="1:22" x14ac:dyDescent="0.2">
      <c r="B10" s="32">
        <f>DATE(YEAR($B$8),MONTH($B$8)+3,1)</f>
        <v>40878</v>
      </c>
      <c r="C10" s="29" t="s">
        <v>40</v>
      </c>
      <c r="D10" s="53">
        <v>0.02</v>
      </c>
      <c r="E10" s="38"/>
      <c r="F10" s="81"/>
      <c r="G10" s="81"/>
      <c r="H10" s="81"/>
      <c r="I10" s="81"/>
      <c r="J10" s="38"/>
      <c r="L10" s="38"/>
    </row>
    <row r="11" spans="1:22" x14ac:dyDescent="0.2">
      <c r="B11" s="32">
        <f>DATE(YEAR($B$8),MONTH($B$8)+6,1)</f>
        <v>40969</v>
      </c>
      <c r="C11" s="29" t="s">
        <v>41</v>
      </c>
      <c r="D11" s="53">
        <v>0.05</v>
      </c>
      <c r="E11" s="38"/>
      <c r="F11" s="81"/>
      <c r="G11" s="81"/>
      <c r="H11" s="81"/>
      <c r="I11" s="81"/>
      <c r="J11" s="51"/>
      <c r="L11" s="38"/>
    </row>
    <row r="12" spans="1:22" x14ac:dyDescent="0.2">
      <c r="B12" s="32">
        <f>DATE(YEAR($B$8)+1,MONTH($B$8),1)</f>
        <v>41153</v>
      </c>
      <c r="C12" s="29" t="s">
        <v>42</v>
      </c>
      <c r="D12" s="53">
        <v>0.1</v>
      </c>
      <c r="E12" s="38"/>
      <c r="F12" s="81"/>
      <c r="G12" s="81"/>
      <c r="H12" s="81"/>
      <c r="I12" s="81"/>
      <c r="J12" s="38"/>
      <c r="L12" s="38"/>
    </row>
    <row r="13" spans="1:22" x14ac:dyDescent="0.2">
      <c r="B13" s="32">
        <f>DATE(YEAR($B$8)+2,MONTH($B$8),1)</f>
        <v>41518</v>
      </c>
      <c r="C13" s="29" t="s">
        <v>43</v>
      </c>
      <c r="D13" s="53">
        <v>0.19</v>
      </c>
      <c r="E13" s="38"/>
      <c r="F13" s="81"/>
      <c r="G13" s="81"/>
      <c r="H13" s="81"/>
      <c r="I13" s="81"/>
      <c r="J13" s="38"/>
      <c r="L13" s="38"/>
    </row>
    <row r="14" spans="1:22" x14ac:dyDescent="0.2">
      <c r="B14" s="32">
        <f>DATE(YEAR($B$8)+3,MONTH($B$8),1)</f>
        <v>41883</v>
      </c>
      <c r="C14" s="29" t="s">
        <v>44</v>
      </c>
      <c r="D14" s="53">
        <v>0.31</v>
      </c>
      <c r="E14" s="38"/>
      <c r="F14" s="81"/>
      <c r="G14" s="81"/>
      <c r="H14" s="81"/>
      <c r="I14" s="81"/>
      <c r="J14" s="38"/>
      <c r="L14" s="38"/>
    </row>
    <row r="15" spans="1:22" x14ac:dyDescent="0.2">
      <c r="B15" s="32">
        <f>DATE(YEAR($B$8)+5,MONTH($B$8),1)</f>
        <v>42614</v>
      </c>
      <c r="C15" s="29" t="s">
        <v>45</v>
      </c>
      <c r="D15" s="53">
        <v>0.9</v>
      </c>
      <c r="E15" s="38"/>
      <c r="F15" s="81"/>
      <c r="G15" s="81"/>
      <c r="H15" s="81"/>
      <c r="I15" s="81"/>
      <c r="J15" s="38"/>
      <c r="L15" s="38"/>
    </row>
    <row r="16" spans="1:22" x14ac:dyDescent="0.2">
      <c r="B16" s="32">
        <f>DATE(YEAR($B$8)+7,MONTH($B$8),1)</f>
        <v>43344</v>
      </c>
      <c r="C16" s="29" t="s">
        <v>38</v>
      </c>
      <c r="D16" s="53">
        <v>1.49</v>
      </c>
      <c r="E16" s="38"/>
      <c r="F16" s="81"/>
      <c r="G16" s="81"/>
      <c r="H16" s="81"/>
      <c r="I16" s="81"/>
      <c r="J16" s="38"/>
      <c r="L16" s="38"/>
    </row>
    <row r="17" spans="1:19" x14ac:dyDescent="0.2">
      <c r="B17" s="32">
        <f>DATE(YEAR($B$8)+10,MONTH($B$8),1)</f>
        <v>44440</v>
      </c>
      <c r="C17" s="29" t="s">
        <v>46</v>
      </c>
      <c r="D17" s="53">
        <v>2.15</v>
      </c>
      <c r="E17" s="38"/>
      <c r="F17" s="81"/>
      <c r="G17" s="81"/>
      <c r="H17" s="81"/>
      <c r="I17" s="81"/>
      <c r="J17" s="38"/>
      <c r="L17" s="38"/>
    </row>
    <row r="18" spans="1:19" x14ac:dyDescent="0.2">
      <c r="B18" s="32">
        <f>DATE(YEAR($B$8)+20,MONTH($B$8),1)</f>
        <v>48092</v>
      </c>
      <c r="C18" s="29" t="s">
        <v>47</v>
      </c>
      <c r="D18" s="53">
        <v>3.1</v>
      </c>
      <c r="E18" s="38"/>
      <c r="F18" s="81"/>
      <c r="G18" s="81"/>
      <c r="H18" s="81"/>
      <c r="I18" s="81"/>
      <c r="J18" s="38"/>
      <c r="L18" s="38"/>
    </row>
    <row r="19" spans="1:19" x14ac:dyDescent="0.2">
      <c r="B19" s="32">
        <f>DATE(YEAR($B$8)+30,MONTH($B$8),1)</f>
        <v>51745</v>
      </c>
      <c r="C19" s="29" t="s">
        <v>48</v>
      </c>
      <c r="D19" s="53">
        <v>3.51</v>
      </c>
      <c r="E19" s="38"/>
      <c r="F19" s="81"/>
      <c r="G19" s="81"/>
      <c r="H19" s="81"/>
      <c r="I19" s="81"/>
      <c r="J19" s="38"/>
      <c r="L19" s="38"/>
    </row>
    <row r="20" spans="1:19" ht="15" thickBot="1" x14ac:dyDescent="0.25">
      <c r="D20" s="52"/>
      <c r="F20" s="81"/>
      <c r="G20" s="81"/>
      <c r="H20" s="81"/>
      <c r="I20" s="81"/>
      <c r="J20" s="38"/>
    </row>
    <row r="21" spans="1:19" ht="15" thickBot="1" x14ac:dyDescent="0.25">
      <c r="A21" s="65" t="s">
        <v>30</v>
      </c>
      <c r="B21" s="65"/>
      <c r="C21" s="66"/>
      <c r="D21" s="12" t="s">
        <v>31</v>
      </c>
      <c r="F21" s="81"/>
      <c r="G21" s="81"/>
      <c r="H21" s="81"/>
      <c r="I21" s="81"/>
      <c r="J21" s="38"/>
    </row>
    <row r="22" spans="1:19" ht="7.5" customHeight="1" thickBot="1" x14ac:dyDescent="0.25">
      <c r="A22" s="6"/>
      <c r="B22" s="6"/>
      <c r="C22" s="6"/>
      <c r="E22" s="21"/>
      <c r="F22" s="80"/>
      <c r="G22" s="81"/>
      <c r="H22" s="81"/>
      <c r="I22" s="81"/>
      <c r="J22" s="38"/>
    </row>
    <row r="23" spans="1:19" ht="15" customHeight="1" thickBot="1" x14ac:dyDescent="0.25">
      <c r="A23" s="65" t="s">
        <v>0</v>
      </c>
      <c r="B23" s="65"/>
      <c r="C23" s="66"/>
      <c r="D23" s="36" t="s">
        <v>3</v>
      </c>
      <c r="F23" s="81"/>
      <c r="G23" s="81"/>
      <c r="H23" s="81"/>
      <c r="I23" s="81"/>
    </row>
    <row r="24" spans="1:19" ht="7.5" customHeight="1" thickBot="1" x14ac:dyDescent="0.25">
      <c r="A24" s="6"/>
      <c r="B24" s="6"/>
      <c r="C24" s="6"/>
      <c r="E24" s="21"/>
      <c r="F24" s="81"/>
      <c r="G24" s="81"/>
      <c r="H24" s="81"/>
      <c r="I24" s="81"/>
    </row>
    <row r="25" spans="1:19" ht="15" thickBot="1" x14ac:dyDescent="0.25">
      <c r="A25" s="65" t="s">
        <v>27</v>
      </c>
      <c r="B25" s="65"/>
      <c r="C25" s="66"/>
      <c r="D25" s="13">
        <v>39783</v>
      </c>
      <c r="E25" s="22"/>
      <c r="F25" s="81"/>
      <c r="G25" s="81"/>
      <c r="H25" s="81"/>
      <c r="I25" s="81"/>
      <c r="J25" s="38"/>
      <c r="K25" s="38"/>
      <c r="L25" s="38"/>
      <c r="M25" s="38"/>
      <c r="N25" s="38"/>
      <c r="O25" s="38"/>
      <c r="P25" s="38"/>
      <c r="Q25" s="38"/>
      <c r="R25" s="38"/>
      <c r="S25" s="38"/>
    </row>
    <row r="26" spans="1:19" ht="7.5" customHeight="1" thickBot="1" x14ac:dyDescent="0.25">
      <c r="A26" s="6"/>
      <c r="B26" s="6"/>
      <c r="C26" s="6"/>
      <c r="D26" s="48"/>
      <c r="E26" s="23"/>
      <c r="F26" s="81"/>
      <c r="G26" s="81"/>
      <c r="H26" s="81"/>
      <c r="I26" s="81"/>
    </row>
    <row r="27" spans="1:19" ht="15" thickBot="1" x14ac:dyDescent="0.25">
      <c r="A27" s="65" t="s">
        <v>28</v>
      </c>
      <c r="B27" s="65"/>
      <c r="C27" s="66"/>
      <c r="D27" s="13">
        <v>40057</v>
      </c>
      <c r="E27" s="22"/>
      <c r="F27" s="81"/>
      <c r="G27" s="81"/>
      <c r="H27" s="81"/>
      <c r="I27" s="81"/>
    </row>
    <row r="28" spans="1:19" ht="7.5" customHeight="1" thickBot="1" x14ac:dyDescent="0.25">
      <c r="A28" s="6"/>
      <c r="B28" s="6"/>
      <c r="C28" s="6"/>
      <c r="D28" s="6"/>
      <c r="E28" s="24"/>
      <c r="G28" s="4"/>
    </row>
    <row r="29" spans="1:19" ht="15" thickBot="1" x14ac:dyDescent="0.25">
      <c r="A29" s="65" t="s">
        <v>33</v>
      </c>
      <c r="B29" s="65"/>
      <c r="C29" s="66"/>
      <c r="D29" s="8">
        <f>D25+(D27-D25)/2</f>
        <v>39920</v>
      </c>
      <c r="E29" s="22"/>
      <c r="F29" s="82"/>
      <c r="G29" s="83"/>
      <c r="H29" s="83"/>
      <c r="I29" s="83"/>
      <c r="J29" s="38"/>
      <c r="K29" s="38"/>
      <c r="L29" s="38"/>
      <c r="M29" s="38"/>
      <c r="N29" s="38"/>
      <c r="O29" s="38"/>
      <c r="P29" s="38"/>
      <c r="Q29" s="38"/>
    </row>
    <row r="30" spans="1:19" ht="7.5" customHeight="1" thickBot="1" x14ac:dyDescent="0.25">
      <c r="A30" s="6"/>
      <c r="B30" s="6"/>
      <c r="C30" s="6"/>
      <c r="D30" s="6"/>
      <c r="E30" s="24"/>
      <c r="F30" s="83"/>
      <c r="G30" s="83"/>
      <c r="H30" s="83"/>
      <c r="I30" s="83"/>
    </row>
    <row r="31" spans="1:19" ht="15" thickBot="1" x14ac:dyDescent="0.25">
      <c r="A31" s="65" t="str">
        <f>"Cost per Square Foot as Reported "&amp;TEXT(CSSF!B2,"MMMM YYYY")</f>
        <v>Cost per Square Foot as Reported October 2011</v>
      </c>
      <c r="B31" s="65"/>
      <c r="C31" s="66"/>
      <c r="D31" s="9">
        <f>VLOOKUP(D23,CSSF!A4:C22,IF(ACSSF!D21="new construction",2,3))</f>
        <v>315</v>
      </c>
      <c r="E31" s="25"/>
      <c r="F31" s="83"/>
      <c r="G31" s="83"/>
      <c r="H31" s="83"/>
      <c r="I31" s="83"/>
    </row>
    <row r="32" spans="1:19" ht="7.5" customHeight="1" thickBot="1" x14ac:dyDescent="0.25">
      <c r="A32" s="6"/>
      <c r="B32" s="6"/>
      <c r="C32" s="6"/>
      <c r="D32" s="6"/>
      <c r="E32" s="24"/>
      <c r="F32" s="83"/>
      <c r="G32" s="83"/>
      <c r="H32" s="83"/>
      <c r="I32" s="83"/>
    </row>
    <row r="33" spans="1:9" ht="15" thickBot="1" x14ac:dyDescent="0.25">
      <c r="A33" s="65" t="str">
        <f>"ENR Construction Index  "&amp;TEXT(CSSF!B2,"MMMM YYYY")</f>
        <v>ENR Construction Index  October 2011</v>
      </c>
      <c r="B33" s="65"/>
      <c r="C33" s="66"/>
      <c r="D33" s="35">
        <v>5104</v>
      </c>
      <c r="E33" s="26"/>
      <c r="F33" s="83"/>
      <c r="G33" s="83"/>
      <c r="H33" s="83"/>
      <c r="I33" s="83"/>
    </row>
    <row r="34" spans="1:9" ht="7.5" customHeight="1" thickBot="1" x14ac:dyDescent="0.25">
      <c r="A34" s="6"/>
      <c r="B34" s="6"/>
      <c r="C34" s="6"/>
      <c r="D34" s="6"/>
      <c r="E34" s="24"/>
      <c r="F34" s="81"/>
      <c r="G34" s="81"/>
      <c r="H34" s="81"/>
      <c r="I34" s="81"/>
    </row>
    <row r="35" spans="1:9" ht="15" thickBot="1" x14ac:dyDescent="0.25">
      <c r="A35" s="65" t="s">
        <v>37</v>
      </c>
      <c r="B35" s="65"/>
      <c r="C35" s="66"/>
      <c r="D35" s="13">
        <v>40817</v>
      </c>
      <c r="E35" s="22"/>
      <c r="F35" s="81"/>
      <c r="G35" s="81"/>
      <c r="H35" s="81"/>
      <c r="I35" s="81"/>
    </row>
    <row r="36" spans="1:9" ht="7.5" customHeight="1" thickBot="1" x14ac:dyDescent="0.25">
      <c r="A36" s="6"/>
      <c r="B36" s="6"/>
      <c r="C36" s="6"/>
      <c r="D36" s="6"/>
      <c r="E36" s="24"/>
      <c r="F36" s="81"/>
      <c r="G36" s="81"/>
      <c r="H36" s="81"/>
      <c r="I36" s="81"/>
    </row>
    <row r="37" spans="1:9" ht="15" thickBot="1" x14ac:dyDescent="0.25">
      <c r="A37" s="62" t="str">
        <f>"ENR Construction Index as of "&amp;TEXT(D35,"MMMM YYYY")</f>
        <v>ENR Construction Index as of October 2011</v>
      </c>
      <c r="B37" s="63"/>
      <c r="C37" s="64"/>
      <c r="D37" s="54">
        <v>5104</v>
      </c>
      <c r="E37" s="26"/>
    </row>
    <row r="38" spans="1:9" ht="7.5" customHeight="1" thickBot="1" x14ac:dyDescent="0.25">
      <c r="A38" s="6"/>
      <c r="B38" s="6"/>
      <c r="C38" s="6"/>
      <c r="D38" s="6"/>
      <c r="E38" s="24"/>
    </row>
    <row r="39" spans="1:9" ht="15" thickBot="1" x14ac:dyDescent="0.25">
      <c r="A39" s="65" t="str">
        <f>"ENR Construction Index to "&amp;TEXT(D35,"MMMM YYYY")</f>
        <v>ENR Construction Index to October 2011</v>
      </c>
      <c r="B39" s="65"/>
      <c r="C39" s="66"/>
      <c r="D39" s="11">
        <f>D37/D33</f>
        <v>1</v>
      </c>
      <c r="E39" s="19"/>
    </row>
    <row r="40" spans="1:9" ht="7.5" customHeight="1" thickBot="1" x14ac:dyDescent="0.25">
      <c r="A40" s="6"/>
      <c r="B40" s="6"/>
      <c r="C40" s="6"/>
      <c r="D40" s="6"/>
      <c r="E40" s="6"/>
    </row>
    <row r="41" spans="1:9" ht="14.25" customHeight="1" x14ac:dyDescent="0.2">
      <c r="A41" s="67" t="str">
        <f>"Treasury Yield Adjustment to "&amp;IF(ISERROR(VLOOKUP($D$29,ACSSF!$B$9:$D$19,1,TRUE)),TEXT(B8,"MMMM YYYY"),TEXT(VLOOKUP($D$29,ACSSF!$B$9:$D$19,1,TRUE),"MMMM YYYY"))&amp;" using the "&amp;IF(ISERROR(VLOOKUP($D$29,ACSSF!$B$9:$D$19,2,TRUE)),"current day",VLOOKUP($D$29,ACSSF!$B$9:$D$19,2,TRUE))&amp;" yield rate"</f>
        <v>Treasury Yield Adjustment to September 2011 using the current day yield rate</v>
      </c>
      <c r="B41" s="67"/>
      <c r="C41" s="68"/>
      <c r="D41" s="69">
        <f>(1+IF(ISERROR(VLOOKUP($D$29,ACSSF!$B$9:$D$19,3,TRUE)),0,VLOOKUP($D$29,ACSSF!$B$9:$D$19,3,TRUE))/100)</f>
        <v>1</v>
      </c>
      <c r="E41" s="10"/>
    </row>
    <row r="42" spans="1:9" ht="15" thickBot="1" x14ac:dyDescent="0.25">
      <c r="A42" s="67"/>
      <c r="B42" s="67"/>
      <c r="C42" s="68"/>
      <c r="D42" s="70"/>
      <c r="E42" s="10"/>
    </row>
    <row r="43" spans="1:9" ht="7.5" customHeight="1" thickBot="1" x14ac:dyDescent="0.25">
      <c r="A43" s="6"/>
      <c r="B43" s="6"/>
      <c r="C43" s="6"/>
      <c r="D43" s="6"/>
      <c r="E43" s="6"/>
    </row>
    <row r="44" spans="1:9" ht="15" thickBot="1" x14ac:dyDescent="0.25">
      <c r="A44" s="65" t="s">
        <v>29</v>
      </c>
      <c r="B44" s="65"/>
      <c r="C44" s="66"/>
      <c r="D44" s="11">
        <f>D39*D41</f>
        <v>1</v>
      </c>
      <c r="E44" s="19"/>
    </row>
    <row r="45" spans="1:9" ht="7.5" customHeight="1" thickBot="1" x14ac:dyDescent="0.25">
      <c r="A45" s="6"/>
      <c r="B45" s="6"/>
      <c r="C45" s="6"/>
      <c r="D45" s="10"/>
      <c r="E45" s="10"/>
    </row>
    <row r="46" spans="1:9" ht="15" thickBot="1" x14ac:dyDescent="0.25">
      <c r="A46" s="65" t="s">
        <v>26</v>
      </c>
      <c r="B46" s="65"/>
      <c r="C46" s="66"/>
      <c r="D46" s="16">
        <f>D44*D31</f>
        <v>315</v>
      </c>
      <c r="E46" s="20"/>
    </row>
    <row r="47" spans="1:9" x14ac:dyDescent="0.2">
      <c r="A47" s="6"/>
      <c r="B47" s="6"/>
      <c r="C47" s="6"/>
      <c r="D47" s="15"/>
      <c r="E47" s="15"/>
    </row>
    <row r="48" spans="1:9" ht="14.25" customHeight="1" x14ac:dyDescent="0.2">
      <c r="A48" s="61" t="s">
        <v>52</v>
      </c>
      <c r="B48" s="61"/>
      <c r="C48" s="61"/>
      <c r="D48" s="61"/>
      <c r="E48" s="61"/>
    </row>
    <row r="49" spans="1:5" x14ac:dyDescent="0.2">
      <c r="A49" s="61"/>
      <c r="B49" s="61"/>
      <c r="C49" s="61"/>
      <c r="D49" s="61"/>
      <c r="E49" s="61"/>
    </row>
    <row r="50" spans="1:5" x14ac:dyDescent="0.2">
      <c r="A50" s="61"/>
      <c r="B50" s="61"/>
      <c r="C50" s="61"/>
      <c r="D50" s="61"/>
      <c r="E50" s="61"/>
    </row>
    <row r="51" spans="1:5" x14ac:dyDescent="0.2">
      <c r="A51" s="61"/>
      <c r="B51" s="61"/>
      <c r="C51" s="61"/>
      <c r="D51" s="61"/>
      <c r="E51" s="61"/>
    </row>
    <row r="52" spans="1:5" x14ac:dyDescent="0.2">
      <c r="A52" s="44"/>
      <c r="B52" s="33"/>
      <c r="C52" s="33"/>
      <c r="D52" s="34">
        <f ca="1">NOW()</f>
        <v>40813.62693726852</v>
      </c>
      <c r="E52" s="33"/>
    </row>
    <row r="53" spans="1:5" x14ac:dyDescent="0.2">
      <c r="A53" s="6"/>
      <c r="B53" s="6"/>
      <c r="C53" s="6"/>
      <c r="D53" s="15"/>
      <c r="E53" s="15"/>
    </row>
    <row r="54" spans="1:5" x14ac:dyDescent="0.2">
      <c r="A54" s="6"/>
      <c r="B54" s="6"/>
      <c r="C54" s="6"/>
      <c r="D54" s="15"/>
      <c r="E54" s="15"/>
    </row>
    <row r="55" spans="1:5" x14ac:dyDescent="0.2">
      <c r="A55" s="6"/>
      <c r="B55" s="6"/>
      <c r="C55" s="6"/>
      <c r="D55" s="15"/>
      <c r="E55" s="15"/>
    </row>
    <row r="56" spans="1:5" x14ac:dyDescent="0.2">
      <c r="A56" s="6"/>
      <c r="B56" s="6"/>
      <c r="C56" s="6"/>
      <c r="D56" s="15"/>
      <c r="E56" s="15"/>
    </row>
    <row r="57" spans="1:5" x14ac:dyDescent="0.2">
      <c r="A57" s="6"/>
      <c r="B57" s="6"/>
      <c r="C57" s="6"/>
      <c r="D57" s="15"/>
      <c r="E57" s="15"/>
    </row>
    <row r="58" spans="1:5" x14ac:dyDescent="0.2">
      <c r="A58" s="6"/>
      <c r="B58" s="6"/>
      <c r="C58" s="6"/>
      <c r="D58" s="15"/>
      <c r="E58" s="15"/>
    </row>
    <row r="59" spans="1:5" x14ac:dyDescent="0.2">
      <c r="A59" s="6"/>
      <c r="B59" s="6"/>
      <c r="C59" s="6"/>
      <c r="D59" s="15"/>
      <c r="E59" s="15"/>
    </row>
    <row r="60" spans="1:5" x14ac:dyDescent="0.2">
      <c r="A60" s="6"/>
      <c r="B60" s="6"/>
      <c r="C60" s="6"/>
      <c r="D60" s="15"/>
      <c r="E60" s="15"/>
    </row>
    <row r="61" spans="1:5" x14ac:dyDescent="0.2">
      <c r="A61" s="6"/>
      <c r="B61" s="6"/>
      <c r="C61" s="6"/>
      <c r="D61" s="15"/>
      <c r="E61" s="15"/>
    </row>
    <row r="62" spans="1:5" x14ac:dyDescent="0.2">
      <c r="A62" s="6"/>
      <c r="B62" s="6"/>
      <c r="C62" s="6"/>
      <c r="D62" s="15"/>
      <c r="E62" s="15"/>
    </row>
    <row r="63" spans="1:5" s="3" customFormat="1" hidden="1" x14ac:dyDescent="0.2">
      <c r="A63" s="2" t="s">
        <v>0</v>
      </c>
      <c r="B63" s="17"/>
      <c r="C63" s="27"/>
    </row>
    <row r="64" spans="1:5" hidden="1" x14ac:dyDescent="0.2">
      <c r="A64" s="1" t="s">
        <v>3</v>
      </c>
      <c r="B64" s="18"/>
      <c r="C64" s="18"/>
      <c r="D64" s="5"/>
      <c r="E64" s="5"/>
    </row>
    <row r="65" spans="1:5" hidden="1" x14ac:dyDescent="0.2">
      <c r="A65" s="1" t="s">
        <v>4</v>
      </c>
      <c r="B65" s="18"/>
      <c r="C65" s="18"/>
      <c r="D65" s="5"/>
      <c r="E65" s="5"/>
    </row>
    <row r="66" spans="1:5" hidden="1" x14ac:dyDescent="0.2">
      <c r="A66" s="1" t="s">
        <v>5</v>
      </c>
      <c r="B66" s="18"/>
      <c r="C66" s="18"/>
      <c r="D66" s="5"/>
      <c r="E66" s="5"/>
    </row>
    <row r="67" spans="1:5" hidden="1" x14ac:dyDescent="0.2">
      <c r="A67" s="1" t="s">
        <v>6</v>
      </c>
      <c r="B67" s="18"/>
      <c r="C67" s="18"/>
      <c r="D67" s="5"/>
      <c r="E67" s="5"/>
    </row>
    <row r="68" spans="1:5" ht="28.5" hidden="1" x14ac:dyDescent="0.2">
      <c r="A68" s="1" t="s">
        <v>7</v>
      </c>
      <c r="B68" s="18"/>
      <c r="C68" s="18"/>
      <c r="D68" s="5"/>
      <c r="E68" s="5"/>
    </row>
    <row r="69" spans="1:5" hidden="1" x14ac:dyDescent="0.2">
      <c r="A69" s="1" t="s">
        <v>8</v>
      </c>
      <c r="B69" s="18"/>
      <c r="C69" s="18"/>
      <c r="D69" s="5"/>
      <c r="E69" s="5"/>
    </row>
    <row r="70" spans="1:5" hidden="1" x14ac:dyDescent="0.2">
      <c r="A70" s="1" t="s">
        <v>9</v>
      </c>
      <c r="B70" s="18"/>
      <c r="C70" s="18"/>
      <c r="D70" s="5"/>
      <c r="E70" s="5"/>
    </row>
    <row r="71" spans="1:5" hidden="1" x14ac:dyDescent="0.2">
      <c r="A71" s="1" t="s">
        <v>10</v>
      </c>
      <c r="B71" s="18"/>
      <c r="C71" s="18"/>
      <c r="D71" s="5"/>
      <c r="E71" s="5"/>
    </row>
    <row r="72" spans="1:5" hidden="1" x14ac:dyDescent="0.2">
      <c r="A72" s="1" t="s">
        <v>11</v>
      </c>
      <c r="B72" s="18"/>
      <c r="C72" s="18"/>
      <c r="D72" s="5"/>
      <c r="E72" s="5"/>
    </row>
    <row r="73" spans="1:5" hidden="1" x14ac:dyDescent="0.2">
      <c r="A73" s="1" t="s">
        <v>12</v>
      </c>
      <c r="B73" s="18"/>
      <c r="C73" s="18"/>
      <c r="D73" s="5"/>
      <c r="E73" s="5"/>
    </row>
    <row r="74" spans="1:5" hidden="1" x14ac:dyDescent="0.2">
      <c r="A74" s="1" t="s">
        <v>13</v>
      </c>
      <c r="B74" s="18"/>
      <c r="C74" s="18"/>
      <c r="D74" s="5"/>
      <c r="E74" s="5"/>
    </row>
    <row r="75" spans="1:5" ht="28.5" hidden="1" x14ac:dyDescent="0.2">
      <c r="A75" s="1" t="s">
        <v>14</v>
      </c>
      <c r="B75" s="18"/>
      <c r="C75" s="18"/>
      <c r="D75" s="5"/>
      <c r="E75" s="5"/>
    </row>
    <row r="76" spans="1:5" hidden="1" x14ac:dyDescent="0.2">
      <c r="A76" s="1" t="s">
        <v>15</v>
      </c>
      <c r="B76" s="18"/>
      <c r="C76" s="18"/>
      <c r="D76" s="5"/>
      <c r="E76" s="5"/>
    </row>
    <row r="77" spans="1:5" hidden="1" x14ac:dyDescent="0.2">
      <c r="A77" s="1" t="s">
        <v>16</v>
      </c>
      <c r="B77" s="18"/>
      <c r="C77" s="18"/>
      <c r="D77" s="5"/>
      <c r="E77" s="5"/>
    </row>
    <row r="78" spans="1:5" hidden="1" x14ac:dyDescent="0.2">
      <c r="A78" s="1" t="s">
        <v>17</v>
      </c>
      <c r="B78" s="18"/>
      <c r="C78" s="18"/>
      <c r="D78" s="5"/>
      <c r="E78" s="5"/>
    </row>
    <row r="79" spans="1:5" hidden="1" x14ac:dyDescent="0.2">
      <c r="A79" s="1" t="s">
        <v>18</v>
      </c>
      <c r="B79" s="18"/>
      <c r="C79" s="18"/>
      <c r="D79" s="5"/>
      <c r="E79" s="5"/>
    </row>
    <row r="80" spans="1:5" hidden="1" x14ac:dyDescent="0.2">
      <c r="A80" s="1" t="s">
        <v>19</v>
      </c>
      <c r="B80" s="18"/>
      <c r="C80" s="18"/>
      <c r="D80" s="5"/>
      <c r="E80" s="5"/>
    </row>
    <row r="81" spans="1:5" hidden="1" x14ac:dyDescent="0.2">
      <c r="A81" s="1" t="s">
        <v>20</v>
      </c>
      <c r="B81" s="18"/>
      <c r="C81" s="18"/>
      <c r="D81" s="5"/>
      <c r="E81" s="5"/>
    </row>
    <row r="82" spans="1:5" hidden="1" x14ac:dyDescent="0.2">
      <c r="A82" s="1" t="s">
        <v>21</v>
      </c>
      <c r="B82" s="18"/>
      <c r="C82" s="18"/>
      <c r="D82" s="5"/>
      <c r="E82" s="5"/>
    </row>
    <row r="83" spans="1:5" hidden="1" x14ac:dyDescent="0.2">
      <c r="A83" s="1" t="s">
        <v>22</v>
      </c>
      <c r="B83" s="18"/>
      <c r="C83" s="18"/>
      <c r="D83" s="5"/>
      <c r="E83" s="5"/>
    </row>
    <row r="84" spans="1:5" hidden="1" x14ac:dyDescent="0.2">
      <c r="A84" s="1" t="s">
        <v>23</v>
      </c>
      <c r="B84" s="18"/>
      <c r="C84" s="18"/>
      <c r="D84" s="5"/>
      <c r="E84" s="5"/>
    </row>
    <row r="85" spans="1:5" hidden="1" x14ac:dyDescent="0.2"/>
    <row r="86" spans="1:5" hidden="1" x14ac:dyDescent="0.2">
      <c r="A86" s="7"/>
      <c r="B86" s="7"/>
      <c r="C86" s="7"/>
    </row>
    <row r="87" spans="1:5" hidden="1" x14ac:dyDescent="0.2">
      <c r="A87" s="7" t="s">
        <v>32</v>
      </c>
      <c r="B87" s="7"/>
      <c r="C87" s="7"/>
    </row>
    <row r="88" spans="1:5" hidden="1" x14ac:dyDescent="0.2">
      <c r="A88" s="7" t="s">
        <v>31</v>
      </c>
      <c r="B88" s="7"/>
      <c r="C88" s="7"/>
    </row>
  </sheetData>
  <mergeCells count="24">
    <mergeCell ref="F22:I27"/>
    <mergeCell ref="F29:I36"/>
    <mergeCell ref="F7:I12"/>
    <mergeCell ref="F13:I17"/>
    <mergeCell ref="F18:I21"/>
    <mergeCell ref="A29:C29"/>
    <mergeCell ref="A31:C31"/>
    <mergeCell ref="A33:C33"/>
    <mergeCell ref="A35:C35"/>
    <mergeCell ref="A1:E1"/>
    <mergeCell ref="A2:E2"/>
    <mergeCell ref="A4:E5"/>
    <mergeCell ref="A21:C21"/>
    <mergeCell ref="A23:C23"/>
    <mergeCell ref="A25:C25"/>
    <mergeCell ref="A27:C27"/>
    <mergeCell ref="B7:C7"/>
    <mergeCell ref="A48:E51"/>
    <mergeCell ref="A37:C37"/>
    <mergeCell ref="A39:C39"/>
    <mergeCell ref="A44:C44"/>
    <mergeCell ref="A46:C46"/>
    <mergeCell ref="A41:C42"/>
    <mergeCell ref="D41:D42"/>
  </mergeCells>
  <dataValidations count="2">
    <dataValidation type="list" allowBlank="1" showInputMessage="1" showErrorMessage="1" sqref="D23">
      <formula1>factype</formula1>
    </dataValidation>
    <dataValidation type="list" allowBlank="1" showInputMessage="1" showErrorMessage="1" sqref="D21">
      <formula1>$A$87:$A$88</formula1>
    </dataValidation>
  </dataValidations>
  <hyperlinks>
    <hyperlink ref="B7" r:id="rId1"/>
    <hyperlink ref="A37:C37" r:id="rId2" display="http://enr.construction.com/economics/historical_indices/default.asp"/>
  </hyperlinks>
  <pageMargins left="0.7" right="0.7" top="0.75" bottom="0.75" header="0.3" footer="0.3"/>
  <pageSetup scale="95"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showGridLines="0" workbookViewId="0">
      <selection activeCell="A4" sqref="A4:A22"/>
    </sheetView>
  </sheetViews>
  <sheetFormatPr defaultRowHeight="14.25" x14ac:dyDescent="0.2"/>
  <cols>
    <col min="1" max="1" width="26.625" bestFit="1" customWidth="1"/>
    <col min="2" max="2" width="14.625" bestFit="1" customWidth="1"/>
    <col min="3" max="3" width="14.5" bestFit="1" customWidth="1"/>
    <col min="4" max="4" width="13.875" customWidth="1"/>
  </cols>
  <sheetData>
    <row r="1" spans="1:3" x14ac:dyDescent="0.2">
      <c r="A1" t="s">
        <v>24</v>
      </c>
    </row>
    <row r="2" spans="1:3" x14ac:dyDescent="0.2">
      <c r="A2" s="14" t="s">
        <v>36</v>
      </c>
      <c r="B2" s="60">
        <v>40817</v>
      </c>
    </row>
    <row r="3" spans="1:3" s="50" customFormat="1" ht="15" x14ac:dyDescent="0.25">
      <c r="A3" s="58" t="s">
        <v>0</v>
      </c>
      <c r="B3" s="58" t="s">
        <v>1</v>
      </c>
      <c r="C3" s="58" t="s">
        <v>2</v>
      </c>
    </row>
    <row r="4" spans="1:3" ht="15" x14ac:dyDescent="0.25">
      <c r="A4" s="55" t="s">
        <v>3</v>
      </c>
      <c r="B4" s="56">
        <v>315</v>
      </c>
      <c r="C4" s="56">
        <v>188</v>
      </c>
    </row>
    <row r="5" spans="1:3" ht="15" x14ac:dyDescent="0.25">
      <c r="A5" s="55" t="s">
        <v>4</v>
      </c>
      <c r="B5" s="56">
        <v>536</v>
      </c>
      <c r="C5" s="56">
        <v>359</v>
      </c>
    </row>
    <row r="6" spans="1:3" ht="15" x14ac:dyDescent="0.25">
      <c r="A6" s="55" t="s">
        <v>60</v>
      </c>
      <c r="B6" s="56">
        <v>393</v>
      </c>
      <c r="C6" s="56">
        <v>221</v>
      </c>
    </row>
    <row r="7" spans="1:3" ht="15" x14ac:dyDescent="0.25">
      <c r="A7" s="55" t="s">
        <v>7</v>
      </c>
      <c r="B7" s="56">
        <v>364</v>
      </c>
      <c r="C7" s="56">
        <v>255</v>
      </c>
    </row>
    <row r="8" spans="1:3" ht="15" x14ac:dyDescent="0.25">
      <c r="A8" s="55" t="s">
        <v>8</v>
      </c>
      <c r="B8" s="56">
        <v>313</v>
      </c>
      <c r="C8" s="56">
        <v>226</v>
      </c>
    </row>
    <row r="9" spans="1:3" ht="15" x14ac:dyDescent="0.25">
      <c r="A9" s="55" t="s">
        <v>9</v>
      </c>
      <c r="B9" s="56">
        <v>398</v>
      </c>
      <c r="C9" s="56">
        <v>167</v>
      </c>
    </row>
    <row r="10" spans="1:3" ht="15" x14ac:dyDescent="0.25">
      <c r="A10" s="55" t="s">
        <v>10</v>
      </c>
      <c r="B10" s="56">
        <v>426</v>
      </c>
      <c r="C10" s="56">
        <v>340</v>
      </c>
    </row>
    <row r="11" spans="1:3" ht="15" x14ac:dyDescent="0.25">
      <c r="A11" s="55" t="s">
        <v>61</v>
      </c>
      <c r="B11" s="56">
        <v>170</v>
      </c>
      <c r="C11" s="56">
        <v>81</v>
      </c>
    </row>
    <row r="12" spans="1:3" ht="15" x14ac:dyDescent="0.25">
      <c r="A12" s="55" t="s">
        <v>62</v>
      </c>
      <c r="B12" s="56">
        <v>233</v>
      </c>
      <c r="C12" s="56">
        <v>154</v>
      </c>
    </row>
    <row r="13" spans="1:3" ht="15" x14ac:dyDescent="0.25">
      <c r="A13" s="55" t="s">
        <v>13</v>
      </c>
      <c r="B13" s="56">
        <v>484</v>
      </c>
      <c r="C13" s="56">
        <v>374</v>
      </c>
    </row>
    <row r="14" spans="1:3" ht="15" x14ac:dyDescent="0.25">
      <c r="A14" s="55" t="s">
        <v>14</v>
      </c>
      <c r="B14" s="56">
        <v>644</v>
      </c>
      <c r="C14" s="56">
        <v>534</v>
      </c>
    </row>
    <row r="15" spans="1:3" ht="15" x14ac:dyDescent="0.25">
      <c r="A15" s="55" t="s">
        <v>15</v>
      </c>
      <c r="B15" s="56">
        <v>317</v>
      </c>
      <c r="C15" s="56">
        <v>183</v>
      </c>
    </row>
    <row r="16" spans="1:3" ht="15" x14ac:dyDescent="0.25">
      <c r="A16" s="55" t="s">
        <v>17</v>
      </c>
      <c r="B16" s="56">
        <v>260</v>
      </c>
      <c r="C16" s="56">
        <v>122</v>
      </c>
    </row>
    <row r="17" spans="1:3" ht="15" x14ac:dyDescent="0.25">
      <c r="A17" s="55" t="s">
        <v>18</v>
      </c>
      <c r="B17" s="56">
        <v>219</v>
      </c>
      <c r="C17" s="56">
        <v>117</v>
      </c>
    </row>
    <row r="18" spans="1:3" ht="15" x14ac:dyDescent="0.25">
      <c r="A18" s="55" t="s">
        <v>19</v>
      </c>
      <c r="B18" s="56">
        <v>412</v>
      </c>
      <c r="C18" s="56">
        <v>386</v>
      </c>
    </row>
    <row r="19" spans="1:3" ht="15" x14ac:dyDescent="0.25">
      <c r="A19" s="55" t="s">
        <v>20</v>
      </c>
      <c r="B19" s="56">
        <v>402</v>
      </c>
      <c r="C19" s="56">
        <v>178</v>
      </c>
    </row>
    <row r="20" spans="1:3" ht="15" x14ac:dyDescent="0.25">
      <c r="A20" s="55" t="s">
        <v>21</v>
      </c>
      <c r="B20" s="56">
        <v>62</v>
      </c>
      <c r="C20" s="57">
        <v>0</v>
      </c>
    </row>
    <row r="21" spans="1:3" ht="15" x14ac:dyDescent="0.25">
      <c r="A21" s="55" t="s">
        <v>22</v>
      </c>
      <c r="B21" s="56">
        <v>587</v>
      </c>
      <c r="C21" s="57">
        <v>289</v>
      </c>
    </row>
    <row r="22" spans="1:3" ht="15" x14ac:dyDescent="0.25">
      <c r="A22" s="55" t="s">
        <v>23</v>
      </c>
      <c r="B22" s="56">
        <v>393</v>
      </c>
      <c r="C22" s="56">
        <v>141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showGridLines="0" workbookViewId="0">
      <selection activeCell="A19" sqref="A19"/>
    </sheetView>
  </sheetViews>
  <sheetFormatPr defaultRowHeight="14.25" x14ac:dyDescent="0.2"/>
  <cols>
    <col min="1" max="1" width="85.125" customWidth="1"/>
  </cols>
  <sheetData>
    <row r="1" spans="1:2" x14ac:dyDescent="0.2">
      <c r="A1" s="45" t="s">
        <v>53</v>
      </c>
    </row>
    <row r="3" spans="1:2" x14ac:dyDescent="0.2">
      <c r="A3" s="81" t="s">
        <v>58</v>
      </c>
    </row>
    <row r="4" spans="1:2" x14ac:dyDescent="0.2">
      <c r="A4" s="83"/>
    </row>
    <row r="5" spans="1:2" ht="40.5" customHeight="1" x14ac:dyDescent="0.2">
      <c r="A5" s="83"/>
    </row>
    <row r="6" spans="1:2" x14ac:dyDescent="0.2">
      <c r="A6" s="46"/>
    </row>
    <row r="7" spans="1:2" ht="28.5" x14ac:dyDescent="0.2">
      <c r="A7" s="49" t="s">
        <v>55</v>
      </c>
    </row>
    <row r="8" spans="1:2" x14ac:dyDescent="0.2">
      <c r="A8" s="47"/>
    </row>
    <row r="9" spans="1:2" ht="28.5" x14ac:dyDescent="0.2">
      <c r="A9" s="42" t="s">
        <v>56</v>
      </c>
    </row>
    <row r="10" spans="1:2" x14ac:dyDescent="0.2">
      <c r="A10" s="47"/>
    </row>
    <row r="11" spans="1:2" x14ac:dyDescent="0.2">
      <c r="A11" s="80" t="s">
        <v>57</v>
      </c>
    </row>
    <row r="12" spans="1:2" ht="29.25" customHeight="1" x14ac:dyDescent="0.2">
      <c r="A12" s="83"/>
    </row>
    <row r="13" spans="1:2" x14ac:dyDescent="0.2">
      <c r="A13" s="43"/>
    </row>
    <row r="14" spans="1:2" ht="15" x14ac:dyDescent="0.25">
      <c r="A14" s="81" t="s">
        <v>59</v>
      </c>
      <c r="B14" s="39" t="s">
        <v>54</v>
      </c>
    </row>
    <row r="15" spans="1:2" ht="30.75" customHeight="1" x14ac:dyDescent="0.2">
      <c r="A15" s="83"/>
    </row>
  </sheetData>
  <mergeCells count="3">
    <mergeCell ref="A3:A5"/>
    <mergeCell ref="A11:A12"/>
    <mergeCell ref="A14:A1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ACSSF</vt:lpstr>
      <vt:lpstr>CSSF</vt:lpstr>
      <vt:lpstr>Instructions</vt:lpstr>
      <vt:lpstr>factype</vt:lpstr>
      <vt:lpstr>ACSSF!Print_Area</vt:lpstr>
      <vt:lpstr>CSSF!Print_Area</vt:lpstr>
      <vt:lpstr>Instructions!Print_Area</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Turcotte</dc:creator>
  <cp:lastModifiedBy>Paul Turcotte</cp:lastModifiedBy>
  <cp:lastPrinted>2010-12-07T15:11:11Z</cp:lastPrinted>
  <dcterms:created xsi:type="dcterms:W3CDTF">2009-05-18T20:10:25Z</dcterms:created>
  <dcterms:modified xsi:type="dcterms:W3CDTF">2011-09-27T20:03:00Z</dcterms:modified>
</cp:coreProperties>
</file>