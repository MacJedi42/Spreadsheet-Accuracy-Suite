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488" windowWidth="8460" windowHeight="6840" tabRatio="548"/>
  </bookViews>
  <sheets>
    <sheet name="Out-of-state" sheetId="24" r:id="rId1"/>
  </sheets>
  <definedNames>
    <definedName name="_xlnm.Print_Area" localSheetId="0">'Out-of-state'!$A$1:$L$65</definedName>
  </definedNames>
  <calcPr calcId="125725"/>
</workbook>
</file>

<file path=xl/calcChain.xml><?xml version="1.0" encoding="utf-8"?>
<calcChain xmlns="http://schemas.openxmlformats.org/spreadsheetml/2006/main">
  <c r="L63" i="24"/>
  <c r="Y14"/>
  <c r="Y15"/>
  <c r="Y16"/>
  <c r="Y17"/>
  <c r="Y18"/>
  <c r="Y19"/>
  <c r="Y20"/>
  <c r="Y21"/>
  <c r="Y22"/>
  <c r="Y23"/>
  <c r="Y24"/>
  <c r="Y25"/>
  <c r="Y26"/>
  <c r="Y27"/>
  <c r="Y28"/>
  <c r="Y29"/>
  <c r="Y30"/>
  <c r="Y31"/>
  <c r="X14"/>
  <c r="X15"/>
  <c r="X16"/>
  <c r="X17"/>
  <c r="X18"/>
  <c r="X19"/>
  <c r="X20"/>
  <c r="X21"/>
  <c r="X22"/>
  <c r="X23"/>
  <c r="X24"/>
  <c r="X25"/>
  <c r="X26"/>
  <c r="X27"/>
  <c r="X28"/>
  <c r="X29"/>
  <c r="X30"/>
  <c r="X31"/>
  <c r="W14"/>
  <c r="W15"/>
  <c r="W16"/>
  <c r="W17"/>
  <c r="W18"/>
  <c r="W19"/>
  <c r="W20"/>
  <c r="W21"/>
  <c r="W22"/>
  <c r="W23"/>
  <c r="W24"/>
  <c r="W25"/>
  <c r="W26"/>
  <c r="W27"/>
  <c r="W28"/>
  <c r="W29"/>
  <c r="W30"/>
  <c r="W31"/>
  <c r="Y13"/>
  <c r="X13"/>
  <c r="W13"/>
  <c r="V20"/>
  <c r="V21"/>
  <c r="V22"/>
  <c r="V23"/>
  <c r="V24"/>
  <c r="V25"/>
  <c r="V26"/>
  <c r="V27"/>
  <c r="V28"/>
  <c r="V29"/>
  <c r="V30"/>
  <c r="V31"/>
  <c r="U29"/>
  <c r="U30"/>
  <c r="U31"/>
  <c r="U27"/>
  <c r="U28"/>
  <c r="U24"/>
  <c r="U25"/>
  <c r="U26"/>
  <c r="U20"/>
  <c r="U21"/>
  <c r="U22"/>
  <c r="U23"/>
  <c r="V14"/>
  <c r="V15"/>
  <c r="V16"/>
  <c r="V17"/>
  <c r="V18"/>
  <c r="V19"/>
  <c r="V13"/>
  <c r="U14"/>
  <c r="U15"/>
  <c r="U16"/>
  <c r="U17"/>
  <c r="U18"/>
  <c r="U19"/>
  <c r="U13"/>
  <c r="I35"/>
  <c r="K35"/>
  <c r="L35"/>
  <c r="N17"/>
  <c r="J35" l="1"/>
  <c r="L36" s="1"/>
  <c r="L38" s="1"/>
</calcChain>
</file>

<file path=xl/sharedStrings.xml><?xml version="1.0" encoding="utf-8"?>
<sst xmlns="http://schemas.openxmlformats.org/spreadsheetml/2006/main" count="91" uniqueCount="83">
  <si>
    <t>State of South Dakota</t>
  </si>
  <si>
    <t>Date</t>
  </si>
  <si>
    <t>Miles</t>
  </si>
  <si>
    <t>Meals</t>
  </si>
  <si>
    <t>Lodging</t>
  </si>
  <si>
    <t>I declare and affirm under the penalties of perjury that this claim has been examined by me, and to the best of my knowledge and belief, is in all things true and correct.</t>
  </si>
  <si>
    <t>Commercial Airfare</t>
  </si>
  <si>
    <t>Car Rental, Shuttle,Taxi</t>
  </si>
  <si>
    <t>Account</t>
  </si>
  <si>
    <t>Claimant Signature</t>
  </si>
  <si>
    <t>Fund</t>
  </si>
  <si>
    <t>Org</t>
  </si>
  <si>
    <t>Amount</t>
  </si>
  <si>
    <t>Office Use Only</t>
  </si>
  <si>
    <t>Apply to Advance</t>
  </si>
  <si>
    <t>Amount Reimbursable</t>
  </si>
  <si>
    <t>I further agree to comply with the provisions of the Civil Rights Act of 1964 and regulations issued thereunder relating to non-discrimination in federally assisted programs.</t>
  </si>
  <si>
    <t>Index</t>
  </si>
  <si>
    <t>Activity</t>
  </si>
  <si>
    <t>06</t>
  </si>
  <si>
    <t>Misc.</t>
  </si>
  <si>
    <t>Expense</t>
  </si>
  <si>
    <t>Trans.</t>
  </si>
  <si>
    <t>Costs</t>
  </si>
  <si>
    <t>Auto</t>
  </si>
  <si>
    <t>Return</t>
  </si>
  <si>
    <t>Leave</t>
  </si>
  <si>
    <t>Time</t>
  </si>
  <si>
    <t>Date/</t>
  </si>
  <si>
    <t>Month</t>
  </si>
  <si>
    <t>Home Station</t>
  </si>
  <si>
    <t>Grand Total</t>
  </si>
  <si>
    <t>Prog</t>
  </si>
  <si>
    <t>Meals Not Overnight</t>
  </si>
  <si>
    <t>Subtotals</t>
  </si>
  <si>
    <t>Coding References</t>
  </si>
  <si>
    <t>Commodity</t>
  </si>
  <si>
    <t>01</t>
  </si>
  <si>
    <t>02</t>
  </si>
  <si>
    <t>03</t>
  </si>
  <si>
    <t>04</t>
  </si>
  <si>
    <t>05</t>
  </si>
  <si>
    <t>07</t>
  </si>
  <si>
    <t>08</t>
  </si>
  <si>
    <t>09</t>
  </si>
  <si>
    <t>Seq.</t>
  </si>
  <si>
    <t>Registration Fees</t>
  </si>
  <si>
    <t>Meal Rates</t>
  </si>
  <si>
    <t>Breakfast</t>
  </si>
  <si>
    <t>Lunch</t>
  </si>
  <si>
    <t>Dinner</t>
  </si>
  <si>
    <t>All Day</t>
  </si>
  <si>
    <t>Room</t>
  </si>
  <si>
    <r>
      <t>NOTE:</t>
    </r>
    <r>
      <rPr>
        <i/>
        <sz val="8"/>
        <color indexed="10"/>
        <rFont val="Arial"/>
        <family val="2"/>
      </rPr>
      <t xml:space="preserve"> Must leave before 5:31 a.m. to claim breakfast; must leave before 11:31 a.m. to claim lunch and must leave before 5:31 p.m.to claim dinner. Must leave before 5:31 a.m. and return after 7 :59 p.m. to claim full day of meals.</t>
    </r>
  </si>
  <si>
    <t>Standard Mileage (low)</t>
  </si>
  <si>
    <t>Mileage POV1 (high)</t>
  </si>
  <si>
    <t>Z1540-</t>
  </si>
  <si>
    <t>Authorizing Signature</t>
  </si>
  <si>
    <t>All Claimant wishes to claim.</t>
  </si>
  <si>
    <t>Banner Invoice #</t>
  </si>
  <si>
    <t>Incidentals</t>
  </si>
  <si>
    <t>Other</t>
  </si>
  <si>
    <t>Meals Overnight</t>
  </si>
  <si>
    <t>10</t>
  </si>
  <si>
    <t>Vendor Invoice #</t>
  </si>
  <si>
    <t>Auto License#</t>
  </si>
  <si>
    <t>Banner Vendor ID</t>
  </si>
  <si>
    <t>Payee Type</t>
  </si>
  <si>
    <t>Payee</t>
  </si>
  <si>
    <t>South Dakota School of Mines &amp; Technology</t>
  </si>
  <si>
    <t>Department Name</t>
  </si>
  <si>
    <t>Account Index(es)</t>
  </si>
  <si>
    <t>POV 1</t>
  </si>
  <si>
    <t>Standard</t>
  </si>
  <si>
    <r>
      <t xml:space="preserve">Purpose of Travel: </t>
    </r>
    <r>
      <rPr>
        <i/>
        <sz val="8"/>
        <rFont val="Arial"/>
        <family val="2"/>
      </rPr>
      <t>(pause on all 3 lines for pop-up help)</t>
    </r>
  </si>
  <si>
    <t>Employee</t>
  </si>
  <si>
    <t>Non-Employee</t>
  </si>
  <si>
    <t>Student</t>
  </si>
  <si>
    <t>Out of State Travel Payment Detail</t>
  </si>
  <si>
    <t>Original Receipt Required; Out of State Rate of $150.00 + tax</t>
  </si>
  <si>
    <r>
      <rPr>
        <sz val="10"/>
        <color indexed="10"/>
        <rFont val="Arial"/>
        <family val="2"/>
      </rPr>
      <t>5:01:02:11.  Out-of-state per diem rates.</t>
    </r>
    <r>
      <rPr>
        <sz val="11"/>
        <rFont val="Arial"/>
        <family val="2"/>
      </rPr>
      <t xml:space="preserve">  </t>
    </r>
    <r>
      <rPr>
        <sz val="8"/>
        <rFont val="Arial"/>
        <family val="2"/>
      </rPr>
      <t>The per diem rates for official state travel outside South Dakota are as follows:  The actual cost of lodging up to a maximum of $250 plus tax a day.  A person designated as having authority to approve out-of-state travel requests may at the person's discretion approve an additional allowance of up to $100 a day for lodging provided the total amount paid to the employee as reimbursement for lodging does not exceed the actual cost of that lodging.</t>
    </r>
  </si>
  <si>
    <t>Prepared By (if other than Claimant)</t>
  </si>
  <si>
    <t>Description of Travel, Destination</t>
  </si>
</sst>
</file>

<file path=xl/styles.xml><?xml version="1.0" encoding="utf-8"?>
<styleSheet xmlns="http://schemas.openxmlformats.org/spreadsheetml/2006/main">
  <numFmts count="7">
    <numFmt numFmtId="7" formatCode="&quot;$&quot;#,##0.00_);\(&quot;$&quot;#,##0.00\)"/>
    <numFmt numFmtId="8" formatCode="&quot;$&quot;#,##0.00_);[Red]\(&quot;$&quot;#,##0.00\)"/>
    <numFmt numFmtId="44" formatCode="_(&quot;$&quot;* #,##0.00_);_(&quot;$&quot;* \(#,##0.00\);_(&quot;$&quot;* &quot;-&quot;??_);_(@_)"/>
    <numFmt numFmtId="164" formatCode="&quot;$&quot;#,##0.00"/>
    <numFmt numFmtId="165" formatCode="0_);[Red]\(0\)"/>
    <numFmt numFmtId="166" formatCode="m/d/yy;@"/>
    <numFmt numFmtId="167" formatCode="0.0000000000_);\(0.0000000000\)"/>
  </numFmts>
  <fonts count="31">
    <font>
      <sz val="10"/>
      <name val="Arial"/>
    </font>
    <font>
      <i/>
      <sz val="10"/>
      <name val="Arial"/>
      <family val="2"/>
    </font>
    <font>
      <sz val="10"/>
      <name val="Arial"/>
      <family val="2"/>
    </font>
    <font>
      <sz val="8"/>
      <name val="Arial"/>
      <family val="2"/>
    </font>
    <font>
      <i/>
      <sz val="6"/>
      <name val="Arial"/>
      <family val="2"/>
    </font>
    <font>
      <sz val="10"/>
      <name val="Arial"/>
      <family val="2"/>
    </font>
    <font>
      <b/>
      <sz val="8"/>
      <name val="Arial"/>
      <family val="2"/>
    </font>
    <font>
      <i/>
      <sz val="7"/>
      <name val="Arial"/>
      <family val="2"/>
    </font>
    <font>
      <i/>
      <sz val="11"/>
      <name val="Arial"/>
      <family val="2"/>
    </font>
    <font>
      <sz val="11"/>
      <name val="Arial"/>
      <family val="2"/>
    </font>
    <font>
      <b/>
      <sz val="12"/>
      <name val="Arial"/>
      <family val="2"/>
    </font>
    <font>
      <i/>
      <sz val="8"/>
      <name val="Arial"/>
      <family val="2"/>
    </font>
    <font>
      <b/>
      <i/>
      <sz val="9"/>
      <name val="Arial"/>
      <family val="2"/>
    </font>
    <font>
      <sz val="9"/>
      <name val="Arial"/>
      <family val="2"/>
    </font>
    <font>
      <i/>
      <u/>
      <sz val="11"/>
      <name val="Arial"/>
      <family val="2"/>
    </font>
    <font>
      <b/>
      <sz val="11"/>
      <name val="Arial"/>
      <family val="2"/>
    </font>
    <font>
      <i/>
      <sz val="9"/>
      <name val="Arial"/>
      <family val="2"/>
    </font>
    <font>
      <b/>
      <sz val="10"/>
      <name val="Arial"/>
      <family val="2"/>
    </font>
    <font>
      <b/>
      <u/>
      <sz val="10"/>
      <name val="Arial"/>
      <family val="2"/>
    </font>
    <font>
      <i/>
      <sz val="10"/>
      <name val="Arial"/>
      <family val="2"/>
    </font>
    <font>
      <b/>
      <u/>
      <sz val="8"/>
      <color indexed="10"/>
      <name val="Arial"/>
      <family val="2"/>
    </font>
    <font>
      <sz val="8"/>
      <color indexed="10"/>
      <name val="Arial"/>
      <family val="2"/>
    </font>
    <font>
      <i/>
      <u/>
      <sz val="8"/>
      <color indexed="10"/>
      <name val="Arial"/>
      <family val="2"/>
    </font>
    <font>
      <i/>
      <sz val="8"/>
      <color indexed="10"/>
      <name val="Arial"/>
      <family val="2"/>
    </font>
    <font>
      <b/>
      <sz val="8"/>
      <color indexed="10"/>
      <name val="Arial"/>
      <family val="2"/>
    </font>
    <font>
      <b/>
      <sz val="9"/>
      <name val="Arial"/>
      <family val="2"/>
    </font>
    <font>
      <sz val="8"/>
      <color indexed="10"/>
      <name val="Arial"/>
      <family val="2"/>
    </font>
    <font>
      <b/>
      <sz val="8"/>
      <color indexed="10"/>
      <name val="Arial"/>
      <family val="2"/>
    </font>
    <font>
      <b/>
      <i/>
      <sz val="9"/>
      <color indexed="8"/>
      <name val="Arial"/>
      <family val="2"/>
    </font>
    <font>
      <u/>
      <sz val="9"/>
      <name val="Arial"/>
      <family val="2"/>
    </font>
    <font>
      <sz val="10"/>
      <color indexed="10"/>
      <name val="Arial"/>
      <family val="2"/>
    </font>
  </fonts>
  <fills count="4">
    <fill>
      <patternFill patternType="none"/>
    </fill>
    <fill>
      <patternFill patternType="gray125"/>
    </fill>
    <fill>
      <patternFill patternType="solid">
        <fgColor indexed="26"/>
        <bgColor indexed="64"/>
      </patternFill>
    </fill>
    <fill>
      <patternFill patternType="solid">
        <fgColor indexed="9"/>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top style="thin">
        <color indexed="64"/>
      </top>
      <bottom/>
      <diagonal/>
    </border>
    <border>
      <left/>
      <right style="thin">
        <color indexed="64"/>
      </right>
      <top style="thin">
        <color indexed="64"/>
      </top>
      <bottom/>
      <diagonal/>
    </border>
    <border>
      <left style="medium">
        <color indexed="64"/>
      </left>
      <right/>
      <top style="medium">
        <color indexed="64"/>
      </top>
      <bottom/>
      <diagonal/>
    </border>
    <border>
      <left/>
      <right style="medium">
        <color indexed="64"/>
      </right>
      <top/>
      <bottom style="medium">
        <color indexed="64"/>
      </bottom>
      <diagonal/>
    </border>
  </borders>
  <cellStyleXfs count="2">
    <xf numFmtId="0" fontId="0" fillId="0" borderId="0"/>
    <xf numFmtId="44" fontId="2" fillId="0" borderId="0" applyFont="0" applyFill="0" applyBorder="0" applyAlignment="0" applyProtection="0"/>
  </cellStyleXfs>
  <cellXfs count="271">
    <xf numFmtId="0" fontId="0" fillId="0" borderId="0" xfId="0"/>
    <xf numFmtId="0" fontId="3" fillId="0" borderId="0" xfId="0" applyFont="1" applyProtection="1">
      <protection locked="0"/>
    </xf>
    <xf numFmtId="0" fontId="5" fillId="0" borderId="0" xfId="0" applyFont="1" applyBorder="1" applyAlignment="1" applyProtection="1">
      <alignment horizontal="center"/>
      <protection locked="0"/>
    </xf>
    <xf numFmtId="0" fontId="3" fillId="0" borderId="0" xfId="0" applyFont="1" applyBorder="1" applyProtection="1">
      <protection locked="0"/>
    </xf>
    <xf numFmtId="0" fontId="3" fillId="0" borderId="0" xfId="0" applyFont="1" applyAlignment="1" applyProtection="1">
      <alignment horizontal="center"/>
      <protection locked="0"/>
    </xf>
    <xf numFmtId="0" fontId="6" fillId="0" borderId="0" xfId="0" applyFont="1" applyBorder="1" applyAlignment="1" applyProtection="1">
      <alignment horizontal="center"/>
      <protection locked="0"/>
    </xf>
    <xf numFmtId="4" fontId="3" fillId="0" borderId="0" xfId="0" applyNumberFormat="1" applyFont="1" applyProtection="1">
      <protection locked="0"/>
    </xf>
    <xf numFmtId="4" fontId="3" fillId="0" borderId="0" xfId="0" applyNumberFormat="1" applyFont="1" applyBorder="1" applyProtection="1">
      <protection locked="0"/>
    </xf>
    <xf numFmtId="18" fontId="3" fillId="0" borderId="0" xfId="0" applyNumberFormat="1" applyFont="1" applyBorder="1" applyProtection="1">
      <protection locked="0"/>
    </xf>
    <xf numFmtId="0" fontId="4" fillId="0" borderId="0" xfId="0" applyFont="1" applyProtection="1">
      <protection locked="0"/>
    </xf>
    <xf numFmtId="0" fontId="3" fillId="0" borderId="0" xfId="0" applyFont="1" applyFill="1" applyBorder="1" applyProtection="1">
      <protection locked="0"/>
    </xf>
    <xf numFmtId="18" fontId="3" fillId="0" borderId="0" xfId="0" applyNumberFormat="1" applyFont="1" applyProtection="1">
      <protection locked="0"/>
    </xf>
    <xf numFmtId="0" fontId="9" fillId="0" borderId="0" xfId="0" applyFont="1" applyBorder="1" applyProtection="1">
      <protection locked="0"/>
    </xf>
    <xf numFmtId="0" fontId="9" fillId="0" borderId="1" xfId="0" applyFont="1" applyBorder="1" applyProtection="1">
      <protection locked="0"/>
    </xf>
    <xf numFmtId="0" fontId="9" fillId="0" borderId="0" xfId="0" applyFont="1" applyProtection="1">
      <protection locked="0"/>
    </xf>
    <xf numFmtId="0" fontId="13" fillId="0" borderId="0" xfId="0" applyFont="1" applyBorder="1" applyProtection="1">
      <protection locked="0"/>
    </xf>
    <xf numFmtId="0" fontId="5" fillId="0" borderId="0" xfId="0" applyFont="1" applyFill="1" applyBorder="1" applyAlignment="1" applyProtection="1">
      <alignment horizontal="center"/>
      <protection locked="0"/>
    </xf>
    <xf numFmtId="0" fontId="3" fillId="0" borderId="0" xfId="0" applyFont="1" applyFill="1" applyProtection="1">
      <protection locked="0"/>
    </xf>
    <xf numFmtId="0" fontId="0" fillId="0" borderId="0" xfId="0" applyBorder="1" applyProtection="1">
      <protection locked="0"/>
    </xf>
    <xf numFmtId="0" fontId="9" fillId="0" borderId="0" xfId="0" applyFont="1" applyFill="1" applyBorder="1" applyProtection="1">
      <protection locked="0"/>
    </xf>
    <xf numFmtId="166" fontId="9" fillId="0" borderId="0" xfId="0" applyNumberFormat="1" applyFont="1" applyBorder="1" applyAlignment="1" applyProtection="1">
      <alignment horizontal="center"/>
      <protection locked="0"/>
    </xf>
    <xf numFmtId="165" fontId="9" fillId="0" borderId="0" xfId="0" applyNumberFormat="1" applyFont="1" applyBorder="1" applyAlignment="1" applyProtection="1">
      <alignment horizontal="center"/>
      <protection locked="0"/>
    </xf>
    <xf numFmtId="8" fontId="9" fillId="0" borderId="0" xfId="0" applyNumberFormat="1" applyFont="1" applyBorder="1" applyAlignment="1" applyProtection="1">
      <alignment horizontal="center"/>
      <protection locked="0"/>
    </xf>
    <xf numFmtId="8" fontId="9" fillId="0" borderId="0" xfId="0" applyNumberFormat="1" applyFont="1" applyBorder="1" applyAlignment="1" applyProtection="1">
      <alignment horizontal="right"/>
      <protection locked="0"/>
    </xf>
    <xf numFmtId="164" fontId="9" fillId="0" borderId="0" xfId="0" applyNumberFormat="1" applyFont="1" applyBorder="1" applyAlignment="1" applyProtection="1">
      <alignment horizontal="right"/>
      <protection locked="0"/>
    </xf>
    <xf numFmtId="0" fontId="9" fillId="0" borderId="0" xfId="0" applyFont="1" applyBorder="1" applyAlignment="1" applyProtection="1">
      <alignment horizontal="left" indent="1"/>
      <protection locked="0"/>
    </xf>
    <xf numFmtId="4" fontId="9" fillId="0" borderId="0" xfId="0" applyNumberFormat="1" applyFont="1" applyBorder="1" applyAlignment="1" applyProtection="1">
      <alignment horizontal="right"/>
      <protection locked="0"/>
    </xf>
    <xf numFmtId="4" fontId="9" fillId="0" borderId="0" xfId="0" applyNumberFormat="1" applyFont="1" applyBorder="1" applyAlignment="1" applyProtection="1">
      <alignment horizontal="left"/>
      <protection locked="0"/>
    </xf>
    <xf numFmtId="4" fontId="9" fillId="0" borderId="0" xfId="0" applyNumberFormat="1" applyFont="1" applyBorder="1" applyProtection="1">
      <protection locked="0"/>
    </xf>
    <xf numFmtId="165" fontId="9" fillId="0" borderId="0" xfId="0" applyNumberFormat="1" applyFont="1" applyBorder="1" applyAlignment="1" applyProtection="1">
      <alignment horizontal="left"/>
      <protection locked="0"/>
    </xf>
    <xf numFmtId="0" fontId="9" fillId="0" borderId="0" xfId="0" applyFont="1" applyBorder="1" applyAlignment="1" applyProtection="1">
      <alignment horizontal="right"/>
      <protection locked="0"/>
    </xf>
    <xf numFmtId="18" fontId="9" fillId="0" borderId="0" xfId="0" applyNumberFormat="1" applyFont="1" applyProtection="1">
      <protection locked="0"/>
    </xf>
    <xf numFmtId="0" fontId="9" fillId="0" borderId="0" xfId="0" applyFont="1" applyFill="1" applyProtection="1">
      <protection locked="0"/>
    </xf>
    <xf numFmtId="0" fontId="9" fillId="0" borderId="0" xfId="0" applyFont="1" applyAlignment="1" applyProtection="1">
      <alignment horizontal="center"/>
      <protection locked="0"/>
    </xf>
    <xf numFmtId="166" fontId="5" fillId="0" borderId="0" xfId="0" applyNumberFormat="1" applyFont="1" applyBorder="1" applyAlignment="1" applyProtection="1">
      <alignment horizontal="center"/>
      <protection locked="0"/>
    </xf>
    <xf numFmtId="0" fontId="17" fillId="0" borderId="0" xfId="0" applyFont="1" applyBorder="1" applyAlignment="1" applyProtection="1">
      <alignment horizontal="center"/>
      <protection locked="0"/>
    </xf>
    <xf numFmtId="0" fontId="18" fillId="0" borderId="0" xfId="0" applyFont="1" applyBorder="1" applyAlignment="1" applyProtection="1">
      <protection locked="0"/>
    </xf>
    <xf numFmtId="0" fontId="17" fillId="0" borderId="0" xfId="0" applyFont="1" applyFill="1" applyBorder="1" applyProtection="1">
      <protection locked="0"/>
    </xf>
    <xf numFmtId="0" fontId="9" fillId="0" borderId="0" xfId="0" applyFont="1" applyAlignment="1" applyProtection="1">
      <alignment horizontal="right"/>
      <protection locked="0"/>
    </xf>
    <xf numFmtId="0" fontId="4" fillId="0" borderId="0" xfId="0" applyFont="1" applyBorder="1" applyProtection="1">
      <protection locked="0"/>
    </xf>
    <xf numFmtId="0" fontId="2" fillId="0" borderId="0" xfId="0" applyFont="1" applyBorder="1" applyProtection="1">
      <protection locked="0"/>
    </xf>
    <xf numFmtId="18" fontId="13" fillId="0" borderId="0" xfId="0" applyNumberFormat="1" applyFont="1" applyBorder="1" applyProtection="1">
      <protection locked="0"/>
    </xf>
    <xf numFmtId="164" fontId="21" fillId="0" borderId="2" xfId="0" applyNumberFormat="1" applyFont="1" applyFill="1" applyBorder="1" applyAlignment="1" applyProtection="1">
      <alignment horizontal="right"/>
      <protection locked="0"/>
    </xf>
    <xf numFmtId="0" fontId="21" fillId="0" borderId="0" xfId="0" applyFont="1" applyFill="1" applyBorder="1" applyAlignment="1" applyProtection="1">
      <alignment horizontal="left" indent="1"/>
      <protection locked="0"/>
    </xf>
    <xf numFmtId="164" fontId="21" fillId="0" borderId="2" xfId="0" applyNumberFormat="1" applyFont="1" applyBorder="1" applyAlignment="1" applyProtection="1">
      <alignment horizontal="right"/>
      <protection locked="0"/>
    </xf>
    <xf numFmtId="0" fontId="21" fillId="0" borderId="0" xfId="0" applyFont="1" applyBorder="1" applyAlignment="1" applyProtection="1">
      <alignment horizontal="left" indent="1"/>
      <protection locked="0"/>
    </xf>
    <xf numFmtId="164" fontId="21" fillId="0" borderId="3" xfId="0" applyNumberFormat="1" applyFont="1" applyBorder="1" applyAlignment="1" applyProtection="1">
      <alignment horizontal="right"/>
      <protection locked="0"/>
    </xf>
    <xf numFmtId="0" fontId="21" fillId="0" borderId="4" xfId="0" applyFont="1" applyBorder="1" applyAlignment="1" applyProtection="1">
      <alignment horizontal="left" indent="1"/>
      <protection locked="0"/>
    </xf>
    <xf numFmtId="0" fontId="24" fillId="0" borderId="0" xfId="0" applyFont="1" applyBorder="1" applyProtection="1">
      <protection locked="0"/>
    </xf>
    <xf numFmtId="0" fontId="24" fillId="0" borderId="0" xfId="0" applyFont="1" applyProtection="1">
      <protection locked="0"/>
    </xf>
    <xf numFmtId="0" fontId="9" fillId="0" borderId="1" xfId="0" applyFont="1" applyBorder="1" applyAlignment="1" applyProtection="1">
      <alignment horizontal="center"/>
      <protection locked="0"/>
    </xf>
    <xf numFmtId="0" fontId="9" fillId="0" borderId="5" xfId="0" applyFont="1" applyBorder="1" applyProtection="1">
      <protection locked="0"/>
    </xf>
    <xf numFmtId="0" fontId="11" fillId="0" borderId="2" xfId="0" applyFont="1" applyBorder="1" applyAlignment="1" applyProtection="1">
      <alignment horizontal="left"/>
    </xf>
    <xf numFmtId="0" fontId="9" fillId="0" borderId="8" xfId="0" applyFont="1" applyBorder="1" applyAlignment="1" applyProtection="1">
      <alignment horizontal="center"/>
      <protection locked="0"/>
    </xf>
    <xf numFmtId="0" fontId="9" fillId="0" borderId="0" xfId="0" applyFont="1" applyBorder="1" applyAlignment="1" applyProtection="1">
      <alignment horizontal="left"/>
      <protection locked="0"/>
    </xf>
    <xf numFmtId="0" fontId="3" fillId="0" borderId="0" xfId="0" applyFont="1" applyBorder="1" applyAlignment="1" applyProtection="1">
      <alignment horizontal="center"/>
      <protection locked="0"/>
    </xf>
    <xf numFmtId="18" fontId="3" fillId="0" borderId="0" xfId="0" applyNumberFormat="1" applyFont="1" applyBorder="1" applyAlignment="1" applyProtection="1">
      <alignment horizontal="center"/>
      <protection locked="0"/>
    </xf>
    <xf numFmtId="0" fontId="11" fillId="0" borderId="3" xfId="0" applyFont="1" applyBorder="1" applyAlignment="1" applyProtection="1">
      <alignment horizontal="left"/>
    </xf>
    <xf numFmtId="167" fontId="3" fillId="0" borderId="0" xfId="0" applyNumberFormat="1" applyFont="1" applyProtection="1">
      <protection locked="0"/>
    </xf>
    <xf numFmtId="167" fontId="17" fillId="0" borderId="0" xfId="0" applyNumberFormat="1" applyFont="1" applyFill="1" applyBorder="1" applyProtection="1">
      <protection locked="0"/>
    </xf>
    <xf numFmtId="167" fontId="9" fillId="0" borderId="0" xfId="0" applyNumberFormat="1" applyFont="1" applyBorder="1" applyProtection="1">
      <protection locked="0"/>
    </xf>
    <xf numFmtId="167" fontId="9" fillId="0" borderId="0" xfId="0" applyNumberFormat="1" applyFont="1" applyProtection="1">
      <protection locked="0"/>
    </xf>
    <xf numFmtId="167" fontId="4" fillId="0" borderId="0" xfId="0" applyNumberFormat="1" applyFont="1" applyProtection="1">
      <protection locked="0"/>
    </xf>
    <xf numFmtId="167" fontId="3" fillId="0" borderId="0" xfId="0" applyNumberFormat="1" applyFont="1" applyBorder="1" applyProtection="1">
      <protection locked="0"/>
    </xf>
    <xf numFmtId="167" fontId="3" fillId="0" borderId="0" xfId="0" applyNumberFormat="1" applyFont="1" applyFill="1" applyBorder="1" applyProtection="1">
      <protection locked="0"/>
    </xf>
    <xf numFmtId="167" fontId="2" fillId="0" borderId="0" xfId="0" applyNumberFormat="1" applyFont="1" applyBorder="1" applyProtection="1">
      <protection locked="0"/>
    </xf>
    <xf numFmtId="167" fontId="3" fillId="0" borderId="0" xfId="0" applyNumberFormat="1" applyFont="1" applyBorder="1" applyAlignment="1" applyProtection="1">
      <alignment horizontal="center"/>
      <protection locked="0"/>
    </xf>
    <xf numFmtId="8" fontId="13" fillId="2" borderId="1" xfId="0" applyNumberFormat="1" applyFont="1" applyFill="1" applyBorder="1" applyAlignment="1" applyProtection="1">
      <alignment horizontal="right"/>
      <protection locked="0"/>
    </xf>
    <xf numFmtId="3" fontId="13" fillId="2" borderId="1" xfId="0" applyNumberFormat="1" applyFont="1" applyFill="1" applyBorder="1" applyAlignment="1" applyProtection="1">
      <alignment horizontal="right"/>
      <protection locked="0"/>
    </xf>
    <xf numFmtId="8" fontId="13" fillId="0" borderId="1" xfId="0" applyNumberFormat="1" applyFont="1" applyBorder="1" applyAlignment="1" applyProtection="1">
      <alignment horizontal="right"/>
      <protection locked="0"/>
    </xf>
    <xf numFmtId="8" fontId="13" fillId="0" borderId="8" xfId="0" applyNumberFormat="1" applyFont="1" applyBorder="1" applyAlignment="1" applyProtection="1">
      <alignment horizontal="right"/>
      <protection locked="0"/>
    </xf>
    <xf numFmtId="14" fontId="13" fillId="0" borderId="1" xfId="0" applyNumberFormat="1" applyFont="1" applyBorder="1" applyAlignment="1" applyProtection="1">
      <alignment horizontal="right"/>
      <protection locked="0"/>
    </xf>
    <xf numFmtId="8" fontId="13" fillId="0" borderId="11" xfId="0" applyNumberFormat="1" applyFont="1" applyBorder="1" applyAlignment="1" applyProtection="1">
      <alignment horizontal="center"/>
      <protection locked="0"/>
    </xf>
    <xf numFmtId="3" fontId="13" fillId="0" borderId="8" xfId="0" applyNumberFormat="1" applyFont="1" applyBorder="1" applyAlignment="1" applyProtection="1">
      <alignment horizontal="center"/>
      <protection locked="0"/>
    </xf>
    <xf numFmtId="8" fontId="13" fillId="0" borderId="8" xfId="0" applyNumberFormat="1" applyFont="1" applyBorder="1" applyAlignment="1" applyProtection="1">
      <alignment horizontal="center"/>
      <protection locked="0"/>
    </xf>
    <xf numFmtId="8" fontId="13" fillId="0" borderId="8" xfId="0" applyNumberFormat="1" applyFont="1" applyBorder="1" applyAlignment="1" applyProtection="1">
      <protection locked="0"/>
    </xf>
    <xf numFmtId="3" fontId="13" fillId="0" borderId="1" xfId="0" applyNumberFormat="1" applyFont="1" applyBorder="1" applyAlignment="1" applyProtection="1">
      <protection locked="0"/>
    </xf>
    <xf numFmtId="8" fontId="13" fillId="0" borderId="1" xfId="0" applyNumberFormat="1" applyFont="1" applyBorder="1" applyAlignment="1" applyProtection="1">
      <alignment horizontal="center"/>
      <protection locked="0"/>
    </xf>
    <xf numFmtId="8" fontId="13" fillId="0" borderId="1" xfId="0" applyNumberFormat="1" applyFont="1" applyBorder="1" applyAlignment="1" applyProtection="1">
      <protection locked="0"/>
    </xf>
    <xf numFmtId="3" fontId="13" fillId="0" borderId="1" xfId="0" applyNumberFormat="1" applyFont="1" applyBorder="1" applyProtection="1">
      <protection locked="0"/>
    </xf>
    <xf numFmtId="8" fontId="13" fillId="0" borderId="1" xfId="0" applyNumberFormat="1" applyFont="1" applyBorder="1" applyProtection="1">
      <protection locked="0"/>
    </xf>
    <xf numFmtId="3" fontId="13" fillId="0" borderId="11" xfId="0" applyNumberFormat="1" applyFont="1" applyBorder="1" applyProtection="1">
      <protection locked="0"/>
    </xf>
    <xf numFmtId="8" fontId="13" fillId="0" borderId="11" xfId="0" applyNumberFormat="1" applyFont="1" applyBorder="1" applyProtection="1">
      <protection locked="0"/>
    </xf>
    <xf numFmtId="3" fontId="13" fillId="0" borderId="8" xfId="0" applyNumberFormat="1" applyFont="1" applyBorder="1" applyProtection="1">
      <protection locked="0"/>
    </xf>
    <xf numFmtId="8" fontId="13" fillId="0" borderId="8" xfId="0" applyNumberFormat="1" applyFont="1" applyBorder="1" applyProtection="1">
      <protection locked="0"/>
    </xf>
    <xf numFmtId="14" fontId="13" fillId="2" borderId="1" xfId="0" applyNumberFormat="1" applyFont="1" applyFill="1" applyBorder="1" applyAlignment="1" applyProtection="1">
      <alignment horizontal="right"/>
      <protection locked="0"/>
    </xf>
    <xf numFmtId="14" fontId="29" fillId="0" borderId="8" xfId="0" applyNumberFormat="1" applyFont="1" applyBorder="1" applyAlignment="1" applyProtection="1">
      <alignment horizontal="right"/>
      <protection locked="0"/>
    </xf>
    <xf numFmtId="14" fontId="13" fillId="0" borderId="11" xfId="0" applyNumberFormat="1" applyFont="1" applyBorder="1" applyAlignment="1" applyProtection="1">
      <alignment horizontal="right"/>
      <protection locked="0"/>
    </xf>
    <xf numFmtId="14" fontId="13" fillId="0" borderId="8" xfId="0" applyNumberFormat="1" applyFont="1" applyBorder="1" applyAlignment="1" applyProtection="1">
      <alignment horizontal="right"/>
      <protection locked="0"/>
    </xf>
    <xf numFmtId="166" fontId="13" fillId="0" borderId="11" xfId="0" applyNumberFormat="1" applyFont="1" applyBorder="1" applyProtection="1">
      <protection locked="0"/>
    </xf>
    <xf numFmtId="0" fontId="13" fillId="0" borderId="11" xfId="0" applyFont="1" applyFill="1" applyBorder="1" applyProtection="1">
      <protection locked="0"/>
    </xf>
    <xf numFmtId="0" fontId="13" fillId="0" borderId="11" xfId="0" applyFont="1" applyBorder="1" applyProtection="1">
      <protection locked="0"/>
    </xf>
    <xf numFmtId="14" fontId="13" fillId="2" borderId="11" xfId="0" applyNumberFormat="1" applyFont="1" applyFill="1" applyBorder="1" applyAlignment="1" applyProtection="1">
      <alignment horizontal="right"/>
      <protection locked="0"/>
    </xf>
    <xf numFmtId="3" fontId="13" fillId="2" borderId="11" xfId="0" applyNumberFormat="1" applyFont="1" applyFill="1" applyBorder="1" applyAlignment="1" applyProtection="1">
      <alignment horizontal="right"/>
      <protection locked="0"/>
    </xf>
    <xf numFmtId="8" fontId="13" fillId="2" borderId="11" xfId="0" applyNumberFormat="1" applyFont="1" applyFill="1" applyBorder="1" applyAlignment="1" applyProtection="1">
      <alignment horizontal="right"/>
      <protection locked="0"/>
    </xf>
    <xf numFmtId="14" fontId="13" fillId="2" borderId="8" xfId="0" applyNumberFormat="1" applyFont="1" applyFill="1" applyBorder="1" applyAlignment="1" applyProtection="1">
      <alignment horizontal="right"/>
      <protection locked="0"/>
    </xf>
    <xf numFmtId="3" fontId="13" fillId="2" borderId="8" xfId="0" applyNumberFormat="1" applyFont="1" applyFill="1" applyBorder="1" applyAlignment="1" applyProtection="1">
      <alignment horizontal="right"/>
      <protection locked="0"/>
    </xf>
    <xf numFmtId="8" fontId="13" fillId="2" borderId="8" xfId="0" applyNumberFormat="1" applyFont="1" applyFill="1" applyBorder="1" applyAlignment="1" applyProtection="1">
      <alignment horizontal="right"/>
      <protection locked="0"/>
    </xf>
    <xf numFmtId="3" fontId="13" fillId="2" borderId="11" xfId="0" applyNumberFormat="1" applyFont="1" applyFill="1" applyBorder="1" applyAlignment="1" applyProtection="1">
      <protection locked="0"/>
    </xf>
    <xf numFmtId="8" fontId="13" fillId="2" borderId="11" xfId="0" applyNumberFormat="1" applyFont="1" applyFill="1" applyBorder="1" applyAlignment="1" applyProtection="1">
      <protection locked="0"/>
    </xf>
    <xf numFmtId="0" fontId="26" fillId="0" borderId="0" xfId="0" applyFont="1" applyBorder="1" applyAlignment="1" applyProtection="1">
      <protection locked="0"/>
    </xf>
    <xf numFmtId="7" fontId="26" fillId="0" borderId="0" xfId="0" applyNumberFormat="1" applyFont="1" applyBorder="1" applyAlignment="1" applyProtection="1">
      <protection locked="0"/>
    </xf>
    <xf numFmtId="0" fontId="26" fillId="0" borderId="0" xfId="0" applyFont="1" applyProtection="1">
      <protection locked="0"/>
    </xf>
    <xf numFmtId="7" fontId="26" fillId="0" borderId="0" xfId="0" applyNumberFormat="1" applyFont="1" applyProtection="1">
      <protection locked="0"/>
    </xf>
    <xf numFmtId="8" fontId="9" fillId="2" borderId="0" xfId="0" applyNumberFormat="1" applyFont="1" applyFill="1" applyAlignment="1" applyProtection="1">
      <alignment horizontal="right"/>
      <protection locked="0"/>
    </xf>
    <xf numFmtId="0" fontId="3" fillId="0" borderId="14" xfId="0" applyFont="1" applyFill="1" applyBorder="1" applyProtection="1">
      <protection locked="0"/>
    </xf>
    <xf numFmtId="18" fontId="3" fillId="0" borderId="14" xfId="0" applyNumberFormat="1" applyFont="1" applyFill="1" applyBorder="1" applyProtection="1">
      <protection locked="0"/>
    </xf>
    <xf numFmtId="0" fontId="6" fillId="0" borderId="14" xfId="0" applyFont="1" applyFill="1" applyBorder="1" applyProtection="1">
      <protection locked="0"/>
    </xf>
    <xf numFmtId="0" fontId="3" fillId="0" borderId="14" xfId="0" applyFont="1" applyFill="1" applyBorder="1" applyAlignment="1" applyProtection="1">
      <alignment horizontal="center"/>
      <protection locked="0"/>
    </xf>
    <xf numFmtId="0" fontId="3" fillId="0" borderId="15" xfId="0" applyFont="1" applyFill="1" applyBorder="1" applyProtection="1">
      <protection locked="0"/>
    </xf>
    <xf numFmtId="0" fontId="2" fillId="0" borderId="16" xfId="0" applyFont="1" applyFill="1" applyBorder="1" applyProtection="1">
      <protection locked="0"/>
    </xf>
    <xf numFmtId="0" fontId="2" fillId="0" borderId="17" xfId="0" applyFont="1" applyFill="1" applyBorder="1" applyAlignment="1" applyProtection="1">
      <alignment horizontal="right"/>
      <protection locked="0"/>
    </xf>
    <xf numFmtId="0" fontId="19" fillId="0" borderId="1" xfId="0" applyFont="1" applyBorder="1" applyAlignment="1" applyProtection="1">
      <alignment horizontal="center" vertical="center"/>
    </xf>
    <xf numFmtId="0" fontId="19" fillId="0" borderId="5" xfId="0" applyFont="1" applyBorder="1" applyAlignment="1" applyProtection="1">
      <alignment horizontal="center" vertical="center"/>
    </xf>
    <xf numFmtId="8" fontId="9" fillId="0" borderId="1" xfId="0" applyNumberFormat="1" applyFont="1" applyBorder="1" applyAlignment="1" applyProtection="1">
      <alignment horizontal="center"/>
      <protection locked="0"/>
    </xf>
    <xf numFmtId="8" fontId="9" fillId="0" borderId="5" xfId="0" applyNumberFormat="1" applyFont="1" applyBorder="1" applyAlignment="1" applyProtection="1">
      <alignment horizontal="center"/>
      <protection locked="0"/>
    </xf>
    <xf numFmtId="8" fontId="13" fillId="0" borderId="8" xfId="0" applyNumberFormat="1" applyFont="1" applyFill="1" applyBorder="1" applyAlignment="1" applyProtection="1">
      <alignment horizontal="right"/>
      <protection locked="0"/>
    </xf>
    <xf numFmtId="8" fontId="13" fillId="0" borderId="1" xfId="0" applyNumberFormat="1" applyFont="1" applyFill="1" applyBorder="1" applyAlignment="1" applyProtection="1">
      <alignment horizontal="right"/>
      <protection locked="0"/>
    </xf>
    <xf numFmtId="8" fontId="13" fillId="0" borderId="11" xfId="0" applyNumberFormat="1" applyFont="1" applyFill="1" applyBorder="1" applyAlignment="1" applyProtection="1">
      <alignment horizontal="right"/>
      <protection locked="0"/>
    </xf>
    <xf numFmtId="0" fontId="8" fillId="0" borderId="1" xfId="0" applyFont="1" applyBorder="1" applyAlignment="1" applyProtection="1">
      <alignment vertical="center"/>
      <protection locked="0"/>
    </xf>
    <xf numFmtId="0" fontId="8" fillId="0" borderId="5" xfId="0" applyFont="1" applyBorder="1" applyAlignment="1" applyProtection="1">
      <alignment vertical="center"/>
      <protection locked="0"/>
    </xf>
    <xf numFmtId="0" fontId="19" fillId="0" borderId="1" xfId="0" applyFont="1" applyBorder="1" applyAlignment="1" applyProtection="1">
      <alignment horizontal="center" vertical="center"/>
      <protection locked="0"/>
    </xf>
    <xf numFmtId="0" fontId="9" fillId="0" borderId="0" xfId="0" applyFont="1" applyBorder="1" applyProtection="1"/>
    <xf numFmtId="0" fontId="11" fillId="0" borderId="0" xfId="0" applyFont="1" applyBorder="1" applyAlignment="1" applyProtection="1">
      <alignment horizontal="center" vertical="center"/>
    </xf>
    <xf numFmtId="0" fontId="9" fillId="0" borderId="4" xfId="0" applyFont="1" applyBorder="1" applyProtection="1"/>
    <xf numFmtId="0" fontId="11" fillId="0" borderId="4" xfId="0" applyFont="1" applyBorder="1" applyAlignment="1" applyProtection="1">
      <alignment horizontal="center" vertical="center"/>
    </xf>
    <xf numFmtId="8" fontId="5" fillId="0" borderId="0" xfId="0" applyNumberFormat="1" applyFont="1" applyBorder="1" applyAlignment="1" applyProtection="1">
      <alignment horizontal="center"/>
      <protection locked="0"/>
    </xf>
    <xf numFmtId="0" fontId="13" fillId="2" borderId="1" xfId="0" applyNumberFormat="1" applyFont="1" applyFill="1" applyBorder="1" applyAlignment="1" applyProtection="1">
      <alignment horizontal="right"/>
      <protection locked="0"/>
    </xf>
    <xf numFmtId="0" fontId="13" fillId="2" borderId="11" xfId="0" applyNumberFormat="1" applyFont="1" applyFill="1" applyBorder="1" applyAlignment="1" applyProtection="1">
      <alignment horizontal="right"/>
      <protection locked="0"/>
    </xf>
    <xf numFmtId="0" fontId="13" fillId="2" borderId="8" xfId="0" applyNumberFormat="1" applyFont="1" applyFill="1" applyBorder="1" applyAlignment="1" applyProtection="1">
      <alignment horizontal="right"/>
      <protection locked="0"/>
    </xf>
    <xf numFmtId="0" fontId="13" fillId="2" borderId="11" xfId="0" applyNumberFormat="1" applyFont="1" applyFill="1" applyBorder="1" applyAlignment="1" applyProtection="1">
      <protection locked="0"/>
    </xf>
    <xf numFmtId="0" fontId="13" fillId="0" borderId="8" xfId="0" applyNumberFormat="1" applyFont="1" applyFill="1" applyBorder="1" applyAlignment="1" applyProtection="1">
      <alignment horizontal="center"/>
      <protection locked="0"/>
    </xf>
    <xf numFmtId="0" fontId="13" fillId="0" borderId="8" xfId="0" applyNumberFormat="1" applyFont="1" applyBorder="1" applyAlignment="1" applyProtection="1">
      <alignment horizontal="center"/>
      <protection locked="0"/>
    </xf>
    <xf numFmtId="0" fontId="13" fillId="0" borderId="1" xfId="0" applyNumberFormat="1" applyFont="1" applyBorder="1" applyAlignment="1" applyProtection="1">
      <protection locked="0"/>
    </xf>
    <xf numFmtId="0" fontId="13" fillId="0" borderId="1" xfId="0" applyNumberFormat="1" applyFont="1" applyFill="1" applyBorder="1" applyProtection="1">
      <protection locked="0"/>
    </xf>
    <xf numFmtId="0" fontId="13" fillId="0" borderId="1" xfId="0" applyNumberFormat="1" applyFont="1" applyBorder="1" applyProtection="1">
      <protection locked="0"/>
    </xf>
    <xf numFmtId="0" fontId="13" fillId="0" borderId="11" xfId="0" applyNumberFormat="1" applyFont="1" applyFill="1" applyBorder="1" applyProtection="1">
      <protection locked="0"/>
    </xf>
    <xf numFmtId="0" fontId="13" fillId="0" borderId="11" xfId="0" applyNumberFormat="1" applyFont="1" applyBorder="1" applyProtection="1">
      <protection locked="0"/>
    </xf>
    <xf numFmtId="0" fontId="13" fillId="0" borderId="8" xfId="0" applyNumberFormat="1" applyFont="1" applyFill="1" applyBorder="1" applyProtection="1">
      <protection locked="0"/>
    </xf>
    <xf numFmtId="0" fontId="13" fillId="0" borderId="8" xfId="0" applyNumberFormat="1" applyFont="1" applyBorder="1" applyProtection="1">
      <protection locked="0"/>
    </xf>
    <xf numFmtId="0" fontId="10" fillId="0" borderId="0" xfId="0" applyFont="1" applyBorder="1" applyAlignment="1" applyProtection="1">
      <alignment vertical="top"/>
      <protection locked="0"/>
    </xf>
    <xf numFmtId="0" fontId="11" fillId="0" borderId="0" xfId="0" applyFont="1" applyBorder="1" applyAlignment="1" applyProtection="1">
      <protection locked="0"/>
    </xf>
    <xf numFmtId="0" fontId="5" fillId="0" borderId="0" xfId="0" applyFont="1" applyAlignment="1" applyProtection="1">
      <alignment vertical="center"/>
      <protection locked="0"/>
    </xf>
    <xf numFmtId="0" fontId="5" fillId="0" borderId="0" xfId="0" applyFont="1" applyBorder="1" applyAlignment="1" applyProtection="1">
      <alignment vertical="center"/>
      <protection locked="0"/>
    </xf>
    <xf numFmtId="0" fontId="27" fillId="0" borderId="0" xfId="0" applyFont="1" applyBorder="1" applyAlignment="1" applyProtection="1">
      <alignment vertical="center"/>
      <protection locked="0"/>
    </xf>
    <xf numFmtId="167" fontId="5" fillId="0" borderId="0" xfId="0" applyNumberFormat="1" applyFont="1" applyAlignment="1" applyProtection="1">
      <alignment vertical="center"/>
      <protection locked="0"/>
    </xf>
    <xf numFmtId="0" fontId="9" fillId="0" borderId="2" xfId="0" applyFont="1" applyBorder="1" applyAlignment="1" applyProtection="1">
      <alignment vertical="center"/>
      <protection locked="0"/>
    </xf>
    <xf numFmtId="0" fontId="9" fillId="0" borderId="0" xfId="0" applyFont="1" applyBorder="1" applyAlignment="1" applyProtection="1">
      <alignment vertical="center"/>
      <protection locked="0"/>
    </xf>
    <xf numFmtId="0" fontId="9" fillId="0" borderId="0" xfId="0" applyFont="1" applyAlignment="1" applyProtection="1">
      <alignment vertical="center"/>
      <protection locked="0"/>
    </xf>
    <xf numFmtId="0" fontId="26" fillId="0" borderId="0" xfId="0" applyFont="1" applyBorder="1" applyAlignment="1" applyProtection="1">
      <alignment vertical="center"/>
      <protection locked="0"/>
    </xf>
    <xf numFmtId="0" fontId="3" fillId="0" borderId="0" xfId="0" applyFont="1" applyAlignment="1" applyProtection="1">
      <alignment vertical="center"/>
      <protection locked="0"/>
    </xf>
    <xf numFmtId="167" fontId="9" fillId="0" borderId="0" xfId="0" applyNumberFormat="1" applyFont="1" applyAlignment="1" applyProtection="1">
      <alignment vertical="center"/>
      <protection locked="0"/>
    </xf>
    <xf numFmtId="0" fontId="17" fillId="0" borderId="0" xfId="0" applyFont="1" applyFill="1" applyBorder="1" applyAlignment="1" applyProtection="1">
      <alignment horizontal="center" shrinkToFit="1"/>
      <protection locked="0"/>
    </xf>
    <xf numFmtId="164" fontId="17" fillId="0" borderId="0" xfId="0" applyNumberFormat="1" applyFont="1" applyFill="1" applyBorder="1" applyAlignment="1" applyProtection="1">
      <alignment horizontal="center"/>
      <protection locked="0"/>
    </xf>
    <xf numFmtId="0" fontId="14" fillId="0" borderId="0" xfId="0" applyFont="1" applyBorder="1" applyAlignment="1" applyProtection="1">
      <alignment vertical="center" wrapText="1"/>
      <protection locked="0"/>
    </xf>
    <xf numFmtId="7" fontId="3" fillId="0" borderId="0" xfId="0" applyNumberFormat="1" applyFont="1" applyBorder="1" applyAlignment="1" applyProtection="1">
      <alignment horizontal="center"/>
      <protection locked="0"/>
    </xf>
    <xf numFmtId="0" fontId="18" fillId="0" borderId="0" xfId="0" applyFont="1" applyBorder="1" applyAlignment="1" applyProtection="1">
      <alignment horizontal="center"/>
      <protection locked="0"/>
    </xf>
    <xf numFmtId="0" fontId="9" fillId="0" borderId="0" xfId="0" applyFont="1" applyBorder="1" applyAlignment="1" applyProtection="1">
      <alignment vertical="center" wrapText="1"/>
      <protection locked="0"/>
    </xf>
    <xf numFmtId="0" fontId="15" fillId="0" borderId="0" xfId="0" applyFont="1" applyBorder="1" applyAlignment="1" applyProtection="1">
      <alignment horizontal="left" vertical="top" wrapText="1"/>
      <protection locked="0"/>
    </xf>
    <xf numFmtId="0" fontId="22" fillId="0" borderId="0" xfId="0" applyFont="1" applyBorder="1" applyAlignment="1" applyProtection="1">
      <alignment vertical="center" wrapText="1"/>
      <protection locked="0"/>
    </xf>
    <xf numFmtId="8" fontId="9" fillId="0" borderId="12" xfId="0" applyNumberFormat="1" applyFont="1" applyBorder="1" applyProtection="1">
      <protection locked="0"/>
    </xf>
    <xf numFmtId="8" fontId="9" fillId="0" borderId="13" xfId="0" applyNumberFormat="1" applyFont="1" applyBorder="1" applyProtection="1">
      <protection locked="0"/>
    </xf>
    <xf numFmtId="8" fontId="9" fillId="0" borderId="6" xfId="0" applyNumberFormat="1" applyFont="1" applyBorder="1" applyProtection="1">
      <protection locked="0"/>
    </xf>
    <xf numFmtId="8" fontId="9" fillId="0" borderId="0" xfId="0" applyNumberFormat="1" applyFont="1" applyAlignment="1" applyProtection="1">
      <alignment horizontal="right"/>
      <protection locked="0"/>
    </xf>
    <xf numFmtId="18" fontId="19" fillId="0" borderId="0" xfId="0" applyNumberFormat="1" applyFont="1" applyBorder="1" applyAlignment="1" applyProtection="1">
      <alignment horizontal="center"/>
      <protection locked="0"/>
    </xf>
    <xf numFmtId="0" fontId="19" fillId="0" borderId="0" xfId="0" applyFont="1" applyBorder="1" applyAlignment="1" applyProtection="1">
      <alignment horizontal="center"/>
      <protection locked="0"/>
    </xf>
    <xf numFmtId="18" fontId="11" fillId="0" borderId="0" xfId="0" applyNumberFormat="1" applyFont="1" applyBorder="1" applyAlignment="1" applyProtection="1">
      <alignment horizontal="center"/>
      <protection locked="0"/>
    </xf>
    <xf numFmtId="0" fontId="11" fillId="0" borderId="0" xfId="0" applyFont="1" applyBorder="1" applyAlignment="1" applyProtection="1">
      <alignment horizontal="center"/>
      <protection locked="0"/>
    </xf>
    <xf numFmtId="0" fontId="2" fillId="0" borderId="17" xfId="0" applyFont="1" applyFill="1" applyBorder="1" applyAlignment="1" applyProtection="1">
      <protection locked="0"/>
    </xf>
    <xf numFmtId="18" fontId="1" fillId="0" borderId="17" xfId="0" applyNumberFormat="1" applyFont="1" applyFill="1" applyBorder="1" applyAlignment="1" applyProtection="1">
      <alignment horizontal="right"/>
      <protection locked="0"/>
    </xf>
    <xf numFmtId="0" fontId="8" fillId="0" borderId="7" xfId="0" applyFont="1" applyBorder="1" applyAlignment="1" applyProtection="1">
      <alignment horizontal="center" vertical="center"/>
      <protection locked="0"/>
    </xf>
    <xf numFmtId="0" fontId="11" fillId="0" borderId="0" xfId="0" applyFont="1" applyBorder="1" applyAlignment="1" applyProtection="1">
      <alignment horizontal="right"/>
      <protection locked="0"/>
    </xf>
    <xf numFmtId="0" fontId="11" fillId="0" borderId="0" xfId="0" applyFont="1" applyBorder="1" applyAlignment="1" applyProtection="1">
      <alignment horizontal="center" vertical="center"/>
      <protection locked="0"/>
    </xf>
    <xf numFmtId="0" fontId="8" fillId="0" borderId="1" xfId="0" quotePrefix="1" applyFont="1" applyBorder="1" applyAlignment="1" applyProtection="1">
      <alignment horizontal="center" vertical="center"/>
      <protection locked="0"/>
    </xf>
    <xf numFmtId="0" fontId="11" fillId="0" borderId="9" xfId="0" applyFont="1" applyBorder="1" applyAlignment="1" applyProtection="1">
      <alignment horizontal="center" vertical="center"/>
      <protection locked="0"/>
    </xf>
    <xf numFmtId="0" fontId="8" fillId="0" borderId="6" xfId="0" quotePrefix="1" applyFont="1" applyBorder="1" applyAlignment="1" applyProtection="1">
      <alignment horizontal="center" vertical="center"/>
      <protection locked="0"/>
    </xf>
    <xf numFmtId="0" fontId="11" fillId="0" borderId="10" xfId="0" applyFont="1" applyBorder="1" applyAlignment="1" applyProtection="1">
      <alignment horizontal="center" vertical="center"/>
      <protection locked="0"/>
    </xf>
    <xf numFmtId="0" fontId="16" fillId="0" borderId="0" xfId="0" applyFont="1" applyBorder="1" applyAlignment="1" applyProtection="1">
      <alignment horizontal="right"/>
      <protection locked="0"/>
    </xf>
    <xf numFmtId="0" fontId="16" fillId="0" borderId="0" xfId="0" applyFont="1" applyBorder="1" applyAlignment="1" applyProtection="1">
      <alignment vertical="center"/>
      <protection locked="0"/>
    </xf>
    <xf numFmtId="7" fontId="9" fillId="0" borderId="8" xfId="1" applyNumberFormat="1" applyFont="1" applyBorder="1" applyAlignment="1" applyProtection="1">
      <alignment horizontal="center"/>
      <protection locked="0"/>
    </xf>
    <xf numFmtId="0" fontId="19" fillId="0" borderId="8" xfId="0" applyFont="1" applyBorder="1" applyAlignment="1" applyProtection="1">
      <alignment horizontal="center"/>
      <protection locked="0"/>
    </xf>
    <xf numFmtId="165" fontId="13" fillId="0" borderId="1" xfId="0" applyNumberFormat="1" applyFont="1" applyBorder="1" applyAlignment="1" applyProtection="1">
      <alignment horizontal="left"/>
      <protection locked="0"/>
    </xf>
    <xf numFmtId="165" fontId="13" fillId="0" borderId="11" xfId="0" applyNumberFormat="1" applyFont="1" applyBorder="1" applyAlignment="1" applyProtection="1">
      <alignment horizontal="left"/>
      <protection locked="0"/>
    </xf>
    <xf numFmtId="165" fontId="13" fillId="0" borderId="8" xfId="0" applyNumberFormat="1" applyFont="1" applyBorder="1" applyAlignment="1" applyProtection="1">
      <alignment horizontal="left"/>
      <protection locked="0"/>
    </xf>
    <xf numFmtId="165" fontId="25" fillId="0" borderId="11" xfId="0" applyNumberFormat="1" applyFont="1" applyBorder="1" applyAlignment="1" applyProtection="1">
      <alignment horizontal="left"/>
      <protection locked="0"/>
    </xf>
    <xf numFmtId="0" fontId="9" fillId="2" borderId="13" xfId="0" applyFont="1" applyFill="1" applyBorder="1" applyAlignment="1" applyProtection="1">
      <alignment horizontal="left"/>
      <protection locked="0"/>
    </xf>
    <xf numFmtId="0" fontId="7" fillId="0" borderId="0" xfId="0" applyFont="1" applyBorder="1" applyAlignment="1" applyProtection="1">
      <alignment horizontal="center"/>
      <protection locked="0"/>
    </xf>
    <xf numFmtId="0" fontId="12" fillId="0" borderId="20" xfId="0" applyFont="1" applyFill="1" applyBorder="1" applyAlignment="1" applyProtection="1">
      <alignment horizontal="left"/>
      <protection locked="0"/>
    </xf>
    <xf numFmtId="0" fontId="12" fillId="0" borderId="14" xfId="0" applyFont="1" applyFill="1" applyBorder="1" applyAlignment="1" applyProtection="1">
      <alignment horizontal="left"/>
      <protection locked="0"/>
    </xf>
    <xf numFmtId="18" fontId="5" fillId="0" borderId="17" xfId="0" applyNumberFormat="1" applyFont="1" applyFill="1" applyBorder="1" applyAlignment="1" applyProtection="1">
      <alignment horizontal="center"/>
      <protection locked="0"/>
    </xf>
    <xf numFmtId="18" fontId="1" fillId="0" borderId="17" xfId="0" applyNumberFormat="1" applyFont="1" applyFill="1" applyBorder="1" applyAlignment="1" applyProtection="1">
      <alignment horizontal="center"/>
      <protection locked="0"/>
    </xf>
    <xf numFmtId="18" fontId="3" fillId="2" borderId="4" xfId="0" applyNumberFormat="1" applyFont="1" applyFill="1" applyBorder="1" applyAlignment="1" applyProtection="1">
      <alignment horizontal="center"/>
      <protection locked="0"/>
    </xf>
    <xf numFmtId="0" fontId="2" fillId="0" borderId="17" xfId="0" applyFont="1" applyFill="1" applyBorder="1" applyAlignment="1" applyProtection="1">
      <alignment horizontal="center"/>
      <protection locked="0"/>
    </xf>
    <xf numFmtId="0" fontId="2" fillId="0" borderId="21" xfId="0" applyFont="1" applyFill="1" applyBorder="1" applyAlignment="1" applyProtection="1">
      <alignment horizontal="center"/>
      <protection locked="0"/>
    </xf>
    <xf numFmtId="0" fontId="3" fillId="2" borderId="4" xfId="0" applyFont="1" applyFill="1" applyBorder="1" applyAlignment="1" applyProtection="1">
      <alignment horizontal="center"/>
      <protection locked="0"/>
    </xf>
    <xf numFmtId="0" fontId="19" fillId="0" borderId="0" xfId="0" applyFont="1" applyBorder="1" applyAlignment="1" applyProtection="1">
      <alignment horizontal="center"/>
      <protection locked="0"/>
    </xf>
    <xf numFmtId="18" fontId="1" fillId="0" borderId="0" xfId="0" applyNumberFormat="1" applyFont="1" applyBorder="1" applyAlignment="1" applyProtection="1">
      <alignment horizontal="center"/>
      <protection locked="0"/>
    </xf>
    <xf numFmtId="18" fontId="19" fillId="0" borderId="0" xfId="0" applyNumberFormat="1" applyFont="1" applyBorder="1" applyAlignment="1" applyProtection="1">
      <alignment horizontal="center"/>
      <protection locked="0"/>
    </xf>
    <xf numFmtId="0" fontId="17" fillId="0" borderId="7" xfId="0" applyFont="1" applyBorder="1" applyAlignment="1" applyProtection="1">
      <alignment horizontal="center" vertical="center"/>
      <protection locked="0"/>
    </xf>
    <xf numFmtId="0" fontId="17" fillId="0" borderId="18" xfId="0" applyFont="1" applyBorder="1" applyAlignment="1" applyProtection="1">
      <alignment horizontal="center" vertical="center"/>
      <protection locked="0"/>
    </xf>
    <xf numFmtId="0" fontId="17" fillId="0" borderId="19" xfId="0" applyFont="1" applyBorder="1" applyAlignment="1" applyProtection="1">
      <alignment horizontal="center" vertical="center"/>
      <protection locked="0"/>
    </xf>
    <xf numFmtId="0" fontId="17" fillId="0" borderId="3" xfId="0" applyFont="1" applyBorder="1" applyAlignment="1" applyProtection="1">
      <alignment horizontal="center" vertical="center"/>
      <protection locked="0"/>
    </xf>
    <xf numFmtId="0" fontId="17" fillId="0" borderId="4" xfId="0" applyFont="1" applyBorder="1" applyAlignment="1" applyProtection="1">
      <alignment horizontal="center" vertical="center"/>
      <protection locked="0"/>
    </xf>
    <xf numFmtId="0" fontId="17" fillId="0" borderId="10" xfId="0" applyFont="1" applyBorder="1" applyAlignment="1" applyProtection="1">
      <alignment horizontal="center" vertical="center"/>
      <protection locked="0"/>
    </xf>
    <xf numFmtId="0" fontId="10" fillId="0" borderId="0" xfId="0" applyFont="1" applyBorder="1" applyAlignment="1" applyProtection="1">
      <alignment horizontal="center" vertical="top"/>
      <protection locked="0"/>
    </xf>
    <xf numFmtId="0" fontId="9" fillId="2" borderId="4" xfId="0" applyFont="1" applyFill="1" applyBorder="1" applyAlignment="1" applyProtection="1">
      <alignment horizontal="left"/>
      <protection locked="0"/>
    </xf>
    <xf numFmtId="0" fontId="9" fillId="2" borderId="3" xfId="0" applyFont="1" applyFill="1" applyBorder="1" applyAlignment="1" applyProtection="1">
      <alignment horizontal="center" vertical="center"/>
      <protection locked="0"/>
    </xf>
    <xf numFmtId="0" fontId="9" fillId="2" borderId="4" xfId="0" applyFont="1" applyFill="1" applyBorder="1" applyAlignment="1" applyProtection="1">
      <alignment horizontal="center" vertical="center"/>
      <protection locked="0"/>
    </xf>
    <xf numFmtId="0" fontId="9" fillId="2" borderId="10" xfId="0" applyFont="1" applyFill="1" applyBorder="1" applyAlignment="1" applyProtection="1">
      <alignment horizontal="center" vertical="center"/>
      <protection locked="0"/>
    </xf>
    <xf numFmtId="164" fontId="17" fillId="3" borderId="12" xfId="0" applyNumberFormat="1" applyFont="1" applyFill="1" applyBorder="1" applyAlignment="1" applyProtection="1">
      <alignment horizontal="center"/>
      <protection locked="0"/>
    </xf>
    <xf numFmtId="0" fontId="17" fillId="3" borderId="13" xfId="0" applyFont="1" applyFill="1" applyBorder="1" applyAlignment="1" applyProtection="1">
      <protection locked="0"/>
    </xf>
    <xf numFmtId="0" fontId="17" fillId="3" borderId="6" xfId="0" applyFont="1" applyFill="1" applyBorder="1" applyAlignment="1" applyProtection="1">
      <protection locked="0"/>
    </xf>
    <xf numFmtId="0" fontId="10" fillId="0" borderId="0" xfId="0" applyFont="1" applyBorder="1" applyAlignment="1" applyProtection="1">
      <alignment horizontal="center"/>
      <protection locked="0"/>
    </xf>
    <xf numFmtId="0" fontId="11" fillId="0" borderId="0" xfId="0" applyFont="1" applyBorder="1" applyAlignment="1" applyProtection="1">
      <alignment horizontal="center"/>
      <protection locked="0"/>
    </xf>
    <xf numFmtId="0" fontId="9" fillId="2" borderId="7" xfId="0" applyFont="1" applyFill="1" applyBorder="1" applyAlignment="1" applyProtection="1">
      <alignment horizontal="center" vertical="center"/>
      <protection locked="0"/>
    </xf>
    <xf numFmtId="0" fontId="9" fillId="2" borderId="18" xfId="0" applyFont="1" applyFill="1" applyBorder="1" applyAlignment="1" applyProtection="1">
      <alignment horizontal="center" vertical="center"/>
      <protection locked="0"/>
    </xf>
    <xf numFmtId="0" fontId="9" fillId="2" borderId="19" xfId="0" applyFont="1" applyFill="1" applyBorder="1" applyAlignment="1" applyProtection="1">
      <alignment horizontal="center" vertical="center"/>
      <protection locked="0"/>
    </xf>
    <xf numFmtId="0" fontId="28" fillId="0" borderId="7" xfId="0" applyFont="1" applyBorder="1" applyAlignment="1" applyProtection="1">
      <alignment horizontal="center" vertical="center"/>
      <protection locked="0"/>
    </xf>
    <xf numFmtId="0" fontId="28" fillId="0" borderId="18" xfId="0" applyFont="1" applyBorder="1" applyAlignment="1" applyProtection="1">
      <alignment horizontal="center" vertical="center"/>
      <protection locked="0"/>
    </xf>
    <xf numFmtId="0" fontId="28" fillId="0" borderId="19" xfId="0" applyFont="1" applyBorder="1" applyAlignment="1" applyProtection="1">
      <alignment horizontal="center" vertical="center"/>
      <protection locked="0"/>
    </xf>
    <xf numFmtId="0" fontId="25" fillId="0" borderId="2" xfId="0" applyFont="1" applyBorder="1" applyAlignment="1" applyProtection="1">
      <alignment horizontal="center" vertical="center"/>
      <protection locked="0"/>
    </xf>
    <xf numFmtId="0" fontId="25" fillId="0" borderId="0" xfId="0" applyFont="1" applyBorder="1" applyAlignment="1" applyProtection="1">
      <alignment horizontal="center" vertical="center"/>
      <protection locked="0"/>
    </xf>
    <xf numFmtId="0" fontId="25" fillId="0" borderId="9" xfId="0" applyFont="1" applyBorder="1" applyAlignment="1" applyProtection="1">
      <alignment horizontal="center" vertical="center"/>
      <protection locked="0"/>
    </xf>
    <xf numFmtId="0" fontId="9" fillId="2" borderId="12" xfId="0" applyFont="1" applyFill="1" applyBorder="1" applyAlignment="1" applyProtection="1">
      <alignment horizontal="center" vertical="center"/>
      <protection locked="0"/>
    </xf>
    <xf numFmtId="0" fontId="9" fillId="2" borderId="13" xfId="0" applyFont="1" applyFill="1" applyBorder="1" applyAlignment="1" applyProtection="1">
      <alignment horizontal="center" vertical="center"/>
      <protection locked="0"/>
    </xf>
    <xf numFmtId="0" fontId="9" fillId="2" borderId="6" xfId="0" applyFont="1" applyFill="1" applyBorder="1" applyAlignment="1" applyProtection="1">
      <alignment horizontal="center" vertical="center"/>
      <protection locked="0"/>
    </xf>
    <xf numFmtId="0" fontId="5" fillId="2" borderId="12" xfId="0" applyFont="1" applyFill="1" applyBorder="1" applyAlignment="1" applyProtection="1">
      <protection locked="0"/>
    </xf>
    <xf numFmtId="0" fontId="0" fillId="2" borderId="13" xfId="0" applyFill="1" applyBorder="1" applyAlignment="1" applyProtection="1">
      <protection locked="0"/>
    </xf>
    <xf numFmtId="0" fontId="0" fillId="2" borderId="6" xfId="0" applyFill="1" applyBorder="1" applyAlignment="1" applyProtection="1">
      <protection locked="0"/>
    </xf>
    <xf numFmtId="0" fontId="17" fillId="0" borderId="12" xfId="0" applyFont="1" applyFill="1" applyBorder="1" applyAlignment="1" applyProtection="1">
      <alignment horizontal="center"/>
      <protection locked="0"/>
    </xf>
    <xf numFmtId="0" fontId="17" fillId="0" borderId="13" xfId="0" applyFont="1" applyBorder="1" applyAlignment="1" applyProtection="1">
      <alignment horizontal="center"/>
      <protection locked="0"/>
    </xf>
    <xf numFmtId="0" fontId="17" fillId="0" borderId="6" xfId="0" applyFont="1" applyBorder="1" applyAlignment="1" applyProtection="1">
      <alignment horizontal="center"/>
      <protection locked="0"/>
    </xf>
    <xf numFmtId="0" fontId="3" fillId="2" borderId="12" xfId="0" applyFont="1" applyFill="1" applyBorder="1" applyAlignment="1" applyProtection="1">
      <alignment horizontal="center"/>
      <protection locked="0"/>
    </xf>
    <xf numFmtId="0" fontId="0" fillId="2" borderId="13" xfId="0" applyFill="1" applyBorder="1" applyAlignment="1" applyProtection="1">
      <alignment horizontal="center"/>
      <protection locked="0"/>
    </xf>
    <xf numFmtId="0" fontId="0" fillId="2" borderId="6" xfId="0" applyFill="1" applyBorder="1" applyAlignment="1" applyProtection="1">
      <alignment horizontal="center"/>
      <protection locked="0"/>
    </xf>
    <xf numFmtId="0" fontId="17" fillId="0" borderId="12" xfId="0" applyFont="1" applyBorder="1" applyAlignment="1" applyProtection="1">
      <alignment horizontal="center"/>
      <protection locked="0"/>
    </xf>
    <xf numFmtId="0" fontId="3" fillId="2" borderId="12" xfId="0" applyFont="1" applyFill="1" applyBorder="1" applyAlignment="1" applyProtection="1">
      <protection locked="0"/>
    </xf>
    <xf numFmtId="0" fontId="13" fillId="2" borderId="12" xfId="0" applyFont="1" applyFill="1" applyBorder="1" applyAlignment="1" applyProtection="1">
      <alignment horizontal="center"/>
      <protection locked="0"/>
    </xf>
    <xf numFmtId="0" fontId="3" fillId="2" borderId="6" xfId="0" applyFont="1" applyFill="1" applyBorder="1" applyAlignment="1" applyProtection="1">
      <alignment horizontal="center"/>
      <protection locked="0"/>
    </xf>
    <xf numFmtId="0" fontId="17" fillId="3" borderId="12" xfId="0" applyFont="1" applyFill="1" applyBorder="1" applyAlignment="1" applyProtection="1">
      <alignment horizontal="center"/>
      <protection locked="0"/>
    </xf>
    <xf numFmtId="0" fontId="17" fillId="3" borderId="6" xfId="0" applyFont="1" applyFill="1" applyBorder="1" applyAlignment="1" applyProtection="1">
      <alignment horizontal="center"/>
      <protection locked="0"/>
    </xf>
    <xf numFmtId="0" fontId="5" fillId="2" borderId="12" xfId="0" applyFont="1" applyFill="1" applyBorder="1" applyAlignment="1" applyProtection="1">
      <alignment horizontal="center" vertical="center"/>
      <protection locked="0"/>
    </xf>
    <xf numFmtId="0" fontId="5" fillId="2" borderId="13" xfId="0" applyFont="1" applyFill="1" applyBorder="1" applyAlignment="1" applyProtection="1">
      <alignment horizontal="center" vertical="center"/>
      <protection locked="0"/>
    </xf>
    <xf numFmtId="0" fontId="5" fillId="2" borderId="6" xfId="0" applyFont="1" applyFill="1" applyBorder="1" applyAlignment="1" applyProtection="1">
      <alignment horizontal="center" vertical="center"/>
      <protection locked="0"/>
    </xf>
    <xf numFmtId="165" fontId="13" fillId="2" borderId="8" xfId="0" applyNumberFormat="1" applyFont="1" applyFill="1" applyBorder="1" applyAlignment="1" applyProtection="1">
      <alignment horizontal="left"/>
      <protection locked="0"/>
    </xf>
    <xf numFmtId="165" fontId="13" fillId="2" borderId="1" xfId="0" applyNumberFormat="1" applyFont="1" applyFill="1" applyBorder="1" applyAlignment="1" applyProtection="1">
      <alignment horizontal="left"/>
      <protection locked="0"/>
    </xf>
    <xf numFmtId="0" fontId="2" fillId="0" borderId="17" xfId="0" applyFont="1" applyFill="1" applyBorder="1" applyAlignment="1" applyProtection="1">
      <alignment horizontal="left"/>
      <protection locked="0"/>
    </xf>
    <xf numFmtId="0" fontId="20" fillId="0" borderId="7" xfId="0" applyFont="1" applyBorder="1" applyAlignment="1" applyProtection="1">
      <alignment horizontal="center"/>
      <protection locked="0"/>
    </xf>
    <xf numFmtId="0" fontId="20" fillId="0" borderId="18" xfId="0" applyFont="1" applyBorder="1" applyAlignment="1" applyProtection="1">
      <alignment horizontal="center"/>
      <protection locked="0"/>
    </xf>
    <xf numFmtId="0" fontId="20" fillId="0" borderId="19" xfId="0" applyFont="1" applyBorder="1" applyAlignment="1" applyProtection="1">
      <alignment horizontal="center"/>
      <protection locked="0"/>
    </xf>
    <xf numFmtId="0" fontId="22" fillId="0" borderId="0" xfId="0" applyFont="1" applyBorder="1" applyAlignment="1" applyProtection="1">
      <alignment horizontal="left" vertical="center" wrapText="1"/>
      <protection locked="0"/>
    </xf>
    <xf numFmtId="0" fontId="22" fillId="0" borderId="9" xfId="0" applyFont="1" applyBorder="1" applyAlignment="1" applyProtection="1">
      <alignment horizontal="left" vertical="center" wrapText="1"/>
      <protection locked="0"/>
    </xf>
    <xf numFmtId="0" fontId="22" fillId="0" borderId="4" xfId="0" applyFont="1" applyBorder="1" applyAlignment="1" applyProtection="1">
      <alignment horizontal="left" vertical="center" wrapText="1"/>
      <protection locked="0"/>
    </xf>
    <xf numFmtId="0" fontId="22" fillId="0" borderId="10" xfId="0" applyFont="1" applyBorder="1" applyAlignment="1" applyProtection="1">
      <alignment horizontal="left" vertical="center" wrapText="1"/>
      <protection locked="0"/>
    </xf>
    <xf numFmtId="4" fontId="9" fillId="0" borderId="2" xfId="0" applyNumberFormat="1" applyFont="1" applyBorder="1" applyAlignment="1" applyProtection="1">
      <alignment horizontal="left" wrapText="1"/>
      <protection locked="0"/>
    </xf>
    <xf numFmtId="4" fontId="9" fillId="0" borderId="0" xfId="0" applyNumberFormat="1" applyFont="1" applyBorder="1" applyAlignment="1" applyProtection="1">
      <alignment horizontal="left" wrapText="1"/>
      <protection locked="0"/>
    </xf>
    <xf numFmtId="4" fontId="9" fillId="0" borderId="9" xfId="0" applyNumberFormat="1" applyFont="1" applyBorder="1" applyAlignment="1" applyProtection="1">
      <alignment horizontal="left" wrapText="1"/>
      <protection locked="0"/>
    </xf>
    <xf numFmtId="4" fontId="9" fillId="0" borderId="3" xfId="0" applyNumberFormat="1" applyFont="1" applyBorder="1" applyAlignment="1" applyProtection="1">
      <alignment horizontal="left" wrapText="1"/>
      <protection locked="0"/>
    </xf>
    <xf numFmtId="4" fontId="9" fillId="0" borderId="4" xfId="0" applyNumberFormat="1" applyFont="1" applyBorder="1" applyAlignment="1" applyProtection="1">
      <alignment horizontal="left" wrapText="1"/>
      <protection locked="0"/>
    </xf>
    <xf numFmtId="4" fontId="9" fillId="0" borderId="10" xfId="0" applyNumberFormat="1" applyFont="1" applyBorder="1" applyAlignment="1" applyProtection="1">
      <alignment horizontal="left" wrapText="1"/>
      <protection locked="0"/>
    </xf>
    <xf numFmtId="8" fontId="5" fillId="0" borderId="0" xfId="0" applyNumberFormat="1" applyFont="1" applyBorder="1" applyAlignment="1" applyProtection="1">
      <alignment horizontal="center"/>
      <protection locked="0"/>
    </xf>
    <xf numFmtId="0" fontId="21" fillId="0" borderId="2" xfId="0" applyFont="1" applyBorder="1" applyAlignment="1" applyProtection="1">
      <alignment horizontal="left" vertical="center" wrapText="1"/>
      <protection locked="0"/>
    </xf>
    <xf numFmtId="0" fontId="21" fillId="0" borderId="0" xfId="0" applyFont="1" applyBorder="1" applyAlignment="1" applyProtection="1">
      <alignment horizontal="left" vertical="center" wrapText="1"/>
      <protection locked="0"/>
    </xf>
    <xf numFmtId="0" fontId="21" fillId="0" borderId="9" xfId="0" applyFont="1" applyBorder="1" applyAlignment="1" applyProtection="1">
      <alignment horizontal="left" vertical="center" wrapText="1"/>
      <protection locked="0"/>
    </xf>
    <xf numFmtId="165" fontId="13" fillId="2" borderId="12" xfId="0" applyNumberFormat="1" applyFont="1" applyFill="1" applyBorder="1" applyAlignment="1" applyProtection="1">
      <alignment horizontal="left"/>
      <protection locked="0"/>
    </xf>
    <xf numFmtId="165" fontId="13" fillId="2" borderId="13" xfId="0" applyNumberFormat="1" applyFont="1" applyFill="1" applyBorder="1" applyAlignment="1" applyProtection="1">
      <alignment horizontal="left"/>
      <protection locked="0"/>
    </xf>
    <xf numFmtId="165" fontId="13" fillId="2" borderId="6" xfId="0" applyNumberFormat="1" applyFont="1" applyFill="1" applyBorder="1" applyAlignment="1" applyProtection="1">
      <alignment horizontal="left"/>
      <protection locked="0"/>
    </xf>
    <xf numFmtId="8" fontId="26" fillId="0" borderId="0" xfId="0" applyNumberFormat="1" applyFont="1" applyBorder="1" applyAlignment="1" applyProtection="1">
      <alignment horizontal="center"/>
      <protection locked="0"/>
    </xf>
    <xf numFmtId="165" fontId="5" fillId="0" borderId="0" xfId="0" applyNumberFormat="1" applyFont="1" applyBorder="1" applyAlignment="1" applyProtection="1">
      <alignment horizontal="center"/>
      <protection locked="0"/>
    </xf>
    <xf numFmtId="165" fontId="13" fillId="2" borderId="11" xfId="0" applyNumberFormat="1" applyFont="1" applyFill="1" applyBorder="1" applyAlignment="1" applyProtection="1">
      <alignment horizontal="left"/>
      <protection locked="0"/>
    </xf>
    <xf numFmtId="165" fontId="2" fillId="0" borderId="0" xfId="0" applyNumberFormat="1" applyFont="1" applyBorder="1" applyAlignment="1" applyProtection="1">
      <alignment horizontal="center"/>
      <protection locked="0"/>
    </xf>
  </cellXfs>
  <cellStyles count="2">
    <cellStyle name="Currency" xfId="1" builtinId="4"/>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Y75"/>
  <sheetViews>
    <sheetView tabSelected="1" topLeftCell="A2" zoomScaleNormal="100" workbookViewId="0">
      <selection activeCell="G16" sqref="G16"/>
    </sheetView>
  </sheetViews>
  <sheetFormatPr defaultColWidth="9.109375" defaultRowHeight="10.199999999999999"/>
  <cols>
    <col min="1" max="1" width="9.6640625" style="1" customWidth="1"/>
    <col min="2" max="2" width="9.109375" style="1"/>
    <col min="3" max="3" width="7.5546875" style="1" customWidth="1"/>
    <col min="4" max="4" width="10.5546875" style="1" customWidth="1"/>
    <col min="5" max="5" width="7.88671875" style="11" customWidth="1"/>
    <col min="6" max="6" width="11.88671875" style="17" customWidth="1"/>
    <col min="7" max="7" width="12" style="1" customWidth="1"/>
    <col min="8" max="11" width="10.6640625" style="1" customWidth="1"/>
    <col min="12" max="12" width="9.6640625" style="4" customWidth="1"/>
    <col min="13" max="13" width="9.109375" style="3"/>
    <col min="14" max="18" width="9.109375" style="1"/>
    <col min="19" max="19" width="15.33203125" style="1" customWidth="1"/>
    <col min="20" max="20" width="9.109375" style="1"/>
    <col min="21" max="21" width="13.33203125" style="58" bestFit="1" customWidth="1"/>
    <col min="22" max="22" width="11.44140625" style="58" bestFit="1" customWidth="1"/>
    <col min="23" max="16384" width="9.109375" style="1"/>
  </cols>
  <sheetData>
    <row r="1" spans="1:25" ht="15.6">
      <c r="A1" s="204" t="s">
        <v>0</v>
      </c>
      <c r="B1" s="204"/>
      <c r="C1" s="204"/>
      <c r="D1" s="204"/>
      <c r="E1" s="204"/>
      <c r="F1" s="204"/>
      <c r="H1" s="212" t="s">
        <v>78</v>
      </c>
      <c r="I1" s="212"/>
      <c r="J1" s="212"/>
      <c r="K1" s="212"/>
      <c r="L1" s="212"/>
      <c r="O1" s="3"/>
    </row>
    <row r="2" spans="1:25" ht="11.25" customHeight="1">
      <c r="A2" s="140"/>
      <c r="B2" s="140"/>
      <c r="C2" s="140"/>
      <c r="D2" s="140"/>
      <c r="E2" s="140"/>
      <c r="F2" s="140"/>
      <c r="H2" s="213"/>
      <c r="I2" s="213"/>
      <c r="J2" s="213"/>
      <c r="K2" s="213"/>
      <c r="L2" s="213"/>
      <c r="M2" s="141"/>
      <c r="O2" s="3"/>
    </row>
    <row r="3" spans="1:25" ht="3.75" customHeight="1">
      <c r="A3" s="2"/>
      <c r="B3" s="2"/>
      <c r="C3" s="2"/>
      <c r="D3" s="2"/>
      <c r="E3" s="2"/>
      <c r="F3" s="16"/>
      <c r="G3" s="2"/>
      <c r="H3" s="2"/>
      <c r="I3" s="2"/>
      <c r="J3" s="2"/>
      <c r="K3" s="2"/>
      <c r="L3" s="2"/>
      <c r="O3" s="3"/>
    </row>
    <row r="4" spans="1:25" s="142" customFormat="1" ht="13.2">
      <c r="A4" s="198" t="s">
        <v>68</v>
      </c>
      <c r="B4" s="199"/>
      <c r="C4" s="199"/>
      <c r="D4" s="199"/>
      <c r="E4" s="199"/>
      <c r="F4" s="200"/>
      <c r="H4" s="217" t="s">
        <v>69</v>
      </c>
      <c r="I4" s="218"/>
      <c r="J4" s="218"/>
      <c r="K4" s="218"/>
      <c r="L4" s="219"/>
      <c r="M4" s="143"/>
      <c r="O4" s="144"/>
      <c r="U4" s="145"/>
      <c r="V4" s="145"/>
    </row>
    <row r="5" spans="1:25" s="148" customFormat="1" ht="13.8">
      <c r="A5" s="201"/>
      <c r="B5" s="202"/>
      <c r="C5" s="202"/>
      <c r="D5" s="202"/>
      <c r="E5" s="202"/>
      <c r="F5" s="203"/>
      <c r="G5" s="146"/>
      <c r="H5" s="220" t="s">
        <v>70</v>
      </c>
      <c r="I5" s="221"/>
      <c r="J5" s="221"/>
      <c r="K5" s="221"/>
      <c r="L5" s="222"/>
      <c r="M5" s="147"/>
      <c r="O5" s="149"/>
      <c r="R5" s="150" t="s">
        <v>75</v>
      </c>
      <c r="U5" s="151"/>
      <c r="V5" s="151"/>
    </row>
    <row r="6" spans="1:25" s="148" customFormat="1" ht="13.8">
      <c r="A6" s="214"/>
      <c r="B6" s="215"/>
      <c r="C6" s="215"/>
      <c r="D6" s="215"/>
      <c r="E6" s="215"/>
      <c r="F6" s="216"/>
      <c r="G6" s="146"/>
      <c r="H6" s="223"/>
      <c r="I6" s="224"/>
      <c r="J6" s="224"/>
      <c r="K6" s="224"/>
      <c r="L6" s="225"/>
      <c r="M6" s="147"/>
      <c r="N6" s="147"/>
      <c r="O6" s="149"/>
      <c r="R6" s="150" t="s">
        <v>76</v>
      </c>
      <c r="U6" s="151"/>
      <c r="V6" s="151"/>
    </row>
    <row r="7" spans="1:25" s="142" customFormat="1" ht="13.2">
      <c r="A7" s="241"/>
      <c r="B7" s="242"/>
      <c r="C7" s="242"/>
      <c r="D7" s="242"/>
      <c r="E7" s="242"/>
      <c r="F7" s="243"/>
      <c r="G7" s="143"/>
      <c r="H7" s="220" t="s">
        <v>71</v>
      </c>
      <c r="I7" s="221"/>
      <c r="J7" s="221"/>
      <c r="K7" s="221"/>
      <c r="L7" s="222"/>
      <c r="M7" s="143"/>
      <c r="O7" s="149"/>
      <c r="R7" s="150" t="s">
        <v>77</v>
      </c>
      <c r="U7" s="145"/>
      <c r="V7" s="145"/>
    </row>
    <row r="8" spans="1:25" s="148" customFormat="1" ht="13.8">
      <c r="A8" s="206"/>
      <c r="B8" s="207"/>
      <c r="C8" s="207"/>
      <c r="D8" s="207"/>
      <c r="E8" s="207"/>
      <c r="F8" s="208"/>
      <c r="G8" s="146"/>
      <c r="H8" s="223"/>
      <c r="I8" s="224"/>
      <c r="J8" s="224"/>
      <c r="K8" s="224"/>
      <c r="L8" s="225"/>
      <c r="M8" s="147"/>
      <c r="O8" s="147"/>
      <c r="U8" s="151"/>
      <c r="V8" s="151"/>
    </row>
    <row r="9" spans="1:25" s="142" customFormat="1" ht="7.5" customHeight="1">
      <c r="A9" s="143"/>
      <c r="B9" s="143"/>
      <c r="C9" s="143"/>
      <c r="D9" s="143"/>
      <c r="E9" s="143"/>
      <c r="F9" s="143"/>
      <c r="G9" s="143"/>
      <c r="H9" s="143"/>
      <c r="I9" s="143"/>
      <c r="J9" s="143"/>
      <c r="K9" s="143"/>
      <c r="L9" s="143"/>
      <c r="M9" s="143"/>
      <c r="U9" s="145"/>
      <c r="V9" s="145"/>
    </row>
    <row r="10" spans="1:25" s="37" customFormat="1" ht="15.75" customHeight="1">
      <c r="A10" s="229" t="s">
        <v>66</v>
      </c>
      <c r="B10" s="230"/>
      <c r="C10" s="231"/>
      <c r="D10" s="152"/>
      <c r="E10" s="209" t="s">
        <v>65</v>
      </c>
      <c r="F10" s="210"/>
      <c r="G10" s="211"/>
      <c r="H10" s="153"/>
      <c r="I10" s="235" t="s">
        <v>30</v>
      </c>
      <c r="J10" s="231"/>
      <c r="K10" s="239" t="s">
        <v>67</v>
      </c>
      <c r="L10" s="240"/>
      <c r="M10" s="36"/>
      <c r="N10" s="100" t="s">
        <v>72</v>
      </c>
      <c r="O10" s="101">
        <v>0.37</v>
      </c>
      <c r="P10" s="36"/>
      <c r="Q10" s="36"/>
      <c r="R10" s="36"/>
      <c r="U10" s="59"/>
      <c r="V10" s="59"/>
    </row>
    <row r="11" spans="1:25" ht="15.75" customHeight="1">
      <c r="A11" s="232"/>
      <c r="B11" s="233"/>
      <c r="C11" s="234"/>
      <c r="D11" s="55"/>
      <c r="E11" s="226"/>
      <c r="F11" s="227"/>
      <c r="G11" s="228"/>
      <c r="H11" s="56"/>
      <c r="I11" s="236"/>
      <c r="J11" s="228"/>
      <c r="K11" s="237"/>
      <c r="L11" s="238"/>
      <c r="N11" s="102" t="s">
        <v>73</v>
      </c>
      <c r="O11" s="103">
        <v>0.2</v>
      </c>
    </row>
    <row r="12" spans="1:25" s="12" customFormat="1" ht="11.25" customHeight="1">
      <c r="A12" s="20"/>
      <c r="B12" s="21"/>
      <c r="C12" s="21"/>
      <c r="D12" s="22"/>
      <c r="E12" s="23"/>
      <c r="F12" s="23"/>
      <c r="G12" s="23"/>
      <c r="H12" s="23"/>
      <c r="I12" s="23"/>
      <c r="J12" s="23"/>
      <c r="K12" s="267"/>
      <c r="L12" s="267"/>
      <c r="M12" s="24"/>
      <c r="N12" s="25"/>
      <c r="O12" s="154"/>
      <c r="P12" s="154"/>
      <c r="Q12" s="154"/>
      <c r="R12" s="154"/>
      <c r="U12" s="66" t="s">
        <v>26</v>
      </c>
      <c r="V12" s="66" t="s">
        <v>25</v>
      </c>
      <c r="W12" s="55" t="s">
        <v>48</v>
      </c>
      <c r="X12" s="55" t="s">
        <v>49</v>
      </c>
      <c r="Y12" s="55" t="s">
        <v>50</v>
      </c>
    </row>
    <row r="13" spans="1:25" s="2" customFormat="1" ht="13.2">
      <c r="A13" s="34" t="s">
        <v>28</v>
      </c>
      <c r="F13" s="260" t="s">
        <v>27</v>
      </c>
      <c r="G13" s="260"/>
      <c r="H13" s="126" t="s">
        <v>24</v>
      </c>
      <c r="I13" s="126" t="s">
        <v>22</v>
      </c>
      <c r="J13" s="126"/>
      <c r="K13" s="126"/>
      <c r="L13" s="126" t="s">
        <v>20</v>
      </c>
      <c r="M13" s="35"/>
      <c r="N13" s="247" t="s">
        <v>47</v>
      </c>
      <c r="O13" s="248"/>
      <c r="P13" s="248"/>
      <c r="Q13" s="248"/>
      <c r="R13" s="248"/>
      <c r="S13" s="249"/>
      <c r="U13" s="66">
        <f>+F15</f>
        <v>0</v>
      </c>
      <c r="V13" s="66">
        <f>+G15</f>
        <v>0</v>
      </c>
      <c r="W13" s="155">
        <f>IF(AND(F15&lt;0.229861,OR(G15=0,G15&gt;0.047862)),8,0)</f>
        <v>8</v>
      </c>
      <c r="X13" s="155">
        <f>IF(AND(F15&lt;0.479861,OR(G15=0,G15&gt;0.540973)),11,0)</f>
        <v>11</v>
      </c>
      <c r="Y13" s="155">
        <f>IF(AND(F15&lt;0.729861,OR(G15=0,G15&gt;0.832639)),17,0)</f>
        <v>17</v>
      </c>
    </row>
    <row r="14" spans="1:25" s="2" customFormat="1" ht="15.9" customHeight="1">
      <c r="A14" s="34" t="s">
        <v>29</v>
      </c>
      <c r="B14" s="270" t="s">
        <v>82</v>
      </c>
      <c r="C14" s="268"/>
      <c r="D14" s="268"/>
      <c r="E14" s="268"/>
      <c r="F14" s="126" t="s">
        <v>26</v>
      </c>
      <c r="G14" s="126" t="s">
        <v>25</v>
      </c>
      <c r="H14" s="126" t="s">
        <v>2</v>
      </c>
      <c r="I14" s="126" t="s">
        <v>23</v>
      </c>
      <c r="J14" s="126" t="s">
        <v>3</v>
      </c>
      <c r="K14" s="126" t="s">
        <v>4</v>
      </c>
      <c r="L14" s="126" t="s">
        <v>21</v>
      </c>
      <c r="M14" s="156"/>
      <c r="N14" s="42">
        <v>8</v>
      </c>
      <c r="O14" s="43" t="s">
        <v>48</v>
      </c>
      <c r="P14" s="250" t="s">
        <v>53</v>
      </c>
      <c r="Q14" s="250"/>
      <c r="R14" s="250"/>
      <c r="S14" s="251"/>
      <c r="U14" s="66">
        <f t="shared" ref="U14:U31" si="0">+F16</f>
        <v>0</v>
      </c>
      <c r="V14" s="66">
        <f t="shared" ref="V14:V31" si="1">+G16</f>
        <v>0</v>
      </c>
      <c r="W14" s="155">
        <f t="shared" ref="W14:W31" si="2">IF(AND(F16&lt;0.229861,OR(G16=0,G16&gt;0.047862)),8,0)</f>
        <v>8</v>
      </c>
      <c r="X14" s="155">
        <f t="shared" ref="X14:X31" si="3">IF(AND(F16&lt;0.479861,OR(G16=0,G16&gt;0.540973)),11,0)</f>
        <v>11</v>
      </c>
      <c r="Y14" s="155">
        <f t="shared" ref="Y14:Y31" si="4">IF(AND(F16&lt;0.729861,OR(G16=0,G16&gt;0.832639)),17,0)</f>
        <v>17</v>
      </c>
    </row>
    <row r="15" spans="1:25" s="12" customFormat="1" ht="15.9" customHeight="1">
      <c r="A15" s="85"/>
      <c r="B15" s="245"/>
      <c r="C15" s="245"/>
      <c r="D15" s="245"/>
      <c r="E15" s="245"/>
      <c r="F15" s="127"/>
      <c r="G15" s="127"/>
      <c r="H15" s="68"/>
      <c r="I15" s="67"/>
      <c r="J15" s="67"/>
      <c r="K15" s="67"/>
      <c r="L15" s="67"/>
      <c r="M15" s="157"/>
      <c r="N15" s="44">
        <v>11</v>
      </c>
      <c r="O15" s="45" t="s">
        <v>49</v>
      </c>
      <c r="P15" s="250"/>
      <c r="Q15" s="250"/>
      <c r="R15" s="250"/>
      <c r="S15" s="251"/>
      <c r="U15" s="66">
        <f t="shared" si="0"/>
        <v>0</v>
      </c>
      <c r="V15" s="66">
        <f t="shared" si="1"/>
        <v>0</v>
      </c>
      <c r="W15" s="155">
        <f t="shared" si="2"/>
        <v>8</v>
      </c>
      <c r="X15" s="155">
        <f t="shared" si="3"/>
        <v>11</v>
      </c>
      <c r="Y15" s="155">
        <f t="shared" si="4"/>
        <v>17</v>
      </c>
    </row>
    <row r="16" spans="1:25" s="12" customFormat="1" ht="15.9" customHeight="1">
      <c r="A16" s="85"/>
      <c r="B16" s="245"/>
      <c r="C16" s="245"/>
      <c r="D16" s="245"/>
      <c r="E16" s="245"/>
      <c r="F16" s="127"/>
      <c r="G16" s="127"/>
      <c r="H16" s="68"/>
      <c r="I16" s="67"/>
      <c r="J16" s="67"/>
      <c r="K16" s="67"/>
      <c r="L16" s="67"/>
      <c r="M16" s="157"/>
      <c r="N16" s="46">
        <v>17</v>
      </c>
      <c r="O16" s="45" t="s">
        <v>50</v>
      </c>
      <c r="P16" s="250"/>
      <c r="Q16" s="250"/>
      <c r="R16" s="250"/>
      <c r="S16" s="251"/>
      <c r="U16" s="66">
        <f t="shared" si="0"/>
        <v>0</v>
      </c>
      <c r="V16" s="66">
        <f t="shared" si="1"/>
        <v>0</v>
      </c>
      <c r="W16" s="155">
        <f t="shared" si="2"/>
        <v>8</v>
      </c>
      <c r="X16" s="155">
        <f t="shared" si="3"/>
        <v>11</v>
      </c>
      <c r="Y16" s="155">
        <f t="shared" si="4"/>
        <v>17</v>
      </c>
    </row>
    <row r="17" spans="1:25" s="12" customFormat="1" ht="15.9" customHeight="1">
      <c r="A17" s="85"/>
      <c r="B17" s="264"/>
      <c r="C17" s="265"/>
      <c r="D17" s="265"/>
      <c r="E17" s="266"/>
      <c r="F17" s="127"/>
      <c r="G17" s="127"/>
      <c r="H17" s="68"/>
      <c r="I17" s="67"/>
      <c r="J17" s="67"/>
      <c r="K17" s="67"/>
      <c r="L17" s="67"/>
      <c r="M17" s="157"/>
      <c r="N17" s="46">
        <f>SUM(N14:N16)</f>
        <v>36</v>
      </c>
      <c r="O17" s="47" t="s">
        <v>51</v>
      </c>
      <c r="P17" s="252"/>
      <c r="Q17" s="252"/>
      <c r="R17" s="252"/>
      <c r="S17" s="253"/>
      <c r="U17" s="66">
        <f t="shared" si="0"/>
        <v>0</v>
      </c>
      <c r="V17" s="66">
        <f t="shared" si="1"/>
        <v>0</v>
      </c>
      <c r="W17" s="155">
        <f t="shared" si="2"/>
        <v>8</v>
      </c>
      <c r="X17" s="155">
        <f t="shared" si="3"/>
        <v>11</v>
      </c>
      <c r="Y17" s="155">
        <f t="shared" si="4"/>
        <v>17</v>
      </c>
    </row>
    <row r="18" spans="1:25" s="12" customFormat="1" ht="15.9" customHeight="1">
      <c r="A18" s="85"/>
      <c r="B18" s="245"/>
      <c r="C18" s="245"/>
      <c r="D18" s="245"/>
      <c r="E18" s="245"/>
      <c r="F18" s="127"/>
      <c r="G18" s="127"/>
      <c r="H18" s="68"/>
      <c r="I18" s="67"/>
      <c r="J18" s="67"/>
      <c r="K18" s="67"/>
      <c r="L18" s="67"/>
      <c r="M18" s="158"/>
      <c r="N18" s="48"/>
      <c r="O18" s="48"/>
      <c r="P18" s="48"/>
      <c r="Q18" s="49"/>
      <c r="R18" s="159"/>
      <c r="S18" s="159"/>
      <c r="U18" s="66">
        <f t="shared" si="0"/>
        <v>0</v>
      </c>
      <c r="V18" s="66">
        <f t="shared" si="1"/>
        <v>0</v>
      </c>
      <c r="W18" s="155">
        <f t="shared" si="2"/>
        <v>8</v>
      </c>
      <c r="X18" s="155">
        <f t="shared" si="3"/>
        <v>11</v>
      </c>
      <c r="Y18" s="155">
        <f t="shared" si="4"/>
        <v>17</v>
      </c>
    </row>
    <row r="19" spans="1:25" s="12" customFormat="1" ht="15.9" customHeight="1" thickBot="1">
      <c r="A19" s="92"/>
      <c r="B19" s="269"/>
      <c r="C19" s="269"/>
      <c r="D19" s="269"/>
      <c r="E19" s="269"/>
      <c r="F19" s="128"/>
      <c r="G19" s="128"/>
      <c r="H19" s="93"/>
      <c r="I19" s="94"/>
      <c r="J19" s="94"/>
      <c r="K19" s="94"/>
      <c r="L19" s="94"/>
      <c r="M19" s="26"/>
      <c r="N19" s="247" t="s">
        <v>52</v>
      </c>
      <c r="O19" s="248"/>
      <c r="P19" s="248"/>
      <c r="Q19" s="248"/>
      <c r="R19" s="248"/>
      <c r="S19" s="249"/>
      <c r="U19" s="66">
        <f t="shared" si="0"/>
        <v>0</v>
      </c>
      <c r="V19" s="66">
        <f t="shared" si="1"/>
        <v>0</v>
      </c>
      <c r="W19" s="155">
        <f t="shared" si="2"/>
        <v>8</v>
      </c>
      <c r="X19" s="155">
        <f t="shared" si="3"/>
        <v>11</v>
      </c>
      <c r="Y19" s="155">
        <f t="shared" si="4"/>
        <v>17</v>
      </c>
    </row>
    <row r="20" spans="1:25" s="12" customFormat="1" ht="15.9" customHeight="1">
      <c r="A20" s="95"/>
      <c r="B20" s="244"/>
      <c r="C20" s="244"/>
      <c r="D20" s="244"/>
      <c r="E20" s="244"/>
      <c r="F20" s="129"/>
      <c r="G20" s="129"/>
      <c r="H20" s="96"/>
      <c r="I20" s="97"/>
      <c r="J20" s="97"/>
      <c r="K20" s="97"/>
      <c r="L20" s="97"/>
      <c r="M20" s="26"/>
      <c r="N20" s="261" t="s">
        <v>79</v>
      </c>
      <c r="O20" s="262"/>
      <c r="P20" s="262"/>
      <c r="Q20" s="262"/>
      <c r="R20" s="262"/>
      <c r="S20" s="263"/>
      <c r="U20" s="66">
        <f t="shared" si="0"/>
        <v>0</v>
      </c>
      <c r="V20" s="66">
        <f t="shared" si="1"/>
        <v>0</v>
      </c>
      <c r="W20" s="155">
        <f t="shared" si="2"/>
        <v>8</v>
      </c>
      <c r="X20" s="155">
        <f t="shared" si="3"/>
        <v>11</v>
      </c>
      <c r="Y20" s="155">
        <f t="shared" si="4"/>
        <v>17</v>
      </c>
    </row>
    <row r="21" spans="1:25" s="12" customFormat="1" ht="15.9" customHeight="1">
      <c r="A21" s="85"/>
      <c r="B21" s="245"/>
      <c r="C21" s="245"/>
      <c r="D21" s="245"/>
      <c r="E21" s="245"/>
      <c r="F21" s="127"/>
      <c r="G21" s="127"/>
      <c r="H21" s="68"/>
      <c r="I21" s="67"/>
      <c r="J21" s="67"/>
      <c r="K21" s="67"/>
      <c r="L21" s="67"/>
      <c r="M21" s="26"/>
      <c r="N21" s="254" t="s">
        <v>80</v>
      </c>
      <c r="O21" s="255"/>
      <c r="P21" s="255"/>
      <c r="Q21" s="255"/>
      <c r="R21" s="255"/>
      <c r="S21" s="256"/>
      <c r="U21" s="66">
        <f t="shared" si="0"/>
        <v>0</v>
      </c>
      <c r="V21" s="66">
        <f t="shared" si="1"/>
        <v>0</v>
      </c>
      <c r="W21" s="155">
        <f t="shared" si="2"/>
        <v>8</v>
      </c>
      <c r="X21" s="155">
        <f t="shared" si="3"/>
        <v>11</v>
      </c>
      <c r="Y21" s="155">
        <f t="shared" si="4"/>
        <v>17</v>
      </c>
    </row>
    <row r="22" spans="1:25" s="12" customFormat="1" ht="15.9" customHeight="1">
      <c r="A22" s="85"/>
      <c r="B22" s="245"/>
      <c r="C22" s="245"/>
      <c r="D22" s="245"/>
      <c r="E22" s="245"/>
      <c r="F22" s="127"/>
      <c r="G22" s="127"/>
      <c r="H22" s="68"/>
      <c r="I22" s="67"/>
      <c r="J22" s="67"/>
      <c r="K22" s="67"/>
      <c r="L22" s="67"/>
      <c r="M22" s="26"/>
      <c r="N22" s="254"/>
      <c r="O22" s="255"/>
      <c r="P22" s="255"/>
      <c r="Q22" s="255"/>
      <c r="R22" s="255"/>
      <c r="S22" s="256"/>
      <c r="U22" s="66">
        <f t="shared" si="0"/>
        <v>0</v>
      </c>
      <c r="V22" s="66">
        <f t="shared" si="1"/>
        <v>0</v>
      </c>
      <c r="W22" s="155">
        <f t="shared" si="2"/>
        <v>8</v>
      </c>
      <c r="X22" s="155">
        <f t="shared" si="3"/>
        <v>11</v>
      </c>
      <c r="Y22" s="155">
        <f t="shared" si="4"/>
        <v>17</v>
      </c>
    </row>
    <row r="23" spans="1:25" s="30" customFormat="1" ht="15" customHeight="1">
      <c r="A23" s="85"/>
      <c r="B23" s="245"/>
      <c r="C23" s="245"/>
      <c r="D23" s="245"/>
      <c r="E23" s="245"/>
      <c r="F23" s="127"/>
      <c r="G23" s="127"/>
      <c r="H23" s="68"/>
      <c r="I23" s="67"/>
      <c r="J23" s="67"/>
      <c r="K23" s="67"/>
      <c r="L23" s="67"/>
      <c r="M23" s="27"/>
      <c r="N23" s="254"/>
      <c r="O23" s="255"/>
      <c r="P23" s="255"/>
      <c r="Q23" s="255"/>
      <c r="R23" s="255"/>
      <c r="S23" s="256"/>
      <c r="U23" s="66">
        <f t="shared" si="0"/>
        <v>0</v>
      </c>
      <c r="V23" s="66">
        <f t="shared" si="1"/>
        <v>0</v>
      </c>
      <c r="W23" s="155">
        <f t="shared" si="2"/>
        <v>8</v>
      </c>
      <c r="X23" s="155">
        <f t="shared" si="3"/>
        <v>11</v>
      </c>
      <c r="Y23" s="155">
        <f t="shared" si="4"/>
        <v>17</v>
      </c>
    </row>
    <row r="24" spans="1:25" s="12" customFormat="1" ht="14.4" thickBot="1">
      <c r="A24" s="92"/>
      <c r="B24" s="269"/>
      <c r="C24" s="269"/>
      <c r="D24" s="269"/>
      <c r="E24" s="269"/>
      <c r="F24" s="130"/>
      <c r="G24" s="130"/>
      <c r="H24" s="98"/>
      <c r="I24" s="99"/>
      <c r="J24" s="94"/>
      <c r="K24" s="94"/>
      <c r="L24" s="99"/>
      <c r="M24" s="28"/>
      <c r="N24" s="254"/>
      <c r="O24" s="255"/>
      <c r="P24" s="255"/>
      <c r="Q24" s="255"/>
      <c r="R24" s="255"/>
      <c r="S24" s="256"/>
      <c r="U24" s="66">
        <f t="shared" si="0"/>
        <v>0</v>
      </c>
      <c r="V24" s="66">
        <f t="shared" si="1"/>
        <v>0</v>
      </c>
      <c r="W24" s="155">
        <f t="shared" si="2"/>
        <v>8</v>
      </c>
      <c r="X24" s="155">
        <f t="shared" si="3"/>
        <v>11</v>
      </c>
      <c r="Y24" s="155">
        <f t="shared" si="4"/>
        <v>17</v>
      </c>
    </row>
    <row r="25" spans="1:25" s="12" customFormat="1" ht="13.8">
      <c r="A25" s="86"/>
      <c r="B25" s="183"/>
      <c r="C25" s="183"/>
      <c r="D25" s="183"/>
      <c r="E25" s="183"/>
      <c r="F25" s="131"/>
      <c r="G25" s="132"/>
      <c r="H25" s="73"/>
      <c r="I25" s="74"/>
      <c r="J25" s="116"/>
      <c r="K25" s="70"/>
      <c r="L25" s="75"/>
      <c r="M25" s="28"/>
      <c r="N25" s="257"/>
      <c r="O25" s="258"/>
      <c r="P25" s="258"/>
      <c r="Q25" s="258"/>
      <c r="R25" s="258"/>
      <c r="S25" s="259"/>
      <c r="U25" s="66">
        <f t="shared" si="0"/>
        <v>0</v>
      </c>
      <c r="V25" s="66">
        <f t="shared" si="1"/>
        <v>0</v>
      </c>
      <c r="W25" s="155">
        <f t="shared" si="2"/>
        <v>8</v>
      </c>
      <c r="X25" s="155">
        <f t="shared" si="3"/>
        <v>11</v>
      </c>
      <c r="Y25" s="155">
        <f t="shared" si="4"/>
        <v>17</v>
      </c>
    </row>
    <row r="26" spans="1:25" s="12" customFormat="1" ht="13.8">
      <c r="A26" s="71"/>
      <c r="B26" s="181"/>
      <c r="C26" s="181"/>
      <c r="D26" s="181"/>
      <c r="E26" s="181"/>
      <c r="F26" s="133"/>
      <c r="G26" s="133"/>
      <c r="H26" s="76"/>
      <c r="I26" s="77"/>
      <c r="J26" s="117"/>
      <c r="K26" s="69"/>
      <c r="L26" s="78"/>
      <c r="M26" s="28"/>
      <c r="N26" s="28"/>
      <c r="O26" s="28"/>
      <c r="P26" s="28"/>
      <c r="Q26" s="28"/>
      <c r="U26" s="66">
        <f t="shared" si="0"/>
        <v>0</v>
      </c>
      <c r="V26" s="66">
        <f t="shared" si="1"/>
        <v>0</v>
      </c>
      <c r="W26" s="155">
        <f t="shared" si="2"/>
        <v>8</v>
      </c>
      <c r="X26" s="155">
        <f t="shared" si="3"/>
        <v>11</v>
      </c>
      <c r="Y26" s="155">
        <f t="shared" si="4"/>
        <v>17</v>
      </c>
    </row>
    <row r="27" spans="1:25" s="14" customFormat="1" ht="13.8">
      <c r="A27" s="71"/>
      <c r="B27" s="181"/>
      <c r="C27" s="181"/>
      <c r="D27" s="181"/>
      <c r="E27" s="181"/>
      <c r="F27" s="134"/>
      <c r="G27" s="135"/>
      <c r="H27" s="79"/>
      <c r="I27" s="80"/>
      <c r="J27" s="117"/>
      <c r="K27" s="80"/>
      <c r="L27" s="77"/>
      <c r="M27" s="12"/>
      <c r="U27" s="66">
        <f t="shared" si="0"/>
        <v>0</v>
      </c>
      <c r="V27" s="66">
        <f t="shared" si="1"/>
        <v>0</v>
      </c>
      <c r="W27" s="155">
        <f t="shared" si="2"/>
        <v>8</v>
      </c>
      <c r="X27" s="155">
        <f t="shared" si="3"/>
        <v>11</v>
      </c>
      <c r="Y27" s="155">
        <f t="shared" si="4"/>
        <v>17</v>
      </c>
    </row>
    <row r="28" spans="1:25" s="14" customFormat="1" ht="13.8">
      <c r="A28" s="71"/>
      <c r="B28" s="181"/>
      <c r="C28" s="181"/>
      <c r="D28" s="181"/>
      <c r="E28" s="181"/>
      <c r="F28" s="134"/>
      <c r="G28" s="135"/>
      <c r="H28" s="79"/>
      <c r="I28" s="80"/>
      <c r="J28" s="117"/>
      <c r="K28" s="80"/>
      <c r="L28" s="77"/>
      <c r="M28" s="12"/>
      <c r="U28" s="66">
        <f t="shared" si="0"/>
        <v>0</v>
      </c>
      <c r="V28" s="66">
        <f t="shared" si="1"/>
        <v>0</v>
      </c>
      <c r="W28" s="155">
        <f t="shared" si="2"/>
        <v>8</v>
      </c>
      <c r="X28" s="155">
        <f t="shared" si="3"/>
        <v>11</v>
      </c>
      <c r="Y28" s="155">
        <f t="shared" si="4"/>
        <v>17</v>
      </c>
    </row>
    <row r="29" spans="1:25" s="12" customFormat="1" ht="14.4" thickBot="1">
      <c r="A29" s="87"/>
      <c r="B29" s="182"/>
      <c r="C29" s="182"/>
      <c r="D29" s="182"/>
      <c r="E29" s="182"/>
      <c r="F29" s="136"/>
      <c r="G29" s="137"/>
      <c r="H29" s="81"/>
      <c r="I29" s="82"/>
      <c r="J29" s="118"/>
      <c r="K29" s="82"/>
      <c r="L29" s="72"/>
      <c r="U29" s="66">
        <f t="shared" si="0"/>
        <v>0</v>
      </c>
      <c r="V29" s="66">
        <f t="shared" si="1"/>
        <v>0</v>
      </c>
      <c r="W29" s="155">
        <f t="shared" si="2"/>
        <v>8</v>
      </c>
      <c r="X29" s="155">
        <f t="shared" si="3"/>
        <v>11</v>
      </c>
      <c r="Y29" s="155">
        <f t="shared" si="4"/>
        <v>17</v>
      </c>
    </row>
    <row r="30" spans="1:25" s="12" customFormat="1" ht="13.8">
      <c r="A30" s="88"/>
      <c r="B30" s="183"/>
      <c r="C30" s="183"/>
      <c r="D30" s="183"/>
      <c r="E30" s="183"/>
      <c r="F30" s="138"/>
      <c r="G30" s="139"/>
      <c r="H30" s="83"/>
      <c r="I30" s="84"/>
      <c r="J30" s="116"/>
      <c r="K30" s="84"/>
      <c r="L30" s="74"/>
      <c r="U30" s="66">
        <f t="shared" si="0"/>
        <v>0</v>
      </c>
      <c r="V30" s="66">
        <f t="shared" si="1"/>
        <v>0</v>
      </c>
      <c r="W30" s="155">
        <f t="shared" si="2"/>
        <v>8</v>
      </c>
      <c r="X30" s="155">
        <f t="shared" si="3"/>
        <v>11</v>
      </c>
      <c r="Y30" s="155">
        <f t="shared" si="4"/>
        <v>17</v>
      </c>
    </row>
    <row r="31" spans="1:25" s="14" customFormat="1" ht="13.8">
      <c r="A31" s="71"/>
      <c r="B31" s="181"/>
      <c r="C31" s="181"/>
      <c r="D31" s="181"/>
      <c r="E31" s="181"/>
      <c r="F31" s="134"/>
      <c r="G31" s="135"/>
      <c r="H31" s="79"/>
      <c r="I31" s="80"/>
      <c r="J31" s="117"/>
      <c r="K31" s="80"/>
      <c r="L31" s="77"/>
      <c r="M31" s="12"/>
      <c r="U31" s="66">
        <f t="shared" si="0"/>
        <v>0</v>
      </c>
      <c r="V31" s="66">
        <f t="shared" si="1"/>
        <v>0</v>
      </c>
      <c r="W31" s="155">
        <f t="shared" si="2"/>
        <v>8</v>
      </c>
      <c r="X31" s="155">
        <f t="shared" si="3"/>
        <v>11</v>
      </c>
      <c r="Y31" s="155">
        <f t="shared" si="4"/>
        <v>17</v>
      </c>
    </row>
    <row r="32" spans="1:25" s="14" customFormat="1" ht="13.8">
      <c r="A32" s="71"/>
      <c r="B32" s="181"/>
      <c r="C32" s="181"/>
      <c r="D32" s="181"/>
      <c r="E32" s="181"/>
      <c r="F32" s="134"/>
      <c r="G32" s="135"/>
      <c r="H32" s="79"/>
      <c r="I32" s="80"/>
      <c r="J32" s="117"/>
      <c r="K32" s="80"/>
      <c r="L32" s="77"/>
      <c r="M32" s="12"/>
      <c r="U32" s="61"/>
      <c r="V32" s="61"/>
    </row>
    <row r="33" spans="1:22" s="14" customFormat="1" ht="13.8">
      <c r="A33" s="71"/>
      <c r="B33" s="181"/>
      <c r="C33" s="181"/>
      <c r="D33" s="181"/>
      <c r="E33" s="181"/>
      <c r="F33" s="134"/>
      <c r="G33" s="135"/>
      <c r="H33" s="79"/>
      <c r="I33" s="80"/>
      <c r="J33" s="117"/>
      <c r="K33" s="80"/>
      <c r="L33" s="77"/>
      <c r="M33" s="12"/>
      <c r="U33" s="61"/>
      <c r="V33" s="61"/>
    </row>
    <row r="34" spans="1:22" s="12" customFormat="1" ht="14.4" thickBot="1">
      <c r="A34" s="89"/>
      <c r="B34" s="184" t="s">
        <v>58</v>
      </c>
      <c r="C34" s="184"/>
      <c r="D34" s="184"/>
      <c r="E34" s="184"/>
      <c r="F34" s="90"/>
      <c r="G34" s="91"/>
      <c r="H34" s="81"/>
      <c r="I34" s="82"/>
      <c r="J34" s="82"/>
      <c r="K34" s="82"/>
      <c r="L34" s="82"/>
      <c r="U34" s="60"/>
      <c r="V34" s="60"/>
    </row>
    <row r="35" spans="1:22" s="12" customFormat="1" ht="13.8">
      <c r="B35" s="29"/>
      <c r="C35" s="29"/>
      <c r="D35" s="29"/>
      <c r="E35" s="29"/>
      <c r="F35" s="19"/>
      <c r="H35" s="30" t="s">
        <v>34</v>
      </c>
      <c r="I35" s="160">
        <f>SUM(I15:I34)</f>
        <v>0</v>
      </c>
      <c r="J35" s="161">
        <f>SUM(J15:J34)</f>
        <v>0</v>
      </c>
      <c r="K35" s="161">
        <f>SUM(K15:K34)</f>
        <v>0</v>
      </c>
      <c r="L35" s="162">
        <f>SUM(L15:L34)</f>
        <v>0</v>
      </c>
      <c r="U35" s="60"/>
      <c r="V35" s="60"/>
    </row>
    <row r="36" spans="1:22" s="14" customFormat="1" ht="13.8">
      <c r="A36" s="14" t="s">
        <v>74</v>
      </c>
      <c r="E36" s="31"/>
      <c r="F36" s="32"/>
      <c r="K36" s="38" t="s">
        <v>31</v>
      </c>
      <c r="L36" s="163">
        <f>SUM(I35:L35)</f>
        <v>0</v>
      </c>
      <c r="M36" s="12"/>
      <c r="N36" s="12"/>
      <c r="O36" s="12"/>
      <c r="P36" s="12"/>
      <c r="Q36" s="12"/>
      <c r="R36" s="12"/>
      <c r="S36" s="12"/>
      <c r="T36" s="12"/>
      <c r="U36" s="60"/>
      <c r="V36" s="61"/>
    </row>
    <row r="37" spans="1:22" s="14" customFormat="1" ht="13.8">
      <c r="A37" s="205"/>
      <c r="B37" s="205"/>
      <c r="C37" s="205"/>
      <c r="D37" s="205"/>
      <c r="E37" s="205"/>
      <c r="F37" s="205"/>
      <c r="G37" s="205"/>
      <c r="H37" s="205"/>
      <c r="K37" s="38" t="s">
        <v>14</v>
      </c>
      <c r="L37" s="104">
        <v>0</v>
      </c>
      <c r="M37" s="12"/>
      <c r="U37" s="61"/>
      <c r="V37" s="61"/>
    </row>
    <row r="38" spans="1:22" s="14" customFormat="1" ht="13.8">
      <c r="A38" s="185"/>
      <c r="B38" s="185"/>
      <c r="C38" s="185"/>
      <c r="D38" s="185"/>
      <c r="E38" s="185"/>
      <c r="F38" s="185"/>
      <c r="G38" s="185"/>
      <c r="H38" s="185"/>
      <c r="K38" s="38" t="s">
        <v>15</v>
      </c>
      <c r="L38" s="163">
        <f>L36-L37</f>
        <v>0</v>
      </c>
      <c r="M38" s="12"/>
      <c r="U38" s="61"/>
      <c r="V38" s="61"/>
    </row>
    <row r="39" spans="1:22" s="14" customFormat="1" ht="13.8">
      <c r="A39" s="185"/>
      <c r="B39" s="185"/>
      <c r="C39" s="185"/>
      <c r="D39" s="185"/>
      <c r="E39" s="185"/>
      <c r="F39" s="185"/>
      <c r="G39" s="185"/>
      <c r="H39" s="185"/>
      <c r="L39" s="33"/>
      <c r="M39" s="12"/>
      <c r="U39" s="61"/>
      <c r="V39" s="61"/>
    </row>
    <row r="40" spans="1:22" s="14" customFormat="1" ht="9" customHeight="1">
      <c r="A40" s="54"/>
      <c r="B40" s="54"/>
      <c r="C40" s="54"/>
      <c r="D40" s="54"/>
      <c r="E40" s="54"/>
      <c r="F40" s="54"/>
      <c r="G40" s="54"/>
      <c r="H40" s="54"/>
      <c r="L40" s="33"/>
      <c r="M40" s="12"/>
      <c r="U40" s="61"/>
      <c r="V40" s="61"/>
    </row>
    <row r="41" spans="1:22" ht="9" customHeight="1">
      <c r="A41" s="186" t="s">
        <v>5</v>
      </c>
      <c r="B41" s="186"/>
      <c r="C41" s="186"/>
      <c r="D41" s="186"/>
      <c r="E41" s="186"/>
      <c r="F41" s="186"/>
      <c r="G41" s="186"/>
      <c r="H41" s="186"/>
      <c r="I41" s="186"/>
      <c r="J41" s="186"/>
      <c r="K41" s="186"/>
      <c r="L41" s="7"/>
      <c r="M41" s="7"/>
      <c r="N41" s="6"/>
      <c r="O41" s="6"/>
      <c r="P41" s="6"/>
      <c r="Q41" s="6"/>
    </row>
    <row r="42" spans="1:22" s="9" customFormat="1" ht="8.4">
      <c r="A42" s="186" t="s">
        <v>16</v>
      </c>
      <c r="B42" s="186"/>
      <c r="C42" s="186"/>
      <c r="D42" s="186"/>
      <c r="E42" s="186"/>
      <c r="F42" s="186"/>
      <c r="G42" s="186"/>
      <c r="H42" s="186"/>
      <c r="I42" s="186"/>
      <c r="J42" s="186"/>
      <c r="K42" s="186"/>
      <c r="L42" s="39"/>
      <c r="M42" s="39"/>
      <c r="U42" s="62"/>
      <c r="V42" s="62"/>
    </row>
    <row r="43" spans="1:22" s="3" customFormat="1" ht="22.5" customHeight="1">
      <c r="A43" s="191"/>
      <c r="B43" s="191"/>
      <c r="C43" s="191"/>
      <c r="D43" s="191"/>
      <c r="E43" s="191"/>
      <c r="F43" s="191"/>
      <c r="G43" s="191"/>
      <c r="H43" s="191"/>
      <c r="J43" s="194"/>
      <c r="K43" s="194"/>
      <c r="L43" s="194"/>
      <c r="U43" s="63"/>
      <c r="V43" s="63"/>
    </row>
    <row r="44" spans="1:22" s="3" customFormat="1" ht="12.75" customHeight="1">
      <c r="A44" s="197" t="s">
        <v>9</v>
      </c>
      <c r="B44" s="197"/>
      <c r="C44" s="197"/>
      <c r="D44" s="197"/>
      <c r="E44" s="197"/>
      <c r="F44" s="197"/>
      <c r="G44" s="197"/>
      <c r="H44" s="197"/>
      <c r="J44" s="195" t="s">
        <v>1</v>
      </c>
      <c r="K44" s="195"/>
      <c r="L44" s="195"/>
      <c r="U44" s="63"/>
      <c r="V44" s="63"/>
    </row>
    <row r="45" spans="1:22" s="3" customFormat="1" ht="22.5" customHeight="1">
      <c r="A45" s="191"/>
      <c r="B45" s="191"/>
      <c r="C45" s="191"/>
      <c r="D45" s="191"/>
      <c r="E45" s="191"/>
      <c r="F45" s="191"/>
      <c r="G45" s="191"/>
      <c r="H45" s="191"/>
      <c r="J45" s="194"/>
      <c r="K45" s="194"/>
      <c r="L45" s="194"/>
      <c r="U45" s="63"/>
      <c r="V45" s="63"/>
    </row>
    <row r="46" spans="1:22" s="3" customFormat="1" ht="12.75" customHeight="1">
      <c r="A46" s="197" t="s">
        <v>57</v>
      </c>
      <c r="B46" s="197"/>
      <c r="C46" s="197"/>
      <c r="D46" s="197"/>
      <c r="E46" s="197"/>
      <c r="F46" s="197"/>
      <c r="G46" s="197"/>
      <c r="H46" s="197"/>
      <c r="J46" s="195" t="s">
        <v>1</v>
      </c>
      <c r="K46" s="195"/>
      <c r="L46" s="195"/>
      <c r="U46" s="63"/>
      <c r="V46" s="63"/>
    </row>
    <row r="47" spans="1:22" s="3" customFormat="1" ht="6.9" customHeight="1">
      <c r="A47" s="164"/>
      <c r="B47" s="164"/>
      <c r="C47" s="164"/>
      <c r="D47" s="164"/>
      <c r="E47" s="164"/>
      <c r="F47" s="164"/>
      <c r="G47" s="164"/>
      <c r="H47" s="164"/>
      <c r="J47" s="165"/>
      <c r="K47" s="165"/>
      <c r="L47" s="165"/>
      <c r="U47" s="63"/>
      <c r="V47" s="63"/>
    </row>
    <row r="48" spans="1:22" s="3" customFormat="1" ht="6.9" customHeight="1" thickBot="1">
      <c r="A48" s="166"/>
      <c r="B48" s="166"/>
      <c r="C48" s="166"/>
      <c r="D48" s="166"/>
      <c r="E48" s="166"/>
      <c r="F48" s="166"/>
      <c r="G48" s="166"/>
      <c r="H48" s="166"/>
      <c r="I48" s="167"/>
      <c r="J48" s="18"/>
      <c r="K48" s="55"/>
      <c r="L48" s="55"/>
      <c r="U48" s="63"/>
      <c r="V48" s="63"/>
    </row>
    <row r="49" spans="1:22" s="10" customFormat="1" ht="11.4">
      <c r="A49" s="187" t="s">
        <v>13</v>
      </c>
      <c r="B49" s="188"/>
      <c r="C49" s="105"/>
      <c r="D49" s="106"/>
      <c r="E49" s="105"/>
      <c r="F49" s="107"/>
      <c r="G49" s="105"/>
      <c r="H49" s="105"/>
      <c r="I49" s="105"/>
      <c r="J49" s="105"/>
      <c r="K49" s="108"/>
      <c r="L49" s="109"/>
      <c r="U49" s="64"/>
      <c r="V49" s="64"/>
    </row>
    <row r="50" spans="1:22" s="40" customFormat="1" ht="15.75" customHeight="1" thickBot="1">
      <c r="A50" s="110"/>
      <c r="B50" s="111" t="s">
        <v>64</v>
      </c>
      <c r="C50" s="246" t="s">
        <v>56</v>
      </c>
      <c r="D50" s="246"/>
      <c r="E50" s="168"/>
      <c r="F50" s="111"/>
      <c r="G50" s="189" t="s">
        <v>59</v>
      </c>
      <c r="H50" s="190"/>
      <c r="I50" s="169"/>
      <c r="J50" s="111"/>
      <c r="K50" s="192"/>
      <c r="L50" s="193"/>
      <c r="U50" s="65"/>
      <c r="V50" s="65"/>
    </row>
    <row r="51" spans="1:22" s="12" customFormat="1" ht="13.8">
      <c r="A51" s="180" t="s">
        <v>35</v>
      </c>
      <c r="B51" s="180"/>
      <c r="C51" s="180"/>
      <c r="D51" s="180"/>
      <c r="E51" s="53" t="s">
        <v>45</v>
      </c>
      <c r="F51" s="53" t="s">
        <v>17</v>
      </c>
      <c r="G51" s="53" t="s">
        <v>10</v>
      </c>
      <c r="H51" s="53" t="s">
        <v>11</v>
      </c>
      <c r="I51" s="53" t="s">
        <v>8</v>
      </c>
      <c r="J51" s="53" t="s">
        <v>32</v>
      </c>
      <c r="K51" s="53" t="s">
        <v>18</v>
      </c>
      <c r="L51" s="53" t="s">
        <v>12</v>
      </c>
      <c r="U51" s="60"/>
      <c r="V51" s="60"/>
    </row>
    <row r="52" spans="1:22" s="12" customFormat="1" ht="9.9" customHeight="1">
      <c r="A52" s="170"/>
      <c r="B52" s="5"/>
      <c r="C52" s="171" t="s">
        <v>36</v>
      </c>
      <c r="D52" s="172"/>
      <c r="E52" s="173"/>
      <c r="F52" s="119"/>
      <c r="G52" s="119"/>
      <c r="H52" s="119"/>
      <c r="I52" s="119"/>
      <c r="J52" s="13"/>
      <c r="K52" s="13"/>
      <c r="L52" s="50"/>
      <c r="U52" s="60"/>
      <c r="V52" s="60"/>
    </row>
    <row r="53" spans="1:22" s="14" customFormat="1" ht="15.75" customHeight="1">
      <c r="A53" s="52" t="s">
        <v>54</v>
      </c>
      <c r="B53" s="122"/>
      <c r="C53" s="123">
        <v>75500</v>
      </c>
      <c r="D53" s="172"/>
      <c r="E53" s="173" t="s">
        <v>37</v>
      </c>
      <c r="F53" s="119"/>
      <c r="G53" s="119"/>
      <c r="H53" s="119"/>
      <c r="I53" s="112">
        <v>733220</v>
      </c>
      <c r="J53" s="13"/>
      <c r="K53" s="13"/>
      <c r="L53" s="114"/>
      <c r="M53" s="12"/>
      <c r="U53" s="61"/>
      <c r="V53" s="61"/>
    </row>
    <row r="54" spans="1:22" s="14" customFormat="1" ht="15.75" customHeight="1">
      <c r="A54" s="52" t="s">
        <v>55</v>
      </c>
      <c r="B54" s="122"/>
      <c r="C54" s="123">
        <v>75500</v>
      </c>
      <c r="D54" s="172"/>
      <c r="E54" s="173" t="s">
        <v>38</v>
      </c>
      <c r="F54" s="119"/>
      <c r="G54" s="119"/>
      <c r="H54" s="119"/>
      <c r="I54" s="112">
        <v>733230</v>
      </c>
      <c r="J54" s="13"/>
      <c r="K54" s="13"/>
      <c r="L54" s="114"/>
      <c r="M54" s="12"/>
      <c r="U54" s="61"/>
      <c r="V54" s="61"/>
    </row>
    <row r="55" spans="1:22" s="14" customFormat="1" ht="15.75" customHeight="1">
      <c r="A55" s="52" t="s">
        <v>4</v>
      </c>
      <c r="B55" s="122"/>
      <c r="C55" s="123">
        <v>48500</v>
      </c>
      <c r="D55" s="172"/>
      <c r="E55" s="173" t="s">
        <v>39</v>
      </c>
      <c r="F55" s="119"/>
      <c r="G55" s="119"/>
      <c r="H55" s="119"/>
      <c r="I55" s="112">
        <v>733300</v>
      </c>
      <c r="J55" s="13"/>
      <c r="K55" s="13"/>
      <c r="L55" s="114"/>
      <c r="M55" s="12"/>
      <c r="U55" s="61"/>
      <c r="V55" s="61"/>
    </row>
    <row r="56" spans="1:22" s="14" customFormat="1" ht="15.75" customHeight="1">
      <c r="A56" s="52" t="s">
        <v>62</v>
      </c>
      <c r="B56" s="122"/>
      <c r="C56" s="123">
        <v>48500</v>
      </c>
      <c r="D56" s="172"/>
      <c r="E56" s="173" t="s">
        <v>40</v>
      </c>
      <c r="F56" s="119"/>
      <c r="G56" s="119"/>
      <c r="H56" s="119"/>
      <c r="I56" s="112">
        <v>733350</v>
      </c>
      <c r="J56" s="13"/>
      <c r="K56" s="13"/>
      <c r="L56" s="114"/>
      <c r="M56" s="12"/>
      <c r="U56" s="61"/>
      <c r="V56" s="61"/>
    </row>
    <row r="57" spans="1:22" s="14" customFormat="1" ht="15.75" customHeight="1">
      <c r="A57" s="52" t="s">
        <v>33</v>
      </c>
      <c r="B57" s="122"/>
      <c r="C57" s="123">
        <v>48500</v>
      </c>
      <c r="D57" s="172"/>
      <c r="E57" s="173" t="s">
        <v>41</v>
      </c>
      <c r="F57" s="119"/>
      <c r="G57" s="119"/>
      <c r="H57" s="119"/>
      <c r="I57" s="112">
        <v>733340</v>
      </c>
      <c r="J57" s="13"/>
      <c r="K57" s="13"/>
      <c r="L57" s="114"/>
      <c r="M57" s="12"/>
      <c r="U57" s="61"/>
      <c r="V57" s="61"/>
    </row>
    <row r="58" spans="1:22" s="14" customFormat="1" ht="15.75" customHeight="1">
      <c r="A58" s="52" t="s">
        <v>7</v>
      </c>
      <c r="B58" s="122"/>
      <c r="C58" s="123">
        <v>75500</v>
      </c>
      <c r="D58" s="172"/>
      <c r="E58" s="173" t="s">
        <v>19</v>
      </c>
      <c r="F58" s="119"/>
      <c r="G58" s="119"/>
      <c r="H58" s="119"/>
      <c r="I58" s="112">
        <v>733280</v>
      </c>
      <c r="J58" s="13"/>
      <c r="K58" s="13"/>
      <c r="L58" s="114"/>
      <c r="M58" s="12"/>
      <c r="U58" s="61"/>
      <c r="V58" s="61"/>
    </row>
    <row r="59" spans="1:22" s="14" customFormat="1" ht="15.75" customHeight="1">
      <c r="A59" s="52" t="s">
        <v>60</v>
      </c>
      <c r="B59" s="122"/>
      <c r="C59" s="123">
        <v>75500</v>
      </c>
      <c r="D59" s="172"/>
      <c r="E59" s="173" t="s">
        <v>42</v>
      </c>
      <c r="F59" s="119"/>
      <c r="G59" s="119"/>
      <c r="H59" s="119"/>
      <c r="I59" s="112">
        <v>733320</v>
      </c>
      <c r="J59" s="13"/>
      <c r="K59" s="13"/>
      <c r="L59" s="114"/>
      <c r="M59" s="12"/>
      <c r="U59" s="61"/>
      <c r="V59" s="61"/>
    </row>
    <row r="60" spans="1:22" s="14" customFormat="1" ht="15.75" customHeight="1">
      <c r="A60" s="52" t="s">
        <v>6</v>
      </c>
      <c r="B60" s="122"/>
      <c r="C60" s="123">
        <v>75500</v>
      </c>
      <c r="D60" s="172"/>
      <c r="E60" s="173" t="s">
        <v>43</v>
      </c>
      <c r="F60" s="120"/>
      <c r="G60" s="120"/>
      <c r="H60" s="120"/>
      <c r="I60" s="113">
        <v>733260</v>
      </c>
      <c r="J60" s="51"/>
      <c r="K60" s="51"/>
      <c r="L60" s="115"/>
      <c r="M60" s="12"/>
      <c r="U60" s="61"/>
      <c r="V60" s="61"/>
    </row>
    <row r="61" spans="1:22" s="14" customFormat="1" ht="15.75" customHeight="1">
      <c r="A61" s="52" t="s">
        <v>46</v>
      </c>
      <c r="B61" s="122"/>
      <c r="C61" s="123">
        <v>70000</v>
      </c>
      <c r="D61" s="174"/>
      <c r="E61" s="175" t="s">
        <v>44</v>
      </c>
      <c r="F61" s="119"/>
      <c r="G61" s="119"/>
      <c r="H61" s="119"/>
      <c r="I61" s="112">
        <v>744160</v>
      </c>
      <c r="J61" s="13"/>
      <c r="K61" s="13"/>
      <c r="L61" s="114"/>
      <c r="M61" s="12"/>
      <c r="U61" s="61"/>
      <c r="V61" s="61"/>
    </row>
    <row r="62" spans="1:22" s="14" customFormat="1" ht="15.75" customHeight="1">
      <c r="A62" s="57" t="s">
        <v>61</v>
      </c>
      <c r="B62" s="124"/>
      <c r="C62" s="125">
        <v>75500</v>
      </c>
      <c r="D62" s="176"/>
      <c r="E62" s="173" t="s">
        <v>63</v>
      </c>
      <c r="F62" s="119"/>
      <c r="G62" s="119"/>
      <c r="H62" s="119"/>
      <c r="I62" s="121"/>
      <c r="J62" s="13"/>
      <c r="K62" s="13"/>
      <c r="L62" s="114"/>
      <c r="M62" s="12"/>
      <c r="U62" s="61"/>
      <c r="V62" s="61"/>
    </row>
    <row r="63" spans="1:22" s="14" customFormat="1" ht="13.8">
      <c r="A63" s="15"/>
      <c r="B63" s="15"/>
      <c r="C63" s="177"/>
      <c r="D63" s="178"/>
      <c r="E63" s="41"/>
      <c r="F63" s="178"/>
      <c r="L63" s="179">
        <f>SUM(L53:L62)</f>
        <v>0</v>
      </c>
      <c r="M63" s="12"/>
      <c r="U63" s="61"/>
      <c r="V63" s="61"/>
    </row>
    <row r="64" spans="1:22" s="14" customFormat="1" ht="24.6" customHeight="1">
      <c r="A64" s="191"/>
      <c r="B64" s="191"/>
      <c r="C64" s="191"/>
      <c r="D64" s="191"/>
      <c r="E64" s="191"/>
      <c r="F64" s="191"/>
      <c r="G64" s="191"/>
      <c r="H64" s="191"/>
      <c r="I64" s="3"/>
      <c r="J64" s="194"/>
      <c r="K64" s="194"/>
      <c r="L64" s="194"/>
      <c r="M64" s="12"/>
      <c r="U64" s="61"/>
      <c r="V64" s="61"/>
    </row>
    <row r="65" spans="1:12" ht="13.2">
      <c r="A65" s="196" t="s">
        <v>81</v>
      </c>
      <c r="B65" s="197"/>
      <c r="C65" s="197"/>
      <c r="D65" s="197"/>
      <c r="E65" s="197"/>
      <c r="F65" s="197"/>
      <c r="G65" s="197"/>
      <c r="H65" s="197"/>
      <c r="I65" s="3"/>
      <c r="J65" s="195" t="s">
        <v>1</v>
      </c>
      <c r="K65" s="195"/>
      <c r="L65" s="195"/>
    </row>
    <row r="66" spans="1:12" ht="11.4">
      <c r="A66" s="15"/>
      <c r="B66" s="15"/>
      <c r="C66" s="177"/>
      <c r="D66" s="178"/>
      <c r="E66" s="41"/>
      <c r="F66" s="178"/>
    </row>
    <row r="67" spans="1:12" ht="11.4">
      <c r="A67" s="15"/>
      <c r="B67" s="15"/>
      <c r="C67" s="177"/>
      <c r="D67" s="178"/>
      <c r="E67" s="41"/>
      <c r="F67" s="178"/>
    </row>
    <row r="68" spans="1:12" ht="11.4">
      <c r="A68" s="15"/>
      <c r="B68" s="15"/>
      <c r="C68" s="177"/>
      <c r="D68" s="178"/>
      <c r="E68" s="41"/>
      <c r="F68" s="178"/>
    </row>
    <row r="69" spans="1:12" ht="11.4">
      <c r="A69" s="15"/>
      <c r="B69" s="15"/>
      <c r="C69" s="177"/>
      <c r="D69" s="178"/>
      <c r="E69" s="41"/>
      <c r="F69" s="178"/>
    </row>
    <row r="70" spans="1:12">
      <c r="A70" s="3"/>
      <c r="B70" s="3"/>
      <c r="C70" s="3"/>
      <c r="D70" s="3"/>
      <c r="E70" s="8"/>
      <c r="F70" s="10"/>
    </row>
    <row r="71" spans="1:12">
      <c r="A71" s="3"/>
      <c r="B71" s="3"/>
      <c r="C71" s="3"/>
      <c r="D71" s="3"/>
      <c r="E71" s="8"/>
      <c r="F71" s="10"/>
    </row>
    <row r="72" spans="1:12">
      <c r="A72" s="3"/>
      <c r="B72" s="3"/>
      <c r="C72" s="3"/>
      <c r="D72" s="3"/>
      <c r="E72" s="8"/>
      <c r="F72" s="10"/>
    </row>
    <row r="73" spans="1:12">
      <c r="A73" s="3"/>
      <c r="B73" s="3"/>
      <c r="C73" s="3"/>
      <c r="D73" s="3"/>
      <c r="E73" s="8"/>
      <c r="F73" s="10"/>
    </row>
    <row r="74" spans="1:12">
      <c r="A74" s="3"/>
      <c r="B74" s="3"/>
      <c r="C74" s="3"/>
      <c r="D74" s="3"/>
      <c r="E74" s="8"/>
      <c r="F74" s="10"/>
    </row>
    <row r="75" spans="1:12">
      <c r="A75" s="3"/>
      <c r="B75" s="3"/>
      <c r="C75" s="3"/>
      <c r="D75" s="3"/>
      <c r="E75" s="8"/>
      <c r="F75" s="10"/>
    </row>
  </sheetData>
  <sheetProtection password="DCA5" sheet="1" scenarios="1" formatCells="0" formatColumns="0" formatRows="0"/>
  <mergeCells count="70">
    <mergeCell ref="J65:L65"/>
    <mergeCell ref="B21:E21"/>
    <mergeCell ref="B25:E25"/>
    <mergeCell ref="B17:E17"/>
    <mergeCell ref="K12:L12"/>
    <mergeCell ref="B14:E14"/>
    <mergeCell ref="B23:E23"/>
    <mergeCell ref="B24:E24"/>
    <mergeCell ref="B15:E15"/>
    <mergeCell ref="B18:E18"/>
    <mergeCell ref="B19:E19"/>
    <mergeCell ref="J44:L44"/>
    <mergeCell ref="J43:L43"/>
    <mergeCell ref="B16:E16"/>
    <mergeCell ref="B26:E26"/>
    <mergeCell ref="N13:S13"/>
    <mergeCell ref="P14:S17"/>
    <mergeCell ref="N19:S19"/>
    <mergeCell ref="N21:S25"/>
    <mergeCell ref="F13:G13"/>
    <mergeCell ref="N20:S20"/>
    <mergeCell ref="B20:E20"/>
    <mergeCell ref="B22:E22"/>
    <mergeCell ref="C50:D50"/>
    <mergeCell ref="A44:H44"/>
    <mergeCell ref="A45:H45"/>
    <mergeCell ref="A46:H46"/>
    <mergeCell ref="H6:L6"/>
    <mergeCell ref="E11:G11"/>
    <mergeCell ref="H7:L7"/>
    <mergeCell ref="A10:C10"/>
    <mergeCell ref="A11:C11"/>
    <mergeCell ref="I10:J10"/>
    <mergeCell ref="I11:J11"/>
    <mergeCell ref="K11:L11"/>
    <mergeCell ref="K10:L10"/>
    <mergeCell ref="H8:L8"/>
    <mergeCell ref="A7:F7"/>
    <mergeCell ref="A64:H64"/>
    <mergeCell ref="J64:L64"/>
    <mergeCell ref="A65:H65"/>
    <mergeCell ref="A4:F5"/>
    <mergeCell ref="A1:F1"/>
    <mergeCell ref="A37:H37"/>
    <mergeCell ref="A38:H38"/>
    <mergeCell ref="B32:E32"/>
    <mergeCell ref="B31:E31"/>
    <mergeCell ref="A8:F8"/>
    <mergeCell ref="E10:G10"/>
    <mergeCell ref="H1:L1"/>
    <mergeCell ref="H2:L2"/>
    <mergeCell ref="A6:F6"/>
    <mergeCell ref="H4:L4"/>
    <mergeCell ref="H5:L5"/>
    <mergeCell ref="A51:D51"/>
    <mergeCell ref="B27:E27"/>
    <mergeCell ref="B28:E28"/>
    <mergeCell ref="B29:E29"/>
    <mergeCell ref="B30:E30"/>
    <mergeCell ref="B33:E33"/>
    <mergeCell ref="B34:E34"/>
    <mergeCell ref="A39:H39"/>
    <mergeCell ref="A41:K41"/>
    <mergeCell ref="A49:B49"/>
    <mergeCell ref="A42:K42"/>
    <mergeCell ref="G50:H50"/>
    <mergeCell ref="A43:H43"/>
    <mergeCell ref="K50:L50"/>
    <mergeCell ref="J45:L45"/>
    <mergeCell ref="J46:L46"/>
  </mergeCells>
  <phoneticPr fontId="0" type="noConversion"/>
  <dataValidations count="23">
    <dataValidation allowBlank="1" showInputMessage="1" showErrorMessage="1" promptTitle="Payee Signature" prompt="Sign &amp; Date this form before submitting." sqref="A64:H64 A43:H43"/>
    <dataValidation allowBlank="1" showInputMessage="1" showErrorMessage="1" promptTitle="Authorizing Signature(s)" prompt="A person authorized to commit funds for each Index used must sign and date this form." sqref="A45:H45"/>
    <dataValidation errorStyle="information" allowBlank="1" showInputMessage="1" showErrorMessage="1" errorTitle="Plate#" error="Enter vehicle plate#." promptTitle="Enter State/Personal Plate#" prompt="Enter license of State vehicle used.  Enter license of personal vehicle used IF claiming approved vehicle-related expenses.  Include the Journey page verifying no State vehicle available for higher mileage (.37), or low rate (.20) will be given." sqref="E11:G11"/>
    <dataValidation allowBlank="1" showInputMessage="1" showErrorMessage="1" promptTitle="Date Format" prompt="Date format is mm/dd/yyyy" sqref="A15"/>
    <dataValidation allowBlank="1" showInputMessage="1" showErrorMessage="1" promptTitle="A-ID#" prompt="Your 9-digit Banner # that starts with 'A'." sqref="A11:C11"/>
    <dataValidation allowBlank="1" showInputMessage="1" showErrorMessage="1" promptTitle="City-State" prompt="Employees or SDSM&amp;T Student enter:  Rapid City, SD; Lead, SD or Sioux Falls, SD.  Non-Employees enter your work or home city &amp; state." sqref="I11:J11"/>
    <dataValidation allowBlank="1" showInputMessage="1" showErrorMessage="1" promptTitle="Purpose" prompt="Enter the purpose of the trip (ie:  Class/Training name, Interview with --, Football game at --, etc.)" sqref="A37:H37"/>
    <dataValidation allowBlank="1" showInputMessage="1" showErrorMessage="1" promptTitle="Travel Time" prompt="Include the City(s), State(s) and Date(s) of the trip.  Note - show only the time of actual participation, not travel." sqref="A38:H38"/>
    <dataValidation allowBlank="1" showInputMessage="1" showErrorMessage="1" promptTitle="Additional Info" prompt="Include any additional supporting information." sqref="A39:H39"/>
    <dataValidation allowBlank="1" showInputMessage="1" showErrorMessage="1" promptTitle="Dept Name" prompt="Enter Payee's department name." sqref="H6:L6"/>
    <dataValidation allowBlank="1" showInputMessage="1" showErrorMessage="1" promptTitle="Index(es)" prompt="Enter the Index(es) responsible for the expenses.  If more than one Index is used, include the breakdown of percentages, amounts or directions like 'remaining balance' for each Index." sqref="H8:L8"/>
    <dataValidation allowBlank="1" showInputMessage="1" showErrorMessage="1" promptTitle="Payee Address" prompt="If Non-Employee, your address, city, state and zip are required." sqref="A7:F7"/>
    <dataValidation allowBlank="1" showInputMessage="1" showErrorMessage="1" promptTitle="Leave Time" prompt="Enter time format like 7:00 AM or 1:00 PM.  You must account for any on/off duty time by listing it." sqref="F15"/>
    <dataValidation allowBlank="1" showInputMessage="1" showErrorMessage="1" promptTitle="Return Time" prompt="Enter time format like 7:00 AM or 1:00 PM. You must account for any on/off duty time by listing it." sqref="G15"/>
    <dataValidation type="list" allowBlank="1" showInputMessage="1" showErrorMessage="1" promptTitle="List" prompt="Use drop-down arrow to select." sqref="K11:L11">
      <formula1>$R$5:$R$7</formula1>
    </dataValidation>
    <dataValidation allowBlank="1" showInputMessage="1" showErrorMessage="1" promptTitle="Lodging" prompt="Original receipt required; Out-of-State rate up to $250.00, plus tax.  **Cannot pay over Out-of-State rate.** " sqref="K15"/>
    <dataValidation allowBlank="1" showInputMessage="1" showErrorMessage="1" promptTitle="Misc Expense" prompt="Examples are: gas, baggage claim, parking, internet, office supplies, printing, tolls etc." sqref="L15"/>
    <dataValidation allowBlank="1" showInputMessage="1" showErrorMessage="1" promptTitle="Trans Costs" prompt="Examples are:  subway, taxi, shuttle, airline tickets, change fee (when change is business related), bus, train, rental car - a physical means to transport YOU." sqref="I15"/>
    <dataValidation allowBlank="1" showInputMessage="1" showErrorMessage="1" promptTitle="Advanced Amt" prompt="Enter any SDSM&amp;T cash advance amount received." sqref="L37"/>
    <dataValidation allowBlank="1" showInputMessage="1" showErrorMessage="1" promptTitle="Payee Name" prompt="Enter payee name." sqref="A6:F6"/>
    <dataValidation allowBlank="1" showInputMessage="1" showErrorMessage="1" promptTitle="Auto Miles" prompt="Complete only if personal vehicle used.  Note - authorized for direct route only and standard mileage rate allowed by State Auditor (.20 per mile), unless Journey page submitted indicated no State Vehicle available, then high mileage (.37) may be used." sqref="H15"/>
    <dataValidation allowBlank="1" showInputMessage="1" showErrorMessage="1" promptTitle="Out of State" prompt="DO NOT EDIT TITLE - use for Out of State Travel Payment Detail Only!" sqref="H1:L1"/>
    <dataValidation allowBlank="1" showInputMessage="1" showErrorMessage="1" promptTitle="Meals" prompt="$8 Breakfast-MUST leave before 5:31am to claim_x000a_$11 Lunch-MUST leave before 11:31am to claim_x000a_$17 Dinner-MUST leave before 5:31pm to claim_x000a_$36 All Day-MUST leave before 5:31am &amp; return after 7:59pm to claim" sqref="J15"/>
  </dataValidations>
  <printOptions horizontalCentered="1"/>
  <pageMargins left="0.1" right="0.1" top="0.5" bottom="0.2" header="0" footer="0"/>
  <pageSetup scale="85"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Out-of-state</vt:lpstr>
      <vt:lpstr>'Out-of-state'!Print_Area</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Radomski, Deborah G.</dc:creator>
  <cp:lastModifiedBy>dradomsk</cp:lastModifiedBy>
  <cp:lastPrinted>2011-10-31T15:09:30Z</cp:lastPrinted>
  <dcterms:created xsi:type="dcterms:W3CDTF">1996-08-26T16:10:32Z</dcterms:created>
  <dcterms:modified xsi:type="dcterms:W3CDTF">2014-02-24T21:15:07Z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52374430</vt:i4>
  </property>
  <property fmtid="{D5CDD505-2E9C-101B-9397-08002B2CF9AE}" pid="3" name="_NewReviewCycle">
    <vt:lpwstr/>
  </property>
  <property fmtid="{D5CDD505-2E9C-101B-9397-08002B2CF9AE}" pid="4" name="_EmailSubject">
    <vt:lpwstr>Banner Common Trav Vchr_FY07_Final.xls</vt:lpwstr>
  </property>
  <property fmtid="{D5CDD505-2E9C-101B-9397-08002B2CF9AE}" pid="5" name="_AuthorEmail">
    <vt:lpwstr>Debra.Rowse@sdsmt.edu</vt:lpwstr>
  </property>
  <property fmtid="{D5CDD505-2E9C-101B-9397-08002B2CF9AE}" pid="6" name="_AuthorEmailDisplayName">
    <vt:lpwstr>Rowse, Debra K.</vt:lpwstr>
  </property>
  <property fmtid="{D5CDD505-2E9C-101B-9397-08002B2CF9AE}" pid="7" name="_ReviewingToolsShownOnce">
    <vt:lpwstr/>
  </property>
</Properties>
</file>