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hidePivotFieldList="1" defaultThemeVersion="124226"/>
  <bookViews>
    <workbookView xWindow="420" yWindow="1650" windowWidth="19320" windowHeight="12015"/>
  </bookViews>
  <sheets>
    <sheet name="External 7-6-12 to 7-4-13" sheetId="3" r:id="rId1"/>
  </sheets>
  <calcPr calcId="125725"/>
</workbook>
</file>

<file path=xl/calcChain.xml><?xml version="1.0" encoding="utf-8"?>
<calcChain xmlns="http://schemas.openxmlformats.org/spreadsheetml/2006/main">
  <c r="I42" i="3"/>
  <c r="I40"/>
  <c r="I38"/>
  <c r="I36"/>
  <c r="E35"/>
  <c r="E37" s="1"/>
  <c r="I34"/>
  <c r="H31"/>
  <c r="H41" s="1"/>
  <c r="G31"/>
  <c r="G41" s="1"/>
  <c r="F31"/>
  <c r="F41" s="1"/>
  <c r="E31"/>
  <c r="E41" s="1"/>
  <c r="D31"/>
  <c r="D41" s="1"/>
  <c r="C31"/>
  <c r="C41" s="1"/>
  <c r="B31"/>
  <c r="B41" s="1"/>
  <c r="I30"/>
  <c r="I29"/>
  <c r="I28"/>
  <c r="I27"/>
  <c r="I26"/>
  <c r="I25"/>
  <c r="I24"/>
  <c r="I23"/>
  <c r="I31" s="1"/>
  <c r="I41" s="1"/>
  <c r="F21"/>
  <c r="F35" s="1"/>
  <c r="F37" s="1"/>
  <c r="E21"/>
  <c r="E39" s="1"/>
  <c r="B21"/>
  <c r="B35" s="1"/>
  <c r="B37" s="1"/>
  <c r="I20"/>
  <c r="I19"/>
  <c r="I18"/>
  <c r="I17"/>
  <c r="I16"/>
  <c r="I15"/>
  <c r="H14"/>
  <c r="G14"/>
  <c r="F14"/>
  <c r="E14"/>
  <c r="D14"/>
  <c r="C14"/>
  <c r="B14"/>
  <c r="I13"/>
  <c r="I12"/>
  <c r="I11"/>
  <c r="I14" s="1"/>
  <c r="H10"/>
  <c r="G10"/>
  <c r="F10"/>
  <c r="E10"/>
  <c r="D10"/>
  <c r="C10"/>
  <c r="B10"/>
  <c r="I9"/>
  <c r="I8"/>
  <c r="I7"/>
  <c r="I10" s="1"/>
  <c r="I6"/>
  <c r="I5"/>
  <c r="H4"/>
  <c r="H21" s="1"/>
  <c r="G4"/>
  <c r="G21" s="1"/>
  <c r="F4"/>
  <c r="E4"/>
  <c r="D4"/>
  <c r="D21" s="1"/>
  <c r="C4"/>
  <c r="C21" s="1"/>
  <c r="B4"/>
  <c r="I3"/>
  <c r="I2"/>
  <c r="I4" s="1"/>
  <c r="D39" l="1"/>
  <c r="D35"/>
  <c r="D37" s="1"/>
  <c r="H39"/>
  <c r="H35"/>
  <c r="H37" s="1"/>
  <c r="I21"/>
  <c r="C35"/>
  <c r="C37" s="1"/>
  <c r="C39"/>
  <c r="G35"/>
  <c r="G37" s="1"/>
  <c r="G39"/>
  <c r="B39"/>
  <c r="F39"/>
  <c r="I39" l="1"/>
  <c r="I35"/>
  <c r="I37" s="1"/>
</calcChain>
</file>

<file path=xl/sharedStrings.xml><?xml version="1.0" encoding="utf-8"?>
<sst xmlns="http://schemas.openxmlformats.org/spreadsheetml/2006/main" count="50" uniqueCount="47">
  <si>
    <t>Treatment</t>
  </si>
  <si>
    <t>D1</t>
  </si>
  <si>
    <t>D2</t>
  </si>
  <si>
    <t>D3</t>
  </si>
  <si>
    <t>D4</t>
  </si>
  <si>
    <t>D5</t>
  </si>
  <si>
    <t>D6</t>
  </si>
  <si>
    <t>D7</t>
  </si>
  <si>
    <t>Grand Total</t>
  </si>
  <si>
    <t>Total</t>
  </si>
  <si>
    <t>Support Services</t>
  </si>
  <si>
    <t>Count of Paid Units</t>
  </si>
  <si>
    <t>Average Cost per Unit of Care</t>
  </si>
  <si>
    <t xml:space="preserve">Substance Abuse Treatment - ASAM                  </t>
  </si>
  <si>
    <t>Average Treatment Cost per Client</t>
  </si>
  <si>
    <t xml:space="preserve">Supportive Services                               </t>
  </si>
  <si>
    <t>Average Supportive Services Cost</t>
  </si>
  <si>
    <t>Average of Length of Stay</t>
  </si>
  <si>
    <t>Administrative Cost</t>
  </si>
  <si>
    <t>Assessment</t>
  </si>
  <si>
    <t>IDOC - Intensive Outpatient (FY12)</t>
  </si>
  <si>
    <t>IDOC - Outpatient (FY12)</t>
  </si>
  <si>
    <t xml:space="preserve">Assessment                    </t>
  </si>
  <si>
    <t xml:space="preserve">Assessment ONLY </t>
  </si>
  <si>
    <t xml:space="preserve">IDOC - Intensive Outpatient Education  </t>
  </si>
  <si>
    <t>IDOC - Intensive Outpatient Group</t>
  </si>
  <si>
    <t>IDOC - Intensive Outpatient Individual</t>
  </si>
  <si>
    <t>IDOC - Outpatient Education</t>
  </si>
  <si>
    <t>IDOC - Outpatient Group</t>
  </si>
  <si>
    <t>IDOC - Outpatient Individual</t>
  </si>
  <si>
    <t>IDOC - Pre-Treatment Services</t>
  </si>
  <si>
    <t>IDOC - Stage 1: Level I - Outpatient</t>
  </si>
  <si>
    <t>IDOC - Stage 1: Level II - Intensive Outpatient</t>
  </si>
  <si>
    <t>IDOC - Stage 2: Level I - Outpatient</t>
  </si>
  <si>
    <t>IDOC - Stage 2: Level II - Intensive Outpatient</t>
  </si>
  <si>
    <t>Level III.2 - Adult Detoxification</t>
  </si>
  <si>
    <t>Oral Interpreter / Sign Language (includes travel)</t>
  </si>
  <si>
    <t>Child Care</t>
  </si>
  <si>
    <t>Drug Testing</t>
  </si>
  <si>
    <t>IDOC - Case Management (Basic &amp; Intensive)</t>
  </si>
  <si>
    <t>IDOC - Life Skills (Individual &amp; Group)</t>
  </si>
  <si>
    <t>IDOC/ESGW - Case Management (Basic &amp; Intensive)</t>
  </si>
  <si>
    <t>Staffed Safe and Sober Adult Housing</t>
  </si>
  <si>
    <t>Transportation</t>
  </si>
  <si>
    <t>Institution Assessment</t>
  </si>
  <si>
    <t>Institution Assessment - Travel</t>
  </si>
  <si>
    <t xml:space="preserve">Direct Client Services - Screening &amp; Chart Review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</si>
</sst>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gradientFill degree="90">
        <stop position="0">
          <color theme="0"/>
        </stop>
        <stop position="1">
          <color rgb="FFEDF587"/>
        </stop>
      </gradientFill>
    </fill>
    <fill>
      <gradientFill degree="90">
        <stop position="0">
          <color theme="0"/>
        </stop>
        <stop position="1">
          <color theme="3" tint="0.80001220740379042"/>
        </stop>
      </gradient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/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/>
    <xf numFmtId="0" fontId="2" fillId="5" borderId="0" xfId="0" applyFont="1" applyFill="1"/>
    <xf numFmtId="0" fontId="1" fillId="5" borderId="0" xfId="0" applyFont="1" applyFill="1"/>
    <xf numFmtId="0" fontId="0" fillId="5" borderId="0" xfId="0" applyFont="1" applyFill="1" applyBorder="1"/>
    <xf numFmtId="164" fontId="0" fillId="5" borderId="0" xfId="0" applyNumberFormat="1" applyFont="1" applyFill="1"/>
    <xf numFmtId="1" fontId="0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45</xdr:row>
      <xdr:rowOff>180975</xdr:rowOff>
    </xdr:from>
    <xdr:to>
      <xdr:col>7</xdr:col>
      <xdr:colOff>790575</xdr:colOff>
      <xdr:row>47</xdr:row>
      <xdr:rowOff>152400</xdr:rowOff>
    </xdr:to>
    <xdr:sp macro="" textlink="">
      <xdr:nvSpPr>
        <xdr:cNvPr id="2" name="TextBox 1"/>
        <xdr:cNvSpPr txBox="1"/>
      </xdr:nvSpPr>
      <xdr:spPr>
        <a:xfrm>
          <a:off x="9525" y="6353175"/>
          <a:ext cx="89725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i="1"/>
            <a:t>Expenditures reported are based on provider region and may not accurately reflect district expenditures.                                                                                                                  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2"/>
  <sheetViews>
    <sheetView tabSelected="1" view="pageLayout" zoomScaleNormal="100" workbookViewId="0">
      <selection activeCell="D21" sqref="C21:D21"/>
    </sheetView>
  </sheetViews>
  <sheetFormatPr defaultColWidth="8.42578125" defaultRowHeight="15"/>
  <cols>
    <col min="1" max="1" width="37.42578125" customWidth="1"/>
    <col min="2" max="9" width="13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>
      <c r="A2" s="3" t="s">
        <v>22</v>
      </c>
      <c r="B2" s="4"/>
      <c r="C2" s="4"/>
      <c r="D2" s="4">
        <v>165.38</v>
      </c>
      <c r="E2" s="4">
        <v>330.76</v>
      </c>
      <c r="F2" s="4">
        <v>330.76</v>
      </c>
      <c r="G2" s="4">
        <v>165.38</v>
      </c>
      <c r="H2" s="4"/>
      <c r="I2" s="4">
        <f>SUM(B2:H2)</f>
        <v>992.28</v>
      </c>
    </row>
    <row r="3" spans="1:9" hidden="1">
      <c r="A3" s="3" t="s">
        <v>23</v>
      </c>
      <c r="B3" s="4">
        <v>62602.500000000065</v>
      </c>
      <c r="C3" s="4">
        <v>31364.129999999983</v>
      </c>
      <c r="D3" s="4">
        <v>63335.430000000139</v>
      </c>
      <c r="E3" s="4">
        <v>93529.060000000085</v>
      </c>
      <c r="F3" s="4">
        <v>18744.900000000005</v>
      </c>
      <c r="G3" s="4">
        <v>50064.38999999997</v>
      </c>
      <c r="H3" s="4">
        <v>28493.949999999968</v>
      </c>
      <c r="I3" s="4">
        <f>SUM(B3:H3)</f>
        <v>348134.36000000016</v>
      </c>
    </row>
    <row r="4" spans="1:9">
      <c r="A4" s="3" t="s">
        <v>19</v>
      </c>
      <c r="B4" s="4">
        <f>SUM(B2:B3)</f>
        <v>62602.500000000065</v>
      </c>
      <c r="C4" s="4">
        <f t="shared" ref="C4:I4" si="0">SUM(C2:C3)</f>
        <v>31364.129999999983</v>
      </c>
      <c r="D4" s="4">
        <f t="shared" si="0"/>
        <v>63500.810000000136</v>
      </c>
      <c r="E4" s="4">
        <f t="shared" si="0"/>
        <v>93859.82000000008</v>
      </c>
      <c r="F4" s="4">
        <f t="shared" si="0"/>
        <v>19075.660000000003</v>
      </c>
      <c r="G4" s="4">
        <f t="shared" si="0"/>
        <v>50229.769999999968</v>
      </c>
      <c r="H4" s="4">
        <f t="shared" si="0"/>
        <v>28493.949999999968</v>
      </c>
      <c r="I4" s="4">
        <f t="shared" si="0"/>
        <v>349126.64000000019</v>
      </c>
    </row>
    <row r="5" spans="1:9">
      <c r="A5" s="3" t="s">
        <v>44</v>
      </c>
      <c r="B5" s="4">
        <v>17177.049999999996</v>
      </c>
      <c r="C5" s="4">
        <v>3458.6700000000005</v>
      </c>
      <c r="D5" s="4">
        <v>36097.180000000015</v>
      </c>
      <c r="E5" s="4">
        <v>9746.7800000000043</v>
      </c>
      <c r="F5" s="4">
        <v>2392.77</v>
      </c>
      <c r="G5" s="4">
        <v>25586.860000000004</v>
      </c>
      <c r="H5" s="4">
        <v>7316.8200000000043</v>
      </c>
      <c r="I5" s="4">
        <f>SUM(B5:H5)</f>
        <v>101776.13000000002</v>
      </c>
    </row>
    <row r="6" spans="1:9">
      <c r="A6" s="3" t="s">
        <v>45</v>
      </c>
      <c r="B6" s="4">
        <v>212.66</v>
      </c>
      <c r="C6" s="4">
        <v>831.5999999999998</v>
      </c>
      <c r="D6" s="4">
        <v>4427.8600000000051</v>
      </c>
      <c r="E6" s="4">
        <v>39.789999999999992</v>
      </c>
      <c r="F6" s="4">
        <v>295.70999999999998</v>
      </c>
      <c r="G6" s="4">
        <v>622.21999999999991</v>
      </c>
      <c r="H6" s="4">
        <v>221.79000000000002</v>
      </c>
      <c r="I6" s="4">
        <f>SUM(B6:H6)</f>
        <v>6651.6300000000047</v>
      </c>
    </row>
    <row r="7" spans="1:9" hidden="1">
      <c r="A7" s="3" t="s">
        <v>24</v>
      </c>
      <c r="B7" s="4"/>
      <c r="C7" s="4">
        <v>82.69</v>
      </c>
      <c r="D7" s="4">
        <v>271.71999999999997</v>
      </c>
      <c r="E7" s="4">
        <v>244.14</v>
      </c>
      <c r="F7" s="4"/>
      <c r="G7" s="4"/>
      <c r="H7" s="4">
        <v>378</v>
      </c>
      <c r="I7" s="4">
        <f t="shared" ref="I7:I9" si="1">SUM(B7:H7)</f>
        <v>976.55</v>
      </c>
    </row>
    <row r="8" spans="1:9" hidden="1">
      <c r="A8" s="3" t="s">
        <v>25</v>
      </c>
      <c r="B8" s="4">
        <v>1938.97</v>
      </c>
      <c r="C8" s="4">
        <v>3085.8300000000013</v>
      </c>
      <c r="D8" s="4">
        <v>6538.1299999999947</v>
      </c>
      <c r="E8" s="4">
        <v>10096.719999999994</v>
      </c>
      <c r="F8" s="4">
        <v>4953.8999999999951</v>
      </c>
      <c r="G8" s="4">
        <v>7335.9499999999953</v>
      </c>
      <c r="H8" s="4">
        <v>3948.7999999999956</v>
      </c>
      <c r="I8" s="4">
        <f t="shared" si="1"/>
        <v>37898.299999999974</v>
      </c>
    </row>
    <row r="9" spans="1:9" hidden="1">
      <c r="A9" s="3" t="s">
        <v>26</v>
      </c>
      <c r="B9" s="4">
        <v>614.25</v>
      </c>
      <c r="C9" s="4">
        <v>472.52</v>
      </c>
      <c r="D9" s="4">
        <v>968.66000000000008</v>
      </c>
      <c r="E9" s="4">
        <v>1512.0200000000004</v>
      </c>
      <c r="F9" s="4">
        <v>1027.71</v>
      </c>
      <c r="G9" s="4">
        <v>1134.0600000000004</v>
      </c>
      <c r="H9" s="4">
        <v>1193.07</v>
      </c>
      <c r="I9" s="4">
        <f t="shared" si="1"/>
        <v>6922.2900000000009</v>
      </c>
    </row>
    <row r="10" spans="1:9">
      <c r="A10" s="3" t="s">
        <v>20</v>
      </c>
      <c r="B10" s="4">
        <f>SUM(B7:B9)</f>
        <v>2553.2200000000003</v>
      </c>
      <c r="C10" s="4">
        <f t="shared" ref="C10:I10" si="2">SUM(C7:C9)</f>
        <v>3641.0400000000013</v>
      </c>
      <c r="D10" s="4">
        <f t="shared" si="2"/>
        <v>7778.5099999999948</v>
      </c>
      <c r="E10" s="4">
        <f t="shared" si="2"/>
        <v>11852.879999999994</v>
      </c>
      <c r="F10" s="4">
        <f t="shared" si="2"/>
        <v>5981.6099999999951</v>
      </c>
      <c r="G10" s="4">
        <f t="shared" si="2"/>
        <v>8470.0099999999948</v>
      </c>
      <c r="H10" s="4">
        <f t="shared" si="2"/>
        <v>5519.8699999999953</v>
      </c>
      <c r="I10" s="4">
        <f t="shared" si="2"/>
        <v>45797.139999999978</v>
      </c>
    </row>
    <row r="11" spans="1:9" hidden="1">
      <c r="A11" s="3" t="s">
        <v>27</v>
      </c>
      <c r="B11" s="4"/>
      <c r="C11" s="4">
        <v>126</v>
      </c>
      <c r="D11" s="4">
        <v>-94.5</v>
      </c>
      <c r="E11" s="4">
        <v>126</v>
      </c>
      <c r="F11" s="4"/>
      <c r="G11" s="4"/>
      <c r="H11" s="4">
        <v>189</v>
      </c>
      <c r="I11" s="4">
        <f>SUM(B11:H11)</f>
        <v>346.5</v>
      </c>
    </row>
    <row r="12" spans="1:9" hidden="1">
      <c r="A12" s="3" t="s">
        <v>28</v>
      </c>
      <c r="B12" s="4">
        <v>1708.4299999999998</v>
      </c>
      <c r="C12" s="4">
        <v>1826.6299999999997</v>
      </c>
      <c r="D12" s="4">
        <v>2547.7999999999984</v>
      </c>
      <c r="E12" s="4">
        <v>9208.0799999999963</v>
      </c>
      <c r="F12" s="4">
        <v>4191.4299999999985</v>
      </c>
      <c r="G12" s="4">
        <v>3322.1899999999982</v>
      </c>
      <c r="H12" s="4">
        <v>1466.02</v>
      </c>
      <c r="I12" s="4">
        <f t="shared" ref="I12:I13" si="3">SUM(B12:H12)</f>
        <v>24270.579999999994</v>
      </c>
    </row>
    <row r="13" spans="1:9" hidden="1">
      <c r="A13" s="3" t="s">
        <v>29</v>
      </c>
      <c r="B13" s="4">
        <v>484.32</v>
      </c>
      <c r="C13" s="4">
        <v>350.46</v>
      </c>
      <c r="D13" s="4">
        <v>590.65</v>
      </c>
      <c r="E13" s="4">
        <v>1594.71</v>
      </c>
      <c r="F13" s="4">
        <v>767.81999999999994</v>
      </c>
      <c r="G13" s="4">
        <v>838.71</v>
      </c>
      <c r="H13" s="4">
        <v>472.52</v>
      </c>
      <c r="I13" s="4">
        <f t="shared" si="3"/>
        <v>5099.1900000000005</v>
      </c>
    </row>
    <row r="14" spans="1:9">
      <c r="A14" s="3" t="s">
        <v>21</v>
      </c>
      <c r="B14" s="4">
        <f>SUM(B11:B13)</f>
        <v>2192.75</v>
      </c>
      <c r="C14" s="4">
        <f t="shared" ref="C14:I14" si="4">SUM(C11:C13)</f>
        <v>2303.0899999999997</v>
      </c>
      <c r="D14" s="4">
        <f t="shared" si="4"/>
        <v>3043.9499999999985</v>
      </c>
      <c r="E14" s="4">
        <f t="shared" si="4"/>
        <v>10928.789999999997</v>
      </c>
      <c r="F14" s="4">
        <f t="shared" si="4"/>
        <v>4959.2499999999982</v>
      </c>
      <c r="G14" s="4">
        <f t="shared" si="4"/>
        <v>4160.8999999999978</v>
      </c>
      <c r="H14" s="4">
        <f t="shared" si="4"/>
        <v>2127.54</v>
      </c>
      <c r="I14" s="4">
        <f t="shared" si="4"/>
        <v>29716.269999999997</v>
      </c>
    </row>
    <row r="15" spans="1:9">
      <c r="A15" s="3" t="s">
        <v>30</v>
      </c>
      <c r="B15" s="4">
        <v>32694.329999999907</v>
      </c>
      <c r="C15" s="4">
        <v>20589.309999999979</v>
      </c>
      <c r="D15" s="4">
        <v>66128.030000000013</v>
      </c>
      <c r="E15" s="4">
        <v>76276.040000000197</v>
      </c>
      <c r="F15" s="4">
        <v>17121.500000000004</v>
      </c>
      <c r="G15" s="4">
        <v>45923.27999999981</v>
      </c>
      <c r="H15" s="4">
        <v>37780.779999999781</v>
      </c>
      <c r="I15" s="4">
        <f>SUM(B15:H15)</f>
        <v>296513.26999999967</v>
      </c>
    </row>
    <row r="16" spans="1:9">
      <c r="A16" s="3" t="s">
        <v>31</v>
      </c>
      <c r="B16" s="4">
        <v>141984.37000000273</v>
      </c>
      <c r="C16" s="4">
        <v>82925.830000000555</v>
      </c>
      <c r="D16" s="4">
        <v>197552.93000001358</v>
      </c>
      <c r="E16" s="4">
        <v>347297.39000000473</v>
      </c>
      <c r="F16" s="4">
        <v>126136.39000000023</v>
      </c>
      <c r="G16" s="4">
        <v>136704.59000000142</v>
      </c>
      <c r="H16" s="4">
        <v>115203.21000000126</v>
      </c>
      <c r="I16" s="4">
        <f t="shared" ref="I16:I20" si="5">SUM(B16:H16)</f>
        <v>1147804.7100000246</v>
      </c>
    </row>
    <row r="17" spans="1:9">
      <c r="A17" s="3" t="s">
        <v>32</v>
      </c>
      <c r="B17" s="4">
        <v>24437.880000000012</v>
      </c>
      <c r="C17" s="4">
        <v>100142.40000000113</v>
      </c>
      <c r="D17" s="4">
        <v>75665.129999999932</v>
      </c>
      <c r="E17" s="4">
        <v>215209.8600000102</v>
      </c>
      <c r="F17" s="4">
        <v>38821.619999999952</v>
      </c>
      <c r="G17" s="4">
        <v>63042.849999999678</v>
      </c>
      <c r="H17" s="4">
        <v>43524.399999999856</v>
      </c>
      <c r="I17" s="4">
        <f t="shared" si="5"/>
        <v>560844.14000001084</v>
      </c>
    </row>
    <row r="18" spans="1:9">
      <c r="A18" s="3" t="s">
        <v>33</v>
      </c>
      <c r="B18" s="4">
        <v>78220.5600000001</v>
      </c>
      <c r="C18" s="4">
        <v>61726.279999999853</v>
      </c>
      <c r="D18" s="4">
        <v>138961.65000000116</v>
      </c>
      <c r="E18" s="4">
        <v>275263.93000001943</v>
      </c>
      <c r="F18" s="4">
        <v>93783.640000000305</v>
      </c>
      <c r="G18" s="4">
        <v>103254.85000000003</v>
      </c>
      <c r="H18" s="4">
        <v>81424.830000000016</v>
      </c>
      <c r="I18" s="4">
        <f t="shared" si="5"/>
        <v>832635.74000002118</v>
      </c>
    </row>
    <row r="19" spans="1:9">
      <c r="A19" s="3" t="s">
        <v>34</v>
      </c>
      <c r="B19" s="4">
        <v>19345.879999999986</v>
      </c>
      <c r="C19" s="4">
        <v>102778.80000000134</v>
      </c>
      <c r="D19" s="4">
        <v>72443.870000000097</v>
      </c>
      <c r="E19" s="4">
        <v>117301.42000000078</v>
      </c>
      <c r="F19" s="4">
        <v>25468.070000000014</v>
      </c>
      <c r="G19" s="4">
        <v>63138.539999999855</v>
      </c>
      <c r="H19" s="4">
        <v>59777.160000000127</v>
      </c>
      <c r="I19" s="4">
        <f t="shared" si="5"/>
        <v>460253.74000000226</v>
      </c>
    </row>
    <row r="20" spans="1:9">
      <c r="A20" s="3" t="s">
        <v>35</v>
      </c>
      <c r="B20" s="4"/>
      <c r="C20" s="4"/>
      <c r="D20" s="4">
        <v>1411.2000000000003</v>
      </c>
      <c r="E20" s="4"/>
      <c r="F20" s="4"/>
      <c r="G20" s="4"/>
      <c r="H20" s="4"/>
      <c r="I20" s="4">
        <f t="shared" si="5"/>
        <v>1411.2000000000003</v>
      </c>
    </row>
    <row r="21" spans="1:9" ht="15.75" thickBot="1">
      <c r="A21" s="5" t="s">
        <v>9</v>
      </c>
      <c r="B21" s="6">
        <f>B4+B5+B6+B10+B14+B15+B16+B17+B18+B19</f>
        <v>381421.20000000286</v>
      </c>
      <c r="C21" s="6">
        <f t="shared" ref="C21:H21" si="6">C4+C5+C6+C10+C14+C15+C16+C17+C18+C19</f>
        <v>409761.15000000282</v>
      </c>
      <c r="D21" s="6">
        <f t="shared" si="6"/>
        <v>665599.92000001494</v>
      </c>
      <c r="E21" s="6">
        <f t="shared" si="6"/>
        <v>1157776.7000000356</v>
      </c>
      <c r="F21" s="6">
        <f t="shared" si="6"/>
        <v>334036.2200000005</v>
      </c>
      <c r="G21" s="6">
        <f t="shared" si="6"/>
        <v>501133.87000000075</v>
      </c>
      <c r="H21" s="6">
        <f t="shared" si="6"/>
        <v>381390.35000000102</v>
      </c>
      <c r="I21" s="6">
        <f>I4+I5+I6+I10+I14+I15+I16+I17+I18+I19+I20</f>
        <v>3832530.6100000585</v>
      </c>
    </row>
    <row r="22" spans="1:9" ht="15.75" thickTop="1">
      <c r="A22" s="7" t="s">
        <v>10</v>
      </c>
      <c r="B22" s="7"/>
      <c r="C22" s="7"/>
      <c r="D22" s="7"/>
      <c r="E22" s="7"/>
      <c r="F22" s="7"/>
      <c r="G22" s="7"/>
      <c r="H22" s="7"/>
      <c r="I22" s="7"/>
    </row>
    <row r="23" spans="1:9">
      <c r="A23" s="3" t="s">
        <v>37</v>
      </c>
      <c r="B23" s="4"/>
      <c r="C23" s="4"/>
      <c r="D23" s="4"/>
      <c r="E23" s="4"/>
      <c r="F23" s="4"/>
      <c r="G23" s="4">
        <v>723.16000000000008</v>
      </c>
      <c r="H23" s="4">
        <v>26.95</v>
      </c>
      <c r="I23" s="4">
        <f>SUM(B23:H23)</f>
        <v>750.11000000000013</v>
      </c>
    </row>
    <row r="24" spans="1:9">
      <c r="A24" s="3" t="s">
        <v>38</v>
      </c>
      <c r="B24" s="4">
        <v>53540.7</v>
      </c>
      <c r="C24" s="4">
        <v>32292</v>
      </c>
      <c r="D24" s="4">
        <v>51420.32</v>
      </c>
      <c r="E24" s="4">
        <v>123862.5</v>
      </c>
      <c r="F24" s="4">
        <v>34390.199999999997</v>
      </c>
      <c r="G24" s="4">
        <v>6473.97</v>
      </c>
      <c r="H24" s="4">
        <v>2915.5</v>
      </c>
      <c r="I24" s="4">
        <f t="shared" ref="I24:I30" si="7">SUM(B24:H24)</f>
        <v>304895.18999999994</v>
      </c>
    </row>
    <row r="25" spans="1:9">
      <c r="A25" s="3" t="s">
        <v>39</v>
      </c>
      <c r="B25" s="4">
        <v>2781.7899999999981</v>
      </c>
      <c r="C25" s="4">
        <v>10745.499999999989</v>
      </c>
      <c r="D25" s="4">
        <v>16889.069999999949</v>
      </c>
      <c r="E25" s="4">
        <v>136151.98999999827</v>
      </c>
      <c r="F25" s="4">
        <v>12796.73000000002</v>
      </c>
      <c r="G25" s="4">
        <v>33563.740000000354</v>
      </c>
      <c r="H25" s="4">
        <v>35981.65000000022</v>
      </c>
      <c r="I25" s="4">
        <f t="shared" si="7"/>
        <v>248910.46999999878</v>
      </c>
    </row>
    <row r="26" spans="1:9">
      <c r="A26" s="3" t="s">
        <v>40</v>
      </c>
      <c r="B26" s="4"/>
      <c r="C26" s="4">
        <v>703.28000000000009</v>
      </c>
      <c r="D26" s="4">
        <v>47.28</v>
      </c>
      <c r="E26" s="4">
        <v>3506.1199999999972</v>
      </c>
      <c r="F26" s="4"/>
      <c r="G26" s="4">
        <v>1319.08</v>
      </c>
      <c r="H26" s="4"/>
      <c r="I26" s="4">
        <f t="shared" si="7"/>
        <v>5575.7599999999975</v>
      </c>
    </row>
    <row r="27" spans="1:9">
      <c r="A27" s="3" t="s">
        <v>41</v>
      </c>
      <c r="B27" s="4"/>
      <c r="C27" s="4"/>
      <c r="D27" s="4"/>
      <c r="E27" s="4">
        <v>1676.25</v>
      </c>
      <c r="F27" s="4"/>
      <c r="G27" s="4"/>
      <c r="H27" s="4"/>
      <c r="I27" s="4">
        <f t="shared" si="7"/>
        <v>1676.25</v>
      </c>
    </row>
    <row r="28" spans="1:9">
      <c r="A28" s="3" t="s">
        <v>36</v>
      </c>
      <c r="B28" s="4"/>
      <c r="C28" s="4"/>
      <c r="D28" s="4"/>
      <c r="E28" s="4"/>
      <c r="F28" s="4"/>
      <c r="G28" s="4">
        <v>5770</v>
      </c>
      <c r="H28" s="4"/>
      <c r="I28" s="4">
        <f t="shared" si="7"/>
        <v>5770</v>
      </c>
    </row>
    <row r="29" spans="1:9">
      <c r="A29" s="3" t="s">
        <v>42</v>
      </c>
      <c r="B29" s="4">
        <v>17744.5</v>
      </c>
      <c r="C29" s="4">
        <v>9476</v>
      </c>
      <c r="D29" s="4">
        <v>30211</v>
      </c>
      <c r="E29" s="4">
        <v>168993.47999999998</v>
      </c>
      <c r="F29" s="4">
        <v>2852</v>
      </c>
      <c r="G29" s="4">
        <v>2242.5</v>
      </c>
      <c r="H29" s="4">
        <v>7072.5</v>
      </c>
      <c r="I29" s="4">
        <f t="shared" si="7"/>
        <v>238591.97999999998</v>
      </c>
    </row>
    <row r="30" spans="1:9">
      <c r="A30" s="3" t="s">
        <v>43</v>
      </c>
      <c r="B30" s="4">
        <v>755.88000000000011</v>
      </c>
      <c r="C30" s="4">
        <v>13778.92000000002</v>
      </c>
      <c r="D30" s="4">
        <v>13127.449999999973</v>
      </c>
      <c r="E30" s="4">
        <v>97944.479999991076</v>
      </c>
      <c r="F30" s="4">
        <v>14695.93999999987</v>
      </c>
      <c r="G30" s="4">
        <v>27738.690000000661</v>
      </c>
      <c r="H30" s="4">
        <v>14041.160000000034</v>
      </c>
      <c r="I30" s="4">
        <f t="shared" si="7"/>
        <v>182082.51999999164</v>
      </c>
    </row>
    <row r="31" spans="1:9" ht="15.75" thickBot="1">
      <c r="A31" s="5" t="s">
        <v>9</v>
      </c>
      <c r="B31" s="6">
        <f>SUM(B23:B30)</f>
        <v>74822.87</v>
      </c>
      <c r="C31" s="6">
        <f t="shared" ref="C31:I31" si="8">SUM(C23:C30)</f>
        <v>66995.700000000012</v>
      </c>
      <c r="D31" s="6">
        <f t="shared" si="8"/>
        <v>111695.11999999992</v>
      </c>
      <c r="E31" s="6">
        <f t="shared" si="8"/>
        <v>532134.81999998935</v>
      </c>
      <c r="F31" s="6">
        <f t="shared" si="8"/>
        <v>64734.869999999886</v>
      </c>
      <c r="G31" s="6">
        <f t="shared" si="8"/>
        <v>77831.140000001018</v>
      </c>
      <c r="H31" s="6">
        <f t="shared" si="8"/>
        <v>60037.760000000249</v>
      </c>
      <c r="I31" s="6">
        <f t="shared" si="8"/>
        <v>988252.27999999037</v>
      </c>
    </row>
    <row r="32" spans="1:9" ht="15.75" thickTop="1">
      <c r="A32" s="7" t="s">
        <v>18</v>
      </c>
      <c r="B32" s="7"/>
      <c r="C32" s="7"/>
      <c r="D32" s="7"/>
      <c r="E32" s="7"/>
      <c r="F32" s="7"/>
      <c r="G32" s="7"/>
      <c r="H32" s="7"/>
      <c r="I32" s="7"/>
    </row>
    <row r="33" spans="1:9">
      <c r="A33" s="3" t="s">
        <v>46</v>
      </c>
      <c r="B33" s="4"/>
      <c r="C33" s="4"/>
      <c r="D33" s="4"/>
      <c r="E33" s="4"/>
      <c r="F33" s="4"/>
      <c r="G33" s="4"/>
      <c r="H33" s="4"/>
      <c r="I33" s="4">
        <v>353175</v>
      </c>
    </row>
    <row r="34" spans="1:9" ht="15.75" thickBot="1">
      <c r="A34" s="5" t="s">
        <v>9</v>
      </c>
      <c r="B34" s="6"/>
      <c r="C34" s="6"/>
      <c r="D34" s="6"/>
      <c r="E34" s="6"/>
      <c r="F34" s="6"/>
      <c r="G34" s="6"/>
      <c r="H34" s="6"/>
      <c r="I34" s="6">
        <f>SUM(I33)</f>
        <v>353175</v>
      </c>
    </row>
    <row r="35" spans="1:9" ht="16.5" thickTop="1" thickBot="1">
      <c r="A35" s="5" t="s">
        <v>8</v>
      </c>
      <c r="B35" s="6">
        <f>B21+B31+B33</f>
        <v>456244.07000000286</v>
      </c>
      <c r="C35" s="6">
        <f t="shared" ref="C35:I35" si="9">C21+C31+C33</f>
        <v>476756.85000000283</v>
      </c>
      <c r="D35" s="6">
        <f t="shared" si="9"/>
        <v>777295.04000001482</v>
      </c>
      <c r="E35" s="6">
        <f t="shared" si="9"/>
        <v>1689911.5200000249</v>
      </c>
      <c r="F35" s="6">
        <f t="shared" si="9"/>
        <v>398771.09000000037</v>
      </c>
      <c r="G35" s="6">
        <f t="shared" si="9"/>
        <v>578965.01000000176</v>
      </c>
      <c r="H35" s="6">
        <f t="shared" si="9"/>
        <v>441428.11000000127</v>
      </c>
      <c r="I35" s="6">
        <f t="shared" si="9"/>
        <v>5173957.890000049</v>
      </c>
    </row>
    <row r="36" spans="1:9" ht="15.75" hidden="1" thickTop="1">
      <c r="A36" s="8" t="s">
        <v>11</v>
      </c>
      <c r="B36" s="9">
        <v>11626</v>
      </c>
      <c r="C36" s="9">
        <v>10707</v>
      </c>
      <c r="D36" s="9">
        <v>21487</v>
      </c>
      <c r="E36" s="9">
        <v>63758</v>
      </c>
      <c r="F36" s="9">
        <v>10859</v>
      </c>
      <c r="G36" s="9">
        <v>13550</v>
      </c>
      <c r="H36" s="9">
        <v>11119</v>
      </c>
      <c r="I36" s="9">
        <f>SUM(B36:H36)</f>
        <v>143106</v>
      </c>
    </row>
    <row r="37" spans="1:9" ht="15.75" thickTop="1">
      <c r="A37" s="8" t="s">
        <v>12</v>
      </c>
      <c r="B37" s="10">
        <f>B35/B36</f>
        <v>39.24342594185471</v>
      </c>
      <c r="C37" s="10">
        <f t="shared" ref="C37:H37" si="10">C35/C36</f>
        <v>44.527584757635459</v>
      </c>
      <c r="D37" s="10">
        <f t="shared" si="10"/>
        <v>36.175131009448265</v>
      </c>
      <c r="E37" s="10">
        <f t="shared" si="10"/>
        <v>26.505089871075395</v>
      </c>
      <c r="F37" s="10">
        <f t="shared" si="10"/>
        <v>36.722634680909877</v>
      </c>
      <c r="G37" s="10">
        <f t="shared" si="10"/>
        <v>42.728045018450317</v>
      </c>
      <c r="H37" s="10">
        <f t="shared" si="10"/>
        <v>39.70034265671385</v>
      </c>
      <c r="I37" s="10">
        <f>I35/I36</f>
        <v>36.154723701312655</v>
      </c>
    </row>
    <row r="38" spans="1:9" hidden="1">
      <c r="A38" s="8" t="s">
        <v>13</v>
      </c>
      <c r="B38" s="9">
        <v>5975</v>
      </c>
      <c r="C38" s="9">
        <v>6410</v>
      </c>
      <c r="D38" s="9">
        <v>13021</v>
      </c>
      <c r="E38" s="9">
        <v>24221</v>
      </c>
      <c r="F38" s="9">
        <v>6087</v>
      </c>
      <c r="G38" s="9">
        <v>9038</v>
      </c>
      <c r="H38" s="9">
        <v>7515</v>
      </c>
      <c r="I38" s="9">
        <f>SUM(B38:H38)</f>
        <v>72267</v>
      </c>
    </row>
    <row r="39" spans="1:9" hidden="1">
      <c r="A39" s="8" t="s">
        <v>14</v>
      </c>
      <c r="B39" s="10">
        <f>B21/B38</f>
        <v>63.83618410041889</v>
      </c>
      <c r="C39" s="10">
        <f t="shared" ref="C39:H39" si="11">C21/C38</f>
        <v>63.925296411856912</v>
      </c>
      <c r="D39" s="10">
        <f t="shared" si="11"/>
        <v>51.117419553030871</v>
      </c>
      <c r="E39" s="10">
        <f t="shared" si="11"/>
        <v>47.800532595682903</v>
      </c>
      <c r="F39" s="10">
        <f t="shared" si="11"/>
        <v>54.876987021521359</v>
      </c>
      <c r="G39" s="10">
        <f t="shared" si="11"/>
        <v>55.447429741093245</v>
      </c>
      <c r="H39" s="10">
        <f t="shared" si="11"/>
        <v>50.750545575515773</v>
      </c>
      <c r="I39" s="10">
        <f>I21/I38</f>
        <v>53.032928030775572</v>
      </c>
    </row>
    <row r="40" spans="1:9" hidden="1">
      <c r="A40" s="8" t="s">
        <v>15</v>
      </c>
      <c r="B40" s="9">
        <v>5651</v>
      </c>
      <c r="C40" s="9">
        <v>4297</v>
      </c>
      <c r="D40" s="9">
        <v>8466</v>
      </c>
      <c r="E40" s="9">
        <v>39537</v>
      </c>
      <c r="F40" s="9">
        <v>4772</v>
      </c>
      <c r="G40" s="9">
        <v>4512</v>
      </c>
      <c r="H40" s="9">
        <v>3604</v>
      </c>
      <c r="I40" s="9">
        <f>SUM(B40:H40)</f>
        <v>70839</v>
      </c>
    </row>
    <row r="41" spans="1:9" hidden="1">
      <c r="A41" s="8" t="s">
        <v>16</v>
      </c>
      <c r="B41" s="10">
        <f>B31/B40</f>
        <v>13.24064236418333</v>
      </c>
      <c r="C41" s="10">
        <f t="shared" ref="C41:H41" si="12">C31/C40</f>
        <v>15.591272981149642</v>
      </c>
      <c r="D41" s="10">
        <f t="shared" si="12"/>
        <v>13.193375856366634</v>
      </c>
      <c r="E41" s="10">
        <f t="shared" si="12"/>
        <v>13.459160280243553</v>
      </c>
      <c r="F41" s="10">
        <f t="shared" si="12"/>
        <v>13.565563704945491</v>
      </c>
      <c r="G41" s="10">
        <f t="shared" si="12"/>
        <v>17.249809397163347</v>
      </c>
      <c r="H41" s="10">
        <f t="shared" si="12"/>
        <v>16.658645948945686</v>
      </c>
      <c r="I41" s="10">
        <f>I31/I40</f>
        <v>13.950680839650339</v>
      </c>
    </row>
    <row r="42" spans="1:9">
      <c r="A42" s="8" t="s">
        <v>17</v>
      </c>
      <c r="B42" s="11">
        <v>191.08111130225356</v>
      </c>
      <c r="C42" s="11">
        <v>191.14934155225552</v>
      </c>
      <c r="D42" s="11">
        <v>194.08377158281752</v>
      </c>
      <c r="E42" s="11">
        <v>179.354088898648</v>
      </c>
      <c r="F42" s="11">
        <v>196.20563587807348</v>
      </c>
      <c r="G42" s="11">
        <v>221.42774907749077</v>
      </c>
      <c r="H42" s="11">
        <v>201.57424228797555</v>
      </c>
      <c r="I42" s="11">
        <f>AVERAGE(B42:H42)</f>
        <v>196.41084865421635</v>
      </c>
    </row>
  </sheetData>
  <pageMargins left="0.25" right="0.25" top="0.75" bottom="0.75" header="0.3" footer="0.3"/>
  <pageSetup scale="94" orientation="landscape" r:id="rId1"/>
  <headerFooter>
    <oddHeader>&amp;L7/6/12 to 7/4/13
&amp;CIDOC FY13 Substance Use Disorder Utilization Report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7-6-12 to 7-4-13</vt:lpstr>
    </vt:vector>
  </TitlesOfParts>
  <Company>IDOC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</dc:creator>
  <cp:lastModifiedBy>glewis</cp:lastModifiedBy>
  <cp:lastPrinted>2013-07-15T15:28:57Z</cp:lastPrinted>
  <dcterms:created xsi:type="dcterms:W3CDTF">2013-05-09T21:53:06Z</dcterms:created>
  <dcterms:modified xsi:type="dcterms:W3CDTF">2013-07-15T15:30:24Z</dcterms:modified>
</cp:coreProperties>
</file>