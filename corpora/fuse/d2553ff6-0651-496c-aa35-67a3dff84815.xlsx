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0" windowWidth="19410" windowHeight="9630" activeTab="1"/>
  </bookViews>
  <sheets>
    <sheet name="Data" sheetId="2" r:id="rId1"/>
    <sheet name="Table 7" sheetId="1" r:id="rId2"/>
    <sheet name="Info" sheetId="3" r:id="rId3"/>
    <sheet name="Selected Hist. Rates" sheetId="4" r:id="rId4"/>
  </sheets>
  <definedNames>
    <definedName name="_xlnm._FilterDatabase" localSheetId="0" hidden="1">Data!$A$1:$V$2095</definedName>
    <definedName name="_xlnm._FilterDatabase" localSheetId="2" hidden="1">Info!$A$1:$L$39</definedName>
    <definedName name="TARIFF">#REF!</definedName>
  </definedNames>
  <calcPr calcId="145621"/>
</workbook>
</file>

<file path=xl/calcChain.xml><?xml version="1.0" encoding="utf-8"?>
<calcChain xmlns="http://schemas.openxmlformats.org/spreadsheetml/2006/main">
  <c r="J2059" i="2" l="1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58" i="2"/>
  <c r="L2095" i="2" l="1"/>
  <c r="K2095" i="2"/>
  <c r="M2095" i="2"/>
  <c r="N2095" i="2" s="1"/>
  <c r="L2094" i="2"/>
  <c r="K2094" i="2"/>
  <c r="M2094" i="2"/>
  <c r="N2094" i="2" s="1"/>
  <c r="L2093" i="2"/>
  <c r="K2093" i="2"/>
  <c r="M2093" i="2"/>
  <c r="N2093" i="2" s="1"/>
  <c r="L2092" i="2"/>
  <c r="K2092" i="2"/>
  <c r="M2092" i="2"/>
  <c r="N2092" i="2" s="1"/>
  <c r="L2091" i="2"/>
  <c r="K2091" i="2"/>
  <c r="M2091" i="2"/>
  <c r="N2091" i="2" s="1"/>
  <c r="L2090" i="2"/>
  <c r="K2090" i="2"/>
  <c r="M2090" i="2"/>
  <c r="N2090" i="2" s="1"/>
  <c r="L2089" i="2"/>
  <c r="K2089" i="2"/>
  <c r="M2089" i="2"/>
  <c r="N2089" i="2" s="1"/>
  <c r="L2088" i="2"/>
  <c r="K2088" i="2"/>
  <c r="M2088" i="2"/>
  <c r="N2088" i="2" s="1"/>
  <c r="L2087" i="2"/>
  <c r="K2087" i="2"/>
  <c r="M2087" i="2"/>
  <c r="N2087" i="2" s="1"/>
  <c r="L2086" i="2"/>
  <c r="K2086" i="2"/>
  <c r="M2086" i="2"/>
  <c r="N2086" i="2" s="1"/>
  <c r="L2085" i="2"/>
  <c r="K2085" i="2"/>
  <c r="M2085" i="2"/>
  <c r="N2085" i="2" s="1"/>
  <c r="L2084" i="2"/>
  <c r="K2084" i="2"/>
  <c r="M2084" i="2"/>
  <c r="N2084" i="2" s="1"/>
  <c r="L2083" i="2"/>
  <c r="K2083" i="2"/>
  <c r="M2083" i="2"/>
  <c r="N2083" i="2" s="1"/>
  <c r="L2082" i="2"/>
  <c r="K2082" i="2"/>
  <c r="M2082" i="2"/>
  <c r="N2082" i="2" s="1"/>
  <c r="L2081" i="2"/>
  <c r="K2081" i="2"/>
  <c r="M2081" i="2"/>
  <c r="N2081" i="2" s="1"/>
  <c r="L2080" i="2"/>
  <c r="K2080" i="2"/>
  <c r="M2080" i="2"/>
  <c r="N2080" i="2" s="1"/>
  <c r="L2079" i="2"/>
  <c r="K2079" i="2"/>
  <c r="M2079" i="2"/>
  <c r="N2079" i="2" s="1"/>
  <c r="L2078" i="2"/>
  <c r="K2078" i="2"/>
  <c r="M2078" i="2"/>
  <c r="N2078" i="2" s="1"/>
  <c r="L2077" i="2"/>
  <c r="K2077" i="2"/>
  <c r="M2077" i="2"/>
  <c r="N2077" i="2" s="1"/>
  <c r="L2076" i="2"/>
  <c r="K2076" i="2"/>
  <c r="M2076" i="2"/>
  <c r="N2076" i="2" s="1"/>
  <c r="L2075" i="2"/>
  <c r="K2075" i="2"/>
  <c r="M2075" i="2"/>
  <c r="N2075" i="2" s="1"/>
  <c r="L2074" i="2"/>
  <c r="K2074" i="2"/>
  <c r="M2074" i="2"/>
  <c r="N2074" i="2" s="1"/>
  <c r="L2073" i="2"/>
  <c r="K2073" i="2"/>
  <c r="M2073" i="2"/>
  <c r="N2073" i="2" s="1"/>
  <c r="L2072" i="2"/>
  <c r="K2072" i="2"/>
  <c r="M2072" i="2"/>
  <c r="N2072" i="2" s="1"/>
  <c r="L2071" i="2"/>
  <c r="K2071" i="2"/>
  <c r="M2071" i="2"/>
  <c r="N2071" i="2" s="1"/>
  <c r="L2070" i="2"/>
  <c r="K2070" i="2"/>
  <c r="M2070" i="2"/>
  <c r="N2070" i="2" s="1"/>
  <c r="L2069" i="2"/>
  <c r="K2069" i="2"/>
  <c r="M2069" i="2"/>
  <c r="N2069" i="2" s="1"/>
  <c r="L2068" i="2"/>
  <c r="K2068" i="2"/>
  <c r="M2068" i="2"/>
  <c r="N2068" i="2" s="1"/>
  <c r="L2067" i="2"/>
  <c r="K2067" i="2"/>
  <c r="M2067" i="2"/>
  <c r="N2067" i="2" s="1"/>
  <c r="L2066" i="2"/>
  <c r="K2066" i="2"/>
  <c r="M2066" i="2"/>
  <c r="N2066" i="2" s="1"/>
  <c r="L2065" i="2"/>
  <c r="K2065" i="2"/>
  <c r="M2065" i="2"/>
  <c r="N2065" i="2" s="1"/>
  <c r="L2064" i="2"/>
  <c r="K2064" i="2"/>
  <c r="M2064" i="2"/>
  <c r="N2064" i="2" s="1"/>
  <c r="L2063" i="2"/>
  <c r="K2063" i="2"/>
  <c r="M2063" i="2"/>
  <c r="N2063" i="2" s="1"/>
  <c r="L2062" i="2"/>
  <c r="K2062" i="2"/>
  <c r="M2062" i="2"/>
  <c r="N2062" i="2" s="1"/>
  <c r="L2061" i="2"/>
  <c r="K2061" i="2"/>
  <c r="M2061" i="2"/>
  <c r="N2061" i="2" s="1"/>
  <c r="L2060" i="2"/>
  <c r="K2060" i="2"/>
  <c r="M2060" i="2"/>
  <c r="N2060" i="2" s="1"/>
  <c r="L2059" i="2"/>
  <c r="K2059" i="2"/>
  <c r="M2059" i="2"/>
  <c r="N2059" i="2" s="1"/>
  <c r="E2059" i="2"/>
  <c r="E2060" i="2" s="1"/>
  <c r="E2061" i="2" s="1"/>
  <c r="E2062" i="2" s="1"/>
  <c r="E2063" i="2" s="1"/>
  <c r="E2064" i="2" s="1"/>
  <c r="E2065" i="2" s="1"/>
  <c r="E2066" i="2" s="1"/>
  <c r="E2067" i="2" s="1"/>
  <c r="E2068" i="2" s="1"/>
  <c r="E2069" i="2" s="1"/>
  <c r="E2070" i="2" s="1"/>
  <c r="E2071" i="2" s="1"/>
  <c r="E2072" i="2" s="1"/>
  <c r="E2073" i="2" s="1"/>
  <c r="E2074" i="2" s="1"/>
  <c r="E2075" i="2" s="1"/>
  <c r="E2076" i="2" s="1"/>
  <c r="E2077" i="2" s="1"/>
  <c r="E2078" i="2" s="1"/>
  <c r="E2079" i="2" s="1"/>
  <c r="E2080" i="2" s="1"/>
  <c r="E2081" i="2" s="1"/>
  <c r="E2082" i="2" s="1"/>
  <c r="E2083" i="2" s="1"/>
  <c r="E2084" i="2" s="1"/>
  <c r="E2085" i="2" s="1"/>
  <c r="E2086" i="2" s="1"/>
  <c r="E2087" i="2" s="1"/>
  <c r="E2088" i="2" s="1"/>
  <c r="E2089" i="2" s="1"/>
  <c r="E2090" i="2" s="1"/>
  <c r="E2091" i="2" s="1"/>
  <c r="E2092" i="2" s="1"/>
  <c r="E2093" i="2" s="1"/>
  <c r="E2094" i="2" s="1"/>
  <c r="E2095" i="2" s="1"/>
  <c r="L2058" i="2"/>
  <c r="K2058" i="2"/>
  <c r="M2058" i="2"/>
  <c r="N2058" i="2" s="1"/>
  <c r="P2060" i="2" l="1"/>
  <c r="O2060" i="2"/>
  <c r="O2064" i="2"/>
  <c r="P2064" i="2"/>
  <c r="P2067" i="2"/>
  <c r="O2067" i="2"/>
  <c r="P2077" i="2"/>
  <c r="O2077" i="2"/>
  <c r="O2088" i="2"/>
  <c r="P2088" i="2"/>
  <c r="P2058" i="2"/>
  <c r="O2058" i="2"/>
  <c r="P2084" i="2"/>
  <c r="O2084" i="2"/>
  <c r="P2089" i="2"/>
  <c r="O2089" i="2"/>
  <c r="P2091" i="2"/>
  <c r="O2091" i="2"/>
  <c r="P2062" i="2"/>
  <c r="O2062" i="2"/>
  <c r="O2065" i="2"/>
  <c r="P2065" i="2"/>
  <c r="P2075" i="2"/>
  <c r="O2075" i="2"/>
  <c r="P2087" i="2"/>
  <c r="O2087" i="2"/>
  <c r="P2094" i="2"/>
  <c r="O2094" i="2"/>
  <c r="P2063" i="2"/>
  <c r="O2063" i="2"/>
  <c r="P2068" i="2"/>
  <c r="O2068" i="2"/>
  <c r="O2072" i="2"/>
  <c r="P2072" i="2"/>
  <c r="O2061" i="2"/>
  <c r="P2061" i="2"/>
  <c r="P2070" i="2"/>
  <c r="O2070" i="2"/>
  <c r="O2073" i="2"/>
  <c r="P2073" i="2"/>
  <c r="P2085" i="2"/>
  <c r="O2085" i="2"/>
  <c r="P2092" i="2"/>
  <c r="O2092" i="2"/>
  <c r="P2059" i="2"/>
  <c r="O2059" i="2"/>
  <c r="P2066" i="2"/>
  <c r="O2066" i="2"/>
  <c r="P2071" i="2"/>
  <c r="O2071" i="2"/>
  <c r="P2076" i="2"/>
  <c r="O2076" i="2"/>
  <c r="O2080" i="2"/>
  <c r="P2080" i="2"/>
  <c r="P2095" i="2"/>
  <c r="O2095" i="2"/>
  <c r="O2069" i="2"/>
  <c r="P2069" i="2"/>
  <c r="P2078" i="2"/>
  <c r="O2078" i="2"/>
  <c r="P2081" i="2"/>
  <c r="O2081" i="2"/>
  <c r="P2083" i="2"/>
  <c r="O2083" i="2"/>
  <c r="P2074" i="2"/>
  <c r="O2074" i="2"/>
  <c r="P2079" i="2"/>
  <c r="O2079" i="2"/>
  <c r="P2086" i="2"/>
  <c r="O2086" i="2"/>
  <c r="O2093" i="2"/>
  <c r="P2093" i="2"/>
  <c r="O2082" i="2"/>
  <c r="O2090" i="2"/>
  <c r="P2082" i="2"/>
  <c r="P209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20" i="2"/>
  <c r="L2057" i="2" l="1"/>
  <c r="K2057" i="2"/>
  <c r="M2057" i="2"/>
  <c r="N2057" i="2" s="1"/>
  <c r="L2056" i="2"/>
  <c r="K2056" i="2"/>
  <c r="M2056" i="2"/>
  <c r="N2056" i="2" s="1"/>
  <c r="L2055" i="2"/>
  <c r="K2055" i="2"/>
  <c r="M2055" i="2"/>
  <c r="N2055" i="2" s="1"/>
  <c r="L2054" i="2"/>
  <c r="K2054" i="2"/>
  <c r="M2054" i="2"/>
  <c r="N2054" i="2" s="1"/>
  <c r="L2053" i="2"/>
  <c r="K2053" i="2"/>
  <c r="M2053" i="2"/>
  <c r="N2053" i="2" s="1"/>
  <c r="L2052" i="2"/>
  <c r="K2052" i="2"/>
  <c r="M2052" i="2"/>
  <c r="N2052" i="2" s="1"/>
  <c r="L2051" i="2"/>
  <c r="K2051" i="2"/>
  <c r="M2051" i="2"/>
  <c r="N2051" i="2" s="1"/>
  <c r="L2050" i="2"/>
  <c r="K2050" i="2"/>
  <c r="M2050" i="2"/>
  <c r="N2050" i="2" s="1"/>
  <c r="L2049" i="2"/>
  <c r="K2049" i="2"/>
  <c r="M2049" i="2"/>
  <c r="N2049" i="2" s="1"/>
  <c r="L2048" i="2"/>
  <c r="K2048" i="2"/>
  <c r="M2048" i="2"/>
  <c r="N2048" i="2" s="1"/>
  <c r="L2047" i="2"/>
  <c r="K2047" i="2"/>
  <c r="M2047" i="2"/>
  <c r="N2047" i="2" s="1"/>
  <c r="L2046" i="2"/>
  <c r="K2046" i="2"/>
  <c r="M2046" i="2"/>
  <c r="N2046" i="2" s="1"/>
  <c r="L2045" i="2"/>
  <c r="K2045" i="2"/>
  <c r="M2045" i="2"/>
  <c r="N2045" i="2" s="1"/>
  <c r="L2044" i="2"/>
  <c r="K2044" i="2"/>
  <c r="M2044" i="2"/>
  <c r="N2044" i="2" s="1"/>
  <c r="L2043" i="2"/>
  <c r="K2043" i="2"/>
  <c r="M2043" i="2"/>
  <c r="N2043" i="2" s="1"/>
  <c r="L2042" i="2"/>
  <c r="K2042" i="2"/>
  <c r="M2042" i="2"/>
  <c r="N2042" i="2" s="1"/>
  <c r="L2041" i="2"/>
  <c r="K2041" i="2"/>
  <c r="M2041" i="2"/>
  <c r="N2041" i="2" s="1"/>
  <c r="L2040" i="2"/>
  <c r="K2040" i="2"/>
  <c r="M2040" i="2"/>
  <c r="N2040" i="2" s="1"/>
  <c r="L2039" i="2"/>
  <c r="K2039" i="2"/>
  <c r="M2039" i="2"/>
  <c r="N2039" i="2" s="1"/>
  <c r="L2038" i="2"/>
  <c r="K2038" i="2"/>
  <c r="M2038" i="2"/>
  <c r="N2038" i="2" s="1"/>
  <c r="L2037" i="2"/>
  <c r="K2037" i="2"/>
  <c r="M2037" i="2"/>
  <c r="N2037" i="2" s="1"/>
  <c r="L2036" i="2"/>
  <c r="K2036" i="2"/>
  <c r="M2036" i="2"/>
  <c r="N2036" i="2" s="1"/>
  <c r="L2035" i="2"/>
  <c r="K2035" i="2"/>
  <c r="M2035" i="2"/>
  <c r="N2035" i="2" s="1"/>
  <c r="L2034" i="2"/>
  <c r="K2034" i="2"/>
  <c r="M2034" i="2"/>
  <c r="N2034" i="2" s="1"/>
  <c r="L2033" i="2"/>
  <c r="K2033" i="2"/>
  <c r="M2033" i="2"/>
  <c r="N2033" i="2" s="1"/>
  <c r="L2032" i="2"/>
  <c r="K2032" i="2"/>
  <c r="M2032" i="2"/>
  <c r="N2032" i="2" s="1"/>
  <c r="L2031" i="2"/>
  <c r="K2031" i="2"/>
  <c r="M2031" i="2"/>
  <c r="N2031" i="2" s="1"/>
  <c r="L2030" i="2"/>
  <c r="K2030" i="2"/>
  <c r="M2030" i="2"/>
  <c r="N2030" i="2" s="1"/>
  <c r="L2029" i="2"/>
  <c r="K2029" i="2"/>
  <c r="M2029" i="2"/>
  <c r="N2029" i="2" s="1"/>
  <c r="L2028" i="2"/>
  <c r="K2028" i="2"/>
  <c r="M2028" i="2"/>
  <c r="N2028" i="2" s="1"/>
  <c r="L2027" i="2"/>
  <c r="K2027" i="2"/>
  <c r="M2027" i="2"/>
  <c r="N2027" i="2" s="1"/>
  <c r="L2026" i="2"/>
  <c r="K2026" i="2"/>
  <c r="M2026" i="2"/>
  <c r="N2026" i="2" s="1"/>
  <c r="L2025" i="2"/>
  <c r="K2025" i="2"/>
  <c r="M2025" i="2"/>
  <c r="N2025" i="2" s="1"/>
  <c r="L2024" i="2"/>
  <c r="K2024" i="2"/>
  <c r="M2024" i="2"/>
  <c r="N2024" i="2" s="1"/>
  <c r="L2023" i="2"/>
  <c r="K2023" i="2"/>
  <c r="M2023" i="2"/>
  <c r="N2023" i="2" s="1"/>
  <c r="L2022" i="2"/>
  <c r="K2022" i="2"/>
  <c r="M2022" i="2"/>
  <c r="N2022" i="2" s="1"/>
  <c r="L2021" i="2"/>
  <c r="K2021" i="2"/>
  <c r="M2021" i="2"/>
  <c r="N2021" i="2" s="1"/>
  <c r="E2021" i="2"/>
  <c r="E2022" i="2" s="1"/>
  <c r="E2023" i="2" s="1"/>
  <c r="E2024" i="2" s="1"/>
  <c r="E2025" i="2" s="1"/>
  <c r="E2026" i="2" s="1"/>
  <c r="E2027" i="2" s="1"/>
  <c r="E2028" i="2" s="1"/>
  <c r="E2029" i="2" s="1"/>
  <c r="E2030" i="2" s="1"/>
  <c r="E2031" i="2" s="1"/>
  <c r="E2032" i="2" s="1"/>
  <c r="E2033" i="2" s="1"/>
  <c r="E2034" i="2" s="1"/>
  <c r="E2035" i="2" s="1"/>
  <c r="E2036" i="2" s="1"/>
  <c r="E2037" i="2" s="1"/>
  <c r="E2038" i="2" s="1"/>
  <c r="E2039" i="2" s="1"/>
  <c r="E2040" i="2" s="1"/>
  <c r="E2041" i="2" s="1"/>
  <c r="E2042" i="2" s="1"/>
  <c r="E2043" i="2" s="1"/>
  <c r="E2044" i="2" s="1"/>
  <c r="E2045" i="2" s="1"/>
  <c r="E2046" i="2" s="1"/>
  <c r="E2047" i="2" s="1"/>
  <c r="E2048" i="2" s="1"/>
  <c r="E2049" i="2" s="1"/>
  <c r="E2050" i="2" s="1"/>
  <c r="E2051" i="2" s="1"/>
  <c r="E2052" i="2" s="1"/>
  <c r="E2053" i="2" s="1"/>
  <c r="E2054" i="2" s="1"/>
  <c r="E2055" i="2" s="1"/>
  <c r="E2056" i="2" s="1"/>
  <c r="E2057" i="2" s="1"/>
  <c r="L2020" i="2"/>
  <c r="K2020" i="2"/>
  <c r="M2020" i="2"/>
  <c r="N2020" i="2" s="1"/>
  <c r="O2051" i="2" l="1"/>
  <c r="P2051" i="2"/>
  <c r="O2027" i="2"/>
  <c r="P2027" i="2"/>
  <c r="O2035" i="2"/>
  <c r="P2035" i="2"/>
  <c r="O2043" i="2"/>
  <c r="P2043" i="2"/>
  <c r="O2020" i="2"/>
  <c r="P2020" i="2"/>
  <c r="P2022" i="2"/>
  <c r="O2022" i="2"/>
  <c r="P2025" i="2"/>
  <c r="O2025" i="2"/>
  <c r="P2030" i="2"/>
  <c r="O2030" i="2"/>
  <c r="P2033" i="2"/>
  <c r="O2033" i="2"/>
  <c r="P2038" i="2"/>
  <c r="O2038" i="2"/>
  <c r="P2041" i="2"/>
  <c r="O2041" i="2"/>
  <c r="P2046" i="2"/>
  <c r="O2046" i="2"/>
  <c r="P2049" i="2"/>
  <c r="O2049" i="2"/>
  <c r="P2054" i="2"/>
  <c r="O2054" i="2"/>
  <c r="P2057" i="2"/>
  <c r="O2057" i="2"/>
  <c r="P2021" i="2"/>
  <c r="O2021" i="2"/>
  <c r="O2028" i="2"/>
  <c r="P2028" i="2"/>
  <c r="O2036" i="2"/>
  <c r="P2036" i="2"/>
  <c r="O2044" i="2"/>
  <c r="P2044" i="2"/>
  <c r="P2052" i="2"/>
  <c r="O2052" i="2"/>
  <c r="P2029" i="2"/>
  <c r="O2029" i="2"/>
  <c r="P2037" i="2"/>
  <c r="O2037" i="2"/>
  <c r="P2045" i="2"/>
  <c r="O2045" i="2"/>
  <c r="P2053" i="2"/>
  <c r="O2053" i="2"/>
  <c r="P2023" i="2"/>
  <c r="O2023" i="2"/>
  <c r="P2031" i="2"/>
  <c r="O2031" i="2"/>
  <c r="P2039" i="2"/>
  <c r="O2039" i="2"/>
  <c r="P2047" i="2"/>
  <c r="O2047" i="2"/>
  <c r="P2055" i="2"/>
  <c r="O2055" i="2"/>
  <c r="O2024" i="2"/>
  <c r="P2024" i="2"/>
  <c r="O2032" i="2"/>
  <c r="P2032" i="2"/>
  <c r="O2040" i="2"/>
  <c r="P2040" i="2"/>
  <c r="P2048" i="2"/>
  <c r="O2048" i="2"/>
  <c r="O2056" i="2"/>
  <c r="P2056" i="2"/>
  <c r="P2026" i="2"/>
  <c r="O2026" i="2"/>
  <c r="P2034" i="2"/>
  <c r="O2034" i="2"/>
  <c r="P2042" i="2"/>
  <c r="O2042" i="2"/>
  <c r="P2050" i="2"/>
  <c r="O2050" i="2"/>
  <c r="Y43" i="4"/>
  <c r="Z43" i="4"/>
  <c r="AB43" i="4" s="1"/>
  <c r="AC43" i="4" s="1"/>
  <c r="Y44" i="4"/>
  <c r="Z44" i="4" s="1"/>
  <c r="Y19" i="4"/>
  <c r="Z19" i="4"/>
  <c r="Y20" i="4"/>
  <c r="Z20" i="4"/>
  <c r="AB19" i="4"/>
  <c r="AC19" i="4" s="1"/>
  <c r="R43" i="4"/>
  <c r="S43" i="4"/>
  <c r="R19" i="4"/>
  <c r="S19" i="4" s="1"/>
  <c r="H19" i="4"/>
  <c r="I19" i="4" s="1"/>
  <c r="H43" i="4"/>
  <c r="I43" i="4" s="1"/>
  <c r="H40" i="4"/>
  <c r="E43" i="4"/>
  <c r="F43" i="4"/>
  <c r="E44" i="4"/>
  <c r="F44" i="4"/>
  <c r="O43" i="4"/>
  <c r="P43" i="4"/>
  <c r="O44" i="4"/>
  <c r="P44" i="4"/>
  <c r="O19" i="4"/>
  <c r="P19" i="4" s="1"/>
  <c r="O20" i="4"/>
  <c r="P20" i="4"/>
  <c r="E19" i="4"/>
  <c r="F19" i="4" s="1"/>
  <c r="E20" i="4"/>
  <c r="F20" i="4" s="1"/>
  <c r="J1983" i="2" l="1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1982" i="2"/>
  <c r="L2019" i="2" l="1"/>
  <c r="K2019" i="2"/>
  <c r="M2019" i="2"/>
  <c r="N2019" i="2" s="1"/>
  <c r="L2018" i="2"/>
  <c r="K2018" i="2"/>
  <c r="M2018" i="2"/>
  <c r="N2018" i="2" s="1"/>
  <c r="L2017" i="2"/>
  <c r="K2017" i="2"/>
  <c r="M2017" i="2"/>
  <c r="N2017" i="2" s="1"/>
  <c r="L2016" i="2"/>
  <c r="K2016" i="2"/>
  <c r="M2016" i="2"/>
  <c r="N2016" i="2" s="1"/>
  <c r="L2015" i="2"/>
  <c r="K2015" i="2"/>
  <c r="M2015" i="2"/>
  <c r="N2015" i="2" s="1"/>
  <c r="L2014" i="2"/>
  <c r="K2014" i="2"/>
  <c r="M2014" i="2"/>
  <c r="N2014" i="2" s="1"/>
  <c r="L2013" i="2"/>
  <c r="K2013" i="2"/>
  <c r="M2013" i="2"/>
  <c r="N2013" i="2" s="1"/>
  <c r="L2012" i="2"/>
  <c r="K2012" i="2"/>
  <c r="M2012" i="2"/>
  <c r="N2012" i="2" s="1"/>
  <c r="L2011" i="2"/>
  <c r="K2011" i="2"/>
  <c r="M2011" i="2"/>
  <c r="N2011" i="2" s="1"/>
  <c r="L2010" i="2"/>
  <c r="K2010" i="2"/>
  <c r="M2010" i="2"/>
  <c r="N2010" i="2" s="1"/>
  <c r="L2009" i="2"/>
  <c r="K2009" i="2"/>
  <c r="M2009" i="2"/>
  <c r="N2009" i="2" s="1"/>
  <c r="L2008" i="2"/>
  <c r="K2008" i="2"/>
  <c r="M2008" i="2"/>
  <c r="N2008" i="2" s="1"/>
  <c r="L2007" i="2"/>
  <c r="K2007" i="2"/>
  <c r="M2007" i="2"/>
  <c r="N2007" i="2" s="1"/>
  <c r="P2007" i="2" s="1"/>
  <c r="L2006" i="2"/>
  <c r="K2006" i="2"/>
  <c r="M2006" i="2"/>
  <c r="N2006" i="2" s="1"/>
  <c r="L2005" i="2"/>
  <c r="K2005" i="2"/>
  <c r="M2005" i="2"/>
  <c r="N2005" i="2" s="1"/>
  <c r="L2004" i="2"/>
  <c r="K2004" i="2"/>
  <c r="M2004" i="2"/>
  <c r="N2004" i="2" s="1"/>
  <c r="L2003" i="2"/>
  <c r="K2003" i="2"/>
  <c r="M2003" i="2"/>
  <c r="N2003" i="2" s="1"/>
  <c r="L2002" i="2"/>
  <c r="K2002" i="2"/>
  <c r="M2002" i="2"/>
  <c r="N2002" i="2" s="1"/>
  <c r="L2001" i="2"/>
  <c r="K2001" i="2"/>
  <c r="M2001" i="2"/>
  <c r="N2001" i="2" s="1"/>
  <c r="L2000" i="2"/>
  <c r="K2000" i="2"/>
  <c r="M2000" i="2"/>
  <c r="N2000" i="2" s="1"/>
  <c r="L1999" i="2"/>
  <c r="K1999" i="2"/>
  <c r="M1999" i="2"/>
  <c r="N1999" i="2" s="1"/>
  <c r="P1999" i="2" s="1"/>
  <c r="L1998" i="2"/>
  <c r="K1998" i="2"/>
  <c r="M1998" i="2"/>
  <c r="N1998" i="2" s="1"/>
  <c r="L1997" i="2"/>
  <c r="K1997" i="2"/>
  <c r="M1997" i="2"/>
  <c r="N1997" i="2" s="1"/>
  <c r="L1996" i="2"/>
  <c r="K1996" i="2"/>
  <c r="M1996" i="2"/>
  <c r="N1996" i="2" s="1"/>
  <c r="L1995" i="2"/>
  <c r="K1995" i="2"/>
  <c r="M1995" i="2"/>
  <c r="N1995" i="2" s="1"/>
  <c r="L1994" i="2"/>
  <c r="K1994" i="2"/>
  <c r="M1994" i="2"/>
  <c r="N1994" i="2" s="1"/>
  <c r="L1993" i="2"/>
  <c r="K1993" i="2"/>
  <c r="M1993" i="2"/>
  <c r="N1993" i="2" s="1"/>
  <c r="L1992" i="2"/>
  <c r="K1992" i="2"/>
  <c r="M1992" i="2"/>
  <c r="N1992" i="2" s="1"/>
  <c r="L1991" i="2"/>
  <c r="K1991" i="2"/>
  <c r="M1991" i="2"/>
  <c r="N1991" i="2" s="1"/>
  <c r="P1991" i="2" s="1"/>
  <c r="L1990" i="2"/>
  <c r="K1990" i="2"/>
  <c r="M1990" i="2"/>
  <c r="N1990" i="2" s="1"/>
  <c r="L1989" i="2"/>
  <c r="K1989" i="2"/>
  <c r="M1989" i="2"/>
  <c r="N1989" i="2" s="1"/>
  <c r="L1988" i="2"/>
  <c r="K1988" i="2"/>
  <c r="M1988" i="2"/>
  <c r="N1988" i="2" s="1"/>
  <c r="L1987" i="2"/>
  <c r="K1987" i="2"/>
  <c r="M1987" i="2"/>
  <c r="N1987" i="2" s="1"/>
  <c r="L1986" i="2"/>
  <c r="K1986" i="2"/>
  <c r="M1986" i="2"/>
  <c r="N1986" i="2" s="1"/>
  <c r="L1985" i="2"/>
  <c r="K1985" i="2"/>
  <c r="M1985" i="2"/>
  <c r="N1985" i="2" s="1"/>
  <c r="L1984" i="2"/>
  <c r="K1984" i="2"/>
  <c r="M1984" i="2"/>
  <c r="N1984" i="2" s="1"/>
  <c r="L1983" i="2"/>
  <c r="K1983" i="2"/>
  <c r="M1983" i="2"/>
  <c r="N1983" i="2" s="1"/>
  <c r="P1983" i="2" s="1"/>
  <c r="E1983" i="2"/>
  <c r="E1984" i="2" s="1"/>
  <c r="E1985" i="2" s="1"/>
  <c r="E1986" i="2" s="1"/>
  <c r="E1987" i="2" s="1"/>
  <c r="E1988" i="2" s="1"/>
  <c r="E1989" i="2" s="1"/>
  <c r="E1990" i="2" s="1"/>
  <c r="E1991" i="2" s="1"/>
  <c r="E1992" i="2" s="1"/>
  <c r="E1993" i="2" s="1"/>
  <c r="E1994" i="2" s="1"/>
  <c r="E1995" i="2" s="1"/>
  <c r="E1996" i="2" s="1"/>
  <c r="E1997" i="2" s="1"/>
  <c r="E1998" i="2" s="1"/>
  <c r="E1999" i="2" s="1"/>
  <c r="E2000" i="2" s="1"/>
  <c r="E2001" i="2" s="1"/>
  <c r="E2002" i="2" s="1"/>
  <c r="E2003" i="2" s="1"/>
  <c r="E2004" i="2" s="1"/>
  <c r="E2005" i="2" s="1"/>
  <c r="E2006" i="2" s="1"/>
  <c r="E2007" i="2" s="1"/>
  <c r="E2008" i="2" s="1"/>
  <c r="E2009" i="2" s="1"/>
  <c r="E2010" i="2" s="1"/>
  <c r="E2011" i="2" s="1"/>
  <c r="E2012" i="2" s="1"/>
  <c r="E2013" i="2" s="1"/>
  <c r="E2014" i="2" s="1"/>
  <c r="E2015" i="2" s="1"/>
  <c r="E2016" i="2" s="1"/>
  <c r="E2017" i="2" s="1"/>
  <c r="E2018" i="2" s="1"/>
  <c r="E2019" i="2" s="1"/>
  <c r="L1982" i="2"/>
  <c r="K1982" i="2"/>
  <c r="M1982" i="2"/>
  <c r="N1982" i="2" s="1"/>
  <c r="O2018" i="2" l="1"/>
  <c r="S2094" i="2" s="1"/>
  <c r="P2018" i="2"/>
  <c r="P1982" i="2"/>
  <c r="O1982" i="2"/>
  <c r="S2058" i="2" s="1"/>
  <c r="P1985" i="2"/>
  <c r="O1985" i="2"/>
  <c r="S2061" i="2" s="1"/>
  <c r="P1987" i="2"/>
  <c r="O1987" i="2"/>
  <c r="S2063" i="2" s="1"/>
  <c r="P1993" i="2"/>
  <c r="O1993" i="2"/>
  <c r="S2069" i="2" s="1"/>
  <c r="P1995" i="2"/>
  <c r="O1995" i="2"/>
  <c r="S2071" i="2" s="1"/>
  <c r="P2001" i="2"/>
  <c r="O2001" i="2"/>
  <c r="S2077" i="2" s="1"/>
  <c r="P2003" i="2"/>
  <c r="O2003" i="2"/>
  <c r="S2079" i="2" s="1"/>
  <c r="O2009" i="2"/>
  <c r="S2085" i="2" s="1"/>
  <c r="P2009" i="2"/>
  <c r="P2011" i="2"/>
  <c r="O2011" i="2"/>
  <c r="S2087" i="2" s="1"/>
  <c r="P2014" i="2"/>
  <c r="O2014" i="2"/>
  <c r="S2090" i="2" s="1"/>
  <c r="P1984" i="2"/>
  <c r="P1990" i="2"/>
  <c r="O1990" i="2"/>
  <c r="S2066" i="2" s="1"/>
  <c r="P1992" i="2"/>
  <c r="P1998" i="2"/>
  <c r="O1998" i="2"/>
  <c r="S2074" i="2" s="1"/>
  <c r="P2000" i="2"/>
  <c r="P2006" i="2"/>
  <c r="O2006" i="2"/>
  <c r="S2082" i="2" s="1"/>
  <c r="P2008" i="2"/>
  <c r="P2017" i="2"/>
  <c r="O2017" i="2"/>
  <c r="S2093" i="2" s="1"/>
  <c r="O2015" i="2"/>
  <c r="S2091" i="2" s="1"/>
  <c r="P2015" i="2"/>
  <c r="P2019" i="2"/>
  <c r="O2019" i="2"/>
  <c r="S2095" i="2" s="1"/>
  <c r="O1984" i="2"/>
  <c r="S2060" i="2" s="1"/>
  <c r="P1986" i="2"/>
  <c r="O1986" i="2"/>
  <c r="S2062" i="2" s="1"/>
  <c r="P1988" i="2"/>
  <c r="O1988" i="2"/>
  <c r="S2064" i="2" s="1"/>
  <c r="O1992" i="2"/>
  <c r="S2068" i="2" s="1"/>
  <c r="P1994" i="2"/>
  <c r="O1994" i="2"/>
  <c r="S2070" i="2" s="1"/>
  <c r="P1996" i="2"/>
  <c r="O1996" i="2"/>
  <c r="S2072" i="2" s="1"/>
  <c r="O2000" i="2"/>
  <c r="S2076" i="2" s="1"/>
  <c r="P2002" i="2"/>
  <c r="O2002" i="2"/>
  <c r="S2078" i="2" s="1"/>
  <c r="P2004" i="2"/>
  <c r="O2004" i="2"/>
  <c r="S2080" i="2" s="1"/>
  <c r="O2008" i="2"/>
  <c r="S2084" i="2" s="1"/>
  <c r="O2010" i="2"/>
  <c r="S2086" i="2" s="1"/>
  <c r="P2010" i="2"/>
  <c r="P2012" i="2"/>
  <c r="O2012" i="2"/>
  <c r="S2088" i="2" s="1"/>
  <c r="O1983" i="2"/>
  <c r="S2059" i="2" s="1"/>
  <c r="P1989" i="2"/>
  <c r="O1989" i="2"/>
  <c r="S2065" i="2" s="1"/>
  <c r="O1991" i="2"/>
  <c r="S2067" i="2" s="1"/>
  <c r="O1997" i="2"/>
  <c r="S2073" i="2" s="1"/>
  <c r="P1997" i="2"/>
  <c r="O1999" i="2"/>
  <c r="S2075" i="2" s="1"/>
  <c r="O2005" i="2"/>
  <c r="S2081" i="2" s="1"/>
  <c r="P2005" i="2"/>
  <c r="O2007" i="2"/>
  <c r="S2083" i="2" s="1"/>
  <c r="O2013" i="2"/>
  <c r="S2089" i="2" s="1"/>
  <c r="P2013" i="2"/>
  <c r="O2016" i="2"/>
  <c r="S2092" i="2" s="1"/>
  <c r="P2016" i="2"/>
  <c r="J1945" i="2"/>
  <c r="M1945" i="2" s="1"/>
  <c r="N1945" i="2" s="1"/>
  <c r="J1946" i="2"/>
  <c r="M1946" i="2" s="1"/>
  <c r="N1946" i="2" s="1"/>
  <c r="J1947" i="2"/>
  <c r="M1947" i="2" s="1"/>
  <c r="N1947" i="2" s="1"/>
  <c r="J1948" i="2"/>
  <c r="M1948" i="2" s="1"/>
  <c r="N1948" i="2" s="1"/>
  <c r="J1949" i="2"/>
  <c r="M1949" i="2" s="1"/>
  <c r="N1949" i="2" s="1"/>
  <c r="J1950" i="2"/>
  <c r="M1950" i="2" s="1"/>
  <c r="N1950" i="2" s="1"/>
  <c r="J1951" i="2"/>
  <c r="M1951" i="2" s="1"/>
  <c r="N1951" i="2" s="1"/>
  <c r="J1952" i="2"/>
  <c r="M1952" i="2" s="1"/>
  <c r="N1952" i="2" s="1"/>
  <c r="O1952" i="2" s="1"/>
  <c r="J1953" i="2"/>
  <c r="M1953" i="2" s="1"/>
  <c r="N1953" i="2" s="1"/>
  <c r="J1954" i="2"/>
  <c r="M1954" i="2" s="1"/>
  <c r="N1954" i="2" s="1"/>
  <c r="J1955" i="2"/>
  <c r="M1955" i="2" s="1"/>
  <c r="N1955" i="2" s="1"/>
  <c r="J1956" i="2"/>
  <c r="M1956" i="2" s="1"/>
  <c r="N1956" i="2" s="1"/>
  <c r="J1957" i="2"/>
  <c r="M1957" i="2" s="1"/>
  <c r="N1957" i="2" s="1"/>
  <c r="J1958" i="2"/>
  <c r="M1958" i="2" s="1"/>
  <c r="N1958" i="2" s="1"/>
  <c r="J1959" i="2"/>
  <c r="M1959" i="2" s="1"/>
  <c r="N1959" i="2" s="1"/>
  <c r="J1960" i="2"/>
  <c r="M1960" i="2" s="1"/>
  <c r="N1960" i="2" s="1"/>
  <c r="J1961" i="2"/>
  <c r="M1961" i="2" s="1"/>
  <c r="N1961" i="2" s="1"/>
  <c r="J1962" i="2"/>
  <c r="M1962" i="2" s="1"/>
  <c r="N1962" i="2" s="1"/>
  <c r="J1963" i="2"/>
  <c r="M1963" i="2" s="1"/>
  <c r="N1963" i="2" s="1"/>
  <c r="J1964" i="2"/>
  <c r="M1964" i="2" s="1"/>
  <c r="N1964" i="2" s="1"/>
  <c r="J1965" i="2"/>
  <c r="M1965" i="2" s="1"/>
  <c r="N1965" i="2" s="1"/>
  <c r="J1966" i="2"/>
  <c r="M1966" i="2" s="1"/>
  <c r="N1966" i="2" s="1"/>
  <c r="J1967" i="2"/>
  <c r="M1967" i="2" s="1"/>
  <c r="N1967" i="2" s="1"/>
  <c r="J1968" i="2"/>
  <c r="M1968" i="2" s="1"/>
  <c r="N1968" i="2" s="1"/>
  <c r="J1969" i="2"/>
  <c r="M1969" i="2" s="1"/>
  <c r="N1969" i="2" s="1"/>
  <c r="J1970" i="2"/>
  <c r="M1970" i="2" s="1"/>
  <c r="N1970" i="2" s="1"/>
  <c r="J1971" i="2"/>
  <c r="M1971" i="2" s="1"/>
  <c r="N1971" i="2" s="1"/>
  <c r="J1972" i="2"/>
  <c r="M1972" i="2" s="1"/>
  <c r="N1972" i="2" s="1"/>
  <c r="J1973" i="2"/>
  <c r="M1973" i="2" s="1"/>
  <c r="N1973" i="2" s="1"/>
  <c r="J1974" i="2"/>
  <c r="M1974" i="2" s="1"/>
  <c r="N1974" i="2" s="1"/>
  <c r="J1975" i="2"/>
  <c r="M1975" i="2" s="1"/>
  <c r="N1975" i="2" s="1"/>
  <c r="J1976" i="2"/>
  <c r="M1976" i="2" s="1"/>
  <c r="N1976" i="2" s="1"/>
  <c r="J1977" i="2"/>
  <c r="J1978" i="2"/>
  <c r="M1978" i="2" s="1"/>
  <c r="N1978" i="2" s="1"/>
  <c r="J1979" i="2"/>
  <c r="M1979" i="2" s="1"/>
  <c r="N1979" i="2" s="1"/>
  <c r="J1980" i="2"/>
  <c r="M1980" i="2" s="1"/>
  <c r="N1980" i="2" s="1"/>
  <c r="J1981" i="2"/>
  <c r="M1981" i="2" s="1"/>
  <c r="N1981" i="2" s="1"/>
  <c r="J1944" i="2"/>
  <c r="M1944" i="2" s="1"/>
  <c r="N1944" i="2" s="1"/>
  <c r="O1944" i="2" s="1"/>
  <c r="L1981" i="2"/>
  <c r="K1981" i="2"/>
  <c r="L1980" i="2"/>
  <c r="K1980" i="2"/>
  <c r="L1979" i="2"/>
  <c r="K1979" i="2"/>
  <c r="L1978" i="2"/>
  <c r="K1978" i="2"/>
  <c r="L1977" i="2"/>
  <c r="K1977" i="2"/>
  <c r="M1977" i="2"/>
  <c r="N1977" i="2" s="1"/>
  <c r="O1977" i="2" s="1"/>
  <c r="L1976" i="2"/>
  <c r="K1976" i="2"/>
  <c r="L1975" i="2"/>
  <c r="K1975" i="2"/>
  <c r="L1974" i="2"/>
  <c r="K1974" i="2"/>
  <c r="L1973" i="2"/>
  <c r="K1973" i="2"/>
  <c r="L1972" i="2"/>
  <c r="K1972" i="2"/>
  <c r="L1971" i="2"/>
  <c r="K1971" i="2"/>
  <c r="L1970" i="2"/>
  <c r="K1970" i="2"/>
  <c r="L1969" i="2"/>
  <c r="K1969" i="2"/>
  <c r="L1968" i="2"/>
  <c r="K1968" i="2"/>
  <c r="L1967" i="2"/>
  <c r="K1967" i="2"/>
  <c r="L1966" i="2"/>
  <c r="K1966" i="2"/>
  <c r="L1965" i="2"/>
  <c r="K1965" i="2"/>
  <c r="L1964" i="2"/>
  <c r="K1964" i="2"/>
  <c r="L1963" i="2"/>
  <c r="K1963" i="2"/>
  <c r="L1962" i="2"/>
  <c r="K1962" i="2"/>
  <c r="L1961" i="2"/>
  <c r="K1961" i="2"/>
  <c r="L1960" i="2"/>
  <c r="K1960" i="2"/>
  <c r="L1959" i="2"/>
  <c r="K1959" i="2"/>
  <c r="L1958" i="2"/>
  <c r="K1958" i="2"/>
  <c r="L1957" i="2"/>
  <c r="K1957" i="2"/>
  <c r="L1956" i="2"/>
  <c r="K1956" i="2"/>
  <c r="L1955" i="2"/>
  <c r="K1955" i="2"/>
  <c r="L1954" i="2"/>
  <c r="K1954" i="2"/>
  <c r="L1953" i="2"/>
  <c r="K1953" i="2"/>
  <c r="L1952" i="2"/>
  <c r="K1952" i="2"/>
  <c r="L1951" i="2"/>
  <c r="K1951" i="2"/>
  <c r="L1950" i="2"/>
  <c r="K1950" i="2"/>
  <c r="L1949" i="2"/>
  <c r="K1949" i="2"/>
  <c r="L1948" i="2"/>
  <c r="K1948" i="2"/>
  <c r="L1947" i="2"/>
  <c r="K1947" i="2"/>
  <c r="L1946" i="2"/>
  <c r="K1946" i="2"/>
  <c r="L1945" i="2"/>
  <c r="K1945" i="2"/>
  <c r="E1945" i="2"/>
  <c r="E1946" i="2" s="1"/>
  <c r="E1947" i="2" s="1"/>
  <c r="E1948" i="2" s="1"/>
  <c r="E1949" i="2" s="1"/>
  <c r="E1950" i="2" s="1"/>
  <c r="E1951" i="2" s="1"/>
  <c r="E1952" i="2" s="1"/>
  <c r="E1953" i="2" s="1"/>
  <c r="E1954" i="2" s="1"/>
  <c r="E1955" i="2" s="1"/>
  <c r="E1956" i="2" s="1"/>
  <c r="E1957" i="2" s="1"/>
  <c r="E1958" i="2" s="1"/>
  <c r="E1959" i="2" s="1"/>
  <c r="E1960" i="2" s="1"/>
  <c r="E1961" i="2" s="1"/>
  <c r="E1962" i="2" s="1"/>
  <c r="E1963" i="2" s="1"/>
  <c r="E1964" i="2" s="1"/>
  <c r="E1965" i="2" s="1"/>
  <c r="E1966" i="2" s="1"/>
  <c r="E1967" i="2" s="1"/>
  <c r="E1968" i="2" s="1"/>
  <c r="E1969" i="2" s="1"/>
  <c r="E1970" i="2" s="1"/>
  <c r="E1971" i="2" s="1"/>
  <c r="E1972" i="2" s="1"/>
  <c r="E1973" i="2" s="1"/>
  <c r="E1974" i="2" s="1"/>
  <c r="E1975" i="2" s="1"/>
  <c r="E1976" i="2" s="1"/>
  <c r="E1977" i="2" s="1"/>
  <c r="E1978" i="2" s="1"/>
  <c r="E1979" i="2" s="1"/>
  <c r="E1980" i="2" s="1"/>
  <c r="E1981" i="2" s="1"/>
  <c r="L1944" i="2"/>
  <c r="K1944" i="2"/>
  <c r="O1976" i="2" l="1"/>
  <c r="P1976" i="2"/>
  <c r="O1968" i="2"/>
  <c r="O1960" i="2"/>
  <c r="P1977" i="2"/>
  <c r="P1950" i="2"/>
  <c r="O1950" i="2"/>
  <c r="P1956" i="2"/>
  <c r="O1956" i="2"/>
  <c r="P1970" i="2"/>
  <c r="O1970" i="2"/>
  <c r="P1978" i="2"/>
  <c r="O1978" i="2"/>
  <c r="P1946" i="2"/>
  <c r="O1946" i="2"/>
  <c r="P1963" i="2"/>
  <c r="O1963" i="2"/>
  <c r="O1965" i="2"/>
  <c r="P1965" i="2"/>
  <c r="P1966" i="2"/>
  <c r="O1966" i="2"/>
  <c r="O1980" i="2"/>
  <c r="P1980" i="2"/>
  <c r="P1948" i="2"/>
  <c r="O1948" i="2"/>
  <c r="P1962" i="2"/>
  <c r="O1962" i="2"/>
  <c r="P1955" i="2"/>
  <c r="O1955" i="2"/>
  <c r="O1957" i="2"/>
  <c r="P1957" i="2"/>
  <c r="P1958" i="2"/>
  <c r="O1958" i="2"/>
  <c r="P1964" i="2"/>
  <c r="O1964" i="2"/>
  <c r="P1954" i="2"/>
  <c r="O1954" i="2"/>
  <c r="P1971" i="2"/>
  <c r="O1971" i="2"/>
  <c r="P1979" i="2"/>
  <c r="O1979" i="2"/>
  <c r="P1947" i="2"/>
  <c r="O1947" i="2"/>
  <c r="O1949" i="2"/>
  <c r="P1949" i="2"/>
  <c r="P1972" i="2"/>
  <c r="O1972" i="2"/>
  <c r="O1973" i="2"/>
  <c r="P1973" i="2"/>
  <c r="O1945" i="2"/>
  <c r="O1953" i="2"/>
  <c r="O1961" i="2"/>
  <c r="O1969" i="2"/>
  <c r="P1974" i="2"/>
  <c r="O1974" i="2"/>
  <c r="P1945" i="2"/>
  <c r="P1953" i="2"/>
  <c r="P1961" i="2"/>
  <c r="P1969" i="2"/>
  <c r="O1981" i="2"/>
  <c r="P1981" i="2"/>
  <c r="P1944" i="2"/>
  <c r="P1951" i="2"/>
  <c r="O1951" i="2"/>
  <c r="P1952" i="2"/>
  <c r="P1959" i="2"/>
  <c r="O1959" i="2"/>
  <c r="P1960" i="2"/>
  <c r="P1967" i="2"/>
  <c r="O1967" i="2"/>
  <c r="P1968" i="2"/>
  <c r="P1975" i="2"/>
  <c r="O1975" i="2"/>
  <c r="Y17" i="4"/>
  <c r="Z17" i="4"/>
  <c r="Y18" i="4"/>
  <c r="Z18" i="4"/>
  <c r="Y41" i="4"/>
  <c r="Z41" i="4"/>
  <c r="Y42" i="4"/>
  <c r="Z42" i="4"/>
  <c r="O17" i="4"/>
  <c r="P17" i="4"/>
  <c r="O18" i="4"/>
  <c r="P18" i="4"/>
  <c r="O41" i="4"/>
  <c r="P41" i="4"/>
  <c r="O42" i="4"/>
  <c r="P42" i="4"/>
  <c r="E41" i="4"/>
  <c r="F41" i="4" s="1"/>
  <c r="E42" i="4"/>
  <c r="F42" i="4"/>
  <c r="E17" i="4"/>
  <c r="F17" i="4"/>
  <c r="E18" i="4"/>
  <c r="F18" i="4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06" i="2"/>
  <c r="L1943" i="2" l="1"/>
  <c r="K1943" i="2"/>
  <c r="M1943" i="2"/>
  <c r="N1943" i="2" s="1"/>
  <c r="L1942" i="2"/>
  <c r="K1942" i="2"/>
  <c r="M1942" i="2"/>
  <c r="N1942" i="2" s="1"/>
  <c r="L1941" i="2"/>
  <c r="K1941" i="2"/>
  <c r="M1941" i="2"/>
  <c r="N1941" i="2" s="1"/>
  <c r="L1940" i="2"/>
  <c r="K1940" i="2"/>
  <c r="M1940" i="2"/>
  <c r="N1940" i="2" s="1"/>
  <c r="P1940" i="2" s="1"/>
  <c r="L1939" i="2"/>
  <c r="K1939" i="2"/>
  <c r="M1939" i="2"/>
  <c r="N1939" i="2" s="1"/>
  <c r="O1939" i="2" s="1"/>
  <c r="L1938" i="2"/>
  <c r="K1938" i="2"/>
  <c r="M1938" i="2"/>
  <c r="N1938" i="2" s="1"/>
  <c r="L1937" i="2"/>
  <c r="K1937" i="2"/>
  <c r="M1937" i="2"/>
  <c r="N1937" i="2" s="1"/>
  <c r="L1936" i="2"/>
  <c r="K1936" i="2"/>
  <c r="M1936" i="2"/>
  <c r="N1936" i="2" s="1"/>
  <c r="L1935" i="2"/>
  <c r="K1935" i="2"/>
  <c r="M1935" i="2"/>
  <c r="N1935" i="2" s="1"/>
  <c r="L1934" i="2"/>
  <c r="K1934" i="2"/>
  <c r="M1934" i="2"/>
  <c r="N1934" i="2" s="1"/>
  <c r="L1933" i="2"/>
  <c r="K1933" i="2"/>
  <c r="M1933" i="2"/>
  <c r="N1933" i="2" s="1"/>
  <c r="L1932" i="2"/>
  <c r="K1932" i="2"/>
  <c r="M1932" i="2"/>
  <c r="N1932" i="2" s="1"/>
  <c r="L1931" i="2"/>
  <c r="K1931" i="2"/>
  <c r="M1931" i="2"/>
  <c r="N1931" i="2" s="1"/>
  <c r="O1931" i="2" s="1"/>
  <c r="L1930" i="2"/>
  <c r="K1930" i="2"/>
  <c r="M1930" i="2"/>
  <c r="N1930" i="2" s="1"/>
  <c r="L1929" i="2"/>
  <c r="K1929" i="2"/>
  <c r="M1929" i="2"/>
  <c r="N1929" i="2" s="1"/>
  <c r="L1928" i="2"/>
  <c r="K1928" i="2"/>
  <c r="M1928" i="2"/>
  <c r="N1928" i="2" s="1"/>
  <c r="L1927" i="2"/>
  <c r="K1927" i="2"/>
  <c r="M1927" i="2"/>
  <c r="N1927" i="2" s="1"/>
  <c r="L1926" i="2"/>
  <c r="K1926" i="2"/>
  <c r="M1926" i="2"/>
  <c r="N1926" i="2" s="1"/>
  <c r="L1925" i="2"/>
  <c r="K1925" i="2"/>
  <c r="M1925" i="2"/>
  <c r="N1925" i="2" s="1"/>
  <c r="L1924" i="2"/>
  <c r="K1924" i="2"/>
  <c r="M1924" i="2"/>
  <c r="N1924" i="2" s="1"/>
  <c r="P1924" i="2" s="1"/>
  <c r="L1923" i="2"/>
  <c r="K1923" i="2"/>
  <c r="M1923" i="2"/>
  <c r="N1923" i="2" s="1"/>
  <c r="O1923" i="2" s="1"/>
  <c r="L1922" i="2"/>
  <c r="K1922" i="2"/>
  <c r="M1922" i="2"/>
  <c r="N1922" i="2" s="1"/>
  <c r="L1921" i="2"/>
  <c r="K1921" i="2"/>
  <c r="M1921" i="2"/>
  <c r="N1921" i="2" s="1"/>
  <c r="L1920" i="2"/>
  <c r="K1920" i="2"/>
  <c r="M1920" i="2"/>
  <c r="N1920" i="2" s="1"/>
  <c r="L1919" i="2"/>
  <c r="K1919" i="2"/>
  <c r="M1919" i="2"/>
  <c r="N1919" i="2" s="1"/>
  <c r="L1918" i="2"/>
  <c r="K1918" i="2"/>
  <c r="M1918" i="2"/>
  <c r="N1918" i="2" s="1"/>
  <c r="L1917" i="2"/>
  <c r="K1917" i="2"/>
  <c r="M1917" i="2"/>
  <c r="N1917" i="2" s="1"/>
  <c r="L1916" i="2"/>
  <c r="K1916" i="2"/>
  <c r="M1916" i="2"/>
  <c r="N1916" i="2" s="1"/>
  <c r="P1916" i="2" s="1"/>
  <c r="L1915" i="2"/>
  <c r="K1915" i="2"/>
  <c r="M1915" i="2"/>
  <c r="N1915" i="2" s="1"/>
  <c r="O1915" i="2" s="1"/>
  <c r="L1914" i="2"/>
  <c r="K1914" i="2"/>
  <c r="M1914" i="2"/>
  <c r="N1914" i="2" s="1"/>
  <c r="L1913" i="2"/>
  <c r="K1913" i="2"/>
  <c r="M1913" i="2"/>
  <c r="N1913" i="2" s="1"/>
  <c r="L1912" i="2"/>
  <c r="K1912" i="2"/>
  <c r="M1912" i="2"/>
  <c r="N1912" i="2" s="1"/>
  <c r="L1911" i="2"/>
  <c r="K1911" i="2"/>
  <c r="M1911" i="2"/>
  <c r="N1911" i="2" s="1"/>
  <c r="L1910" i="2"/>
  <c r="K1910" i="2"/>
  <c r="M1910" i="2"/>
  <c r="N1910" i="2" s="1"/>
  <c r="L1909" i="2"/>
  <c r="K1909" i="2"/>
  <c r="M1909" i="2"/>
  <c r="N1909" i="2" s="1"/>
  <c r="L1908" i="2"/>
  <c r="K1908" i="2"/>
  <c r="M1908" i="2"/>
  <c r="N1908" i="2" s="1"/>
  <c r="L1907" i="2"/>
  <c r="K1907" i="2"/>
  <c r="M1907" i="2"/>
  <c r="N1907" i="2" s="1"/>
  <c r="O1907" i="2" s="1"/>
  <c r="E1907" i="2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E1926" i="2" s="1"/>
  <c r="E1927" i="2" s="1"/>
  <c r="E1928" i="2" s="1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L1906" i="2"/>
  <c r="K1906" i="2"/>
  <c r="M1906" i="2"/>
  <c r="N1906" i="2" s="1"/>
  <c r="O1940" i="2" l="1"/>
  <c r="P1931" i="2"/>
  <c r="P1923" i="2"/>
  <c r="O1932" i="2"/>
  <c r="P1932" i="2"/>
  <c r="P1909" i="2"/>
  <c r="O1909" i="2"/>
  <c r="P1942" i="2"/>
  <c r="O1942" i="2"/>
  <c r="P1926" i="2"/>
  <c r="O1926" i="2"/>
  <c r="P1934" i="2"/>
  <c r="O1934" i="2"/>
  <c r="P1911" i="2"/>
  <c r="O1911" i="2"/>
  <c r="P1913" i="2"/>
  <c r="O1913" i="2"/>
  <c r="P1914" i="2"/>
  <c r="O1914" i="2"/>
  <c r="P1918" i="2"/>
  <c r="O1918" i="2"/>
  <c r="O1920" i="2"/>
  <c r="P1920" i="2"/>
  <c r="P1925" i="2"/>
  <c r="O1925" i="2"/>
  <c r="O1933" i="2"/>
  <c r="P1933" i="2"/>
  <c r="P1921" i="2"/>
  <c r="O1921" i="2"/>
  <c r="P1943" i="2"/>
  <c r="O1943" i="2"/>
  <c r="P1927" i="2"/>
  <c r="O1927" i="2"/>
  <c r="P1935" i="2"/>
  <c r="O1935" i="2"/>
  <c r="P1910" i="2"/>
  <c r="O1910" i="2"/>
  <c r="P1912" i="2"/>
  <c r="O1912" i="2"/>
  <c r="P1919" i="2"/>
  <c r="O1919" i="2"/>
  <c r="P1922" i="2"/>
  <c r="O1922" i="2"/>
  <c r="P1937" i="2"/>
  <c r="O1937" i="2"/>
  <c r="P1941" i="2"/>
  <c r="O1916" i="2"/>
  <c r="P1917" i="2"/>
  <c r="P1908" i="2"/>
  <c r="O1924" i="2"/>
  <c r="P1929" i="2"/>
  <c r="O1929" i="2"/>
  <c r="O1941" i="2"/>
  <c r="P1930" i="2"/>
  <c r="O1930" i="2"/>
  <c r="O1917" i="2"/>
  <c r="P1938" i="2"/>
  <c r="O1938" i="2"/>
  <c r="P1939" i="2"/>
  <c r="O1908" i="2"/>
  <c r="P1915" i="2"/>
  <c r="O1928" i="2"/>
  <c r="P1928" i="2"/>
  <c r="P1907" i="2"/>
  <c r="O1936" i="2"/>
  <c r="P1936" i="2"/>
  <c r="P1906" i="2"/>
  <c r="O1906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869" i="2"/>
  <c r="J1868" i="2"/>
  <c r="L1905" i="2" l="1"/>
  <c r="K1905" i="2"/>
  <c r="M1905" i="2"/>
  <c r="N1905" i="2" s="1"/>
  <c r="L1904" i="2"/>
  <c r="K1904" i="2"/>
  <c r="M1904" i="2"/>
  <c r="N1904" i="2" s="1"/>
  <c r="M1903" i="2"/>
  <c r="N1903" i="2" s="1"/>
  <c r="L1903" i="2"/>
  <c r="K1903" i="2"/>
  <c r="L1902" i="2"/>
  <c r="K1902" i="2"/>
  <c r="M1902" i="2"/>
  <c r="N1902" i="2" s="1"/>
  <c r="L1901" i="2"/>
  <c r="K1901" i="2"/>
  <c r="M1901" i="2"/>
  <c r="N1901" i="2" s="1"/>
  <c r="L1900" i="2"/>
  <c r="K1900" i="2"/>
  <c r="M1900" i="2"/>
  <c r="N1900" i="2" s="1"/>
  <c r="O1900" i="2" s="1"/>
  <c r="S1976" i="2" s="1"/>
  <c r="L1899" i="2"/>
  <c r="K1899" i="2"/>
  <c r="M1899" i="2"/>
  <c r="N1899" i="2" s="1"/>
  <c r="L1898" i="2"/>
  <c r="K1898" i="2"/>
  <c r="M1898" i="2"/>
  <c r="N1898" i="2" s="1"/>
  <c r="L1897" i="2"/>
  <c r="K1897" i="2"/>
  <c r="M1897" i="2"/>
  <c r="N1897" i="2" s="1"/>
  <c r="L1896" i="2"/>
  <c r="K1896" i="2"/>
  <c r="M1896" i="2"/>
  <c r="N1896" i="2" s="1"/>
  <c r="L1895" i="2"/>
  <c r="K1895" i="2"/>
  <c r="M1895" i="2"/>
  <c r="N1895" i="2" s="1"/>
  <c r="L1894" i="2"/>
  <c r="K1894" i="2"/>
  <c r="M1894" i="2"/>
  <c r="N1894" i="2" s="1"/>
  <c r="L1893" i="2"/>
  <c r="K1893" i="2"/>
  <c r="M1893" i="2"/>
  <c r="N1893" i="2" s="1"/>
  <c r="O1893" i="2" s="1"/>
  <c r="S1969" i="2" s="1"/>
  <c r="L1892" i="2"/>
  <c r="K1892" i="2"/>
  <c r="M1892" i="2"/>
  <c r="N1892" i="2" s="1"/>
  <c r="L1891" i="2"/>
  <c r="K1891" i="2"/>
  <c r="M1891" i="2"/>
  <c r="N1891" i="2" s="1"/>
  <c r="L1890" i="2"/>
  <c r="K1890" i="2"/>
  <c r="M1890" i="2"/>
  <c r="N1890" i="2" s="1"/>
  <c r="L1889" i="2"/>
  <c r="K1889" i="2"/>
  <c r="M1889" i="2"/>
  <c r="N1889" i="2" s="1"/>
  <c r="L1888" i="2"/>
  <c r="K1888" i="2"/>
  <c r="M1888" i="2"/>
  <c r="N1888" i="2" s="1"/>
  <c r="L1887" i="2"/>
  <c r="K1887" i="2"/>
  <c r="M1887" i="2"/>
  <c r="N1887" i="2" s="1"/>
  <c r="L1886" i="2"/>
  <c r="K1886" i="2"/>
  <c r="M1886" i="2"/>
  <c r="N1886" i="2" s="1"/>
  <c r="L1885" i="2"/>
  <c r="K1885" i="2"/>
  <c r="M1885" i="2"/>
  <c r="N1885" i="2" s="1"/>
  <c r="O1885" i="2" s="1"/>
  <c r="S1961" i="2" s="1"/>
  <c r="L1884" i="2"/>
  <c r="K1884" i="2"/>
  <c r="M1884" i="2"/>
  <c r="N1884" i="2" s="1"/>
  <c r="L1883" i="2"/>
  <c r="K1883" i="2"/>
  <c r="M1883" i="2"/>
  <c r="N1883" i="2" s="1"/>
  <c r="L1882" i="2"/>
  <c r="K1882" i="2"/>
  <c r="M1882" i="2"/>
  <c r="N1882" i="2" s="1"/>
  <c r="L1881" i="2"/>
  <c r="K1881" i="2"/>
  <c r="M1881" i="2"/>
  <c r="N1881" i="2" s="1"/>
  <c r="L1880" i="2"/>
  <c r="K1880" i="2"/>
  <c r="M1880" i="2"/>
  <c r="N1880" i="2" s="1"/>
  <c r="L1879" i="2"/>
  <c r="K1879" i="2"/>
  <c r="M1879" i="2"/>
  <c r="N1879" i="2" s="1"/>
  <c r="L1878" i="2"/>
  <c r="K1878" i="2"/>
  <c r="M1878" i="2"/>
  <c r="N1878" i="2" s="1"/>
  <c r="L1877" i="2"/>
  <c r="K1877" i="2"/>
  <c r="M1877" i="2"/>
  <c r="N1877" i="2" s="1"/>
  <c r="O1877" i="2" s="1"/>
  <c r="S1953" i="2" s="1"/>
  <c r="L1876" i="2"/>
  <c r="K1876" i="2"/>
  <c r="M1876" i="2"/>
  <c r="N1876" i="2" s="1"/>
  <c r="L1875" i="2"/>
  <c r="K1875" i="2"/>
  <c r="M1875" i="2"/>
  <c r="N1875" i="2" s="1"/>
  <c r="L1874" i="2"/>
  <c r="K1874" i="2"/>
  <c r="M1874" i="2"/>
  <c r="N1874" i="2" s="1"/>
  <c r="L1873" i="2"/>
  <c r="K1873" i="2"/>
  <c r="M1873" i="2"/>
  <c r="N1873" i="2" s="1"/>
  <c r="L1872" i="2"/>
  <c r="K1872" i="2"/>
  <c r="M1872" i="2"/>
  <c r="N1872" i="2" s="1"/>
  <c r="L1871" i="2"/>
  <c r="K1871" i="2"/>
  <c r="M1871" i="2"/>
  <c r="N1871" i="2" s="1"/>
  <c r="L1870" i="2"/>
  <c r="K1870" i="2"/>
  <c r="M1870" i="2"/>
  <c r="N1870" i="2" s="1"/>
  <c r="L1869" i="2"/>
  <c r="K1869" i="2"/>
  <c r="M1869" i="2"/>
  <c r="N1869" i="2" s="1"/>
  <c r="P1869" i="2" s="1"/>
  <c r="E1869" i="2"/>
  <c r="E1870" i="2" s="1"/>
  <c r="E1871" i="2" s="1"/>
  <c r="E1872" i="2" s="1"/>
  <c r="E1873" i="2" s="1"/>
  <c r="E1874" i="2" s="1"/>
  <c r="E1875" i="2" s="1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 s="1"/>
  <c r="E1899" i="2" s="1"/>
  <c r="E1900" i="2" s="1"/>
  <c r="E1901" i="2" s="1"/>
  <c r="E1902" i="2" s="1"/>
  <c r="E1903" i="2" s="1"/>
  <c r="E1904" i="2" s="1"/>
  <c r="E1905" i="2" s="1"/>
  <c r="L1868" i="2"/>
  <c r="K1868" i="2"/>
  <c r="M1868" i="2"/>
  <c r="N1868" i="2" s="1"/>
  <c r="O1892" i="2" l="1"/>
  <c r="S1968" i="2" s="1"/>
  <c r="P1892" i="2"/>
  <c r="P1876" i="2"/>
  <c r="O1876" i="2"/>
  <c r="S1952" i="2" s="1"/>
  <c r="P1868" i="2"/>
  <c r="O1868" i="2"/>
  <c r="S1944" i="2" s="1"/>
  <c r="P1884" i="2"/>
  <c r="O1884" i="2"/>
  <c r="S1960" i="2" s="1"/>
  <c r="P1900" i="2"/>
  <c r="P1873" i="2"/>
  <c r="O1873" i="2"/>
  <c r="S1949" i="2" s="1"/>
  <c r="O1883" i="2"/>
  <c r="S1959" i="2" s="1"/>
  <c r="P1883" i="2"/>
  <c r="P1905" i="2"/>
  <c r="O1905" i="2"/>
  <c r="S1981" i="2" s="1"/>
  <c r="P1878" i="2"/>
  <c r="O1878" i="2"/>
  <c r="S1954" i="2" s="1"/>
  <c r="P1880" i="2"/>
  <c r="O1880" i="2"/>
  <c r="S1956" i="2" s="1"/>
  <c r="P1895" i="2"/>
  <c r="O1895" i="2"/>
  <c r="S1971" i="2" s="1"/>
  <c r="P1898" i="2"/>
  <c r="O1898" i="2"/>
  <c r="S1974" i="2" s="1"/>
  <c r="P1881" i="2"/>
  <c r="O1881" i="2"/>
  <c r="S1957" i="2" s="1"/>
  <c r="O1891" i="2"/>
  <c r="S1967" i="2" s="1"/>
  <c r="P1891" i="2"/>
  <c r="P1871" i="2"/>
  <c r="O1871" i="2"/>
  <c r="S1947" i="2" s="1"/>
  <c r="P1874" i="2"/>
  <c r="O1874" i="2"/>
  <c r="S1950" i="2" s="1"/>
  <c r="O1886" i="2"/>
  <c r="S1962" i="2" s="1"/>
  <c r="P1886" i="2"/>
  <c r="P1888" i="2"/>
  <c r="O1888" i="2"/>
  <c r="S1964" i="2" s="1"/>
  <c r="P1903" i="2"/>
  <c r="O1903" i="2"/>
  <c r="S1979" i="2" s="1"/>
  <c r="P1889" i="2"/>
  <c r="O1889" i="2"/>
  <c r="S1965" i="2" s="1"/>
  <c r="O1899" i="2"/>
  <c r="S1975" i="2" s="1"/>
  <c r="P1899" i="2"/>
  <c r="P1879" i="2"/>
  <c r="O1879" i="2"/>
  <c r="S1955" i="2" s="1"/>
  <c r="P1882" i="2"/>
  <c r="O1882" i="2"/>
  <c r="S1958" i="2" s="1"/>
  <c r="P1894" i="2"/>
  <c r="O1894" i="2"/>
  <c r="S1970" i="2" s="1"/>
  <c r="P1896" i="2"/>
  <c r="O1896" i="2"/>
  <c r="S1972" i="2" s="1"/>
  <c r="O1875" i="2"/>
  <c r="S1951" i="2" s="1"/>
  <c r="P1875" i="2"/>
  <c r="P1897" i="2"/>
  <c r="O1897" i="2"/>
  <c r="S1973" i="2" s="1"/>
  <c r="O1870" i="2"/>
  <c r="S1946" i="2" s="1"/>
  <c r="P1870" i="2"/>
  <c r="P1872" i="2"/>
  <c r="O1872" i="2"/>
  <c r="S1948" i="2" s="1"/>
  <c r="P1887" i="2"/>
  <c r="O1887" i="2"/>
  <c r="S1963" i="2" s="1"/>
  <c r="P1890" i="2"/>
  <c r="O1890" i="2"/>
  <c r="S1966" i="2" s="1"/>
  <c r="P1902" i="2"/>
  <c r="O1902" i="2"/>
  <c r="S1978" i="2" s="1"/>
  <c r="P1904" i="2"/>
  <c r="O1904" i="2"/>
  <c r="S1980" i="2" s="1"/>
  <c r="O1869" i="2"/>
  <c r="S1945" i="2" s="1"/>
  <c r="O1901" i="2"/>
  <c r="S1977" i="2" s="1"/>
  <c r="P1885" i="2"/>
  <c r="P1893" i="2"/>
  <c r="P1901" i="2"/>
  <c r="P1877" i="2"/>
  <c r="E11" i="4"/>
  <c r="I40" i="4"/>
  <c r="E40" i="4"/>
  <c r="F40" i="4"/>
  <c r="R40" i="4"/>
  <c r="S40" i="4" s="1"/>
  <c r="O40" i="4"/>
  <c r="P40" i="4"/>
  <c r="R16" i="4"/>
  <c r="S16" i="4" s="1"/>
  <c r="O16" i="4"/>
  <c r="P16" i="4"/>
  <c r="H16" i="4"/>
  <c r="I16" i="4" s="1"/>
  <c r="E16" i="4"/>
  <c r="F16" i="4"/>
  <c r="AB16" i="4"/>
  <c r="AC16" i="4" s="1"/>
  <c r="AC40" i="4"/>
  <c r="AB40" i="4"/>
  <c r="Y40" i="4"/>
  <c r="Z40" i="4"/>
  <c r="Y16" i="4"/>
  <c r="Z16" i="4" s="1"/>
  <c r="J1831" i="2" l="1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30" i="2"/>
  <c r="L1867" i="2" l="1"/>
  <c r="K1867" i="2"/>
  <c r="M1867" i="2"/>
  <c r="N1867" i="2" s="1"/>
  <c r="M1866" i="2"/>
  <c r="N1866" i="2" s="1"/>
  <c r="L1866" i="2"/>
  <c r="K1866" i="2"/>
  <c r="L1865" i="2"/>
  <c r="K1865" i="2"/>
  <c r="M1865" i="2"/>
  <c r="N1865" i="2" s="1"/>
  <c r="L1864" i="2"/>
  <c r="K1864" i="2"/>
  <c r="M1864" i="2"/>
  <c r="N1864" i="2" s="1"/>
  <c r="L1863" i="2"/>
  <c r="K1863" i="2"/>
  <c r="M1863" i="2"/>
  <c r="N1863" i="2" s="1"/>
  <c r="L1862" i="2"/>
  <c r="K1862" i="2"/>
  <c r="M1862" i="2"/>
  <c r="N1862" i="2" s="1"/>
  <c r="L1861" i="2"/>
  <c r="K1861" i="2"/>
  <c r="M1861" i="2"/>
  <c r="N1861" i="2" s="1"/>
  <c r="L1860" i="2"/>
  <c r="K1860" i="2"/>
  <c r="M1860" i="2"/>
  <c r="N1860" i="2" s="1"/>
  <c r="L1859" i="2"/>
  <c r="K1859" i="2"/>
  <c r="M1859" i="2"/>
  <c r="N1859" i="2" s="1"/>
  <c r="L1858" i="2"/>
  <c r="K1858" i="2"/>
  <c r="M1858" i="2"/>
  <c r="N1858" i="2" s="1"/>
  <c r="L1857" i="2"/>
  <c r="K1857" i="2"/>
  <c r="M1857" i="2"/>
  <c r="N1857" i="2" s="1"/>
  <c r="L1856" i="2"/>
  <c r="K1856" i="2"/>
  <c r="M1856" i="2"/>
  <c r="N1856" i="2" s="1"/>
  <c r="L1855" i="2"/>
  <c r="K1855" i="2"/>
  <c r="M1855" i="2"/>
  <c r="N1855" i="2" s="1"/>
  <c r="L1854" i="2"/>
  <c r="K1854" i="2"/>
  <c r="M1854" i="2"/>
  <c r="N1854" i="2" s="1"/>
  <c r="L1853" i="2"/>
  <c r="K1853" i="2"/>
  <c r="M1853" i="2"/>
  <c r="N1853" i="2" s="1"/>
  <c r="L1852" i="2"/>
  <c r="K1852" i="2"/>
  <c r="M1852" i="2"/>
  <c r="N1852" i="2" s="1"/>
  <c r="L1851" i="2"/>
  <c r="K1851" i="2"/>
  <c r="M1851" i="2"/>
  <c r="N1851" i="2" s="1"/>
  <c r="L1850" i="2"/>
  <c r="K1850" i="2"/>
  <c r="M1850" i="2"/>
  <c r="N1850" i="2" s="1"/>
  <c r="L1849" i="2"/>
  <c r="K1849" i="2"/>
  <c r="M1849" i="2"/>
  <c r="N1849" i="2" s="1"/>
  <c r="L1848" i="2"/>
  <c r="K1848" i="2"/>
  <c r="M1848" i="2"/>
  <c r="N1848" i="2" s="1"/>
  <c r="L1847" i="2"/>
  <c r="K1847" i="2"/>
  <c r="M1847" i="2"/>
  <c r="N1847" i="2" s="1"/>
  <c r="L1846" i="2"/>
  <c r="K1846" i="2"/>
  <c r="M1846" i="2"/>
  <c r="N1846" i="2" s="1"/>
  <c r="L1845" i="2"/>
  <c r="K1845" i="2"/>
  <c r="M1845" i="2"/>
  <c r="N1845" i="2" s="1"/>
  <c r="L1844" i="2"/>
  <c r="K1844" i="2"/>
  <c r="M1844" i="2"/>
  <c r="N1844" i="2" s="1"/>
  <c r="L1843" i="2"/>
  <c r="K1843" i="2"/>
  <c r="M1843" i="2"/>
  <c r="N1843" i="2" s="1"/>
  <c r="L1842" i="2"/>
  <c r="K1842" i="2"/>
  <c r="M1842" i="2"/>
  <c r="N1842" i="2" s="1"/>
  <c r="L1841" i="2"/>
  <c r="K1841" i="2"/>
  <c r="M1841" i="2"/>
  <c r="N1841" i="2" s="1"/>
  <c r="L1840" i="2"/>
  <c r="K1840" i="2"/>
  <c r="M1840" i="2"/>
  <c r="N1840" i="2" s="1"/>
  <c r="L1839" i="2"/>
  <c r="K1839" i="2"/>
  <c r="M1839" i="2"/>
  <c r="N1839" i="2" s="1"/>
  <c r="L1838" i="2"/>
  <c r="K1838" i="2"/>
  <c r="M1838" i="2"/>
  <c r="N1838" i="2" s="1"/>
  <c r="L1837" i="2"/>
  <c r="K1837" i="2"/>
  <c r="M1837" i="2"/>
  <c r="N1837" i="2" s="1"/>
  <c r="L1836" i="2"/>
  <c r="K1836" i="2"/>
  <c r="M1836" i="2"/>
  <c r="N1836" i="2" s="1"/>
  <c r="M1835" i="2"/>
  <c r="N1835" i="2" s="1"/>
  <c r="L1835" i="2"/>
  <c r="K1835" i="2"/>
  <c r="L1834" i="2"/>
  <c r="K1834" i="2"/>
  <c r="M1834" i="2"/>
  <c r="N1834" i="2" s="1"/>
  <c r="L1833" i="2"/>
  <c r="K1833" i="2"/>
  <c r="M1833" i="2"/>
  <c r="N1833" i="2" s="1"/>
  <c r="L1832" i="2"/>
  <c r="K1832" i="2"/>
  <c r="M1832" i="2"/>
  <c r="N1832" i="2" s="1"/>
  <c r="L1831" i="2"/>
  <c r="K1831" i="2"/>
  <c r="M1831" i="2"/>
  <c r="N1831" i="2" s="1"/>
  <c r="O1831" i="2" s="1"/>
  <c r="E1831" i="2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L1830" i="2"/>
  <c r="K1830" i="2"/>
  <c r="M1830" i="2"/>
  <c r="N1830" i="2" s="1"/>
  <c r="P1831" i="2" l="1"/>
  <c r="P1857" i="2"/>
  <c r="O1857" i="2"/>
  <c r="P1841" i="2"/>
  <c r="O1841" i="2"/>
  <c r="P1865" i="2"/>
  <c r="O1865" i="2"/>
  <c r="P1849" i="2"/>
  <c r="O1849" i="2"/>
  <c r="O1833" i="2"/>
  <c r="P1833" i="2"/>
  <c r="O1837" i="2"/>
  <c r="P1837" i="2"/>
  <c r="O1839" i="2"/>
  <c r="P1845" i="2"/>
  <c r="O1845" i="2"/>
  <c r="O1847" i="2"/>
  <c r="O1853" i="2"/>
  <c r="P1853" i="2"/>
  <c r="O1855" i="2"/>
  <c r="O1861" i="2"/>
  <c r="P1861" i="2"/>
  <c r="O1863" i="2"/>
  <c r="P1830" i="2"/>
  <c r="O1830" i="2"/>
  <c r="O1835" i="2"/>
  <c r="P1835" i="2"/>
  <c r="P1839" i="2"/>
  <c r="O1843" i="2"/>
  <c r="P1843" i="2"/>
  <c r="P1847" i="2"/>
  <c r="O1851" i="2"/>
  <c r="P1851" i="2"/>
  <c r="P1855" i="2"/>
  <c r="P1859" i="2"/>
  <c r="O1859" i="2"/>
  <c r="P1863" i="2"/>
  <c r="P1867" i="2"/>
  <c r="O1867" i="2"/>
  <c r="P1832" i="2"/>
  <c r="P1838" i="2"/>
  <c r="O1838" i="2"/>
  <c r="P1840" i="2"/>
  <c r="P1846" i="2"/>
  <c r="O1846" i="2"/>
  <c r="P1848" i="2"/>
  <c r="P1854" i="2"/>
  <c r="O1854" i="2"/>
  <c r="P1856" i="2"/>
  <c r="P1862" i="2"/>
  <c r="O1862" i="2"/>
  <c r="P1864" i="2"/>
  <c r="O1832" i="2"/>
  <c r="O1834" i="2"/>
  <c r="P1834" i="2"/>
  <c r="P1836" i="2"/>
  <c r="O1836" i="2"/>
  <c r="O1840" i="2"/>
  <c r="P1842" i="2"/>
  <c r="O1842" i="2"/>
  <c r="O1844" i="2"/>
  <c r="P1844" i="2"/>
  <c r="O1848" i="2"/>
  <c r="P1850" i="2"/>
  <c r="O1850" i="2"/>
  <c r="P1852" i="2"/>
  <c r="O1852" i="2"/>
  <c r="O1856" i="2"/>
  <c r="P1858" i="2"/>
  <c r="O1858" i="2"/>
  <c r="P1860" i="2"/>
  <c r="O1860" i="2"/>
  <c r="O1864" i="2"/>
  <c r="P1866" i="2"/>
  <c r="O1866" i="2"/>
  <c r="E39" i="4"/>
  <c r="F39" i="4"/>
  <c r="O39" i="4"/>
  <c r="P39" i="4"/>
  <c r="O15" i="4"/>
  <c r="P15" i="4"/>
  <c r="E15" i="4"/>
  <c r="F15" i="4" s="1"/>
  <c r="J1793" i="2"/>
  <c r="M1793" i="2" s="1"/>
  <c r="N1793" i="2" s="1"/>
  <c r="J1794" i="2"/>
  <c r="M1794" i="2" s="1"/>
  <c r="N1794" i="2" s="1"/>
  <c r="O1794" i="2" s="1"/>
  <c r="J1795" i="2"/>
  <c r="M1795" i="2" s="1"/>
  <c r="N1795" i="2" s="1"/>
  <c r="P1795" i="2" s="1"/>
  <c r="J1796" i="2"/>
  <c r="M1796" i="2" s="1"/>
  <c r="N1796" i="2" s="1"/>
  <c r="J1797" i="2"/>
  <c r="M1797" i="2" s="1"/>
  <c r="N1797" i="2" s="1"/>
  <c r="J1798" i="2"/>
  <c r="M1798" i="2" s="1"/>
  <c r="N1798" i="2" s="1"/>
  <c r="J1799" i="2"/>
  <c r="M1799" i="2" s="1"/>
  <c r="N1799" i="2" s="1"/>
  <c r="J1800" i="2"/>
  <c r="M1800" i="2" s="1"/>
  <c r="N1800" i="2" s="1"/>
  <c r="J1801" i="2"/>
  <c r="M1801" i="2" s="1"/>
  <c r="N1801" i="2" s="1"/>
  <c r="J1802" i="2"/>
  <c r="M1802" i="2" s="1"/>
  <c r="N1802" i="2" s="1"/>
  <c r="O1802" i="2" s="1"/>
  <c r="J1803" i="2"/>
  <c r="M1803" i="2" s="1"/>
  <c r="N1803" i="2" s="1"/>
  <c r="J1804" i="2"/>
  <c r="M1804" i="2" s="1"/>
  <c r="N1804" i="2" s="1"/>
  <c r="J1805" i="2"/>
  <c r="M1805" i="2" s="1"/>
  <c r="N1805" i="2" s="1"/>
  <c r="J1806" i="2"/>
  <c r="M1806" i="2" s="1"/>
  <c r="N1806" i="2" s="1"/>
  <c r="J1807" i="2"/>
  <c r="M1807" i="2" s="1"/>
  <c r="N1807" i="2" s="1"/>
  <c r="J1808" i="2"/>
  <c r="M1808" i="2" s="1"/>
  <c r="N1808" i="2" s="1"/>
  <c r="J1809" i="2"/>
  <c r="M1809" i="2" s="1"/>
  <c r="N1809" i="2" s="1"/>
  <c r="J1810" i="2"/>
  <c r="M1810" i="2" s="1"/>
  <c r="N1810" i="2" s="1"/>
  <c r="O1810" i="2" s="1"/>
  <c r="J1811" i="2"/>
  <c r="M1811" i="2" s="1"/>
  <c r="N1811" i="2" s="1"/>
  <c r="J1812" i="2"/>
  <c r="M1812" i="2" s="1"/>
  <c r="N1812" i="2" s="1"/>
  <c r="J1813" i="2"/>
  <c r="M1813" i="2" s="1"/>
  <c r="N1813" i="2" s="1"/>
  <c r="J1814" i="2"/>
  <c r="M1814" i="2" s="1"/>
  <c r="N1814" i="2" s="1"/>
  <c r="J1815" i="2"/>
  <c r="M1815" i="2" s="1"/>
  <c r="N1815" i="2" s="1"/>
  <c r="J1816" i="2"/>
  <c r="M1816" i="2" s="1"/>
  <c r="N1816" i="2" s="1"/>
  <c r="J1817" i="2"/>
  <c r="M1817" i="2" s="1"/>
  <c r="N1817" i="2" s="1"/>
  <c r="J1818" i="2"/>
  <c r="M1818" i="2" s="1"/>
  <c r="N1818" i="2" s="1"/>
  <c r="O1818" i="2" s="1"/>
  <c r="J1819" i="2"/>
  <c r="M1819" i="2" s="1"/>
  <c r="N1819" i="2" s="1"/>
  <c r="J1820" i="2"/>
  <c r="M1820" i="2" s="1"/>
  <c r="N1820" i="2" s="1"/>
  <c r="P1820" i="2" s="1"/>
  <c r="J1821" i="2"/>
  <c r="M1821" i="2" s="1"/>
  <c r="N1821" i="2" s="1"/>
  <c r="J1822" i="2"/>
  <c r="M1822" i="2" s="1"/>
  <c r="N1822" i="2" s="1"/>
  <c r="J1823" i="2"/>
  <c r="M1823" i="2" s="1"/>
  <c r="N1823" i="2" s="1"/>
  <c r="J1824" i="2"/>
  <c r="M1824" i="2" s="1"/>
  <c r="N1824" i="2" s="1"/>
  <c r="J1825" i="2"/>
  <c r="M1825" i="2" s="1"/>
  <c r="N1825" i="2" s="1"/>
  <c r="J1826" i="2"/>
  <c r="M1826" i="2" s="1"/>
  <c r="N1826" i="2" s="1"/>
  <c r="J1827" i="2"/>
  <c r="M1827" i="2" s="1"/>
  <c r="N1827" i="2" s="1"/>
  <c r="J1828" i="2"/>
  <c r="M1828" i="2" s="1"/>
  <c r="N1828" i="2" s="1"/>
  <c r="J1829" i="2"/>
  <c r="M1829" i="2" s="1"/>
  <c r="N1829" i="2" s="1"/>
  <c r="J1792" i="2"/>
  <c r="M1792" i="2" s="1"/>
  <c r="N1792" i="2" s="1"/>
  <c r="L1829" i="2"/>
  <c r="K1829" i="2"/>
  <c r="L1828" i="2"/>
  <c r="K1828" i="2"/>
  <c r="L1827" i="2"/>
  <c r="K1827" i="2"/>
  <c r="L1826" i="2"/>
  <c r="K1826" i="2"/>
  <c r="L1825" i="2"/>
  <c r="K1825" i="2"/>
  <c r="L1824" i="2"/>
  <c r="K1824" i="2"/>
  <c r="L1823" i="2"/>
  <c r="K1823" i="2"/>
  <c r="L1822" i="2"/>
  <c r="K1822" i="2"/>
  <c r="L1821" i="2"/>
  <c r="K1821" i="2"/>
  <c r="L1820" i="2"/>
  <c r="K1820" i="2"/>
  <c r="L1819" i="2"/>
  <c r="K1819" i="2"/>
  <c r="L1818" i="2"/>
  <c r="K1818" i="2"/>
  <c r="L1817" i="2"/>
  <c r="K1817" i="2"/>
  <c r="L1816" i="2"/>
  <c r="K1816" i="2"/>
  <c r="L1815" i="2"/>
  <c r="K1815" i="2"/>
  <c r="L1814" i="2"/>
  <c r="K1814" i="2"/>
  <c r="L1813" i="2"/>
  <c r="K1813" i="2"/>
  <c r="L1812" i="2"/>
  <c r="K1812" i="2"/>
  <c r="L1811" i="2"/>
  <c r="K1811" i="2"/>
  <c r="L1810" i="2"/>
  <c r="K1810" i="2"/>
  <c r="L1809" i="2"/>
  <c r="K1809" i="2"/>
  <c r="L1808" i="2"/>
  <c r="K1808" i="2"/>
  <c r="L1807" i="2"/>
  <c r="K1807" i="2"/>
  <c r="L1806" i="2"/>
  <c r="K1806" i="2"/>
  <c r="L1805" i="2"/>
  <c r="K1805" i="2"/>
  <c r="L1804" i="2"/>
  <c r="K1804" i="2"/>
  <c r="L1803" i="2"/>
  <c r="K1803" i="2"/>
  <c r="L1802" i="2"/>
  <c r="K1802" i="2"/>
  <c r="L1801" i="2"/>
  <c r="K1801" i="2"/>
  <c r="L1800" i="2"/>
  <c r="K1800" i="2"/>
  <c r="L1799" i="2"/>
  <c r="K1799" i="2"/>
  <c r="L1798" i="2"/>
  <c r="K1798" i="2"/>
  <c r="L1797" i="2"/>
  <c r="K1797" i="2"/>
  <c r="L1796" i="2"/>
  <c r="K1796" i="2"/>
  <c r="L1795" i="2"/>
  <c r="K1795" i="2"/>
  <c r="L1794" i="2"/>
  <c r="K1794" i="2"/>
  <c r="L1793" i="2"/>
  <c r="K1793" i="2"/>
  <c r="E1793" i="2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L1792" i="2"/>
  <c r="K1792" i="2"/>
  <c r="Y39" i="4"/>
  <c r="Z39" i="4"/>
  <c r="Y15" i="4"/>
  <c r="Z15" i="4"/>
  <c r="O1826" i="2" l="1"/>
  <c r="P1826" i="2"/>
  <c r="P1794" i="2"/>
  <c r="P1796" i="2"/>
  <c r="O1796" i="2"/>
  <c r="P1813" i="2"/>
  <c r="O1813" i="2"/>
  <c r="P1824" i="2"/>
  <c r="O1824" i="2"/>
  <c r="P1798" i="2"/>
  <c r="O1798" i="2"/>
  <c r="P1800" i="2"/>
  <c r="O1800" i="2"/>
  <c r="P1812" i="2"/>
  <c r="O1812" i="2"/>
  <c r="P1816" i="2"/>
  <c r="O1816" i="2"/>
  <c r="P1805" i="2"/>
  <c r="O1805" i="2"/>
  <c r="P1792" i="2"/>
  <c r="O1792" i="2"/>
  <c r="P1814" i="2"/>
  <c r="O1814" i="2"/>
  <c r="P1804" i="2"/>
  <c r="O1804" i="2"/>
  <c r="P1808" i="2"/>
  <c r="O1808" i="2"/>
  <c r="O1829" i="2"/>
  <c r="P1829" i="2"/>
  <c r="P1797" i="2"/>
  <c r="O1797" i="2"/>
  <c r="P1799" i="2"/>
  <c r="O1799" i="2"/>
  <c r="P1806" i="2"/>
  <c r="O1806" i="2"/>
  <c r="P1828" i="2"/>
  <c r="O1828" i="2"/>
  <c r="P1815" i="2"/>
  <c r="O1815" i="2"/>
  <c r="P1825" i="2"/>
  <c r="O1825" i="2"/>
  <c r="P1793" i="2"/>
  <c r="O1793" i="2"/>
  <c r="O1819" i="2"/>
  <c r="O1823" i="2"/>
  <c r="P1823" i="2"/>
  <c r="O1803" i="2"/>
  <c r="O1811" i="2"/>
  <c r="P1819" i="2"/>
  <c r="P1803" i="2"/>
  <c r="P1811" i="2"/>
  <c r="P1822" i="2"/>
  <c r="O1795" i="2"/>
  <c r="P1802" i="2"/>
  <c r="P1809" i="2"/>
  <c r="O1809" i="2"/>
  <c r="P1810" i="2"/>
  <c r="P1817" i="2"/>
  <c r="O1817" i="2"/>
  <c r="P1818" i="2"/>
  <c r="O1822" i="2"/>
  <c r="O1827" i="2"/>
  <c r="P1827" i="2"/>
  <c r="P1801" i="2"/>
  <c r="O1801" i="2"/>
  <c r="P1807" i="2"/>
  <c r="O1807" i="2"/>
  <c r="O1821" i="2"/>
  <c r="P1821" i="2"/>
  <c r="O1820" i="2"/>
  <c r="I37" i="4" l="1"/>
  <c r="H37" i="4"/>
  <c r="F38" i="4"/>
  <c r="E36" i="4"/>
  <c r="E37" i="4"/>
  <c r="E38" i="4"/>
  <c r="E35" i="4"/>
  <c r="S37" i="4"/>
  <c r="P38" i="4"/>
  <c r="O38" i="4"/>
  <c r="O36" i="4"/>
  <c r="O37" i="4"/>
  <c r="O35" i="4"/>
  <c r="Y35" i="4"/>
  <c r="Y11" i="4"/>
  <c r="O11" i="4"/>
  <c r="P37" i="4"/>
  <c r="P36" i="4"/>
  <c r="P35" i="4"/>
  <c r="R37" i="4" s="1"/>
  <c r="P30" i="4"/>
  <c r="O14" i="4"/>
  <c r="P14" i="4" s="1"/>
  <c r="O13" i="4"/>
  <c r="P13" i="4" s="1"/>
  <c r="O12" i="4"/>
  <c r="P12" i="4" s="1"/>
  <c r="P11" i="4"/>
  <c r="P6" i="4"/>
  <c r="I13" i="4"/>
  <c r="H13" i="4"/>
  <c r="F12" i="4"/>
  <c r="F13" i="4"/>
  <c r="F14" i="4"/>
  <c r="F11" i="4"/>
  <c r="E14" i="4"/>
  <c r="E12" i="4"/>
  <c r="E13" i="4"/>
  <c r="R13" i="4" l="1"/>
  <c r="S13" i="4" s="1"/>
  <c r="F37" i="4" l="1"/>
  <c r="F36" i="4"/>
  <c r="F35" i="4"/>
  <c r="F30" i="4"/>
  <c r="Z14" i="4"/>
  <c r="Z11" i="4"/>
  <c r="Y12" i="4"/>
  <c r="Y13" i="4"/>
  <c r="Y14" i="4"/>
  <c r="Z38" i="4"/>
  <c r="Z37" i="4"/>
  <c r="Z35" i="4"/>
  <c r="Y38" i="4"/>
  <c r="Y36" i="4"/>
  <c r="Y37" i="4"/>
  <c r="Z36" i="4" l="1"/>
  <c r="AB37" i="4" s="1"/>
  <c r="AC37" i="4" s="1"/>
  <c r="Z13" i="4"/>
  <c r="Z12" i="4"/>
  <c r="AB13" i="4"/>
  <c r="AC13" i="4" s="1"/>
  <c r="F6" i="4"/>
  <c r="S73" i="4"/>
  <c r="I73" i="4"/>
  <c r="H73" i="4"/>
  <c r="J1756" i="2" l="1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55" i="2"/>
  <c r="J1754" i="2"/>
  <c r="L1791" i="2" l="1"/>
  <c r="K1791" i="2"/>
  <c r="M1791" i="2"/>
  <c r="N1791" i="2" s="1"/>
  <c r="L1790" i="2"/>
  <c r="K1790" i="2"/>
  <c r="M1790" i="2"/>
  <c r="N1790" i="2" s="1"/>
  <c r="L1789" i="2"/>
  <c r="K1789" i="2"/>
  <c r="M1789" i="2"/>
  <c r="N1789" i="2" s="1"/>
  <c r="L1788" i="2"/>
  <c r="K1788" i="2"/>
  <c r="M1788" i="2"/>
  <c r="N1788" i="2" s="1"/>
  <c r="L1787" i="2"/>
  <c r="K1787" i="2"/>
  <c r="M1787" i="2"/>
  <c r="N1787" i="2" s="1"/>
  <c r="L1786" i="2"/>
  <c r="K1786" i="2"/>
  <c r="M1786" i="2"/>
  <c r="N1786" i="2" s="1"/>
  <c r="L1785" i="2"/>
  <c r="K1785" i="2"/>
  <c r="M1785" i="2"/>
  <c r="N1785" i="2" s="1"/>
  <c r="L1784" i="2"/>
  <c r="K1784" i="2"/>
  <c r="M1784" i="2"/>
  <c r="N1784" i="2" s="1"/>
  <c r="L1783" i="2"/>
  <c r="K1783" i="2"/>
  <c r="M1783" i="2"/>
  <c r="N1783" i="2" s="1"/>
  <c r="L1782" i="2"/>
  <c r="K1782" i="2"/>
  <c r="M1782" i="2"/>
  <c r="N1782" i="2" s="1"/>
  <c r="L1781" i="2"/>
  <c r="K1781" i="2"/>
  <c r="M1781" i="2"/>
  <c r="N1781" i="2" s="1"/>
  <c r="P1781" i="2" s="1"/>
  <c r="L1780" i="2"/>
  <c r="K1780" i="2"/>
  <c r="M1780" i="2"/>
  <c r="N1780" i="2" s="1"/>
  <c r="L1779" i="2"/>
  <c r="K1779" i="2"/>
  <c r="M1779" i="2"/>
  <c r="N1779" i="2" s="1"/>
  <c r="L1778" i="2"/>
  <c r="K1778" i="2"/>
  <c r="M1778" i="2"/>
  <c r="N1778" i="2" s="1"/>
  <c r="L1777" i="2"/>
  <c r="K1777" i="2"/>
  <c r="M1777" i="2"/>
  <c r="N1777" i="2" s="1"/>
  <c r="L1776" i="2"/>
  <c r="K1776" i="2"/>
  <c r="M1776" i="2"/>
  <c r="N1776" i="2" s="1"/>
  <c r="L1775" i="2"/>
  <c r="K1775" i="2"/>
  <c r="M1775" i="2"/>
  <c r="N1775" i="2" s="1"/>
  <c r="L1774" i="2"/>
  <c r="K1774" i="2"/>
  <c r="M1774" i="2"/>
  <c r="N1774" i="2" s="1"/>
  <c r="L1773" i="2"/>
  <c r="K1773" i="2"/>
  <c r="M1773" i="2"/>
  <c r="N1773" i="2" s="1"/>
  <c r="P1773" i="2" s="1"/>
  <c r="L1772" i="2"/>
  <c r="K1772" i="2"/>
  <c r="M1772" i="2"/>
  <c r="N1772" i="2" s="1"/>
  <c r="L1771" i="2"/>
  <c r="K1771" i="2"/>
  <c r="M1771" i="2"/>
  <c r="N1771" i="2" s="1"/>
  <c r="L1770" i="2"/>
  <c r="K1770" i="2"/>
  <c r="M1770" i="2"/>
  <c r="N1770" i="2" s="1"/>
  <c r="L1769" i="2"/>
  <c r="K1769" i="2"/>
  <c r="M1769" i="2"/>
  <c r="N1769" i="2" s="1"/>
  <c r="L1768" i="2"/>
  <c r="K1768" i="2"/>
  <c r="M1768" i="2"/>
  <c r="N1768" i="2" s="1"/>
  <c r="L1767" i="2"/>
  <c r="K1767" i="2"/>
  <c r="M1767" i="2"/>
  <c r="N1767" i="2" s="1"/>
  <c r="L1766" i="2"/>
  <c r="K1766" i="2"/>
  <c r="M1766" i="2"/>
  <c r="N1766" i="2" s="1"/>
  <c r="L1765" i="2"/>
  <c r="K1765" i="2"/>
  <c r="M1765" i="2"/>
  <c r="N1765" i="2" s="1"/>
  <c r="P1765" i="2" s="1"/>
  <c r="L1764" i="2"/>
  <c r="K1764" i="2"/>
  <c r="M1764" i="2"/>
  <c r="N1764" i="2" s="1"/>
  <c r="L1763" i="2"/>
  <c r="K1763" i="2"/>
  <c r="M1763" i="2"/>
  <c r="N1763" i="2" s="1"/>
  <c r="L1762" i="2"/>
  <c r="K1762" i="2"/>
  <c r="M1762" i="2"/>
  <c r="N1762" i="2" s="1"/>
  <c r="L1761" i="2"/>
  <c r="K1761" i="2"/>
  <c r="M1761" i="2"/>
  <c r="N1761" i="2" s="1"/>
  <c r="L1760" i="2"/>
  <c r="K1760" i="2"/>
  <c r="M1760" i="2"/>
  <c r="N1760" i="2" s="1"/>
  <c r="L1759" i="2"/>
  <c r="K1759" i="2"/>
  <c r="M1759" i="2"/>
  <c r="N1759" i="2" s="1"/>
  <c r="L1758" i="2"/>
  <c r="K1758" i="2"/>
  <c r="M1758" i="2"/>
  <c r="N1758" i="2" s="1"/>
  <c r="L1757" i="2"/>
  <c r="K1757" i="2"/>
  <c r="M1757" i="2"/>
  <c r="N1757" i="2" s="1"/>
  <c r="L1756" i="2"/>
  <c r="K1756" i="2"/>
  <c r="M1756" i="2"/>
  <c r="N1756" i="2" s="1"/>
  <c r="L1755" i="2"/>
  <c r="K1755" i="2"/>
  <c r="M1755" i="2"/>
  <c r="N1755" i="2" s="1"/>
  <c r="E1755" i="2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L1754" i="2"/>
  <c r="K1754" i="2"/>
  <c r="M1754" i="2"/>
  <c r="N1754" i="2" s="1"/>
  <c r="P1759" i="2" l="1"/>
  <c r="O1759" i="2"/>
  <c r="S1835" i="2" s="1"/>
  <c r="O1774" i="2"/>
  <c r="S1850" i="2" s="1"/>
  <c r="P1774" i="2"/>
  <c r="O1764" i="2"/>
  <c r="S1840" i="2" s="1"/>
  <c r="P1764" i="2"/>
  <c r="P1755" i="2"/>
  <c r="O1755" i="2"/>
  <c r="S1831" i="2" s="1"/>
  <c r="O1772" i="2"/>
  <c r="S1848" i="2" s="1"/>
  <c r="P1772" i="2"/>
  <c r="O1779" i="2"/>
  <c r="S1855" i="2" s="1"/>
  <c r="P1779" i="2"/>
  <c r="O1785" i="2"/>
  <c r="S1861" i="2" s="1"/>
  <c r="P1785" i="2"/>
  <c r="P1762" i="2"/>
  <c r="O1762" i="2"/>
  <c r="S1838" i="2" s="1"/>
  <c r="P1776" i="2"/>
  <c r="O1776" i="2"/>
  <c r="S1852" i="2" s="1"/>
  <c r="O1777" i="2"/>
  <c r="S1853" i="2" s="1"/>
  <c r="P1777" i="2"/>
  <c r="P1768" i="2"/>
  <c r="O1768" i="2"/>
  <c r="S1844" i="2" s="1"/>
  <c r="P1786" i="2"/>
  <c r="O1786" i="2"/>
  <c r="S1862" i="2" s="1"/>
  <c r="O1790" i="2"/>
  <c r="S1866" i="2" s="1"/>
  <c r="P1790" i="2"/>
  <c r="O1763" i="2"/>
  <c r="S1839" i="2" s="1"/>
  <c r="P1763" i="2"/>
  <c r="O1788" i="2"/>
  <c r="S1864" i="2" s="1"/>
  <c r="P1788" i="2"/>
  <c r="P1778" i="2"/>
  <c r="O1778" i="2"/>
  <c r="S1854" i="2" s="1"/>
  <c r="P1789" i="2"/>
  <c r="O1789" i="2"/>
  <c r="S1865" i="2" s="1"/>
  <c r="P1771" i="2"/>
  <c r="O1771" i="2"/>
  <c r="S1847" i="2" s="1"/>
  <c r="O1766" i="2"/>
  <c r="S1842" i="2" s="1"/>
  <c r="P1766" i="2"/>
  <c r="P1783" i="2"/>
  <c r="O1783" i="2"/>
  <c r="S1859" i="2" s="1"/>
  <c r="P1754" i="2"/>
  <c r="O1754" i="2"/>
  <c r="S1830" i="2" s="1"/>
  <c r="O1769" i="2"/>
  <c r="S1845" i="2" s="1"/>
  <c r="P1769" i="2"/>
  <c r="O1758" i="2"/>
  <c r="S1834" i="2" s="1"/>
  <c r="P1758" i="2"/>
  <c r="P1760" i="2"/>
  <c r="O1760" i="2"/>
  <c r="S1836" i="2" s="1"/>
  <c r="P1775" i="2"/>
  <c r="O1775" i="2"/>
  <c r="S1851" i="2" s="1"/>
  <c r="O1756" i="2"/>
  <c r="S1832" i="2" s="1"/>
  <c r="P1756" i="2"/>
  <c r="O1761" i="2"/>
  <c r="S1837" i="2" s="1"/>
  <c r="P1761" i="2"/>
  <c r="P1780" i="2"/>
  <c r="O1780" i="2"/>
  <c r="S1856" i="2" s="1"/>
  <c r="P1787" i="2"/>
  <c r="O1787" i="2"/>
  <c r="S1863" i="2" s="1"/>
  <c r="O1757" i="2"/>
  <c r="S1833" i="2" s="1"/>
  <c r="P1757" i="2"/>
  <c r="P1767" i="2"/>
  <c r="O1767" i="2"/>
  <c r="S1843" i="2" s="1"/>
  <c r="P1770" i="2"/>
  <c r="O1770" i="2"/>
  <c r="S1846" i="2" s="1"/>
  <c r="P1782" i="2"/>
  <c r="O1782" i="2"/>
  <c r="S1858" i="2" s="1"/>
  <c r="P1784" i="2"/>
  <c r="O1784" i="2"/>
  <c r="S1860" i="2" s="1"/>
  <c r="P1791" i="2"/>
  <c r="O1791" i="2"/>
  <c r="S1867" i="2" s="1"/>
  <c r="O1781" i="2"/>
  <c r="S1857" i="2" s="1"/>
  <c r="O1765" i="2"/>
  <c r="S1841" i="2" s="1"/>
  <c r="O1773" i="2"/>
  <c r="S1849" i="2" s="1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16" i="2"/>
  <c r="M1753" i="2" l="1"/>
  <c r="N1753" i="2" s="1"/>
  <c r="L1753" i="2"/>
  <c r="K1753" i="2"/>
  <c r="M1752" i="2"/>
  <c r="N1752" i="2" s="1"/>
  <c r="L1752" i="2"/>
  <c r="K1752" i="2"/>
  <c r="M1751" i="2"/>
  <c r="N1751" i="2" s="1"/>
  <c r="L1751" i="2"/>
  <c r="K1751" i="2"/>
  <c r="M1750" i="2"/>
  <c r="N1750" i="2" s="1"/>
  <c r="L1750" i="2"/>
  <c r="K1750" i="2"/>
  <c r="M1749" i="2"/>
  <c r="N1749" i="2" s="1"/>
  <c r="L1749" i="2"/>
  <c r="K1749" i="2"/>
  <c r="M1748" i="2"/>
  <c r="N1748" i="2" s="1"/>
  <c r="L1748" i="2"/>
  <c r="K1748" i="2"/>
  <c r="M1747" i="2"/>
  <c r="N1747" i="2" s="1"/>
  <c r="L1747" i="2"/>
  <c r="K1747" i="2"/>
  <c r="M1746" i="2"/>
  <c r="N1746" i="2" s="1"/>
  <c r="L1746" i="2"/>
  <c r="K1746" i="2"/>
  <c r="M1745" i="2"/>
  <c r="N1745" i="2" s="1"/>
  <c r="L1745" i="2"/>
  <c r="K1745" i="2"/>
  <c r="M1744" i="2"/>
  <c r="N1744" i="2" s="1"/>
  <c r="L1744" i="2"/>
  <c r="K1744" i="2"/>
  <c r="M1743" i="2"/>
  <c r="N1743" i="2" s="1"/>
  <c r="L1743" i="2"/>
  <c r="K1743" i="2"/>
  <c r="M1742" i="2"/>
  <c r="N1742" i="2" s="1"/>
  <c r="L1742" i="2"/>
  <c r="K1742" i="2"/>
  <c r="M1741" i="2"/>
  <c r="N1741" i="2" s="1"/>
  <c r="L1741" i="2"/>
  <c r="K1741" i="2"/>
  <c r="M1740" i="2"/>
  <c r="N1740" i="2" s="1"/>
  <c r="L1740" i="2"/>
  <c r="K1740" i="2"/>
  <c r="M1739" i="2"/>
  <c r="N1739" i="2" s="1"/>
  <c r="L1739" i="2"/>
  <c r="K1739" i="2"/>
  <c r="M1738" i="2"/>
  <c r="N1738" i="2" s="1"/>
  <c r="L1738" i="2"/>
  <c r="K1738" i="2"/>
  <c r="M1737" i="2"/>
  <c r="N1737" i="2" s="1"/>
  <c r="L1737" i="2"/>
  <c r="K1737" i="2"/>
  <c r="M1736" i="2"/>
  <c r="N1736" i="2" s="1"/>
  <c r="L1736" i="2"/>
  <c r="K1736" i="2"/>
  <c r="M1735" i="2"/>
  <c r="N1735" i="2" s="1"/>
  <c r="L1735" i="2"/>
  <c r="K1735" i="2"/>
  <c r="M1734" i="2"/>
  <c r="N1734" i="2" s="1"/>
  <c r="L1734" i="2"/>
  <c r="K1734" i="2"/>
  <c r="M1733" i="2"/>
  <c r="N1733" i="2" s="1"/>
  <c r="L1733" i="2"/>
  <c r="K1733" i="2"/>
  <c r="M1732" i="2"/>
  <c r="N1732" i="2" s="1"/>
  <c r="L1732" i="2"/>
  <c r="K1732" i="2"/>
  <c r="M1731" i="2"/>
  <c r="N1731" i="2" s="1"/>
  <c r="L1731" i="2"/>
  <c r="K1731" i="2"/>
  <c r="M1730" i="2"/>
  <c r="N1730" i="2" s="1"/>
  <c r="L1730" i="2"/>
  <c r="K1730" i="2"/>
  <c r="M1729" i="2"/>
  <c r="N1729" i="2" s="1"/>
  <c r="L1729" i="2"/>
  <c r="K1729" i="2"/>
  <c r="M1728" i="2"/>
  <c r="N1728" i="2" s="1"/>
  <c r="L1728" i="2"/>
  <c r="K1728" i="2"/>
  <c r="M1727" i="2"/>
  <c r="N1727" i="2" s="1"/>
  <c r="L1727" i="2"/>
  <c r="K1727" i="2"/>
  <c r="M1726" i="2"/>
  <c r="N1726" i="2" s="1"/>
  <c r="L1726" i="2"/>
  <c r="K1726" i="2"/>
  <c r="M1725" i="2"/>
  <c r="N1725" i="2" s="1"/>
  <c r="L1725" i="2"/>
  <c r="K1725" i="2"/>
  <c r="M1724" i="2"/>
  <c r="N1724" i="2" s="1"/>
  <c r="L1724" i="2"/>
  <c r="K1724" i="2"/>
  <c r="M1723" i="2"/>
  <c r="N1723" i="2" s="1"/>
  <c r="L1723" i="2"/>
  <c r="K1723" i="2"/>
  <c r="M1722" i="2"/>
  <c r="N1722" i="2" s="1"/>
  <c r="L1722" i="2"/>
  <c r="K1722" i="2"/>
  <c r="M1721" i="2"/>
  <c r="N1721" i="2" s="1"/>
  <c r="L1721" i="2"/>
  <c r="K1721" i="2"/>
  <c r="M1720" i="2"/>
  <c r="N1720" i="2" s="1"/>
  <c r="L1720" i="2"/>
  <c r="K1720" i="2"/>
  <c r="M1719" i="2"/>
  <c r="N1719" i="2" s="1"/>
  <c r="L1719" i="2"/>
  <c r="K1719" i="2"/>
  <c r="M1718" i="2"/>
  <c r="N1718" i="2" s="1"/>
  <c r="L1718" i="2"/>
  <c r="K1718" i="2"/>
  <c r="M1717" i="2"/>
  <c r="N1717" i="2" s="1"/>
  <c r="L1717" i="2"/>
  <c r="K1717" i="2"/>
  <c r="E1717" i="2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M1716" i="2"/>
  <c r="N1716" i="2" s="1"/>
  <c r="L1716" i="2"/>
  <c r="K1716" i="2"/>
  <c r="O1716" i="2" l="1"/>
  <c r="P1716" i="2"/>
  <c r="P1718" i="2"/>
  <c r="O1718" i="2"/>
  <c r="P1720" i="2"/>
  <c r="O1720" i="2"/>
  <c r="O1722" i="2"/>
  <c r="P1722" i="2"/>
  <c r="O1724" i="2"/>
  <c r="P1724" i="2"/>
  <c r="O1726" i="2"/>
  <c r="P1726" i="2"/>
  <c r="O1728" i="2"/>
  <c r="P1728" i="2"/>
  <c r="O1730" i="2"/>
  <c r="P1730" i="2"/>
  <c r="P1732" i="2"/>
  <c r="O1732" i="2"/>
  <c r="P1734" i="2"/>
  <c r="O1734" i="2"/>
  <c r="P1736" i="2"/>
  <c r="O1736" i="2"/>
  <c r="O1738" i="2"/>
  <c r="P1738" i="2"/>
  <c r="P1740" i="2"/>
  <c r="O1740" i="2"/>
  <c r="O1742" i="2"/>
  <c r="P1742" i="2"/>
  <c r="P1744" i="2"/>
  <c r="O1744" i="2"/>
  <c r="P1746" i="2"/>
  <c r="O1746" i="2"/>
  <c r="P1748" i="2"/>
  <c r="O1748" i="2"/>
  <c r="P1750" i="2"/>
  <c r="O1750" i="2"/>
  <c r="P1752" i="2"/>
  <c r="O1752" i="2"/>
  <c r="O1717" i="2"/>
  <c r="P1717" i="2"/>
  <c r="O1719" i="2"/>
  <c r="P1719" i="2"/>
  <c r="O1721" i="2"/>
  <c r="P1721" i="2"/>
  <c r="P1723" i="2"/>
  <c r="O1723" i="2"/>
  <c r="P1725" i="2"/>
  <c r="O1725" i="2"/>
  <c r="P1727" i="2"/>
  <c r="O1727" i="2"/>
  <c r="P1729" i="2"/>
  <c r="O1729" i="2"/>
  <c r="O1731" i="2"/>
  <c r="P1731" i="2"/>
  <c r="O1733" i="2"/>
  <c r="P1733" i="2"/>
  <c r="O1735" i="2"/>
  <c r="P1735" i="2"/>
  <c r="P1737" i="2"/>
  <c r="O1737" i="2"/>
  <c r="P1739" i="2"/>
  <c r="O1739" i="2"/>
  <c r="P1741" i="2"/>
  <c r="O1741" i="2"/>
  <c r="P1743" i="2"/>
  <c r="O1743" i="2"/>
  <c r="P1745" i="2"/>
  <c r="O1745" i="2"/>
  <c r="P1747" i="2"/>
  <c r="O1747" i="2"/>
  <c r="P1749" i="2"/>
  <c r="O1749" i="2"/>
  <c r="P1751" i="2"/>
  <c r="O1751" i="2"/>
  <c r="P1753" i="2"/>
  <c r="O1753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M1715" i="2" l="1"/>
  <c r="N1715" i="2" s="1"/>
  <c r="L1715" i="2"/>
  <c r="K1715" i="2"/>
  <c r="M1714" i="2"/>
  <c r="N1714" i="2" s="1"/>
  <c r="L1714" i="2"/>
  <c r="K1714" i="2"/>
  <c r="L1713" i="2"/>
  <c r="K1713" i="2"/>
  <c r="M1713" i="2"/>
  <c r="N1713" i="2" s="1"/>
  <c r="L1712" i="2"/>
  <c r="K1712" i="2"/>
  <c r="M1712" i="2"/>
  <c r="N1712" i="2" s="1"/>
  <c r="O1712" i="2" s="1"/>
  <c r="L1711" i="2"/>
  <c r="K1711" i="2"/>
  <c r="M1711" i="2"/>
  <c r="N1711" i="2" s="1"/>
  <c r="L1710" i="2"/>
  <c r="K1710" i="2"/>
  <c r="M1710" i="2"/>
  <c r="N1710" i="2" s="1"/>
  <c r="L1709" i="2"/>
  <c r="K1709" i="2"/>
  <c r="M1709" i="2"/>
  <c r="N1709" i="2" s="1"/>
  <c r="M1708" i="2"/>
  <c r="N1708" i="2" s="1"/>
  <c r="L1708" i="2"/>
  <c r="K1708" i="2"/>
  <c r="M1707" i="2"/>
  <c r="N1707" i="2" s="1"/>
  <c r="L1707" i="2"/>
  <c r="K1707" i="2"/>
  <c r="M1706" i="2"/>
  <c r="N1706" i="2" s="1"/>
  <c r="L1706" i="2"/>
  <c r="K1706" i="2"/>
  <c r="L1705" i="2"/>
  <c r="K1705" i="2"/>
  <c r="M1705" i="2"/>
  <c r="N1705" i="2" s="1"/>
  <c r="L1704" i="2"/>
  <c r="K1704" i="2"/>
  <c r="M1704" i="2"/>
  <c r="N1704" i="2" s="1"/>
  <c r="O1704" i="2" s="1"/>
  <c r="L1703" i="2"/>
  <c r="K1703" i="2"/>
  <c r="M1703" i="2"/>
  <c r="N1703" i="2" s="1"/>
  <c r="L1702" i="2"/>
  <c r="K1702" i="2"/>
  <c r="M1702" i="2"/>
  <c r="N1702" i="2" s="1"/>
  <c r="L1701" i="2"/>
  <c r="K1701" i="2"/>
  <c r="M1701" i="2"/>
  <c r="N1701" i="2" s="1"/>
  <c r="M1700" i="2"/>
  <c r="N1700" i="2" s="1"/>
  <c r="L1700" i="2"/>
  <c r="K1700" i="2"/>
  <c r="M1699" i="2"/>
  <c r="N1699" i="2" s="1"/>
  <c r="L1699" i="2"/>
  <c r="K1699" i="2"/>
  <c r="M1698" i="2"/>
  <c r="N1698" i="2" s="1"/>
  <c r="L1698" i="2"/>
  <c r="K1698" i="2"/>
  <c r="L1697" i="2"/>
  <c r="K1697" i="2"/>
  <c r="M1697" i="2"/>
  <c r="N1697" i="2" s="1"/>
  <c r="L1696" i="2"/>
  <c r="K1696" i="2"/>
  <c r="M1696" i="2"/>
  <c r="N1696" i="2" s="1"/>
  <c r="O1696" i="2" s="1"/>
  <c r="L1695" i="2"/>
  <c r="K1695" i="2"/>
  <c r="M1695" i="2"/>
  <c r="N1695" i="2" s="1"/>
  <c r="O1695" i="2" s="1"/>
  <c r="L1694" i="2"/>
  <c r="K1694" i="2"/>
  <c r="M1694" i="2"/>
  <c r="N1694" i="2" s="1"/>
  <c r="L1693" i="2"/>
  <c r="K1693" i="2"/>
  <c r="M1693" i="2"/>
  <c r="N1693" i="2" s="1"/>
  <c r="M1692" i="2"/>
  <c r="N1692" i="2" s="1"/>
  <c r="L1692" i="2"/>
  <c r="K1692" i="2"/>
  <c r="M1691" i="2"/>
  <c r="N1691" i="2" s="1"/>
  <c r="L1691" i="2"/>
  <c r="K1691" i="2"/>
  <c r="M1690" i="2"/>
  <c r="N1690" i="2" s="1"/>
  <c r="L1690" i="2"/>
  <c r="K1690" i="2"/>
  <c r="L1689" i="2"/>
  <c r="K1689" i="2"/>
  <c r="M1689" i="2"/>
  <c r="N1689" i="2" s="1"/>
  <c r="L1688" i="2"/>
  <c r="K1688" i="2"/>
  <c r="M1688" i="2"/>
  <c r="N1688" i="2" s="1"/>
  <c r="L1687" i="2"/>
  <c r="K1687" i="2"/>
  <c r="M1687" i="2"/>
  <c r="N1687" i="2" s="1"/>
  <c r="O1687" i="2" s="1"/>
  <c r="L1686" i="2"/>
  <c r="K1686" i="2"/>
  <c r="M1686" i="2"/>
  <c r="N1686" i="2" s="1"/>
  <c r="L1685" i="2"/>
  <c r="K1685" i="2"/>
  <c r="M1685" i="2"/>
  <c r="N1685" i="2" s="1"/>
  <c r="M1684" i="2"/>
  <c r="N1684" i="2" s="1"/>
  <c r="L1684" i="2"/>
  <c r="K1684" i="2"/>
  <c r="M1683" i="2"/>
  <c r="N1683" i="2" s="1"/>
  <c r="L1683" i="2"/>
  <c r="K1683" i="2"/>
  <c r="M1682" i="2"/>
  <c r="N1682" i="2" s="1"/>
  <c r="L1682" i="2"/>
  <c r="K1682" i="2"/>
  <c r="L1681" i="2"/>
  <c r="K1681" i="2"/>
  <c r="M1681" i="2"/>
  <c r="N1681" i="2" s="1"/>
  <c r="L1680" i="2"/>
  <c r="K1680" i="2"/>
  <c r="M1680" i="2"/>
  <c r="N1680" i="2" s="1"/>
  <c r="L1679" i="2"/>
  <c r="K1679" i="2"/>
  <c r="M1679" i="2"/>
  <c r="N1679" i="2" s="1"/>
  <c r="O1679" i="2" s="1"/>
  <c r="E1679" i="2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L1678" i="2"/>
  <c r="K1678" i="2"/>
  <c r="M1678" i="2"/>
  <c r="N1678" i="2" s="1"/>
  <c r="P1696" i="2" l="1"/>
  <c r="P1679" i="2"/>
  <c r="P1697" i="2"/>
  <c r="O1697" i="2"/>
  <c r="O1690" i="2"/>
  <c r="P1690" i="2"/>
  <c r="P1713" i="2"/>
  <c r="O1713" i="2"/>
  <c r="O1682" i="2"/>
  <c r="P1682" i="2"/>
  <c r="O1705" i="2"/>
  <c r="P1705" i="2"/>
  <c r="P1681" i="2"/>
  <c r="O1681" i="2"/>
  <c r="P1689" i="2"/>
  <c r="O1684" i="2"/>
  <c r="P1684" i="2"/>
  <c r="O1689" i="2"/>
  <c r="O1700" i="2"/>
  <c r="P1700" i="2"/>
  <c r="O1706" i="2"/>
  <c r="P1706" i="2"/>
  <c r="P1685" i="2"/>
  <c r="O1685" i="2"/>
  <c r="O1691" i="2"/>
  <c r="P1691" i="2"/>
  <c r="O1701" i="2"/>
  <c r="P1701" i="2"/>
  <c r="O1703" i="2"/>
  <c r="O1709" i="2"/>
  <c r="P1709" i="2"/>
  <c r="O1711" i="2"/>
  <c r="O1688" i="2"/>
  <c r="P1694" i="2"/>
  <c r="O1694" i="2"/>
  <c r="P1695" i="2"/>
  <c r="P1688" i="2"/>
  <c r="O1683" i="2"/>
  <c r="P1683" i="2"/>
  <c r="P1699" i="2"/>
  <c r="O1699" i="2"/>
  <c r="P1703" i="2"/>
  <c r="P1707" i="2"/>
  <c r="O1707" i="2"/>
  <c r="P1711" i="2"/>
  <c r="P1715" i="2"/>
  <c r="O1715" i="2"/>
  <c r="O1680" i="2"/>
  <c r="P1686" i="2"/>
  <c r="O1686" i="2"/>
  <c r="P1687" i="2"/>
  <c r="O1692" i="2"/>
  <c r="P1692" i="2"/>
  <c r="P1702" i="2"/>
  <c r="O1702" i="2"/>
  <c r="P1704" i="2"/>
  <c r="P1710" i="2"/>
  <c r="O1710" i="2"/>
  <c r="P1712" i="2"/>
  <c r="P1680" i="2"/>
  <c r="O1693" i="2"/>
  <c r="P1693" i="2"/>
  <c r="O1698" i="2"/>
  <c r="P1698" i="2"/>
  <c r="P1678" i="2"/>
  <c r="O1678" i="2"/>
  <c r="O1714" i="2"/>
  <c r="P1714" i="2"/>
  <c r="P1708" i="2"/>
  <c r="O1708" i="2"/>
  <c r="J1641" i="2"/>
  <c r="M1641" i="2" s="1"/>
  <c r="N1641" i="2" s="1"/>
  <c r="J1642" i="2"/>
  <c r="M1642" i="2" s="1"/>
  <c r="N1642" i="2" s="1"/>
  <c r="J1643" i="2"/>
  <c r="M1643" i="2" s="1"/>
  <c r="N1643" i="2" s="1"/>
  <c r="J1644" i="2"/>
  <c r="M1644" i="2" s="1"/>
  <c r="N1644" i="2" s="1"/>
  <c r="J1645" i="2"/>
  <c r="M1645" i="2" s="1"/>
  <c r="N1645" i="2" s="1"/>
  <c r="J1646" i="2"/>
  <c r="M1646" i="2" s="1"/>
  <c r="N1646" i="2" s="1"/>
  <c r="J1647" i="2"/>
  <c r="M1647" i="2" s="1"/>
  <c r="N1647" i="2" s="1"/>
  <c r="J1648" i="2"/>
  <c r="M1648" i="2" s="1"/>
  <c r="N1648" i="2" s="1"/>
  <c r="P1648" i="2" s="1"/>
  <c r="J1649" i="2"/>
  <c r="M1649" i="2" s="1"/>
  <c r="N1649" i="2" s="1"/>
  <c r="J1650" i="2"/>
  <c r="M1650" i="2" s="1"/>
  <c r="N1650" i="2" s="1"/>
  <c r="J1651" i="2"/>
  <c r="M1651" i="2" s="1"/>
  <c r="N1651" i="2" s="1"/>
  <c r="J1652" i="2"/>
  <c r="M1652" i="2" s="1"/>
  <c r="N1652" i="2" s="1"/>
  <c r="J1653" i="2"/>
  <c r="M1653" i="2" s="1"/>
  <c r="N1653" i="2" s="1"/>
  <c r="J1654" i="2"/>
  <c r="M1654" i="2" s="1"/>
  <c r="N1654" i="2" s="1"/>
  <c r="J1655" i="2"/>
  <c r="M1655" i="2" s="1"/>
  <c r="N1655" i="2" s="1"/>
  <c r="J1656" i="2"/>
  <c r="M1656" i="2" s="1"/>
  <c r="N1656" i="2" s="1"/>
  <c r="P1656" i="2" s="1"/>
  <c r="J1657" i="2"/>
  <c r="M1657" i="2" s="1"/>
  <c r="N1657" i="2" s="1"/>
  <c r="O1657" i="2" s="1"/>
  <c r="S1733" i="2" s="1"/>
  <c r="J1658" i="2"/>
  <c r="M1658" i="2" s="1"/>
  <c r="N1658" i="2" s="1"/>
  <c r="J1659" i="2"/>
  <c r="M1659" i="2" s="1"/>
  <c r="N1659" i="2" s="1"/>
  <c r="J1660" i="2"/>
  <c r="M1660" i="2" s="1"/>
  <c r="N1660" i="2" s="1"/>
  <c r="J1661" i="2"/>
  <c r="M1661" i="2" s="1"/>
  <c r="N1661" i="2" s="1"/>
  <c r="J1662" i="2"/>
  <c r="M1662" i="2" s="1"/>
  <c r="N1662" i="2" s="1"/>
  <c r="J1663" i="2"/>
  <c r="M1663" i="2" s="1"/>
  <c r="N1663" i="2" s="1"/>
  <c r="J1664" i="2"/>
  <c r="M1664" i="2" s="1"/>
  <c r="N1664" i="2" s="1"/>
  <c r="P1664" i="2" s="1"/>
  <c r="J1665" i="2"/>
  <c r="M1665" i="2" s="1"/>
  <c r="N1665" i="2" s="1"/>
  <c r="J1666" i="2"/>
  <c r="M1666" i="2" s="1"/>
  <c r="N1666" i="2" s="1"/>
  <c r="J1667" i="2"/>
  <c r="M1667" i="2" s="1"/>
  <c r="N1667" i="2" s="1"/>
  <c r="J1668" i="2"/>
  <c r="M1668" i="2" s="1"/>
  <c r="N1668" i="2" s="1"/>
  <c r="J1669" i="2"/>
  <c r="M1669" i="2" s="1"/>
  <c r="N1669" i="2" s="1"/>
  <c r="J1670" i="2"/>
  <c r="M1670" i="2" s="1"/>
  <c r="N1670" i="2" s="1"/>
  <c r="J1671" i="2"/>
  <c r="M1671" i="2" s="1"/>
  <c r="N1671" i="2" s="1"/>
  <c r="J1672" i="2"/>
  <c r="M1672" i="2" s="1"/>
  <c r="N1672" i="2" s="1"/>
  <c r="P1672" i="2" s="1"/>
  <c r="J1673" i="2"/>
  <c r="M1673" i="2" s="1"/>
  <c r="N1673" i="2" s="1"/>
  <c r="J1674" i="2"/>
  <c r="M1674" i="2" s="1"/>
  <c r="N1674" i="2" s="1"/>
  <c r="J1675" i="2"/>
  <c r="M1675" i="2" s="1"/>
  <c r="N1675" i="2" s="1"/>
  <c r="J1676" i="2"/>
  <c r="M1676" i="2" s="1"/>
  <c r="N1676" i="2" s="1"/>
  <c r="J1677" i="2"/>
  <c r="M1677" i="2" s="1"/>
  <c r="N1677" i="2" s="1"/>
  <c r="J1640" i="2"/>
  <c r="M1640" i="2" s="1"/>
  <c r="N1640" i="2" s="1"/>
  <c r="P1640" i="2" s="1"/>
  <c r="L1677" i="2"/>
  <c r="K1677" i="2"/>
  <c r="L1676" i="2"/>
  <c r="K1676" i="2"/>
  <c r="L1675" i="2"/>
  <c r="K1675" i="2"/>
  <c r="L1674" i="2"/>
  <c r="K1674" i="2"/>
  <c r="L1673" i="2"/>
  <c r="K1673" i="2"/>
  <c r="L1672" i="2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E1641" i="2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L1640" i="2"/>
  <c r="K1640" i="2"/>
  <c r="O1650" i="2" l="1"/>
  <c r="S1726" i="2" s="1"/>
  <c r="P1650" i="2"/>
  <c r="O1668" i="2"/>
  <c r="S1744" i="2" s="1"/>
  <c r="P1668" i="2"/>
  <c r="P1674" i="2"/>
  <c r="O1674" i="2"/>
  <c r="S1750" i="2" s="1"/>
  <c r="P1641" i="2"/>
  <c r="O1647" i="2"/>
  <c r="S1723" i="2" s="1"/>
  <c r="P1647" i="2"/>
  <c r="P1649" i="2"/>
  <c r="O1655" i="2"/>
  <c r="S1731" i="2" s="1"/>
  <c r="P1655" i="2"/>
  <c r="P1665" i="2"/>
  <c r="O1671" i="2"/>
  <c r="S1747" i="2" s="1"/>
  <c r="P1671" i="2"/>
  <c r="P1673" i="2"/>
  <c r="O1640" i="2"/>
  <c r="S1716" i="2" s="1"/>
  <c r="O1641" i="2"/>
  <c r="S1717" i="2" s="1"/>
  <c r="P1643" i="2"/>
  <c r="O1643" i="2"/>
  <c r="S1719" i="2" s="1"/>
  <c r="O1645" i="2"/>
  <c r="S1721" i="2" s="1"/>
  <c r="P1645" i="2"/>
  <c r="O1649" i="2"/>
  <c r="S1725" i="2" s="1"/>
  <c r="P1651" i="2"/>
  <c r="O1651" i="2"/>
  <c r="S1727" i="2" s="1"/>
  <c r="O1653" i="2"/>
  <c r="S1729" i="2" s="1"/>
  <c r="P1653" i="2"/>
  <c r="P1659" i="2"/>
  <c r="O1659" i="2"/>
  <c r="S1735" i="2" s="1"/>
  <c r="P1661" i="2"/>
  <c r="O1661" i="2"/>
  <c r="S1737" i="2" s="1"/>
  <c r="O1665" i="2"/>
  <c r="S1741" i="2" s="1"/>
  <c r="P1667" i="2"/>
  <c r="O1667" i="2"/>
  <c r="S1743" i="2" s="1"/>
  <c r="P1669" i="2"/>
  <c r="O1669" i="2"/>
  <c r="S1745" i="2" s="1"/>
  <c r="O1673" i="2"/>
  <c r="S1749" i="2" s="1"/>
  <c r="O1675" i="2"/>
  <c r="S1751" i="2" s="1"/>
  <c r="P1675" i="2"/>
  <c r="P1677" i="2"/>
  <c r="O1677" i="2"/>
  <c r="S1753" i="2" s="1"/>
  <c r="O1646" i="2"/>
  <c r="S1722" i="2" s="1"/>
  <c r="P1646" i="2"/>
  <c r="O1648" i="2"/>
  <c r="S1724" i="2" s="1"/>
  <c r="P1654" i="2"/>
  <c r="O1654" i="2"/>
  <c r="S1730" i="2" s="1"/>
  <c r="O1656" i="2"/>
  <c r="S1732" i="2" s="1"/>
  <c r="P1662" i="2"/>
  <c r="O1662" i="2"/>
  <c r="S1738" i="2" s="1"/>
  <c r="O1664" i="2"/>
  <c r="S1740" i="2" s="1"/>
  <c r="P1670" i="2"/>
  <c r="O1670" i="2"/>
  <c r="S1746" i="2" s="1"/>
  <c r="O1672" i="2"/>
  <c r="S1748" i="2" s="1"/>
  <c r="P1658" i="2"/>
  <c r="O1658" i="2"/>
  <c r="S1734" i="2" s="1"/>
  <c r="P1676" i="2"/>
  <c r="O1676" i="2"/>
  <c r="S1752" i="2" s="1"/>
  <c r="O1642" i="2"/>
  <c r="S1718" i="2" s="1"/>
  <c r="P1642" i="2"/>
  <c r="O1652" i="2"/>
  <c r="S1728" i="2" s="1"/>
  <c r="P1652" i="2"/>
  <c r="P1666" i="2"/>
  <c r="O1666" i="2"/>
  <c r="S1742" i="2" s="1"/>
  <c r="P1657" i="2"/>
  <c r="P1644" i="2"/>
  <c r="O1644" i="2"/>
  <c r="S1720" i="2" s="1"/>
  <c r="P1660" i="2"/>
  <c r="O1660" i="2"/>
  <c r="S1736" i="2" s="1"/>
  <c r="O1663" i="2"/>
  <c r="S1739" i="2" s="1"/>
  <c r="P1663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02" i="2"/>
  <c r="M1639" i="2" l="1"/>
  <c r="N1639" i="2" s="1"/>
  <c r="R2095" i="2" s="1"/>
  <c r="L1639" i="2"/>
  <c r="K1639" i="2"/>
  <c r="M1638" i="2"/>
  <c r="N1638" i="2" s="1"/>
  <c r="R2094" i="2" s="1"/>
  <c r="L1638" i="2"/>
  <c r="K1638" i="2"/>
  <c r="L1637" i="2"/>
  <c r="K1637" i="2"/>
  <c r="M1637" i="2"/>
  <c r="N1637" i="2" s="1"/>
  <c r="L1636" i="2"/>
  <c r="K1636" i="2"/>
  <c r="M1636" i="2"/>
  <c r="N1636" i="2" s="1"/>
  <c r="R2092" i="2" s="1"/>
  <c r="L1635" i="2"/>
  <c r="K1635" i="2"/>
  <c r="M1635" i="2"/>
  <c r="N1635" i="2" s="1"/>
  <c r="L1634" i="2"/>
  <c r="K1634" i="2"/>
  <c r="M1634" i="2"/>
  <c r="N1634" i="2" s="1"/>
  <c r="R2090" i="2" s="1"/>
  <c r="L1633" i="2"/>
  <c r="K1633" i="2"/>
  <c r="M1633" i="2"/>
  <c r="N1633" i="2" s="1"/>
  <c r="R2089" i="2" s="1"/>
  <c r="M1632" i="2"/>
  <c r="N1632" i="2" s="1"/>
  <c r="R2088" i="2" s="1"/>
  <c r="L1632" i="2"/>
  <c r="K1632" i="2"/>
  <c r="M1631" i="2"/>
  <c r="N1631" i="2" s="1"/>
  <c r="R2087" i="2" s="1"/>
  <c r="L1631" i="2"/>
  <c r="K1631" i="2"/>
  <c r="M1630" i="2"/>
  <c r="N1630" i="2" s="1"/>
  <c r="R2086" i="2" s="1"/>
  <c r="L1630" i="2"/>
  <c r="K1630" i="2"/>
  <c r="L1629" i="2"/>
  <c r="K1629" i="2"/>
  <c r="M1629" i="2"/>
  <c r="N1629" i="2" s="1"/>
  <c r="R2085" i="2" s="1"/>
  <c r="L1628" i="2"/>
  <c r="K1628" i="2"/>
  <c r="M1628" i="2"/>
  <c r="N1628" i="2" s="1"/>
  <c r="L1627" i="2"/>
  <c r="K1627" i="2"/>
  <c r="M1627" i="2"/>
  <c r="N1627" i="2" s="1"/>
  <c r="L1626" i="2"/>
  <c r="K1626" i="2"/>
  <c r="M1626" i="2"/>
  <c r="N1626" i="2" s="1"/>
  <c r="R2082" i="2" s="1"/>
  <c r="L1625" i="2"/>
  <c r="K1625" i="2"/>
  <c r="M1625" i="2"/>
  <c r="N1625" i="2" s="1"/>
  <c r="R2081" i="2" s="1"/>
  <c r="M1624" i="2"/>
  <c r="N1624" i="2" s="1"/>
  <c r="R2080" i="2" s="1"/>
  <c r="L1624" i="2"/>
  <c r="K1624" i="2"/>
  <c r="M1623" i="2"/>
  <c r="N1623" i="2" s="1"/>
  <c r="R2079" i="2" s="1"/>
  <c r="L1623" i="2"/>
  <c r="K1623" i="2"/>
  <c r="M1622" i="2"/>
  <c r="N1622" i="2" s="1"/>
  <c r="R2078" i="2" s="1"/>
  <c r="L1622" i="2"/>
  <c r="K1622" i="2"/>
  <c r="L1621" i="2"/>
  <c r="K1621" i="2"/>
  <c r="M1621" i="2"/>
  <c r="N1621" i="2" s="1"/>
  <c r="R2077" i="2" s="1"/>
  <c r="L1620" i="2"/>
  <c r="K1620" i="2"/>
  <c r="M1620" i="2"/>
  <c r="N1620" i="2" s="1"/>
  <c r="R2076" i="2" s="1"/>
  <c r="L1619" i="2"/>
  <c r="K1619" i="2"/>
  <c r="M1619" i="2"/>
  <c r="N1619" i="2" s="1"/>
  <c r="L1618" i="2"/>
  <c r="K1618" i="2"/>
  <c r="M1618" i="2"/>
  <c r="N1618" i="2" s="1"/>
  <c r="R2074" i="2" s="1"/>
  <c r="L1617" i="2"/>
  <c r="K1617" i="2"/>
  <c r="M1617" i="2"/>
  <c r="N1617" i="2" s="1"/>
  <c r="R2073" i="2" s="1"/>
  <c r="M1616" i="2"/>
  <c r="N1616" i="2" s="1"/>
  <c r="R2072" i="2" s="1"/>
  <c r="L1616" i="2"/>
  <c r="K1616" i="2"/>
  <c r="M1615" i="2"/>
  <c r="N1615" i="2" s="1"/>
  <c r="R2071" i="2" s="1"/>
  <c r="L1615" i="2"/>
  <c r="K1615" i="2"/>
  <c r="M1614" i="2"/>
  <c r="N1614" i="2" s="1"/>
  <c r="L1614" i="2"/>
  <c r="K1614" i="2"/>
  <c r="L1613" i="2"/>
  <c r="K1613" i="2"/>
  <c r="M1613" i="2"/>
  <c r="N1613" i="2" s="1"/>
  <c r="R2069" i="2" s="1"/>
  <c r="L1612" i="2"/>
  <c r="K1612" i="2"/>
  <c r="M1612" i="2"/>
  <c r="N1612" i="2" s="1"/>
  <c r="R2068" i="2" s="1"/>
  <c r="L1611" i="2"/>
  <c r="K1611" i="2"/>
  <c r="M1611" i="2"/>
  <c r="N1611" i="2" s="1"/>
  <c r="L1610" i="2"/>
  <c r="K1610" i="2"/>
  <c r="M1610" i="2"/>
  <c r="N1610" i="2" s="1"/>
  <c r="R2066" i="2" s="1"/>
  <c r="L1609" i="2"/>
  <c r="K1609" i="2"/>
  <c r="M1609" i="2"/>
  <c r="N1609" i="2" s="1"/>
  <c r="R2065" i="2" s="1"/>
  <c r="M1608" i="2"/>
  <c r="N1608" i="2" s="1"/>
  <c r="R2064" i="2" s="1"/>
  <c r="L1608" i="2"/>
  <c r="K1608" i="2"/>
  <c r="M1607" i="2"/>
  <c r="N1607" i="2" s="1"/>
  <c r="R2063" i="2" s="1"/>
  <c r="L1607" i="2"/>
  <c r="K1607" i="2"/>
  <c r="M1606" i="2"/>
  <c r="N1606" i="2" s="1"/>
  <c r="R2062" i="2" s="1"/>
  <c r="L1606" i="2"/>
  <c r="K1606" i="2"/>
  <c r="L1605" i="2"/>
  <c r="K1605" i="2"/>
  <c r="M1605" i="2"/>
  <c r="N1605" i="2" s="1"/>
  <c r="R2061" i="2" s="1"/>
  <c r="L1604" i="2"/>
  <c r="K1604" i="2"/>
  <c r="M1604" i="2"/>
  <c r="N1604" i="2" s="1"/>
  <c r="L1603" i="2"/>
  <c r="K1603" i="2"/>
  <c r="M1603" i="2"/>
  <c r="N1603" i="2" s="1"/>
  <c r="E1603" i="2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L1602" i="2"/>
  <c r="K1602" i="2"/>
  <c r="M1602" i="2"/>
  <c r="N1602" i="2" s="1"/>
  <c r="R2058" i="2" s="1"/>
  <c r="O1603" i="2" l="1"/>
  <c r="R2059" i="2"/>
  <c r="O1611" i="2"/>
  <c r="R2067" i="2"/>
  <c r="O1614" i="2"/>
  <c r="R2070" i="2"/>
  <c r="O1635" i="2"/>
  <c r="R2091" i="2"/>
  <c r="O1627" i="2"/>
  <c r="R2083" i="2"/>
  <c r="O1604" i="2"/>
  <c r="R2060" i="2"/>
  <c r="P1628" i="2"/>
  <c r="R2084" i="2"/>
  <c r="O1619" i="2"/>
  <c r="R2075" i="2"/>
  <c r="O1637" i="2"/>
  <c r="R2093" i="2"/>
  <c r="P1635" i="2"/>
  <c r="O1628" i="2"/>
  <c r="P1603" i="2"/>
  <c r="P1604" i="2"/>
  <c r="O1612" i="2"/>
  <c r="P1605" i="2"/>
  <c r="O1605" i="2"/>
  <c r="O1607" i="2"/>
  <c r="P1607" i="2"/>
  <c r="P1630" i="2"/>
  <c r="O1630" i="2"/>
  <c r="O1615" i="2"/>
  <c r="P1615" i="2"/>
  <c r="P1629" i="2"/>
  <c r="O1629" i="2"/>
  <c r="P1606" i="2"/>
  <c r="O1606" i="2"/>
  <c r="O1622" i="2"/>
  <c r="P1622" i="2"/>
  <c r="P1621" i="2"/>
  <c r="P1602" i="2"/>
  <c r="O1602" i="2"/>
  <c r="O1617" i="2"/>
  <c r="P1617" i="2"/>
  <c r="O1623" i="2"/>
  <c r="P1623" i="2"/>
  <c r="P1612" i="2"/>
  <c r="O1620" i="2"/>
  <c r="P1626" i="2"/>
  <c r="O1626" i="2"/>
  <c r="P1627" i="2"/>
  <c r="P1632" i="2"/>
  <c r="O1632" i="2"/>
  <c r="P1610" i="2"/>
  <c r="O1610" i="2"/>
  <c r="P1611" i="2"/>
  <c r="P1620" i="2"/>
  <c r="O1633" i="2"/>
  <c r="P1633" i="2"/>
  <c r="O1639" i="2"/>
  <c r="P1639" i="2"/>
  <c r="O1636" i="2"/>
  <c r="P1618" i="2"/>
  <c r="O1618" i="2"/>
  <c r="P1619" i="2"/>
  <c r="P1624" i="2"/>
  <c r="O1624" i="2"/>
  <c r="P1636" i="2"/>
  <c r="O1609" i="2"/>
  <c r="P1609" i="2"/>
  <c r="P1634" i="2"/>
  <c r="O1634" i="2"/>
  <c r="O1621" i="2"/>
  <c r="P1613" i="2"/>
  <c r="P1608" i="2"/>
  <c r="O1608" i="2"/>
  <c r="P1614" i="2"/>
  <c r="P1625" i="2"/>
  <c r="O1625" i="2"/>
  <c r="P1631" i="2"/>
  <c r="O1631" i="2"/>
  <c r="O1616" i="2"/>
  <c r="P1616" i="2"/>
  <c r="P1637" i="2"/>
  <c r="P1638" i="2"/>
  <c r="O1638" i="2"/>
  <c r="O1613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564" i="2"/>
  <c r="M1601" i="2" l="1"/>
  <c r="N1601" i="2" s="1"/>
  <c r="R2057" i="2" s="1"/>
  <c r="L1601" i="2"/>
  <c r="K1601" i="2"/>
  <c r="M1600" i="2"/>
  <c r="N1600" i="2" s="1"/>
  <c r="R2056" i="2" s="1"/>
  <c r="L1600" i="2"/>
  <c r="K1600" i="2"/>
  <c r="M1599" i="2"/>
  <c r="N1599" i="2" s="1"/>
  <c r="R2055" i="2" s="1"/>
  <c r="L1599" i="2"/>
  <c r="K1599" i="2"/>
  <c r="L1598" i="2"/>
  <c r="K1598" i="2"/>
  <c r="M1598" i="2"/>
  <c r="N1598" i="2" s="1"/>
  <c r="R2054" i="2" s="1"/>
  <c r="L1597" i="2"/>
  <c r="K1597" i="2"/>
  <c r="M1597" i="2"/>
  <c r="N1597" i="2" s="1"/>
  <c r="R2053" i="2" s="1"/>
  <c r="M1596" i="2"/>
  <c r="N1596" i="2" s="1"/>
  <c r="R2052" i="2" s="1"/>
  <c r="L1596" i="2"/>
  <c r="K1596" i="2"/>
  <c r="L1595" i="2"/>
  <c r="K1595" i="2"/>
  <c r="M1595" i="2"/>
  <c r="N1595" i="2" s="1"/>
  <c r="R2051" i="2" s="1"/>
  <c r="L1594" i="2"/>
  <c r="K1594" i="2"/>
  <c r="M1594" i="2"/>
  <c r="N1594" i="2" s="1"/>
  <c r="R2050" i="2" s="1"/>
  <c r="M1593" i="2"/>
  <c r="N1593" i="2" s="1"/>
  <c r="L1593" i="2"/>
  <c r="K1593" i="2"/>
  <c r="M1592" i="2"/>
  <c r="N1592" i="2" s="1"/>
  <c r="R2048" i="2" s="1"/>
  <c r="L1592" i="2"/>
  <c r="K1592" i="2"/>
  <c r="M1591" i="2"/>
  <c r="N1591" i="2" s="1"/>
  <c r="R2047" i="2" s="1"/>
  <c r="L1591" i="2"/>
  <c r="K1591" i="2"/>
  <c r="L1590" i="2"/>
  <c r="K1590" i="2"/>
  <c r="M1590" i="2"/>
  <c r="N1590" i="2" s="1"/>
  <c r="R2046" i="2" s="1"/>
  <c r="L1589" i="2"/>
  <c r="K1589" i="2"/>
  <c r="M1589" i="2"/>
  <c r="N1589" i="2" s="1"/>
  <c r="R2045" i="2" s="1"/>
  <c r="M1588" i="2"/>
  <c r="N1588" i="2" s="1"/>
  <c r="R2044" i="2" s="1"/>
  <c r="L1588" i="2"/>
  <c r="K1588" i="2"/>
  <c r="L1587" i="2"/>
  <c r="K1587" i="2"/>
  <c r="M1587" i="2"/>
  <c r="N1587" i="2" s="1"/>
  <c r="R2043" i="2" s="1"/>
  <c r="L1586" i="2"/>
  <c r="K1586" i="2"/>
  <c r="M1586" i="2"/>
  <c r="N1586" i="2" s="1"/>
  <c r="R2042" i="2" s="1"/>
  <c r="M1585" i="2"/>
  <c r="N1585" i="2" s="1"/>
  <c r="L1585" i="2"/>
  <c r="K1585" i="2"/>
  <c r="M1584" i="2"/>
  <c r="N1584" i="2" s="1"/>
  <c r="R2040" i="2" s="1"/>
  <c r="L1584" i="2"/>
  <c r="K1584" i="2"/>
  <c r="M1583" i="2"/>
  <c r="N1583" i="2" s="1"/>
  <c r="R2039" i="2" s="1"/>
  <c r="L1583" i="2"/>
  <c r="K1583" i="2"/>
  <c r="L1582" i="2"/>
  <c r="K1582" i="2"/>
  <c r="M1582" i="2"/>
  <c r="N1582" i="2" s="1"/>
  <c r="R2038" i="2" s="1"/>
  <c r="L1581" i="2"/>
  <c r="K1581" i="2"/>
  <c r="M1581" i="2"/>
  <c r="N1581" i="2" s="1"/>
  <c r="R2037" i="2" s="1"/>
  <c r="L1580" i="2"/>
  <c r="K1580" i="2"/>
  <c r="M1580" i="2"/>
  <c r="N1580" i="2" s="1"/>
  <c r="R2036" i="2" s="1"/>
  <c r="L1579" i="2"/>
  <c r="K1579" i="2"/>
  <c r="M1579" i="2"/>
  <c r="N1579" i="2" s="1"/>
  <c r="R2035" i="2" s="1"/>
  <c r="L1578" i="2"/>
  <c r="K1578" i="2"/>
  <c r="M1578" i="2"/>
  <c r="N1578" i="2" s="1"/>
  <c r="R2034" i="2" s="1"/>
  <c r="M1577" i="2"/>
  <c r="N1577" i="2" s="1"/>
  <c r="R2033" i="2" s="1"/>
  <c r="L1577" i="2"/>
  <c r="K1577" i="2"/>
  <c r="M1576" i="2"/>
  <c r="N1576" i="2" s="1"/>
  <c r="R2032" i="2" s="1"/>
  <c r="L1576" i="2"/>
  <c r="K1576" i="2"/>
  <c r="M1575" i="2"/>
  <c r="N1575" i="2" s="1"/>
  <c r="R2031" i="2" s="1"/>
  <c r="L1575" i="2"/>
  <c r="K1575" i="2"/>
  <c r="L1574" i="2"/>
  <c r="K1574" i="2"/>
  <c r="M1574" i="2"/>
  <c r="N1574" i="2" s="1"/>
  <c r="R2030" i="2" s="1"/>
  <c r="L1573" i="2"/>
  <c r="K1573" i="2"/>
  <c r="M1573" i="2"/>
  <c r="N1573" i="2" s="1"/>
  <c r="R2029" i="2" s="1"/>
  <c r="L1572" i="2"/>
  <c r="K1572" i="2"/>
  <c r="M1572" i="2"/>
  <c r="N1572" i="2" s="1"/>
  <c r="R2028" i="2" s="1"/>
  <c r="L1571" i="2"/>
  <c r="K1571" i="2"/>
  <c r="M1571" i="2"/>
  <c r="N1571" i="2" s="1"/>
  <c r="R2027" i="2" s="1"/>
  <c r="L1570" i="2"/>
  <c r="K1570" i="2"/>
  <c r="M1570" i="2"/>
  <c r="N1570" i="2" s="1"/>
  <c r="R2026" i="2" s="1"/>
  <c r="M1569" i="2"/>
  <c r="N1569" i="2" s="1"/>
  <c r="R2025" i="2" s="1"/>
  <c r="L1569" i="2"/>
  <c r="K1569" i="2"/>
  <c r="M1568" i="2"/>
  <c r="N1568" i="2" s="1"/>
  <c r="R2024" i="2" s="1"/>
  <c r="L1568" i="2"/>
  <c r="K1568" i="2"/>
  <c r="M1567" i="2"/>
  <c r="N1567" i="2" s="1"/>
  <c r="R2023" i="2" s="1"/>
  <c r="L1567" i="2"/>
  <c r="K1567" i="2"/>
  <c r="L1566" i="2"/>
  <c r="K1566" i="2"/>
  <c r="M1566" i="2"/>
  <c r="N1566" i="2" s="1"/>
  <c r="R2022" i="2" s="1"/>
  <c r="L1565" i="2"/>
  <c r="K1565" i="2"/>
  <c r="M1565" i="2"/>
  <c r="N1565" i="2" s="1"/>
  <c r="R2021" i="2" s="1"/>
  <c r="E1565" i="2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L1564" i="2"/>
  <c r="K1564" i="2"/>
  <c r="M1564" i="2"/>
  <c r="N1564" i="2" s="1"/>
  <c r="R2020" i="2" s="1"/>
  <c r="O1585" i="2" l="1"/>
  <c r="R2041" i="2"/>
  <c r="P1593" i="2"/>
  <c r="R2049" i="2"/>
  <c r="P1571" i="2"/>
  <c r="O1571" i="2"/>
  <c r="O1587" i="2"/>
  <c r="P1587" i="2"/>
  <c r="O1591" i="2"/>
  <c r="P1591" i="2"/>
  <c r="P1565" i="2"/>
  <c r="O1565" i="2"/>
  <c r="P1574" i="2"/>
  <c r="O1574" i="2"/>
  <c r="O1578" i="2"/>
  <c r="P1578" i="2"/>
  <c r="P1600" i="2"/>
  <c r="O1600" i="2"/>
  <c r="O1581" i="2"/>
  <c r="P1581" i="2"/>
  <c r="P1590" i="2"/>
  <c r="O1590" i="2"/>
  <c r="O1594" i="2"/>
  <c r="P1594" i="2"/>
  <c r="P1567" i="2"/>
  <c r="O1567" i="2"/>
  <c r="O1572" i="2"/>
  <c r="P1572" i="2"/>
  <c r="P1576" i="2"/>
  <c r="O1576" i="2"/>
  <c r="P1583" i="2"/>
  <c r="O1583" i="2"/>
  <c r="P1596" i="2"/>
  <c r="O1596" i="2"/>
  <c r="O1579" i="2"/>
  <c r="P1579" i="2"/>
  <c r="P1592" i="2"/>
  <c r="O1592" i="2"/>
  <c r="P1597" i="2"/>
  <c r="O1597" i="2"/>
  <c r="O1564" i="2"/>
  <c r="P1564" i="2"/>
  <c r="O1566" i="2"/>
  <c r="P1566" i="2"/>
  <c r="O1570" i="2"/>
  <c r="P1570" i="2"/>
  <c r="P1582" i="2"/>
  <c r="O1582" i="2"/>
  <c r="O1586" i="2"/>
  <c r="P1586" i="2"/>
  <c r="P1595" i="2"/>
  <c r="O1595" i="2"/>
  <c r="P1599" i="2"/>
  <c r="O1599" i="2"/>
  <c r="P1573" i="2"/>
  <c r="O1573" i="2"/>
  <c r="P1588" i="2"/>
  <c r="O1588" i="2"/>
  <c r="O1568" i="2"/>
  <c r="P1568" i="2"/>
  <c r="P1575" i="2"/>
  <c r="O1575" i="2"/>
  <c r="O1580" i="2"/>
  <c r="P1580" i="2"/>
  <c r="O1584" i="2"/>
  <c r="P1584" i="2"/>
  <c r="P1589" i="2"/>
  <c r="O1589" i="2"/>
  <c r="P1598" i="2"/>
  <c r="O1598" i="2"/>
  <c r="O1577" i="2"/>
  <c r="O1593" i="2"/>
  <c r="O1601" i="2"/>
  <c r="P1569" i="2"/>
  <c r="O1569" i="2"/>
  <c r="P1585" i="2"/>
  <c r="P1601" i="2"/>
  <c r="P1577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26" i="2"/>
  <c r="M1563" i="2" l="1"/>
  <c r="N1563" i="2" s="1"/>
  <c r="R2019" i="2" s="1"/>
  <c r="L1563" i="2"/>
  <c r="K1563" i="2"/>
  <c r="M1562" i="2"/>
  <c r="N1562" i="2" s="1"/>
  <c r="R2018" i="2" s="1"/>
  <c r="L1562" i="2"/>
  <c r="K1562" i="2"/>
  <c r="L1561" i="2"/>
  <c r="K1561" i="2"/>
  <c r="M1561" i="2"/>
  <c r="N1561" i="2" s="1"/>
  <c r="R2017" i="2" s="1"/>
  <c r="L1560" i="2"/>
  <c r="K1560" i="2"/>
  <c r="M1560" i="2"/>
  <c r="N1560" i="2" s="1"/>
  <c r="L1559" i="2"/>
  <c r="K1559" i="2"/>
  <c r="M1559" i="2"/>
  <c r="N1559" i="2" s="1"/>
  <c r="L1558" i="2"/>
  <c r="K1558" i="2"/>
  <c r="M1558" i="2"/>
  <c r="N1558" i="2" s="1"/>
  <c r="R2014" i="2" s="1"/>
  <c r="L1557" i="2"/>
  <c r="K1557" i="2"/>
  <c r="M1557" i="2"/>
  <c r="N1557" i="2" s="1"/>
  <c r="R2013" i="2" s="1"/>
  <c r="M1556" i="2"/>
  <c r="N1556" i="2" s="1"/>
  <c r="R2012" i="2" s="1"/>
  <c r="L1556" i="2"/>
  <c r="K1556" i="2"/>
  <c r="M1555" i="2"/>
  <c r="N1555" i="2" s="1"/>
  <c r="R2011" i="2" s="1"/>
  <c r="L1555" i="2"/>
  <c r="K1555" i="2"/>
  <c r="M1554" i="2"/>
  <c r="N1554" i="2" s="1"/>
  <c r="R2010" i="2" s="1"/>
  <c r="L1554" i="2"/>
  <c r="K1554" i="2"/>
  <c r="L1553" i="2"/>
  <c r="K1553" i="2"/>
  <c r="M1553" i="2"/>
  <c r="N1553" i="2" s="1"/>
  <c r="R2009" i="2" s="1"/>
  <c r="L1552" i="2"/>
  <c r="K1552" i="2"/>
  <c r="M1552" i="2"/>
  <c r="N1552" i="2" s="1"/>
  <c r="L1551" i="2"/>
  <c r="K1551" i="2"/>
  <c r="M1551" i="2"/>
  <c r="N1551" i="2" s="1"/>
  <c r="L1550" i="2"/>
  <c r="K1550" i="2"/>
  <c r="M1550" i="2"/>
  <c r="N1550" i="2" s="1"/>
  <c r="R2006" i="2" s="1"/>
  <c r="L1549" i="2"/>
  <c r="K1549" i="2"/>
  <c r="M1549" i="2"/>
  <c r="N1549" i="2" s="1"/>
  <c r="R2005" i="2" s="1"/>
  <c r="M1548" i="2"/>
  <c r="N1548" i="2" s="1"/>
  <c r="R2004" i="2" s="1"/>
  <c r="L1548" i="2"/>
  <c r="K1548" i="2"/>
  <c r="M1547" i="2"/>
  <c r="N1547" i="2" s="1"/>
  <c r="R2003" i="2" s="1"/>
  <c r="L1547" i="2"/>
  <c r="K1547" i="2"/>
  <c r="M1546" i="2"/>
  <c r="N1546" i="2" s="1"/>
  <c r="R2002" i="2" s="1"/>
  <c r="L1546" i="2"/>
  <c r="K1546" i="2"/>
  <c r="L1545" i="2"/>
  <c r="K1545" i="2"/>
  <c r="M1545" i="2"/>
  <c r="N1545" i="2" s="1"/>
  <c r="R2001" i="2" s="1"/>
  <c r="L1544" i="2"/>
  <c r="K1544" i="2"/>
  <c r="M1544" i="2"/>
  <c r="N1544" i="2" s="1"/>
  <c r="R2000" i="2" s="1"/>
  <c r="L1543" i="2"/>
  <c r="K1543" i="2"/>
  <c r="M1543" i="2"/>
  <c r="N1543" i="2" s="1"/>
  <c r="L1542" i="2"/>
  <c r="K1542" i="2"/>
  <c r="M1542" i="2"/>
  <c r="N1542" i="2" s="1"/>
  <c r="R1998" i="2" s="1"/>
  <c r="L1541" i="2"/>
  <c r="K1541" i="2"/>
  <c r="M1541" i="2"/>
  <c r="N1541" i="2" s="1"/>
  <c r="R1997" i="2" s="1"/>
  <c r="M1540" i="2"/>
  <c r="N1540" i="2" s="1"/>
  <c r="R1996" i="2" s="1"/>
  <c r="L1540" i="2"/>
  <c r="K1540" i="2"/>
  <c r="M1539" i="2"/>
  <c r="N1539" i="2" s="1"/>
  <c r="R1995" i="2" s="1"/>
  <c r="L1539" i="2"/>
  <c r="K1539" i="2"/>
  <c r="M1538" i="2"/>
  <c r="N1538" i="2" s="1"/>
  <c r="R1994" i="2" s="1"/>
  <c r="L1538" i="2"/>
  <c r="K1538" i="2"/>
  <c r="L1537" i="2"/>
  <c r="K1537" i="2"/>
  <c r="M1537" i="2"/>
  <c r="N1537" i="2" s="1"/>
  <c r="R1993" i="2" s="1"/>
  <c r="L1536" i="2"/>
  <c r="K1536" i="2"/>
  <c r="M1536" i="2"/>
  <c r="N1536" i="2" s="1"/>
  <c r="R1992" i="2" s="1"/>
  <c r="L1535" i="2"/>
  <c r="K1535" i="2"/>
  <c r="M1535" i="2"/>
  <c r="N1535" i="2" s="1"/>
  <c r="L1534" i="2"/>
  <c r="K1534" i="2"/>
  <c r="M1534" i="2"/>
  <c r="N1534" i="2" s="1"/>
  <c r="R1990" i="2" s="1"/>
  <c r="L1533" i="2"/>
  <c r="K1533" i="2"/>
  <c r="M1533" i="2"/>
  <c r="N1533" i="2" s="1"/>
  <c r="R1989" i="2" s="1"/>
  <c r="M1532" i="2"/>
  <c r="N1532" i="2" s="1"/>
  <c r="R1988" i="2" s="1"/>
  <c r="L1532" i="2"/>
  <c r="K1532" i="2"/>
  <c r="M1531" i="2"/>
  <c r="N1531" i="2" s="1"/>
  <c r="R1987" i="2" s="1"/>
  <c r="L1531" i="2"/>
  <c r="K1531" i="2"/>
  <c r="M1530" i="2"/>
  <c r="N1530" i="2" s="1"/>
  <c r="R1986" i="2" s="1"/>
  <c r="L1530" i="2"/>
  <c r="K1530" i="2"/>
  <c r="L1529" i="2"/>
  <c r="K1529" i="2"/>
  <c r="M1529" i="2"/>
  <c r="N1529" i="2" s="1"/>
  <c r="R1985" i="2" s="1"/>
  <c r="L1528" i="2"/>
  <c r="K1528" i="2"/>
  <c r="M1528" i="2"/>
  <c r="N1528" i="2" s="1"/>
  <c r="R1984" i="2" s="1"/>
  <c r="L1527" i="2"/>
  <c r="K1527" i="2"/>
  <c r="M1527" i="2"/>
  <c r="N1527" i="2" s="1"/>
  <c r="E1527" i="2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M1526" i="2"/>
  <c r="N1526" i="2" s="1"/>
  <c r="R1982" i="2" s="1"/>
  <c r="L1526" i="2"/>
  <c r="K1526" i="2"/>
  <c r="O1527" i="2" l="1"/>
  <c r="S1603" i="2" s="1"/>
  <c r="R1983" i="2"/>
  <c r="O1551" i="2"/>
  <c r="S1627" i="2" s="1"/>
  <c r="R2007" i="2"/>
  <c r="O1535" i="2"/>
  <c r="S1611" i="2" s="1"/>
  <c r="R1991" i="2"/>
  <c r="O1559" i="2"/>
  <c r="S1635" i="2" s="1"/>
  <c r="R2015" i="2"/>
  <c r="O1560" i="2"/>
  <c r="S1636" i="2" s="1"/>
  <c r="R2016" i="2"/>
  <c r="O1543" i="2"/>
  <c r="S1619" i="2" s="1"/>
  <c r="R1999" i="2"/>
  <c r="P1552" i="2"/>
  <c r="R2008" i="2"/>
  <c r="O1552" i="2"/>
  <c r="S1628" i="2" s="1"/>
  <c r="P1531" i="2"/>
  <c r="O1531" i="2"/>
  <c r="S1607" i="2" s="1"/>
  <c r="P1545" i="2"/>
  <c r="O1545" i="2"/>
  <c r="S1621" i="2" s="1"/>
  <c r="P1555" i="2"/>
  <c r="O1555" i="2"/>
  <c r="S1631" i="2" s="1"/>
  <c r="P1538" i="2"/>
  <c r="O1538" i="2"/>
  <c r="S1614" i="2" s="1"/>
  <c r="O1540" i="2"/>
  <c r="S1616" i="2" s="1"/>
  <c r="P1540" i="2"/>
  <c r="P1541" i="2"/>
  <c r="O1541" i="2"/>
  <c r="S1617" i="2" s="1"/>
  <c r="P1547" i="2"/>
  <c r="O1547" i="2"/>
  <c r="S1623" i="2" s="1"/>
  <c r="P1537" i="2"/>
  <c r="O1537" i="2"/>
  <c r="S1613" i="2" s="1"/>
  <c r="P1530" i="2"/>
  <c r="O1530" i="2"/>
  <c r="S1606" i="2" s="1"/>
  <c r="P1532" i="2"/>
  <c r="O1532" i="2"/>
  <c r="S1608" i="2" s="1"/>
  <c r="P1554" i="2"/>
  <c r="O1554" i="2"/>
  <c r="S1630" i="2" s="1"/>
  <c r="P1533" i="2"/>
  <c r="O1533" i="2"/>
  <c r="S1609" i="2" s="1"/>
  <c r="P1539" i="2"/>
  <c r="O1539" i="2"/>
  <c r="S1615" i="2" s="1"/>
  <c r="P1529" i="2"/>
  <c r="O1529" i="2"/>
  <c r="S1605" i="2" s="1"/>
  <c r="P1546" i="2"/>
  <c r="O1546" i="2"/>
  <c r="S1622" i="2" s="1"/>
  <c r="O1553" i="2"/>
  <c r="S1629" i="2" s="1"/>
  <c r="P1553" i="2"/>
  <c r="P1563" i="2"/>
  <c r="O1563" i="2"/>
  <c r="S1639" i="2" s="1"/>
  <c r="O1556" i="2"/>
  <c r="S1632" i="2" s="1"/>
  <c r="P1556" i="2"/>
  <c r="P1562" i="2"/>
  <c r="O1562" i="2"/>
  <c r="S1638" i="2" s="1"/>
  <c r="P1550" i="2"/>
  <c r="O1550" i="2"/>
  <c r="S1626" i="2" s="1"/>
  <c r="P1560" i="2"/>
  <c r="O1528" i="2"/>
  <c r="S1604" i="2" s="1"/>
  <c r="O1536" i="2"/>
  <c r="S1612" i="2" s="1"/>
  <c r="O1544" i="2"/>
  <c r="S1620" i="2" s="1"/>
  <c r="P1558" i="2"/>
  <c r="O1558" i="2"/>
  <c r="S1634" i="2" s="1"/>
  <c r="P1559" i="2"/>
  <c r="P1528" i="2"/>
  <c r="P1536" i="2"/>
  <c r="P1544" i="2"/>
  <c r="O1548" i="2"/>
  <c r="S1624" i="2" s="1"/>
  <c r="P1548" i="2"/>
  <c r="P1527" i="2"/>
  <c r="P1534" i="2"/>
  <c r="O1534" i="2"/>
  <c r="S1610" i="2" s="1"/>
  <c r="P1535" i="2"/>
  <c r="P1542" i="2"/>
  <c r="O1542" i="2"/>
  <c r="S1618" i="2" s="1"/>
  <c r="P1543" i="2"/>
  <c r="P1549" i="2"/>
  <c r="O1549" i="2"/>
  <c r="S1625" i="2" s="1"/>
  <c r="P1526" i="2"/>
  <c r="O1526" i="2"/>
  <c r="S1602" i="2" s="1"/>
  <c r="P1557" i="2"/>
  <c r="O1557" i="2"/>
  <c r="S1633" i="2" s="1"/>
  <c r="P1551" i="2"/>
  <c r="O1561" i="2"/>
  <c r="S1637" i="2" s="1"/>
  <c r="P1561" i="2"/>
  <c r="J1489" i="2"/>
  <c r="M1489" i="2" s="1"/>
  <c r="N1489" i="2" s="1"/>
  <c r="R1945" i="2" s="1"/>
  <c r="J1490" i="2"/>
  <c r="M1490" i="2" s="1"/>
  <c r="N1490" i="2" s="1"/>
  <c r="R1946" i="2" s="1"/>
  <c r="J1491" i="2"/>
  <c r="M1491" i="2" s="1"/>
  <c r="N1491" i="2" s="1"/>
  <c r="R1947" i="2" s="1"/>
  <c r="J1492" i="2"/>
  <c r="M1492" i="2" s="1"/>
  <c r="N1492" i="2" s="1"/>
  <c r="R1948" i="2" s="1"/>
  <c r="J1493" i="2"/>
  <c r="M1493" i="2" s="1"/>
  <c r="N1493" i="2" s="1"/>
  <c r="R1949" i="2" s="1"/>
  <c r="J1494" i="2"/>
  <c r="M1494" i="2" s="1"/>
  <c r="N1494" i="2" s="1"/>
  <c r="R1950" i="2" s="1"/>
  <c r="J1495" i="2"/>
  <c r="M1495" i="2" s="1"/>
  <c r="N1495" i="2" s="1"/>
  <c r="R1951" i="2" s="1"/>
  <c r="J1496" i="2"/>
  <c r="M1496" i="2" s="1"/>
  <c r="N1496" i="2" s="1"/>
  <c r="R1952" i="2" s="1"/>
  <c r="J1497" i="2"/>
  <c r="M1497" i="2" s="1"/>
  <c r="N1497" i="2" s="1"/>
  <c r="R1953" i="2" s="1"/>
  <c r="J1498" i="2"/>
  <c r="M1498" i="2" s="1"/>
  <c r="N1498" i="2" s="1"/>
  <c r="R1954" i="2" s="1"/>
  <c r="J1499" i="2"/>
  <c r="M1499" i="2" s="1"/>
  <c r="N1499" i="2" s="1"/>
  <c r="R1955" i="2" s="1"/>
  <c r="J1500" i="2"/>
  <c r="M1500" i="2" s="1"/>
  <c r="N1500" i="2" s="1"/>
  <c r="R1956" i="2" s="1"/>
  <c r="J1501" i="2"/>
  <c r="M1501" i="2" s="1"/>
  <c r="N1501" i="2" s="1"/>
  <c r="R1957" i="2" s="1"/>
  <c r="J1502" i="2"/>
  <c r="M1502" i="2" s="1"/>
  <c r="N1502" i="2" s="1"/>
  <c r="R1958" i="2" s="1"/>
  <c r="J1503" i="2"/>
  <c r="M1503" i="2" s="1"/>
  <c r="N1503" i="2" s="1"/>
  <c r="R1959" i="2" s="1"/>
  <c r="J1504" i="2"/>
  <c r="M1504" i="2" s="1"/>
  <c r="N1504" i="2" s="1"/>
  <c r="R1960" i="2" s="1"/>
  <c r="J1505" i="2"/>
  <c r="M1505" i="2" s="1"/>
  <c r="N1505" i="2" s="1"/>
  <c r="R1961" i="2" s="1"/>
  <c r="J1506" i="2"/>
  <c r="M1506" i="2" s="1"/>
  <c r="N1506" i="2" s="1"/>
  <c r="R1962" i="2" s="1"/>
  <c r="J1507" i="2"/>
  <c r="M1507" i="2" s="1"/>
  <c r="N1507" i="2" s="1"/>
  <c r="R1963" i="2" s="1"/>
  <c r="J1508" i="2"/>
  <c r="M1508" i="2" s="1"/>
  <c r="N1508" i="2" s="1"/>
  <c r="R1964" i="2" s="1"/>
  <c r="J1509" i="2"/>
  <c r="M1509" i="2" s="1"/>
  <c r="N1509" i="2" s="1"/>
  <c r="R1965" i="2" s="1"/>
  <c r="J1510" i="2"/>
  <c r="M1510" i="2" s="1"/>
  <c r="N1510" i="2" s="1"/>
  <c r="R1966" i="2" s="1"/>
  <c r="J1511" i="2"/>
  <c r="M1511" i="2" s="1"/>
  <c r="N1511" i="2" s="1"/>
  <c r="R1967" i="2" s="1"/>
  <c r="J1512" i="2"/>
  <c r="M1512" i="2" s="1"/>
  <c r="N1512" i="2" s="1"/>
  <c r="R1968" i="2" s="1"/>
  <c r="J1513" i="2"/>
  <c r="M1513" i="2" s="1"/>
  <c r="N1513" i="2" s="1"/>
  <c r="R1969" i="2" s="1"/>
  <c r="J1514" i="2"/>
  <c r="M1514" i="2" s="1"/>
  <c r="N1514" i="2" s="1"/>
  <c r="R1970" i="2" s="1"/>
  <c r="J1515" i="2"/>
  <c r="M1515" i="2" s="1"/>
  <c r="N1515" i="2" s="1"/>
  <c r="R1971" i="2" s="1"/>
  <c r="J1516" i="2"/>
  <c r="M1516" i="2" s="1"/>
  <c r="N1516" i="2" s="1"/>
  <c r="R1972" i="2" s="1"/>
  <c r="J1517" i="2"/>
  <c r="M1517" i="2" s="1"/>
  <c r="N1517" i="2" s="1"/>
  <c r="R1973" i="2" s="1"/>
  <c r="J1518" i="2"/>
  <c r="M1518" i="2" s="1"/>
  <c r="N1518" i="2" s="1"/>
  <c r="R1974" i="2" s="1"/>
  <c r="J1519" i="2"/>
  <c r="M1519" i="2" s="1"/>
  <c r="N1519" i="2" s="1"/>
  <c r="R1975" i="2" s="1"/>
  <c r="J1520" i="2"/>
  <c r="M1520" i="2" s="1"/>
  <c r="N1520" i="2" s="1"/>
  <c r="R1976" i="2" s="1"/>
  <c r="J1521" i="2"/>
  <c r="M1521" i="2" s="1"/>
  <c r="N1521" i="2" s="1"/>
  <c r="R1977" i="2" s="1"/>
  <c r="J1522" i="2"/>
  <c r="M1522" i="2" s="1"/>
  <c r="N1522" i="2" s="1"/>
  <c r="R1978" i="2" s="1"/>
  <c r="J1523" i="2"/>
  <c r="M1523" i="2" s="1"/>
  <c r="N1523" i="2" s="1"/>
  <c r="R1979" i="2" s="1"/>
  <c r="J1524" i="2"/>
  <c r="M1524" i="2" s="1"/>
  <c r="N1524" i="2" s="1"/>
  <c r="R1980" i="2" s="1"/>
  <c r="J1525" i="2"/>
  <c r="M1525" i="2" s="1"/>
  <c r="N1525" i="2" s="1"/>
  <c r="R1981" i="2" s="1"/>
  <c r="J1488" i="2"/>
  <c r="M1488" i="2" s="1"/>
  <c r="N1488" i="2" s="1"/>
  <c r="R1944" i="2" s="1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E1489" i="2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L1488" i="2"/>
  <c r="K1488" i="2"/>
  <c r="P1488" i="2" l="1"/>
  <c r="O1488" i="2"/>
  <c r="O1492" i="2"/>
  <c r="P1492" i="2"/>
  <c r="O1508" i="2"/>
  <c r="P1508" i="2"/>
  <c r="P1512" i="2"/>
  <c r="O1512" i="2"/>
  <c r="P1520" i="2"/>
  <c r="O1520" i="2"/>
  <c r="O1491" i="2"/>
  <c r="O1495" i="2"/>
  <c r="O1499" i="2"/>
  <c r="O1503" i="2"/>
  <c r="O1507" i="2"/>
  <c r="O1511" i="2"/>
  <c r="O1515" i="2"/>
  <c r="O1519" i="2"/>
  <c r="P1523" i="2"/>
  <c r="O1523" i="2"/>
  <c r="O1525" i="2"/>
  <c r="P1525" i="2"/>
  <c r="P1489" i="2"/>
  <c r="O1489" i="2"/>
  <c r="P1491" i="2"/>
  <c r="O1493" i="2"/>
  <c r="P1493" i="2"/>
  <c r="P1495" i="2"/>
  <c r="P1497" i="2"/>
  <c r="O1497" i="2"/>
  <c r="P1499" i="2"/>
  <c r="P1501" i="2"/>
  <c r="O1501" i="2"/>
  <c r="P1503" i="2"/>
  <c r="O1505" i="2"/>
  <c r="P1505" i="2"/>
  <c r="P1507" i="2"/>
  <c r="P1509" i="2"/>
  <c r="O1509" i="2"/>
  <c r="P1511" i="2"/>
  <c r="P1513" i="2"/>
  <c r="O1513" i="2"/>
  <c r="P1515" i="2"/>
  <c r="P1517" i="2"/>
  <c r="O1517" i="2"/>
  <c r="P1519" i="2"/>
  <c r="O1521" i="2"/>
  <c r="P1521" i="2"/>
  <c r="P1524" i="2"/>
  <c r="O1524" i="2"/>
  <c r="O1490" i="2"/>
  <c r="P1490" i="2"/>
  <c r="P1494" i="2"/>
  <c r="O1494" i="2"/>
  <c r="P1498" i="2"/>
  <c r="O1498" i="2"/>
  <c r="P1502" i="2"/>
  <c r="O1502" i="2"/>
  <c r="P1506" i="2"/>
  <c r="O1506" i="2"/>
  <c r="P1510" i="2"/>
  <c r="O1510" i="2"/>
  <c r="P1514" i="2"/>
  <c r="O1514" i="2"/>
  <c r="P1518" i="2"/>
  <c r="O1518" i="2"/>
  <c r="P1522" i="2"/>
  <c r="O1522" i="2"/>
  <c r="O1504" i="2"/>
  <c r="P1504" i="2"/>
  <c r="P1496" i="2"/>
  <c r="O1496" i="2"/>
  <c r="P1500" i="2"/>
  <c r="O1500" i="2"/>
  <c r="P1516" i="2"/>
  <c r="O1516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51" i="2"/>
  <c r="J1450" i="2"/>
  <c r="M1487" i="2" l="1"/>
  <c r="N1487" i="2" s="1"/>
  <c r="R1943" i="2" s="1"/>
  <c r="L1487" i="2"/>
  <c r="K1487" i="2"/>
  <c r="M1486" i="2"/>
  <c r="N1486" i="2" s="1"/>
  <c r="R1942" i="2" s="1"/>
  <c r="L1486" i="2"/>
  <c r="K1486" i="2"/>
  <c r="L1485" i="2"/>
  <c r="K1485" i="2"/>
  <c r="M1485" i="2"/>
  <c r="N1485" i="2" s="1"/>
  <c r="R1941" i="2" s="1"/>
  <c r="L1484" i="2"/>
  <c r="K1484" i="2"/>
  <c r="M1484" i="2"/>
  <c r="N1484" i="2" s="1"/>
  <c r="M1483" i="2"/>
  <c r="N1483" i="2" s="1"/>
  <c r="R1939" i="2" s="1"/>
  <c r="L1483" i="2"/>
  <c r="K1483" i="2"/>
  <c r="L1482" i="2"/>
  <c r="K1482" i="2"/>
  <c r="M1482" i="2"/>
  <c r="N1482" i="2" s="1"/>
  <c r="R1938" i="2" s="1"/>
  <c r="L1481" i="2"/>
  <c r="K1481" i="2"/>
  <c r="M1481" i="2"/>
  <c r="N1481" i="2" s="1"/>
  <c r="R1937" i="2" s="1"/>
  <c r="M1480" i="2"/>
  <c r="N1480" i="2" s="1"/>
  <c r="R1936" i="2" s="1"/>
  <c r="L1480" i="2"/>
  <c r="K1480" i="2"/>
  <c r="M1479" i="2"/>
  <c r="N1479" i="2" s="1"/>
  <c r="R1935" i="2" s="1"/>
  <c r="L1479" i="2"/>
  <c r="K1479" i="2"/>
  <c r="M1478" i="2"/>
  <c r="N1478" i="2" s="1"/>
  <c r="R1934" i="2" s="1"/>
  <c r="L1478" i="2"/>
  <c r="K1478" i="2"/>
  <c r="L1477" i="2"/>
  <c r="K1477" i="2"/>
  <c r="M1477" i="2"/>
  <c r="N1477" i="2" s="1"/>
  <c r="R1933" i="2" s="1"/>
  <c r="L1476" i="2"/>
  <c r="K1476" i="2"/>
  <c r="M1476" i="2"/>
  <c r="N1476" i="2" s="1"/>
  <c r="L1475" i="2"/>
  <c r="K1475" i="2"/>
  <c r="M1475" i="2"/>
  <c r="N1475" i="2" s="1"/>
  <c r="R1931" i="2" s="1"/>
  <c r="L1474" i="2"/>
  <c r="K1474" i="2"/>
  <c r="M1474" i="2"/>
  <c r="N1474" i="2" s="1"/>
  <c r="R1930" i="2" s="1"/>
  <c r="L1473" i="2"/>
  <c r="K1473" i="2"/>
  <c r="M1473" i="2"/>
  <c r="N1473" i="2" s="1"/>
  <c r="R1929" i="2" s="1"/>
  <c r="M1472" i="2"/>
  <c r="N1472" i="2" s="1"/>
  <c r="R1928" i="2" s="1"/>
  <c r="L1472" i="2"/>
  <c r="K1472" i="2"/>
  <c r="M1471" i="2"/>
  <c r="N1471" i="2" s="1"/>
  <c r="R1927" i="2" s="1"/>
  <c r="L1471" i="2"/>
  <c r="K1471" i="2"/>
  <c r="M1470" i="2"/>
  <c r="N1470" i="2" s="1"/>
  <c r="R1926" i="2" s="1"/>
  <c r="L1470" i="2"/>
  <c r="K1470" i="2"/>
  <c r="L1469" i="2"/>
  <c r="K1469" i="2"/>
  <c r="M1469" i="2"/>
  <c r="N1469" i="2" s="1"/>
  <c r="R1925" i="2" s="1"/>
  <c r="L1468" i="2"/>
  <c r="K1468" i="2"/>
  <c r="M1468" i="2"/>
  <c r="N1468" i="2" s="1"/>
  <c r="L1467" i="2"/>
  <c r="K1467" i="2"/>
  <c r="M1467" i="2"/>
  <c r="N1467" i="2" s="1"/>
  <c r="R1923" i="2" s="1"/>
  <c r="L1466" i="2"/>
  <c r="K1466" i="2"/>
  <c r="M1466" i="2"/>
  <c r="N1466" i="2" s="1"/>
  <c r="R1922" i="2" s="1"/>
  <c r="L1465" i="2"/>
  <c r="K1465" i="2"/>
  <c r="M1465" i="2"/>
  <c r="N1465" i="2" s="1"/>
  <c r="R1921" i="2" s="1"/>
  <c r="M1464" i="2"/>
  <c r="N1464" i="2" s="1"/>
  <c r="R1920" i="2" s="1"/>
  <c r="L1464" i="2"/>
  <c r="K1464" i="2"/>
  <c r="M1463" i="2"/>
  <c r="N1463" i="2" s="1"/>
  <c r="R1919" i="2" s="1"/>
  <c r="L1463" i="2"/>
  <c r="K1463" i="2"/>
  <c r="M1462" i="2"/>
  <c r="N1462" i="2" s="1"/>
  <c r="R1918" i="2" s="1"/>
  <c r="L1462" i="2"/>
  <c r="K1462" i="2"/>
  <c r="L1461" i="2"/>
  <c r="K1461" i="2"/>
  <c r="M1461" i="2"/>
  <c r="N1461" i="2" s="1"/>
  <c r="R1917" i="2" s="1"/>
  <c r="L1460" i="2"/>
  <c r="K1460" i="2"/>
  <c r="M1460" i="2"/>
  <c r="N1460" i="2" s="1"/>
  <c r="L1459" i="2"/>
  <c r="K1459" i="2"/>
  <c r="M1459" i="2"/>
  <c r="N1459" i="2" s="1"/>
  <c r="L1458" i="2"/>
  <c r="K1458" i="2"/>
  <c r="M1458" i="2"/>
  <c r="N1458" i="2" s="1"/>
  <c r="R1914" i="2" s="1"/>
  <c r="L1457" i="2"/>
  <c r="K1457" i="2"/>
  <c r="M1457" i="2"/>
  <c r="N1457" i="2" s="1"/>
  <c r="R1913" i="2" s="1"/>
  <c r="M1456" i="2"/>
  <c r="N1456" i="2" s="1"/>
  <c r="R1912" i="2" s="1"/>
  <c r="L1456" i="2"/>
  <c r="K1456" i="2"/>
  <c r="M1455" i="2"/>
  <c r="N1455" i="2" s="1"/>
  <c r="R1911" i="2" s="1"/>
  <c r="L1455" i="2"/>
  <c r="K1455" i="2"/>
  <c r="M1454" i="2"/>
  <c r="N1454" i="2" s="1"/>
  <c r="R1910" i="2" s="1"/>
  <c r="L1454" i="2"/>
  <c r="K1454" i="2"/>
  <c r="L1453" i="2"/>
  <c r="K1453" i="2"/>
  <c r="M1453" i="2"/>
  <c r="N1453" i="2" s="1"/>
  <c r="L1452" i="2"/>
  <c r="K1452" i="2"/>
  <c r="M1452" i="2"/>
  <c r="N1452" i="2" s="1"/>
  <c r="R1908" i="2" s="1"/>
  <c r="L1451" i="2"/>
  <c r="K1451" i="2"/>
  <c r="M1451" i="2"/>
  <c r="N1451" i="2" s="1"/>
  <c r="E1451" i="2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L1450" i="2"/>
  <c r="K1450" i="2"/>
  <c r="M1450" i="2"/>
  <c r="N1450" i="2" s="1"/>
  <c r="R1906" i="2" s="1"/>
  <c r="O1453" i="2" l="1"/>
  <c r="R1909" i="2"/>
  <c r="O1459" i="2"/>
  <c r="R1915" i="2"/>
  <c r="O1451" i="2"/>
  <c r="R1907" i="2"/>
  <c r="O1468" i="2"/>
  <c r="R1924" i="2"/>
  <c r="O1476" i="2"/>
  <c r="R1932" i="2"/>
  <c r="O1484" i="2"/>
  <c r="R1940" i="2"/>
  <c r="O1460" i="2"/>
  <c r="R1916" i="2"/>
  <c r="O1469" i="2"/>
  <c r="P1469" i="2"/>
  <c r="O1461" i="2"/>
  <c r="P1461" i="2"/>
  <c r="O1485" i="2"/>
  <c r="P1485" i="2"/>
  <c r="P1454" i="2"/>
  <c r="O1454" i="2"/>
  <c r="O1477" i="2"/>
  <c r="P1477" i="2"/>
  <c r="P1470" i="2"/>
  <c r="O1470" i="2"/>
  <c r="O1472" i="2"/>
  <c r="P1472" i="2"/>
  <c r="P1478" i="2"/>
  <c r="O1478" i="2"/>
  <c r="P1465" i="2"/>
  <c r="O1465" i="2"/>
  <c r="O1467" i="2"/>
  <c r="O1473" i="2"/>
  <c r="P1473" i="2"/>
  <c r="O1475" i="2"/>
  <c r="O1481" i="2"/>
  <c r="P1481" i="2"/>
  <c r="P1486" i="2"/>
  <c r="O1486" i="2"/>
  <c r="O1455" i="2"/>
  <c r="P1455" i="2"/>
  <c r="O1452" i="2"/>
  <c r="P1458" i="2"/>
  <c r="O1458" i="2"/>
  <c r="P1459" i="2"/>
  <c r="P1452" i="2"/>
  <c r="P1463" i="2"/>
  <c r="O1463" i="2"/>
  <c r="P1467" i="2"/>
  <c r="O1471" i="2"/>
  <c r="P1471" i="2"/>
  <c r="P1475" i="2"/>
  <c r="O1479" i="2"/>
  <c r="P1479" i="2"/>
  <c r="O1483" i="2"/>
  <c r="P1460" i="2"/>
  <c r="P1466" i="2"/>
  <c r="O1466" i="2"/>
  <c r="P1468" i="2"/>
  <c r="P1474" i="2"/>
  <c r="O1474" i="2"/>
  <c r="P1476" i="2"/>
  <c r="P1482" i="2"/>
  <c r="O1482" i="2"/>
  <c r="P1483" i="2"/>
  <c r="O1487" i="2"/>
  <c r="P1487" i="2"/>
  <c r="P1450" i="2"/>
  <c r="O1450" i="2"/>
  <c r="P1451" i="2"/>
  <c r="P1456" i="2"/>
  <c r="O1456" i="2"/>
  <c r="P1484" i="2"/>
  <c r="P1457" i="2"/>
  <c r="O1457" i="2"/>
  <c r="P1464" i="2"/>
  <c r="O1464" i="2"/>
  <c r="P1480" i="2"/>
  <c r="O1480" i="2"/>
  <c r="P1453" i="2"/>
  <c r="P1462" i="2"/>
  <c r="O146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12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374" i="2"/>
  <c r="M1449" i="2" l="1"/>
  <c r="N1449" i="2" s="1"/>
  <c r="R1905" i="2" s="1"/>
  <c r="L1449" i="2"/>
  <c r="K1449" i="2"/>
  <c r="M1448" i="2"/>
  <c r="N1448" i="2" s="1"/>
  <c r="R1904" i="2" s="1"/>
  <c r="L1448" i="2"/>
  <c r="K1448" i="2"/>
  <c r="L1447" i="2"/>
  <c r="K1447" i="2"/>
  <c r="M1447" i="2"/>
  <c r="N1447" i="2" s="1"/>
  <c r="R1903" i="2" s="1"/>
  <c r="L1446" i="2"/>
  <c r="K1446" i="2"/>
  <c r="M1446" i="2"/>
  <c r="N1446" i="2" s="1"/>
  <c r="R1902" i="2" s="1"/>
  <c r="L1445" i="2"/>
  <c r="K1445" i="2"/>
  <c r="M1445" i="2"/>
  <c r="N1445" i="2" s="1"/>
  <c r="L1444" i="2"/>
  <c r="K1444" i="2"/>
  <c r="M1444" i="2"/>
  <c r="N1444" i="2" s="1"/>
  <c r="R1900" i="2" s="1"/>
  <c r="L1443" i="2"/>
  <c r="K1443" i="2"/>
  <c r="M1443" i="2"/>
  <c r="N1443" i="2" s="1"/>
  <c r="M1442" i="2"/>
  <c r="N1442" i="2" s="1"/>
  <c r="R1898" i="2" s="1"/>
  <c r="L1442" i="2"/>
  <c r="K1442" i="2"/>
  <c r="M1441" i="2"/>
  <c r="N1441" i="2" s="1"/>
  <c r="R1897" i="2" s="1"/>
  <c r="L1441" i="2"/>
  <c r="K1441" i="2"/>
  <c r="M1440" i="2"/>
  <c r="N1440" i="2" s="1"/>
  <c r="R1896" i="2" s="1"/>
  <c r="L1440" i="2"/>
  <c r="K1440" i="2"/>
  <c r="L1439" i="2"/>
  <c r="K1439" i="2"/>
  <c r="M1439" i="2"/>
  <c r="N1439" i="2" s="1"/>
  <c r="R1895" i="2" s="1"/>
  <c r="L1438" i="2"/>
  <c r="K1438" i="2"/>
  <c r="M1438" i="2"/>
  <c r="N1438" i="2" s="1"/>
  <c r="L1437" i="2"/>
  <c r="K1437" i="2"/>
  <c r="M1437" i="2"/>
  <c r="N1437" i="2" s="1"/>
  <c r="R1893" i="2" s="1"/>
  <c r="L1436" i="2"/>
  <c r="K1436" i="2"/>
  <c r="M1436" i="2"/>
  <c r="N1436" i="2" s="1"/>
  <c r="R1892" i="2" s="1"/>
  <c r="L1435" i="2"/>
  <c r="K1435" i="2"/>
  <c r="M1435" i="2"/>
  <c r="N1435" i="2" s="1"/>
  <c r="R1891" i="2" s="1"/>
  <c r="M1434" i="2"/>
  <c r="N1434" i="2" s="1"/>
  <c r="R1890" i="2" s="1"/>
  <c r="L1434" i="2"/>
  <c r="K1434" i="2"/>
  <c r="M1433" i="2"/>
  <c r="N1433" i="2" s="1"/>
  <c r="R1889" i="2" s="1"/>
  <c r="L1433" i="2"/>
  <c r="K1433" i="2"/>
  <c r="M1432" i="2"/>
  <c r="N1432" i="2" s="1"/>
  <c r="R1888" i="2" s="1"/>
  <c r="L1432" i="2"/>
  <c r="K1432" i="2"/>
  <c r="L1431" i="2"/>
  <c r="K1431" i="2"/>
  <c r="M1431" i="2"/>
  <c r="N1431" i="2" s="1"/>
  <c r="L1430" i="2"/>
  <c r="K1430" i="2"/>
  <c r="M1430" i="2"/>
  <c r="N1430" i="2" s="1"/>
  <c r="R1886" i="2" s="1"/>
  <c r="L1429" i="2"/>
  <c r="K1429" i="2"/>
  <c r="M1429" i="2"/>
  <c r="N1429" i="2" s="1"/>
  <c r="L1428" i="2"/>
  <c r="K1428" i="2"/>
  <c r="M1428" i="2"/>
  <c r="N1428" i="2" s="1"/>
  <c r="R1884" i="2" s="1"/>
  <c r="M1427" i="2"/>
  <c r="N1427" i="2" s="1"/>
  <c r="R1883" i="2" s="1"/>
  <c r="L1427" i="2"/>
  <c r="K1427" i="2"/>
  <c r="M1426" i="2"/>
  <c r="N1426" i="2" s="1"/>
  <c r="R1882" i="2" s="1"/>
  <c r="L1426" i="2"/>
  <c r="K1426" i="2"/>
  <c r="M1425" i="2"/>
  <c r="N1425" i="2" s="1"/>
  <c r="R1881" i="2" s="1"/>
  <c r="L1425" i="2"/>
  <c r="K1425" i="2"/>
  <c r="M1424" i="2"/>
  <c r="N1424" i="2" s="1"/>
  <c r="R1880" i="2" s="1"/>
  <c r="L1424" i="2"/>
  <c r="K1424" i="2"/>
  <c r="L1423" i="2"/>
  <c r="K1423" i="2"/>
  <c r="M1423" i="2"/>
  <c r="N1423" i="2" s="1"/>
  <c r="R1879" i="2" s="1"/>
  <c r="L1422" i="2"/>
  <c r="K1422" i="2"/>
  <c r="M1422" i="2"/>
  <c r="N1422" i="2" s="1"/>
  <c r="R1878" i="2" s="1"/>
  <c r="L1421" i="2"/>
  <c r="K1421" i="2"/>
  <c r="M1421" i="2"/>
  <c r="N1421" i="2" s="1"/>
  <c r="M1420" i="2"/>
  <c r="N1420" i="2" s="1"/>
  <c r="R1876" i="2" s="1"/>
  <c r="L1420" i="2"/>
  <c r="K1420" i="2"/>
  <c r="M1419" i="2"/>
  <c r="N1419" i="2" s="1"/>
  <c r="R1875" i="2" s="1"/>
  <c r="L1419" i="2"/>
  <c r="K1419" i="2"/>
  <c r="M1418" i="2"/>
  <c r="N1418" i="2" s="1"/>
  <c r="R1874" i="2" s="1"/>
  <c r="L1418" i="2"/>
  <c r="K1418" i="2"/>
  <c r="M1417" i="2"/>
  <c r="N1417" i="2" s="1"/>
  <c r="R1873" i="2" s="1"/>
  <c r="L1417" i="2"/>
  <c r="K1417" i="2"/>
  <c r="M1416" i="2"/>
  <c r="N1416" i="2" s="1"/>
  <c r="R1872" i="2" s="1"/>
  <c r="L1416" i="2"/>
  <c r="K1416" i="2"/>
  <c r="L1415" i="2"/>
  <c r="K1415" i="2"/>
  <c r="M1415" i="2"/>
  <c r="N1415" i="2" s="1"/>
  <c r="R1871" i="2" s="1"/>
  <c r="L1414" i="2"/>
  <c r="K1414" i="2"/>
  <c r="M1414" i="2"/>
  <c r="N1414" i="2" s="1"/>
  <c r="L1413" i="2"/>
  <c r="K1413" i="2"/>
  <c r="M1413" i="2"/>
  <c r="N1413" i="2" s="1"/>
  <c r="E1413" i="2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M1412" i="2"/>
  <c r="N1412" i="2" s="1"/>
  <c r="R1868" i="2" s="1"/>
  <c r="L1412" i="2"/>
  <c r="K1412" i="2"/>
  <c r="P1438" i="2" l="1"/>
  <c r="R1894" i="2"/>
  <c r="O1445" i="2"/>
  <c r="S1521" i="2" s="1"/>
  <c r="R1901" i="2"/>
  <c r="P1443" i="2"/>
  <c r="R1899" i="2"/>
  <c r="P1414" i="2"/>
  <c r="R1870" i="2"/>
  <c r="O1413" i="2"/>
  <c r="S1489" i="2" s="1"/>
  <c r="R1869" i="2"/>
  <c r="O1429" i="2"/>
  <c r="S1505" i="2" s="1"/>
  <c r="R1885" i="2"/>
  <c r="O1421" i="2"/>
  <c r="S1497" i="2" s="1"/>
  <c r="R1877" i="2"/>
  <c r="O1431" i="2"/>
  <c r="S1507" i="2" s="1"/>
  <c r="R1887" i="2"/>
  <c r="P1445" i="2"/>
  <c r="O1437" i="2"/>
  <c r="S1513" i="2" s="1"/>
  <c r="P1437" i="2"/>
  <c r="O1442" i="2"/>
  <c r="S1518" i="2" s="1"/>
  <c r="O1430" i="2"/>
  <c r="S1506" i="2" s="1"/>
  <c r="P1413" i="2"/>
  <c r="P1430" i="2"/>
  <c r="P1425" i="2"/>
  <c r="O1425" i="2"/>
  <c r="S1501" i="2" s="1"/>
  <c r="P1427" i="2"/>
  <c r="O1427" i="2"/>
  <c r="S1503" i="2" s="1"/>
  <c r="P1433" i="2"/>
  <c r="O1433" i="2"/>
  <c r="S1509" i="2" s="1"/>
  <c r="P1436" i="2"/>
  <c r="O1436" i="2"/>
  <c r="S1512" i="2" s="1"/>
  <c r="P1415" i="2"/>
  <c r="O1415" i="2"/>
  <c r="S1491" i="2" s="1"/>
  <c r="P1428" i="2"/>
  <c r="O1428" i="2"/>
  <c r="S1504" i="2" s="1"/>
  <c r="P1448" i="2"/>
  <c r="O1448" i="2"/>
  <c r="S1524" i="2" s="1"/>
  <c r="O1440" i="2"/>
  <c r="S1516" i="2" s="1"/>
  <c r="P1440" i="2"/>
  <c r="O1417" i="2"/>
  <c r="S1493" i="2" s="1"/>
  <c r="P1417" i="2"/>
  <c r="P1419" i="2"/>
  <c r="O1419" i="2"/>
  <c r="S1495" i="2" s="1"/>
  <c r="P1447" i="2"/>
  <c r="O1447" i="2"/>
  <c r="S1523" i="2" s="1"/>
  <c r="P1424" i="2"/>
  <c r="O1424" i="2"/>
  <c r="S1500" i="2" s="1"/>
  <c r="P1426" i="2"/>
  <c r="O1426" i="2"/>
  <c r="S1502" i="2" s="1"/>
  <c r="P1432" i="2"/>
  <c r="O1432" i="2"/>
  <c r="S1508" i="2" s="1"/>
  <c r="P1434" i="2"/>
  <c r="O1434" i="2"/>
  <c r="S1510" i="2" s="1"/>
  <c r="P1439" i="2"/>
  <c r="O1439" i="2"/>
  <c r="S1515" i="2" s="1"/>
  <c r="P1435" i="2"/>
  <c r="O1435" i="2"/>
  <c r="S1511" i="2" s="1"/>
  <c r="O1443" i="2"/>
  <c r="S1519" i="2" s="1"/>
  <c r="P1423" i="2"/>
  <c r="O1423" i="2"/>
  <c r="S1499" i="2" s="1"/>
  <c r="P1416" i="2"/>
  <c r="O1416" i="2"/>
  <c r="S1492" i="2" s="1"/>
  <c r="P1418" i="2"/>
  <c r="O1418" i="2"/>
  <c r="S1494" i="2" s="1"/>
  <c r="P1412" i="2"/>
  <c r="O1412" i="2"/>
  <c r="S1488" i="2" s="1"/>
  <c r="O1422" i="2"/>
  <c r="S1498" i="2" s="1"/>
  <c r="P1429" i="2"/>
  <c r="O1441" i="2"/>
  <c r="S1517" i="2" s="1"/>
  <c r="P1422" i="2"/>
  <c r="P1441" i="2"/>
  <c r="P1449" i="2"/>
  <c r="O1449" i="2"/>
  <c r="S1525" i="2" s="1"/>
  <c r="O1414" i="2"/>
  <c r="S1490" i="2" s="1"/>
  <c r="P1421" i="2"/>
  <c r="O1446" i="2"/>
  <c r="S1522" i="2" s="1"/>
  <c r="O1438" i="2"/>
  <c r="S1514" i="2" s="1"/>
  <c r="P1446" i="2"/>
  <c r="P1444" i="2"/>
  <c r="O1444" i="2"/>
  <c r="S1520" i="2" s="1"/>
  <c r="P1431" i="2"/>
  <c r="P1420" i="2"/>
  <c r="O1420" i="2"/>
  <c r="S1496" i="2" s="1"/>
  <c r="P1442" i="2"/>
  <c r="L1411" i="2"/>
  <c r="K1411" i="2"/>
  <c r="M1411" i="2"/>
  <c r="N1411" i="2" s="1"/>
  <c r="L1410" i="2"/>
  <c r="K1410" i="2"/>
  <c r="M1410" i="2"/>
  <c r="N1410" i="2" s="1"/>
  <c r="R1866" i="2" s="1"/>
  <c r="L1409" i="2"/>
  <c r="K1409" i="2"/>
  <c r="M1409" i="2"/>
  <c r="N1409" i="2" s="1"/>
  <c r="R1865" i="2" s="1"/>
  <c r="L1408" i="2"/>
  <c r="K1408" i="2"/>
  <c r="M1408" i="2"/>
  <c r="N1408" i="2" s="1"/>
  <c r="R1864" i="2" s="1"/>
  <c r="L1407" i="2"/>
  <c r="K1407" i="2"/>
  <c r="M1407" i="2"/>
  <c r="N1407" i="2" s="1"/>
  <c r="R1863" i="2" s="1"/>
  <c r="L1406" i="2"/>
  <c r="K1406" i="2"/>
  <c r="M1406" i="2"/>
  <c r="N1406" i="2" s="1"/>
  <c r="L1405" i="2"/>
  <c r="K1405" i="2"/>
  <c r="M1405" i="2"/>
  <c r="N1405" i="2" s="1"/>
  <c r="R1861" i="2" s="1"/>
  <c r="L1404" i="2"/>
  <c r="K1404" i="2"/>
  <c r="M1404" i="2"/>
  <c r="N1404" i="2" s="1"/>
  <c r="R1860" i="2" s="1"/>
  <c r="L1403" i="2"/>
  <c r="K1403" i="2"/>
  <c r="M1403" i="2"/>
  <c r="N1403" i="2" s="1"/>
  <c r="R1859" i="2" s="1"/>
  <c r="L1402" i="2"/>
  <c r="K1402" i="2"/>
  <c r="M1402" i="2"/>
  <c r="N1402" i="2" s="1"/>
  <c r="R1858" i="2" s="1"/>
  <c r="L1401" i="2"/>
  <c r="K1401" i="2"/>
  <c r="M1401" i="2"/>
  <c r="N1401" i="2" s="1"/>
  <c r="R1857" i="2" s="1"/>
  <c r="L1400" i="2"/>
  <c r="K1400" i="2"/>
  <c r="M1400" i="2"/>
  <c r="N1400" i="2" s="1"/>
  <c r="R1856" i="2" s="1"/>
  <c r="L1399" i="2"/>
  <c r="K1399" i="2"/>
  <c r="M1399" i="2"/>
  <c r="N1399" i="2" s="1"/>
  <c r="R1855" i="2" s="1"/>
  <c r="L1398" i="2"/>
  <c r="K1398" i="2"/>
  <c r="M1398" i="2"/>
  <c r="N1398" i="2" s="1"/>
  <c r="L1397" i="2"/>
  <c r="K1397" i="2"/>
  <c r="M1397" i="2"/>
  <c r="N1397" i="2" s="1"/>
  <c r="R1853" i="2" s="1"/>
  <c r="L1396" i="2"/>
  <c r="K1396" i="2"/>
  <c r="M1396" i="2"/>
  <c r="N1396" i="2" s="1"/>
  <c r="R1852" i="2" s="1"/>
  <c r="L1395" i="2"/>
  <c r="K1395" i="2"/>
  <c r="M1395" i="2"/>
  <c r="N1395" i="2" s="1"/>
  <c r="R1851" i="2" s="1"/>
  <c r="L1394" i="2"/>
  <c r="K1394" i="2"/>
  <c r="M1394" i="2"/>
  <c r="N1394" i="2" s="1"/>
  <c r="R1850" i="2" s="1"/>
  <c r="L1393" i="2"/>
  <c r="K1393" i="2"/>
  <c r="M1393" i="2"/>
  <c r="N1393" i="2" s="1"/>
  <c r="R1849" i="2" s="1"/>
  <c r="L1392" i="2"/>
  <c r="K1392" i="2"/>
  <c r="M1392" i="2"/>
  <c r="N1392" i="2" s="1"/>
  <c r="R1848" i="2" s="1"/>
  <c r="L1391" i="2"/>
  <c r="K1391" i="2"/>
  <c r="M1391" i="2"/>
  <c r="N1391" i="2" s="1"/>
  <c r="R1847" i="2" s="1"/>
  <c r="L1390" i="2"/>
  <c r="K1390" i="2"/>
  <c r="M1390" i="2"/>
  <c r="N1390" i="2" s="1"/>
  <c r="L1389" i="2"/>
  <c r="K1389" i="2"/>
  <c r="M1389" i="2"/>
  <c r="N1389" i="2" s="1"/>
  <c r="R1845" i="2" s="1"/>
  <c r="L1388" i="2"/>
  <c r="K1388" i="2"/>
  <c r="M1388" i="2"/>
  <c r="N1388" i="2" s="1"/>
  <c r="R1844" i="2" s="1"/>
  <c r="L1387" i="2"/>
  <c r="K1387" i="2"/>
  <c r="M1387" i="2"/>
  <c r="N1387" i="2" s="1"/>
  <c r="R1843" i="2" s="1"/>
  <c r="L1386" i="2"/>
  <c r="K1386" i="2"/>
  <c r="M1386" i="2"/>
  <c r="N1386" i="2" s="1"/>
  <c r="R1842" i="2" s="1"/>
  <c r="L1385" i="2"/>
  <c r="K1385" i="2"/>
  <c r="M1385" i="2"/>
  <c r="N1385" i="2" s="1"/>
  <c r="R1841" i="2" s="1"/>
  <c r="L1384" i="2"/>
  <c r="K1384" i="2"/>
  <c r="M1384" i="2"/>
  <c r="N1384" i="2" s="1"/>
  <c r="R1840" i="2" s="1"/>
  <c r="L1383" i="2"/>
  <c r="K1383" i="2"/>
  <c r="M1383" i="2"/>
  <c r="N1383" i="2" s="1"/>
  <c r="L1382" i="2"/>
  <c r="K1382" i="2"/>
  <c r="M1382" i="2"/>
  <c r="N1382" i="2" s="1"/>
  <c r="L1381" i="2"/>
  <c r="K1381" i="2"/>
  <c r="M1381" i="2"/>
  <c r="N1381" i="2" s="1"/>
  <c r="R1837" i="2" s="1"/>
  <c r="L1380" i="2"/>
  <c r="K1380" i="2"/>
  <c r="M1380" i="2"/>
  <c r="N1380" i="2" s="1"/>
  <c r="R1836" i="2" s="1"/>
  <c r="L1379" i="2"/>
  <c r="K1379" i="2"/>
  <c r="M1379" i="2"/>
  <c r="N1379" i="2" s="1"/>
  <c r="R1835" i="2" s="1"/>
  <c r="L1378" i="2"/>
  <c r="K1378" i="2"/>
  <c r="M1378" i="2"/>
  <c r="N1378" i="2" s="1"/>
  <c r="R1834" i="2" s="1"/>
  <c r="L1377" i="2"/>
  <c r="K1377" i="2"/>
  <c r="M1377" i="2"/>
  <c r="N1377" i="2" s="1"/>
  <c r="R1833" i="2" s="1"/>
  <c r="L1376" i="2"/>
  <c r="K1376" i="2"/>
  <c r="M1376" i="2"/>
  <c r="N1376" i="2" s="1"/>
  <c r="L1375" i="2"/>
  <c r="K1375" i="2"/>
  <c r="M1375" i="2"/>
  <c r="N1375" i="2" s="1"/>
  <c r="E1375" i="2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L1374" i="2"/>
  <c r="K1374" i="2"/>
  <c r="M1374" i="2"/>
  <c r="N1374" i="2" s="1"/>
  <c r="O1390" i="2" l="1"/>
  <c r="R1846" i="2"/>
  <c r="O1406" i="2"/>
  <c r="R1862" i="2"/>
  <c r="O1376" i="2"/>
  <c r="R1832" i="2"/>
  <c r="O1374" i="2"/>
  <c r="R1830" i="2"/>
  <c r="P1411" i="2"/>
  <c r="R1867" i="2"/>
  <c r="O1382" i="2"/>
  <c r="R1838" i="2"/>
  <c r="P1375" i="2"/>
  <c r="R1831" i="2"/>
  <c r="O1383" i="2"/>
  <c r="R1839" i="2"/>
  <c r="O1398" i="2"/>
  <c r="R1854" i="2"/>
  <c r="P1390" i="2"/>
  <c r="P1383" i="2"/>
  <c r="P1382" i="2"/>
  <c r="O1410" i="2"/>
  <c r="P1410" i="2"/>
  <c r="P1385" i="2"/>
  <c r="O1386" i="2"/>
  <c r="O1375" i="2"/>
  <c r="P1376" i="2"/>
  <c r="O1407" i="2"/>
  <c r="P1407" i="2"/>
  <c r="P1388" i="2"/>
  <c r="O1388" i="2"/>
  <c r="P1392" i="2"/>
  <c r="O1392" i="2"/>
  <c r="P1408" i="2"/>
  <c r="O1408" i="2"/>
  <c r="P1377" i="2"/>
  <c r="O1377" i="2"/>
  <c r="P1394" i="2"/>
  <c r="O1394" i="2"/>
  <c r="P1402" i="2"/>
  <c r="O1402" i="2"/>
  <c r="P1380" i="2"/>
  <c r="O1380" i="2"/>
  <c r="P1384" i="2"/>
  <c r="O1384" i="2"/>
  <c r="P1405" i="2"/>
  <c r="O1405" i="2"/>
  <c r="O1378" i="2"/>
  <c r="P1378" i="2"/>
  <c r="P1393" i="2"/>
  <c r="O1393" i="2"/>
  <c r="P1395" i="2"/>
  <c r="O1395" i="2"/>
  <c r="P1401" i="2"/>
  <c r="O1401" i="2"/>
  <c r="P1381" i="2"/>
  <c r="O1381" i="2"/>
  <c r="P1387" i="2"/>
  <c r="O1387" i="2"/>
  <c r="P1396" i="2"/>
  <c r="O1396" i="2"/>
  <c r="P1403" i="2"/>
  <c r="P1374" i="2"/>
  <c r="O1399" i="2"/>
  <c r="O1400" i="2"/>
  <c r="O1403" i="2"/>
  <c r="P1406" i="2"/>
  <c r="P1399" i="2"/>
  <c r="P1400" i="2"/>
  <c r="O1409" i="2"/>
  <c r="O1391" i="2"/>
  <c r="P1398" i="2"/>
  <c r="P1409" i="2"/>
  <c r="P1391" i="2"/>
  <c r="P1397" i="2"/>
  <c r="O1397" i="2"/>
  <c r="O1385" i="2"/>
  <c r="P1404" i="2"/>
  <c r="O1404" i="2"/>
  <c r="P1379" i="2"/>
  <c r="O1379" i="2"/>
  <c r="P1386" i="2"/>
  <c r="P1389" i="2"/>
  <c r="O1389" i="2"/>
  <c r="O1411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36" i="2"/>
  <c r="M1373" i="2" l="1"/>
  <c r="N1373" i="2" s="1"/>
  <c r="R1829" i="2" s="1"/>
  <c r="L1373" i="2"/>
  <c r="K1373" i="2"/>
  <c r="L1372" i="2"/>
  <c r="K1372" i="2"/>
  <c r="M1372" i="2"/>
  <c r="N1372" i="2" s="1"/>
  <c r="R1828" i="2" s="1"/>
  <c r="L1371" i="2"/>
  <c r="K1371" i="2"/>
  <c r="M1371" i="2"/>
  <c r="N1371" i="2" s="1"/>
  <c r="R1827" i="2" s="1"/>
  <c r="L1370" i="2"/>
  <c r="K1370" i="2"/>
  <c r="M1370" i="2"/>
  <c r="N1370" i="2" s="1"/>
  <c r="R1826" i="2" s="1"/>
  <c r="L1369" i="2"/>
  <c r="K1369" i="2"/>
  <c r="M1369" i="2"/>
  <c r="N1369" i="2" s="1"/>
  <c r="R1825" i="2" s="1"/>
  <c r="L1368" i="2"/>
  <c r="K1368" i="2"/>
  <c r="M1368" i="2"/>
  <c r="N1368" i="2" s="1"/>
  <c r="R1824" i="2" s="1"/>
  <c r="L1367" i="2"/>
  <c r="K1367" i="2"/>
  <c r="M1367" i="2"/>
  <c r="N1367" i="2" s="1"/>
  <c r="R1823" i="2" s="1"/>
  <c r="M1366" i="2"/>
  <c r="N1366" i="2" s="1"/>
  <c r="R1822" i="2" s="1"/>
  <c r="L1366" i="2"/>
  <c r="K1366" i="2"/>
  <c r="M1365" i="2"/>
  <c r="N1365" i="2" s="1"/>
  <c r="R1821" i="2" s="1"/>
  <c r="L1365" i="2"/>
  <c r="K1365" i="2"/>
  <c r="L1364" i="2"/>
  <c r="K1364" i="2"/>
  <c r="M1364" i="2"/>
  <c r="N1364" i="2" s="1"/>
  <c r="R1820" i="2" s="1"/>
  <c r="L1363" i="2"/>
  <c r="K1363" i="2"/>
  <c r="M1363" i="2"/>
  <c r="N1363" i="2" s="1"/>
  <c r="R1819" i="2" s="1"/>
  <c r="L1362" i="2"/>
  <c r="K1362" i="2"/>
  <c r="M1362" i="2"/>
  <c r="N1362" i="2" s="1"/>
  <c r="R1818" i="2" s="1"/>
  <c r="L1361" i="2"/>
  <c r="K1361" i="2"/>
  <c r="M1361" i="2"/>
  <c r="N1361" i="2" s="1"/>
  <c r="R1817" i="2" s="1"/>
  <c r="L1360" i="2"/>
  <c r="K1360" i="2"/>
  <c r="M1360" i="2"/>
  <c r="N1360" i="2" s="1"/>
  <c r="R1816" i="2" s="1"/>
  <c r="L1359" i="2"/>
  <c r="K1359" i="2"/>
  <c r="M1359" i="2"/>
  <c r="N1359" i="2" s="1"/>
  <c r="R1815" i="2" s="1"/>
  <c r="M1358" i="2"/>
  <c r="N1358" i="2" s="1"/>
  <c r="R1814" i="2" s="1"/>
  <c r="L1358" i="2"/>
  <c r="K1358" i="2"/>
  <c r="M1357" i="2"/>
  <c r="N1357" i="2" s="1"/>
  <c r="R1813" i="2" s="1"/>
  <c r="L1357" i="2"/>
  <c r="K1357" i="2"/>
  <c r="M1356" i="2"/>
  <c r="N1356" i="2" s="1"/>
  <c r="L1356" i="2"/>
  <c r="K1356" i="2"/>
  <c r="L1355" i="2"/>
  <c r="K1355" i="2"/>
  <c r="M1355" i="2"/>
  <c r="N1355" i="2" s="1"/>
  <c r="R1811" i="2" s="1"/>
  <c r="L1354" i="2"/>
  <c r="K1354" i="2"/>
  <c r="M1354" i="2"/>
  <c r="N1354" i="2" s="1"/>
  <c r="R1810" i="2" s="1"/>
  <c r="L1353" i="2"/>
  <c r="K1353" i="2"/>
  <c r="M1353" i="2"/>
  <c r="N1353" i="2" s="1"/>
  <c r="R1809" i="2" s="1"/>
  <c r="L1352" i="2"/>
  <c r="K1352" i="2"/>
  <c r="M1352" i="2"/>
  <c r="N1352" i="2" s="1"/>
  <c r="R1808" i="2" s="1"/>
  <c r="L1351" i="2"/>
  <c r="K1351" i="2"/>
  <c r="M1351" i="2"/>
  <c r="N1351" i="2" s="1"/>
  <c r="R1807" i="2" s="1"/>
  <c r="M1350" i="2"/>
  <c r="N1350" i="2" s="1"/>
  <c r="R1806" i="2" s="1"/>
  <c r="L1350" i="2"/>
  <c r="K1350" i="2"/>
  <c r="M1349" i="2"/>
  <c r="N1349" i="2" s="1"/>
  <c r="R1805" i="2" s="1"/>
  <c r="L1349" i="2"/>
  <c r="K1349" i="2"/>
  <c r="M1348" i="2"/>
  <c r="N1348" i="2" s="1"/>
  <c r="L1348" i="2"/>
  <c r="K1348" i="2"/>
  <c r="L1347" i="2"/>
  <c r="K1347" i="2"/>
  <c r="M1347" i="2"/>
  <c r="N1347" i="2" s="1"/>
  <c r="R1803" i="2" s="1"/>
  <c r="L1346" i="2"/>
  <c r="K1346" i="2"/>
  <c r="M1346" i="2"/>
  <c r="N1346" i="2" s="1"/>
  <c r="R1802" i="2" s="1"/>
  <c r="L1345" i="2"/>
  <c r="K1345" i="2"/>
  <c r="M1345" i="2"/>
  <c r="N1345" i="2" s="1"/>
  <c r="R1801" i="2" s="1"/>
  <c r="L1344" i="2"/>
  <c r="K1344" i="2"/>
  <c r="M1344" i="2"/>
  <c r="N1344" i="2" s="1"/>
  <c r="R1800" i="2" s="1"/>
  <c r="L1343" i="2"/>
  <c r="K1343" i="2"/>
  <c r="M1343" i="2"/>
  <c r="N1343" i="2" s="1"/>
  <c r="R1799" i="2" s="1"/>
  <c r="M1342" i="2"/>
  <c r="N1342" i="2" s="1"/>
  <c r="R1798" i="2" s="1"/>
  <c r="L1342" i="2"/>
  <c r="K1342" i="2"/>
  <c r="M1341" i="2"/>
  <c r="N1341" i="2" s="1"/>
  <c r="R1797" i="2" s="1"/>
  <c r="L1341" i="2"/>
  <c r="K1341" i="2"/>
  <c r="M1340" i="2"/>
  <c r="N1340" i="2" s="1"/>
  <c r="R1796" i="2" s="1"/>
  <c r="L1340" i="2"/>
  <c r="K1340" i="2"/>
  <c r="L1339" i="2"/>
  <c r="K1339" i="2"/>
  <c r="M1339" i="2"/>
  <c r="N1339" i="2" s="1"/>
  <c r="R1795" i="2" s="1"/>
  <c r="L1338" i="2"/>
  <c r="K1338" i="2"/>
  <c r="M1338" i="2"/>
  <c r="N1338" i="2" s="1"/>
  <c r="R1794" i="2" s="1"/>
  <c r="L1337" i="2"/>
  <c r="K1337" i="2"/>
  <c r="M1337" i="2"/>
  <c r="N1337" i="2" s="1"/>
  <c r="R1793" i="2" s="1"/>
  <c r="E1337" i="2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L1336" i="2"/>
  <c r="K1336" i="2"/>
  <c r="M1336" i="2"/>
  <c r="N1336" i="2" s="1"/>
  <c r="R1792" i="2" s="1"/>
  <c r="P1348" i="2" l="1"/>
  <c r="R1804" i="2"/>
  <c r="P1356" i="2"/>
  <c r="R1812" i="2"/>
  <c r="O1341" i="2"/>
  <c r="P1341" i="2"/>
  <c r="P1350" i="2"/>
  <c r="O1350" i="2"/>
  <c r="P1357" i="2"/>
  <c r="O1357" i="2"/>
  <c r="P1360" i="2"/>
  <c r="O1360" i="2"/>
  <c r="P1370" i="2"/>
  <c r="O1370" i="2"/>
  <c r="O1347" i="2"/>
  <c r="P1347" i="2"/>
  <c r="O1351" i="2"/>
  <c r="P1351" i="2"/>
  <c r="O1363" i="2"/>
  <c r="P1363" i="2"/>
  <c r="O1338" i="2"/>
  <c r="P1338" i="2"/>
  <c r="O1354" i="2"/>
  <c r="P1354" i="2"/>
  <c r="O1365" i="2"/>
  <c r="P1365" i="2"/>
  <c r="P1368" i="2"/>
  <c r="O1368" i="2"/>
  <c r="P1336" i="2"/>
  <c r="O1336" i="2"/>
  <c r="P1345" i="2"/>
  <c r="O1345" i="2"/>
  <c r="P1361" i="2"/>
  <c r="O1361" i="2"/>
  <c r="P1371" i="2"/>
  <c r="O1371" i="2"/>
  <c r="O1342" i="2"/>
  <c r="P1342" i="2"/>
  <c r="P1349" i="2"/>
  <c r="O1349" i="2"/>
  <c r="P1352" i="2"/>
  <c r="O1352" i="2"/>
  <c r="P1358" i="2"/>
  <c r="O1358" i="2"/>
  <c r="P1364" i="2"/>
  <c r="O1364" i="2"/>
  <c r="O1373" i="2"/>
  <c r="P1373" i="2"/>
  <c r="O1339" i="2"/>
  <c r="P1339" i="2"/>
  <c r="P1343" i="2"/>
  <c r="O1343" i="2"/>
  <c r="P1355" i="2"/>
  <c r="O1355" i="2"/>
  <c r="P1359" i="2"/>
  <c r="O1359" i="2"/>
  <c r="P1369" i="2"/>
  <c r="O1369" i="2"/>
  <c r="O1346" i="2"/>
  <c r="P1346" i="2"/>
  <c r="P1362" i="2"/>
  <c r="O1362" i="2"/>
  <c r="P1366" i="2"/>
  <c r="O1366" i="2"/>
  <c r="P1372" i="2"/>
  <c r="O1372" i="2"/>
  <c r="P1344" i="2"/>
  <c r="O1344" i="2"/>
  <c r="P1337" i="2"/>
  <c r="O1337" i="2"/>
  <c r="P1353" i="2"/>
  <c r="O1353" i="2"/>
  <c r="O1367" i="2"/>
  <c r="P1367" i="2"/>
  <c r="O1348" i="2"/>
  <c r="O1356" i="2"/>
  <c r="P1340" i="2"/>
  <c r="O1340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298" i="2"/>
  <c r="M1335" i="2" l="1"/>
  <c r="N1335" i="2" s="1"/>
  <c r="R1791" i="2" s="1"/>
  <c r="L1335" i="2"/>
  <c r="K1335" i="2"/>
  <c r="M1334" i="2"/>
  <c r="N1334" i="2" s="1"/>
  <c r="R1790" i="2" s="1"/>
  <c r="L1334" i="2"/>
  <c r="K1334" i="2"/>
  <c r="L1333" i="2"/>
  <c r="K1333" i="2"/>
  <c r="M1333" i="2"/>
  <c r="N1333" i="2" s="1"/>
  <c r="R1789" i="2" s="1"/>
  <c r="L1332" i="2"/>
  <c r="K1332" i="2"/>
  <c r="M1332" i="2"/>
  <c r="N1332" i="2" s="1"/>
  <c r="R1788" i="2" s="1"/>
  <c r="L1331" i="2"/>
  <c r="K1331" i="2"/>
  <c r="M1331" i="2"/>
  <c r="N1331" i="2" s="1"/>
  <c r="R1787" i="2" s="1"/>
  <c r="L1330" i="2"/>
  <c r="K1330" i="2"/>
  <c r="M1330" i="2"/>
  <c r="N1330" i="2" s="1"/>
  <c r="R1786" i="2" s="1"/>
  <c r="M1329" i="2"/>
  <c r="N1329" i="2" s="1"/>
  <c r="R1785" i="2" s="1"/>
  <c r="L1329" i="2"/>
  <c r="K1329" i="2"/>
  <c r="M1328" i="2"/>
  <c r="N1328" i="2" s="1"/>
  <c r="R1784" i="2" s="1"/>
  <c r="L1328" i="2"/>
  <c r="K1328" i="2"/>
  <c r="M1327" i="2"/>
  <c r="N1327" i="2" s="1"/>
  <c r="R1783" i="2" s="1"/>
  <c r="L1327" i="2"/>
  <c r="K1327" i="2"/>
  <c r="M1326" i="2"/>
  <c r="N1326" i="2" s="1"/>
  <c r="R1782" i="2" s="1"/>
  <c r="L1326" i="2"/>
  <c r="K1326" i="2"/>
  <c r="L1325" i="2"/>
  <c r="K1325" i="2"/>
  <c r="M1325" i="2"/>
  <c r="N1325" i="2" s="1"/>
  <c r="R1781" i="2" s="1"/>
  <c r="L1324" i="2"/>
  <c r="K1324" i="2"/>
  <c r="M1324" i="2"/>
  <c r="N1324" i="2" s="1"/>
  <c r="R1780" i="2" s="1"/>
  <c r="L1323" i="2"/>
  <c r="K1323" i="2"/>
  <c r="M1323" i="2"/>
  <c r="N1323" i="2" s="1"/>
  <c r="R1779" i="2" s="1"/>
  <c r="L1322" i="2"/>
  <c r="K1322" i="2"/>
  <c r="M1322" i="2"/>
  <c r="N1322" i="2" s="1"/>
  <c r="R1778" i="2" s="1"/>
  <c r="M1321" i="2"/>
  <c r="N1321" i="2" s="1"/>
  <c r="R1777" i="2" s="1"/>
  <c r="L1321" i="2"/>
  <c r="K1321" i="2"/>
  <c r="M1320" i="2"/>
  <c r="N1320" i="2" s="1"/>
  <c r="R1776" i="2" s="1"/>
  <c r="L1320" i="2"/>
  <c r="K1320" i="2"/>
  <c r="M1319" i="2"/>
  <c r="N1319" i="2" s="1"/>
  <c r="R1775" i="2" s="1"/>
  <c r="L1319" i="2"/>
  <c r="K1319" i="2"/>
  <c r="M1318" i="2"/>
  <c r="N1318" i="2" s="1"/>
  <c r="R1774" i="2" s="1"/>
  <c r="L1318" i="2"/>
  <c r="K1318" i="2"/>
  <c r="L1317" i="2"/>
  <c r="K1317" i="2"/>
  <c r="M1317" i="2"/>
  <c r="N1317" i="2" s="1"/>
  <c r="R1773" i="2" s="1"/>
  <c r="L1316" i="2"/>
  <c r="K1316" i="2"/>
  <c r="M1316" i="2"/>
  <c r="N1316" i="2" s="1"/>
  <c r="L1315" i="2"/>
  <c r="K1315" i="2"/>
  <c r="M1315" i="2"/>
  <c r="N1315" i="2" s="1"/>
  <c r="R1771" i="2" s="1"/>
  <c r="L1314" i="2"/>
  <c r="K1314" i="2"/>
  <c r="M1314" i="2"/>
  <c r="N1314" i="2" s="1"/>
  <c r="R1770" i="2" s="1"/>
  <c r="M1313" i="2"/>
  <c r="N1313" i="2" s="1"/>
  <c r="R1769" i="2" s="1"/>
  <c r="L1313" i="2"/>
  <c r="K1313" i="2"/>
  <c r="M1312" i="2"/>
  <c r="N1312" i="2" s="1"/>
  <c r="R1768" i="2" s="1"/>
  <c r="L1312" i="2"/>
  <c r="K1312" i="2"/>
  <c r="M1311" i="2"/>
  <c r="N1311" i="2" s="1"/>
  <c r="R1767" i="2" s="1"/>
  <c r="L1311" i="2"/>
  <c r="K1311" i="2"/>
  <c r="M1310" i="2"/>
  <c r="N1310" i="2" s="1"/>
  <c r="R1766" i="2" s="1"/>
  <c r="L1310" i="2"/>
  <c r="K1310" i="2"/>
  <c r="L1309" i="2"/>
  <c r="K1309" i="2"/>
  <c r="M1309" i="2"/>
  <c r="N1309" i="2" s="1"/>
  <c r="R1765" i="2" s="1"/>
  <c r="L1308" i="2"/>
  <c r="K1308" i="2"/>
  <c r="M1308" i="2"/>
  <c r="N1308" i="2" s="1"/>
  <c r="L1307" i="2"/>
  <c r="K1307" i="2"/>
  <c r="M1307" i="2"/>
  <c r="N1307" i="2" s="1"/>
  <c r="R1763" i="2" s="1"/>
  <c r="L1306" i="2"/>
  <c r="K1306" i="2"/>
  <c r="M1306" i="2"/>
  <c r="N1306" i="2" s="1"/>
  <c r="R1762" i="2" s="1"/>
  <c r="M1305" i="2"/>
  <c r="N1305" i="2" s="1"/>
  <c r="R1761" i="2" s="1"/>
  <c r="L1305" i="2"/>
  <c r="K1305" i="2"/>
  <c r="M1304" i="2"/>
  <c r="N1304" i="2" s="1"/>
  <c r="R1760" i="2" s="1"/>
  <c r="L1304" i="2"/>
  <c r="K1304" i="2"/>
  <c r="M1303" i="2"/>
  <c r="N1303" i="2" s="1"/>
  <c r="R1759" i="2" s="1"/>
  <c r="L1303" i="2"/>
  <c r="K1303" i="2"/>
  <c r="M1302" i="2"/>
  <c r="N1302" i="2" s="1"/>
  <c r="R1758" i="2" s="1"/>
  <c r="L1302" i="2"/>
  <c r="K1302" i="2"/>
  <c r="L1301" i="2"/>
  <c r="K1301" i="2"/>
  <c r="M1301" i="2"/>
  <c r="N1301" i="2" s="1"/>
  <c r="R1757" i="2" s="1"/>
  <c r="L1300" i="2"/>
  <c r="K1300" i="2"/>
  <c r="M1300" i="2"/>
  <c r="N1300" i="2" s="1"/>
  <c r="L1299" i="2"/>
  <c r="K1299" i="2"/>
  <c r="M1299" i="2"/>
  <c r="N1299" i="2" s="1"/>
  <c r="R1755" i="2" s="1"/>
  <c r="E1299" i="2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L1298" i="2"/>
  <c r="K1298" i="2"/>
  <c r="M1298" i="2"/>
  <c r="N1298" i="2" s="1"/>
  <c r="R1754" i="2" s="1"/>
  <c r="P1308" i="2" l="1"/>
  <c r="R1764" i="2"/>
  <c r="P1300" i="2"/>
  <c r="R1756" i="2"/>
  <c r="P1316" i="2"/>
  <c r="R1772" i="2"/>
  <c r="P1322" i="2"/>
  <c r="O1322" i="2"/>
  <c r="S1398" i="2" s="1"/>
  <c r="O1324" i="2"/>
  <c r="S1400" i="2" s="1"/>
  <c r="O1327" i="2"/>
  <c r="S1403" i="2" s="1"/>
  <c r="P1327" i="2"/>
  <c r="O1329" i="2"/>
  <c r="S1405" i="2" s="1"/>
  <c r="P1329" i="2"/>
  <c r="P1301" i="2"/>
  <c r="P1302" i="2"/>
  <c r="O1302" i="2"/>
  <c r="S1378" i="2" s="1"/>
  <c r="P1330" i="2"/>
  <c r="O1330" i="2"/>
  <c r="S1406" i="2" s="1"/>
  <c r="P1307" i="2"/>
  <c r="O1307" i="2"/>
  <c r="S1383" i="2" s="1"/>
  <c r="P1309" i="2"/>
  <c r="P1310" i="2"/>
  <c r="O1310" i="2"/>
  <c r="S1386" i="2" s="1"/>
  <c r="P1312" i="2"/>
  <c r="O1312" i="2"/>
  <c r="S1388" i="2" s="1"/>
  <c r="P1333" i="2"/>
  <c r="O1333" i="2"/>
  <c r="S1409" i="2" s="1"/>
  <c r="P1315" i="2"/>
  <c r="O1315" i="2"/>
  <c r="S1391" i="2" s="1"/>
  <c r="P1317" i="2"/>
  <c r="O1318" i="2"/>
  <c r="S1394" i="2" s="1"/>
  <c r="P1318" i="2"/>
  <c r="P1320" i="2"/>
  <c r="O1320" i="2"/>
  <c r="S1396" i="2" s="1"/>
  <c r="P1324" i="2"/>
  <c r="O1301" i="2"/>
  <c r="S1377" i="2" s="1"/>
  <c r="P1323" i="2"/>
  <c r="O1323" i="2"/>
  <c r="S1399" i="2" s="1"/>
  <c r="P1325" i="2"/>
  <c r="P1326" i="2"/>
  <c r="O1326" i="2"/>
  <c r="S1402" i="2" s="1"/>
  <c r="P1328" i="2"/>
  <c r="O1328" i="2"/>
  <c r="S1404" i="2" s="1"/>
  <c r="P1331" i="2"/>
  <c r="O1331" i="2"/>
  <c r="S1407" i="2" s="1"/>
  <c r="P1298" i="2"/>
  <c r="O1298" i="2"/>
  <c r="S1374" i="2" s="1"/>
  <c r="O1300" i="2"/>
  <c r="S1376" i="2" s="1"/>
  <c r="O1303" i="2"/>
  <c r="S1379" i="2" s="1"/>
  <c r="P1303" i="2"/>
  <c r="O1305" i="2"/>
  <c r="S1381" i="2" s="1"/>
  <c r="P1305" i="2"/>
  <c r="O1309" i="2"/>
  <c r="S1385" i="2" s="1"/>
  <c r="O1335" i="2"/>
  <c r="S1411" i="2" s="1"/>
  <c r="P1335" i="2"/>
  <c r="P1306" i="2"/>
  <c r="O1306" i="2"/>
  <c r="S1382" i="2" s="1"/>
  <c r="O1308" i="2"/>
  <c r="S1384" i="2" s="1"/>
  <c r="P1311" i="2"/>
  <c r="O1311" i="2"/>
  <c r="S1387" i="2" s="1"/>
  <c r="P1313" i="2"/>
  <c r="O1313" i="2"/>
  <c r="S1389" i="2" s="1"/>
  <c r="O1317" i="2"/>
  <c r="S1393" i="2" s="1"/>
  <c r="P1314" i="2"/>
  <c r="O1314" i="2"/>
  <c r="S1390" i="2" s="1"/>
  <c r="O1316" i="2"/>
  <c r="S1392" i="2" s="1"/>
  <c r="P1319" i="2"/>
  <c r="O1319" i="2"/>
  <c r="S1395" i="2" s="1"/>
  <c r="O1321" i="2"/>
  <c r="S1397" i="2" s="1"/>
  <c r="P1321" i="2"/>
  <c r="O1325" i="2"/>
  <c r="S1401" i="2" s="1"/>
  <c r="O1332" i="2"/>
  <c r="S1408" i="2" s="1"/>
  <c r="P1332" i="2"/>
  <c r="P1299" i="2"/>
  <c r="O1299" i="2"/>
  <c r="S1375" i="2" s="1"/>
  <c r="P1304" i="2"/>
  <c r="O1304" i="2"/>
  <c r="S1380" i="2" s="1"/>
  <c r="O1334" i="2"/>
  <c r="S1410" i="2" s="1"/>
  <c r="P1334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61" i="2"/>
  <c r="J1260" i="2"/>
  <c r="M1297" i="2" l="1"/>
  <c r="N1297" i="2" s="1"/>
  <c r="R1753" i="2" s="1"/>
  <c r="L1297" i="2"/>
  <c r="K1297" i="2"/>
  <c r="M1296" i="2"/>
  <c r="N1296" i="2" s="1"/>
  <c r="R1752" i="2" s="1"/>
  <c r="L1296" i="2"/>
  <c r="K1296" i="2"/>
  <c r="L1295" i="2"/>
  <c r="K1295" i="2"/>
  <c r="M1295" i="2"/>
  <c r="N1295" i="2" s="1"/>
  <c r="R1751" i="2" s="1"/>
  <c r="M1294" i="2"/>
  <c r="N1294" i="2" s="1"/>
  <c r="R1750" i="2" s="1"/>
  <c r="L1294" i="2"/>
  <c r="K1294" i="2"/>
  <c r="M1293" i="2"/>
  <c r="N1293" i="2" s="1"/>
  <c r="R1749" i="2" s="1"/>
  <c r="L1293" i="2"/>
  <c r="K1293" i="2"/>
  <c r="L1292" i="2"/>
  <c r="K1292" i="2"/>
  <c r="M1292" i="2"/>
  <c r="N1292" i="2" s="1"/>
  <c r="R1748" i="2" s="1"/>
  <c r="L1291" i="2"/>
  <c r="K1291" i="2"/>
  <c r="M1291" i="2"/>
  <c r="N1291" i="2" s="1"/>
  <c r="R1747" i="2" s="1"/>
  <c r="M1290" i="2"/>
  <c r="N1290" i="2" s="1"/>
  <c r="R1746" i="2" s="1"/>
  <c r="L1290" i="2"/>
  <c r="K1290" i="2"/>
  <c r="M1289" i="2"/>
  <c r="N1289" i="2" s="1"/>
  <c r="R1745" i="2" s="1"/>
  <c r="L1289" i="2"/>
  <c r="K1289" i="2"/>
  <c r="M1288" i="2"/>
  <c r="N1288" i="2" s="1"/>
  <c r="R1744" i="2" s="1"/>
  <c r="L1288" i="2"/>
  <c r="K1288" i="2"/>
  <c r="L1287" i="2"/>
  <c r="K1287" i="2"/>
  <c r="M1287" i="2"/>
  <c r="N1287" i="2" s="1"/>
  <c r="R1743" i="2" s="1"/>
  <c r="M1286" i="2"/>
  <c r="N1286" i="2" s="1"/>
  <c r="R1742" i="2" s="1"/>
  <c r="L1286" i="2"/>
  <c r="K1286" i="2"/>
  <c r="M1285" i="2"/>
  <c r="N1285" i="2" s="1"/>
  <c r="R1741" i="2" s="1"/>
  <c r="L1285" i="2"/>
  <c r="K1285" i="2"/>
  <c r="L1284" i="2"/>
  <c r="K1284" i="2"/>
  <c r="M1284" i="2"/>
  <c r="N1284" i="2" s="1"/>
  <c r="R1740" i="2" s="1"/>
  <c r="L1283" i="2"/>
  <c r="K1283" i="2"/>
  <c r="M1283" i="2"/>
  <c r="N1283" i="2" s="1"/>
  <c r="R1739" i="2" s="1"/>
  <c r="M1282" i="2"/>
  <c r="N1282" i="2" s="1"/>
  <c r="R1738" i="2" s="1"/>
  <c r="L1282" i="2"/>
  <c r="K1282" i="2"/>
  <c r="M1281" i="2"/>
  <c r="N1281" i="2" s="1"/>
  <c r="R1737" i="2" s="1"/>
  <c r="L1281" i="2"/>
  <c r="K1281" i="2"/>
  <c r="M1280" i="2"/>
  <c r="N1280" i="2" s="1"/>
  <c r="R1736" i="2" s="1"/>
  <c r="L1280" i="2"/>
  <c r="K1280" i="2"/>
  <c r="L1279" i="2"/>
  <c r="K1279" i="2"/>
  <c r="M1279" i="2"/>
  <c r="N1279" i="2" s="1"/>
  <c r="R1735" i="2" s="1"/>
  <c r="M1278" i="2"/>
  <c r="N1278" i="2" s="1"/>
  <c r="R1734" i="2" s="1"/>
  <c r="L1278" i="2"/>
  <c r="K1278" i="2"/>
  <c r="M1277" i="2"/>
  <c r="N1277" i="2" s="1"/>
  <c r="R1733" i="2" s="1"/>
  <c r="L1277" i="2"/>
  <c r="K1277" i="2"/>
  <c r="L1276" i="2"/>
  <c r="K1276" i="2"/>
  <c r="M1276" i="2"/>
  <c r="N1276" i="2" s="1"/>
  <c r="R1732" i="2" s="1"/>
  <c r="L1275" i="2"/>
  <c r="K1275" i="2"/>
  <c r="M1275" i="2"/>
  <c r="N1275" i="2" s="1"/>
  <c r="R1731" i="2" s="1"/>
  <c r="M1274" i="2"/>
  <c r="N1274" i="2" s="1"/>
  <c r="R1730" i="2" s="1"/>
  <c r="L1274" i="2"/>
  <c r="K1274" i="2"/>
  <c r="M1273" i="2"/>
  <c r="N1273" i="2" s="1"/>
  <c r="R1729" i="2" s="1"/>
  <c r="L1273" i="2"/>
  <c r="K1273" i="2"/>
  <c r="M1272" i="2"/>
  <c r="N1272" i="2" s="1"/>
  <c r="R1728" i="2" s="1"/>
  <c r="L1272" i="2"/>
  <c r="K1272" i="2"/>
  <c r="L1271" i="2"/>
  <c r="K1271" i="2"/>
  <c r="M1271" i="2"/>
  <c r="N1271" i="2" s="1"/>
  <c r="R1727" i="2" s="1"/>
  <c r="M1270" i="2"/>
  <c r="N1270" i="2" s="1"/>
  <c r="R1726" i="2" s="1"/>
  <c r="L1270" i="2"/>
  <c r="K1270" i="2"/>
  <c r="M1269" i="2"/>
  <c r="N1269" i="2" s="1"/>
  <c r="R1725" i="2" s="1"/>
  <c r="L1269" i="2"/>
  <c r="K1269" i="2"/>
  <c r="L1268" i="2"/>
  <c r="K1268" i="2"/>
  <c r="M1268" i="2"/>
  <c r="N1268" i="2" s="1"/>
  <c r="R1724" i="2" s="1"/>
  <c r="L1267" i="2"/>
  <c r="K1267" i="2"/>
  <c r="M1267" i="2"/>
  <c r="N1267" i="2" s="1"/>
  <c r="R1723" i="2" s="1"/>
  <c r="M1266" i="2"/>
  <c r="N1266" i="2" s="1"/>
  <c r="R1722" i="2" s="1"/>
  <c r="L1266" i="2"/>
  <c r="K1266" i="2"/>
  <c r="M1265" i="2"/>
  <c r="N1265" i="2" s="1"/>
  <c r="R1721" i="2" s="1"/>
  <c r="L1265" i="2"/>
  <c r="K1265" i="2"/>
  <c r="M1264" i="2"/>
  <c r="N1264" i="2" s="1"/>
  <c r="R1720" i="2" s="1"/>
  <c r="L1264" i="2"/>
  <c r="K1264" i="2"/>
  <c r="L1263" i="2"/>
  <c r="K1263" i="2"/>
  <c r="M1263" i="2"/>
  <c r="N1263" i="2" s="1"/>
  <c r="R1719" i="2" s="1"/>
  <c r="M1262" i="2"/>
  <c r="N1262" i="2" s="1"/>
  <c r="R1718" i="2" s="1"/>
  <c r="L1262" i="2"/>
  <c r="K1262" i="2"/>
  <c r="M1261" i="2"/>
  <c r="N1261" i="2" s="1"/>
  <c r="R1717" i="2" s="1"/>
  <c r="L1261" i="2"/>
  <c r="K1261" i="2"/>
  <c r="E1261" i="2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L1260" i="2"/>
  <c r="K1260" i="2"/>
  <c r="M1260" i="2"/>
  <c r="N1260" i="2" s="1"/>
  <c r="R1716" i="2" s="1"/>
  <c r="P1265" i="2" l="1"/>
  <c r="O1265" i="2"/>
  <c r="P1268" i="2"/>
  <c r="O1268" i="2"/>
  <c r="P1279" i="2"/>
  <c r="O1279" i="2"/>
  <c r="O1285" i="2"/>
  <c r="P1285" i="2"/>
  <c r="P1296" i="2"/>
  <c r="O1296" i="2"/>
  <c r="P1261" i="2"/>
  <c r="O1261" i="2"/>
  <c r="P1272" i="2"/>
  <c r="O1272" i="2"/>
  <c r="P1274" i="2"/>
  <c r="O1274" i="2"/>
  <c r="P1294" i="2"/>
  <c r="O1294" i="2"/>
  <c r="P1260" i="2"/>
  <c r="O1260" i="2"/>
  <c r="P1270" i="2"/>
  <c r="O1270" i="2"/>
  <c r="O1275" i="2"/>
  <c r="P1275" i="2"/>
  <c r="P1281" i="2"/>
  <c r="O1281" i="2"/>
  <c r="P1284" i="2"/>
  <c r="O1284" i="2"/>
  <c r="P1295" i="2"/>
  <c r="O1295" i="2"/>
  <c r="P1271" i="2"/>
  <c r="O1271" i="2"/>
  <c r="O1277" i="2"/>
  <c r="P1277" i="2"/>
  <c r="P1288" i="2"/>
  <c r="O1288" i="2"/>
  <c r="P1290" i="2"/>
  <c r="O1290" i="2"/>
  <c r="P1264" i="2"/>
  <c r="O1264" i="2"/>
  <c r="P1266" i="2"/>
  <c r="O1266" i="2"/>
  <c r="P1286" i="2"/>
  <c r="O1286" i="2"/>
  <c r="O1291" i="2"/>
  <c r="P1291" i="2"/>
  <c r="P1297" i="2"/>
  <c r="O1297" i="2"/>
  <c r="P1262" i="2"/>
  <c r="O1262" i="2"/>
  <c r="P1267" i="2"/>
  <c r="O1267" i="2"/>
  <c r="P1273" i="2"/>
  <c r="O1273" i="2"/>
  <c r="P1276" i="2"/>
  <c r="O1276" i="2"/>
  <c r="P1287" i="2"/>
  <c r="O1287" i="2"/>
  <c r="P1293" i="2"/>
  <c r="O1293" i="2"/>
  <c r="P1263" i="2"/>
  <c r="O1263" i="2"/>
  <c r="P1269" i="2"/>
  <c r="O1269" i="2"/>
  <c r="P1280" i="2"/>
  <c r="O1280" i="2"/>
  <c r="P1282" i="2"/>
  <c r="O1282" i="2"/>
  <c r="O1278" i="2"/>
  <c r="P1278" i="2"/>
  <c r="O1283" i="2"/>
  <c r="P1283" i="2"/>
  <c r="P1289" i="2"/>
  <c r="O1289" i="2"/>
  <c r="P1292" i="2"/>
  <c r="O1292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23" i="2"/>
  <c r="J1222" i="2"/>
  <c r="M1259" i="2" l="1"/>
  <c r="N1259" i="2" s="1"/>
  <c r="R1715" i="2" s="1"/>
  <c r="L1259" i="2"/>
  <c r="K1259" i="2"/>
  <c r="M1258" i="2"/>
  <c r="N1258" i="2" s="1"/>
  <c r="R1714" i="2" s="1"/>
  <c r="L1258" i="2"/>
  <c r="K1258" i="2"/>
  <c r="L1257" i="2"/>
  <c r="K1257" i="2"/>
  <c r="M1257" i="2"/>
  <c r="N1257" i="2" s="1"/>
  <c r="L1256" i="2"/>
  <c r="K1256" i="2"/>
  <c r="M1256" i="2"/>
  <c r="N1256" i="2" s="1"/>
  <c r="L1255" i="2"/>
  <c r="K1255" i="2"/>
  <c r="M1255" i="2"/>
  <c r="N1255" i="2" s="1"/>
  <c r="R1711" i="2" s="1"/>
  <c r="L1254" i="2"/>
  <c r="K1254" i="2"/>
  <c r="M1254" i="2"/>
  <c r="N1254" i="2" s="1"/>
  <c r="R1710" i="2" s="1"/>
  <c r="L1253" i="2"/>
  <c r="K1253" i="2"/>
  <c r="M1253" i="2"/>
  <c r="N1253" i="2" s="1"/>
  <c r="R1709" i="2" s="1"/>
  <c r="M1252" i="2"/>
  <c r="N1252" i="2" s="1"/>
  <c r="R1708" i="2" s="1"/>
  <c r="L1252" i="2"/>
  <c r="K1252" i="2"/>
  <c r="M1251" i="2"/>
  <c r="N1251" i="2" s="1"/>
  <c r="R1707" i="2" s="1"/>
  <c r="L1251" i="2"/>
  <c r="K1251" i="2"/>
  <c r="M1250" i="2"/>
  <c r="N1250" i="2" s="1"/>
  <c r="R1706" i="2" s="1"/>
  <c r="L1250" i="2"/>
  <c r="K1250" i="2"/>
  <c r="L1249" i="2"/>
  <c r="K1249" i="2"/>
  <c r="M1249" i="2"/>
  <c r="N1249" i="2" s="1"/>
  <c r="R1705" i="2" s="1"/>
  <c r="L1248" i="2"/>
  <c r="K1248" i="2"/>
  <c r="M1248" i="2"/>
  <c r="N1248" i="2" s="1"/>
  <c r="L1247" i="2"/>
  <c r="K1247" i="2"/>
  <c r="M1247" i="2"/>
  <c r="N1247" i="2" s="1"/>
  <c r="R1703" i="2" s="1"/>
  <c r="L1246" i="2"/>
  <c r="K1246" i="2"/>
  <c r="M1246" i="2"/>
  <c r="N1246" i="2" s="1"/>
  <c r="R1702" i="2" s="1"/>
  <c r="L1245" i="2"/>
  <c r="K1245" i="2"/>
  <c r="M1245" i="2"/>
  <c r="N1245" i="2" s="1"/>
  <c r="R1701" i="2" s="1"/>
  <c r="M1244" i="2"/>
  <c r="N1244" i="2" s="1"/>
  <c r="R1700" i="2" s="1"/>
  <c r="L1244" i="2"/>
  <c r="K1244" i="2"/>
  <c r="M1243" i="2"/>
  <c r="N1243" i="2" s="1"/>
  <c r="R1699" i="2" s="1"/>
  <c r="L1243" i="2"/>
  <c r="K1243" i="2"/>
  <c r="M1242" i="2"/>
  <c r="N1242" i="2" s="1"/>
  <c r="R1698" i="2" s="1"/>
  <c r="L1242" i="2"/>
  <c r="K1242" i="2"/>
  <c r="L1241" i="2"/>
  <c r="K1241" i="2"/>
  <c r="M1241" i="2"/>
  <c r="N1241" i="2" s="1"/>
  <c r="L1240" i="2"/>
  <c r="K1240" i="2"/>
  <c r="M1240" i="2"/>
  <c r="N1240" i="2" s="1"/>
  <c r="L1239" i="2"/>
  <c r="K1239" i="2"/>
  <c r="M1239" i="2"/>
  <c r="N1239" i="2" s="1"/>
  <c r="R1695" i="2" s="1"/>
  <c r="L1238" i="2"/>
  <c r="K1238" i="2"/>
  <c r="M1238" i="2"/>
  <c r="N1238" i="2" s="1"/>
  <c r="R1694" i="2" s="1"/>
  <c r="L1237" i="2"/>
  <c r="K1237" i="2"/>
  <c r="M1237" i="2"/>
  <c r="N1237" i="2" s="1"/>
  <c r="R1693" i="2" s="1"/>
  <c r="M1236" i="2"/>
  <c r="N1236" i="2" s="1"/>
  <c r="R1692" i="2" s="1"/>
  <c r="L1236" i="2"/>
  <c r="K1236" i="2"/>
  <c r="M1235" i="2"/>
  <c r="N1235" i="2" s="1"/>
  <c r="R1691" i="2" s="1"/>
  <c r="L1235" i="2"/>
  <c r="K1235" i="2"/>
  <c r="M1234" i="2"/>
  <c r="N1234" i="2" s="1"/>
  <c r="R1690" i="2" s="1"/>
  <c r="L1234" i="2"/>
  <c r="K1234" i="2"/>
  <c r="L1233" i="2"/>
  <c r="K1233" i="2"/>
  <c r="M1233" i="2"/>
  <c r="N1233" i="2" s="1"/>
  <c r="R1689" i="2" s="1"/>
  <c r="L1232" i="2"/>
  <c r="K1232" i="2"/>
  <c r="M1232" i="2"/>
  <c r="N1232" i="2" s="1"/>
  <c r="R1688" i="2" s="1"/>
  <c r="L1231" i="2"/>
  <c r="K1231" i="2"/>
  <c r="M1231" i="2"/>
  <c r="N1231" i="2" s="1"/>
  <c r="L1230" i="2"/>
  <c r="K1230" i="2"/>
  <c r="M1230" i="2"/>
  <c r="N1230" i="2" s="1"/>
  <c r="R1686" i="2" s="1"/>
  <c r="L1229" i="2"/>
  <c r="K1229" i="2"/>
  <c r="M1229" i="2"/>
  <c r="N1229" i="2" s="1"/>
  <c r="R1685" i="2" s="1"/>
  <c r="M1228" i="2"/>
  <c r="N1228" i="2" s="1"/>
  <c r="R1684" i="2" s="1"/>
  <c r="L1228" i="2"/>
  <c r="K1228" i="2"/>
  <c r="M1227" i="2"/>
  <c r="N1227" i="2" s="1"/>
  <c r="R1683" i="2" s="1"/>
  <c r="L1227" i="2"/>
  <c r="K1227" i="2"/>
  <c r="M1226" i="2"/>
  <c r="N1226" i="2" s="1"/>
  <c r="R1682" i="2" s="1"/>
  <c r="L1226" i="2"/>
  <c r="K1226" i="2"/>
  <c r="L1225" i="2"/>
  <c r="K1225" i="2"/>
  <c r="M1225" i="2"/>
  <c r="N1225" i="2" s="1"/>
  <c r="R1681" i="2" s="1"/>
  <c r="L1224" i="2"/>
  <c r="K1224" i="2"/>
  <c r="M1224" i="2"/>
  <c r="N1224" i="2" s="1"/>
  <c r="L1223" i="2"/>
  <c r="K1223" i="2"/>
  <c r="M1223" i="2"/>
  <c r="N1223" i="2" s="1"/>
  <c r="E1223" i="2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L1222" i="2"/>
  <c r="K1222" i="2"/>
  <c r="M1222" i="2"/>
  <c r="N1222" i="2" s="1"/>
  <c r="R1678" i="2" s="1"/>
  <c r="O1223" i="2" l="1"/>
  <c r="R1679" i="2"/>
  <c r="O1231" i="2"/>
  <c r="R1687" i="2"/>
  <c r="O1224" i="2"/>
  <c r="R1680" i="2"/>
  <c r="O1240" i="2"/>
  <c r="R1696" i="2"/>
  <c r="O1248" i="2"/>
  <c r="R1704" i="2"/>
  <c r="O1256" i="2"/>
  <c r="R1712" i="2"/>
  <c r="O1241" i="2"/>
  <c r="R1697" i="2"/>
  <c r="O1257" i="2"/>
  <c r="R1713" i="2"/>
  <c r="P1248" i="2"/>
  <c r="P1241" i="2"/>
  <c r="P1224" i="2"/>
  <c r="P1249" i="2"/>
  <c r="P1235" i="2"/>
  <c r="O1235" i="2"/>
  <c r="P1227" i="2"/>
  <c r="O1227" i="2"/>
  <c r="P1234" i="2"/>
  <c r="O1234" i="2"/>
  <c r="P1251" i="2"/>
  <c r="O1251" i="2"/>
  <c r="P1226" i="2"/>
  <c r="O1226" i="2"/>
  <c r="P1243" i="2"/>
  <c r="O1243" i="2"/>
  <c r="P1242" i="2"/>
  <c r="P1229" i="2"/>
  <c r="O1229" i="2"/>
  <c r="O1244" i="2"/>
  <c r="P1244" i="2"/>
  <c r="O1233" i="2"/>
  <c r="O1236" i="2"/>
  <c r="P1236" i="2"/>
  <c r="P1245" i="2"/>
  <c r="O1245" i="2"/>
  <c r="P1222" i="2"/>
  <c r="O1222" i="2"/>
  <c r="P1223" i="2"/>
  <c r="O1232" i="2"/>
  <c r="P1233" i="2"/>
  <c r="P1232" i="2"/>
  <c r="P1239" i="2"/>
  <c r="O1239" i="2"/>
  <c r="P1240" i="2"/>
  <c r="P1250" i="2"/>
  <c r="P1259" i="2"/>
  <c r="O1259" i="2"/>
  <c r="P1230" i="2"/>
  <c r="O1230" i="2"/>
  <c r="P1231" i="2"/>
  <c r="P1246" i="2"/>
  <c r="O1246" i="2"/>
  <c r="O1250" i="2"/>
  <c r="O1249" i="2"/>
  <c r="O1252" i="2"/>
  <c r="P1252" i="2"/>
  <c r="P1255" i="2"/>
  <c r="O1255" i="2"/>
  <c r="P1256" i="2"/>
  <c r="P1238" i="2"/>
  <c r="O1238" i="2"/>
  <c r="O1225" i="2"/>
  <c r="O1228" i="2"/>
  <c r="P1228" i="2"/>
  <c r="O1242" i="2"/>
  <c r="P1257" i="2"/>
  <c r="P1258" i="2"/>
  <c r="O1258" i="2"/>
  <c r="P1254" i="2"/>
  <c r="O1254" i="2"/>
  <c r="P1253" i="2"/>
  <c r="O1253" i="2"/>
  <c r="P1225" i="2"/>
  <c r="P1247" i="2"/>
  <c r="O1247" i="2"/>
  <c r="P1237" i="2"/>
  <c r="O1237" i="2"/>
  <c r="R303" i="4"/>
  <c r="S303" i="4" s="1"/>
  <c r="R300" i="4"/>
  <c r="S300" i="4" s="1"/>
  <c r="O300" i="4"/>
  <c r="P300" i="4" s="1"/>
  <c r="O301" i="4"/>
  <c r="P301" i="4"/>
  <c r="O302" i="4"/>
  <c r="P302" i="4"/>
  <c r="O303" i="4"/>
  <c r="P303" i="4"/>
  <c r="H303" i="4"/>
  <c r="I303" i="4" s="1"/>
  <c r="H300" i="4"/>
  <c r="I300" i="4" s="1"/>
  <c r="E300" i="4"/>
  <c r="F300" i="4"/>
  <c r="E301" i="4"/>
  <c r="F301" i="4"/>
  <c r="E302" i="4"/>
  <c r="F302" i="4"/>
  <c r="E303" i="4"/>
  <c r="F303" i="4" s="1"/>
  <c r="H241" i="4"/>
  <c r="I241" i="4" s="1"/>
  <c r="H238" i="4"/>
  <c r="I238" i="4" s="1"/>
  <c r="E238" i="4"/>
  <c r="F238" i="4" s="1"/>
  <c r="E239" i="4"/>
  <c r="F239" i="4"/>
  <c r="E240" i="4"/>
  <c r="F240" i="4"/>
  <c r="E241" i="4"/>
  <c r="F241" i="4" s="1"/>
  <c r="R241" i="4"/>
  <c r="S241" i="4" s="1"/>
  <c r="R238" i="4"/>
  <c r="S238" i="4" s="1"/>
  <c r="P241" i="4"/>
  <c r="P240" i="4"/>
  <c r="P239" i="4"/>
  <c r="P238" i="4"/>
  <c r="R179" i="4"/>
  <c r="S179" i="4" s="1"/>
  <c r="R176" i="4"/>
  <c r="S176" i="4" s="1"/>
  <c r="O176" i="4"/>
  <c r="P176" i="4"/>
  <c r="O177" i="4"/>
  <c r="P177" i="4" s="1"/>
  <c r="O178" i="4"/>
  <c r="P178" i="4"/>
  <c r="O179" i="4"/>
  <c r="P179" i="4"/>
  <c r="H179" i="4"/>
  <c r="I179" i="4" s="1"/>
  <c r="H176" i="4"/>
  <c r="I176" i="4" s="1"/>
  <c r="E176" i="4"/>
  <c r="F176" i="4"/>
  <c r="E177" i="4"/>
  <c r="F177" i="4"/>
  <c r="E178" i="4"/>
  <c r="F178" i="4"/>
  <c r="E179" i="4"/>
  <c r="F179" i="4" s="1"/>
  <c r="R118" i="4"/>
  <c r="S118" i="4" s="1"/>
  <c r="R115" i="4"/>
  <c r="S115" i="4" s="1"/>
  <c r="O115" i="4"/>
  <c r="P115" i="4"/>
  <c r="O116" i="4"/>
  <c r="P116" i="4"/>
  <c r="O117" i="4"/>
  <c r="P117" i="4"/>
  <c r="O118" i="4"/>
  <c r="P118" i="4" s="1"/>
  <c r="O241" i="4"/>
  <c r="O240" i="4"/>
  <c r="O239" i="4"/>
  <c r="O238" i="4"/>
  <c r="H118" i="4"/>
  <c r="I118" i="4" s="1"/>
  <c r="H115" i="4"/>
  <c r="I115" i="4" s="1"/>
  <c r="F118" i="4"/>
  <c r="F117" i="4"/>
  <c r="F116" i="4"/>
  <c r="E118" i="4"/>
  <c r="E117" i="4"/>
  <c r="E116" i="4"/>
  <c r="E115" i="4"/>
  <c r="F115" i="4"/>
  <c r="J1221" i="2" l="1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L1221" i="2" l="1"/>
  <c r="K1221" i="2"/>
  <c r="M1221" i="2"/>
  <c r="N1221" i="2" s="1"/>
  <c r="R1677" i="2" s="1"/>
  <c r="M1220" i="2"/>
  <c r="N1220" i="2" s="1"/>
  <c r="R1676" i="2" s="1"/>
  <c r="L1220" i="2"/>
  <c r="K1220" i="2"/>
  <c r="M1219" i="2"/>
  <c r="N1219" i="2" s="1"/>
  <c r="R1675" i="2" s="1"/>
  <c r="L1219" i="2"/>
  <c r="K1219" i="2"/>
  <c r="M1218" i="2"/>
  <c r="N1218" i="2" s="1"/>
  <c r="R1674" i="2" s="1"/>
  <c r="L1218" i="2"/>
  <c r="K1218" i="2"/>
  <c r="M1217" i="2"/>
  <c r="N1217" i="2" s="1"/>
  <c r="L1217" i="2"/>
  <c r="K1217" i="2"/>
  <c r="L1216" i="2"/>
  <c r="K1216" i="2"/>
  <c r="M1216" i="2"/>
  <c r="N1216" i="2" s="1"/>
  <c r="R1672" i="2" s="1"/>
  <c r="L1215" i="2"/>
  <c r="K1215" i="2"/>
  <c r="M1215" i="2"/>
  <c r="N1215" i="2" s="1"/>
  <c r="L1214" i="2"/>
  <c r="K1214" i="2"/>
  <c r="M1214" i="2"/>
  <c r="N1214" i="2" s="1"/>
  <c r="R1670" i="2" s="1"/>
  <c r="L1213" i="2"/>
  <c r="K1213" i="2"/>
  <c r="M1213" i="2"/>
  <c r="N1213" i="2" s="1"/>
  <c r="R1669" i="2" s="1"/>
  <c r="M1212" i="2"/>
  <c r="N1212" i="2" s="1"/>
  <c r="R1668" i="2" s="1"/>
  <c r="L1212" i="2"/>
  <c r="K1212" i="2"/>
  <c r="M1211" i="2"/>
  <c r="N1211" i="2" s="1"/>
  <c r="R1667" i="2" s="1"/>
  <c r="L1211" i="2"/>
  <c r="K1211" i="2"/>
  <c r="M1210" i="2"/>
  <c r="N1210" i="2" s="1"/>
  <c r="R1666" i="2" s="1"/>
  <c r="L1210" i="2"/>
  <c r="K1210" i="2"/>
  <c r="M1209" i="2"/>
  <c r="N1209" i="2" s="1"/>
  <c r="R1665" i="2" s="1"/>
  <c r="L1209" i="2"/>
  <c r="K1209" i="2"/>
  <c r="L1208" i="2"/>
  <c r="K1208" i="2"/>
  <c r="M1208" i="2"/>
  <c r="N1208" i="2" s="1"/>
  <c r="R1664" i="2" s="1"/>
  <c r="L1207" i="2"/>
  <c r="K1207" i="2"/>
  <c r="M1207" i="2"/>
  <c r="N1207" i="2" s="1"/>
  <c r="L1206" i="2"/>
  <c r="K1206" i="2"/>
  <c r="M1206" i="2"/>
  <c r="N1206" i="2" s="1"/>
  <c r="R1662" i="2" s="1"/>
  <c r="L1205" i="2"/>
  <c r="K1205" i="2"/>
  <c r="M1205" i="2"/>
  <c r="N1205" i="2" s="1"/>
  <c r="R1661" i="2" s="1"/>
  <c r="M1204" i="2"/>
  <c r="N1204" i="2" s="1"/>
  <c r="R1660" i="2" s="1"/>
  <c r="L1204" i="2"/>
  <c r="K1204" i="2"/>
  <c r="M1203" i="2"/>
  <c r="N1203" i="2" s="1"/>
  <c r="R1659" i="2" s="1"/>
  <c r="L1203" i="2"/>
  <c r="K1203" i="2"/>
  <c r="M1202" i="2"/>
  <c r="N1202" i="2" s="1"/>
  <c r="R1658" i="2" s="1"/>
  <c r="L1202" i="2"/>
  <c r="K1202" i="2"/>
  <c r="M1201" i="2"/>
  <c r="N1201" i="2" s="1"/>
  <c r="R1657" i="2" s="1"/>
  <c r="L1201" i="2"/>
  <c r="K1201" i="2"/>
  <c r="L1200" i="2"/>
  <c r="K1200" i="2"/>
  <c r="M1200" i="2"/>
  <c r="N1200" i="2" s="1"/>
  <c r="R1656" i="2" s="1"/>
  <c r="L1199" i="2"/>
  <c r="K1199" i="2"/>
  <c r="M1199" i="2"/>
  <c r="N1199" i="2" s="1"/>
  <c r="L1198" i="2"/>
  <c r="K1198" i="2"/>
  <c r="M1198" i="2"/>
  <c r="N1198" i="2" s="1"/>
  <c r="R1654" i="2" s="1"/>
  <c r="L1197" i="2"/>
  <c r="K1197" i="2"/>
  <c r="M1197" i="2"/>
  <c r="N1197" i="2" s="1"/>
  <c r="R1653" i="2" s="1"/>
  <c r="M1196" i="2"/>
  <c r="N1196" i="2" s="1"/>
  <c r="R1652" i="2" s="1"/>
  <c r="L1196" i="2"/>
  <c r="K1196" i="2"/>
  <c r="M1195" i="2"/>
  <c r="N1195" i="2" s="1"/>
  <c r="R1651" i="2" s="1"/>
  <c r="L1195" i="2"/>
  <c r="K1195" i="2"/>
  <c r="M1194" i="2"/>
  <c r="N1194" i="2" s="1"/>
  <c r="L1194" i="2"/>
  <c r="K1194" i="2"/>
  <c r="M1193" i="2"/>
  <c r="N1193" i="2" s="1"/>
  <c r="R1649" i="2" s="1"/>
  <c r="L1193" i="2"/>
  <c r="K1193" i="2"/>
  <c r="L1192" i="2"/>
  <c r="K1192" i="2"/>
  <c r="M1192" i="2"/>
  <c r="N1192" i="2" s="1"/>
  <c r="R1648" i="2" s="1"/>
  <c r="L1191" i="2"/>
  <c r="K1191" i="2"/>
  <c r="M1191" i="2"/>
  <c r="N1191" i="2" s="1"/>
  <c r="L1190" i="2"/>
  <c r="K1190" i="2"/>
  <c r="M1190" i="2"/>
  <c r="N1190" i="2" s="1"/>
  <c r="R1646" i="2" s="1"/>
  <c r="L1189" i="2"/>
  <c r="K1189" i="2"/>
  <c r="M1189" i="2"/>
  <c r="N1189" i="2" s="1"/>
  <c r="R1645" i="2" s="1"/>
  <c r="M1188" i="2"/>
  <c r="N1188" i="2" s="1"/>
  <c r="R1644" i="2" s="1"/>
  <c r="L1188" i="2"/>
  <c r="K1188" i="2"/>
  <c r="M1187" i="2"/>
  <c r="N1187" i="2" s="1"/>
  <c r="R1643" i="2" s="1"/>
  <c r="L1187" i="2"/>
  <c r="K1187" i="2"/>
  <c r="M1186" i="2"/>
  <c r="N1186" i="2" s="1"/>
  <c r="R1642" i="2" s="1"/>
  <c r="L1186" i="2"/>
  <c r="K1186" i="2"/>
  <c r="M1185" i="2"/>
  <c r="N1185" i="2" s="1"/>
  <c r="R1641" i="2" s="1"/>
  <c r="L1185" i="2"/>
  <c r="K1185" i="2"/>
  <c r="E1185" i="2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L1184" i="2"/>
  <c r="K1184" i="2"/>
  <c r="M1184" i="2"/>
  <c r="N1184" i="2" s="1"/>
  <c r="O1199" i="2" l="1"/>
  <c r="S1275" i="2" s="1"/>
  <c r="T1389" i="2" s="1"/>
  <c r="R1655" i="2"/>
  <c r="O1191" i="2"/>
  <c r="S1267" i="2" s="1"/>
  <c r="T1381" i="2" s="1"/>
  <c r="R1647" i="2"/>
  <c r="O1217" i="2"/>
  <c r="S1293" i="2" s="1"/>
  <c r="T1407" i="2" s="1"/>
  <c r="R1673" i="2"/>
  <c r="O1194" i="2"/>
  <c r="S1270" i="2" s="1"/>
  <c r="T1384" i="2" s="1"/>
  <c r="R1650" i="2"/>
  <c r="O1207" i="2"/>
  <c r="S1283" i="2" s="1"/>
  <c r="T1397" i="2" s="1"/>
  <c r="R1663" i="2"/>
  <c r="O1215" i="2"/>
  <c r="S1291" i="2" s="1"/>
  <c r="T1405" i="2" s="1"/>
  <c r="R1671" i="2"/>
  <c r="P1184" i="2"/>
  <c r="R1640" i="2"/>
  <c r="P1185" i="2"/>
  <c r="O1193" i="2"/>
  <c r="S1269" i="2" s="1"/>
  <c r="O1192" i="2"/>
  <c r="S1268" i="2" s="1"/>
  <c r="O1216" i="2"/>
  <c r="S1292" i="2" s="1"/>
  <c r="P1192" i="2"/>
  <c r="P1216" i="2"/>
  <c r="P1195" i="2"/>
  <c r="O1195" i="2"/>
  <c r="S1271" i="2" s="1"/>
  <c r="P1186" i="2"/>
  <c r="O1186" i="2"/>
  <c r="S1262" i="2" s="1"/>
  <c r="P1187" i="2"/>
  <c r="O1187" i="2"/>
  <c r="S1263" i="2" s="1"/>
  <c r="P1218" i="2"/>
  <c r="O1218" i="2"/>
  <c r="S1294" i="2" s="1"/>
  <c r="P1202" i="2"/>
  <c r="O1202" i="2"/>
  <c r="S1278" i="2" s="1"/>
  <c r="P1209" i="2"/>
  <c r="P1219" i="2"/>
  <c r="O1219" i="2"/>
  <c r="S1295" i="2" s="1"/>
  <c r="P1193" i="2"/>
  <c r="P1197" i="2"/>
  <c r="O1197" i="2"/>
  <c r="S1273" i="2" s="1"/>
  <c r="P1205" i="2"/>
  <c r="O1205" i="2"/>
  <c r="S1281" i="2" s="1"/>
  <c r="O1209" i="2"/>
  <c r="S1285" i="2" s="1"/>
  <c r="P1190" i="2"/>
  <c r="O1190" i="2"/>
  <c r="S1266" i="2" s="1"/>
  <c r="P1191" i="2"/>
  <c r="P1201" i="2"/>
  <c r="O1208" i="2"/>
  <c r="S1284" i="2" s="1"/>
  <c r="P1211" i="2"/>
  <c r="O1211" i="2"/>
  <c r="S1287" i="2" s="1"/>
  <c r="O1200" i="2"/>
  <c r="S1276" i="2" s="1"/>
  <c r="O1201" i="2"/>
  <c r="S1277" i="2" s="1"/>
  <c r="P1208" i="2"/>
  <c r="P1214" i="2"/>
  <c r="O1214" i="2"/>
  <c r="S1290" i="2" s="1"/>
  <c r="P1215" i="2"/>
  <c r="O1184" i="2"/>
  <c r="S1260" i="2" s="1"/>
  <c r="P1200" i="2"/>
  <c r="P1203" i="2"/>
  <c r="O1203" i="2"/>
  <c r="S1279" i="2" s="1"/>
  <c r="P1220" i="2"/>
  <c r="O1220" i="2"/>
  <c r="S1296" i="2" s="1"/>
  <c r="O1185" i="2"/>
  <c r="S1261" i="2" s="1"/>
  <c r="P1188" i="2"/>
  <c r="O1188" i="2"/>
  <c r="S1264" i="2" s="1"/>
  <c r="P1198" i="2"/>
  <c r="O1198" i="2"/>
  <c r="S1274" i="2" s="1"/>
  <c r="P1199" i="2"/>
  <c r="P1206" i="2"/>
  <c r="O1206" i="2"/>
  <c r="S1282" i="2" s="1"/>
  <c r="P1207" i="2"/>
  <c r="P1221" i="2"/>
  <c r="O1221" i="2"/>
  <c r="S1297" i="2" s="1"/>
  <c r="P1204" i="2"/>
  <c r="O1204" i="2"/>
  <c r="S1280" i="2" s="1"/>
  <c r="P1189" i="2"/>
  <c r="O1189" i="2"/>
  <c r="S1265" i="2" s="1"/>
  <c r="P1194" i="2"/>
  <c r="P1210" i="2"/>
  <c r="O1210" i="2"/>
  <c r="S1286" i="2" s="1"/>
  <c r="P1212" i="2"/>
  <c r="O1212" i="2"/>
  <c r="S1288" i="2" s="1"/>
  <c r="P1217" i="2"/>
  <c r="P1196" i="2"/>
  <c r="O1196" i="2"/>
  <c r="S1272" i="2" s="1"/>
  <c r="P1213" i="2"/>
  <c r="O1213" i="2"/>
  <c r="S1289" i="2" s="1"/>
  <c r="L1183" i="2"/>
  <c r="K1183" i="2"/>
  <c r="L1182" i="2"/>
  <c r="K1182" i="2"/>
  <c r="L1181" i="2"/>
  <c r="K1181" i="2"/>
  <c r="L1180" i="2"/>
  <c r="K1180" i="2"/>
  <c r="L1179" i="2"/>
  <c r="K1179" i="2"/>
  <c r="L1178" i="2"/>
  <c r="K1178" i="2"/>
  <c r="L1177" i="2"/>
  <c r="K1177" i="2"/>
  <c r="L1176" i="2"/>
  <c r="K1176" i="2"/>
  <c r="L1175" i="2"/>
  <c r="K1175" i="2"/>
  <c r="L1174" i="2"/>
  <c r="K1174" i="2"/>
  <c r="L1173" i="2"/>
  <c r="K1173" i="2"/>
  <c r="L1172" i="2"/>
  <c r="K1172" i="2"/>
  <c r="L1171" i="2"/>
  <c r="K1171" i="2"/>
  <c r="L1170" i="2"/>
  <c r="K1170" i="2"/>
  <c r="L1169" i="2"/>
  <c r="K1169" i="2"/>
  <c r="L1168" i="2"/>
  <c r="K1168" i="2"/>
  <c r="L1167" i="2"/>
  <c r="K1167" i="2"/>
  <c r="L1166" i="2"/>
  <c r="K1166" i="2"/>
  <c r="L1165" i="2"/>
  <c r="K1165" i="2"/>
  <c r="L1164" i="2"/>
  <c r="K1164" i="2"/>
  <c r="L1163" i="2"/>
  <c r="K1163" i="2"/>
  <c r="L1162" i="2"/>
  <c r="K1162" i="2"/>
  <c r="L1161" i="2"/>
  <c r="K1161" i="2"/>
  <c r="L1160" i="2"/>
  <c r="K1160" i="2"/>
  <c r="L1159" i="2"/>
  <c r="K1159" i="2"/>
  <c r="L1158" i="2"/>
  <c r="K1158" i="2"/>
  <c r="L1157" i="2"/>
  <c r="K1157" i="2"/>
  <c r="L1156" i="2"/>
  <c r="K1156" i="2"/>
  <c r="L1155" i="2"/>
  <c r="K1155" i="2"/>
  <c r="L1154" i="2"/>
  <c r="K1154" i="2"/>
  <c r="L1153" i="2"/>
  <c r="K1153" i="2"/>
  <c r="L1152" i="2"/>
  <c r="K1152" i="2"/>
  <c r="L1151" i="2"/>
  <c r="K1151" i="2"/>
  <c r="L1150" i="2"/>
  <c r="K1150" i="2"/>
  <c r="L1149" i="2"/>
  <c r="K1149" i="2"/>
  <c r="L1148" i="2"/>
  <c r="K1148" i="2"/>
  <c r="L1147" i="2"/>
  <c r="K1147" i="2"/>
  <c r="L1146" i="2"/>
  <c r="K1146" i="2"/>
  <c r="J1148" i="2"/>
  <c r="M1148" i="2" s="1"/>
  <c r="N1148" i="2" s="1"/>
  <c r="R1604" i="2" s="1"/>
  <c r="J1149" i="2"/>
  <c r="M1149" i="2" s="1"/>
  <c r="N1149" i="2" s="1"/>
  <c r="J1150" i="2"/>
  <c r="M1150" i="2" s="1"/>
  <c r="N1150" i="2" s="1"/>
  <c r="R1606" i="2" s="1"/>
  <c r="J1151" i="2"/>
  <c r="M1151" i="2" s="1"/>
  <c r="N1151" i="2" s="1"/>
  <c r="R1607" i="2" s="1"/>
  <c r="J1152" i="2"/>
  <c r="M1152" i="2" s="1"/>
  <c r="N1152" i="2" s="1"/>
  <c r="R1608" i="2" s="1"/>
  <c r="J1153" i="2"/>
  <c r="M1153" i="2" s="1"/>
  <c r="N1153" i="2" s="1"/>
  <c r="R1609" i="2" s="1"/>
  <c r="J1154" i="2"/>
  <c r="M1154" i="2" s="1"/>
  <c r="N1154" i="2" s="1"/>
  <c r="R1610" i="2" s="1"/>
  <c r="J1155" i="2"/>
  <c r="M1155" i="2" s="1"/>
  <c r="N1155" i="2" s="1"/>
  <c r="R1611" i="2" s="1"/>
  <c r="J1156" i="2"/>
  <c r="M1156" i="2" s="1"/>
  <c r="N1156" i="2" s="1"/>
  <c r="R1612" i="2" s="1"/>
  <c r="J1157" i="2"/>
  <c r="M1157" i="2" s="1"/>
  <c r="N1157" i="2" s="1"/>
  <c r="J1158" i="2"/>
  <c r="M1158" i="2" s="1"/>
  <c r="N1158" i="2" s="1"/>
  <c r="R1614" i="2" s="1"/>
  <c r="J1159" i="2"/>
  <c r="M1159" i="2" s="1"/>
  <c r="N1159" i="2" s="1"/>
  <c r="R1615" i="2" s="1"/>
  <c r="J1160" i="2"/>
  <c r="M1160" i="2" s="1"/>
  <c r="N1160" i="2" s="1"/>
  <c r="R1616" i="2" s="1"/>
  <c r="J1161" i="2"/>
  <c r="M1161" i="2" s="1"/>
  <c r="N1161" i="2" s="1"/>
  <c r="R1617" i="2" s="1"/>
  <c r="J1162" i="2"/>
  <c r="M1162" i="2" s="1"/>
  <c r="N1162" i="2" s="1"/>
  <c r="R1618" i="2" s="1"/>
  <c r="J1163" i="2"/>
  <c r="M1163" i="2" s="1"/>
  <c r="N1163" i="2" s="1"/>
  <c r="R1619" i="2" s="1"/>
  <c r="J1164" i="2"/>
  <c r="M1164" i="2" s="1"/>
  <c r="N1164" i="2" s="1"/>
  <c r="R1620" i="2" s="1"/>
  <c r="J1165" i="2"/>
  <c r="M1165" i="2" s="1"/>
  <c r="N1165" i="2" s="1"/>
  <c r="J1166" i="2"/>
  <c r="M1166" i="2" s="1"/>
  <c r="N1166" i="2" s="1"/>
  <c r="R1622" i="2" s="1"/>
  <c r="J1167" i="2"/>
  <c r="M1167" i="2" s="1"/>
  <c r="N1167" i="2" s="1"/>
  <c r="R1623" i="2" s="1"/>
  <c r="J1168" i="2"/>
  <c r="M1168" i="2" s="1"/>
  <c r="N1168" i="2" s="1"/>
  <c r="R1624" i="2" s="1"/>
  <c r="J1169" i="2"/>
  <c r="M1169" i="2" s="1"/>
  <c r="N1169" i="2" s="1"/>
  <c r="R1625" i="2" s="1"/>
  <c r="J1170" i="2"/>
  <c r="M1170" i="2" s="1"/>
  <c r="N1170" i="2" s="1"/>
  <c r="R1626" i="2" s="1"/>
  <c r="J1171" i="2"/>
  <c r="M1171" i="2" s="1"/>
  <c r="N1171" i="2" s="1"/>
  <c r="R1627" i="2" s="1"/>
  <c r="J1172" i="2"/>
  <c r="M1172" i="2" s="1"/>
  <c r="N1172" i="2" s="1"/>
  <c r="R1628" i="2" s="1"/>
  <c r="J1173" i="2"/>
  <c r="M1173" i="2" s="1"/>
  <c r="N1173" i="2" s="1"/>
  <c r="J1174" i="2"/>
  <c r="M1174" i="2" s="1"/>
  <c r="N1174" i="2" s="1"/>
  <c r="R1630" i="2" s="1"/>
  <c r="J1175" i="2"/>
  <c r="M1175" i="2" s="1"/>
  <c r="N1175" i="2" s="1"/>
  <c r="R1631" i="2" s="1"/>
  <c r="J1176" i="2"/>
  <c r="M1176" i="2" s="1"/>
  <c r="N1176" i="2" s="1"/>
  <c r="R1632" i="2" s="1"/>
  <c r="J1177" i="2"/>
  <c r="M1177" i="2" s="1"/>
  <c r="N1177" i="2" s="1"/>
  <c r="R1633" i="2" s="1"/>
  <c r="J1178" i="2"/>
  <c r="M1178" i="2" s="1"/>
  <c r="N1178" i="2" s="1"/>
  <c r="R1634" i="2" s="1"/>
  <c r="J1179" i="2"/>
  <c r="M1179" i="2" s="1"/>
  <c r="N1179" i="2" s="1"/>
  <c r="R1635" i="2" s="1"/>
  <c r="J1180" i="2"/>
  <c r="M1180" i="2" s="1"/>
  <c r="N1180" i="2" s="1"/>
  <c r="R1636" i="2" s="1"/>
  <c r="J1181" i="2"/>
  <c r="M1181" i="2" s="1"/>
  <c r="N1181" i="2" s="1"/>
  <c r="R1637" i="2" s="1"/>
  <c r="J1182" i="2"/>
  <c r="M1182" i="2" s="1"/>
  <c r="N1182" i="2" s="1"/>
  <c r="R1638" i="2" s="1"/>
  <c r="J1183" i="2"/>
  <c r="M1183" i="2" s="1"/>
  <c r="N1183" i="2" s="1"/>
  <c r="R1639" i="2" s="1"/>
  <c r="J1147" i="2"/>
  <c r="M1147" i="2" s="1"/>
  <c r="N1147" i="2" s="1"/>
  <c r="R1603" i="2" s="1"/>
  <c r="J1146" i="2"/>
  <c r="M1146" i="2" s="1"/>
  <c r="N1146" i="2" s="1"/>
  <c r="R1602" i="2" s="1"/>
  <c r="O1173" i="2" l="1"/>
  <c r="R1629" i="2"/>
  <c r="O1165" i="2"/>
  <c r="R1621" i="2"/>
  <c r="O1157" i="2"/>
  <c r="R1613" i="2"/>
  <c r="O1149" i="2"/>
  <c r="R1605" i="2"/>
  <c r="T1410" i="2"/>
  <c r="T1379" i="2"/>
  <c r="T1380" i="2"/>
  <c r="T1391" i="2"/>
  <c r="T1388" i="2"/>
  <c r="T1390" i="2"/>
  <c r="T1399" i="2"/>
  <c r="T1402" i="2"/>
  <c r="T1401" i="2"/>
  <c r="T1395" i="2"/>
  <c r="T1392" i="2"/>
  <c r="T1385" i="2"/>
  <c r="T1377" i="2"/>
  <c r="T1386" i="2"/>
  <c r="T1393" i="2"/>
  <c r="T1394" i="2"/>
  <c r="T1374" i="2"/>
  <c r="T1406" i="2"/>
  <c r="T1382" i="2"/>
  <c r="T1376" i="2"/>
  <c r="T1378" i="2"/>
  <c r="T1400" i="2"/>
  <c r="T1398" i="2"/>
  <c r="T1387" i="2"/>
  <c r="T1408" i="2"/>
  <c r="T1396" i="2"/>
  <c r="T1409" i="2"/>
  <c r="T1383" i="2"/>
  <c r="T1411" i="2"/>
  <c r="T1403" i="2"/>
  <c r="T1375" i="2"/>
  <c r="T1404" i="2"/>
  <c r="P1182" i="2"/>
  <c r="O1182" i="2"/>
  <c r="P1174" i="2"/>
  <c r="O1174" i="2"/>
  <c r="P1166" i="2"/>
  <c r="O1166" i="2"/>
  <c r="P1158" i="2"/>
  <c r="O1158" i="2"/>
  <c r="P1150" i="2"/>
  <c r="O1150" i="2"/>
  <c r="O1181" i="2"/>
  <c r="P1181" i="2"/>
  <c r="P1146" i="2"/>
  <c r="O1146" i="2"/>
  <c r="P1159" i="2"/>
  <c r="O1159" i="2"/>
  <c r="O1164" i="2"/>
  <c r="P1164" i="2"/>
  <c r="P1168" i="2"/>
  <c r="O1168" i="2"/>
  <c r="P1177" i="2"/>
  <c r="O1177" i="2"/>
  <c r="P1153" i="2"/>
  <c r="O1153" i="2"/>
  <c r="P1162" i="2"/>
  <c r="O1162" i="2"/>
  <c r="P1183" i="2"/>
  <c r="O1183" i="2"/>
  <c r="P1175" i="2"/>
  <c r="O1175" i="2"/>
  <c r="O1180" i="2"/>
  <c r="P1180" i="2"/>
  <c r="P1151" i="2"/>
  <c r="O1151" i="2"/>
  <c r="O1156" i="2"/>
  <c r="P1156" i="2"/>
  <c r="P1160" i="2"/>
  <c r="O1160" i="2"/>
  <c r="P1169" i="2"/>
  <c r="O1169" i="2"/>
  <c r="P1178" i="2"/>
  <c r="O1178" i="2"/>
  <c r="P1154" i="2"/>
  <c r="O1154" i="2"/>
  <c r="P1167" i="2"/>
  <c r="O1167" i="2"/>
  <c r="O1172" i="2"/>
  <c r="P1172" i="2"/>
  <c r="P1176" i="2"/>
  <c r="O1176" i="2"/>
  <c r="P1148" i="2"/>
  <c r="O1148" i="2"/>
  <c r="P1152" i="2"/>
  <c r="O1152" i="2"/>
  <c r="P1161" i="2"/>
  <c r="O1161" i="2"/>
  <c r="P1170" i="2"/>
  <c r="O1170" i="2"/>
  <c r="O1147" i="2"/>
  <c r="O1155" i="2"/>
  <c r="P1147" i="2"/>
  <c r="P1155" i="2"/>
  <c r="P1149" i="2"/>
  <c r="P1157" i="2"/>
  <c r="P1165" i="2"/>
  <c r="O1163" i="2"/>
  <c r="O1171" i="2"/>
  <c r="O1179" i="2"/>
  <c r="P1163" i="2"/>
  <c r="P1171" i="2"/>
  <c r="P1179" i="2"/>
  <c r="P1173" i="2"/>
  <c r="E1147" i="2" l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J1110" i="2" l="1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09" i="2"/>
  <c r="J1108" i="2"/>
  <c r="M1145" i="2" l="1"/>
  <c r="N1145" i="2" s="1"/>
  <c r="R1601" i="2" s="1"/>
  <c r="L1145" i="2"/>
  <c r="K1145" i="2"/>
  <c r="M1144" i="2"/>
  <c r="N1144" i="2" s="1"/>
  <c r="R1600" i="2" s="1"/>
  <c r="L1144" i="2"/>
  <c r="K1144" i="2"/>
  <c r="M1143" i="2"/>
  <c r="N1143" i="2" s="1"/>
  <c r="R1599" i="2" s="1"/>
  <c r="L1143" i="2"/>
  <c r="K1143" i="2"/>
  <c r="M1142" i="2"/>
  <c r="N1142" i="2" s="1"/>
  <c r="R1598" i="2" s="1"/>
  <c r="L1142" i="2"/>
  <c r="K1142" i="2"/>
  <c r="M1141" i="2"/>
  <c r="N1141" i="2" s="1"/>
  <c r="R1597" i="2" s="1"/>
  <c r="L1141" i="2"/>
  <c r="K1141" i="2"/>
  <c r="M1140" i="2"/>
  <c r="N1140" i="2" s="1"/>
  <c r="R1596" i="2" s="1"/>
  <c r="L1140" i="2"/>
  <c r="K1140" i="2"/>
  <c r="M1139" i="2"/>
  <c r="N1139" i="2" s="1"/>
  <c r="L1139" i="2"/>
  <c r="K1139" i="2"/>
  <c r="M1138" i="2"/>
  <c r="N1138" i="2" s="1"/>
  <c r="R1594" i="2" s="1"/>
  <c r="L1138" i="2"/>
  <c r="K1138" i="2"/>
  <c r="M1137" i="2"/>
  <c r="N1137" i="2" s="1"/>
  <c r="R1593" i="2" s="1"/>
  <c r="L1137" i="2"/>
  <c r="K1137" i="2"/>
  <c r="M1136" i="2"/>
  <c r="N1136" i="2" s="1"/>
  <c r="R1592" i="2" s="1"/>
  <c r="L1136" i="2"/>
  <c r="K1136" i="2"/>
  <c r="M1135" i="2"/>
  <c r="N1135" i="2" s="1"/>
  <c r="R1591" i="2" s="1"/>
  <c r="L1135" i="2"/>
  <c r="K1135" i="2"/>
  <c r="M1134" i="2"/>
  <c r="N1134" i="2" s="1"/>
  <c r="R1590" i="2" s="1"/>
  <c r="L1134" i="2"/>
  <c r="K1134" i="2"/>
  <c r="M1133" i="2"/>
  <c r="N1133" i="2" s="1"/>
  <c r="R1589" i="2" s="1"/>
  <c r="L1133" i="2"/>
  <c r="K1133" i="2"/>
  <c r="M1132" i="2"/>
  <c r="N1132" i="2" s="1"/>
  <c r="R1588" i="2" s="1"/>
  <c r="L1132" i="2"/>
  <c r="K1132" i="2"/>
  <c r="M1131" i="2"/>
  <c r="N1131" i="2" s="1"/>
  <c r="L1131" i="2"/>
  <c r="K1131" i="2"/>
  <c r="M1130" i="2"/>
  <c r="N1130" i="2" s="1"/>
  <c r="R1586" i="2" s="1"/>
  <c r="L1130" i="2"/>
  <c r="K1130" i="2"/>
  <c r="M1129" i="2"/>
  <c r="N1129" i="2" s="1"/>
  <c r="R1585" i="2" s="1"/>
  <c r="L1129" i="2"/>
  <c r="K1129" i="2"/>
  <c r="M1128" i="2"/>
  <c r="N1128" i="2" s="1"/>
  <c r="R1584" i="2" s="1"/>
  <c r="L1128" i="2"/>
  <c r="K1128" i="2"/>
  <c r="M1127" i="2"/>
  <c r="N1127" i="2" s="1"/>
  <c r="R1583" i="2" s="1"/>
  <c r="L1127" i="2"/>
  <c r="K1127" i="2"/>
  <c r="M1126" i="2"/>
  <c r="N1126" i="2" s="1"/>
  <c r="R1582" i="2" s="1"/>
  <c r="L1126" i="2"/>
  <c r="K1126" i="2"/>
  <c r="M1125" i="2"/>
  <c r="N1125" i="2" s="1"/>
  <c r="R1581" i="2" s="1"/>
  <c r="L1125" i="2"/>
  <c r="K1125" i="2"/>
  <c r="M1124" i="2"/>
  <c r="N1124" i="2" s="1"/>
  <c r="R1580" i="2" s="1"/>
  <c r="L1124" i="2"/>
  <c r="K1124" i="2"/>
  <c r="M1123" i="2"/>
  <c r="N1123" i="2" s="1"/>
  <c r="L1123" i="2"/>
  <c r="K1123" i="2"/>
  <c r="M1122" i="2"/>
  <c r="N1122" i="2" s="1"/>
  <c r="R1578" i="2" s="1"/>
  <c r="L1122" i="2"/>
  <c r="K1122" i="2"/>
  <c r="M1121" i="2"/>
  <c r="N1121" i="2" s="1"/>
  <c r="R1577" i="2" s="1"/>
  <c r="L1121" i="2"/>
  <c r="K1121" i="2"/>
  <c r="M1120" i="2"/>
  <c r="N1120" i="2" s="1"/>
  <c r="R1576" i="2" s="1"/>
  <c r="L1120" i="2"/>
  <c r="K1120" i="2"/>
  <c r="M1119" i="2"/>
  <c r="N1119" i="2" s="1"/>
  <c r="R1575" i="2" s="1"/>
  <c r="L1119" i="2"/>
  <c r="K1119" i="2"/>
  <c r="M1118" i="2"/>
  <c r="N1118" i="2" s="1"/>
  <c r="R1574" i="2" s="1"/>
  <c r="L1118" i="2"/>
  <c r="K1118" i="2"/>
  <c r="M1117" i="2"/>
  <c r="N1117" i="2" s="1"/>
  <c r="R1573" i="2" s="1"/>
  <c r="L1117" i="2"/>
  <c r="K1117" i="2"/>
  <c r="M1116" i="2"/>
  <c r="N1116" i="2" s="1"/>
  <c r="R1572" i="2" s="1"/>
  <c r="L1116" i="2"/>
  <c r="K1116" i="2"/>
  <c r="M1115" i="2"/>
  <c r="N1115" i="2" s="1"/>
  <c r="L1115" i="2"/>
  <c r="K1115" i="2"/>
  <c r="M1114" i="2"/>
  <c r="N1114" i="2" s="1"/>
  <c r="R1570" i="2" s="1"/>
  <c r="L1114" i="2"/>
  <c r="K1114" i="2"/>
  <c r="M1113" i="2"/>
  <c r="N1113" i="2" s="1"/>
  <c r="R1569" i="2" s="1"/>
  <c r="L1113" i="2"/>
  <c r="K1113" i="2"/>
  <c r="M1112" i="2"/>
  <c r="N1112" i="2" s="1"/>
  <c r="R1568" i="2" s="1"/>
  <c r="L1112" i="2"/>
  <c r="K1112" i="2"/>
  <c r="M1111" i="2"/>
  <c r="N1111" i="2" s="1"/>
  <c r="R1567" i="2" s="1"/>
  <c r="L1111" i="2"/>
  <c r="K1111" i="2"/>
  <c r="M1110" i="2"/>
  <c r="N1110" i="2" s="1"/>
  <c r="R1566" i="2" s="1"/>
  <c r="L1110" i="2"/>
  <c r="K1110" i="2"/>
  <c r="M1109" i="2"/>
  <c r="N1109" i="2" s="1"/>
  <c r="R1565" i="2" s="1"/>
  <c r="L1109" i="2"/>
  <c r="K1109" i="2"/>
  <c r="M1108" i="2"/>
  <c r="N1108" i="2" s="1"/>
  <c r="R1564" i="2" s="1"/>
  <c r="L1108" i="2"/>
  <c r="K1108" i="2"/>
  <c r="E1109" i="2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P1115" i="2" l="1"/>
  <c r="R1571" i="2"/>
  <c r="O1123" i="2"/>
  <c r="R1579" i="2"/>
  <c r="P1131" i="2"/>
  <c r="R1587" i="2"/>
  <c r="P1139" i="2"/>
  <c r="R1595" i="2"/>
  <c r="O1113" i="2"/>
  <c r="P1113" i="2"/>
  <c r="P1118" i="2"/>
  <c r="O1118" i="2"/>
  <c r="P1136" i="2"/>
  <c r="O1136" i="2"/>
  <c r="P1141" i="2"/>
  <c r="O1141" i="2"/>
  <c r="P1108" i="2"/>
  <c r="O1108" i="2"/>
  <c r="P1121" i="2"/>
  <c r="O1121" i="2"/>
  <c r="P1126" i="2"/>
  <c r="O1126" i="2"/>
  <c r="P1111" i="2"/>
  <c r="O1111" i="2"/>
  <c r="P1116" i="2"/>
  <c r="O1116" i="2"/>
  <c r="O1129" i="2"/>
  <c r="P1129" i="2"/>
  <c r="P1134" i="2"/>
  <c r="O1134" i="2"/>
  <c r="O1144" i="2"/>
  <c r="P1144" i="2"/>
  <c r="P1114" i="2"/>
  <c r="O1114" i="2"/>
  <c r="P1119" i="2"/>
  <c r="O1119" i="2"/>
  <c r="O1124" i="2"/>
  <c r="P1124" i="2"/>
  <c r="P1137" i="2"/>
  <c r="O1137" i="2"/>
  <c r="P1142" i="2"/>
  <c r="O1142" i="2"/>
  <c r="P1109" i="2"/>
  <c r="O1109" i="2"/>
  <c r="P1122" i="2"/>
  <c r="O1122" i="2"/>
  <c r="O1127" i="2"/>
  <c r="P1127" i="2"/>
  <c r="P1132" i="2"/>
  <c r="O1132" i="2"/>
  <c r="O1112" i="2"/>
  <c r="P1112" i="2"/>
  <c r="O1117" i="2"/>
  <c r="P1117" i="2"/>
  <c r="P1130" i="2"/>
  <c r="O1130" i="2"/>
  <c r="P1135" i="2"/>
  <c r="O1135" i="2"/>
  <c r="P1140" i="2"/>
  <c r="O1140" i="2"/>
  <c r="P1145" i="2"/>
  <c r="O1145" i="2"/>
  <c r="P1120" i="2"/>
  <c r="O1120" i="2"/>
  <c r="O1125" i="2"/>
  <c r="P1125" i="2"/>
  <c r="P1138" i="2"/>
  <c r="O1138" i="2"/>
  <c r="P1110" i="2"/>
  <c r="O1110" i="2"/>
  <c r="O1128" i="2"/>
  <c r="P1128" i="2"/>
  <c r="P1133" i="2"/>
  <c r="O1133" i="2"/>
  <c r="O1131" i="2"/>
  <c r="O1143" i="2"/>
  <c r="P1143" i="2"/>
  <c r="O1139" i="2"/>
  <c r="P1123" i="2"/>
  <c r="O1115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071" i="2"/>
  <c r="J1070" i="2"/>
  <c r="M1107" i="2" l="1"/>
  <c r="N1107" i="2" s="1"/>
  <c r="R1563" i="2" s="1"/>
  <c r="L1107" i="2"/>
  <c r="K1107" i="2"/>
  <c r="M1106" i="2"/>
  <c r="N1106" i="2" s="1"/>
  <c r="R1562" i="2" s="1"/>
  <c r="L1106" i="2"/>
  <c r="K1106" i="2"/>
  <c r="M1105" i="2"/>
  <c r="N1105" i="2" s="1"/>
  <c r="R1561" i="2" s="1"/>
  <c r="L1105" i="2"/>
  <c r="K1105" i="2"/>
  <c r="M1104" i="2"/>
  <c r="N1104" i="2" s="1"/>
  <c r="R1560" i="2" s="1"/>
  <c r="L1104" i="2"/>
  <c r="K1104" i="2"/>
  <c r="M1103" i="2"/>
  <c r="N1103" i="2" s="1"/>
  <c r="R1559" i="2" s="1"/>
  <c r="L1103" i="2"/>
  <c r="K1103" i="2"/>
  <c r="M1102" i="2"/>
  <c r="N1102" i="2" s="1"/>
  <c r="R1558" i="2" s="1"/>
  <c r="L1102" i="2"/>
  <c r="K1102" i="2"/>
  <c r="M1101" i="2"/>
  <c r="N1101" i="2" s="1"/>
  <c r="R1557" i="2" s="1"/>
  <c r="L1101" i="2"/>
  <c r="K1101" i="2"/>
  <c r="M1100" i="2"/>
  <c r="N1100" i="2" s="1"/>
  <c r="R1556" i="2" s="1"/>
  <c r="L1100" i="2"/>
  <c r="K1100" i="2"/>
  <c r="M1099" i="2"/>
  <c r="N1099" i="2" s="1"/>
  <c r="R1555" i="2" s="1"/>
  <c r="L1099" i="2"/>
  <c r="K1099" i="2"/>
  <c r="M1098" i="2"/>
  <c r="N1098" i="2" s="1"/>
  <c r="R1554" i="2" s="1"/>
  <c r="L1098" i="2"/>
  <c r="K1098" i="2"/>
  <c r="M1097" i="2"/>
  <c r="N1097" i="2" s="1"/>
  <c r="R1553" i="2" s="1"/>
  <c r="L1097" i="2"/>
  <c r="K1097" i="2"/>
  <c r="M1096" i="2"/>
  <c r="N1096" i="2" s="1"/>
  <c r="R1552" i="2" s="1"/>
  <c r="L1096" i="2"/>
  <c r="K1096" i="2"/>
  <c r="M1095" i="2"/>
  <c r="N1095" i="2" s="1"/>
  <c r="R1551" i="2" s="1"/>
  <c r="L1095" i="2"/>
  <c r="K1095" i="2"/>
  <c r="M1094" i="2"/>
  <c r="N1094" i="2" s="1"/>
  <c r="R1550" i="2" s="1"/>
  <c r="L1094" i="2"/>
  <c r="K1094" i="2"/>
  <c r="M1093" i="2"/>
  <c r="N1093" i="2" s="1"/>
  <c r="R1549" i="2" s="1"/>
  <c r="L1093" i="2"/>
  <c r="K1093" i="2"/>
  <c r="M1092" i="2"/>
  <c r="N1092" i="2" s="1"/>
  <c r="R1548" i="2" s="1"/>
  <c r="L1092" i="2"/>
  <c r="K1092" i="2"/>
  <c r="M1091" i="2"/>
  <c r="N1091" i="2" s="1"/>
  <c r="R1547" i="2" s="1"/>
  <c r="L1091" i="2"/>
  <c r="K1091" i="2"/>
  <c r="M1090" i="2"/>
  <c r="N1090" i="2" s="1"/>
  <c r="R1546" i="2" s="1"/>
  <c r="L1090" i="2"/>
  <c r="K1090" i="2"/>
  <c r="M1089" i="2"/>
  <c r="N1089" i="2" s="1"/>
  <c r="R1545" i="2" s="1"/>
  <c r="L1089" i="2"/>
  <c r="K1089" i="2"/>
  <c r="M1088" i="2"/>
  <c r="N1088" i="2" s="1"/>
  <c r="R1544" i="2" s="1"/>
  <c r="L1088" i="2"/>
  <c r="K1088" i="2"/>
  <c r="M1087" i="2"/>
  <c r="N1087" i="2" s="1"/>
  <c r="R1543" i="2" s="1"/>
  <c r="L1087" i="2"/>
  <c r="K1087" i="2"/>
  <c r="M1086" i="2"/>
  <c r="N1086" i="2" s="1"/>
  <c r="R1542" i="2" s="1"/>
  <c r="L1086" i="2"/>
  <c r="K1086" i="2"/>
  <c r="M1085" i="2"/>
  <c r="N1085" i="2" s="1"/>
  <c r="R1541" i="2" s="1"/>
  <c r="L1085" i="2"/>
  <c r="K1085" i="2"/>
  <c r="M1084" i="2"/>
  <c r="N1084" i="2" s="1"/>
  <c r="R1540" i="2" s="1"/>
  <c r="L1084" i="2"/>
  <c r="K1084" i="2"/>
  <c r="M1083" i="2"/>
  <c r="N1083" i="2" s="1"/>
  <c r="R1539" i="2" s="1"/>
  <c r="L1083" i="2"/>
  <c r="K1083" i="2"/>
  <c r="M1082" i="2"/>
  <c r="N1082" i="2" s="1"/>
  <c r="R1538" i="2" s="1"/>
  <c r="L1082" i="2"/>
  <c r="K1082" i="2"/>
  <c r="M1081" i="2"/>
  <c r="N1081" i="2" s="1"/>
  <c r="R1537" i="2" s="1"/>
  <c r="L1081" i="2"/>
  <c r="K1081" i="2"/>
  <c r="M1080" i="2"/>
  <c r="N1080" i="2" s="1"/>
  <c r="R1536" i="2" s="1"/>
  <c r="L1080" i="2"/>
  <c r="K1080" i="2"/>
  <c r="M1079" i="2"/>
  <c r="N1079" i="2" s="1"/>
  <c r="R1535" i="2" s="1"/>
  <c r="L1079" i="2"/>
  <c r="K1079" i="2"/>
  <c r="M1078" i="2"/>
  <c r="N1078" i="2" s="1"/>
  <c r="R1534" i="2" s="1"/>
  <c r="L1078" i="2"/>
  <c r="K1078" i="2"/>
  <c r="M1077" i="2"/>
  <c r="N1077" i="2" s="1"/>
  <c r="R1533" i="2" s="1"/>
  <c r="L1077" i="2"/>
  <c r="K1077" i="2"/>
  <c r="M1076" i="2"/>
  <c r="N1076" i="2" s="1"/>
  <c r="R1532" i="2" s="1"/>
  <c r="L1076" i="2"/>
  <c r="K1076" i="2"/>
  <c r="M1075" i="2"/>
  <c r="N1075" i="2" s="1"/>
  <c r="R1531" i="2" s="1"/>
  <c r="L1075" i="2"/>
  <c r="K1075" i="2"/>
  <c r="M1074" i="2"/>
  <c r="N1074" i="2" s="1"/>
  <c r="R1530" i="2" s="1"/>
  <c r="L1074" i="2"/>
  <c r="K1074" i="2"/>
  <c r="M1073" i="2"/>
  <c r="N1073" i="2" s="1"/>
  <c r="R1529" i="2" s="1"/>
  <c r="L1073" i="2"/>
  <c r="K1073" i="2"/>
  <c r="M1072" i="2"/>
  <c r="N1072" i="2" s="1"/>
  <c r="L1072" i="2"/>
  <c r="K1072" i="2"/>
  <c r="M1071" i="2"/>
  <c r="N1071" i="2" s="1"/>
  <c r="R1527" i="2" s="1"/>
  <c r="L1071" i="2"/>
  <c r="K1071" i="2"/>
  <c r="M1070" i="2"/>
  <c r="N1070" i="2" s="1"/>
  <c r="R1526" i="2" s="1"/>
  <c r="L1070" i="2"/>
  <c r="K1070" i="2"/>
  <c r="E1071" i="2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O1072" i="2" l="1"/>
  <c r="S1148" i="2" s="1"/>
  <c r="T1262" i="2" s="1"/>
  <c r="R1528" i="2"/>
  <c r="P1105" i="2"/>
  <c r="O1105" i="2"/>
  <c r="S1181" i="2" s="1"/>
  <c r="T1295" i="2" s="1"/>
  <c r="P1097" i="2"/>
  <c r="O1097" i="2"/>
  <c r="S1173" i="2" s="1"/>
  <c r="T1287" i="2" s="1"/>
  <c r="O1073" i="2"/>
  <c r="S1149" i="2" s="1"/>
  <c r="T1263" i="2" s="1"/>
  <c r="P1073" i="2"/>
  <c r="P1081" i="2"/>
  <c r="O1081" i="2"/>
  <c r="S1157" i="2" s="1"/>
  <c r="T1271" i="2" s="1"/>
  <c r="P1089" i="2"/>
  <c r="O1089" i="2"/>
  <c r="S1165" i="2" s="1"/>
  <c r="T1279" i="2" s="1"/>
  <c r="P1070" i="2"/>
  <c r="O1070" i="2"/>
  <c r="S1146" i="2" s="1"/>
  <c r="T1260" i="2" s="1"/>
  <c r="P1101" i="2"/>
  <c r="O1101" i="2"/>
  <c r="S1177" i="2" s="1"/>
  <c r="T1291" i="2" s="1"/>
  <c r="P1086" i="2"/>
  <c r="O1086" i="2"/>
  <c r="S1162" i="2" s="1"/>
  <c r="T1276" i="2" s="1"/>
  <c r="O1090" i="2"/>
  <c r="S1166" i="2" s="1"/>
  <c r="T1280" i="2" s="1"/>
  <c r="P1090" i="2"/>
  <c r="P1095" i="2"/>
  <c r="O1095" i="2"/>
  <c r="S1171" i="2" s="1"/>
  <c r="T1285" i="2" s="1"/>
  <c r="P1099" i="2"/>
  <c r="O1099" i="2"/>
  <c r="S1175" i="2" s="1"/>
  <c r="T1289" i="2" s="1"/>
  <c r="P1075" i="2"/>
  <c r="O1075" i="2"/>
  <c r="S1151" i="2" s="1"/>
  <c r="T1265" i="2" s="1"/>
  <c r="P1093" i="2"/>
  <c r="O1093" i="2"/>
  <c r="S1169" i="2" s="1"/>
  <c r="T1283" i="2" s="1"/>
  <c r="P1102" i="2"/>
  <c r="O1102" i="2"/>
  <c r="S1178" i="2" s="1"/>
  <c r="T1292" i="2" s="1"/>
  <c r="O1106" i="2"/>
  <c r="S1182" i="2" s="1"/>
  <c r="T1296" i="2" s="1"/>
  <c r="P1106" i="2"/>
  <c r="P1078" i="2"/>
  <c r="O1078" i="2"/>
  <c r="S1154" i="2" s="1"/>
  <c r="T1268" i="2" s="1"/>
  <c r="O1082" i="2"/>
  <c r="S1158" i="2" s="1"/>
  <c r="T1272" i="2" s="1"/>
  <c r="P1082" i="2"/>
  <c r="P1087" i="2"/>
  <c r="O1087" i="2"/>
  <c r="S1163" i="2" s="1"/>
  <c r="T1277" i="2" s="1"/>
  <c r="P1091" i="2"/>
  <c r="O1091" i="2"/>
  <c r="S1167" i="2" s="1"/>
  <c r="T1281" i="2" s="1"/>
  <c r="O1074" i="2"/>
  <c r="S1150" i="2" s="1"/>
  <c r="T1264" i="2" s="1"/>
  <c r="P1074" i="2"/>
  <c r="P1079" i="2"/>
  <c r="O1079" i="2"/>
  <c r="S1155" i="2" s="1"/>
  <c r="T1269" i="2" s="1"/>
  <c r="P1083" i="2"/>
  <c r="O1083" i="2"/>
  <c r="S1159" i="2" s="1"/>
  <c r="T1273" i="2" s="1"/>
  <c r="P1077" i="2"/>
  <c r="O1077" i="2"/>
  <c r="S1153" i="2" s="1"/>
  <c r="T1267" i="2" s="1"/>
  <c r="P1071" i="2"/>
  <c r="O1071" i="2"/>
  <c r="S1147" i="2" s="1"/>
  <c r="T1261" i="2" s="1"/>
  <c r="P1085" i="2"/>
  <c r="O1085" i="2"/>
  <c r="S1161" i="2" s="1"/>
  <c r="T1275" i="2" s="1"/>
  <c r="P1094" i="2"/>
  <c r="O1094" i="2"/>
  <c r="S1170" i="2" s="1"/>
  <c r="T1284" i="2" s="1"/>
  <c r="O1098" i="2"/>
  <c r="S1174" i="2" s="1"/>
  <c r="T1288" i="2" s="1"/>
  <c r="P1098" i="2"/>
  <c r="P1103" i="2"/>
  <c r="O1103" i="2"/>
  <c r="S1179" i="2" s="1"/>
  <c r="T1293" i="2" s="1"/>
  <c r="P1107" i="2"/>
  <c r="O1107" i="2"/>
  <c r="S1183" i="2" s="1"/>
  <c r="T1297" i="2" s="1"/>
  <c r="O1080" i="2"/>
  <c r="S1156" i="2" s="1"/>
  <c r="T1270" i="2" s="1"/>
  <c r="O1088" i="2"/>
  <c r="S1164" i="2" s="1"/>
  <c r="T1278" i="2" s="1"/>
  <c r="O1096" i="2"/>
  <c r="S1172" i="2" s="1"/>
  <c r="T1286" i="2" s="1"/>
  <c r="O1104" i="2"/>
  <c r="S1180" i="2" s="1"/>
  <c r="T1294" i="2" s="1"/>
  <c r="P1072" i="2"/>
  <c r="P1080" i="2"/>
  <c r="P1088" i="2"/>
  <c r="P1096" i="2"/>
  <c r="P1104" i="2"/>
  <c r="O1076" i="2"/>
  <c r="S1152" i="2" s="1"/>
  <c r="T1266" i="2" s="1"/>
  <c r="O1084" i="2"/>
  <c r="S1160" i="2" s="1"/>
  <c r="T1274" i="2" s="1"/>
  <c r="O1092" i="2"/>
  <c r="S1168" i="2" s="1"/>
  <c r="T1282" i="2" s="1"/>
  <c r="O1100" i="2"/>
  <c r="S1176" i="2" s="1"/>
  <c r="T1290" i="2" s="1"/>
  <c r="P1076" i="2"/>
  <c r="P1084" i="2"/>
  <c r="P1092" i="2"/>
  <c r="P1100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33" i="2"/>
  <c r="J1032" i="2"/>
  <c r="M1069" i="2" l="1"/>
  <c r="N1069" i="2" s="1"/>
  <c r="R1525" i="2" s="1"/>
  <c r="L1069" i="2"/>
  <c r="K1069" i="2"/>
  <c r="M1068" i="2"/>
  <c r="N1068" i="2" s="1"/>
  <c r="R1524" i="2" s="1"/>
  <c r="L1068" i="2"/>
  <c r="K1068" i="2"/>
  <c r="M1067" i="2"/>
  <c r="N1067" i="2" s="1"/>
  <c r="R1523" i="2" s="1"/>
  <c r="L1067" i="2"/>
  <c r="K1067" i="2"/>
  <c r="M1066" i="2"/>
  <c r="N1066" i="2" s="1"/>
  <c r="R1522" i="2" s="1"/>
  <c r="L1066" i="2"/>
  <c r="K1066" i="2"/>
  <c r="M1065" i="2"/>
  <c r="N1065" i="2" s="1"/>
  <c r="L1065" i="2"/>
  <c r="K1065" i="2"/>
  <c r="M1064" i="2"/>
  <c r="N1064" i="2" s="1"/>
  <c r="R1520" i="2" s="1"/>
  <c r="L1064" i="2"/>
  <c r="K1064" i="2"/>
  <c r="M1063" i="2"/>
  <c r="N1063" i="2" s="1"/>
  <c r="R1519" i="2" s="1"/>
  <c r="L1063" i="2"/>
  <c r="K1063" i="2"/>
  <c r="M1062" i="2"/>
  <c r="N1062" i="2" s="1"/>
  <c r="R1518" i="2" s="1"/>
  <c r="L1062" i="2"/>
  <c r="K1062" i="2"/>
  <c r="M1061" i="2"/>
  <c r="N1061" i="2" s="1"/>
  <c r="R1517" i="2" s="1"/>
  <c r="L1061" i="2"/>
  <c r="K1061" i="2"/>
  <c r="M1060" i="2"/>
  <c r="N1060" i="2" s="1"/>
  <c r="R1516" i="2" s="1"/>
  <c r="L1060" i="2"/>
  <c r="K1060" i="2"/>
  <c r="M1059" i="2"/>
  <c r="N1059" i="2" s="1"/>
  <c r="R1515" i="2" s="1"/>
  <c r="L1059" i="2"/>
  <c r="K1059" i="2"/>
  <c r="M1058" i="2"/>
  <c r="N1058" i="2" s="1"/>
  <c r="R1514" i="2" s="1"/>
  <c r="L1058" i="2"/>
  <c r="K1058" i="2"/>
  <c r="M1057" i="2"/>
  <c r="N1057" i="2" s="1"/>
  <c r="R1513" i="2" s="1"/>
  <c r="L1057" i="2"/>
  <c r="K1057" i="2"/>
  <c r="M1056" i="2"/>
  <c r="N1056" i="2" s="1"/>
  <c r="R1512" i="2" s="1"/>
  <c r="L1056" i="2"/>
  <c r="K1056" i="2"/>
  <c r="M1055" i="2"/>
  <c r="N1055" i="2" s="1"/>
  <c r="R1511" i="2" s="1"/>
  <c r="L1055" i="2"/>
  <c r="K1055" i="2"/>
  <c r="M1054" i="2"/>
  <c r="N1054" i="2" s="1"/>
  <c r="R1510" i="2" s="1"/>
  <c r="L1054" i="2"/>
  <c r="K1054" i="2"/>
  <c r="M1053" i="2"/>
  <c r="N1053" i="2" s="1"/>
  <c r="R1509" i="2" s="1"/>
  <c r="L1053" i="2"/>
  <c r="K1053" i="2"/>
  <c r="M1052" i="2"/>
  <c r="N1052" i="2" s="1"/>
  <c r="R1508" i="2" s="1"/>
  <c r="L1052" i="2"/>
  <c r="K1052" i="2"/>
  <c r="M1051" i="2"/>
  <c r="N1051" i="2" s="1"/>
  <c r="R1507" i="2" s="1"/>
  <c r="L1051" i="2"/>
  <c r="K1051" i="2"/>
  <c r="M1050" i="2"/>
  <c r="N1050" i="2" s="1"/>
  <c r="R1506" i="2" s="1"/>
  <c r="L1050" i="2"/>
  <c r="K1050" i="2"/>
  <c r="M1049" i="2"/>
  <c r="N1049" i="2" s="1"/>
  <c r="R1505" i="2" s="1"/>
  <c r="L1049" i="2"/>
  <c r="K1049" i="2"/>
  <c r="M1048" i="2"/>
  <c r="N1048" i="2" s="1"/>
  <c r="R1504" i="2" s="1"/>
  <c r="L1048" i="2"/>
  <c r="K1048" i="2"/>
  <c r="M1047" i="2"/>
  <c r="N1047" i="2" s="1"/>
  <c r="R1503" i="2" s="1"/>
  <c r="L1047" i="2"/>
  <c r="K1047" i="2"/>
  <c r="M1046" i="2"/>
  <c r="N1046" i="2" s="1"/>
  <c r="R1502" i="2" s="1"/>
  <c r="L1046" i="2"/>
  <c r="K1046" i="2"/>
  <c r="M1045" i="2"/>
  <c r="N1045" i="2" s="1"/>
  <c r="R1501" i="2" s="1"/>
  <c r="L1045" i="2"/>
  <c r="K1045" i="2"/>
  <c r="M1044" i="2"/>
  <c r="N1044" i="2" s="1"/>
  <c r="L1044" i="2"/>
  <c r="K1044" i="2"/>
  <c r="M1043" i="2"/>
  <c r="N1043" i="2" s="1"/>
  <c r="R1499" i="2" s="1"/>
  <c r="L1043" i="2"/>
  <c r="K1043" i="2"/>
  <c r="M1042" i="2"/>
  <c r="N1042" i="2" s="1"/>
  <c r="R1498" i="2" s="1"/>
  <c r="L1042" i="2"/>
  <c r="K1042" i="2"/>
  <c r="M1041" i="2"/>
  <c r="N1041" i="2" s="1"/>
  <c r="R1497" i="2" s="1"/>
  <c r="L1041" i="2"/>
  <c r="K1041" i="2"/>
  <c r="M1040" i="2"/>
  <c r="N1040" i="2" s="1"/>
  <c r="R1496" i="2" s="1"/>
  <c r="L1040" i="2"/>
  <c r="K1040" i="2"/>
  <c r="M1039" i="2"/>
  <c r="N1039" i="2" s="1"/>
  <c r="R1495" i="2" s="1"/>
  <c r="L1039" i="2"/>
  <c r="K1039" i="2"/>
  <c r="M1038" i="2"/>
  <c r="N1038" i="2" s="1"/>
  <c r="R1494" i="2" s="1"/>
  <c r="L1038" i="2"/>
  <c r="K1038" i="2"/>
  <c r="M1037" i="2"/>
  <c r="N1037" i="2" s="1"/>
  <c r="R1493" i="2" s="1"/>
  <c r="L1037" i="2"/>
  <c r="K1037" i="2"/>
  <c r="M1036" i="2"/>
  <c r="N1036" i="2" s="1"/>
  <c r="R1492" i="2" s="1"/>
  <c r="L1036" i="2"/>
  <c r="K1036" i="2"/>
  <c r="M1035" i="2"/>
  <c r="N1035" i="2" s="1"/>
  <c r="R1491" i="2" s="1"/>
  <c r="L1035" i="2"/>
  <c r="K1035" i="2"/>
  <c r="M1034" i="2"/>
  <c r="N1034" i="2" s="1"/>
  <c r="R1490" i="2" s="1"/>
  <c r="L1034" i="2"/>
  <c r="K1034" i="2"/>
  <c r="M1033" i="2"/>
  <c r="N1033" i="2" s="1"/>
  <c r="L1033" i="2"/>
  <c r="K1033" i="2"/>
  <c r="M1032" i="2"/>
  <c r="N1032" i="2" s="1"/>
  <c r="R1488" i="2" s="1"/>
  <c r="L1032" i="2"/>
  <c r="K1032" i="2"/>
  <c r="E1033" i="2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O1065" i="2" l="1"/>
  <c r="R1521" i="2"/>
  <c r="O1033" i="2"/>
  <c r="R1489" i="2"/>
  <c r="P1044" i="2"/>
  <c r="R1500" i="2"/>
  <c r="O1067" i="2"/>
  <c r="P1067" i="2"/>
  <c r="P1036" i="2"/>
  <c r="P1052" i="2"/>
  <c r="P1068" i="2"/>
  <c r="O1068" i="2"/>
  <c r="P1060" i="2"/>
  <c r="P1056" i="2"/>
  <c r="O1056" i="2"/>
  <c r="P1063" i="2"/>
  <c r="O1063" i="2"/>
  <c r="O1035" i="2"/>
  <c r="P1035" i="2"/>
  <c r="P1037" i="2"/>
  <c r="O1037" i="2"/>
  <c r="P1040" i="2"/>
  <c r="O1040" i="2"/>
  <c r="P1047" i="2"/>
  <c r="O1047" i="2"/>
  <c r="P1054" i="2"/>
  <c r="O1054" i="2"/>
  <c r="O1059" i="2"/>
  <c r="P1059" i="2"/>
  <c r="P1061" i="2"/>
  <c r="O1061" i="2"/>
  <c r="O1066" i="2"/>
  <c r="P1066" i="2"/>
  <c r="P1064" i="2"/>
  <c r="O1064" i="2"/>
  <c r="P1038" i="2"/>
  <c r="O1038" i="2"/>
  <c r="O1043" i="2"/>
  <c r="P1043" i="2"/>
  <c r="P1045" i="2"/>
  <c r="O1045" i="2"/>
  <c r="P1050" i="2"/>
  <c r="O1050" i="2"/>
  <c r="P1048" i="2"/>
  <c r="O1048" i="2"/>
  <c r="P1055" i="2"/>
  <c r="O1055" i="2"/>
  <c r="P1062" i="2"/>
  <c r="O1062" i="2"/>
  <c r="P1034" i="2"/>
  <c r="O1034" i="2"/>
  <c r="P1032" i="2"/>
  <c r="O1032" i="2"/>
  <c r="P1039" i="2"/>
  <c r="O1039" i="2"/>
  <c r="P1046" i="2"/>
  <c r="O1046" i="2"/>
  <c r="O1051" i="2"/>
  <c r="P1051" i="2"/>
  <c r="P1053" i="2"/>
  <c r="O1053" i="2"/>
  <c r="O1058" i="2"/>
  <c r="P1058" i="2"/>
  <c r="P1042" i="2"/>
  <c r="O1042" i="2"/>
  <c r="P1069" i="2"/>
  <c r="O1069" i="2"/>
  <c r="O1041" i="2"/>
  <c r="O1049" i="2"/>
  <c r="O1057" i="2"/>
  <c r="P1033" i="2"/>
  <c r="P1041" i="2"/>
  <c r="P1049" i="2"/>
  <c r="P1057" i="2"/>
  <c r="P1065" i="2"/>
  <c r="O1036" i="2"/>
  <c r="O1052" i="2"/>
  <c r="O1060" i="2"/>
  <c r="O1044" i="2"/>
  <c r="R297" i="4"/>
  <c r="S297" i="4" s="1"/>
  <c r="O299" i="4"/>
  <c r="P299" i="4"/>
  <c r="O298" i="4"/>
  <c r="P298" i="4"/>
  <c r="O297" i="4"/>
  <c r="P297" i="4"/>
  <c r="O296" i="4"/>
  <c r="P296" i="4"/>
  <c r="O295" i="4"/>
  <c r="P295" i="4"/>
  <c r="H297" i="4"/>
  <c r="I297" i="4" s="1"/>
  <c r="E299" i="4"/>
  <c r="F299" i="4"/>
  <c r="E298" i="4"/>
  <c r="F298" i="4"/>
  <c r="E297" i="4"/>
  <c r="F297" i="4"/>
  <c r="E296" i="4"/>
  <c r="F296" i="4"/>
  <c r="E295" i="4"/>
  <c r="F295" i="4"/>
  <c r="R235" i="4"/>
  <c r="S235" i="4" s="1"/>
  <c r="O237" i="4"/>
  <c r="P237" i="4" s="1"/>
  <c r="O236" i="4"/>
  <c r="P236" i="4"/>
  <c r="O235" i="4"/>
  <c r="P235" i="4" s="1"/>
  <c r="O234" i="4"/>
  <c r="P234" i="4"/>
  <c r="O233" i="4"/>
  <c r="P233" i="4"/>
  <c r="H235" i="4"/>
  <c r="I235" i="4" s="1"/>
  <c r="E237" i="4"/>
  <c r="F237" i="4"/>
  <c r="E236" i="4"/>
  <c r="F236" i="4" s="1"/>
  <c r="E235" i="4"/>
  <c r="F235" i="4" s="1"/>
  <c r="E234" i="4"/>
  <c r="F234" i="4"/>
  <c r="E233" i="4"/>
  <c r="F233" i="4"/>
  <c r="S173" i="4"/>
  <c r="R173" i="4"/>
  <c r="O175" i="4"/>
  <c r="P175" i="4" s="1"/>
  <c r="O174" i="4"/>
  <c r="P174" i="4"/>
  <c r="O173" i="4"/>
  <c r="P173" i="4"/>
  <c r="O172" i="4"/>
  <c r="P172" i="4"/>
  <c r="O171" i="4"/>
  <c r="P171" i="4"/>
  <c r="H173" i="4"/>
  <c r="I173" i="4" s="1"/>
  <c r="E175" i="4"/>
  <c r="F175" i="4" s="1"/>
  <c r="E174" i="4"/>
  <c r="F174" i="4"/>
  <c r="E173" i="4"/>
  <c r="F173" i="4" s="1"/>
  <c r="E172" i="4"/>
  <c r="F172" i="4"/>
  <c r="E171" i="4"/>
  <c r="F171" i="4"/>
  <c r="R112" i="4"/>
  <c r="S112" i="4" s="1"/>
  <c r="O114" i="4"/>
  <c r="P114" i="4"/>
  <c r="O113" i="4"/>
  <c r="P113" i="4"/>
  <c r="O112" i="4"/>
  <c r="P112" i="4" s="1"/>
  <c r="O111" i="4"/>
  <c r="P111" i="4" s="1"/>
  <c r="O110" i="4"/>
  <c r="P110" i="4" s="1"/>
  <c r="H112" i="4"/>
  <c r="I112" i="4" s="1"/>
  <c r="E114" i="4"/>
  <c r="F114" i="4"/>
  <c r="E113" i="4"/>
  <c r="F113" i="4"/>
  <c r="E112" i="4"/>
  <c r="F112" i="4"/>
  <c r="E111" i="4"/>
  <c r="F111" i="4"/>
  <c r="E110" i="4"/>
  <c r="F110" i="4"/>
  <c r="J995" i="2" l="1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994" i="2"/>
  <c r="E995" i="2" l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L1031" i="2"/>
  <c r="K1031" i="2"/>
  <c r="M1031" i="2"/>
  <c r="N1031" i="2" s="1"/>
  <c r="R1487" i="2" s="1"/>
  <c r="L1030" i="2"/>
  <c r="K1030" i="2"/>
  <c r="M1030" i="2"/>
  <c r="N1030" i="2" s="1"/>
  <c r="R1486" i="2" s="1"/>
  <c r="L1029" i="2"/>
  <c r="K1029" i="2"/>
  <c r="M1029" i="2"/>
  <c r="N1029" i="2" s="1"/>
  <c r="R1485" i="2" s="1"/>
  <c r="L1028" i="2"/>
  <c r="K1028" i="2"/>
  <c r="M1028" i="2"/>
  <c r="N1028" i="2" s="1"/>
  <c r="R1484" i="2" s="1"/>
  <c r="L1027" i="2"/>
  <c r="K1027" i="2"/>
  <c r="M1027" i="2"/>
  <c r="N1027" i="2" s="1"/>
  <c r="R1483" i="2" s="1"/>
  <c r="L1026" i="2"/>
  <c r="K1026" i="2"/>
  <c r="M1026" i="2"/>
  <c r="N1026" i="2" s="1"/>
  <c r="R1482" i="2" s="1"/>
  <c r="L1025" i="2"/>
  <c r="K1025" i="2"/>
  <c r="M1025" i="2"/>
  <c r="N1025" i="2" s="1"/>
  <c r="R1481" i="2" s="1"/>
  <c r="L1024" i="2"/>
  <c r="K1024" i="2"/>
  <c r="M1024" i="2"/>
  <c r="N1024" i="2" s="1"/>
  <c r="R1480" i="2" s="1"/>
  <c r="L1023" i="2"/>
  <c r="K1023" i="2"/>
  <c r="M1023" i="2"/>
  <c r="N1023" i="2" s="1"/>
  <c r="R1479" i="2" s="1"/>
  <c r="L1022" i="2"/>
  <c r="K1022" i="2"/>
  <c r="M1022" i="2"/>
  <c r="N1022" i="2" s="1"/>
  <c r="R1478" i="2" s="1"/>
  <c r="L1021" i="2"/>
  <c r="K1021" i="2"/>
  <c r="M1021" i="2"/>
  <c r="N1021" i="2" s="1"/>
  <c r="R1477" i="2" s="1"/>
  <c r="L1020" i="2"/>
  <c r="K1020" i="2"/>
  <c r="M1020" i="2"/>
  <c r="N1020" i="2" s="1"/>
  <c r="R1476" i="2" s="1"/>
  <c r="L1019" i="2"/>
  <c r="K1019" i="2"/>
  <c r="M1019" i="2"/>
  <c r="N1019" i="2" s="1"/>
  <c r="R1475" i="2" s="1"/>
  <c r="L1018" i="2"/>
  <c r="K1018" i="2"/>
  <c r="M1018" i="2"/>
  <c r="N1018" i="2" s="1"/>
  <c r="R1474" i="2" s="1"/>
  <c r="L1017" i="2"/>
  <c r="K1017" i="2"/>
  <c r="M1017" i="2"/>
  <c r="N1017" i="2" s="1"/>
  <c r="R1473" i="2" s="1"/>
  <c r="L1016" i="2"/>
  <c r="K1016" i="2"/>
  <c r="M1016" i="2"/>
  <c r="N1016" i="2" s="1"/>
  <c r="R1472" i="2" s="1"/>
  <c r="L1015" i="2"/>
  <c r="K1015" i="2"/>
  <c r="M1015" i="2"/>
  <c r="N1015" i="2" s="1"/>
  <c r="R1471" i="2" s="1"/>
  <c r="L1014" i="2"/>
  <c r="K1014" i="2"/>
  <c r="M1014" i="2"/>
  <c r="N1014" i="2" s="1"/>
  <c r="R1470" i="2" s="1"/>
  <c r="L1013" i="2"/>
  <c r="K1013" i="2"/>
  <c r="M1013" i="2"/>
  <c r="N1013" i="2" s="1"/>
  <c r="R1469" i="2" s="1"/>
  <c r="L1012" i="2"/>
  <c r="K1012" i="2"/>
  <c r="M1012" i="2"/>
  <c r="N1012" i="2" s="1"/>
  <c r="R1468" i="2" s="1"/>
  <c r="L1011" i="2"/>
  <c r="K1011" i="2"/>
  <c r="M1011" i="2"/>
  <c r="N1011" i="2" s="1"/>
  <c r="R1467" i="2" s="1"/>
  <c r="L1010" i="2"/>
  <c r="K1010" i="2"/>
  <c r="M1010" i="2"/>
  <c r="N1010" i="2" s="1"/>
  <c r="R1466" i="2" s="1"/>
  <c r="L1009" i="2"/>
  <c r="K1009" i="2"/>
  <c r="M1009" i="2"/>
  <c r="N1009" i="2" s="1"/>
  <c r="R1465" i="2" s="1"/>
  <c r="L1008" i="2"/>
  <c r="K1008" i="2"/>
  <c r="M1008" i="2"/>
  <c r="N1008" i="2" s="1"/>
  <c r="R1464" i="2" s="1"/>
  <c r="L1007" i="2"/>
  <c r="K1007" i="2"/>
  <c r="M1007" i="2"/>
  <c r="N1007" i="2" s="1"/>
  <c r="R1463" i="2" s="1"/>
  <c r="L1006" i="2"/>
  <c r="K1006" i="2"/>
  <c r="M1006" i="2"/>
  <c r="N1006" i="2" s="1"/>
  <c r="R1462" i="2" s="1"/>
  <c r="L1005" i="2"/>
  <c r="K1005" i="2"/>
  <c r="M1005" i="2"/>
  <c r="N1005" i="2" s="1"/>
  <c r="R1461" i="2" s="1"/>
  <c r="L1004" i="2"/>
  <c r="K1004" i="2"/>
  <c r="M1004" i="2"/>
  <c r="N1004" i="2" s="1"/>
  <c r="R1460" i="2" s="1"/>
  <c r="L1003" i="2"/>
  <c r="K1003" i="2"/>
  <c r="M1003" i="2"/>
  <c r="N1003" i="2" s="1"/>
  <c r="R1459" i="2" s="1"/>
  <c r="L1002" i="2"/>
  <c r="K1002" i="2"/>
  <c r="M1002" i="2"/>
  <c r="N1002" i="2" s="1"/>
  <c r="R1458" i="2" s="1"/>
  <c r="L1001" i="2"/>
  <c r="K1001" i="2"/>
  <c r="M1001" i="2"/>
  <c r="N1001" i="2" s="1"/>
  <c r="R1457" i="2" s="1"/>
  <c r="L1000" i="2"/>
  <c r="K1000" i="2"/>
  <c r="M1000" i="2"/>
  <c r="N1000" i="2" s="1"/>
  <c r="R1456" i="2" s="1"/>
  <c r="L999" i="2"/>
  <c r="K999" i="2"/>
  <c r="M999" i="2"/>
  <c r="N999" i="2" s="1"/>
  <c r="R1455" i="2" s="1"/>
  <c r="L998" i="2"/>
  <c r="K998" i="2"/>
  <c r="M998" i="2"/>
  <c r="N998" i="2" s="1"/>
  <c r="R1454" i="2" s="1"/>
  <c r="L997" i="2"/>
  <c r="K997" i="2"/>
  <c r="M997" i="2"/>
  <c r="N997" i="2" s="1"/>
  <c r="R1453" i="2" s="1"/>
  <c r="L996" i="2"/>
  <c r="K996" i="2"/>
  <c r="M996" i="2"/>
  <c r="N996" i="2" s="1"/>
  <c r="R1452" i="2" s="1"/>
  <c r="L995" i="2"/>
  <c r="K995" i="2"/>
  <c r="M995" i="2"/>
  <c r="N995" i="2" s="1"/>
  <c r="R1451" i="2" s="1"/>
  <c r="L994" i="2"/>
  <c r="K994" i="2"/>
  <c r="M994" i="2"/>
  <c r="N994" i="2" s="1"/>
  <c r="R1450" i="2" s="1"/>
  <c r="P999" i="2" l="1"/>
  <c r="O999" i="2"/>
  <c r="P1007" i="2"/>
  <c r="O1007" i="2"/>
  <c r="P1015" i="2"/>
  <c r="O1015" i="2"/>
  <c r="P1023" i="2"/>
  <c r="O1023" i="2"/>
  <c r="P1031" i="2"/>
  <c r="O1031" i="2"/>
  <c r="P994" i="2"/>
  <c r="O994" i="2"/>
  <c r="P1002" i="2"/>
  <c r="O1002" i="2"/>
  <c r="P1010" i="2"/>
  <c r="O1010" i="2"/>
  <c r="P1018" i="2"/>
  <c r="O1018" i="2"/>
  <c r="P1026" i="2"/>
  <c r="O1026" i="2"/>
  <c r="P997" i="2"/>
  <c r="O997" i="2"/>
  <c r="P1005" i="2"/>
  <c r="O1005" i="2"/>
  <c r="P1013" i="2"/>
  <c r="O1013" i="2"/>
  <c r="P1021" i="2"/>
  <c r="O1021" i="2"/>
  <c r="P1029" i="2"/>
  <c r="O1029" i="2"/>
  <c r="P1000" i="2"/>
  <c r="O1000" i="2"/>
  <c r="P1008" i="2"/>
  <c r="O1008" i="2"/>
  <c r="P1016" i="2"/>
  <c r="O1016" i="2"/>
  <c r="P1024" i="2"/>
  <c r="O1024" i="2"/>
  <c r="P995" i="2"/>
  <c r="O995" i="2"/>
  <c r="P1003" i="2"/>
  <c r="O1003" i="2"/>
  <c r="P1011" i="2"/>
  <c r="O1011" i="2"/>
  <c r="P1019" i="2"/>
  <c r="O1019" i="2"/>
  <c r="P1027" i="2"/>
  <c r="O1027" i="2"/>
  <c r="P998" i="2"/>
  <c r="O998" i="2"/>
  <c r="P1006" i="2"/>
  <c r="O1006" i="2"/>
  <c r="P1014" i="2"/>
  <c r="O1014" i="2"/>
  <c r="P1022" i="2"/>
  <c r="O1022" i="2"/>
  <c r="P1030" i="2"/>
  <c r="O1030" i="2"/>
  <c r="P1001" i="2"/>
  <c r="O1001" i="2"/>
  <c r="P1009" i="2"/>
  <c r="O1009" i="2"/>
  <c r="P1017" i="2"/>
  <c r="O1017" i="2"/>
  <c r="P1025" i="2"/>
  <c r="O1025" i="2"/>
  <c r="P996" i="2"/>
  <c r="O996" i="2"/>
  <c r="P1004" i="2"/>
  <c r="O1004" i="2"/>
  <c r="P1012" i="2"/>
  <c r="O1012" i="2"/>
  <c r="P1020" i="2"/>
  <c r="O1020" i="2"/>
  <c r="P1028" i="2"/>
  <c r="O1028" i="2"/>
  <c r="K993" i="2"/>
  <c r="L993" i="2"/>
  <c r="K992" i="2"/>
  <c r="L992" i="2"/>
  <c r="K991" i="2"/>
  <c r="L991" i="2"/>
  <c r="K990" i="2"/>
  <c r="L990" i="2"/>
  <c r="K989" i="2"/>
  <c r="L989" i="2"/>
  <c r="K988" i="2"/>
  <c r="L988" i="2"/>
  <c r="K987" i="2"/>
  <c r="L987" i="2"/>
  <c r="K986" i="2"/>
  <c r="L986" i="2"/>
  <c r="K985" i="2"/>
  <c r="L985" i="2"/>
  <c r="K984" i="2"/>
  <c r="L984" i="2"/>
  <c r="K983" i="2"/>
  <c r="L983" i="2"/>
  <c r="K982" i="2"/>
  <c r="L982" i="2"/>
  <c r="K981" i="2"/>
  <c r="L981" i="2"/>
  <c r="K980" i="2"/>
  <c r="L980" i="2"/>
  <c r="K979" i="2"/>
  <c r="L979" i="2"/>
  <c r="K978" i="2"/>
  <c r="L978" i="2"/>
  <c r="K977" i="2"/>
  <c r="L977" i="2"/>
  <c r="K976" i="2"/>
  <c r="L976" i="2"/>
  <c r="K975" i="2"/>
  <c r="L975" i="2"/>
  <c r="K974" i="2"/>
  <c r="L974" i="2"/>
  <c r="K973" i="2"/>
  <c r="L973" i="2"/>
  <c r="K972" i="2"/>
  <c r="L972" i="2"/>
  <c r="K971" i="2"/>
  <c r="L971" i="2"/>
  <c r="K970" i="2"/>
  <c r="L970" i="2"/>
  <c r="K969" i="2"/>
  <c r="L969" i="2"/>
  <c r="K968" i="2"/>
  <c r="L968" i="2"/>
  <c r="K967" i="2"/>
  <c r="L967" i="2"/>
  <c r="K966" i="2"/>
  <c r="L966" i="2"/>
  <c r="K965" i="2"/>
  <c r="L965" i="2"/>
  <c r="K964" i="2"/>
  <c r="L964" i="2"/>
  <c r="K963" i="2"/>
  <c r="L963" i="2"/>
  <c r="K962" i="2"/>
  <c r="L962" i="2"/>
  <c r="K961" i="2"/>
  <c r="L961" i="2"/>
  <c r="K960" i="2"/>
  <c r="L960" i="2"/>
  <c r="K959" i="2"/>
  <c r="L959" i="2"/>
  <c r="K958" i="2"/>
  <c r="L958" i="2"/>
  <c r="K957" i="2"/>
  <c r="L957" i="2"/>
  <c r="K956" i="2"/>
  <c r="L956" i="2"/>
  <c r="J993" i="2"/>
  <c r="M993" i="2" s="1"/>
  <c r="N993" i="2" s="1"/>
  <c r="R1449" i="2" s="1"/>
  <c r="J992" i="2"/>
  <c r="M992" i="2" s="1"/>
  <c r="N992" i="2" s="1"/>
  <c r="J991" i="2"/>
  <c r="M991" i="2" s="1"/>
  <c r="N991" i="2" s="1"/>
  <c r="R1447" i="2" s="1"/>
  <c r="J990" i="2"/>
  <c r="M990" i="2" s="1"/>
  <c r="N990" i="2" s="1"/>
  <c r="R1446" i="2" s="1"/>
  <c r="J989" i="2"/>
  <c r="M989" i="2" s="1"/>
  <c r="N989" i="2" s="1"/>
  <c r="R1445" i="2" s="1"/>
  <c r="J988" i="2"/>
  <c r="M988" i="2" s="1"/>
  <c r="N988" i="2" s="1"/>
  <c r="R1444" i="2" s="1"/>
  <c r="J987" i="2"/>
  <c r="M987" i="2" s="1"/>
  <c r="N987" i="2" s="1"/>
  <c r="R1443" i="2" s="1"/>
  <c r="J986" i="2"/>
  <c r="M986" i="2" s="1"/>
  <c r="N986" i="2" s="1"/>
  <c r="R1442" i="2" s="1"/>
  <c r="J985" i="2"/>
  <c r="M985" i="2" s="1"/>
  <c r="N985" i="2" s="1"/>
  <c r="R1441" i="2" s="1"/>
  <c r="J984" i="2"/>
  <c r="M984" i="2" s="1"/>
  <c r="N984" i="2" s="1"/>
  <c r="J983" i="2"/>
  <c r="M983" i="2" s="1"/>
  <c r="N983" i="2" s="1"/>
  <c r="R1439" i="2" s="1"/>
  <c r="J982" i="2"/>
  <c r="M982" i="2" s="1"/>
  <c r="N982" i="2" s="1"/>
  <c r="R1438" i="2" s="1"/>
  <c r="J981" i="2"/>
  <c r="M981" i="2" s="1"/>
  <c r="N981" i="2" s="1"/>
  <c r="R1437" i="2" s="1"/>
  <c r="J980" i="2"/>
  <c r="M980" i="2" s="1"/>
  <c r="N980" i="2" s="1"/>
  <c r="R1436" i="2" s="1"/>
  <c r="J979" i="2"/>
  <c r="M979" i="2" s="1"/>
  <c r="N979" i="2" s="1"/>
  <c r="R1435" i="2" s="1"/>
  <c r="J978" i="2"/>
  <c r="M978" i="2" s="1"/>
  <c r="N978" i="2" s="1"/>
  <c r="R1434" i="2" s="1"/>
  <c r="J977" i="2"/>
  <c r="M977" i="2" s="1"/>
  <c r="N977" i="2" s="1"/>
  <c r="R1433" i="2" s="1"/>
  <c r="J976" i="2"/>
  <c r="M976" i="2" s="1"/>
  <c r="N976" i="2" s="1"/>
  <c r="J975" i="2"/>
  <c r="M975" i="2" s="1"/>
  <c r="N975" i="2" s="1"/>
  <c r="R1431" i="2" s="1"/>
  <c r="J974" i="2"/>
  <c r="M974" i="2" s="1"/>
  <c r="N974" i="2" s="1"/>
  <c r="R1430" i="2" s="1"/>
  <c r="J973" i="2"/>
  <c r="M973" i="2" s="1"/>
  <c r="N973" i="2" s="1"/>
  <c r="R1429" i="2" s="1"/>
  <c r="J972" i="2"/>
  <c r="M972" i="2" s="1"/>
  <c r="N972" i="2" s="1"/>
  <c r="R1428" i="2" s="1"/>
  <c r="J971" i="2"/>
  <c r="M971" i="2" s="1"/>
  <c r="N971" i="2" s="1"/>
  <c r="R1427" i="2" s="1"/>
  <c r="J970" i="2"/>
  <c r="M970" i="2" s="1"/>
  <c r="N970" i="2" s="1"/>
  <c r="R1426" i="2" s="1"/>
  <c r="J969" i="2"/>
  <c r="M969" i="2" s="1"/>
  <c r="N969" i="2" s="1"/>
  <c r="R1425" i="2" s="1"/>
  <c r="J968" i="2"/>
  <c r="M968" i="2" s="1"/>
  <c r="N968" i="2" s="1"/>
  <c r="J967" i="2"/>
  <c r="M967" i="2" s="1"/>
  <c r="N967" i="2" s="1"/>
  <c r="R1423" i="2" s="1"/>
  <c r="J966" i="2"/>
  <c r="M966" i="2" s="1"/>
  <c r="N966" i="2" s="1"/>
  <c r="R1422" i="2" s="1"/>
  <c r="J965" i="2"/>
  <c r="M965" i="2" s="1"/>
  <c r="N965" i="2" s="1"/>
  <c r="R1421" i="2" s="1"/>
  <c r="J964" i="2"/>
  <c r="M964" i="2" s="1"/>
  <c r="N964" i="2" s="1"/>
  <c r="R1420" i="2" s="1"/>
  <c r="J963" i="2"/>
  <c r="M963" i="2" s="1"/>
  <c r="N963" i="2" s="1"/>
  <c r="R1419" i="2" s="1"/>
  <c r="J962" i="2"/>
  <c r="M962" i="2" s="1"/>
  <c r="N962" i="2" s="1"/>
  <c r="R1418" i="2" s="1"/>
  <c r="J961" i="2"/>
  <c r="M961" i="2" s="1"/>
  <c r="N961" i="2" s="1"/>
  <c r="R1417" i="2" s="1"/>
  <c r="J960" i="2"/>
  <c r="M960" i="2" s="1"/>
  <c r="N960" i="2" s="1"/>
  <c r="J959" i="2"/>
  <c r="M959" i="2" s="1"/>
  <c r="N959" i="2" s="1"/>
  <c r="R1415" i="2" s="1"/>
  <c r="J958" i="2"/>
  <c r="M958" i="2" s="1"/>
  <c r="N958" i="2" s="1"/>
  <c r="R1414" i="2" s="1"/>
  <c r="J957" i="2"/>
  <c r="M957" i="2" s="1"/>
  <c r="N957" i="2" s="1"/>
  <c r="R1413" i="2" s="1"/>
  <c r="J956" i="2"/>
  <c r="M956" i="2" s="1"/>
  <c r="N956" i="2" s="1"/>
  <c r="R1412" i="2" s="1"/>
  <c r="O960" i="2" l="1"/>
  <c r="S1036" i="2" s="1"/>
  <c r="T1150" i="2" s="1"/>
  <c r="R1416" i="2"/>
  <c r="O968" i="2"/>
  <c r="S1044" i="2" s="1"/>
  <c r="T1158" i="2" s="1"/>
  <c r="R1424" i="2"/>
  <c r="O976" i="2"/>
  <c r="S1052" i="2" s="1"/>
  <c r="T1166" i="2" s="1"/>
  <c r="R1432" i="2"/>
  <c r="O984" i="2"/>
  <c r="S1060" i="2" s="1"/>
  <c r="T1174" i="2" s="1"/>
  <c r="R1440" i="2"/>
  <c r="O992" i="2"/>
  <c r="S1068" i="2" s="1"/>
  <c r="T1182" i="2" s="1"/>
  <c r="R1448" i="2"/>
  <c r="O962" i="2"/>
  <c r="S1038" i="2" s="1"/>
  <c r="T1152" i="2" s="1"/>
  <c r="O970" i="2"/>
  <c r="S1046" i="2" s="1"/>
  <c r="T1160" i="2" s="1"/>
  <c r="O978" i="2"/>
  <c r="S1054" i="2" s="1"/>
  <c r="T1168" i="2" s="1"/>
  <c r="O986" i="2"/>
  <c r="S1062" i="2" s="1"/>
  <c r="T1176" i="2" s="1"/>
  <c r="P986" i="2"/>
  <c r="O956" i="2"/>
  <c r="S1032" i="2" s="1"/>
  <c r="T1146" i="2" s="1"/>
  <c r="O964" i="2"/>
  <c r="S1040" i="2" s="1"/>
  <c r="T1154" i="2" s="1"/>
  <c r="O972" i="2"/>
  <c r="S1048" i="2" s="1"/>
  <c r="T1162" i="2" s="1"/>
  <c r="O980" i="2"/>
  <c r="S1056" i="2" s="1"/>
  <c r="T1170" i="2" s="1"/>
  <c r="O988" i="2"/>
  <c r="S1064" i="2" s="1"/>
  <c r="T1178" i="2" s="1"/>
  <c r="O958" i="2"/>
  <c r="S1034" i="2" s="1"/>
  <c r="T1148" i="2" s="1"/>
  <c r="O966" i="2"/>
  <c r="S1042" i="2" s="1"/>
  <c r="T1156" i="2" s="1"/>
  <c r="O974" i="2"/>
  <c r="S1050" i="2" s="1"/>
  <c r="T1164" i="2" s="1"/>
  <c r="O982" i="2"/>
  <c r="S1058" i="2" s="1"/>
  <c r="T1172" i="2" s="1"/>
  <c r="O990" i="2"/>
  <c r="S1066" i="2" s="1"/>
  <c r="T1180" i="2" s="1"/>
  <c r="P961" i="2"/>
  <c r="O961" i="2"/>
  <c r="S1037" i="2" s="1"/>
  <c r="T1151" i="2" s="1"/>
  <c r="P969" i="2"/>
  <c r="O969" i="2"/>
  <c r="S1045" i="2" s="1"/>
  <c r="T1159" i="2" s="1"/>
  <c r="P963" i="2"/>
  <c r="O963" i="2"/>
  <c r="S1039" i="2" s="1"/>
  <c r="T1153" i="2" s="1"/>
  <c r="P971" i="2"/>
  <c r="O971" i="2"/>
  <c r="S1047" i="2" s="1"/>
  <c r="T1161" i="2" s="1"/>
  <c r="P957" i="2"/>
  <c r="O957" i="2"/>
  <c r="S1033" i="2" s="1"/>
  <c r="T1147" i="2" s="1"/>
  <c r="P965" i="2"/>
  <c r="O965" i="2"/>
  <c r="S1041" i="2" s="1"/>
  <c r="T1155" i="2" s="1"/>
  <c r="P973" i="2"/>
  <c r="O973" i="2"/>
  <c r="S1049" i="2" s="1"/>
  <c r="T1163" i="2" s="1"/>
  <c r="P959" i="2"/>
  <c r="O959" i="2"/>
  <c r="S1035" i="2" s="1"/>
  <c r="T1149" i="2" s="1"/>
  <c r="P967" i="2"/>
  <c r="O967" i="2"/>
  <c r="S1043" i="2" s="1"/>
  <c r="T1157" i="2" s="1"/>
  <c r="P975" i="2"/>
  <c r="O975" i="2"/>
  <c r="S1051" i="2" s="1"/>
  <c r="T1165" i="2" s="1"/>
  <c r="P981" i="2"/>
  <c r="O981" i="2"/>
  <c r="S1057" i="2" s="1"/>
  <c r="T1171" i="2" s="1"/>
  <c r="P956" i="2"/>
  <c r="P960" i="2"/>
  <c r="P964" i="2"/>
  <c r="P968" i="2"/>
  <c r="P972" i="2"/>
  <c r="P976" i="2"/>
  <c r="P987" i="2"/>
  <c r="O987" i="2"/>
  <c r="S1063" i="2" s="1"/>
  <c r="T1177" i="2" s="1"/>
  <c r="P992" i="2"/>
  <c r="P977" i="2"/>
  <c r="O977" i="2"/>
  <c r="S1053" i="2" s="1"/>
  <c r="T1167" i="2" s="1"/>
  <c r="P982" i="2"/>
  <c r="P993" i="2"/>
  <c r="O993" i="2"/>
  <c r="S1069" i="2" s="1"/>
  <c r="T1183" i="2" s="1"/>
  <c r="P983" i="2"/>
  <c r="O983" i="2"/>
  <c r="S1059" i="2" s="1"/>
  <c r="T1173" i="2" s="1"/>
  <c r="P988" i="2"/>
  <c r="P978" i="2"/>
  <c r="P989" i="2"/>
  <c r="O989" i="2"/>
  <c r="S1065" i="2" s="1"/>
  <c r="T1179" i="2" s="1"/>
  <c r="P958" i="2"/>
  <c r="P962" i="2"/>
  <c r="P966" i="2"/>
  <c r="P970" i="2"/>
  <c r="P974" i="2"/>
  <c r="P979" i="2"/>
  <c r="O979" i="2"/>
  <c r="S1055" i="2" s="1"/>
  <c r="T1169" i="2" s="1"/>
  <c r="P984" i="2"/>
  <c r="P985" i="2"/>
  <c r="O985" i="2"/>
  <c r="S1061" i="2" s="1"/>
  <c r="T1175" i="2" s="1"/>
  <c r="P990" i="2"/>
  <c r="P980" i="2"/>
  <c r="P991" i="2"/>
  <c r="O991" i="2"/>
  <c r="S1067" i="2" s="1"/>
  <c r="T1181" i="2" s="1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J920" i="2"/>
  <c r="M920" i="2" s="1"/>
  <c r="N920" i="2" s="1"/>
  <c r="R1376" i="2" s="1"/>
  <c r="J921" i="2"/>
  <c r="M921" i="2" s="1"/>
  <c r="N921" i="2" s="1"/>
  <c r="R1377" i="2" s="1"/>
  <c r="J922" i="2"/>
  <c r="M922" i="2" s="1"/>
  <c r="N922" i="2" s="1"/>
  <c r="R1378" i="2" s="1"/>
  <c r="J923" i="2"/>
  <c r="M923" i="2" s="1"/>
  <c r="N923" i="2" s="1"/>
  <c r="R1379" i="2" s="1"/>
  <c r="J924" i="2"/>
  <c r="M924" i="2" s="1"/>
  <c r="N924" i="2" s="1"/>
  <c r="R1380" i="2" s="1"/>
  <c r="J925" i="2"/>
  <c r="M925" i="2" s="1"/>
  <c r="N925" i="2" s="1"/>
  <c r="R1381" i="2" s="1"/>
  <c r="J926" i="2"/>
  <c r="M926" i="2" s="1"/>
  <c r="N926" i="2" s="1"/>
  <c r="R1382" i="2" s="1"/>
  <c r="J927" i="2"/>
  <c r="M927" i="2" s="1"/>
  <c r="N927" i="2" s="1"/>
  <c r="R1383" i="2" s="1"/>
  <c r="J928" i="2"/>
  <c r="M928" i="2" s="1"/>
  <c r="N928" i="2" s="1"/>
  <c r="R1384" i="2" s="1"/>
  <c r="J929" i="2"/>
  <c r="M929" i="2" s="1"/>
  <c r="N929" i="2" s="1"/>
  <c r="R1385" i="2" s="1"/>
  <c r="J930" i="2"/>
  <c r="M930" i="2" s="1"/>
  <c r="N930" i="2" s="1"/>
  <c r="R1386" i="2" s="1"/>
  <c r="J931" i="2"/>
  <c r="M931" i="2" s="1"/>
  <c r="N931" i="2" s="1"/>
  <c r="R1387" i="2" s="1"/>
  <c r="J932" i="2"/>
  <c r="M932" i="2" s="1"/>
  <c r="N932" i="2" s="1"/>
  <c r="R1388" i="2" s="1"/>
  <c r="J933" i="2"/>
  <c r="M933" i="2" s="1"/>
  <c r="N933" i="2" s="1"/>
  <c r="R1389" i="2" s="1"/>
  <c r="J934" i="2"/>
  <c r="M934" i="2" s="1"/>
  <c r="N934" i="2" s="1"/>
  <c r="R1390" i="2" s="1"/>
  <c r="J935" i="2"/>
  <c r="M935" i="2" s="1"/>
  <c r="N935" i="2" s="1"/>
  <c r="R1391" i="2" s="1"/>
  <c r="J936" i="2"/>
  <c r="M936" i="2" s="1"/>
  <c r="N936" i="2" s="1"/>
  <c r="R1392" i="2" s="1"/>
  <c r="J937" i="2"/>
  <c r="M937" i="2" s="1"/>
  <c r="N937" i="2" s="1"/>
  <c r="J938" i="2"/>
  <c r="M938" i="2" s="1"/>
  <c r="N938" i="2" s="1"/>
  <c r="R1394" i="2" s="1"/>
  <c r="J939" i="2"/>
  <c r="M939" i="2" s="1"/>
  <c r="N939" i="2" s="1"/>
  <c r="R1395" i="2" s="1"/>
  <c r="J940" i="2"/>
  <c r="M940" i="2" s="1"/>
  <c r="N940" i="2" s="1"/>
  <c r="R1396" i="2" s="1"/>
  <c r="J941" i="2"/>
  <c r="M941" i="2" s="1"/>
  <c r="N941" i="2" s="1"/>
  <c r="R1397" i="2" s="1"/>
  <c r="J942" i="2"/>
  <c r="M942" i="2" s="1"/>
  <c r="N942" i="2" s="1"/>
  <c r="R1398" i="2" s="1"/>
  <c r="J943" i="2"/>
  <c r="M943" i="2" s="1"/>
  <c r="N943" i="2" s="1"/>
  <c r="R1399" i="2" s="1"/>
  <c r="J944" i="2"/>
  <c r="M944" i="2" s="1"/>
  <c r="N944" i="2" s="1"/>
  <c r="R1400" i="2" s="1"/>
  <c r="J945" i="2"/>
  <c r="M945" i="2" s="1"/>
  <c r="N945" i="2" s="1"/>
  <c r="J946" i="2"/>
  <c r="M946" i="2" s="1"/>
  <c r="N946" i="2" s="1"/>
  <c r="R1402" i="2" s="1"/>
  <c r="J947" i="2"/>
  <c r="M947" i="2" s="1"/>
  <c r="N947" i="2" s="1"/>
  <c r="R1403" i="2" s="1"/>
  <c r="J948" i="2"/>
  <c r="M948" i="2" s="1"/>
  <c r="N948" i="2" s="1"/>
  <c r="R1404" i="2" s="1"/>
  <c r="J949" i="2"/>
  <c r="M949" i="2" s="1"/>
  <c r="N949" i="2" s="1"/>
  <c r="R1405" i="2" s="1"/>
  <c r="J950" i="2"/>
  <c r="M950" i="2" s="1"/>
  <c r="N950" i="2" s="1"/>
  <c r="R1406" i="2" s="1"/>
  <c r="J951" i="2"/>
  <c r="M951" i="2" s="1"/>
  <c r="N951" i="2" s="1"/>
  <c r="R1407" i="2" s="1"/>
  <c r="J952" i="2"/>
  <c r="M952" i="2" s="1"/>
  <c r="N952" i="2" s="1"/>
  <c r="R1408" i="2" s="1"/>
  <c r="J953" i="2"/>
  <c r="M953" i="2" s="1"/>
  <c r="N953" i="2" s="1"/>
  <c r="R1409" i="2" s="1"/>
  <c r="J954" i="2"/>
  <c r="M954" i="2" s="1"/>
  <c r="N954" i="2" s="1"/>
  <c r="R1410" i="2" s="1"/>
  <c r="J955" i="2"/>
  <c r="M955" i="2" s="1"/>
  <c r="N955" i="2" s="1"/>
  <c r="R1411" i="2" s="1"/>
  <c r="J919" i="2"/>
  <c r="M919" i="2" s="1"/>
  <c r="N919" i="2" s="1"/>
  <c r="R1375" i="2" s="1"/>
  <c r="J918" i="2"/>
  <c r="M918" i="2" s="1"/>
  <c r="N918" i="2" s="1"/>
  <c r="R1374" i="2" s="1"/>
  <c r="P945" i="2" l="1"/>
  <c r="R1401" i="2"/>
  <c r="P937" i="2"/>
  <c r="R1393" i="2"/>
  <c r="P952" i="2"/>
  <c r="O952" i="2"/>
  <c r="P944" i="2"/>
  <c r="O944" i="2"/>
  <c r="P936" i="2"/>
  <c r="O936" i="2"/>
  <c r="O928" i="2"/>
  <c r="P928" i="2"/>
  <c r="P920" i="2"/>
  <c r="O920" i="2"/>
  <c r="P927" i="2"/>
  <c r="O927" i="2"/>
  <c r="O951" i="2"/>
  <c r="P951" i="2"/>
  <c r="P935" i="2"/>
  <c r="O935" i="2"/>
  <c r="P919" i="2"/>
  <c r="O919" i="2"/>
  <c r="P943" i="2"/>
  <c r="O943" i="2"/>
  <c r="P923" i="2"/>
  <c r="O923" i="2"/>
  <c r="P933" i="2"/>
  <c r="O933" i="2"/>
  <c r="P955" i="2"/>
  <c r="O955" i="2"/>
  <c r="P926" i="2"/>
  <c r="O926" i="2"/>
  <c r="P938" i="2"/>
  <c r="O938" i="2"/>
  <c r="P948" i="2"/>
  <c r="O948" i="2"/>
  <c r="P931" i="2"/>
  <c r="O931" i="2"/>
  <c r="P941" i="2"/>
  <c r="O941" i="2"/>
  <c r="P924" i="2"/>
  <c r="O924" i="2"/>
  <c r="P934" i="2"/>
  <c r="O934" i="2"/>
  <c r="P946" i="2"/>
  <c r="O946" i="2"/>
  <c r="O939" i="2"/>
  <c r="P939" i="2"/>
  <c r="P949" i="2"/>
  <c r="O949" i="2"/>
  <c r="P922" i="2"/>
  <c r="O922" i="2"/>
  <c r="P932" i="2"/>
  <c r="O932" i="2"/>
  <c r="P942" i="2"/>
  <c r="O942" i="2"/>
  <c r="P954" i="2"/>
  <c r="O954" i="2"/>
  <c r="P925" i="2"/>
  <c r="O925" i="2"/>
  <c r="O947" i="2"/>
  <c r="P947" i="2"/>
  <c r="P918" i="2"/>
  <c r="O918" i="2"/>
  <c r="O930" i="2"/>
  <c r="P930" i="2"/>
  <c r="P940" i="2"/>
  <c r="O940" i="2"/>
  <c r="P950" i="2"/>
  <c r="O950" i="2"/>
  <c r="O929" i="2"/>
  <c r="O937" i="2"/>
  <c r="O953" i="2"/>
  <c r="P929" i="2"/>
  <c r="O921" i="2"/>
  <c r="P953" i="2"/>
  <c r="O945" i="2"/>
  <c r="P921" i="2"/>
  <c r="R294" i="4" l="1"/>
  <c r="S294" i="4" s="1"/>
  <c r="O294" i="4"/>
  <c r="P294" i="4"/>
  <c r="O293" i="4"/>
  <c r="P293" i="4"/>
  <c r="O292" i="4"/>
  <c r="P292" i="4"/>
  <c r="H294" i="4"/>
  <c r="I294" i="4" s="1"/>
  <c r="E294" i="4"/>
  <c r="F294" i="4"/>
  <c r="E293" i="4"/>
  <c r="F293" i="4"/>
  <c r="E292" i="4"/>
  <c r="F292" i="4"/>
  <c r="R232" i="4"/>
  <c r="S232" i="4" s="1"/>
  <c r="O232" i="4"/>
  <c r="P232" i="4"/>
  <c r="O231" i="4"/>
  <c r="P231" i="4"/>
  <c r="O230" i="4"/>
  <c r="P230" i="4"/>
  <c r="H232" i="4"/>
  <c r="I232" i="4" s="1"/>
  <c r="E232" i="4"/>
  <c r="F232" i="4"/>
  <c r="E231" i="4"/>
  <c r="F231" i="4" s="1"/>
  <c r="E230" i="4"/>
  <c r="F230" i="4" s="1"/>
  <c r="R170" i="4"/>
  <c r="S170" i="4" s="1"/>
  <c r="O170" i="4"/>
  <c r="P170" i="4"/>
  <c r="O169" i="4"/>
  <c r="P169" i="4" s="1"/>
  <c r="O168" i="4"/>
  <c r="P168" i="4" s="1"/>
  <c r="H170" i="4"/>
  <c r="I170" i="4" s="1"/>
  <c r="E170" i="4"/>
  <c r="F170" i="4" s="1"/>
  <c r="E169" i="4"/>
  <c r="F169" i="4"/>
  <c r="E168" i="4"/>
  <c r="F168" i="4"/>
  <c r="R109" i="4"/>
  <c r="S109" i="4" s="1"/>
  <c r="O109" i="4"/>
  <c r="P109" i="4" s="1"/>
  <c r="O108" i="4"/>
  <c r="P108" i="4"/>
  <c r="O107" i="4"/>
  <c r="P107" i="4" s="1"/>
  <c r="H109" i="4"/>
  <c r="I109" i="4" s="1"/>
  <c r="E109" i="4"/>
  <c r="F109" i="4"/>
  <c r="E108" i="4"/>
  <c r="F108" i="4" s="1"/>
  <c r="E107" i="4"/>
  <c r="F107" i="4" s="1"/>
  <c r="J917" i="2" l="1"/>
  <c r="M917" i="2" s="1"/>
  <c r="N917" i="2" s="1"/>
  <c r="R1373" i="2" s="1"/>
  <c r="J916" i="2"/>
  <c r="M916" i="2" s="1"/>
  <c r="N916" i="2" s="1"/>
  <c r="R1372" i="2" s="1"/>
  <c r="J915" i="2"/>
  <c r="M915" i="2" s="1"/>
  <c r="N915" i="2" s="1"/>
  <c r="R1371" i="2" s="1"/>
  <c r="J914" i="2"/>
  <c r="M914" i="2" s="1"/>
  <c r="N914" i="2" s="1"/>
  <c r="R1370" i="2" s="1"/>
  <c r="J913" i="2"/>
  <c r="M913" i="2" s="1"/>
  <c r="N913" i="2" s="1"/>
  <c r="R1369" i="2" s="1"/>
  <c r="J912" i="2"/>
  <c r="M912" i="2" s="1"/>
  <c r="N912" i="2" s="1"/>
  <c r="R1368" i="2" s="1"/>
  <c r="J911" i="2"/>
  <c r="M911" i="2" s="1"/>
  <c r="N911" i="2" s="1"/>
  <c r="R1367" i="2" s="1"/>
  <c r="J910" i="2"/>
  <c r="M910" i="2" s="1"/>
  <c r="N910" i="2" s="1"/>
  <c r="R1366" i="2" s="1"/>
  <c r="J909" i="2"/>
  <c r="M909" i="2" s="1"/>
  <c r="N909" i="2" s="1"/>
  <c r="R1365" i="2" s="1"/>
  <c r="J908" i="2"/>
  <c r="M908" i="2" s="1"/>
  <c r="N908" i="2" s="1"/>
  <c r="R1364" i="2" s="1"/>
  <c r="J907" i="2"/>
  <c r="M907" i="2" s="1"/>
  <c r="N907" i="2" s="1"/>
  <c r="R1363" i="2" s="1"/>
  <c r="J906" i="2"/>
  <c r="M906" i="2" s="1"/>
  <c r="N906" i="2" s="1"/>
  <c r="R1362" i="2" s="1"/>
  <c r="J905" i="2"/>
  <c r="M905" i="2" s="1"/>
  <c r="N905" i="2" s="1"/>
  <c r="R1361" i="2" s="1"/>
  <c r="J904" i="2"/>
  <c r="M904" i="2" s="1"/>
  <c r="N904" i="2" s="1"/>
  <c r="R1360" i="2" s="1"/>
  <c r="J903" i="2"/>
  <c r="M903" i="2" s="1"/>
  <c r="N903" i="2" s="1"/>
  <c r="R1359" i="2" s="1"/>
  <c r="J902" i="2"/>
  <c r="M902" i="2" s="1"/>
  <c r="N902" i="2" s="1"/>
  <c r="R1358" i="2" s="1"/>
  <c r="J901" i="2"/>
  <c r="M901" i="2" s="1"/>
  <c r="N901" i="2" s="1"/>
  <c r="R1357" i="2" s="1"/>
  <c r="J900" i="2"/>
  <c r="M900" i="2" s="1"/>
  <c r="N900" i="2" s="1"/>
  <c r="R1356" i="2" s="1"/>
  <c r="J899" i="2"/>
  <c r="M899" i="2" s="1"/>
  <c r="N899" i="2" s="1"/>
  <c r="R1355" i="2" s="1"/>
  <c r="J898" i="2"/>
  <c r="M898" i="2" s="1"/>
  <c r="N898" i="2" s="1"/>
  <c r="R1354" i="2" s="1"/>
  <c r="J897" i="2"/>
  <c r="M897" i="2" s="1"/>
  <c r="N897" i="2" s="1"/>
  <c r="R1353" i="2" s="1"/>
  <c r="J896" i="2"/>
  <c r="M896" i="2" s="1"/>
  <c r="N896" i="2" s="1"/>
  <c r="R1352" i="2" s="1"/>
  <c r="J895" i="2"/>
  <c r="M895" i="2" s="1"/>
  <c r="N895" i="2" s="1"/>
  <c r="R1351" i="2" s="1"/>
  <c r="J894" i="2"/>
  <c r="M894" i="2" s="1"/>
  <c r="N894" i="2" s="1"/>
  <c r="R1350" i="2" s="1"/>
  <c r="J893" i="2"/>
  <c r="M893" i="2" s="1"/>
  <c r="N893" i="2" s="1"/>
  <c r="R1349" i="2" s="1"/>
  <c r="J892" i="2"/>
  <c r="M892" i="2" s="1"/>
  <c r="N892" i="2" s="1"/>
  <c r="R1348" i="2" s="1"/>
  <c r="J891" i="2"/>
  <c r="M891" i="2" s="1"/>
  <c r="N891" i="2" s="1"/>
  <c r="R1347" i="2" s="1"/>
  <c r="J890" i="2"/>
  <c r="M890" i="2" s="1"/>
  <c r="N890" i="2" s="1"/>
  <c r="R1346" i="2" s="1"/>
  <c r="J889" i="2"/>
  <c r="M889" i="2" s="1"/>
  <c r="N889" i="2" s="1"/>
  <c r="R1345" i="2" s="1"/>
  <c r="J888" i="2"/>
  <c r="M888" i="2" s="1"/>
  <c r="N888" i="2" s="1"/>
  <c r="R1344" i="2" s="1"/>
  <c r="J887" i="2"/>
  <c r="M887" i="2" s="1"/>
  <c r="N887" i="2" s="1"/>
  <c r="R1343" i="2" s="1"/>
  <c r="J886" i="2"/>
  <c r="M886" i="2" s="1"/>
  <c r="N886" i="2" s="1"/>
  <c r="R1342" i="2" s="1"/>
  <c r="J885" i="2"/>
  <c r="M885" i="2" s="1"/>
  <c r="N885" i="2" s="1"/>
  <c r="R1341" i="2" s="1"/>
  <c r="J884" i="2"/>
  <c r="M884" i="2" s="1"/>
  <c r="N884" i="2" s="1"/>
  <c r="R1340" i="2" s="1"/>
  <c r="J883" i="2"/>
  <c r="M883" i="2" s="1"/>
  <c r="N883" i="2" s="1"/>
  <c r="R1339" i="2" s="1"/>
  <c r="J882" i="2"/>
  <c r="M882" i="2" s="1"/>
  <c r="N882" i="2" s="1"/>
  <c r="R1338" i="2" s="1"/>
  <c r="J881" i="2"/>
  <c r="M881" i="2" s="1"/>
  <c r="N881" i="2" s="1"/>
  <c r="R1337" i="2" s="1"/>
  <c r="J880" i="2"/>
  <c r="M880" i="2" s="1"/>
  <c r="N880" i="2" s="1"/>
  <c r="R1336" i="2" s="1"/>
  <c r="L917" i="2"/>
  <c r="K917" i="2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P885" i="2" l="1"/>
  <c r="O885" i="2"/>
  <c r="P893" i="2"/>
  <c r="O893" i="2"/>
  <c r="P901" i="2"/>
  <c r="O901" i="2"/>
  <c r="P909" i="2"/>
  <c r="O909" i="2"/>
  <c r="P917" i="2"/>
  <c r="O917" i="2"/>
  <c r="P880" i="2"/>
  <c r="O880" i="2"/>
  <c r="P888" i="2"/>
  <c r="O888" i="2"/>
  <c r="P896" i="2"/>
  <c r="O896" i="2"/>
  <c r="P904" i="2"/>
  <c r="O904" i="2"/>
  <c r="P912" i="2"/>
  <c r="O912" i="2"/>
  <c r="P883" i="2"/>
  <c r="O883" i="2"/>
  <c r="P891" i="2"/>
  <c r="O891" i="2"/>
  <c r="P899" i="2"/>
  <c r="O899" i="2"/>
  <c r="P907" i="2"/>
  <c r="O907" i="2"/>
  <c r="P915" i="2"/>
  <c r="O915" i="2"/>
  <c r="P886" i="2"/>
  <c r="O886" i="2"/>
  <c r="P894" i="2"/>
  <c r="O894" i="2"/>
  <c r="P902" i="2"/>
  <c r="O902" i="2"/>
  <c r="P910" i="2"/>
  <c r="O910" i="2"/>
  <c r="P881" i="2"/>
  <c r="O881" i="2"/>
  <c r="P889" i="2"/>
  <c r="O889" i="2"/>
  <c r="P897" i="2"/>
  <c r="O897" i="2"/>
  <c r="P905" i="2"/>
  <c r="O905" i="2"/>
  <c r="P913" i="2"/>
  <c r="O913" i="2"/>
  <c r="P884" i="2"/>
  <c r="O884" i="2"/>
  <c r="P892" i="2"/>
  <c r="O892" i="2"/>
  <c r="P900" i="2"/>
  <c r="O900" i="2"/>
  <c r="P908" i="2"/>
  <c r="O908" i="2"/>
  <c r="P916" i="2"/>
  <c r="O916" i="2"/>
  <c r="P887" i="2"/>
  <c r="O887" i="2"/>
  <c r="P895" i="2"/>
  <c r="O895" i="2"/>
  <c r="P903" i="2"/>
  <c r="O903" i="2"/>
  <c r="P911" i="2"/>
  <c r="O911" i="2"/>
  <c r="P882" i="2"/>
  <c r="O882" i="2"/>
  <c r="P890" i="2"/>
  <c r="O890" i="2"/>
  <c r="P898" i="2"/>
  <c r="O898" i="2"/>
  <c r="P906" i="2"/>
  <c r="O906" i="2"/>
  <c r="P914" i="2"/>
  <c r="O914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42" i="2"/>
  <c r="L879" i="2" l="1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M879" i="2"/>
  <c r="N879" i="2" s="1"/>
  <c r="R1335" i="2" s="1"/>
  <c r="M878" i="2"/>
  <c r="N878" i="2" s="1"/>
  <c r="R1334" i="2" s="1"/>
  <c r="M877" i="2"/>
  <c r="N877" i="2" s="1"/>
  <c r="R1333" i="2" s="1"/>
  <c r="M876" i="2"/>
  <c r="N876" i="2" s="1"/>
  <c r="R1332" i="2" s="1"/>
  <c r="M875" i="2"/>
  <c r="N875" i="2" s="1"/>
  <c r="R1331" i="2" s="1"/>
  <c r="M874" i="2"/>
  <c r="N874" i="2" s="1"/>
  <c r="R1330" i="2" s="1"/>
  <c r="M873" i="2"/>
  <c r="N873" i="2" s="1"/>
  <c r="M872" i="2"/>
  <c r="N872" i="2" s="1"/>
  <c r="R1328" i="2" s="1"/>
  <c r="M871" i="2"/>
  <c r="N871" i="2" s="1"/>
  <c r="R1327" i="2" s="1"/>
  <c r="M870" i="2"/>
  <c r="N870" i="2" s="1"/>
  <c r="R1326" i="2" s="1"/>
  <c r="M869" i="2"/>
  <c r="N869" i="2" s="1"/>
  <c r="R1325" i="2" s="1"/>
  <c r="M868" i="2"/>
  <c r="N868" i="2" s="1"/>
  <c r="R1324" i="2" s="1"/>
  <c r="M867" i="2"/>
  <c r="N867" i="2" s="1"/>
  <c r="R1323" i="2" s="1"/>
  <c r="M866" i="2"/>
  <c r="N866" i="2" s="1"/>
  <c r="R1322" i="2" s="1"/>
  <c r="M865" i="2"/>
  <c r="N865" i="2" s="1"/>
  <c r="R1321" i="2" s="1"/>
  <c r="M864" i="2"/>
  <c r="N864" i="2" s="1"/>
  <c r="R1320" i="2" s="1"/>
  <c r="M863" i="2"/>
  <c r="N863" i="2" s="1"/>
  <c r="M862" i="2"/>
  <c r="N862" i="2" s="1"/>
  <c r="R1318" i="2" s="1"/>
  <c r="M861" i="2"/>
  <c r="N861" i="2" s="1"/>
  <c r="R1317" i="2" s="1"/>
  <c r="M860" i="2"/>
  <c r="N860" i="2" s="1"/>
  <c r="M859" i="2"/>
  <c r="N859" i="2" s="1"/>
  <c r="R1315" i="2" s="1"/>
  <c r="M858" i="2"/>
  <c r="N858" i="2" s="1"/>
  <c r="R1314" i="2" s="1"/>
  <c r="M857" i="2"/>
  <c r="N857" i="2" s="1"/>
  <c r="R1313" i="2" s="1"/>
  <c r="M856" i="2"/>
  <c r="N856" i="2" s="1"/>
  <c r="R1312" i="2" s="1"/>
  <c r="M855" i="2"/>
  <c r="N855" i="2" s="1"/>
  <c r="M854" i="2"/>
  <c r="N854" i="2" s="1"/>
  <c r="R1310" i="2" s="1"/>
  <c r="M853" i="2"/>
  <c r="N853" i="2" s="1"/>
  <c r="R1309" i="2" s="1"/>
  <c r="M852" i="2"/>
  <c r="N852" i="2" s="1"/>
  <c r="M851" i="2"/>
  <c r="N851" i="2" s="1"/>
  <c r="R1307" i="2" s="1"/>
  <c r="M850" i="2"/>
  <c r="N850" i="2" s="1"/>
  <c r="M849" i="2"/>
  <c r="N849" i="2" s="1"/>
  <c r="R1305" i="2" s="1"/>
  <c r="M848" i="2"/>
  <c r="N848" i="2" s="1"/>
  <c r="R1304" i="2" s="1"/>
  <c r="M847" i="2"/>
  <c r="N847" i="2" s="1"/>
  <c r="M846" i="2"/>
  <c r="N846" i="2" s="1"/>
  <c r="R1302" i="2" s="1"/>
  <c r="M845" i="2"/>
  <c r="N845" i="2" s="1"/>
  <c r="R1301" i="2" s="1"/>
  <c r="M844" i="2"/>
  <c r="N844" i="2" s="1"/>
  <c r="M843" i="2"/>
  <c r="N843" i="2" s="1"/>
  <c r="R1299" i="2" s="1"/>
  <c r="M842" i="2"/>
  <c r="N842" i="2" s="1"/>
  <c r="R1298" i="2" s="1"/>
  <c r="O844" i="2" l="1"/>
  <c r="S920" i="2" s="1"/>
  <c r="T1034" i="2" s="1"/>
  <c r="R1300" i="2"/>
  <c r="P847" i="2"/>
  <c r="R1303" i="2"/>
  <c r="P860" i="2"/>
  <c r="R1316" i="2"/>
  <c r="O873" i="2"/>
  <c r="S949" i="2" s="1"/>
  <c r="T1063" i="2" s="1"/>
  <c r="R1329" i="2"/>
  <c r="O852" i="2"/>
  <c r="S928" i="2" s="1"/>
  <c r="T1042" i="2" s="1"/>
  <c r="R1308" i="2"/>
  <c r="P855" i="2"/>
  <c r="R1311" i="2"/>
  <c r="P863" i="2"/>
  <c r="R1319" i="2"/>
  <c r="P850" i="2"/>
  <c r="R1306" i="2"/>
  <c r="O868" i="2"/>
  <c r="S944" i="2" s="1"/>
  <c r="T1058" i="2" s="1"/>
  <c r="P868" i="2"/>
  <c r="O876" i="2"/>
  <c r="S952" i="2" s="1"/>
  <c r="T1066" i="2" s="1"/>
  <c r="P876" i="2"/>
  <c r="P851" i="2"/>
  <c r="O851" i="2"/>
  <c r="S927" i="2" s="1"/>
  <c r="T1041" i="2" s="1"/>
  <c r="P859" i="2"/>
  <c r="O859" i="2"/>
  <c r="S935" i="2" s="1"/>
  <c r="T1049" i="2" s="1"/>
  <c r="P843" i="2"/>
  <c r="O843" i="2"/>
  <c r="S919" i="2" s="1"/>
  <c r="T1033" i="2" s="1"/>
  <c r="P844" i="2"/>
  <c r="O847" i="2"/>
  <c r="S923" i="2" s="1"/>
  <c r="T1037" i="2" s="1"/>
  <c r="O857" i="2"/>
  <c r="S933" i="2" s="1"/>
  <c r="T1047" i="2" s="1"/>
  <c r="P864" i="2"/>
  <c r="O864" i="2"/>
  <c r="S940" i="2" s="1"/>
  <c r="T1054" i="2" s="1"/>
  <c r="P869" i="2"/>
  <c r="O869" i="2"/>
  <c r="S945" i="2" s="1"/>
  <c r="T1059" i="2" s="1"/>
  <c r="P874" i="2"/>
  <c r="O874" i="2"/>
  <c r="S950" i="2" s="1"/>
  <c r="T1064" i="2" s="1"/>
  <c r="P879" i="2"/>
  <c r="O879" i="2"/>
  <c r="S955" i="2" s="1"/>
  <c r="T1069" i="2" s="1"/>
  <c r="P854" i="2"/>
  <c r="P857" i="2"/>
  <c r="P861" i="2"/>
  <c r="O861" i="2"/>
  <c r="S937" i="2" s="1"/>
  <c r="T1051" i="2" s="1"/>
  <c r="P865" i="2"/>
  <c r="P875" i="2"/>
  <c r="O875" i="2"/>
  <c r="S951" i="2" s="1"/>
  <c r="T1065" i="2" s="1"/>
  <c r="O842" i="2"/>
  <c r="S918" i="2" s="1"/>
  <c r="T1032" i="2" s="1"/>
  <c r="P845" i="2"/>
  <c r="O845" i="2"/>
  <c r="S921" i="2" s="1"/>
  <c r="T1035" i="2" s="1"/>
  <c r="P848" i="2"/>
  <c r="O848" i="2"/>
  <c r="S924" i="2" s="1"/>
  <c r="T1038" i="2" s="1"/>
  <c r="O854" i="2"/>
  <c r="S930" i="2" s="1"/>
  <c r="T1044" i="2" s="1"/>
  <c r="O858" i="2"/>
  <c r="S934" i="2" s="1"/>
  <c r="T1048" i="2" s="1"/>
  <c r="O865" i="2"/>
  <c r="S941" i="2" s="1"/>
  <c r="T1055" i="2" s="1"/>
  <c r="P870" i="2"/>
  <c r="O870" i="2"/>
  <c r="S946" i="2" s="1"/>
  <c r="T1060" i="2" s="1"/>
  <c r="P842" i="2"/>
  <c r="P858" i="2"/>
  <c r="P866" i="2"/>
  <c r="O866" i="2"/>
  <c r="S942" i="2" s="1"/>
  <c r="T1056" i="2" s="1"/>
  <c r="P871" i="2"/>
  <c r="O871" i="2"/>
  <c r="S947" i="2" s="1"/>
  <c r="T1061" i="2" s="1"/>
  <c r="O849" i="2"/>
  <c r="S925" i="2" s="1"/>
  <c r="T1039" i="2" s="1"/>
  <c r="P852" i="2"/>
  <c r="O855" i="2"/>
  <c r="S931" i="2" s="1"/>
  <c r="T1045" i="2" s="1"/>
  <c r="P862" i="2"/>
  <c r="O862" i="2"/>
  <c r="S938" i="2" s="1"/>
  <c r="T1052" i="2" s="1"/>
  <c r="P867" i="2"/>
  <c r="O867" i="2"/>
  <c r="S943" i="2" s="1"/>
  <c r="T1057" i="2" s="1"/>
  <c r="P846" i="2"/>
  <c r="P849" i="2"/>
  <c r="P872" i="2"/>
  <c r="O872" i="2"/>
  <c r="S948" i="2" s="1"/>
  <c r="T1062" i="2" s="1"/>
  <c r="P877" i="2"/>
  <c r="O877" i="2"/>
  <c r="S953" i="2" s="1"/>
  <c r="T1067" i="2" s="1"/>
  <c r="O846" i="2"/>
  <c r="S922" i="2" s="1"/>
  <c r="T1036" i="2" s="1"/>
  <c r="O850" i="2"/>
  <c r="S926" i="2" s="1"/>
  <c r="T1040" i="2" s="1"/>
  <c r="P853" i="2"/>
  <c r="O853" i="2"/>
  <c r="S929" i="2" s="1"/>
  <c r="T1043" i="2" s="1"/>
  <c r="P856" i="2"/>
  <c r="O856" i="2"/>
  <c r="S932" i="2" s="1"/>
  <c r="T1046" i="2" s="1"/>
  <c r="O863" i="2"/>
  <c r="S939" i="2" s="1"/>
  <c r="T1053" i="2" s="1"/>
  <c r="P873" i="2"/>
  <c r="O860" i="2"/>
  <c r="S936" i="2" s="1"/>
  <c r="T1050" i="2" s="1"/>
  <c r="O878" i="2"/>
  <c r="S954" i="2" s="1"/>
  <c r="T1068" i="2" s="1"/>
  <c r="P878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J806" i="2"/>
  <c r="M806" i="2" s="1"/>
  <c r="N806" i="2" s="1"/>
  <c r="R1262" i="2" s="1"/>
  <c r="J807" i="2"/>
  <c r="M807" i="2" s="1"/>
  <c r="N807" i="2" s="1"/>
  <c r="R1263" i="2" s="1"/>
  <c r="J808" i="2"/>
  <c r="M808" i="2" s="1"/>
  <c r="N808" i="2" s="1"/>
  <c r="R1264" i="2" s="1"/>
  <c r="J809" i="2"/>
  <c r="M809" i="2" s="1"/>
  <c r="N809" i="2" s="1"/>
  <c r="R1265" i="2" s="1"/>
  <c r="J810" i="2"/>
  <c r="M810" i="2" s="1"/>
  <c r="N810" i="2" s="1"/>
  <c r="J811" i="2"/>
  <c r="M811" i="2" s="1"/>
  <c r="N811" i="2" s="1"/>
  <c r="J812" i="2"/>
  <c r="M812" i="2" s="1"/>
  <c r="N812" i="2" s="1"/>
  <c r="J813" i="2"/>
  <c r="M813" i="2" s="1"/>
  <c r="N813" i="2" s="1"/>
  <c r="R1269" i="2" s="1"/>
  <c r="J814" i="2"/>
  <c r="M814" i="2" s="1"/>
  <c r="N814" i="2" s="1"/>
  <c r="R1270" i="2" s="1"/>
  <c r="J815" i="2"/>
  <c r="M815" i="2" s="1"/>
  <c r="N815" i="2" s="1"/>
  <c r="R1271" i="2" s="1"/>
  <c r="J816" i="2"/>
  <c r="M816" i="2" s="1"/>
  <c r="N816" i="2" s="1"/>
  <c r="R1272" i="2" s="1"/>
  <c r="J817" i="2"/>
  <c r="M817" i="2" s="1"/>
  <c r="N817" i="2" s="1"/>
  <c r="R1273" i="2" s="1"/>
  <c r="J818" i="2"/>
  <c r="M818" i="2" s="1"/>
  <c r="N818" i="2" s="1"/>
  <c r="R1274" i="2" s="1"/>
  <c r="J819" i="2"/>
  <c r="M819" i="2" s="1"/>
  <c r="N819" i="2" s="1"/>
  <c r="J820" i="2"/>
  <c r="M820" i="2" s="1"/>
  <c r="N820" i="2" s="1"/>
  <c r="J821" i="2"/>
  <c r="M821" i="2" s="1"/>
  <c r="N821" i="2" s="1"/>
  <c r="R1277" i="2" s="1"/>
  <c r="J822" i="2"/>
  <c r="M822" i="2" s="1"/>
  <c r="N822" i="2" s="1"/>
  <c r="R1278" i="2" s="1"/>
  <c r="J823" i="2"/>
  <c r="M823" i="2" s="1"/>
  <c r="N823" i="2" s="1"/>
  <c r="R1279" i="2" s="1"/>
  <c r="J824" i="2"/>
  <c r="M824" i="2" s="1"/>
  <c r="N824" i="2" s="1"/>
  <c r="R1280" i="2" s="1"/>
  <c r="J825" i="2"/>
  <c r="M825" i="2" s="1"/>
  <c r="N825" i="2" s="1"/>
  <c r="R1281" i="2" s="1"/>
  <c r="J826" i="2"/>
  <c r="M826" i="2" s="1"/>
  <c r="N826" i="2" s="1"/>
  <c r="R1282" i="2" s="1"/>
  <c r="J827" i="2"/>
  <c r="M827" i="2" s="1"/>
  <c r="N827" i="2" s="1"/>
  <c r="J828" i="2"/>
  <c r="M828" i="2" s="1"/>
  <c r="N828" i="2" s="1"/>
  <c r="J829" i="2"/>
  <c r="M829" i="2" s="1"/>
  <c r="N829" i="2" s="1"/>
  <c r="R1285" i="2" s="1"/>
  <c r="J830" i="2"/>
  <c r="M830" i="2" s="1"/>
  <c r="N830" i="2" s="1"/>
  <c r="R1286" i="2" s="1"/>
  <c r="J831" i="2"/>
  <c r="M831" i="2" s="1"/>
  <c r="N831" i="2" s="1"/>
  <c r="R1287" i="2" s="1"/>
  <c r="J832" i="2"/>
  <c r="M832" i="2" s="1"/>
  <c r="N832" i="2" s="1"/>
  <c r="R1288" i="2" s="1"/>
  <c r="J833" i="2"/>
  <c r="M833" i="2" s="1"/>
  <c r="N833" i="2" s="1"/>
  <c r="R1289" i="2" s="1"/>
  <c r="J834" i="2"/>
  <c r="M834" i="2" s="1"/>
  <c r="N834" i="2" s="1"/>
  <c r="R1290" i="2" s="1"/>
  <c r="J835" i="2"/>
  <c r="M835" i="2" s="1"/>
  <c r="N835" i="2" s="1"/>
  <c r="J836" i="2"/>
  <c r="M836" i="2" s="1"/>
  <c r="N836" i="2" s="1"/>
  <c r="J837" i="2"/>
  <c r="M837" i="2" s="1"/>
  <c r="N837" i="2" s="1"/>
  <c r="R1293" i="2" s="1"/>
  <c r="J838" i="2"/>
  <c r="M838" i="2" s="1"/>
  <c r="N838" i="2" s="1"/>
  <c r="R1294" i="2" s="1"/>
  <c r="J839" i="2"/>
  <c r="M839" i="2" s="1"/>
  <c r="N839" i="2" s="1"/>
  <c r="R1295" i="2" s="1"/>
  <c r="J840" i="2"/>
  <c r="M840" i="2" s="1"/>
  <c r="N840" i="2" s="1"/>
  <c r="R1296" i="2" s="1"/>
  <c r="J841" i="2"/>
  <c r="M841" i="2" s="1"/>
  <c r="N841" i="2" s="1"/>
  <c r="R1297" i="2" s="1"/>
  <c r="J805" i="2"/>
  <c r="M805" i="2" s="1"/>
  <c r="N805" i="2" s="1"/>
  <c r="R1261" i="2" s="1"/>
  <c r="J804" i="2"/>
  <c r="M804" i="2" s="1"/>
  <c r="N804" i="2" s="1"/>
  <c r="O820" i="2" l="1"/>
  <c r="R1276" i="2"/>
  <c r="P811" i="2"/>
  <c r="R1267" i="2"/>
  <c r="O810" i="2"/>
  <c r="R1266" i="2"/>
  <c r="O836" i="2"/>
  <c r="R1292" i="2"/>
  <c r="O812" i="2"/>
  <c r="R1268" i="2"/>
  <c r="O804" i="2"/>
  <c r="R1260" i="2"/>
  <c r="P819" i="2"/>
  <c r="R1275" i="2"/>
  <c r="O828" i="2"/>
  <c r="R1284" i="2"/>
  <c r="O835" i="2"/>
  <c r="R1291" i="2"/>
  <c r="P827" i="2"/>
  <c r="R1283" i="2"/>
  <c r="P834" i="2"/>
  <c r="P807" i="2"/>
  <c r="O807" i="2"/>
  <c r="P825" i="2"/>
  <c r="O825" i="2"/>
  <c r="P808" i="2"/>
  <c r="O808" i="2"/>
  <c r="P809" i="2"/>
  <c r="O809" i="2"/>
  <c r="P832" i="2"/>
  <c r="O832" i="2"/>
  <c r="P815" i="2"/>
  <c r="O815" i="2"/>
  <c r="P833" i="2"/>
  <c r="O833" i="2"/>
  <c r="P816" i="2"/>
  <c r="O816" i="2"/>
  <c r="P817" i="2"/>
  <c r="O817" i="2"/>
  <c r="P840" i="2"/>
  <c r="O840" i="2"/>
  <c r="O823" i="2"/>
  <c r="P823" i="2"/>
  <c r="P841" i="2"/>
  <c r="O841" i="2"/>
  <c r="P824" i="2"/>
  <c r="O824" i="2"/>
  <c r="O839" i="2"/>
  <c r="P839" i="2"/>
  <c r="P837" i="2"/>
  <c r="O837" i="2"/>
  <c r="O818" i="2"/>
  <c r="O826" i="2"/>
  <c r="P804" i="2"/>
  <c r="P806" i="2"/>
  <c r="O806" i="2"/>
  <c r="P810" i="2"/>
  <c r="P812" i="2"/>
  <c r="O814" i="2"/>
  <c r="P814" i="2"/>
  <c r="P818" i="2"/>
  <c r="P820" i="2"/>
  <c r="O822" i="2"/>
  <c r="P822" i="2"/>
  <c r="P826" i="2"/>
  <c r="P828" i="2"/>
  <c r="P830" i="2"/>
  <c r="O830" i="2"/>
  <c r="P835" i="2"/>
  <c r="O838" i="2"/>
  <c r="P838" i="2"/>
  <c r="O811" i="2"/>
  <c r="O819" i="2"/>
  <c r="O827" i="2"/>
  <c r="P831" i="2"/>
  <c r="O831" i="2"/>
  <c r="P836" i="2"/>
  <c r="P805" i="2"/>
  <c r="O805" i="2"/>
  <c r="P813" i="2"/>
  <c r="O813" i="2"/>
  <c r="P821" i="2"/>
  <c r="O821" i="2"/>
  <c r="P829" i="2"/>
  <c r="O829" i="2"/>
  <c r="O834" i="2"/>
  <c r="K804" i="2" l="1"/>
  <c r="L804" i="2"/>
  <c r="K767" i="2" l="1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L766" i="2"/>
  <c r="K766" i="2"/>
  <c r="J767" i="2"/>
  <c r="M767" i="2" s="1"/>
  <c r="N767" i="2" s="1"/>
  <c r="R1223" i="2" s="1"/>
  <c r="J768" i="2"/>
  <c r="M768" i="2" s="1"/>
  <c r="N768" i="2" s="1"/>
  <c r="J769" i="2"/>
  <c r="M769" i="2" s="1"/>
  <c r="N769" i="2" s="1"/>
  <c r="R1225" i="2" s="1"/>
  <c r="J770" i="2"/>
  <c r="M770" i="2" s="1"/>
  <c r="N770" i="2" s="1"/>
  <c r="R1226" i="2" s="1"/>
  <c r="J771" i="2"/>
  <c r="M771" i="2" s="1"/>
  <c r="N771" i="2" s="1"/>
  <c r="R1227" i="2" s="1"/>
  <c r="J772" i="2"/>
  <c r="M772" i="2" s="1"/>
  <c r="N772" i="2" s="1"/>
  <c r="R1228" i="2" s="1"/>
  <c r="J773" i="2"/>
  <c r="M773" i="2" s="1"/>
  <c r="N773" i="2" s="1"/>
  <c r="R1229" i="2" s="1"/>
  <c r="J774" i="2"/>
  <c r="M774" i="2" s="1"/>
  <c r="N774" i="2" s="1"/>
  <c r="J775" i="2"/>
  <c r="M775" i="2" s="1"/>
  <c r="N775" i="2" s="1"/>
  <c r="R1231" i="2" s="1"/>
  <c r="J776" i="2"/>
  <c r="M776" i="2" s="1"/>
  <c r="N776" i="2" s="1"/>
  <c r="R1232" i="2" s="1"/>
  <c r="J777" i="2"/>
  <c r="M777" i="2" s="1"/>
  <c r="N777" i="2" s="1"/>
  <c r="R1233" i="2" s="1"/>
  <c r="J778" i="2"/>
  <c r="M778" i="2" s="1"/>
  <c r="N778" i="2" s="1"/>
  <c r="J779" i="2"/>
  <c r="M779" i="2" s="1"/>
  <c r="N779" i="2" s="1"/>
  <c r="R1235" i="2" s="1"/>
  <c r="J780" i="2"/>
  <c r="M780" i="2" s="1"/>
  <c r="N780" i="2" s="1"/>
  <c r="R1236" i="2" s="1"/>
  <c r="J781" i="2"/>
  <c r="M781" i="2" s="1"/>
  <c r="N781" i="2" s="1"/>
  <c r="R1237" i="2" s="1"/>
  <c r="J782" i="2"/>
  <c r="M782" i="2" s="1"/>
  <c r="N782" i="2" s="1"/>
  <c r="J783" i="2"/>
  <c r="M783" i="2" s="1"/>
  <c r="N783" i="2" s="1"/>
  <c r="R1239" i="2" s="1"/>
  <c r="J784" i="2"/>
  <c r="M784" i="2" s="1"/>
  <c r="N784" i="2" s="1"/>
  <c r="R1240" i="2" s="1"/>
  <c r="J785" i="2"/>
  <c r="M785" i="2" s="1"/>
  <c r="N785" i="2" s="1"/>
  <c r="J786" i="2"/>
  <c r="M786" i="2" s="1"/>
  <c r="N786" i="2" s="1"/>
  <c r="J787" i="2"/>
  <c r="M787" i="2" s="1"/>
  <c r="N787" i="2" s="1"/>
  <c r="R1243" i="2" s="1"/>
  <c r="J788" i="2"/>
  <c r="M788" i="2" s="1"/>
  <c r="N788" i="2" s="1"/>
  <c r="R1244" i="2" s="1"/>
  <c r="J789" i="2"/>
  <c r="M789" i="2" s="1"/>
  <c r="N789" i="2" s="1"/>
  <c r="R1245" i="2" s="1"/>
  <c r="J790" i="2"/>
  <c r="M790" i="2" s="1"/>
  <c r="N790" i="2" s="1"/>
  <c r="J791" i="2"/>
  <c r="M791" i="2" s="1"/>
  <c r="N791" i="2" s="1"/>
  <c r="R1247" i="2" s="1"/>
  <c r="J792" i="2"/>
  <c r="M792" i="2" s="1"/>
  <c r="N792" i="2" s="1"/>
  <c r="R1248" i="2" s="1"/>
  <c r="J793" i="2"/>
  <c r="M793" i="2" s="1"/>
  <c r="N793" i="2" s="1"/>
  <c r="R1249" i="2" s="1"/>
  <c r="J794" i="2"/>
  <c r="M794" i="2" s="1"/>
  <c r="N794" i="2" s="1"/>
  <c r="J795" i="2"/>
  <c r="M795" i="2" s="1"/>
  <c r="N795" i="2" s="1"/>
  <c r="R1251" i="2" s="1"/>
  <c r="J796" i="2"/>
  <c r="M796" i="2" s="1"/>
  <c r="N796" i="2" s="1"/>
  <c r="R1252" i="2" s="1"/>
  <c r="J797" i="2"/>
  <c r="M797" i="2" s="1"/>
  <c r="N797" i="2" s="1"/>
  <c r="J798" i="2"/>
  <c r="M798" i="2" s="1"/>
  <c r="N798" i="2" s="1"/>
  <c r="J799" i="2"/>
  <c r="M799" i="2" s="1"/>
  <c r="N799" i="2" s="1"/>
  <c r="R1255" i="2" s="1"/>
  <c r="J800" i="2"/>
  <c r="M800" i="2" s="1"/>
  <c r="N800" i="2" s="1"/>
  <c r="R1256" i="2" s="1"/>
  <c r="J801" i="2"/>
  <c r="M801" i="2" s="1"/>
  <c r="N801" i="2" s="1"/>
  <c r="R1257" i="2" s="1"/>
  <c r="J802" i="2"/>
  <c r="M802" i="2" s="1"/>
  <c r="N802" i="2" s="1"/>
  <c r="R1258" i="2" s="1"/>
  <c r="J803" i="2"/>
  <c r="M803" i="2" s="1"/>
  <c r="N803" i="2" s="1"/>
  <c r="J766" i="2"/>
  <c r="M766" i="2" s="1"/>
  <c r="N766" i="2" s="1"/>
  <c r="R1222" i="2" s="1"/>
  <c r="O794" i="2" l="1"/>
  <c r="R1250" i="2"/>
  <c r="O785" i="2"/>
  <c r="R1241" i="2"/>
  <c r="O768" i="2"/>
  <c r="R1224" i="2"/>
  <c r="O778" i="2"/>
  <c r="R1234" i="2"/>
  <c r="O790" i="2"/>
  <c r="R1246" i="2"/>
  <c r="O774" i="2"/>
  <c r="R1230" i="2"/>
  <c r="O797" i="2"/>
  <c r="R1253" i="2"/>
  <c r="O803" i="2"/>
  <c r="R1259" i="2"/>
  <c r="O786" i="2"/>
  <c r="R1242" i="2"/>
  <c r="O798" i="2"/>
  <c r="R1254" i="2"/>
  <c r="O782" i="2"/>
  <c r="R1238" i="2"/>
  <c r="O791" i="2"/>
  <c r="P791" i="2"/>
  <c r="P789" i="2"/>
  <c r="O789" i="2"/>
  <c r="O781" i="2"/>
  <c r="P781" i="2"/>
  <c r="O773" i="2"/>
  <c r="P773" i="2"/>
  <c r="O788" i="2"/>
  <c r="P788" i="2"/>
  <c r="O780" i="2"/>
  <c r="P780" i="2"/>
  <c r="O772" i="2"/>
  <c r="P772" i="2"/>
  <c r="O777" i="2"/>
  <c r="P777" i="2"/>
  <c r="P795" i="2"/>
  <c r="O795" i="2"/>
  <c r="O799" i="2"/>
  <c r="P799" i="2"/>
  <c r="O796" i="2"/>
  <c r="P796" i="2"/>
  <c r="O770" i="2"/>
  <c r="O802" i="2"/>
  <c r="O801" i="2"/>
  <c r="O793" i="2"/>
  <c r="P769" i="2"/>
  <c r="O800" i="2"/>
  <c r="P800" i="2"/>
  <c r="O792" i="2"/>
  <c r="P792" i="2"/>
  <c r="O784" i="2"/>
  <c r="P784" i="2"/>
  <c r="O776" i="2"/>
  <c r="P776" i="2"/>
  <c r="O783" i="2"/>
  <c r="P783" i="2"/>
  <c r="O775" i="2"/>
  <c r="P775" i="2"/>
  <c r="O771" i="2"/>
  <c r="P771" i="2"/>
  <c r="P803" i="2"/>
  <c r="P787" i="2"/>
  <c r="P779" i="2"/>
  <c r="P801" i="2"/>
  <c r="P793" i="2"/>
  <c r="O787" i="2"/>
  <c r="O779" i="2"/>
  <c r="O769" i="2"/>
  <c r="P785" i="2"/>
  <c r="P797" i="2"/>
  <c r="O767" i="2"/>
  <c r="P767" i="2"/>
  <c r="P802" i="2"/>
  <c r="P798" i="2"/>
  <c r="P794" i="2"/>
  <c r="P790" i="2"/>
  <c r="P786" i="2"/>
  <c r="P782" i="2"/>
  <c r="P778" i="2"/>
  <c r="P774" i="2"/>
  <c r="P770" i="2"/>
  <c r="P768" i="2"/>
  <c r="P766" i="2"/>
  <c r="O766" i="2"/>
  <c r="R291" i="4" l="1"/>
  <c r="S291" i="4" s="1"/>
  <c r="O291" i="4"/>
  <c r="P291" i="4"/>
  <c r="O290" i="4"/>
  <c r="P290" i="4"/>
  <c r="O289" i="4"/>
  <c r="P289" i="4"/>
  <c r="H291" i="4"/>
  <c r="I291" i="4" s="1"/>
  <c r="E291" i="4"/>
  <c r="F291" i="4"/>
  <c r="E290" i="4"/>
  <c r="F290" i="4"/>
  <c r="E289" i="4"/>
  <c r="F289" i="4"/>
  <c r="R229" i="4"/>
  <c r="S229" i="4" s="1"/>
  <c r="O229" i="4"/>
  <c r="P229" i="4" s="1"/>
  <c r="O228" i="4"/>
  <c r="P228" i="4"/>
  <c r="O227" i="4"/>
  <c r="P227" i="4"/>
  <c r="H229" i="4"/>
  <c r="I229" i="4" s="1"/>
  <c r="E229" i="4"/>
  <c r="F229" i="4"/>
  <c r="E228" i="4"/>
  <c r="F228" i="4" s="1"/>
  <c r="E227" i="4"/>
  <c r="F227" i="4"/>
  <c r="I167" i="4"/>
  <c r="H167" i="4"/>
  <c r="E167" i="4"/>
  <c r="F167" i="4"/>
  <c r="E166" i="4"/>
  <c r="F166" i="4" s="1"/>
  <c r="E165" i="4"/>
  <c r="F165" i="4"/>
  <c r="R167" i="4"/>
  <c r="S167" i="4" s="1"/>
  <c r="O167" i="4"/>
  <c r="P167" i="4" s="1"/>
  <c r="O166" i="4"/>
  <c r="P166" i="4"/>
  <c r="O165" i="4"/>
  <c r="P165" i="4"/>
  <c r="R106" i="4"/>
  <c r="S106" i="4" s="1"/>
  <c r="O106" i="4"/>
  <c r="P106" i="4" s="1"/>
  <c r="O105" i="4"/>
  <c r="P105" i="4"/>
  <c r="O104" i="4"/>
  <c r="P104" i="4"/>
  <c r="H106" i="4"/>
  <c r="I106" i="4" s="1"/>
  <c r="E106" i="4"/>
  <c r="F106" i="4" s="1"/>
  <c r="E105" i="4"/>
  <c r="F105" i="4" s="1"/>
  <c r="E104" i="4"/>
  <c r="F104" i="4"/>
  <c r="J730" i="2" l="1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29" i="2"/>
  <c r="J728" i="2"/>
  <c r="M765" i="2" l="1"/>
  <c r="N765" i="2" s="1"/>
  <c r="R1221" i="2" s="1"/>
  <c r="L765" i="2"/>
  <c r="K765" i="2"/>
  <c r="M764" i="2"/>
  <c r="N764" i="2" s="1"/>
  <c r="R1220" i="2" s="1"/>
  <c r="L764" i="2"/>
  <c r="K764" i="2"/>
  <c r="L763" i="2"/>
  <c r="K763" i="2"/>
  <c r="M763" i="2"/>
  <c r="N763" i="2" s="1"/>
  <c r="R1219" i="2" s="1"/>
  <c r="L762" i="2"/>
  <c r="K762" i="2"/>
  <c r="M762" i="2"/>
  <c r="N762" i="2" s="1"/>
  <c r="R1218" i="2" s="1"/>
  <c r="L761" i="2"/>
  <c r="K761" i="2"/>
  <c r="M761" i="2"/>
  <c r="N761" i="2" s="1"/>
  <c r="R1217" i="2" s="1"/>
  <c r="M760" i="2"/>
  <c r="N760" i="2" s="1"/>
  <c r="L760" i="2"/>
  <c r="K760" i="2"/>
  <c r="L759" i="2"/>
  <c r="K759" i="2"/>
  <c r="M759" i="2"/>
  <c r="N759" i="2" s="1"/>
  <c r="R1215" i="2" s="1"/>
  <c r="L758" i="2"/>
  <c r="K758" i="2"/>
  <c r="M758" i="2"/>
  <c r="N758" i="2" s="1"/>
  <c r="R1214" i="2" s="1"/>
  <c r="L757" i="2"/>
  <c r="K757" i="2"/>
  <c r="M757" i="2"/>
  <c r="N757" i="2" s="1"/>
  <c r="R1213" i="2" s="1"/>
  <c r="M756" i="2"/>
  <c r="N756" i="2" s="1"/>
  <c r="L756" i="2"/>
  <c r="K756" i="2"/>
  <c r="L755" i="2"/>
  <c r="K755" i="2"/>
  <c r="M755" i="2"/>
  <c r="N755" i="2" s="1"/>
  <c r="R1211" i="2" s="1"/>
  <c r="L754" i="2"/>
  <c r="K754" i="2"/>
  <c r="M754" i="2"/>
  <c r="N754" i="2" s="1"/>
  <c r="R1210" i="2" s="1"/>
  <c r="L753" i="2"/>
  <c r="K753" i="2"/>
  <c r="M753" i="2"/>
  <c r="N753" i="2" s="1"/>
  <c r="R1209" i="2" s="1"/>
  <c r="M752" i="2"/>
  <c r="N752" i="2" s="1"/>
  <c r="L752" i="2"/>
  <c r="K752" i="2"/>
  <c r="L751" i="2"/>
  <c r="K751" i="2"/>
  <c r="M751" i="2"/>
  <c r="N751" i="2" s="1"/>
  <c r="R1207" i="2" s="1"/>
  <c r="L750" i="2"/>
  <c r="K750" i="2"/>
  <c r="M750" i="2"/>
  <c r="N750" i="2" s="1"/>
  <c r="R1206" i="2" s="1"/>
  <c r="L749" i="2"/>
  <c r="K749" i="2"/>
  <c r="M749" i="2"/>
  <c r="N749" i="2" s="1"/>
  <c r="R1205" i="2" s="1"/>
  <c r="M748" i="2"/>
  <c r="N748" i="2" s="1"/>
  <c r="L748" i="2"/>
  <c r="K748" i="2"/>
  <c r="L747" i="2"/>
  <c r="K747" i="2"/>
  <c r="M747" i="2"/>
  <c r="N747" i="2" s="1"/>
  <c r="R1203" i="2" s="1"/>
  <c r="L746" i="2"/>
  <c r="K746" i="2"/>
  <c r="M746" i="2"/>
  <c r="N746" i="2" s="1"/>
  <c r="R1202" i="2" s="1"/>
  <c r="L745" i="2"/>
  <c r="K745" i="2"/>
  <c r="M745" i="2"/>
  <c r="N745" i="2" s="1"/>
  <c r="R1201" i="2" s="1"/>
  <c r="M744" i="2"/>
  <c r="N744" i="2" s="1"/>
  <c r="L744" i="2"/>
  <c r="K744" i="2"/>
  <c r="L743" i="2"/>
  <c r="K743" i="2"/>
  <c r="M743" i="2"/>
  <c r="N743" i="2" s="1"/>
  <c r="R1199" i="2" s="1"/>
  <c r="L742" i="2"/>
  <c r="K742" i="2"/>
  <c r="M742" i="2"/>
  <c r="N742" i="2" s="1"/>
  <c r="R1198" i="2" s="1"/>
  <c r="L741" i="2"/>
  <c r="K741" i="2"/>
  <c r="M741" i="2"/>
  <c r="N741" i="2" s="1"/>
  <c r="R1197" i="2" s="1"/>
  <c r="M740" i="2"/>
  <c r="N740" i="2" s="1"/>
  <c r="L740" i="2"/>
  <c r="K740" i="2"/>
  <c r="L739" i="2"/>
  <c r="K739" i="2"/>
  <c r="M739" i="2"/>
  <c r="N739" i="2" s="1"/>
  <c r="R1195" i="2" s="1"/>
  <c r="L738" i="2"/>
  <c r="K738" i="2"/>
  <c r="M738" i="2"/>
  <c r="N738" i="2" s="1"/>
  <c r="R1194" i="2" s="1"/>
  <c r="L737" i="2"/>
  <c r="K737" i="2"/>
  <c r="M737" i="2"/>
  <c r="N737" i="2" s="1"/>
  <c r="R1193" i="2" s="1"/>
  <c r="M736" i="2"/>
  <c r="N736" i="2" s="1"/>
  <c r="L736" i="2"/>
  <c r="K736" i="2"/>
  <c r="L735" i="2"/>
  <c r="K735" i="2"/>
  <c r="M735" i="2"/>
  <c r="N735" i="2" s="1"/>
  <c r="R1191" i="2" s="1"/>
  <c r="L734" i="2"/>
  <c r="K734" i="2"/>
  <c r="M734" i="2"/>
  <c r="N734" i="2" s="1"/>
  <c r="R1190" i="2" s="1"/>
  <c r="L733" i="2"/>
  <c r="K733" i="2"/>
  <c r="M733" i="2"/>
  <c r="N733" i="2" s="1"/>
  <c r="R1189" i="2" s="1"/>
  <c r="M732" i="2"/>
  <c r="N732" i="2" s="1"/>
  <c r="R1188" i="2" s="1"/>
  <c r="L732" i="2"/>
  <c r="K732" i="2"/>
  <c r="L731" i="2"/>
  <c r="K731" i="2"/>
  <c r="M731" i="2"/>
  <c r="N731" i="2" s="1"/>
  <c r="R1187" i="2" s="1"/>
  <c r="L730" i="2"/>
  <c r="K730" i="2"/>
  <c r="M730" i="2"/>
  <c r="N730" i="2" s="1"/>
  <c r="R1186" i="2" s="1"/>
  <c r="L729" i="2"/>
  <c r="K729" i="2"/>
  <c r="M729" i="2"/>
  <c r="N729" i="2" s="1"/>
  <c r="R1185" i="2" s="1"/>
  <c r="M728" i="2"/>
  <c r="N728" i="2" s="1"/>
  <c r="L728" i="2"/>
  <c r="K728" i="2"/>
  <c r="G751" i="2"/>
  <c r="G732" i="2"/>
  <c r="G729" i="2"/>
  <c r="P744" i="2" l="1"/>
  <c r="R1200" i="2"/>
  <c r="O760" i="2"/>
  <c r="S836" i="2" s="1"/>
  <c r="T950" i="2" s="1"/>
  <c r="R1216" i="2"/>
  <c r="P728" i="2"/>
  <c r="R1184" i="2"/>
  <c r="P736" i="2"/>
  <c r="R1192" i="2"/>
  <c r="P740" i="2"/>
  <c r="R1196" i="2"/>
  <c r="P756" i="2"/>
  <c r="R1212" i="2"/>
  <c r="O752" i="2"/>
  <c r="S828" i="2" s="1"/>
  <c r="T942" i="2" s="1"/>
  <c r="R1208" i="2"/>
  <c r="O748" i="2"/>
  <c r="S824" i="2" s="1"/>
  <c r="T938" i="2" s="1"/>
  <c r="R1204" i="2"/>
  <c r="P761" i="2"/>
  <c r="O761" i="2"/>
  <c r="S837" i="2" s="1"/>
  <c r="T951" i="2" s="1"/>
  <c r="O739" i="2"/>
  <c r="S815" i="2" s="1"/>
  <c r="T929" i="2" s="1"/>
  <c r="P739" i="2"/>
  <c r="P757" i="2"/>
  <c r="O757" i="2"/>
  <c r="S833" i="2" s="1"/>
  <c r="T947" i="2" s="1"/>
  <c r="P746" i="2"/>
  <c r="O746" i="2"/>
  <c r="S822" i="2" s="1"/>
  <c r="T936" i="2" s="1"/>
  <c r="O751" i="2"/>
  <c r="S827" i="2" s="1"/>
  <c r="T941" i="2" s="1"/>
  <c r="P751" i="2"/>
  <c r="O759" i="2"/>
  <c r="S835" i="2" s="1"/>
  <c r="T949" i="2" s="1"/>
  <c r="P759" i="2"/>
  <c r="P734" i="2"/>
  <c r="O734" i="2"/>
  <c r="S810" i="2" s="1"/>
  <c r="T924" i="2" s="1"/>
  <c r="P737" i="2"/>
  <c r="O737" i="2"/>
  <c r="S813" i="2" s="1"/>
  <c r="T927" i="2" s="1"/>
  <c r="O743" i="2"/>
  <c r="S819" i="2" s="1"/>
  <c r="T933" i="2" s="1"/>
  <c r="P743" i="2"/>
  <c r="P745" i="2"/>
  <c r="O745" i="2"/>
  <c r="S821" i="2" s="1"/>
  <c r="T935" i="2" s="1"/>
  <c r="P750" i="2"/>
  <c r="O750" i="2"/>
  <c r="S826" i="2" s="1"/>
  <c r="T940" i="2" s="1"/>
  <c r="P765" i="2"/>
  <c r="O765" i="2"/>
  <c r="S841" i="2" s="1"/>
  <c r="T955" i="2" s="1"/>
  <c r="P741" i="2"/>
  <c r="O741" i="2"/>
  <c r="S817" i="2" s="1"/>
  <c r="T931" i="2" s="1"/>
  <c r="O755" i="2"/>
  <c r="S831" i="2" s="1"/>
  <c r="T945" i="2" s="1"/>
  <c r="P755" i="2"/>
  <c r="P730" i="2"/>
  <c r="O730" i="2"/>
  <c r="S806" i="2" s="1"/>
  <c r="T920" i="2" s="1"/>
  <c r="P762" i="2"/>
  <c r="O762" i="2"/>
  <c r="S838" i="2" s="1"/>
  <c r="T952" i="2" s="1"/>
  <c r="O735" i="2"/>
  <c r="S811" i="2" s="1"/>
  <c r="T925" i="2" s="1"/>
  <c r="P735" i="2"/>
  <c r="P753" i="2"/>
  <c r="O753" i="2"/>
  <c r="S829" i="2" s="1"/>
  <c r="T943" i="2" s="1"/>
  <c r="P742" i="2"/>
  <c r="O742" i="2"/>
  <c r="S818" i="2" s="1"/>
  <c r="T932" i="2" s="1"/>
  <c r="P758" i="2"/>
  <c r="O758" i="2"/>
  <c r="S834" i="2" s="1"/>
  <c r="T948" i="2" s="1"/>
  <c r="O731" i="2"/>
  <c r="S807" i="2" s="1"/>
  <c r="T921" i="2" s="1"/>
  <c r="P731" i="2"/>
  <c r="P733" i="2"/>
  <c r="O733" i="2"/>
  <c r="S809" i="2" s="1"/>
  <c r="T923" i="2" s="1"/>
  <c r="O747" i="2"/>
  <c r="S823" i="2" s="1"/>
  <c r="T937" i="2" s="1"/>
  <c r="P747" i="2"/>
  <c r="P749" i="2"/>
  <c r="O749" i="2"/>
  <c r="S825" i="2" s="1"/>
  <c r="T939" i="2" s="1"/>
  <c r="O763" i="2"/>
  <c r="S839" i="2" s="1"/>
  <c r="T953" i="2" s="1"/>
  <c r="P763" i="2"/>
  <c r="P729" i="2"/>
  <c r="O729" i="2"/>
  <c r="S805" i="2" s="1"/>
  <c r="T919" i="2" s="1"/>
  <c r="P738" i="2"/>
  <c r="O738" i="2"/>
  <c r="S814" i="2" s="1"/>
  <c r="T928" i="2" s="1"/>
  <c r="P754" i="2"/>
  <c r="O754" i="2"/>
  <c r="S830" i="2" s="1"/>
  <c r="T944" i="2" s="1"/>
  <c r="O732" i="2"/>
  <c r="S808" i="2" s="1"/>
  <c r="T922" i="2" s="1"/>
  <c r="O744" i="2"/>
  <c r="S820" i="2" s="1"/>
  <c r="T934" i="2" s="1"/>
  <c r="O756" i="2"/>
  <c r="S832" i="2" s="1"/>
  <c r="T946" i="2" s="1"/>
  <c r="O764" i="2"/>
  <c r="S840" i="2" s="1"/>
  <c r="T954" i="2" s="1"/>
  <c r="P732" i="2"/>
  <c r="P748" i="2"/>
  <c r="P760" i="2"/>
  <c r="P764" i="2"/>
  <c r="O728" i="2"/>
  <c r="S804" i="2" s="1"/>
  <c r="T918" i="2" s="1"/>
  <c r="O736" i="2"/>
  <c r="S812" i="2" s="1"/>
  <c r="T926" i="2" s="1"/>
  <c r="P752" i="2"/>
  <c r="O740" i="2"/>
  <c r="S816" i="2" s="1"/>
  <c r="T930" i="2" s="1"/>
  <c r="K727" i="2" l="1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L727" i="2"/>
  <c r="L690" i="2"/>
  <c r="K690" i="2"/>
  <c r="J691" i="2"/>
  <c r="M691" i="2" s="1"/>
  <c r="N691" i="2" s="1"/>
  <c r="R1147" i="2" s="1"/>
  <c r="J692" i="2"/>
  <c r="M692" i="2" s="1"/>
  <c r="N692" i="2" s="1"/>
  <c r="R1148" i="2" s="1"/>
  <c r="J693" i="2"/>
  <c r="M693" i="2" s="1"/>
  <c r="N693" i="2" s="1"/>
  <c r="R1149" i="2" s="1"/>
  <c r="J694" i="2"/>
  <c r="M694" i="2" s="1"/>
  <c r="N694" i="2" s="1"/>
  <c r="R1150" i="2" s="1"/>
  <c r="J695" i="2"/>
  <c r="M695" i="2" s="1"/>
  <c r="N695" i="2" s="1"/>
  <c r="R1151" i="2" s="1"/>
  <c r="J696" i="2"/>
  <c r="M696" i="2" s="1"/>
  <c r="N696" i="2" s="1"/>
  <c r="R1152" i="2" s="1"/>
  <c r="J697" i="2"/>
  <c r="M697" i="2" s="1"/>
  <c r="N697" i="2" s="1"/>
  <c r="R1153" i="2" s="1"/>
  <c r="J698" i="2"/>
  <c r="M698" i="2" s="1"/>
  <c r="N698" i="2" s="1"/>
  <c r="R1154" i="2" s="1"/>
  <c r="J699" i="2"/>
  <c r="M699" i="2" s="1"/>
  <c r="N699" i="2" s="1"/>
  <c r="R1155" i="2" s="1"/>
  <c r="J700" i="2"/>
  <c r="M700" i="2" s="1"/>
  <c r="N700" i="2" s="1"/>
  <c r="R1156" i="2" s="1"/>
  <c r="J701" i="2"/>
  <c r="M701" i="2" s="1"/>
  <c r="N701" i="2" s="1"/>
  <c r="R1157" i="2" s="1"/>
  <c r="J702" i="2"/>
  <c r="M702" i="2" s="1"/>
  <c r="N702" i="2" s="1"/>
  <c r="R1158" i="2" s="1"/>
  <c r="J703" i="2"/>
  <c r="M703" i="2" s="1"/>
  <c r="N703" i="2" s="1"/>
  <c r="R1159" i="2" s="1"/>
  <c r="J704" i="2"/>
  <c r="M704" i="2" s="1"/>
  <c r="N704" i="2" s="1"/>
  <c r="R1160" i="2" s="1"/>
  <c r="J705" i="2"/>
  <c r="M705" i="2" s="1"/>
  <c r="N705" i="2" s="1"/>
  <c r="J706" i="2"/>
  <c r="M706" i="2" s="1"/>
  <c r="N706" i="2" s="1"/>
  <c r="R1162" i="2" s="1"/>
  <c r="J707" i="2"/>
  <c r="M707" i="2" s="1"/>
  <c r="N707" i="2" s="1"/>
  <c r="R1163" i="2" s="1"/>
  <c r="J708" i="2"/>
  <c r="M708" i="2" s="1"/>
  <c r="N708" i="2" s="1"/>
  <c r="R1164" i="2" s="1"/>
  <c r="J709" i="2"/>
  <c r="M709" i="2" s="1"/>
  <c r="N709" i="2" s="1"/>
  <c r="J710" i="2"/>
  <c r="M710" i="2" s="1"/>
  <c r="N710" i="2" s="1"/>
  <c r="R1166" i="2" s="1"/>
  <c r="J711" i="2"/>
  <c r="M711" i="2" s="1"/>
  <c r="N711" i="2" s="1"/>
  <c r="R1167" i="2" s="1"/>
  <c r="J712" i="2"/>
  <c r="M712" i="2" s="1"/>
  <c r="N712" i="2" s="1"/>
  <c r="R1168" i="2" s="1"/>
  <c r="J713" i="2"/>
  <c r="M713" i="2" s="1"/>
  <c r="N713" i="2" s="1"/>
  <c r="R1169" i="2" s="1"/>
  <c r="J714" i="2"/>
  <c r="M714" i="2" s="1"/>
  <c r="N714" i="2" s="1"/>
  <c r="R1170" i="2" s="1"/>
  <c r="J715" i="2"/>
  <c r="M715" i="2" s="1"/>
  <c r="N715" i="2" s="1"/>
  <c r="R1171" i="2" s="1"/>
  <c r="J716" i="2"/>
  <c r="M716" i="2" s="1"/>
  <c r="N716" i="2" s="1"/>
  <c r="R1172" i="2" s="1"/>
  <c r="J717" i="2"/>
  <c r="M717" i="2" s="1"/>
  <c r="N717" i="2" s="1"/>
  <c r="J718" i="2"/>
  <c r="M718" i="2" s="1"/>
  <c r="N718" i="2" s="1"/>
  <c r="R1174" i="2" s="1"/>
  <c r="J719" i="2"/>
  <c r="M719" i="2" s="1"/>
  <c r="N719" i="2" s="1"/>
  <c r="R1175" i="2" s="1"/>
  <c r="J720" i="2"/>
  <c r="M720" i="2" s="1"/>
  <c r="N720" i="2" s="1"/>
  <c r="R1176" i="2" s="1"/>
  <c r="J721" i="2"/>
  <c r="M721" i="2" s="1"/>
  <c r="N721" i="2" s="1"/>
  <c r="R1177" i="2" s="1"/>
  <c r="J722" i="2"/>
  <c r="M722" i="2" s="1"/>
  <c r="N722" i="2" s="1"/>
  <c r="J723" i="2"/>
  <c r="M723" i="2" s="1"/>
  <c r="N723" i="2" s="1"/>
  <c r="R1179" i="2" s="1"/>
  <c r="J724" i="2"/>
  <c r="M724" i="2" s="1"/>
  <c r="N724" i="2" s="1"/>
  <c r="R1180" i="2" s="1"/>
  <c r="J725" i="2"/>
  <c r="M725" i="2" s="1"/>
  <c r="N725" i="2" s="1"/>
  <c r="J726" i="2"/>
  <c r="M726" i="2" s="1"/>
  <c r="N726" i="2" s="1"/>
  <c r="R1182" i="2" s="1"/>
  <c r="J727" i="2"/>
  <c r="M727" i="2" s="1"/>
  <c r="N727" i="2" s="1"/>
  <c r="R1183" i="2" s="1"/>
  <c r="J690" i="2"/>
  <c r="M690" i="2" s="1"/>
  <c r="N690" i="2" s="1"/>
  <c r="R1146" i="2" s="1"/>
  <c r="O722" i="2" l="1"/>
  <c r="R1178" i="2"/>
  <c r="O705" i="2"/>
  <c r="R1161" i="2"/>
  <c r="O725" i="2"/>
  <c r="R1181" i="2"/>
  <c r="P709" i="2"/>
  <c r="R1165" i="2"/>
  <c r="P717" i="2"/>
  <c r="R1173" i="2"/>
  <c r="P708" i="2"/>
  <c r="P692" i="2"/>
  <c r="P725" i="2"/>
  <c r="O708" i="2"/>
  <c r="P700" i="2"/>
  <c r="P698" i="2"/>
  <c r="O692" i="2"/>
  <c r="O700" i="2"/>
  <c r="O721" i="2"/>
  <c r="P721" i="2"/>
  <c r="O713" i="2"/>
  <c r="P713" i="2"/>
  <c r="O697" i="2"/>
  <c r="P697" i="2"/>
  <c r="O724" i="2"/>
  <c r="P724" i="2"/>
  <c r="O712" i="2"/>
  <c r="P712" i="2"/>
  <c r="O704" i="2"/>
  <c r="P704" i="2"/>
  <c r="O726" i="2"/>
  <c r="P726" i="2"/>
  <c r="O714" i="2"/>
  <c r="P714" i="2"/>
  <c r="O716" i="2"/>
  <c r="P716" i="2"/>
  <c r="O698" i="2"/>
  <c r="O702" i="2"/>
  <c r="P702" i="2"/>
  <c r="O696" i="2"/>
  <c r="P696" i="2"/>
  <c r="P706" i="2"/>
  <c r="O710" i="2"/>
  <c r="P710" i="2"/>
  <c r="O706" i="2"/>
  <c r="P722" i="2"/>
  <c r="O718" i="2"/>
  <c r="P718" i="2"/>
  <c r="O694" i="2"/>
  <c r="P694" i="2"/>
  <c r="O717" i="2"/>
  <c r="O709" i="2"/>
  <c r="O701" i="2"/>
  <c r="P701" i="2"/>
  <c r="O693" i="2"/>
  <c r="P693" i="2"/>
  <c r="O720" i="2"/>
  <c r="P720" i="2"/>
  <c r="P705" i="2"/>
  <c r="O727" i="2"/>
  <c r="P727" i="2"/>
  <c r="O719" i="2"/>
  <c r="P719" i="2"/>
  <c r="O711" i="2"/>
  <c r="P711" i="2"/>
  <c r="O703" i="2"/>
  <c r="P703" i="2"/>
  <c r="O695" i="2"/>
  <c r="P695" i="2"/>
  <c r="O723" i="2"/>
  <c r="P723" i="2"/>
  <c r="O715" i="2"/>
  <c r="P715" i="2"/>
  <c r="O707" i="2"/>
  <c r="P707" i="2"/>
  <c r="O699" i="2"/>
  <c r="P699" i="2"/>
  <c r="O691" i="2"/>
  <c r="P691" i="2"/>
  <c r="P690" i="2"/>
  <c r="O690" i="2"/>
  <c r="G713" i="2" l="1"/>
  <c r="G694" i="2"/>
  <c r="G691" i="2"/>
  <c r="K653" i="2" l="1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L652" i="2"/>
  <c r="K652" i="2"/>
  <c r="J653" i="2"/>
  <c r="M653" i="2" s="1"/>
  <c r="N653" i="2" s="1"/>
  <c r="R1109" i="2" s="1"/>
  <c r="J654" i="2"/>
  <c r="M654" i="2" s="1"/>
  <c r="N654" i="2" s="1"/>
  <c r="R1110" i="2" s="1"/>
  <c r="J655" i="2"/>
  <c r="M655" i="2" s="1"/>
  <c r="N655" i="2" s="1"/>
  <c r="R1111" i="2" s="1"/>
  <c r="J656" i="2"/>
  <c r="M656" i="2" s="1"/>
  <c r="N656" i="2" s="1"/>
  <c r="R1112" i="2" s="1"/>
  <c r="J657" i="2"/>
  <c r="M657" i="2" s="1"/>
  <c r="N657" i="2" s="1"/>
  <c r="R1113" i="2" s="1"/>
  <c r="J658" i="2"/>
  <c r="M658" i="2" s="1"/>
  <c r="N658" i="2" s="1"/>
  <c r="R1114" i="2" s="1"/>
  <c r="J659" i="2"/>
  <c r="M659" i="2" s="1"/>
  <c r="N659" i="2" s="1"/>
  <c r="R1115" i="2" s="1"/>
  <c r="J660" i="2"/>
  <c r="M660" i="2" s="1"/>
  <c r="N660" i="2" s="1"/>
  <c r="R1116" i="2" s="1"/>
  <c r="J661" i="2"/>
  <c r="M661" i="2" s="1"/>
  <c r="N661" i="2" s="1"/>
  <c r="R1117" i="2" s="1"/>
  <c r="J662" i="2"/>
  <c r="M662" i="2" s="1"/>
  <c r="N662" i="2" s="1"/>
  <c r="R1118" i="2" s="1"/>
  <c r="J663" i="2"/>
  <c r="M663" i="2" s="1"/>
  <c r="N663" i="2" s="1"/>
  <c r="R1119" i="2" s="1"/>
  <c r="J664" i="2"/>
  <c r="M664" i="2" s="1"/>
  <c r="N664" i="2" s="1"/>
  <c r="R1120" i="2" s="1"/>
  <c r="J665" i="2"/>
  <c r="M665" i="2" s="1"/>
  <c r="N665" i="2" s="1"/>
  <c r="J666" i="2"/>
  <c r="M666" i="2" s="1"/>
  <c r="N666" i="2" s="1"/>
  <c r="R1122" i="2" s="1"/>
  <c r="J667" i="2"/>
  <c r="M667" i="2" s="1"/>
  <c r="N667" i="2" s="1"/>
  <c r="J668" i="2"/>
  <c r="M668" i="2" s="1"/>
  <c r="N668" i="2" s="1"/>
  <c r="J669" i="2"/>
  <c r="M669" i="2" s="1"/>
  <c r="N669" i="2" s="1"/>
  <c r="R1125" i="2" s="1"/>
  <c r="J670" i="2"/>
  <c r="M670" i="2" s="1"/>
  <c r="N670" i="2" s="1"/>
  <c r="R1126" i="2" s="1"/>
  <c r="J671" i="2"/>
  <c r="M671" i="2" s="1"/>
  <c r="N671" i="2" s="1"/>
  <c r="R1127" i="2" s="1"/>
  <c r="J672" i="2"/>
  <c r="M672" i="2" s="1"/>
  <c r="N672" i="2" s="1"/>
  <c r="R1128" i="2" s="1"/>
  <c r="J673" i="2"/>
  <c r="M673" i="2" s="1"/>
  <c r="N673" i="2" s="1"/>
  <c r="R1129" i="2" s="1"/>
  <c r="J674" i="2"/>
  <c r="M674" i="2" s="1"/>
  <c r="N674" i="2" s="1"/>
  <c r="R1130" i="2" s="1"/>
  <c r="J675" i="2"/>
  <c r="M675" i="2" s="1"/>
  <c r="N675" i="2" s="1"/>
  <c r="R1131" i="2" s="1"/>
  <c r="J676" i="2"/>
  <c r="M676" i="2" s="1"/>
  <c r="N676" i="2" s="1"/>
  <c r="R1132" i="2" s="1"/>
  <c r="J677" i="2"/>
  <c r="M677" i="2" s="1"/>
  <c r="N677" i="2" s="1"/>
  <c r="R1133" i="2" s="1"/>
  <c r="J678" i="2"/>
  <c r="M678" i="2" s="1"/>
  <c r="N678" i="2" s="1"/>
  <c r="R1134" i="2" s="1"/>
  <c r="J679" i="2"/>
  <c r="M679" i="2" s="1"/>
  <c r="N679" i="2" s="1"/>
  <c r="R1135" i="2" s="1"/>
  <c r="J680" i="2"/>
  <c r="M680" i="2" s="1"/>
  <c r="N680" i="2" s="1"/>
  <c r="R1136" i="2" s="1"/>
  <c r="J681" i="2"/>
  <c r="M681" i="2" s="1"/>
  <c r="N681" i="2" s="1"/>
  <c r="J682" i="2"/>
  <c r="M682" i="2" s="1"/>
  <c r="N682" i="2" s="1"/>
  <c r="R1138" i="2" s="1"/>
  <c r="J683" i="2"/>
  <c r="M683" i="2" s="1"/>
  <c r="N683" i="2" s="1"/>
  <c r="J684" i="2"/>
  <c r="M684" i="2" s="1"/>
  <c r="N684" i="2" s="1"/>
  <c r="R1140" i="2" s="1"/>
  <c r="J685" i="2"/>
  <c r="M685" i="2" s="1"/>
  <c r="N685" i="2" s="1"/>
  <c r="R1141" i="2" s="1"/>
  <c r="J686" i="2"/>
  <c r="M686" i="2" s="1"/>
  <c r="N686" i="2" s="1"/>
  <c r="R1142" i="2" s="1"/>
  <c r="J687" i="2"/>
  <c r="M687" i="2" s="1"/>
  <c r="N687" i="2" s="1"/>
  <c r="R1143" i="2" s="1"/>
  <c r="J688" i="2"/>
  <c r="M688" i="2" s="1"/>
  <c r="N688" i="2" s="1"/>
  <c r="R1144" i="2" s="1"/>
  <c r="J689" i="2"/>
  <c r="M689" i="2" s="1"/>
  <c r="N689" i="2" s="1"/>
  <c r="J652" i="2"/>
  <c r="M652" i="2" s="1"/>
  <c r="N652" i="2" s="1"/>
  <c r="R1108" i="2" s="1"/>
  <c r="O683" i="2" l="1"/>
  <c r="R1139" i="2"/>
  <c r="O667" i="2"/>
  <c r="R1123" i="2"/>
  <c r="O668" i="2"/>
  <c r="R1124" i="2"/>
  <c r="O689" i="2"/>
  <c r="R1145" i="2"/>
  <c r="O681" i="2"/>
  <c r="R1137" i="2"/>
  <c r="O665" i="2"/>
  <c r="R1121" i="2"/>
  <c r="P673" i="2"/>
  <c r="O673" i="2"/>
  <c r="O687" i="2"/>
  <c r="P687" i="2"/>
  <c r="P657" i="2"/>
  <c r="O657" i="2"/>
  <c r="O664" i="2"/>
  <c r="O679" i="2"/>
  <c r="P679" i="2"/>
  <c r="O686" i="2"/>
  <c r="P686" i="2"/>
  <c r="O662" i="2"/>
  <c r="O677" i="2"/>
  <c r="P677" i="2"/>
  <c r="O688" i="2"/>
  <c r="O656" i="2"/>
  <c r="O663" i="2"/>
  <c r="P663" i="2"/>
  <c r="P654" i="2"/>
  <c r="O654" i="2"/>
  <c r="O653" i="2"/>
  <c r="P653" i="2"/>
  <c r="O660" i="2"/>
  <c r="O669" i="2"/>
  <c r="P669" i="2"/>
  <c r="O680" i="2"/>
  <c r="O655" i="2"/>
  <c r="P655" i="2"/>
  <c r="O678" i="2"/>
  <c r="O661" i="2"/>
  <c r="P661" i="2"/>
  <c r="O684" i="2"/>
  <c r="O676" i="2"/>
  <c r="O675" i="2"/>
  <c r="O659" i="2"/>
  <c r="O672" i="2"/>
  <c r="O671" i="2"/>
  <c r="P671" i="2"/>
  <c r="O670" i="2"/>
  <c r="P670" i="2"/>
  <c r="O685" i="2"/>
  <c r="P685" i="2"/>
  <c r="O682" i="2"/>
  <c r="P682" i="2"/>
  <c r="O674" i="2"/>
  <c r="P674" i="2"/>
  <c r="O666" i="2"/>
  <c r="P666" i="2"/>
  <c r="O658" i="2"/>
  <c r="P658" i="2"/>
  <c r="P689" i="2"/>
  <c r="P683" i="2"/>
  <c r="P667" i="2"/>
  <c r="P681" i="2"/>
  <c r="P678" i="2"/>
  <c r="P675" i="2"/>
  <c r="P665" i="2"/>
  <c r="P662" i="2"/>
  <c r="P659" i="2"/>
  <c r="P688" i="2"/>
  <c r="P684" i="2"/>
  <c r="P680" i="2"/>
  <c r="P676" i="2"/>
  <c r="P672" i="2"/>
  <c r="P668" i="2"/>
  <c r="P664" i="2"/>
  <c r="P660" i="2"/>
  <c r="P656" i="2"/>
  <c r="P652" i="2"/>
  <c r="O652" i="2"/>
  <c r="G675" i="2" l="1"/>
  <c r="G656" i="2"/>
  <c r="G653" i="2"/>
  <c r="H288" i="4" l="1"/>
  <c r="I288" i="4" s="1"/>
  <c r="E288" i="4"/>
  <c r="F288" i="4" s="1"/>
  <c r="E287" i="4"/>
  <c r="F287" i="4" s="1"/>
  <c r="S288" i="4"/>
  <c r="R288" i="4"/>
  <c r="O288" i="4"/>
  <c r="P288" i="4" s="1"/>
  <c r="O287" i="4"/>
  <c r="P287" i="4" s="1"/>
  <c r="R226" i="4"/>
  <c r="S226" i="4" s="1"/>
  <c r="O226" i="4"/>
  <c r="P226" i="4" s="1"/>
  <c r="O225" i="4"/>
  <c r="P225" i="4" s="1"/>
  <c r="I226" i="4"/>
  <c r="H226" i="4"/>
  <c r="E226" i="4"/>
  <c r="F226" i="4" s="1"/>
  <c r="E225" i="4"/>
  <c r="F225" i="4"/>
  <c r="S164" i="4"/>
  <c r="R164" i="4"/>
  <c r="O164" i="4"/>
  <c r="P164" i="4" s="1"/>
  <c r="O163" i="4"/>
  <c r="P163" i="4" s="1"/>
  <c r="I164" i="4"/>
  <c r="H164" i="4"/>
  <c r="E164" i="4"/>
  <c r="F164" i="4" s="1"/>
  <c r="E163" i="4"/>
  <c r="F163" i="4" s="1"/>
  <c r="S103" i="4"/>
  <c r="R103" i="4"/>
  <c r="O103" i="4"/>
  <c r="P103" i="4" s="1"/>
  <c r="O102" i="4"/>
  <c r="P102" i="4"/>
  <c r="H103" i="4"/>
  <c r="I103" i="4" s="1"/>
  <c r="E103" i="4"/>
  <c r="F103" i="4" s="1"/>
  <c r="E102" i="4"/>
  <c r="F102" i="4"/>
  <c r="K615" i="2" l="1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J615" i="2"/>
  <c r="M615" i="2" s="1"/>
  <c r="N615" i="2" s="1"/>
  <c r="R1071" i="2" s="1"/>
  <c r="J616" i="2"/>
  <c r="M616" i="2" s="1"/>
  <c r="N616" i="2" s="1"/>
  <c r="R1072" i="2" s="1"/>
  <c r="J617" i="2"/>
  <c r="M617" i="2" s="1"/>
  <c r="N617" i="2" s="1"/>
  <c r="R1073" i="2" s="1"/>
  <c r="J618" i="2"/>
  <c r="M618" i="2" s="1"/>
  <c r="N618" i="2" s="1"/>
  <c r="R1074" i="2" s="1"/>
  <c r="J619" i="2"/>
  <c r="M619" i="2" s="1"/>
  <c r="N619" i="2" s="1"/>
  <c r="J620" i="2"/>
  <c r="M620" i="2" s="1"/>
  <c r="N620" i="2" s="1"/>
  <c r="R1076" i="2" s="1"/>
  <c r="J621" i="2"/>
  <c r="M621" i="2" s="1"/>
  <c r="N621" i="2" s="1"/>
  <c r="R1077" i="2" s="1"/>
  <c r="J622" i="2"/>
  <c r="M622" i="2" s="1"/>
  <c r="N622" i="2" s="1"/>
  <c r="R1078" i="2" s="1"/>
  <c r="J623" i="2"/>
  <c r="M623" i="2" s="1"/>
  <c r="N623" i="2" s="1"/>
  <c r="R1079" i="2" s="1"/>
  <c r="J624" i="2"/>
  <c r="M624" i="2" s="1"/>
  <c r="N624" i="2" s="1"/>
  <c r="R1080" i="2" s="1"/>
  <c r="J625" i="2"/>
  <c r="M625" i="2" s="1"/>
  <c r="N625" i="2" s="1"/>
  <c r="R1081" i="2" s="1"/>
  <c r="J626" i="2"/>
  <c r="M626" i="2" s="1"/>
  <c r="N626" i="2" s="1"/>
  <c r="R1082" i="2" s="1"/>
  <c r="J627" i="2"/>
  <c r="M627" i="2" s="1"/>
  <c r="N627" i="2" s="1"/>
  <c r="J628" i="2"/>
  <c r="M628" i="2" s="1"/>
  <c r="N628" i="2" s="1"/>
  <c r="R1084" i="2" s="1"/>
  <c r="J629" i="2"/>
  <c r="M629" i="2" s="1"/>
  <c r="N629" i="2" s="1"/>
  <c r="R1085" i="2" s="1"/>
  <c r="J630" i="2"/>
  <c r="M630" i="2" s="1"/>
  <c r="N630" i="2" s="1"/>
  <c r="J631" i="2"/>
  <c r="M631" i="2" s="1"/>
  <c r="N631" i="2" s="1"/>
  <c r="R1087" i="2" s="1"/>
  <c r="J632" i="2"/>
  <c r="M632" i="2" s="1"/>
  <c r="N632" i="2" s="1"/>
  <c r="R1088" i="2" s="1"/>
  <c r="J633" i="2"/>
  <c r="M633" i="2" s="1"/>
  <c r="N633" i="2" s="1"/>
  <c r="R1089" i="2" s="1"/>
  <c r="J634" i="2"/>
  <c r="M634" i="2" s="1"/>
  <c r="N634" i="2" s="1"/>
  <c r="R1090" i="2" s="1"/>
  <c r="J635" i="2"/>
  <c r="M635" i="2" s="1"/>
  <c r="N635" i="2" s="1"/>
  <c r="R1091" i="2" s="1"/>
  <c r="J636" i="2"/>
  <c r="M636" i="2" s="1"/>
  <c r="N636" i="2" s="1"/>
  <c r="R1092" i="2" s="1"/>
  <c r="J637" i="2"/>
  <c r="M637" i="2" s="1"/>
  <c r="N637" i="2" s="1"/>
  <c r="R1093" i="2" s="1"/>
  <c r="J638" i="2"/>
  <c r="M638" i="2" s="1"/>
  <c r="N638" i="2" s="1"/>
  <c r="R1094" i="2" s="1"/>
  <c r="J639" i="2"/>
  <c r="M639" i="2" s="1"/>
  <c r="N639" i="2" s="1"/>
  <c r="R1095" i="2" s="1"/>
  <c r="J640" i="2"/>
  <c r="M640" i="2" s="1"/>
  <c r="N640" i="2" s="1"/>
  <c r="R1096" i="2" s="1"/>
  <c r="J641" i="2"/>
  <c r="M641" i="2" s="1"/>
  <c r="N641" i="2" s="1"/>
  <c r="R1097" i="2" s="1"/>
  <c r="J642" i="2"/>
  <c r="M642" i="2" s="1"/>
  <c r="N642" i="2" s="1"/>
  <c r="R1098" i="2" s="1"/>
  <c r="J643" i="2"/>
  <c r="M643" i="2" s="1"/>
  <c r="N643" i="2" s="1"/>
  <c r="R1099" i="2" s="1"/>
  <c r="J644" i="2"/>
  <c r="M644" i="2" s="1"/>
  <c r="N644" i="2" s="1"/>
  <c r="R1100" i="2" s="1"/>
  <c r="J645" i="2"/>
  <c r="M645" i="2" s="1"/>
  <c r="N645" i="2" s="1"/>
  <c r="R1101" i="2" s="1"/>
  <c r="J646" i="2"/>
  <c r="M646" i="2" s="1"/>
  <c r="N646" i="2" s="1"/>
  <c r="R1102" i="2" s="1"/>
  <c r="J647" i="2"/>
  <c r="M647" i="2" s="1"/>
  <c r="N647" i="2" s="1"/>
  <c r="R1103" i="2" s="1"/>
  <c r="J648" i="2"/>
  <c r="M648" i="2" s="1"/>
  <c r="N648" i="2" s="1"/>
  <c r="J649" i="2"/>
  <c r="M649" i="2" s="1"/>
  <c r="N649" i="2" s="1"/>
  <c r="R1105" i="2" s="1"/>
  <c r="J650" i="2"/>
  <c r="M650" i="2" s="1"/>
  <c r="N650" i="2" s="1"/>
  <c r="R1106" i="2" s="1"/>
  <c r="J651" i="2"/>
  <c r="M651" i="2" s="1"/>
  <c r="N651" i="2" s="1"/>
  <c r="R1107" i="2" s="1"/>
  <c r="J614" i="2"/>
  <c r="O627" i="2" l="1"/>
  <c r="S703" i="2" s="1"/>
  <c r="T817" i="2" s="1"/>
  <c r="R1083" i="2"/>
  <c r="O619" i="2"/>
  <c r="S695" i="2" s="1"/>
  <c r="T809" i="2" s="1"/>
  <c r="R1075" i="2"/>
  <c r="O648" i="2"/>
  <c r="S724" i="2" s="1"/>
  <c r="T838" i="2" s="1"/>
  <c r="R1104" i="2"/>
  <c r="P630" i="2"/>
  <c r="R1086" i="2"/>
  <c r="P635" i="2"/>
  <c r="O635" i="2"/>
  <c r="S711" i="2" s="1"/>
  <c r="T825" i="2" s="1"/>
  <c r="P643" i="2"/>
  <c r="O643" i="2"/>
  <c r="S719" i="2" s="1"/>
  <c r="T833" i="2" s="1"/>
  <c r="O623" i="2"/>
  <c r="S699" i="2" s="1"/>
  <c r="P623" i="2"/>
  <c r="O628" i="2"/>
  <c r="S704" i="2" s="1"/>
  <c r="P628" i="2"/>
  <c r="O632" i="2"/>
  <c r="S708" i="2" s="1"/>
  <c r="P632" i="2"/>
  <c r="P631" i="2"/>
  <c r="O631" i="2"/>
  <c r="S707" i="2" s="1"/>
  <c r="O636" i="2"/>
  <c r="S712" i="2" s="1"/>
  <c r="P636" i="2"/>
  <c r="P634" i="2"/>
  <c r="O634" i="2"/>
  <c r="S710" i="2" s="1"/>
  <c r="P618" i="2"/>
  <c r="O618" i="2"/>
  <c r="S694" i="2" s="1"/>
  <c r="O647" i="2"/>
  <c r="S723" i="2" s="1"/>
  <c r="P647" i="2"/>
  <c r="P638" i="2"/>
  <c r="O638" i="2"/>
  <c r="S714" i="2" s="1"/>
  <c r="O620" i="2"/>
  <c r="S696" i="2" s="1"/>
  <c r="P620" i="2"/>
  <c r="P626" i="2"/>
  <c r="O626" i="2"/>
  <c r="S702" i="2" s="1"/>
  <c r="P639" i="2"/>
  <c r="O639" i="2"/>
  <c r="S715" i="2" s="1"/>
  <c r="P646" i="2"/>
  <c r="O646" i="2"/>
  <c r="S722" i="2" s="1"/>
  <c r="P622" i="2"/>
  <c r="O622" i="2"/>
  <c r="S698" i="2" s="1"/>
  <c r="P644" i="2"/>
  <c r="O644" i="2"/>
  <c r="S720" i="2" s="1"/>
  <c r="P650" i="2"/>
  <c r="O650" i="2"/>
  <c r="S726" i="2" s="1"/>
  <c r="O651" i="2"/>
  <c r="S727" i="2" s="1"/>
  <c r="P651" i="2"/>
  <c r="P642" i="2"/>
  <c r="O642" i="2"/>
  <c r="S718" i="2" s="1"/>
  <c r="O624" i="2"/>
  <c r="S700" i="2" s="1"/>
  <c r="P624" i="2"/>
  <c r="O616" i="2"/>
  <c r="S692" i="2" s="1"/>
  <c r="P616" i="2"/>
  <c r="O640" i="2"/>
  <c r="S716" i="2" s="1"/>
  <c r="P640" i="2"/>
  <c r="P648" i="2"/>
  <c r="P627" i="2"/>
  <c r="P619" i="2"/>
  <c r="O630" i="2"/>
  <c r="S706" i="2" s="1"/>
  <c r="O649" i="2"/>
  <c r="S725" i="2" s="1"/>
  <c r="P649" i="2"/>
  <c r="O641" i="2"/>
  <c r="S717" i="2" s="1"/>
  <c r="P641" i="2"/>
  <c r="O633" i="2"/>
  <c r="S709" i="2" s="1"/>
  <c r="P633" i="2"/>
  <c r="O625" i="2"/>
  <c r="S701" i="2" s="1"/>
  <c r="P625" i="2"/>
  <c r="O617" i="2"/>
  <c r="S693" i="2" s="1"/>
  <c r="P617" i="2"/>
  <c r="O615" i="2"/>
  <c r="S691" i="2" s="1"/>
  <c r="P615" i="2"/>
  <c r="O645" i="2"/>
  <c r="S721" i="2" s="1"/>
  <c r="P645" i="2"/>
  <c r="O637" i="2"/>
  <c r="S713" i="2" s="1"/>
  <c r="P637" i="2"/>
  <c r="O629" i="2"/>
  <c r="S705" i="2" s="1"/>
  <c r="P629" i="2"/>
  <c r="O621" i="2"/>
  <c r="S697" i="2" s="1"/>
  <c r="P621" i="2"/>
  <c r="T810" i="2" l="1"/>
  <c r="T824" i="2"/>
  <c r="T818" i="2"/>
  <c r="T823" i="2"/>
  <c r="T832" i="2"/>
  <c r="T836" i="2"/>
  <c r="T815" i="2"/>
  <c r="T821" i="2"/>
  <c r="T816" i="2"/>
  <c r="T830" i="2"/>
  <c r="T828" i="2"/>
  <c r="T826" i="2"/>
  <c r="T807" i="2"/>
  <c r="T841" i="2"/>
  <c r="T827" i="2"/>
  <c r="T840" i="2"/>
  <c r="T837" i="2"/>
  <c r="T811" i="2"/>
  <c r="T831" i="2"/>
  <c r="T834" i="2"/>
  <c r="T808" i="2"/>
  <c r="T813" i="2"/>
  <c r="T839" i="2"/>
  <c r="T829" i="2"/>
  <c r="T812" i="2"/>
  <c r="T814" i="2"/>
  <c r="T835" i="2"/>
  <c r="T805" i="2"/>
  <c r="T806" i="2"/>
  <c r="T822" i="2"/>
  <c r="T820" i="2"/>
  <c r="T819" i="2"/>
  <c r="M614" i="2"/>
  <c r="N614" i="2" s="1"/>
  <c r="R1070" i="2" s="1"/>
  <c r="L614" i="2"/>
  <c r="K614" i="2"/>
  <c r="G637" i="2"/>
  <c r="G618" i="2"/>
  <c r="G615" i="2"/>
  <c r="P614" i="2" l="1"/>
  <c r="O614" i="2"/>
  <c r="S690" i="2" s="1"/>
  <c r="G577" i="2"/>
  <c r="G580" i="2"/>
  <c r="G599" i="2"/>
  <c r="J577" i="2"/>
  <c r="M577" i="2" s="1"/>
  <c r="J578" i="2"/>
  <c r="M578" i="2" s="1"/>
  <c r="N578" i="2" s="1"/>
  <c r="R1034" i="2" s="1"/>
  <c r="J579" i="2"/>
  <c r="M579" i="2" s="1"/>
  <c r="N579" i="2" s="1"/>
  <c r="R1035" i="2" s="1"/>
  <c r="J580" i="2"/>
  <c r="M580" i="2" s="1"/>
  <c r="J581" i="2"/>
  <c r="M581" i="2" s="1"/>
  <c r="N581" i="2" s="1"/>
  <c r="R1037" i="2" s="1"/>
  <c r="J582" i="2"/>
  <c r="M582" i="2" s="1"/>
  <c r="N582" i="2" s="1"/>
  <c r="R1038" i="2" s="1"/>
  <c r="J583" i="2"/>
  <c r="M583" i="2" s="1"/>
  <c r="N583" i="2" s="1"/>
  <c r="R1039" i="2" s="1"/>
  <c r="J584" i="2"/>
  <c r="M584" i="2" s="1"/>
  <c r="N584" i="2" s="1"/>
  <c r="R1040" i="2" s="1"/>
  <c r="J585" i="2"/>
  <c r="M585" i="2" s="1"/>
  <c r="N585" i="2" s="1"/>
  <c r="R1041" i="2" s="1"/>
  <c r="J586" i="2"/>
  <c r="M586" i="2" s="1"/>
  <c r="N586" i="2" s="1"/>
  <c r="R1042" i="2" s="1"/>
  <c r="J587" i="2"/>
  <c r="M587" i="2" s="1"/>
  <c r="N587" i="2" s="1"/>
  <c r="R1043" i="2" s="1"/>
  <c r="J588" i="2"/>
  <c r="M588" i="2" s="1"/>
  <c r="N588" i="2" s="1"/>
  <c r="R1044" i="2" s="1"/>
  <c r="J589" i="2"/>
  <c r="M589" i="2" s="1"/>
  <c r="N589" i="2" s="1"/>
  <c r="R1045" i="2" s="1"/>
  <c r="J590" i="2"/>
  <c r="M590" i="2" s="1"/>
  <c r="N590" i="2" s="1"/>
  <c r="R1046" i="2" s="1"/>
  <c r="J591" i="2"/>
  <c r="M591" i="2" s="1"/>
  <c r="N591" i="2" s="1"/>
  <c r="R1047" i="2" s="1"/>
  <c r="J592" i="2"/>
  <c r="M592" i="2" s="1"/>
  <c r="N592" i="2" s="1"/>
  <c r="R1048" i="2" s="1"/>
  <c r="J593" i="2"/>
  <c r="M593" i="2" s="1"/>
  <c r="N593" i="2" s="1"/>
  <c r="R1049" i="2" s="1"/>
  <c r="J594" i="2"/>
  <c r="M594" i="2" s="1"/>
  <c r="N594" i="2" s="1"/>
  <c r="R1050" i="2" s="1"/>
  <c r="J595" i="2"/>
  <c r="M595" i="2" s="1"/>
  <c r="N595" i="2" s="1"/>
  <c r="R1051" i="2" s="1"/>
  <c r="J596" i="2"/>
  <c r="M596" i="2" s="1"/>
  <c r="N596" i="2" s="1"/>
  <c r="R1052" i="2" s="1"/>
  <c r="J597" i="2"/>
  <c r="M597" i="2" s="1"/>
  <c r="N597" i="2" s="1"/>
  <c r="R1053" i="2" s="1"/>
  <c r="J598" i="2"/>
  <c r="M598" i="2" s="1"/>
  <c r="N598" i="2" s="1"/>
  <c r="R1054" i="2" s="1"/>
  <c r="J599" i="2"/>
  <c r="M599" i="2" s="1"/>
  <c r="J600" i="2"/>
  <c r="M600" i="2" s="1"/>
  <c r="N600" i="2" s="1"/>
  <c r="R1056" i="2" s="1"/>
  <c r="J601" i="2"/>
  <c r="M601" i="2" s="1"/>
  <c r="N601" i="2" s="1"/>
  <c r="R1057" i="2" s="1"/>
  <c r="J602" i="2"/>
  <c r="M602" i="2" s="1"/>
  <c r="N602" i="2" s="1"/>
  <c r="R1058" i="2" s="1"/>
  <c r="J603" i="2"/>
  <c r="M603" i="2" s="1"/>
  <c r="N603" i="2" s="1"/>
  <c r="R1059" i="2" s="1"/>
  <c r="J604" i="2"/>
  <c r="M604" i="2" s="1"/>
  <c r="N604" i="2" s="1"/>
  <c r="R1060" i="2" s="1"/>
  <c r="J605" i="2"/>
  <c r="M605" i="2" s="1"/>
  <c r="N605" i="2" s="1"/>
  <c r="R1061" i="2" s="1"/>
  <c r="J606" i="2"/>
  <c r="M606" i="2" s="1"/>
  <c r="N606" i="2" s="1"/>
  <c r="R1062" i="2" s="1"/>
  <c r="J607" i="2"/>
  <c r="M607" i="2" s="1"/>
  <c r="N607" i="2" s="1"/>
  <c r="R1063" i="2" s="1"/>
  <c r="J608" i="2"/>
  <c r="M608" i="2" s="1"/>
  <c r="N608" i="2" s="1"/>
  <c r="R1064" i="2" s="1"/>
  <c r="J609" i="2"/>
  <c r="M609" i="2" s="1"/>
  <c r="N609" i="2" s="1"/>
  <c r="J610" i="2"/>
  <c r="M610" i="2" s="1"/>
  <c r="N610" i="2" s="1"/>
  <c r="R1066" i="2" s="1"/>
  <c r="J611" i="2"/>
  <c r="M611" i="2" s="1"/>
  <c r="N611" i="2" s="1"/>
  <c r="J612" i="2"/>
  <c r="M612" i="2" s="1"/>
  <c r="N612" i="2" s="1"/>
  <c r="J613" i="2"/>
  <c r="M613" i="2" s="1"/>
  <c r="N613" i="2" s="1"/>
  <c r="J576" i="2"/>
  <c r="M576" i="2" s="1"/>
  <c r="N576" i="2" s="1"/>
  <c r="O576" i="2" l="1"/>
  <c r="R1032" i="2"/>
  <c r="O611" i="2"/>
  <c r="R1067" i="2"/>
  <c r="O609" i="2"/>
  <c r="R1065" i="2"/>
  <c r="O613" i="2"/>
  <c r="R1069" i="2"/>
  <c r="O612" i="2"/>
  <c r="R1068" i="2"/>
  <c r="T804" i="2"/>
  <c r="N580" i="2"/>
  <c r="N599" i="2"/>
  <c r="O610" i="2"/>
  <c r="P610" i="2"/>
  <c r="P609" i="2"/>
  <c r="P612" i="2"/>
  <c r="N577" i="2"/>
  <c r="P613" i="2"/>
  <c r="P611" i="2"/>
  <c r="O605" i="2"/>
  <c r="P605" i="2"/>
  <c r="O603" i="2"/>
  <c r="P603" i="2"/>
  <c r="O597" i="2"/>
  <c r="P597" i="2"/>
  <c r="O595" i="2"/>
  <c r="P595" i="2"/>
  <c r="O593" i="2"/>
  <c r="P593" i="2"/>
  <c r="O591" i="2"/>
  <c r="P591" i="2"/>
  <c r="O589" i="2"/>
  <c r="P589" i="2"/>
  <c r="O585" i="2"/>
  <c r="P585" i="2"/>
  <c r="O583" i="2"/>
  <c r="P583" i="2"/>
  <c r="O581" i="2"/>
  <c r="P581" i="2"/>
  <c r="O579" i="2"/>
  <c r="P579" i="2"/>
  <c r="O608" i="2"/>
  <c r="P608" i="2"/>
  <c r="O606" i="2"/>
  <c r="P606" i="2"/>
  <c r="O604" i="2"/>
  <c r="P604" i="2"/>
  <c r="O602" i="2"/>
  <c r="P602" i="2"/>
  <c r="O600" i="2"/>
  <c r="P600" i="2"/>
  <c r="O598" i="2"/>
  <c r="P598" i="2"/>
  <c r="O596" i="2"/>
  <c r="P596" i="2"/>
  <c r="O594" i="2"/>
  <c r="P594" i="2"/>
  <c r="O592" i="2"/>
  <c r="P592" i="2"/>
  <c r="O590" i="2"/>
  <c r="P590" i="2"/>
  <c r="O588" i="2"/>
  <c r="P588" i="2"/>
  <c r="O586" i="2"/>
  <c r="P586" i="2"/>
  <c r="O584" i="2"/>
  <c r="P584" i="2"/>
  <c r="O582" i="2"/>
  <c r="P582" i="2"/>
  <c r="O578" i="2"/>
  <c r="P578" i="2"/>
  <c r="O607" i="2"/>
  <c r="P607" i="2"/>
  <c r="O601" i="2"/>
  <c r="P601" i="2"/>
  <c r="O587" i="2"/>
  <c r="P587" i="2"/>
  <c r="P576" i="2"/>
  <c r="P599" i="2" l="1"/>
  <c r="R1055" i="2"/>
  <c r="O580" i="2"/>
  <c r="R1036" i="2"/>
  <c r="O577" i="2"/>
  <c r="R1033" i="2"/>
  <c r="P580" i="2"/>
  <c r="P577" i="2"/>
  <c r="O599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576" i="2"/>
  <c r="L571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576" i="2"/>
  <c r="K538" i="2"/>
  <c r="L575" i="2" l="1"/>
  <c r="K575" i="2"/>
  <c r="L574" i="2"/>
  <c r="K574" i="2"/>
  <c r="L573" i="2"/>
  <c r="K573" i="2"/>
  <c r="L572" i="2"/>
  <c r="K572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1" i="2"/>
  <c r="K541" i="2"/>
  <c r="L540" i="2"/>
  <c r="K540" i="2"/>
  <c r="L538" i="2"/>
  <c r="K462" i="2"/>
  <c r="J539" i="2"/>
  <c r="M539" i="2" s="1"/>
  <c r="J540" i="2"/>
  <c r="M540" i="2" s="1"/>
  <c r="N540" i="2" s="1"/>
  <c r="R996" i="2" s="1"/>
  <c r="J541" i="2"/>
  <c r="M541" i="2" s="1"/>
  <c r="N541" i="2" s="1"/>
  <c r="R997" i="2" s="1"/>
  <c r="J542" i="2"/>
  <c r="M542" i="2" s="1"/>
  <c r="J543" i="2"/>
  <c r="M543" i="2" s="1"/>
  <c r="N543" i="2" s="1"/>
  <c r="R999" i="2" s="1"/>
  <c r="J544" i="2"/>
  <c r="M544" i="2" s="1"/>
  <c r="N544" i="2" s="1"/>
  <c r="R1000" i="2" s="1"/>
  <c r="J545" i="2"/>
  <c r="M545" i="2" s="1"/>
  <c r="N545" i="2" s="1"/>
  <c r="R1001" i="2" s="1"/>
  <c r="J546" i="2"/>
  <c r="M546" i="2" s="1"/>
  <c r="N546" i="2" s="1"/>
  <c r="R1002" i="2" s="1"/>
  <c r="J547" i="2"/>
  <c r="M547" i="2" s="1"/>
  <c r="N547" i="2" s="1"/>
  <c r="R1003" i="2" s="1"/>
  <c r="J548" i="2"/>
  <c r="M548" i="2" s="1"/>
  <c r="N548" i="2" s="1"/>
  <c r="R1004" i="2" s="1"/>
  <c r="J549" i="2"/>
  <c r="M549" i="2" s="1"/>
  <c r="N549" i="2" s="1"/>
  <c r="R1005" i="2" s="1"/>
  <c r="J550" i="2"/>
  <c r="M550" i="2" s="1"/>
  <c r="N550" i="2" s="1"/>
  <c r="R1006" i="2" s="1"/>
  <c r="J551" i="2"/>
  <c r="M551" i="2" s="1"/>
  <c r="N551" i="2" s="1"/>
  <c r="R1007" i="2" s="1"/>
  <c r="J552" i="2"/>
  <c r="M552" i="2" s="1"/>
  <c r="N552" i="2" s="1"/>
  <c r="R1008" i="2" s="1"/>
  <c r="J553" i="2"/>
  <c r="M553" i="2" s="1"/>
  <c r="N553" i="2" s="1"/>
  <c r="R1009" i="2" s="1"/>
  <c r="J554" i="2"/>
  <c r="M554" i="2" s="1"/>
  <c r="N554" i="2" s="1"/>
  <c r="R1010" i="2" s="1"/>
  <c r="J555" i="2"/>
  <c r="M555" i="2" s="1"/>
  <c r="N555" i="2" s="1"/>
  <c r="R1011" i="2" s="1"/>
  <c r="J556" i="2"/>
  <c r="M556" i="2" s="1"/>
  <c r="N556" i="2" s="1"/>
  <c r="R1012" i="2" s="1"/>
  <c r="J557" i="2"/>
  <c r="M557" i="2" s="1"/>
  <c r="N557" i="2" s="1"/>
  <c r="R1013" i="2" s="1"/>
  <c r="J558" i="2"/>
  <c r="M558" i="2" s="1"/>
  <c r="N558" i="2" s="1"/>
  <c r="R1014" i="2" s="1"/>
  <c r="J559" i="2"/>
  <c r="M559" i="2" s="1"/>
  <c r="N559" i="2" s="1"/>
  <c r="R1015" i="2" s="1"/>
  <c r="J560" i="2"/>
  <c r="M560" i="2" s="1"/>
  <c r="N560" i="2" s="1"/>
  <c r="R1016" i="2" s="1"/>
  <c r="J561" i="2"/>
  <c r="M561" i="2" s="1"/>
  <c r="J562" i="2"/>
  <c r="M562" i="2" s="1"/>
  <c r="N562" i="2" s="1"/>
  <c r="R1018" i="2" s="1"/>
  <c r="J563" i="2"/>
  <c r="M563" i="2" s="1"/>
  <c r="N563" i="2" s="1"/>
  <c r="R1019" i="2" s="1"/>
  <c r="J564" i="2"/>
  <c r="M564" i="2" s="1"/>
  <c r="N564" i="2" s="1"/>
  <c r="R1020" i="2" s="1"/>
  <c r="J565" i="2"/>
  <c r="M565" i="2" s="1"/>
  <c r="N565" i="2" s="1"/>
  <c r="R1021" i="2" s="1"/>
  <c r="J566" i="2"/>
  <c r="M566" i="2" s="1"/>
  <c r="N566" i="2" s="1"/>
  <c r="R1022" i="2" s="1"/>
  <c r="J567" i="2"/>
  <c r="M567" i="2" s="1"/>
  <c r="N567" i="2" s="1"/>
  <c r="R1023" i="2" s="1"/>
  <c r="J568" i="2"/>
  <c r="M568" i="2" s="1"/>
  <c r="N568" i="2" s="1"/>
  <c r="R1024" i="2" s="1"/>
  <c r="J569" i="2"/>
  <c r="M569" i="2" s="1"/>
  <c r="N569" i="2" s="1"/>
  <c r="R1025" i="2" s="1"/>
  <c r="J570" i="2"/>
  <c r="M570" i="2" s="1"/>
  <c r="N570" i="2" s="1"/>
  <c r="R1026" i="2" s="1"/>
  <c r="J571" i="2"/>
  <c r="M571" i="2" s="1"/>
  <c r="N571" i="2" s="1"/>
  <c r="R1027" i="2" s="1"/>
  <c r="J572" i="2"/>
  <c r="M572" i="2" s="1"/>
  <c r="N572" i="2" s="1"/>
  <c r="R1028" i="2" s="1"/>
  <c r="J573" i="2"/>
  <c r="M573" i="2" s="1"/>
  <c r="N573" i="2" s="1"/>
  <c r="R1029" i="2" s="1"/>
  <c r="J574" i="2"/>
  <c r="M574" i="2" s="1"/>
  <c r="N574" i="2" s="1"/>
  <c r="J575" i="2"/>
  <c r="M575" i="2" s="1"/>
  <c r="N575" i="2" s="1"/>
  <c r="R1031" i="2" s="1"/>
  <c r="J538" i="2"/>
  <c r="M538" i="2" s="1"/>
  <c r="N538" i="2" s="1"/>
  <c r="R994" i="2" s="1"/>
  <c r="P574" i="2" l="1"/>
  <c r="R1030" i="2"/>
  <c r="P538" i="2"/>
  <c r="O538" i="2"/>
  <c r="P540" i="2"/>
  <c r="O540" i="2"/>
  <c r="P544" i="2"/>
  <c r="O544" i="2"/>
  <c r="P546" i="2"/>
  <c r="O546" i="2"/>
  <c r="P548" i="2"/>
  <c r="O548" i="2"/>
  <c r="P550" i="2"/>
  <c r="O550" i="2"/>
  <c r="P552" i="2"/>
  <c r="O552" i="2"/>
  <c r="P554" i="2"/>
  <c r="O554" i="2"/>
  <c r="P556" i="2"/>
  <c r="O556" i="2"/>
  <c r="P558" i="2"/>
  <c r="O558" i="2"/>
  <c r="P560" i="2"/>
  <c r="O560" i="2"/>
  <c r="P562" i="2"/>
  <c r="O562" i="2"/>
  <c r="P564" i="2"/>
  <c r="O564" i="2"/>
  <c r="P566" i="2"/>
  <c r="O566" i="2"/>
  <c r="P568" i="2"/>
  <c r="O568" i="2"/>
  <c r="P570" i="2"/>
  <c r="O570" i="2"/>
  <c r="P572" i="2"/>
  <c r="O572" i="2"/>
  <c r="O574" i="2"/>
  <c r="P541" i="2"/>
  <c r="O541" i="2"/>
  <c r="P543" i="2"/>
  <c r="O543" i="2"/>
  <c r="P545" i="2"/>
  <c r="O545" i="2"/>
  <c r="P547" i="2"/>
  <c r="O547" i="2"/>
  <c r="P549" i="2"/>
  <c r="O549" i="2"/>
  <c r="P551" i="2"/>
  <c r="O551" i="2"/>
  <c r="P553" i="2"/>
  <c r="O553" i="2"/>
  <c r="P555" i="2"/>
  <c r="O555" i="2"/>
  <c r="P557" i="2"/>
  <c r="O557" i="2"/>
  <c r="P559" i="2"/>
  <c r="O559" i="2"/>
  <c r="P563" i="2"/>
  <c r="O563" i="2"/>
  <c r="P565" i="2"/>
  <c r="O565" i="2"/>
  <c r="P567" i="2"/>
  <c r="O567" i="2"/>
  <c r="P569" i="2"/>
  <c r="O569" i="2"/>
  <c r="P571" i="2"/>
  <c r="O571" i="2"/>
  <c r="P573" i="2"/>
  <c r="O573" i="2"/>
  <c r="P575" i="2"/>
  <c r="O575" i="2"/>
  <c r="G561" i="2"/>
  <c r="G542" i="2"/>
  <c r="G539" i="2"/>
  <c r="N539" i="2" s="1"/>
  <c r="R995" i="2" s="1"/>
  <c r="O539" i="2" l="1"/>
  <c r="P539" i="2"/>
  <c r="L542" i="2"/>
  <c r="K542" i="2"/>
  <c r="L561" i="2"/>
  <c r="K561" i="2"/>
  <c r="N561" i="2"/>
  <c r="R1017" i="2" s="1"/>
  <c r="L539" i="2"/>
  <c r="K539" i="2"/>
  <c r="N542" i="2"/>
  <c r="R998" i="2" s="1"/>
  <c r="O286" i="4"/>
  <c r="P286" i="4" s="1"/>
  <c r="E286" i="4"/>
  <c r="F286" i="4"/>
  <c r="O285" i="4"/>
  <c r="P285" i="4" s="1"/>
  <c r="E285" i="4"/>
  <c r="F285" i="4"/>
  <c r="O284" i="4"/>
  <c r="P284" i="4" s="1"/>
  <c r="E284" i="4"/>
  <c r="F284" i="4"/>
  <c r="O224" i="4"/>
  <c r="P224" i="4" s="1"/>
  <c r="E224" i="4"/>
  <c r="F224" i="4"/>
  <c r="O223" i="4"/>
  <c r="P223" i="4" s="1"/>
  <c r="E223" i="4"/>
  <c r="F223" i="4"/>
  <c r="O222" i="4"/>
  <c r="P222" i="4"/>
  <c r="E222" i="4"/>
  <c r="F222" i="4" s="1"/>
  <c r="O162" i="4"/>
  <c r="P162" i="4"/>
  <c r="E162" i="4"/>
  <c r="F162" i="4" s="1"/>
  <c r="O161" i="4"/>
  <c r="P161" i="4" s="1"/>
  <c r="E161" i="4"/>
  <c r="F161" i="4"/>
  <c r="E160" i="4"/>
  <c r="F160" i="4" s="1"/>
  <c r="O160" i="4"/>
  <c r="P160" i="4"/>
  <c r="O101" i="4"/>
  <c r="P101" i="4" s="1"/>
  <c r="O100" i="4"/>
  <c r="P100" i="4"/>
  <c r="O99" i="4"/>
  <c r="P99" i="4" s="1"/>
  <c r="E101" i="4"/>
  <c r="F101" i="4"/>
  <c r="E100" i="4"/>
  <c r="F100" i="4" s="1"/>
  <c r="E99" i="4"/>
  <c r="F99" i="4"/>
  <c r="P561" i="2" l="1"/>
  <c r="O561" i="2"/>
  <c r="P542" i="2"/>
  <c r="O542" i="2"/>
  <c r="L500" i="2"/>
  <c r="K500" i="2"/>
  <c r="K537" i="2"/>
  <c r="K502" i="2"/>
  <c r="L502" i="2"/>
  <c r="K503" i="2"/>
  <c r="L503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L537" i="2"/>
  <c r="J501" i="2"/>
  <c r="M501" i="2" s="1"/>
  <c r="J502" i="2"/>
  <c r="M502" i="2" s="1"/>
  <c r="N502" i="2" s="1"/>
  <c r="R958" i="2" s="1"/>
  <c r="J503" i="2"/>
  <c r="M503" i="2" s="1"/>
  <c r="N503" i="2" s="1"/>
  <c r="J504" i="2"/>
  <c r="M504" i="2" s="1"/>
  <c r="J505" i="2"/>
  <c r="M505" i="2" s="1"/>
  <c r="N505" i="2" s="1"/>
  <c r="J506" i="2"/>
  <c r="M506" i="2" s="1"/>
  <c r="N506" i="2" s="1"/>
  <c r="J507" i="2"/>
  <c r="M507" i="2" s="1"/>
  <c r="N507" i="2" s="1"/>
  <c r="R963" i="2" s="1"/>
  <c r="J508" i="2"/>
  <c r="M508" i="2" s="1"/>
  <c r="N508" i="2" s="1"/>
  <c r="J509" i="2"/>
  <c r="M509" i="2" s="1"/>
  <c r="N509" i="2" s="1"/>
  <c r="J510" i="2"/>
  <c r="M510" i="2" s="1"/>
  <c r="N510" i="2" s="1"/>
  <c r="R966" i="2" s="1"/>
  <c r="J511" i="2"/>
  <c r="M511" i="2" s="1"/>
  <c r="N511" i="2" s="1"/>
  <c r="J512" i="2"/>
  <c r="M512" i="2" s="1"/>
  <c r="N512" i="2" s="1"/>
  <c r="J513" i="2"/>
  <c r="M513" i="2" s="1"/>
  <c r="N513" i="2" s="1"/>
  <c r="J514" i="2"/>
  <c r="M514" i="2" s="1"/>
  <c r="N514" i="2" s="1"/>
  <c r="J515" i="2"/>
  <c r="M515" i="2" s="1"/>
  <c r="N515" i="2" s="1"/>
  <c r="R971" i="2" s="1"/>
  <c r="J516" i="2"/>
  <c r="M516" i="2" s="1"/>
  <c r="N516" i="2" s="1"/>
  <c r="J517" i="2"/>
  <c r="M517" i="2" s="1"/>
  <c r="N517" i="2" s="1"/>
  <c r="R973" i="2" s="1"/>
  <c r="J518" i="2"/>
  <c r="M518" i="2" s="1"/>
  <c r="N518" i="2" s="1"/>
  <c r="J519" i="2"/>
  <c r="M519" i="2" s="1"/>
  <c r="N519" i="2" s="1"/>
  <c r="J520" i="2"/>
  <c r="M520" i="2" s="1"/>
  <c r="N520" i="2" s="1"/>
  <c r="J521" i="2"/>
  <c r="M521" i="2" s="1"/>
  <c r="N521" i="2" s="1"/>
  <c r="J522" i="2"/>
  <c r="M522" i="2" s="1"/>
  <c r="N522" i="2" s="1"/>
  <c r="J523" i="2"/>
  <c r="M523" i="2" s="1"/>
  <c r="J524" i="2"/>
  <c r="M524" i="2" s="1"/>
  <c r="N524" i="2" s="1"/>
  <c r="J525" i="2"/>
  <c r="M525" i="2" s="1"/>
  <c r="N525" i="2" s="1"/>
  <c r="R981" i="2" s="1"/>
  <c r="J526" i="2"/>
  <c r="M526" i="2" s="1"/>
  <c r="N526" i="2" s="1"/>
  <c r="J527" i="2"/>
  <c r="M527" i="2" s="1"/>
  <c r="N527" i="2" s="1"/>
  <c r="R983" i="2" s="1"/>
  <c r="J528" i="2"/>
  <c r="M528" i="2" s="1"/>
  <c r="N528" i="2" s="1"/>
  <c r="J529" i="2"/>
  <c r="M529" i="2" s="1"/>
  <c r="N529" i="2" s="1"/>
  <c r="J530" i="2"/>
  <c r="M530" i="2" s="1"/>
  <c r="N530" i="2" s="1"/>
  <c r="J531" i="2"/>
  <c r="M531" i="2" s="1"/>
  <c r="N531" i="2" s="1"/>
  <c r="J532" i="2"/>
  <c r="M532" i="2" s="1"/>
  <c r="N532" i="2" s="1"/>
  <c r="J533" i="2"/>
  <c r="M533" i="2" s="1"/>
  <c r="N533" i="2" s="1"/>
  <c r="J534" i="2"/>
  <c r="M534" i="2" s="1"/>
  <c r="N534" i="2" s="1"/>
  <c r="J535" i="2"/>
  <c r="M535" i="2" s="1"/>
  <c r="N535" i="2" s="1"/>
  <c r="R991" i="2" s="1"/>
  <c r="J536" i="2"/>
  <c r="M536" i="2" s="1"/>
  <c r="N536" i="2" s="1"/>
  <c r="J537" i="2"/>
  <c r="M537" i="2" s="1"/>
  <c r="N537" i="2" s="1"/>
  <c r="R993" i="2" s="1"/>
  <c r="J500" i="2"/>
  <c r="M500" i="2" s="1"/>
  <c r="N500" i="2" s="1"/>
  <c r="O500" i="2" l="1"/>
  <c r="S576" i="2" s="1"/>
  <c r="T690" i="2" s="1"/>
  <c r="R956" i="2"/>
  <c r="O506" i="2"/>
  <c r="S582" i="2" s="1"/>
  <c r="T696" i="2" s="1"/>
  <c r="R962" i="2"/>
  <c r="O513" i="2"/>
  <c r="S589" i="2" s="1"/>
  <c r="T703" i="2" s="1"/>
  <c r="R969" i="2"/>
  <c r="O528" i="2"/>
  <c r="S604" i="2" s="1"/>
  <c r="T718" i="2" s="1"/>
  <c r="R984" i="2"/>
  <c r="O512" i="2"/>
  <c r="S588" i="2" s="1"/>
  <c r="T702" i="2" s="1"/>
  <c r="R968" i="2"/>
  <c r="O519" i="2"/>
  <c r="S595" i="2" s="1"/>
  <c r="T709" i="2" s="1"/>
  <c r="R975" i="2"/>
  <c r="O503" i="2"/>
  <c r="S579" i="2" s="1"/>
  <c r="T693" i="2" s="1"/>
  <c r="R959" i="2"/>
  <c r="O534" i="2"/>
  <c r="S610" i="2" s="1"/>
  <c r="T724" i="2" s="1"/>
  <c r="R990" i="2"/>
  <c r="O526" i="2"/>
  <c r="S602" i="2" s="1"/>
  <c r="T716" i="2" s="1"/>
  <c r="R982" i="2"/>
  <c r="O518" i="2"/>
  <c r="S594" i="2" s="1"/>
  <c r="T708" i="2" s="1"/>
  <c r="R974" i="2"/>
  <c r="O530" i="2"/>
  <c r="S606" i="2" s="1"/>
  <c r="T720" i="2" s="1"/>
  <c r="R986" i="2"/>
  <c r="O522" i="2"/>
  <c r="S598" i="2" s="1"/>
  <c r="T712" i="2" s="1"/>
  <c r="R978" i="2"/>
  <c r="O529" i="2"/>
  <c r="S605" i="2" s="1"/>
  <c r="T719" i="2" s="1"/>
  <c r="R985" i="2"/>
  <c r="O505" i="2"/>
  <c r="S581" i="2" s="1"/>
  <c r="T695" i="2" s="1"/>
  <c r="R961" i="2"/>
  <c r="O536" i="2"/>
  <c r="S612" i="2" s="1"/>
  <c r="T726" i="2" s="1"/>
  <c r="R992" i="2"/>
  <c r="O520" i="2"/>
  <c r="S596" i="2" s="1"/>
  <c r="T710" i="2" s="1"/>
  <c r="R976" i="2"/>
  <c r="O511" i="2"/>
  <c r="S587" i="2" s="1"/>
  <c r="T701" i="2" s="1"/>
  <c r="R967" i="2"/>
  <c r="O533" i="2"/>
  <c r="S609" i="2" s="1"/>
  <c r="T723" i="2" s="1"/>
  <c r="R989" i="2"/>
  <c r="O509" i="2"/>
  <c r="S585" i="2" s="1"/>
  <c r="T699" i="2" s="1"/>
  <c r="R965" i="2"/>
  <c r="O532" i="2"/>
  <c r="S608" i="2" s="1"/>
  <c r="T722" i="2" s="1"/>
  <c r="R988" i="2"/>
  <c r="O524" i="2"/>
  <c r="S600" i="2" s="1"/>
  <c r="T714" i="2" s="1"/>
  <c r="R980" i="2"/>
  <c r="O516" i="2"/>
  <c r="S592" i="2" s="1"/>
  <c r="T706" i="2" s="1"/>
  <c r="R972" i="2"/>
  <c r="O508" i="2"/>
  <c r="S584" i="2" s="1"/>
  <c r="T698" i="2" s="1"/>
  <c r="R964" i="2"/>
  <c r="O514" i="2"/>
  <c r="S590" i="2" s="1"/>
  <c r="T704" i="2" s="1"/>
  <c r="R970" i="2"/>
  <c r="O521" i="2"/>
  <c r="S597" i="2" s="1"/>
  <c r="T711" i="2" s="1"/>
  <c r="R977" i="2"/>
  <c r="O531" i="2"/>
  <c r="S607" i="2" s="1"/>
  <c r="T721" i="2" s="1"/>
  <c r="R987" i="2"/>
  <c r="O510" i="2"/>
  <c r="S586" i="2" s="1"/>
  <c r="T700" i="2" s="1"/>
  <c r="P510" i="2"/>
  <c r="O537" i="2"/>
  <c r="S613" i="2" s="1"/>
  <c r="T727" i="2" s="1"/>
  <c r="P537" i="2"/>
  <c r="O535" i="2"/>
  <c r="S611" i="2" s="1"/>
  <c r="T725" i="2" s="1"/>
  <c r="P535" i="2"/>
  <c r="O502" i="2"/>
  <c r="S578" i="2" s="1"/>
  <c r="T692" i="2" s="1"/>
  <c r="P502" i="2"/>
  <c r="O525" i="2"/>
  <c r="S601" i="2" s="1"/>
  <c r="T715" i="2" s="1"/>
  <c r="O507" i="2"/>
  <c r="S583" i="2" s="1"/>
  <c r="T697" i="2" s="1"/>
  <c r="O515" i="2"/>
  <c r="S591" i="2" s="1"/>
  <c r="T705" i="2" s="1"/>
  <c r="O527" i="2"/>
  <c r="S603" i="2" s="1"/>
  <c r="T717" i="2" s="1"/>
  <c r="P527" i="2"/>
  <c r="O517" i="2"/>
  <c r="S593" i="2" s="1"/>
  <c r="T707" i="2" s="1"/>
  <c r="P518" i="2"/>
  <c r="P531" i="2"/>
  <c r="P522" i="2"/>
  <c r="P514" i="2"/>
  <c r="P506" i="2"/>
  <c r="P533" i="2"/>
  <c r="P529" i="2"/>
  <c r="P524" i="2"/>
  <c r="P520" i="2"/>
  <c r="P516" i="2"/>
  <c r="P512" i="2"/>
  <c r="P508" i="2"/>
  <c r="P536" i="2"/>
  <c r="P534" i="2"/>
  <c r="P532" i="2"/>
  <c r="P530" i="2"/>
  <c r="P528" i="2"/>
  <c r="P526" i="2"/>
  <c r="P521" i="2"/>
  <c r="P519" i="2"/>
  <c r="P517" i="2"/>
  <c r="P515" i="2"/>
  <c r="P513" i="2"/>
  <c r="P511" i="2"/>
  <c r="P509" i="2"/>
  <c r="P507" i="2"/>
  <c r="P505" i="2"/>
  <c r="P503" i="2"/>
  <c r="P500" i="2"/>
  <c r="P525" i="2"/>
  <c r="G523" i="2" l="1"/>
  <c r="G504" i="2"/>
  <c r="G501" i="2"/>
  <c r="N501" i="2" l="1"/>
  <c r="R957" i="2" s="1"/>
  <c r="K501" i="2"/>
  <c r="L501" i="2"/>
  <c r="K504" i="2"/>
  <c r="L504" i="2"/>
  <c r="N504" i="2"/>
  <c r="R960" i="2" s="1"/>
  <c r="K523" i="2"/>
  <c r="L523" i="2"/>
  <c r="N523" i="2"/>
  <c r="R979" i="2" s="1"/>
  <c r="O523" i="2" l="1"/>
  <c r="S599" i="2" s="1"/>
  <c r="T713" i="2" s="1"/>
  <c r="P523" i="2"/>
  <c r="O501" i="2"/>
  <c r="S577" i="2" s="1"/>
  <c r="T691" i="2" s="1"/>
  <c r="P501" i="2"/>
  <c r="O504" i="2"/>
  <c r="S580" i="2" s="1"/>
  <c r="T694" i="2" s="1"/>
  <c r="P504" i="2"/>
  <c r="L464" i="2"/>
  <c r="L465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K464" i="2"/>
  <c r="K465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L462" i="2"/>
  <c r="J463" i="2"/>
  <c r="M463" i="2" s="1"/>
  <c r="J464" i="2"/>
  <c r="M464" i="2" s="1"/>
  <c r="N464" i="2" s="1"/>
  <c r="R920" i="2" s="1"/>
  <c r="J465" i="2"/>
  <c r="M465" i="2" s="1"/>
  <c r="N465" i="2" s="1"/>
  <c r="R921" i="2" s="1"/>
  <c r="J466" i="2"/>
  <c r="M466" i="2" s="1"/>
  <c r="J467" i="2"/>
  <c r="M467" i="2" s="1"/>
  <c r="N467" i="2" s="1"/>
  <c r="R923" i="2" s="1"/>
  <c r="J468" i="2"/>
  <c r="M468" i="2" s="1"/>
  <c r="N468" i="2" s="1"/>
  <c r="R924" i="2" s="1"/>
  <c r="J469" i="2"/>
  <c r="M469" i="2" s="1"/>
  <c r="N469" i="2" s="1"/>
  <c r="R925" i="2" s="1"/>
  <c r="J470" i="2"/>
  <c r="M470" i="2" s="1"/>
  <c r="N470" i="2" s="1"/>
  <c r="R926" i="2" s="1"/>
  <c r="J471" i="2"/>
  <c r="M471" i="2" s="1"/>
  <c r="N471" i="2" s="1"/>
  <c r="R927" i="2" s="1"/>
  <c r="J472" i="2"/>
  <c r="M472" i="2" s="1"/>
  <c r="N472" i="2" s="1"/>
  <c r="R928" i="2" s="1"/>
  <c r="J473" i="2"/>
  <c r="M473" i="2" s="1"/>
  <c r="N473" i="2" s="1"/>
  <c r="R929" i="2" s="1"/>
  <c r="J474" i="2"/>
  <c r="M474" i="2" s="1"/>
  <c r="N474" i="2" s="1"/>
  <c r="R930" i="2" s="1"/>
  <c r="J475" i="2"/>
  <c r="M475" i="2" s="1"/>
  <c r="N475" i="2" s="1"/>
  <c r="R931" i="2" s="1"/>
  <c r="J476" i="2"/>
  <c r="M476" i="2" s="1"/>
  <c r="N476" i="2" s="1"/>
  <c r="R932" i="2" s="1"/>
  <c r="J477" i="2"/>
  <c r="M477" i="2" s="1"/>
  <c r="N477" i="2" s="1"/>
  <c r="R933" i="2" s="1"/>
  <c r="J478" i="2"/>
  <c r="M478" i="2" s="1"/>
  <c r="N478" i="2" s="1"/>
  <c r="R934" i="2" s="1"/>
  <c r="J479" i="2"/>
  <c r="M479" i="2" s="1"/>
  <c r="N479" i="2" s="1"/>
  <c r="R935" i="2" s="1"/>
  <c r="J480" i="2"/>
  <c r="M480" i="2" s="1"/>
  <c r="N480" i="2" s="1"/>
  <c r="R936" i="2" s="1"/>
  <c r="J481" i="2"/>
  <c r="M481" i="2" s="1"/>
  <c r="N481" i="2" s="1"/>
  <c r="R937" i="2" s="1"/>
  <c r="J482" i="2"/>
  <c r="M482" i="2" s="1"/>
  <c r="N482" i="2" s="1"/>
  <c r="R938" i="2" s="1"/>
  <c r="J483" i="2"/>
  <c r="M483" i="2" s="1"/>
  <c r="N483" i="2" s="1"/>
  <c r="R939" i="2" s="1"/>
  <c r="J484" i="2"/>
  <c r="M484" i="2" s="1"/>
  <c r="N484" i="2" s="1"/>
  <c r="R940" i="2" s="1"/>
  <c r="J485" i="2"/>
  <c r="M485" i="2" s="1"/>
  <c r="J486" i="2"/>
  <c r="M486" i="2" s="1"/>
  <c r="N486" i="2" s="1"/>
  <c r="R942" i="2" s="1"/>
  <c r="J487" i="2"/>
  <c r="M487" i="2" s="1"/>
  <c r="N487" i="2" s="1"/>
  <c r="R943" i="2" s="1"/>
  <c r="J488" i="2"/>
  <c r="M488" i="2" s="1"/>
  <c r="N488" i="2" s="1"/>
  <c r="R944" i="2" s="1"/>
  <c r="J489" i="2"/>
  <c r="M489" i="2" s="1"/>
  <c r="N489" i="2" s="1"/>
  <c r="R945" i="2" s="1"/>
  <c r="J490" i="2"/>
  <c r="M490" i="2" s="1"/>
  <c r="N490" i="2" s="1"/>
  <c r="R946" i="2" s="1"/>
  <c r="J491" i="2"/>
  <c r="M491" i="2" s="1"/>
  <c r="N491" i="2" s="1"/>
  <c r="R947" i="2" s="1"/>
  <c r="J492" i="2"/>
  <c r="M492" i="2" s="1"/>
  <c r="N492" i="2" s="1"/>
  <c r="R948" i="2" s="1"/>
  <c r="J493" i="2"/>
  <c r="M493" i="2" s="1"/>
  <c r="N493" i="2" s="1"/>
  <c r="R949" i="2" s="1"/>
  <c r="J494" i="2"/>
  <c r="M494" i="2" s="1"/>
  <c r="N494" i="2" s="1"/>
  <c r="R950" i="2" s="1"/>
  <c r="J495" i="2"/>
  <c r="M495" i="2" s="1"/>
  <c r="N495" i="2" s="1"/>
  <c r="R951" i="2" s="1"/>
  <c r="J496" i="2"/>
  <c r="M496" i="2" s="1"/>
  <c r="N496" i="2" s="1"/>
  <c r="R952" i="2" s="1"/>
  <c r="J497" i="2"/>
  <c r="M497" i="2" s="1"/>
  <c r="N497" i="2" s="1"/>
  <c r="R953" i="2" s="1"/>
  <c r="J498" i="2"/>
  <c r="M498" i="2" s="1"/>
  <c r="N498" i="2" s="1"/>
  <c r="R954" i="2" s="1"/>
  <c r="J499" i="2"/>
  <c r="M499" i="2" s="1"/>
  <c r="N499" i="2" s="1"/>
  <c r="R955" i="2" s="1"/>
  <c r="J462" i="2"/>
  <c r="M462" i="2" s="1"/>
  <c r="N462" i="2" s="1"/>
  <c r="R918" i="2" s="1"/>
  <c r="O495" i="2" l="1"/>
  <c r="O479" i="2"/>
  <c r="O471" i="2"/>
  <c r="O465" i="2"/>
  <c r="O486" i="2"/>
  <c r="O470" i="2"/>
  <c r="O464" i="2"/>
  <c r="O469" i="2"/>
  <c r="O489" i="2"/>
  <c r="O462" i="2"/>
  <c r="O492" i="2"/>
  <c r="O484" i="2"/>
  <c r="O476" i="2"/>
  <c r="O468" i="2"/>
  <c r="O488" i="2"/>
  <c r="O491" i="2"/>
  <c r="O483" i="2"/>
  <c r="O475" i="2"/>
  <c r="O467" i="2"/>
  <c r="O482" i="2"/>
  <c r="O487" i="2"/>
  <c r="O496" i="2"/>
  <c r="O494" i="2"/>
  <c r="O478" i="2"/>
  <c r="O490" i="2"/>
  <c r="O493" i="2"/>
  <c r="O477" i="2"/>
  <c r="O474" i="2"/>
  <c r="O481" i="2"/>
  <c r="O499" i="2"/>
  <c r="O473" i="2"/>
  <c r="O497" i="2"/>
  <c r="O472" i="2"/>
  <c r="O480" i="2"/>
  <c r="P480" i="2"/>
  <c r="O498" i="2"/>
  <c r="P498" i="2"/>
  <c r="P496" i="2"/>
  <c r="P494" i="2"/>
  <c r="P492" i="2"/>
  <c r="P490" i="2"/>
  <c r="P488" i="2"/>
  <c r="P486" i="2"/>
  <c r="P484" i="2"/>
  <c r="P482" i="2"/>
  <c r="P478" i="2"/>
  <c r="P476" i="2"/>
  <c r="P474" i="2"/>
  <c r="P472" i="2"/>
  <c r="P470" i="2"/>
  <c r="P468" i="2"/>
  <c r="P464" i="2"/>
  <c r="P499" i="2"/>
  <c r="P497" i="2"/>
  <c r="P495" i="2"/>
  <c r="P493" i="2"/>
  <c r="P491" i="2"/>
  <c r="P489" i="2"/>
  <c r="P487" i="2"/>
  <c r="P483" i="2"/>
  <c r="P481" i="2"/>
  <c r="P479" i="2"/>
  <c r="P477" i="2"/>
  <c r="P475" i="2"/>
  <c r="P473" i="2"/>
  <c r="P471" i="2"/>
  <c r="P469" i="2"/>
  <c r="P467" i="2"/>
  <c r="P465" i="2"/>
  <c r="P462" i="2"/>
  <c r="G485" i="2" l="1"/>
  <c r="G466" i="2"/>
  <c r="G463" i="2"/>
  <c r="L485" i="2" l="1"/>
  <c r="N485" i="2"/>
  <c r="R941" i="2" s="1"/>
  <c r="K485" i="2"/>
  <c r="L463" i="2"/>
  <c r="N463" i="2"/>
  <c r="R919" i="2" s="1"/>
  <c r="K463" i="2"/>
  <c r="K466" i="2"/>
  <c r="L466" i="2"/>
  <c r="N466" i="2"/>
  <c r="R922" i="2" s="1"/>
  <c r="G425" i="2"/>
  <c r="L424" i="2"/>
  <c r="L425" i="2"/>
  <c r="L426" i="2"/>
  <c r="L427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K461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23" i="2"/>
  <c r="J425" i="2"/>
  <c r="M425" i="2" s="1"/>
  <c r="N425" i="2" s="1"/>
  <c r="R881" i="2" s="1"/>
  <c r="J426" i="2"/>
  <c r="M426" i="2" s="1"/>
  <c r="N426" i="2" s="1"/>
  <c r="R882" i="2" s="1"/>
  <c r="J427" i="2"/>
  <c r="M427" i="2" s="1"/>
  <c r="N427" i="2" s="1"/>
  <c r="R883" i="2" s="1"/>
  <c r="J428" i="2"/>
  <c r="M428" i="2" s="1"/>
  <c r="J429" i="2"/>
  <c r="M429" i="2" s="1"/>
  <c r="N429" i="2" s="1"/>
  <c r="R885" i="2" s="1"/>
  <c r="J430" i="2"/>
  <c r="M430" i="2" s="1"/>
  <c r="N430" i="2" s="1"/>
  <c r="R886" i="2" s="1"/>
  <c r="J431" i="2"/>
  <c r="M431" i="2" s="1"/>
  <c r="N431" i="2" s="1"/>
  <c r="R887" i="2" s="1"/>
  <c r="J432" i="2"/>
  <c r="M432" i="2" s="1"/>
  <c r="N432" i="2" s="1"/>
  <c r="R888" i="2" s="1"/>
  <c r="J433" i="2"/>
  <c r="M433" i="2" s="1"/>
  <c r="N433" i="2" s="1"/>
  <c r="R889" i="2" s="1"/>
  <c r="J434" i="2"/>
  <c r="M434" i="2" s="1"/>
  <c r="N434" i="2" s="1"/>
  <c r="R890" i="2" s="1"/>
  <c r="J435" i="2"/>
  <c r="M435" i="2" s="1"/>
  <c r="N435" i="2" s="1"/>
  <c r="R891" i="2" s="1"/>
  <c r="J436" i="2"/>
  <c r="M436" i="2" s="1"/>
  <c r="N436" i="2" s="1"/>
  <c r="R892" i="2" s="1"/>
  <c r="J437" i="2"/>
  <c r="M437" i="2" s="1"/>
  <c r="N437" i="2" s="1"/>
  <c r="R893" i="2" s="1"/>
  <c r="J438" i="2"/>
  <c r="M438" i="2" s="1"/>
  <c r="N438" i="2" s="1"/>
  <c r="R894" i="2" s="1"/>
  <c r="J439" i="2"/>
  <c r="M439" i="2" s="1"/>
  <c r="N439" i="2" s="1"/>
  <c r="R895" i="2" s="1"/>
  <c r="J440" i="2"/>
  <c r="M440" i="2" s="1"/>
  <c r="N440" i="2" s="1"/>
  <c r="R896" i="2" s="1"/>
  <c r="J441" i="2"/>
  <c r="M441" i="2" s="1"/>
  <c r="N441" i="2" s="1"/>
  <c r="R897" i="2" s="1"/>
  <c r="J442" i="2"/>
  <c r="M442" i="2" s="1"/>
  <c r="N442" i="2" s="1"/>
  <c r="R898" i="2" s="1"/>
  <c r="J443" i="2"/>
  <c r="M443" i="2" s="1"/>
  <c r="N443" i="2" s="1"/>
  <c r="R899" i="2" s="1"/>
  <c r="J444" i="2"/>
  <c r="M444" i="2" s="1"/>
  <c r="N444" i="2" s="1"/>
  <c r="R900" i="2" s="1"/>
  <c r="J445" i="2"/>
  <c r="M445" i="2" s="1"/>
  <c r="N445" i="2" s="1"/>
  <c r="R901" i="2" s="1"/>
  <c r="J446" i="2"/>
  <c r="M446" i="2" s="1"/>
  <c r="N446" i="2" s="1"/>
  <c r="R902" i="2" s="1"/>
  <c r="J447" i="2"/>
  <c r="M447" i="2" s="1"/>
  <c r="J448" i="2"/>
  <c r="M448" i="2" s="1"/>
  <c r="N448" i="2" s="1"/>
  <c r="R904" i="2" s="1"/>
  <c r="J449" i="2"/>
  <c r="M449" i="2" s="1"/>
  <c r="N449" i="2" s="1"/>
  <c r="R905" i="2" s="1"/>
  <c r="J450" i="2"/>
  <c r="M450" i="2" s="1"/>
  <c r="N450" i="2" s="1"/>
  <c r="R906" i="2" s="1"/>
  <c r="J451" i="2"/>
  <c r="M451" i="2" s="1"/>
  <c r="N451" i="2" s="1"/>
  <c r="R907" i="2" s="1"/>
  <c r="J452" i="2"/>
  <c r="M452" i="2" s="1"/>
  <c r="N452" i="2" s="1"/>
  <c r="R908" i="2" s="1"/>
  <c r="J453" i="2"/>
  <c r="M453" i="2" s="1"/>
  <c r="N453" i="2" s="1"/>
  <c r="R909" i="2" s="1"/>
  <c r="J454" i="2"/>
  <c r="M454" i="2" s="1"/>
  <c r="N454" i="2" s="1"/>
  <c r="R910" i="2" s="1"/>
  <c r="J455" i="2"/>
  <c r="M455" i="2" s="1"/>
  <c r="N455" i="2" s="1"/>
  <c r="R911" i="2" s="1"/>
  <c r="J456" i="2"/>
  <c r="M456" i="2" s="1"/>
  <c r="N456" i="2" s="1"/>
  <c r="R912" i="2" s="1"/>
  <c r="J457" i="2"/>
  <c r="M457" i="2" s="1"/>
  <c r="N457" i="2" s="1"/>
  <c r="R913" i="2" s="1"/>
  <c r="J458" i="2"/>
  <c r="M458" i="2" s="1"/>
  <c r="N458" i="2" s="1"/>
  <c r="R914" i="2" s="1"/>
  <c r="J459" i="2"/>
  <c r="M459" i="2" s="1"/>
  <c r="N459" i="2" s="1"/>
  <c r="R915" i="2" s="1"/>
  <c r="J460" i="2"/>
  <c r="M460" i="2" s="1"/>
  <c r="N460" i="2" s="1"/>
  <c r="R916" i="2" s="1"/>
  <c r="J461" i="2"/>
  <c r="M461" i="2" s="1"/>
  <c r="N461" i="2" s="1"/>
  <c r="R917" i="2" s="1"/>
  <c r="J424" i="2"/>
  <c r="M424" i="2" s="1"/>
  <c r="N424" i="2" s="1"/>
  <c r="O424" i="2" l="1"/>
  <c r="R880" i="2"/>
  <c r="O463" i="2"/>
  <c r="P463" i="2"/>
  <c r="O485" i="2"/>
  <c r="P485" i="2"/>
  <c r="O466" i="2"/>
  <c r="P466" i="2"/>
  <c r="P461" i="2"/>
  <c r="O461" i="2"/>
  <c r="P457" i="2"/>
  <c r="O457" i="2"/>
  <c r="P453" i="2"/>
  <c r="O453" i="2"/>
  <c r="P449" i="2"/>
  <c r="O449" i="2"/>
  <c r="P445" i="2"/>
  <c r="O445" i="2"/>
  <c r="P443" i="2"/>
  <c r="O443" i="2"/>
  <c r="P441" i="2"/>
  <c r="O441" i="2"/>
  <c r="P439" i="2"/>
  <c r="O439" i="2"/>
  <c r="P435" i="2"/>
  <c r="O435" i="2"/>
  <c r="P433" i="2"/>
  <c r="O433" i="2"/>
  <c r="P431" i="2"/>
  <c r="O431" i="2"/>
  <c r="P429" i="2"/>
  <c r="O429" i="2"/>
  <c r="P427" i="2"/>
  <c r="O427" i="2"/>
  <c r="P425" i="2"/>
  <c r="O425" i="2"/>
  <c r="E7" i="1"/>
  <c r="O460" i="2"/>
  <c r="P460" i="2"/>
  <c r="O458" i="2"/>
  <c r="P458" i="2"/>
  <c r="O456" i="2"/>
  <c r="P456" i="2"/>
  <c r="O454" i="2"/>
  <c r="P454" i="2"/>
  <c r="O452" i="2"/>
  <c r="P452" i="2"/>
  <c r="O450" i="2"/>
  <c r="P450" i="2"/>
  <c r="O448" i="2"/>
  <c r="P448" i="2"/>
  <c r="O446" i="2"/>
  <c r="P446" i="2"/>
  <c r="O444" i="2"/>
  <c r="P444" i="2"/>
  <c r="O442" i="2"/>
  <c r="P442" i="2"/>
  <c r="O440" i="2"/>
  <c r="P440" i="2"/>
  <c r="O438" i="2"/>
  <c r="P438" i="2"/>
  <c r="O436" i="2"/>
  <c r="P436" i="2"/>
  <c r="O434" i="2"/>
  <c r="P434" i="2"/>
  <c r="O432" i="2"/>
  <c r="P432" i="2"/>
  <c r="O430" i="2"/>
  <c r="P430" i="2"/>
  <c r="O426" i="2"/>
  <c r="P426" i="2"/>
  <c r="P459" i="2"/>
  <c r="O459" i="2"/>
  <c r="P455" i="2"/>
  <c r="O455" i="2"/>
  <c r="P451" i="2"/>
  <c r="O451" i="2"/>
  <c r="P437" i="2"/>
  <c r="O437" i="2"/>
  <c r="G447" i="2"/>
  <c r="G428" i="2"/>
  <c r="K428" i="2" l="1"/>
  <c r="N428" i="2"/>
  <c r="R884" i="2" s="1"/>
  <c r="L428" i="2"/>
  <c r="P424" i="2"/>
  <c r="N447" i="2"/>
  <c r="R903" i="2" s="1"/>
  <c r="L447" i="2"/>
  <c r="K447" i="2"/>
  <c r="O283" i="4"/>
  <c r="P283" i="4" s="1"/>
  <c r="R285" i="4" s="1"/>
  <c r="O282" i="4"/>
  <c r="P282" i="4" s="1"/>
  <c r="E283" i="4"/>
  <c r="F283" i="4" s="1"/>
  <c r="H285" i="4" s="1"/>
  <c r="E282" i="4"/>
  <c r="F282" i="4" s="1"/>
  <c r="O221" i="4"/>
  <c r="P221" i="4" s="1"/>
  <c r="R223" i="4" s="1"/>
  <c r="O220" i="4"/>
  <c r="P220" i="4"/>
  <c r="E221" i="4"/>
  <c r="F221" i="4" s="1"/>
  <c r="H223" i="4" s="1"/>
  <c r="E220" i="4"/>
  <c r="F220" i="4" s="1"/>
  <c r="O159" i="4"/>
  <c r="P159" i="4" s="1"/>
  <c r="R161" i="4" s="1"/>
  <c r="O158" i="4"/>
  <c r="P158" i="4" s="1"/>
  <c r="E159" i="4"/>
  <c r="F159" i="4" s="1"/>
  <c r="H161" i="4" s="1"/>
  <c r="E158" i="4"/>
  <c r="F158" i="4" s="1"/>
  <c r="O98" i="4"/>
  <c r="P98" i="4" s="1"/>
  <c r="R100" i="4" s="1"/>
  <c r="O97" i="4"/>
  <c r="P97" i="4" s="1"/>
  <c r="E98" i="4"/>
  <c r="F98" i="4" s="1"/>
  <c r="H100" i="4" s="1"/>
  <c r="E97" i="4"/>
  <c r="F97" i="4"/>
  <c r="P447" i="2" l="1"/>
  <c r="O447" i="2"/>
  <c r="O428" i="2"/>
  <c r="P428" i="2"/>
  <c r="K388" i="2"/>
  <c r="L388" i="2"/>
  <c r="K389" i="2"/>
  <c r="L389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L423" i="2"/>
  <c r="L386" i="2"/>
  <c r="K386" i="2"/>
  <c r="J387" i="2"/>
  <c r="M387" i="2" s="1"/>
  <c r="J388" i="2"/>
  <c r="M388" i="2" s="1"/>
  <c r="N388" i="2" s="1"/>
  <c r="R844" i="2" s="1"/>
  <c r="J389" i="2"/>
  <c r="M389" i="2" s="1"/>
  <c r="N389" i="2" s="1"/>
  <c r="R845" i="2" s="1"/>
  <c r="J390" i="2"/>
  <c r="M390" i="2" s="1"/>
  <c r="J391" i="2"/>
  <c r="M391" i="2" s="1"/>
  <c r="N391" i="2" s="1"/>
  <c r="R847" i="2" s="1"/>
  <c r="J392" i="2"/>
  <c r="M392" i="2" s="1"/>
  <c r="N392" i="2" s="1"/>
  <c r="R848" i="2" s="1"/>
  <c r="J393" i="2"/>
  <c r="M393" i="2" s="1"/>
  <c r="N393" i="2" s="1"/>
  <c r="R849" i="2" s="1"/>
  <c r="J394" i="2"/>
  <c r="M394" i="2" s="1"/>
  <c r="N394" i="2" s="1"/>
  <c r="R850" i="2" s="1"/>
  <c r="J395" i="2"/>
  <c r="M395" i="2" s="1"/>
  <c r="N395" i="2" s="1"/>
  <c r="R851" i="2" s="1"/>
  <c r="J396" i="2"/>
  <c r="M396" i="2" s="1"/>
  <c r="N396" i="2" s="1"/>
  <c r="R852" i="2" s="1"/>
  <c r="J397" i="2"/>
  <c r="M397" i="2" s="1"/>
  <c r="N397" i="2" s="1"/>
  <c r="R853" i="2" s="1"/>
  <c r="J398" i="2"/>
  <c r="M398" i="2" s="1"/>
  <c r="N398" i="2" s="1"/>
  <c r="R854" i="2" s="1"/>
  <c r="J399" i="2"/>
  <c r="M399" i="2" s="1"/>
  <c r="N399" i="2" s="1"/>
  <c r="R855" i="2" s="1"/>
  <c r="J400" i="2"/>
  <c r="M400" i="2" s="1"/>
  <c r="N400" i="2" s="1"/>
  <c r="R856" i="2" s="1"/>
  <c r="J401" i="2"/>
  <c r="M401" i="2" s="1"/>
  <c r="N401" i="2" s="1"/>
  <c r="R857" i="2" s="1"/>
  <c r="J402" i="2"/>
  <c r="M402" i="2" s="1"/>
  <c r="N402" i="2" s="1"/>
  <c r="R858" i="2" s="1"/>
  <c r="J403" i="2"/>
  <c r="M403" i="2" s="1"/>
  <c r="N403" i="2" s="1"/>
  <c r="R859" i="2" s="1"/>
  <c r="J404" i="2"/>
  <c r="M404" i="2" s="1"/>
  <c r="N404" i="2" s="1"/>
  <c r="R860" i="2" s="1"/>
  <c r="J405" i="2"/>
  <c r="M405" i="2" s="1"/>
  <c r="N405" i="2" s="1"/>
  <c r="R861" i="2" s="1"/>
  <c r="J406" i="2"/>
  <c r="M406" i="2" s="1"/>
  <c r="N406" i="2" s="1"/>
  <c r="R862" i="2" s="1"/>
  <c r="J407" i="2"/>
  <c r="M407" i="2" s="1"/>
  <c r="N407" i="2" s="1"/>
  <c r="R863" i="2" s="1"/>
  <c r="J408" i="2"/>
  <c r="M408" i="2" s="1"/>
  <c r="N408" i="2" s="1"/>
  <c r="R864" i="2" s="1"/>
  <c r="J409" i="2"/>
  <c r="M409" i="2" s="1"/>
  <c r="J410" i="2"/>
  <c r="M410" i="2" s="1"/>
  <c r="N410" i="2" s="1"/>
  <c r="R866" i="2" s="1"/>
  <c r="J411" i="2"/>
  <c r="M411" i="2" s="1"/>
  <c r="N411" i="2" s="1"/>
  <c r="R867" i="2" s="1"/>
  <c r="J412" i="2"/>
  <c r="M412" i="2" s="1"/>
  <c r="N412" i="2" s="1"/>
  <c r="R868" i="2" s="1"/>
  <c r="J413" i="2"/>
  <c r="M413" i="2" s="1"/>
  <c r="N413" i="2" s="1"/>
  <c r="R869" i="2" s="1"/>
  <c r="J414" i="2"/>
  <c r="M414" i="2" s="1"/>
  <c r="N414" i="2" s="1"/>
  <c r="R870" i="2" s="1"/>
  <c r="J415" i="2"/>
  <c r="M415" i="2" s="1"/>
  <c r="N415" i="2" s="1"/>
  <c r="R871" i="2" s="1"/>
  <c r="J416" i="2"/>
  <c r="M416" i="2" s="1"/>
  <c r="N416" i="2" s="1"/>
  <c r="R872" i="2" s="1"/>
  <c r="J417" i="2"/>
  <c r="M417" i="2" s="1"/>
  <c r="N417" i="2" s="1"/>
  <c r="R873" i="2" s="1"/>
  <c r="J418" i="2"/>
  <c r="M418" i="2" s="1"/>
  <c r="N418" i="2" s="1"/>
  <c r="R874" i="2" s="1"/>
  <c r="J419" i="2"/>
  <c r="M419" i="2" s="1"/>
  <c r="N419" i="2" s="1"/>
  <c r="R875" i="2" s="1"/>
  <c r="J420" i="2"/>
  <c r="M420" i="2" s="1"/>
  <c r="N420" i="2" s="1"/>
  <c r="R876" i="2" s="1"/>
  <c r="J421" i="2"/>
  <c r="M421" i="2" s="1"/>
  <c r="N421" i="2" s="1"/>
  <c r="R877" i="2" s="1"/>
  <c r="J422" i="2"/>
  <c r="M422" i="2" s="1"/>
  <c r="N422" i="2" s="1"/>
  <c r="R878" i="2" s="1"/>
  <c r="J423" i="2"/>
  <c r="M423" i="2" s="1"/>
  <c r="N423" i="2" s="1"/>
  <c r="R879" i="2" s="1"/>
  <c r="J386" i="2"/>
  <c r="M386" i="2" s="1"/>
  <c r="N386" i="2" s="1"/>
  <c r="R842" i="2" s="1"/>
  <c r="O423" i="2" l="1"/>
  <c r="S499" i="2" s="1"/>
  <c r="P423" i="2"/>
  <c r="O422" i="2"/>
  <c r="S498" i="2" s="1"/>
  <c r="P422" i="2"/>
  <c r="O418" i="2"/>
  <c r="S494" i="2" s="1"/>
  <c r="P418" i="2"/>
  <c r="O421" i="2"/>
  <c r="S497" i="2" s="1"/>
  <c r="P421" i="2"/>
  <c r="O419" i="2"/>
  <c r="S495" i="2" s="1"/>
  <c r="P419" i="2"/>
  <c r="O417" i="2"/>
  <c r="S493" i="2" s="1"/>
  <c r="P417" i="2"/>
  <c r="O415" i="2"/>
  <c r="S491" i="2" s="1"/>
  <c r="P415" i="2"/>
  <c r="O413" i="2"/>
  <c r="S489" i="2" s="1"/>
  <c r="P413" i="2"/>
  <c r="O411" i="2"/>
  <c r="S487" i="2" s="1"/>
  <c r="P411" i="2"/>
  <c r="O407" i="2"/>
  <c r="S483" i="2" s="1"/>
  <c r="P407" i="2"/>
  <c r="O405" i="2"/>
  <c r="S481" i="2" s="1"/>
  <c r="P405" i="2"/>
  <c r="O403" i="2"/>
  <c r="S479" i="2" s="1"/>
  <c r="P403" i="2"/>
  <c r="O401" i="2"/>
  <c r="S477" i="2" s="1"/>
  <c r="P401" i="2"/>
  <c r="O399" i="2"/>
  <c r="S475" i="2" s="1"/>
  <c r="P399" i="2"/>
  <c r="O397" i="2"/>
  <c r="S473" i="2" s="1"/>
  <c r="P397" i="2"/>
  <c r="O395" i="2"/>
  <c r="S471" i="2" s="1"/>
  <c r="P395" i="2"/>
  <c r="O393" i="2"/>
  <c r="S469" i="2" s="1"/>
  <c r="P393" i="2"/>
  <c r="O391" i="2"/>
  <c r="S467" i="2" s="1"/>
  <c r="P391" i="2"/>
  <c r="O389" i="2"/>
  <c r="S465" i="2" s="1"/>
  <c r="P389" i="2"/>
  <c r="O420" i="2"/>
  <c r="S496" i="2" s="1"/>
  <c r="P420" i="2"/>
  <c r="O416" i="2"/>
  <c r="S492" i="2" s="1"/>
  <c r="P416" i="2"/>
  <c r="O414" i="2"/>
  <c r="S490" i="2" s="1"/>
  <c r="P414" i="2"/>
  <c r="O412" i="2"/>
  <c r="S488" i="2" s="1"/>
  <c r="P412" i="2"/>
  <c r="O410" i="2"/>
  <c r="S486" i="2" s="1"/>
  <c r="P410" i="2"/>
  <c r="O408" i="2"/>
  <c r="S484" i="2" s="1"/>
  <c r="P408" i="2"/>
  <c r="O406" i="2"/>
  <c r="S482" i="2" s="1"/>
  <c r="P406" i="2"/>
  <c r="O404" i="2"/>
  <c r="S480" i="2" s="1"/>
  <c r="P404" i="2"/>
  <c r="O402" i="2"/>
  <c r="S478" i="2" s="1"/>
  <c r="P402" i="2"/>
  <c r="O400" i="2"/>
  <c r="S476" i="2" s="1"/>
  <c r="P400" i="2"/>
  <c r="O398" i="2"/>
  <c r="S474" i="2" s="1"/>
  <c r="P398" i="2"/>
  <c r="O396" i="2"/>
  <c r="S472" i="2" s="1"/>
  <c r="P396" i="2"/>
  <c r="O394" i="2"/>
  <c r="S470" i="2" s="1"/>
  <c r="P394" i="2"/>
  <c r="O392" i="2"/>
  <c r="S468" i="2" s="1"/>
  <c r="P392" i="2"/>
  <c r="O388" i="2"/>
  <c r="S464" i="2" s="1"/>
  <c r="P388" i="2"/>
  <c r="O386" i="2"/>
  <c r="S462" i="2" s="1"/>
  <c r="P386" i="2"/>
  <c r="T586" i="2" l="1"/>
  <c r="T595" i="2"/>
  <c r="T592" i="2"/>
  <c r="T600" i="2"/>
  <c r="T585" i="2"/>
  <c r="T593" i="2"/>
  <c r="T603" i="2"/>
  <c r="T594" i="2"/>
  <c r="T587" i="2"/>
  <c r="T605" i="2"/>
  <c r="T578" i="2"/>
  <c r="T596" i="2"/>
  <c r="T604" i="2"/>
  <c r="T581" i="2"/>
  <c r="T589" i="2"/>
  <c r="T597" i="2"/>
  <c r="T607" i="2"/>
  <c r="T612" i="2"/>
  <c r="T576" i="2"/>
  <c r="T579" i="2"/>
  <c r="T608" i="2"/>
  <c r="T588" i="2"/>
  <c r="T582" i="2"/>
  <c r="T590" i="2"/>
  <c r="T598" i="2"/>
  <c r="T606" i="2"/>
  <c r="T583" i="2"/>
  <c r="T591" i="2"/>
  <c r="T601" i="2"/>
  <c r="T609" i="2"/>
  <c r="T613" i="2"/>
  <c r="T602" i="2"/>
  <c r="T584" i="2"/>
  <c r="T610" i="2"/>
  <c r="T611" i="2"/>
  <c r="G409" i="2"/>
  <c r="G390" i="2"/>
  <c r="G387" i="2"/>
  <c r="L387" i="2" l="1"/>
  <c r="K387" i="2"/>
  <c r="N387" i="2"/>
  <c r="R843" i="2" s="1"/>
  <c r="L409" i="2"/>
  <c r="K409" i="2"/>
  <c r="N409" i="2"/>
  <c r="R865" i="2" s="1"/>
  <c r="L390" i="2"/>
  <c r="K390" i="2"/>
  <c r="N390" i="2"/>
  <c r="R846" i="2" s="1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48" i="2"/>
  <c r="O390" i="2" l="1"/>
  <c r="S466" i="2" s="1"/>
  <c r="P390" i="2"/>
  <c r="O387" i="2"/>
  <c r="S463" i="2" s="1"/>
  <c r="P387" i="2"/>
  <c r="O409" i="2"/>
  <c r="S485" i="2" s="1"/>
  <c r="P409" i="2"/>
  <c r="K348" i="2"/>
  <c r="L348" i="2"/>
  <c r="M348" i="2"/>
  <c r="N348" i="2" s="1"/>
  <c r="R804" i="2" s="1"/>
  <c r="K349" i="2"/>
  <c r="L349" i="2"/>
  <c r="M349" i="2"/>
  <c r="N349" i="2" s="1"/>
  <c r="R805" i="2" s="1"/>
  <c r="K350" i="2"/>
  <c r="L350" i="2"/>
  <c r="M350" i="2"/>
  <c r="N350" i="2" s="1"/>
  <c r="K351" i="2"/>
  <c r="L351" i="2"/>
  <c r="M351" i="2"/>
  <c r="N351" i="2" s="1"/>
  <c r="R807" i="2" s="1"/>
  <c r="K352" i="2"/>
  <c r="L352" i="2"/>
  <c r="M352" i="2"/>
  <c r="N352" i="2" s="1"/>
  <c r="K353" i="2"/>
  <c r="L353" i="2"/>
  <c r="M353" i="2"/>
  <c r="N353" i="2" s="1"/>
  <c r="R809" i="2" s="1"/>
  <c r="K354" i="2"/>
  <c r="L354" i="2"/>
  <c r="M354" i="2"/>
  <c r="N354" i="2" s="1"/>
  <c r="K355" i="2"/>
  <c r="L355" i="2"/>
  <c r="M355" i="2"/>
  <c r="N355" i="2" s="1"/>
  <c r="R811" i="2" s="1"/>
  <c r="K356" i="2"/>
  <c r="L356" i="2"/>
  <c r="M356" i="2"/>
  <c r="N356" i="2" s="1"/>
  <c r="K357" i="2"/>
  <c r="L357" i="2"/>
  <c r="M357" i="2"/>
  <c r="N357" i="2" s="1"/>
  <c r="R813" i="2" s="1"/>
  <c r="K358" i="2"/>
  <c r="L358" i="2"/>
  <c r="M358" i="2"/>
  <c r="N358" i="2" s="1"/>
  <c r="K359" i="2"/>
  <c r="L359" i="2"/>
  <c r="M359" i="2"/>
  <c r="N359" i="2" s="1"/>
  <c r="R815" i="2" s="1"/>
  <c r="K360" i="2"/>
  <c r="L360" i="2"/>
  <c r="M360" i="2"/>
  <c r="N360" i="2" s="1"/>
  <c r="K361" i="2"/>
  <c r="L361" i="2"/>
  <c r="M361" i="2"/>
  <c r="N361" i="2" s="1"/>
  <c r="R817" i="2" s="1"/>
  <c r="K362" i="2"/>
  <c r="L362" i="2"/>
  <c r="M362" i="2"/>
  <c r="N362" i="2" s="1"/>
  <c r="K363" i="2"/>
  <c r="L363" i="2"/>
  <c r="M363" i="2"/>
  <c r="N363" i="2" s="1"/>
  <c r="R819" i="2" s="1"/>
  <c r="K364" i="2"/>
  <c r="L364" i="2"/>
  <c r="M364" i="2"/>
  <c r="N364" i="2" s="1"/>
  <c r="K365" i="2"/>
  <c r="L365" i="2"/>
  <c r="M365" i="2"/>
  <c r="N365" i="2" s="1"/>
  <c r="R821" i="2" s="1"/>
  <c r="K366" i="2"/>
  <c r="L366" i="2"/>
  <c r="M366" i="2"/>
  <c r="N366" i="2" s="1"/>
  <c r="K367" i="2"/>
  <c r="L367" i="2"/>
  <c r="M367" i="2"/>
  <c r="N367" i="2" s="1"/>
  <c r="R823" i="2" s="1"/>
  <c r="K368" i="2"/>
  <c r="L368" i="2"/>
  <c r="M368" i="2"/>
  <c r="N368" i="2" s="1"/>
  <c r="K369" i="2"/>
  <c r="L369" i="2"/>
  <c r="M369" i="2"/>
  <c r="N369" i="2" s="1"/>
  <c r="K370" i="2"/>
  <c r="L370" i="2"/>
  <c r="M370" i="2"/>
  <c r="N370" i="2" s="1"/>
  <c r="R826" i="2" s="1"/>
  <c r="K371" i="2"/>
  <c r="L371" i="2"/>
  <c r="M371" i="2"/>
  <c r="N371" i="2" s="1"/>
  <c r="K372" i="2"/>
  <c r="L372" i="2"/>
  <c r="M372" i="2"/>
  <c r="N372" i="2" s="1"/>
  <c r="K373" i="2"/>
  <c r="L373" i="2"/>
  <c r="M373" i="2"/>
  <c r="N373" i="2" s="1"/>
  <c r="R829" i="2" s="1"/>
  <c r="K374" i="2"/>
  <c r="L374" i="2"/>
  <c r="M374" i="2"/>
  <c r="N374" i="2" s="1"/>
  <c r="K375" i="2"/>
  <c r="L375" i="2"/>
  <c r="M375" i="2"/>
  <c r="N375" i="2" s="1"/>
  <c r="R831" i="2" s="1"/>
  <c r="K376" i="2"/>
  <c r="L376" i="2"/>
  <c r="M376" i="2"/>
  <c r="N376" i="2" s="1"/>
  <c r="K377" i="2"/>
  <c r="L377" i="2"/>
  <c r="M377" i="2"/>
  <c r="N377" i="2" s="1"/>
  <c r="R833" i="2" s="1"/>
  <c r="K378" i="2"/>
  <c r="L378" i="2"/>
  <c r="M378" i="2"/>
  <c r="N378" i="2" s="1"/>
  <c r="K379" i="2"/>
  <c r="L379" i="2"/>
  <c r="M379" i="2"/>
  <c r="N379" i="2" s="1"/>
  <c r="R835" i="2" s="1"/>
  <c r="K380" i="2"/>
  <c r="L380" i="2"/>
  <c r="M380" i="2"/>
  <c r="N380" i="2" s="1"/>
  <c r="K381" i="2"/>
  <c r="L381" i="2"/>
  <c r="M381" i="2"/>
  <c r="N381" i="2" s="1"/>
  <c r="R837" i="2" s="1"/>
  <c r="K382" i="2"/>
  <c r="L382" i="2"/>
  <c r="M382" i="2"/>
  <c r="N382" i="2" s="1"/>
  <c r="K383" i="2"/>
  <c r="L383" i="2"/>
  <c r="M383" i="2"/>
  <c r="N383" i="2" s="1"/>
  <c r="R839" i="2" s="1"/>
  <c r="K384" i="2"/>
  <c r="L384" i="2"/>
  <c r="M384" i="2"/>
  <c r="N384" i="2" s="1"/>
  <c r="K385" i="2"/>
  <c r="L385" i="2"/>
  <c r="M385" i="2"/>
  <c r="N385" i="2" s="1"/>
  <c r="R841" i="2" s="1"/>
  <c r="O356" i="2" l="1"/>
  <c r="R812" i="2"/>
  <c r="O376" i="2"/>
  <c r="R832" i="2"/>
  <c r="O378" i="2"/>
  <c r="R834" i="2"/>
  <c r="O362" i="2"/>
  <c r="R818" i="2"/>
  <c r="O371" i="2"/>
  <c r="R827" i="2"/>
  <c r="O380" i="2"/>
  <c r="R836" i="2"/>
  <c r="O372" i="2"/>
  <c r="R828" i="2"/>
  <c r="O364" i="2"/>
  <c r="R820" i="2"/>
  <c r="O354" i="2"/>
  <c r="R810" i="2"/>
  <c r="O384" i="2"/>
  <c r="R840" i="2"/>
  <c r="O350" i="2"/>
  <c r="R806" i="2"/>
  <c r="O360" i="2"/>
  <c r="R816" i="2"/>
  <c r="O369" i="2"/>
  <c r="R825" i="2"/>
  <c r="O358" i="2"/>
  <c r="R814" i="2"/>
  <c r="O368" i="2"/>
  <c r="R824" i="2"/>
  <c r="O352" i="2"/>
  <c r="R808" i="2"/>
  <c r="O382" i="2"/>
  <c r="R838" i="2"/>
  <c r="O374" i="2"/>
  <c r="R830" i="2"/>
  <c r="O366" i="2"/>
  <c r="R822" i="2"/>
  <c r="T599" i="2"/>
  <c r="T577" i="2"/>
  <c r="T580" i="2"/>
  <c r="O375" i="2"/>
  <c r="P375" i="2"/>
  <c r="O385" i="2"/>
  <c r="P385" i="2"/>
  <c r="O381" i="2"/>
  <c r="P381" i="2"/>
  <c r="O377" i="2"/>
  <c r="P377" i="2"/>
  <c r="O373" i="2"/>
  <c r="P373" i="2"/>
  <c r="O370" i="2"/>
  <c r="P370" i="2"/>
  <c r="O365" i="2"/>
  <c r="P365" i="2"/>
  <c r="O361" i="2"/>
  <c r="P361" i="2"/>
  <c r="O357" i="2"/>
  <c r="P357" i="2"/>
  <c r="O353" i="2"/>
  <c r="P353" i="2"/>
  <c r="O349" i="2"/>
  <c r="P349" i="2"/>
  <c r="O383" i="2"/>
  <c r="P383" i="2"/>
  <c r="O379" i="2"/>
  <c r="P379" i="2"/>
  <c r="O367" i="2"/>
  <c r="P367" i="2"/>
  <c r="O363" i="2"/>
  <c r="P363" i="2"/>
  <c r="O359" i="2"/>
  <c r="P359" i="2"/>
  <c r="O355" i="2"/>
  <c r="P355" i="2"/>
  <c r="O351" i="2"/>
  <c r="P351" i="2"/>
  <c r="P384" i="2"/>
  <c r="P382" i="2"/>
  <c r="P380" i="2"/>
  <c r="P378" i="2"/>
  <c r="P376" i="2"/>
  <c r="P374" i="2"/>
  <c r="P371" i="2"/>
  <c r="P369" i="2"/>
  <c r="P366" i="2"/>
  <c r="P364" i="2"/>
  <c r="P362" i="2"/>
  <c r="P360" i="2"/>
  <c r="P358" i="2"/>
  <c r="P356" i="2"/>
  <c r="P354" i="2"/>
  <c r="P352" i="2"/>
  <c r="P350" i="2"/>
  <c r="O348" i="2"/>
  <c r="P348" i="2"/>
  <c r="P372" i="2"/>
  <c r="P368" i="2"/>
  <c r="O96" i="4" l="1"/>
  <c r="P96" i="4" s="1"/>
  <c r="O95" i="4"/>
  <c r="P95" i="4" s="1"/>
  <c r="O94" i="4"/>
  <c r="P94" i="4"/>
  <c r="O93" i="4"/>
  <c r="P93" i="4" s="1"/>
  <c r="O92" i="4"/>
  <c r="P92" i="4"/>
  <c r="H94" i="4"/>
  <c r="I94" i="4" s="1"/>
  <c r="E96" i="4"/>
  <c r="F96" i="4" s="1"/>
  <c r="E95" i="4"/>
  <c r="F95" i="4" s="1"/>
  <c r="H97" i="4" s="1"/>
  <c r="E94" i="4"/>
  <c r="F94" i="4" s="1"/>
  <c r="E93" i="4"/>
  <c r="F93" i="4" s="1"/>
  <c r="E92" i="4"/>
  <c r="F92" i="4"/>
  <c r="O157" i="4"/>
  <c r="P157" i="4" s="1"/>
  <c r="O156" i="4"/>
  <c r="P156" i="4" s="1"/>
  <c r="R158" i="4" s="1"/>
  <c r="S158" i="4" s="1"/>
  <c r="E157" i="4"/>
  <c r="F157" i="4" s="1"/>
  <c r="E156" i="4"/>
  <c r="F156" i="4" s="1"/>
  <c r="H158" i="4" s="1"/>
  <c r="O219" i="4"/>
  <c r="P219" i="4" s="1"/>
  <c r="O218" i="4"/>
  <c r="P218" i="4" s="1"/>
  <c r="R220" i="4" s="1"/>
  <c r="S220" i="4" s="1"/>
  <c r="E219" i="4"/>
  <c r="F219" i="4" s="1"/>
  <c r="E218" i="4"/>
  <c r="F218" i="4"/>
  <c r="H220" i="4" s="1"/>
  <c r="I220" i="4" s="1"/>
  <c r="O281" i="4"/>
  <c r="P281" i="4" s="1"/>
  <c r="O280" i="4"/>
  <c r="P280" i="4" s="1"/>
  <c r="R282" i="4" s="1"/>
  <c r="S282" i="4" s="1"/>
  <c r="O279" i="4"/>
  <c r="P279" i="4" s="1"/>
  <c r="O278" i="4"/>
  <c r="P278" i="4" s="1"/>
  <c r="O277" i="4"/>
  <c r="P277" i="4" s="1"/>
  <c r="R279" i="4" s="1"/>
  <c r="S279" i="4" s="1"/>
  <c r="E281" i="4"/>
  <c r="F281" i="4" s="1"/>
  <c r="E280" i="4"/>
  <c r="F280" i="4"/>
  <c r="H282" i="4" s="1"/>
  <c r="E279" i="4"/>
  <c r="F279" i="4" s="1"/>
  <c r="E278" i="4"/>
  <c r="F278" i="4" s="1"/>
  <c r="E277" i="4"/>
  <c r="F277" i="4" s="1"/>
  <c r="H279" i="4" s="1"/>
  <c r="I279" i="4" s="1"/>
  <c r="R217" i="4"/>
  <c r="S217" i="4" s="1"/>
  <c r="O217" i="4"/>
  <c r="P217" i="4" s="1"/>
  <c r="O216" i="4"/>
  <c r="P216" i="4" s="1"/>
  <c r="O215" i="4"/>
  <c r="P215" i="4"/>
  <c r="E217" i="4"/>
  <c r="F217" i="4" s="1"/>
  <c r="E216" i="4"/>
  <c r="F216" i="4" s="1"/>
  <c r="E215" i="4"/>
  <c r="F215" i="4" s="1"/>
  <c r="H217" i="4" s="1"/>
  <c r="I217" i="4" s="1"/>
  <c r="O155" i="4"/>
  <c r="P155" i="4" s="1"/>
  <c r="O154" i="4"/>
  <c r="P154" i="4" s="1"/>
  <c r="O153" i="4"/>
  <c r="P153" i="4"/>
  <c r="R155" i="4" s="1"/>
  <c r="S155" i="4" s="1"/>
  <c r="F251" i="4"/>
  <c r="F189" i="4"/>
  <c r="F66" i="4"/>
  <c r="F127" i="4"/>
  <c r="E155" i="4"/>
  <c r="F155" i="4" s="1"/>
  <c r="E154" i="4"/>
  <c r="F154" i="4" s="1"/>
  <c r="E153" i="4"/>
  <c r="F153" i="4" s="1"/>
  <c r="H155" i="4" s="1"/>
  <c r="I155" i="4" s="1"/>
  <c r="I282" i="4" l="1"/>
  <c r="I158" i="4"/>
  <c r="I97" i="4"/>
  <c r="I285" i="4"/>
  <c r="I161" i="4"/>
  <c r="S223" i="4"/>
  <c r="S161" i="4"/>
  <c r="I223" i="4"/>
  <c r="S285" i="4"/>
  <c r="S100" i="4"/>
  <c r="I100" i="4"/>
  <c r="R97" i="4"/>
  <c r="S97" i="4" s="1"/>
  <c r="R94" i="4"/>
  <c r="S94" i="4" s="1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J311" i="2"/>
  <c r="M311" i="2" s="1"/>
  <c r="N311" i="2" s="1"/>
  <c r="R767" i="2" s="1"/>
  <c r="J312" i="2"/>
  <c r="M312" i="2" s="1"/>
  <c r="N312" i="2" s="1"/>
  <c r="R768" i="2" s="1"/>
  <c r="J313" i="2"/>
  <c r="M313" i="2" s="1"/>
  <c r="N313" i="2" s="1"/>
  <c r="R769" i="2" s="1"/>
  <c r="J314" i="2"/>
  <c r="M314" i="2" s="1"/>
  <c r="N314" i="2" s="1"/>
  <c r="R770" i="2" s="1"/>
  <c r="J315" i="2"/>
  <c r="M315" i="2" s="1"/>
  <c r="N315" i="2" s="1"/>
  <c r="R771" i="2" s="1"/>
  <c r="J316" i="2"/>
  <c r="M316" i="2" s="1"/>
  <c r="N316" i="2" s="1"/>
  <c r="R772" i="2" s="1"/>
  <c r="J317" i="2"/>
  <c r="M317" i="2" s="1"/>
  <c r="N317" i="2" s="1"/>
  <c r="R773" i="2" s="1"/>
  <c r="J318" i="2"/>
  <c r="M318" i="2" s="1"/>
  <c r="N318" i="2" s="1"/>
  <c r="R774" i="2" s="1"/>
  <c r="J319" i="2"/>
  <c r="M319" i="2" s="1"/>
  <c r="N319" i="2" s="1"/>
  <c r="R775" i="2" s="1"/>
  <c r="J320" i="2"/>
  <c r="M320" i="2" s="1"/>
  <c r="N320" i="2" s="1"/>
  <c r="R776" i="2" s="1"/>
  <c r="J321" i="2"/>
  <c r="M321" i="2" s="1"/>
  <c r="N321" i="2" s="1"/>
  <c r="R777" i="2" s="1"/>
  <c r="J322" i="2"/>
  <c r="M322" i="2" s="1"/>
  <c r="N322" i="2" s="1"/>
  <c r="R778" i="2" s="1"/>
  <c r="J323" i="2"/>
  <c r="M323" i="2" s="1"/>
  <c r="N323" i="2" s="1"/>
  <c r="R779" i="2" s="1"/>
  <c r="J324" i="2"/>
  <c r="M324" i="2" s="1"/>
  <c r="N324" i="2" s="1"/>
  <c r="R780" i="2" s="1"/>
  <c r="J325" i="2"/>
  <c r="M325" i="2" s="1"/>
  <c r="N325" i="2" s="1"/>
  <c r="R781" i="2" s="1"/>
  <c r="J326" i="2"/>
  <c r="M326" i="2" s="1"/>
  <c r="N326" i="2" s="1"/>
  <c r="R782" i="2" s="1"/>
  <c r="J327" i="2"/>
  <c r="M327" i="2" s="1"/>
  <c r="N327" i="2" s="1"/>
  <c r="R783" i="2" s="1"/>
  <c r="J328" i="2"/>
  <c r="M328" i="2" s="1"/>
  <c r="N328" i="2" s="1"/>
  <c r="R784" i="2" s="1"/>
  <c r="J329" i="2"/>
  <c r="M329" i="2" s="1"/>
  <c r="N329" i="2" s="1"/>
  <c r="R785" i="2" s="1"/>
  <c r="J330" i="2"/>
  <c r="M330" i="2" s="1"/>
  <c r="N330" i="2" s="1"/>
  <c r="R786" i="2" s="1"/>
  <c r="J331" i="2"/>
  <c r="M331" i="2" s="1"/>
  <c r="N331" i="2" s="1"/>
  <c r="R787" i="2" s="1"/>
  <c r="J332" i="2"/>
  <c r="M332" i="2" s="1"/>
  <c r="N332" i="2" s="1"/>
  <c r="R788" i="2" s="1"/>
  <c r="J333" i="2"/>
  <c r="M333" i="2" s="1"/>
  <c r="N333" i="2" s="1"/>
  <c r="R789" i="2" s="1"/>
  <c r="J334" i="2"/>
  <c r="M334" i="2" s="1"/>
  <c r="N334" i="2" s="1"/>
  <c r="R790" i="2" s="1"/>
  <c r="J335" i="2"/>
  <c r="M335" i="2" s="1"/>
  <c r="N335" i="2" s="1"/>
  <c r="R791" i="2" s="1"/>
  <c r="J336" i="2"/>
  <c r="M336" i="2" s="1"/>
  <c r="N336" i="2" s="1"/>
  <c r="R792" i="2" s="1"/>
  <c r="J337" i="2"/>
  <c r="M337" i="2" s="1"/>
  <c r="N337" i="2" s="1"/>
  <c r="R793" i="2" s="1"/>
  <c r="J338" i="2"/>
  <c r="M338" i="2" s="1"/>
  <c r="N338" i="2" s="1"/>
  <c r="R794" i="2" s="1"/>
  <c r="J339" i="2"/>
  <c r="M339" i="2" s="1"/>
  <c r="N339" i="2" s="1"/>
  <c r="R795" i="2" s="1"/>
  <c r="J340" i="2"/>
  <c r="M340" i="2" s="1"/>
  <c r="N340" i="2" s="1"/>
  <c r="R796" i="2" s="1"/>
  <c r="J341" i="2"/>
  <c r="M341" i="2" s="1"/>
  <c r="N341" i="2" s="1"/>
  <c r="R797" i="2" s="1"/>
  <c r="J342" i="2"/>
  <c r="M342" i="2" s="1"/>
  <c r="N342" i="2" s="1"/>
  <c r="R798" i="2" s="1"/>
  <c r="J343" i="2"/>
  <c r="M343" i="2" s="1"/>
  <c r="N343" i="2" s="1"/>
  <c r="R799" i="2" s="1"/>
  <c r="J344" i="2"/>
  <c r="M344" i="2" s="1"/>
  <c r="N344" i="2" s="1"/>
  <c r="R800" i="2" s="1"/>
  <c r="J345" i="2"/>
  <c r="M345" i="2" s="1"/>
  <c r="N345" i="2" s="1"/>
  <c r="R801" i="2" s="1"/>
  <c r="J346" i="2"/>
  <c r="M346" i="2" s="1"/>
  <c r="N346" i="2" s="1"/>
  <c r="R802" i="2" s="1"/>
  <c r="J347" i="2"/>
  <c r="M347" i="2" s="1"/>
  <c r="N347" i="2" s="1"/>
  <c r="R803" i="2" s="1"/>
  <c r="J310" i="2"/>
  <c r="M310" i="2" s="1"/>
  <c r="N310" i="2" s="1"/>
  <c r="R766" i="2" s="1"/>
  <c r="O346" i="2" l="1"/>
  <c r="P346" i="2"/>
  <c r="O344" i="2"/>
  <c r="P344" i="2"/>
  <c r="O342" i="2"/>
  <c r="P342" i="2"/>
  <c r="O340" i="2"/>
  <c r="P340" i="2"/>
  <c r="O338" i="2"/>
  <c r="P338" i="2"/>
  <c r="O336" i="2"/>
  <c r="P336" i="2"/>
  <c r="O334" i="2"/>
  <c r="P334" i="2"/>
  <c r="O332" i="2"/>
  <c r="P332" i="2"/>
  <c r="O330" i="2"/>
  <c r="P330" i="2"/>
  <c r="O347" i="2"/>
  <c r="P347" i="2"/>
  <c r="O345" i="2"/>
  <c r="P345" i="2"/>
  <c r="O343" i="2"/>
  <c r="P343" i="2"/>
  <c r="O341" i="2"/>
  <c r="P341" i="2"/>
  <c r="O339" i="2"/>
  <c r="P339" i="2"/>
  <c r="O337" i="2"/>
  <c r="P337" i="2"/>
  <c r="O335" i="2"/>
  <c r="P335" i="2"/>
  <c r="O333" i="2"/>
  <c r="P333" i="2"/>
  <c r="O331" i="2"/>
  <c r="P331" i="2"/>
  <c r="O329" i="2"/>
  <c r="P329" i="2"/>
  <c r="O327" i="2"/>
  <c r="P327" i="2"/>
  <c r="O325" i="2"/>
  <c r="P325" i="2"/>
  <c r="O323" i="2"/>
  <c r="P323" i="2"/>
  <c r="O321" i="2"/>
  <c r="P321" i="2"/>
  <c r="O319" i="2"/>
  <c r="P319" i="2"/>
  <c r="O317" i="2"/>
  <c r="P317" i="2"/>
  <c r="O315" i="2"/>
  <c r="P315" i="2"/>
  <c r="O313" i="2"/>
  <c r="P313" i="2"/>
  <c r="O311" i="2"/>
  <c r="P311" i="2"/>
  <c r="O328" i="2"/>
  <c r="P328" i="2"/>
  <c r="O326" i="2"/>
  <c r="P326" i="2"/>
  <c r="O324" i="2"/>
  <c r="P324" i="2"/>
  <c r="O322" i="2"/>
  <c r="P322" i="2"/>
  <c r="O320" i="2"/>
  <c r="P320" i="2"/>
  <c r="O318" i="2"/>
  <c r="P318" i="2"/>
  <c r="O316" i="2"/>
  <c r="P316" i="2"/>
  <c r="O314" i="2"/>
  <c r="P314" i="2"/>
  <c r="O312" i="2"/>
  <c r="P312" i="2"/>
  <c r="O310" i="2"/>
  <c r="P310" i="2"/>
  <c r="L280" i="2"/>
  <c r="L281" i="2"/>
  <c r="L282" i="2"/>
  <c r="L283" i="2"/>
  <c r="L284" i="2"/>
  <c r="L285" i="2"/>
  <c r="L279" i="2"/>
  <c r="K272" i="2"/>
  <c r="L272" i="2"/>
  <c r="K274" i="2"/>
  <c r="L274" i="2"/>
  <c r="K275" i="2"/>
  <c r="L275" i="2"/>
  <c r="K277" i="2"/>
  <c r="L277" i="2"/>
  <c r="K278" i="2"/>
  <c r="L278" i="2"/>
  <c r="K279" i="2"/>
  <c r="K280" i="2"/>
  <c r="K281" i="2"/>
  <c r="K282" i="2"/>
  <c r="K283" i="2"/>
  <c r="K284" i="2"/>
  <c r="K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L13" i="2"/>
  <c r="L14" i="2"/>
  <c r="L15" i="2"/>
  <c r="L16" i="2"/>
  <c r="L17" i="2"/>
  <c r="L18" i="2"/>
  <c r="L19" i="2"/>
  <c r="J273" i="2"/>
  <c r="M273" i="2" s="1"/>
  <c r="J274" i="2"/>
  <c r="M274" i="2" s="1"/>
  <c r="N274" i="2" s="1"/>
  <c r="R730" i="2" s="1"/>
  <c r="J275" i="2"/>
  <c r="M275" i="2" s="1"/>
  <c r="N275" i="2" s="1"/>
  <c r="R731" i="2" s="1"/>
  <c r="J276" i="2"/>
  <c r="M276" i="2" s="1"/>
  <c r="J277" i="2"/>
  <c r="M277" i="2" s="1"/>
  <c r="N277" i="2" s="1"/>
  <c r="R733" i="2" s="1"/>
  <c r="J278" i="2"/>
  <c r="M278" i="2" s="1"/>
  <c r="N278" i="2" s="1"/>
  <c r="R734" i="2" s="1"/>
  <c r="J279" i="2"/>
  <c r="M279" i="2" s="1"/>
  <c r="N279" i="2" s="1"/>
  <c r="R735" i="2" s="1"/>
  <c r="J280" i="2"/>
  <c r="M280" i="2" s="1"/>
  <c r="N280" i="2" s="1"/>
  <c r="R736" i="2" s="1"/>
  <c r="J281" i="2"/>
  <c r="M281" i="2" s="1"/>
  <c r="N281" i="2" s="1"/>
  <c r="R737" i="2" s="1"/>
  <c r="J282" i="2"/>
  <c r="M282" i="2" s="1"/>
  <c r="N282" i="2" s="1"/>
  <c r="R738" i="2" s="1"/>
  <c r="J283" i="2"/>
  <c r="M283" i="2" s="1"/>
  <c r="N283" i="2" s="1"/>
  <c r="R739" i="2" s="1"/>
  <c r="J284" i="2"/>
  <c r="M284" i="2" s="1"/>
  <c r="N284" i="2" s="1"/>
  <c r="R740" i="2" s="1"/>
  <c r="J285" i="2"/>
  <c r="M285" i="2" s="1"/>
  <c r="N285" i="2" s="1"/>
  <c r="R741" i="2" s="1"/>
  <c r="J286" i="2"/>
  <c r="M286" i="2" s="1"/>
  <c r="N286" i="2" s="1"/>
  <c r="R742" i="2" s="1"/>
  <c r="J287" i="2"/>
  <c r="M287" i="2" s="1"/>
  <c r="N287" i="2" s="1"/>
  <c r="J288" i="2"/>
  <c r="M288" i="2" s="1"/>
  <c r="N288" i="2" s="1"/>
  <c r="R744" i="2" s="1"/>
  <c r="J289" i="2"/>
  <c r="M289" i="2" s="1"/>
  <c r="N289" i="2" s="1"/>
  <c r="R745" i="2" s="1"/>
  <c r="J290" i="2"/>
  <c r="M290" i="2" s="1"/>
  <c r="N290" i="2" s="1"/>
  <c r="R746" i="2" s="1"/>
  <c r="J291" i="2"/>
  <c r="M291" i="2" s="1"/>
  <c r="N291" i="2" s="1"/>
  <c r="R747" i="2" s="1"/>
  <c r="J292" i="2"/>
  <c r="M292" i="2" s="1"/>
  <c r="N292" i="2" s="1"/>
  <c r="R748" i="2" s="1"/>
  <c r="J293" i="2"/>
  <c r="M293" i="2" s="1"/>
  <c r="N293" i="2" s="1"/>
  <c r="R749" i="2" s="1"/>
  <c r="J294" i="2"/>
  <c r="M294" i="2" s="1"/>
  <c r="N294" i="2" s="1"/>
  <c r="J295" i="2"/>
  <c r="M295" i="2" s="1"/>
  <c r="J296" i="2"/>
  <c r="M296" i="2" s="1"/>
  <c r="N296" i="2" s="1"/>
  <c r="R752" i="2" s="1"/>
  <c r="J297" i="2"/>
  <c r="M297" i="2" s="1"/>
  <c r="N297" i="2" s="1"/>
  <c r="R753" i="2" s="1"/>
  <c r="J298" i="2"/>
  <c r="M298" i="2" s="1"/>
  <c r="N298" i="2" s="1"/>
  <c r="R754" i="2" s="1"/>
  <c r="J299" i="2"/>
  <c r="M299" i="2" s="1"/>
  <c r="N299" i="2" s="1"/>
  <c r="R755" i="2" s="1"/>
  <c r="J300" i="2"/>
  <c r="M300" i="2" s="1"/>
  <c r="N300" i="2" s="1"/>
  <c r="R756" i="2" s="1"/>
  <c r="J301" i="2"/>
  <c r="M301" i="2" s="1"/>
  <c r="N301" i="2" s="1"/>
  <c r="R757" i="2" s="1"/>
  <c r="J302" i="2"/>
  <c r="M302" i="2" s="1"/>
  <c r="N302" i="2" s="1"/>
  <c r="R758" i="2" s="1"/>
  <c r="J303" i="2"/>
  <c r="M303" i="2" s="1"/>
  <c r="N303" i="2" s="1"/>
  <c r="R759" i="2" s="1"/>
  <c r="J304" i="2"/>
  <c r="M304" i="2" s="1"/>
  <c r="N304" i="2" s="1"/>
  <c r="R760" i="2" s="1"/>
  <c r="J305" i="2"/>
  <c r="M305" i="2" s="1"/>
  <c r="N305" i="2" s="1"/>
  <c r="R761" i="2" s="1"/>
  <c r="J306" i="2"/>
  <c r="M306" i="2" s="1"/>
  <c r="N306" i="2" s="1"/>
  <c r="R762" i="2" s="1"/>
  <c r="J307" i="2"/>
  <c r="M307" i="2" s="1"/>
  <c r="N307" i="2" s="1"/>
  <c r="R763" i="2" s="1"/>
  <c r="J308" i="2"/>
  <c r="M308" i="2" s="1"/>
  <c r="N308" i="2" s="1"/>
  <c r="R764" i="2" s="1"/>
  <c r="J309" i="2"/>
  <c r="M309" i="2" s="1"/>
  <c r="N309" i="2" s="1"/>
  <c r="R765" i="2" s="1"/>
  <c r="J272" i="2"/>
  <c r="M272" i="2" s="1"/>
  <c r="N272" i="2" s="1"/>
  <c r="R728" i="2" s="1"/>
  <c r="O287" i="2" l="1"/>
  <c r="S363" i="2" s="1"/>
  <c r="T477" i="2" s="1"/>
  <c r="R743" i="2"/>
  <c r="O294" i="2"/>
  <c r="S370" i="2" s="1"/>
  <c r="T484" i="2" s="1"/>
  <c r="R750" i="2"/>
  <c r="O272" i="2"/>
  <c r="S348" i="2" s="1"/>
  <c r="T462" i="2" s="1"/>
  <c r="P272" i="2"/>
  <c r="O308" i="2"/>
  <c r="S384" i="2" s="1"/>
  <c r="T498" i="2" s="1"/>
  <c r="P308" i="2"/>
  <c r="O306" i="2"/>
  <c r="S382" i="2" s="1"/>
  <c r="T496" i="2" s="1"/>
  <c r="P306" i="2"/>
  <c r="O304" i="2"/>
  <c r="S380" i="2" s="1"/>
  <c r="T494" i="2" s="1"/>
  <c r="P304" i="2"/>
  <c r="O302" i="2"/>
  <c r="S378" i="2" s="1"/>
  <c r="T492" i="2" s="1"/>
  <c r="P302" i="2"/>
  <c r="O300" i="2"/>
  <c r="S376" i="2" s="1"/>
  <c r="T490" i="2" s="1"/>
  <c r="P300" i="2"/>
  <c r="O298" i="2"/>
  <c r="S374" i="2" s="1"/>
  <c r="T488" i="2" s="1"/>
  <c r="P298" i="2"/>
  <c r="O296" i="2"/>
  <c r="S372" i="2" s="1"/>
  <c r="T486" i="2" s="1"/>
  <c r="P296" i="2"/>
  <c r="O292" i="2"/>
  <c r="S368" i="2" s="1"/>
  <c r="T482" i="2" s="1"/>
  <c r="P292" i="2"/>
  <c r="O290" i="2"/>
  <c r="S366" i="2" s="1"/>
  <c r="T480" i="2" s="1"/>
  <c r="P290" i="2"/>
  <c r="O288" i="2"/>
  <c r="S364" i="2" s="1"/>
  <c r="T478" i="2" s="1"/>
  <c r="P288" i="2"/>
  <c r="O286" i="2"/>
  <c r="S362" i="2" s="1"/>
  <c r="T476" i="2" s="1"/>
  <c r="P286" i="2"/>
  <c r="O284" i="2"/>
  <c r="S360" i="2" s="1"/>
  <c r="T474" i="2" s="1"/>
  <c r="P284" i="2"/>
  <c r="O282" i="2"/>
  <c r="S358" i="2" s="1"/>
  <c r="T472" i="2" s="1"/>
  <c r="P282" i="2"/>
  <c r="O280" i="2"/>
  <c r="S356" i="2" s="1"/>
  <c r="T470" i="2" s="1"/>
  <c r="P280" i="2"/>
  <c r="O278" i="2"/>
  <c r="S354" i="2" s="1"/>
  <c r="T468" i="2" s="1"/>
  <c r="P278" i="2"/>
  <c r="O274" i="2"/>
  <c r="S350" i="2" s="1"/>
  <c r="T464" i="2" s="1"/>
  <c r="P274" i="2"/>
  <c r="O309" i="2"/>
  <c r="S385" i="2" s="1"/>
  <c r="T499" i="2" s="1"/>
  <c r="P309" i="2"/>
  <c r="O307" i="2"/>
  <c r="S383" i="2" s="1"/>
  <c r="T497" i="2" s="1"/>
  <c r="P307" i="2"/>
  <c r="O305" i="2"/>
  <c r="S381" i="2" s="1"/>
  <c r="T495" i="2" s="1"/>
  <c r="P305" i="2"/>
  <c r="O303" i="2"/>
  <c r="S379" i="2" s="1"/>
  <c r="T493" i="2" s="1"/>
  <c r="P303" i="2"/>
  <c r="O301" i="2"/>
  <c r="S377" i="2" s="1"/>
  <c r="T491" i="2" s="1"/>
  <c r="P301" i="2"/>
  <c r="O299" i="2"/>
  <c r="S375" i="2" s="1"/>
  <c r="T489" i="2" s="1"/>
  <c r="P299" i="2"/>
  <c r="O297" i="2"/>
  <c r="S373" i="2" s="1"/>
  <c r="T487" i="2" s="1"/>
  <c r="P297" i="2"/>
  <c r="O293" i="2"/>
  <c r="S369" i="2" s="1"/>
  <c r="T483" i="2" s="1"/>
  <c r="P293" i="2"/>
  <c r="O291" i="2"/>
  <c r="S367" i="2" s="1"/>
  <c r="T481" i="2" s="1"/>
  <c r="P291" i="2"/>
  <c r="O289" i="2"/>
  <c r="S365" i="2" s="1"/>
  <c r="T479" i="2" s="1"/>
  <c r="P289" i="2"/>
  <c r="O285" i="2"/>
  <c r="S361" i="2" s="1"/>
  <c r="T475" i="2" s="1"/>
  <c r="P285" i="2"/>
  <c r="O283" i="2"/>
  <c r="S359" i="2" s="1"/>
  <c r="T473" i="2" s="1"/>
  <c r="P283" i="2"/>
  <c r="O281" i="2"/>
  <c r="S357" i="2" s="1"/>
  <c r="T471" i="2" s="1"/>
  <c r="P281" i="2"/>
  <c r="O279" i="2"/>
  <c r="S355" i="2" s="1"/>
  <c r="T469" i="2" s="1"/>
  <c r="P279" i="2"/>
  <c r="O277" i="2"/>
  <c r="S353" i="2" s="1"/>
  <c r="T467" i="2" s="1"/>
  <c r="P277" i="2"/>
  <c r="O275" i="2"/>
  <c r="S351" i="2" s="1"/>
  <c r="T465" i="2" s="1"/>
  <c r="P275" i="2"/>
  <c r="P287" i="2"/>
  <c r="P294" i="2"/>
  <c r="G295" i="2" l="1"/>
  <c r="G276" i="2"/>
  <c r="G273" i="2"/>
  <c r="L273" i="2" l="1"/>
  <c r="K273" i="2"/>
  <c r="N273" i="2"/>
  <c r="R729" i="2" s="1"/>
  <c r="K295" i="2"/>
  <c r="L295" i="2"/>
  <c r="N295" i="2"/>
  <c r="R751" i="2" s="1"/>
  <c r="L276" i="2"/>
  <c r="K276" i="2"/>
  <c r="N276" i="2"/>
  <c r="R732" i="2" s="1"/>
  <c r="K234" i="2"/>
  <c r="L234" i="2"/>
  <c r="K236" i="2"/>
  <c r="L236" i="2"/>
  <c r="K237" i="2"/>
  <c r="L237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J235" i="2"/>
  <c r="M235" i="2" s="1"/>
  <c r="J236" i="2"/>
  <c r="M236" i="2" s="1"/>
  <c r="N236" i="2" s="1"/>
  <c r="R692" i="2" s="1"/>
  <c r="J237" i="2"/>
  <c r="M237" i="2" s="1"/>
  <c r="N237" i="2" s="1"/>
  <c r="R693" i="2" s="1"/>
  <c r="J238" i="2"/>
  <c r="M238" i="2" s="1"/>
  <c r="J239" i="2"/>
  <c r="M239" i="2" s="1"/>
  <c r="N239" i="2" s="1"/>
  <c r="R695" i="2" s="1"/>
  <c r="J240" i="2"/>
  <c r="M240" i="2" s="1"/>
  <c r="N240" i="2" s="1"/>
  <c r="R696" i="2" s="1"/>
  <c r="J241" i="2"/>
  <c r="M241" i="2" s="1"/>
  <c r="N241" i="2" s="1"/>
  <c r="R697" i="2" s="1"/>
  <c r="J242" i="2"/>
  <c r="M242" i="2" s="1"/>
  <c r="N242" i="2" s="1"/>
  <c r="R698" i="2" s="1"/>
  <c r="J243" i="2"/>
  <c r="M243" i="2" s="1"/>
  <c r="N243" i="2" s="1"/>
  <c r="R699" i="2" s="1"/>
  <c r="J244" i="2"/>
  <c r="M244" i="2" s="1"/>
  <c r="N244" i="2" s="1"/>
  <c r="R700" i="2" s="1"/>
  <c r="J245" i="2"/>
  <c r="M245" i="2" s="1"/>
  <c r="N245" i="2" s="1"/>
  <c r="R701" i="2" s="1"/>
  <c r="J246" i="2"/>
  <c r="M246" i="2" s="1"/>
  <c r="N246" i="2" s="1"/>
  <c r="R702" i="2" s="1"/>
  <c r="J247" i="2"/>
  <c r="M247" i="2" s="1"/>
  <c r="N247" i="2" s="1"/>
  <c r="R703" i="2" s="1"/>
  <c r="J248" i="2"/>
  <c r="M248" i="2" s="1"/>
  <c r="N248" i="2" s="1"/>
  <c r="R704" i="2" s="1"/>
  <c r="J249" i="2"/>
  <c r="M249" i="2" s="1"/>
  <c r="N249" i="2" s="1"/>
  <c r="R705" i="2" s="1"/>
  <c r="J250" i="2"/>
  <c r="M250" i="2" s="1"/>
  <c r="N250" i="2" s="1"/>
  <c r="J251" i="2"/>
  <c r="M251" i="2" s="1"/>
  <c r="N251" i="2" s="1"/>
  <c r="R707" i="2" s="1"/>
  <c r="J252" i="2"/>
  <c r="M252" i="2" s="1"/>
  <c r="N252" i="2" s="1"/>
  <c r="R708" i="2" s="1"/>
  <c r="J253" i="2"/>
  <c r="M253" i="2" s="1"/>
  <c r="N253" i="2" s="1"/>
  <c r="R709" i="2" s="1"/>
  <c r="J254" i="2"/>
  <c r="M254" i="2" s="1"/>
  <c r="N254" i="2" s="1"/>
  <c r="R710" i="2" s="1"/>
  <c r="J255" i="2"/>
  <c r="M255" i="2" s="1"/>
  <c r="N255" i="2" s="1"/>
  <c r="R711" i="2" s="1"/>
  <c r="J256" i="2"/>
  <c r="M256" i="2" s="1"/>
  <c r="N256" i="2" s="1"/>
  <c r="R712" i="2" s="1"/>
  <c r="J257" i="2"/>
  <c r="M257" i="2" s="1"/>
  <c r="J258" i="2"/>
  <c r="M258" i="2" s="1"/>
  <c r="N258" i="2" s="1"/>
  <c r="R714" i="2" s="1"/>
  <c r="J259" i="2"/>
  <c r="M259" i="2" s="1"/>
  <c r="N259" i="2" s="1"/>
  <c r="R715" i="2" s="1"/>
  <c r="J260" i="2"/>
  <c r="M260" i="2" s="1"/>
  <c r="N260" i="2" s="1"/>
  <c r="R716" i="2" s="1"/>
  <c r="J261" i="2"/>
  <c r="M261" i="2" s="1"/>
  <c r="N261" i="2" s="1"/>
  <c r="R717" i="2" s="1"/>
  <c r="J262" i="2"/>
  <c r="M262" i="2" s="1"/>
  <c r="N262" i="2" s="1"/>
  <c r="R718" i="2" s="1"/>
  <c r="J263" i="2"/>
  <c r="M263" i="2" s="1"/>
  <c r="N263" i="2" s="1"/>
  <c r="R719" i="2" s="1"/>
  <c r="J264" i="2"/>
  <c r="M264" i="2" s="1"/>
  <c r="N264" i="2" s="1"/>
  <c r="R720" i="2" s="1"/>
  <c r="J265" i="2"/>
  <c r="M265" i="2" s="1"/>
  <c r="N265" i="2" s="1"/>
  <c r="R721" i="2" s="1"/>
  <c r="J266" i="2"/>
  <c r="M266" i="2" s="1"/>
  <c r="N266" i="2" s="1"/>
  <c r="R722" i="2" s="1"/>
  <c r="J267" i="2"/>
  <c r="M267" i="2" s="1"/>
  <c r="N267" i="2" s="1"/>
  <c r="R723" i="2" s="1"/>
  <c r="J268" i="2"/>
  <c r="M268" i="2" s="1"/>
  <c r="N268" i="2" s="1"/>
  <c r="R724" i="2" s="1"/>
  <c r="J269" i="2"/>
  <c r="M269" i="2" s="1"/>
  <c r="N269" i="2" s="1"/>
  <c r="R725" i="2" s="1"/>
  <c r="J270" i="2"/>
  <c r="M270" i="2" s="1"/>
  <c r="N270" i="2" s="1"/>
  <c r="R726" i="2" s="1"/>
  <c r="J271" i="2"/>
  <c r="M271" i="2" s="1"/>
  <c r="N271" i="2" s="1"/>
  <c r="J234" i="2"/>
  <c r="M234" i="2" s="1"/>
  <c r="N234" i="2" s="1"/>
  <c r="R690" i="2" s="1"/>
  <c r="O250" i="2" l="1"/>
  <c r="R706" i="2"/>
  <c r="O271" i="2"/>
  <c r="R727" i="2"/>
  <c r="O295" i="2"/>
  <c r="S371" i="2" s="1"/>
  <c r="T485" i="2" s="1"/>
  <c r="P295" i="2"/>
  <c r="P276" i="2"/>
  <c r="O276" i="2"/>
  <c r="S352" i="2" s="1"/>
  <c r="T466" i="2" s="1"/>
  <c r="P273" i="2"/>
  <c r="O273" i="2"/>
  <c r="S349" i="2" s="1"/>
  <c r="O234" i="2"/>
  <c r="P234" i="2"/>
  <c r="O268" i="2"/>
  <c r="P268" i="2"/>
  <c r="O264" i="2"/>
  <c r="P264" i="2"/>
  <c r="O262" i="2"/>
  <c r="P262" i="2"/>
  <c r="O260" i="2"/>
  <c r="P260" i="2"/>
  <c r="O258" i="2"/>
  <c r="P258" i="2"/>
  <c r="O256" i="2"/>
  <c r="P256" i="2"/>
  <c r="O254" i="2"/>
  <c r="P254" i="2"/>
  <c r="O252" i="2"/>
  <c r="P252" i="2"/>
  <c r="O248" i="2"/>
  <c r="P248" i="2"/>
  <c r="O246" i="2"/>
  <c r="P246" i="2"/>
  <c r="O244" i="2"/>
  <c r="P244" i="2"/>
  <c r="O242" i="2"/>
  <c r="P242" i="2"/>
  <c r="O240" i="2"/>
  <c r="P240" i="2"/>
  <c r="O236" i="2"/>
  <c r="P236" i="2"/>
  <c r="O270" i="2"/>
  <c r="P270" i="2"/>
  <c r="O266" i="2"/>
  <c r="P266" i="2"/>
  <c r="O269" i="2"/>
  <c r="P269" i="2"/>
  <c r="O267" i="2"/>
  <c r="P267" i="2"/>
  <c r="O265" i="2"/>
  <c r="P265" i="2"/>
  <c r="O263" i="2"/>
  <c r="P263" i="2"/>
  <c r="O261" i="2"/>
  <c r="P261" i="2"/>
  <c r="O259" i="2"/>
  <c r="P259" i="2"/>
  <c r="O255" i="2"/>
  <c r="P255" i="2"/>
  <c r="O253" i="2"/>
  <c r="P253" i="2"/>
  <c r="O251" i="2"/>
  <c r="P251" i="2"/>
  <c r="O249" i="2"/>
  <c r="P249" i="2"/>
  <c r="O247" i="2"/>
  <c r="P247" i="2"/>
  <c r="O245" i="2"/>
  <c r="P245" i="2"/>
  <c r="O243" i="2"/>
  <c r="P243" i="2"/>
  <c r="O241" i="2"/>
  <c r="P241" i="2"/>
  <c r="O239" i="2"/>
  <c r="P239" i="2"/>
  <c r="O237" i="2"/>
  <c r="P237" i="2"/>
  <c r="P271" i="2"/>
  <c r="P250" i="2"/>
  <c r="G257" i="2"/>
  <c r="G238" i="2"/>
  <c r="N238" i="2" s="1"/>
  <c r="R694" i="2" s="1"/>
  <c r="G235" i="2"/>
  <c r="N235" i="2" s="1"/>
  <c r="R691" i="2" s="1"/>
  <c r="O235" i="2" l="1"/>
  <c r="P235" i="2"/>
  <c r="T463" i="2"/>
  <c r="O238" i="2"/>
  <c r="P238" i="2"/>
  <c r="L235" i="2"/>
  <c r="K235" i="2"/>
  <c r="L257" i="2"/>
  <c r="K257" i="2"/>
  <c r="N257" i="2"/>
  <c r="R713" i="2" s="1"/>
  <c r="L238" i="2"/>
  <c r="K238" i="2"/>
  <c r="K196" i="2"/>
  <c r="L196" i="2"/>
  <c r="K198" i="2"/>
  <c r="L198" i="2"/>
  <c r="K199" i="2"/>
  <c r="L199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J197" i="2"/>
  <c r="M197" i="2" s="1"/>
  <c r="J198" i="2"/>
  <c r="M198" i="2" s="1"/>
  <c r="N198" i="2" s="1"/>
  <c r="R654" i="2" s="1"/>
  <c r="J199" i="2"/>
  <c r="M199" i="2" s="1"/>
  <c r="N199" i="2" s="1"/>
  <c r="R655" i="2" s="1"/>
  <c r="J200" i="2"/>
  <c r="M200" i="2" s="1"/>
  <c r="J201" i="2"/>
  <c r="M201" i="2" s="1"/>
  <c r="N201" i="2" s="1"/>
  <c r="R657" i="2" s="1"/>
  <c r="J202" i="2"/>
  <c r="M202" i="2" s="1"/>
  <c r="N202" i="2" s="1"/>
  <c r="R658" i="2" s="1"/>
  <c r="J203" i="2"/>
  <c r="M203" i="2" s="1"/>
  <c r="N203" i="2" s="1"/>
  <c r="R659" i="2" s="1"/>
  <c r="J204" i="2"/>
  <c r="M204" i="2" s="1"/>
  <c r="N204" i="2" s="1"/>
  <c r="R660" i="2" s="1"/>
  <c r="J205" i="2"/>
  <c r="M205" i="2" s="1"/>
  <c r="N205" i="2" s="1"/>
  <c r="R661" i="2" s="1"/>
  <c r="J206" i="2"/>
  <c r="M206" i="2" s="1"/>
  <c r="N206" i="2" s="1"/>
  <c r="R662" i="2" s="1"/>
  <c r="J207" i="2"/>
  <c r="M207" i="2" s="1"/>
  <c r="N207" i="2" s="1"/>
  <c r="R663" i="2" s="1"/>
  <c r="J208" i="2"/>
  <c r="M208" i="2" s="1"/>
  <c r="N208" i="2" s="1"/>
  <c r="R664" i="2" s="1"/>
  <c r="J209" i="2"/>
  <c r="M209" i="2" s="1"/>
  <c r="N209" i="2" s="1"/>
  <c r="R665" i="2" s="1"/>
  <c r="J210" i="2"/>
  <c r="M210" i="2" s="1"/>
  <c r="N210" i="2" s="1"/>
  <c r="R666" i="2" s="1"/>
  <c r="J211" i="2"/>
  <c r="M211" i="2" s="1"/>
  <c r="N211" i="2" s="1"/>
  <c r="R667" i="2" s="1"/>
  <c r="J212" i="2"/>
  <c r="M212" i="2" s="1"/>
  <c r="N212" i="2" s="1"/>
  <c r="R668" i="2" s="1"/>
  <c r="J213" i="2"/>
  <c r="M213" i="2" s="1"/>
  <c r="N213" i="2" s="1"/>
  <c r="R669" i="2" s="1"/>
  <c r="J214" i="2"/>
  <c r="M214" i="2" s="1"/>
  <c r="N214" i="2" s="1"/>
  <c r="R670" i="2" s="1"/>
  <c r="J215" i="2"/>
  <c r="M215" i="2" s="1"/>
  <c r="N215" i="2" s="1"/>
  <c r="R671" i="2" s="1"/>
  <c r="J216" i="2"/>
  <c r="M216" i="2" s="1"/>
  <c r="N216" i="2" s="1"/>
  <c r="R672" i="2" s="1"/>
  <c r="J217" i="2"/>
  <c r="M217" i="2" s="1"/>
  <c r="N217" i="2" s="1"/>
  <c r="R673" i="2" s="1"/>
  <c r="J218" i="2"/>
  <c r="M218" i="2" s="1"/>
  <c r="N218" i="2" s="1"/>
  <c r="R674" i="2" s="1"/>
  <c r="J219" i="2"/>
  <c r="M219" i="2" s="1"/>
  <c r="J220" i="2"/>
  <c r="M220" i="2" s="1"/>
  <c r="N220" i="2" s="1"/>
  <c r="R676" i="2" s="1"/>
  <c r="J221" i="2"/>
  <c r="M221" i="2" s="1"/>
  <c r="N221" i="2" s="1"/>
  <c r="R677" i="2" s="1"/>
  <c r="J222" i="2"/>
  <c r="M222" i="2" s="1"/>
  <c r="N222" i="2" s="1"/>
  <c r="R678" i="2" s="1"/>
  <c r="J223" i="2"/>
  <c r="M223" i="2" s="1"/>
  <c r="N223" i="2" s="1"/>
  <c r="R679" i="2" s="1"/>
  <c r="J224" i="2"/>
  <c r="M224" i="2" s="1"/>
  <c r="N224" i="2" s="1"/>
  <c r="R680" i="2" s="1"/>
  <c r="J225" i="2"/>
  <c r="M225" i="2" s="1"/>
  <c r="N225" i="2" s="1"/>
  <c r="R681" i="2" s="1"/>
  <c r="J226" i="2"/>
  <c r="M226" i="2" s="1"/>
  <c r="N226" i="2" s="1"/>
  <c r="R682" i="2" s="1"/>
  <c r="J227" i="2"/>
  <c r="M227" i="2" s="1"/>
  <c r="N227" i="2" s="1"/>
  <c r="R683" i="2" s="1"/>
  <c r="J228" i="2"/>
  <c r="M228" i="2" s="1"/>
  <c r="N228" i="2" s="1"/>
  <c r="R684" i="2" s="1"/>
  <c r="J229" i="2"/>
  <c r="M229" i="2" s="1"/>
  <c r="N229" i="2" s="1"/>
  <c r="R685" i="2" s="1"/>
  <c r="J230" i="2"/>
  <c r="M230" i="2" s="1"/>
  <c r="N230" i="2" s="1"/>
  <c r="R686" i="2" s="1"/>
  <c r="J231" i="2"/>
  <c r="M231" i="2" s="1"/>
  <c r="N231" i="2" s="1"/>
  <c r="R687" i="2" s="1"/>
  <c r="J232" i="2"/>
  <c r="M232" i="2" s="1"/>
  <c r="N232" i="2" s="1"/>
  <c r="R688" i="2" s="1"/>
  <c r="J233" i="2"/>
  <c r="M233" i="2" s="1"/>
  <c r="N233" i="2" s="1"/>
  <c r="R689" i="2" s="1"/>
  <c r="J196" i="2"/>
  <c r="M196" i="2" s="1"/>
  <c r="N196" i="2" s="1"/>
  <c r="R652" i="2" s="1"/>
  <c r="G219" i="2"/>
  <c r="L219" i="2" s="1"/>
  <c r="G200" i="2"/>
  <c r="K200" i="2" s="1"/>
  <c r="G197" i="2"/>
  <c r="L197" i="2" s="1"/>
  <c r="J159" i="2"/>
  <c r="M159" i="2" s="1"/>
  <c r="J160" i="2"/>
  <c r="M160" i="2" s="1"/>
  <c r="N160" i="2" s="1"/>
  <c r="R616" i="2" s="1"/>
  <c r="K160" i="2"/>
  <c r="L160" i="2"/>
  <c r="J161" i="2"/>
  <c r="M161" i="2" s="1"/>
  <c r="N161" i="2" s="1"/>
  <c r="R617" i="2" s="1"/>
  <c r="K161" i="2"/>
  <c r="L161" i="2"/>
  <c r="J162" i="2"/>
  <c r="M162" i="2" s="1"/>
  <c r="J163" i="2"/>
  <c r="M163" i="2" s="1"/>
  <c r="N163" i="2" s="1"/>
  <c r="R619" i="2" s="1"/>
  <c r="K163" i="2"/>
  <c r="L163" i="2"/>
  <c r="J164" i="2"/>
  <c r="M164" i="2" s="1"/>
  <c r="N164" i="2" s="1"/>
  <c r="R620" i="2" s="1"/>
  <c r="K164" i="2"/>
  <c r="L164" i="2"/>
  <c r="J165" i="2"/>
  <c r="M165" i="2" s="1"/>
  <c r="N165" i="2" s="1"/>
  <c r="R621" i="2" s="1"/>
  <c r="K165" i="2"/>
  <c r="L165" i="2"/>
  <c r="J166" i="2"/>
  <c r="M166" i="2" s="1"/>
  <c r="N166" i="2" s="1"/>
  <c r="R622" i="2" s="1"/>
  <c r="K166" i="2"/>
  <c r="L166" i="2"/>
  <c r="J167" i="2"/>
  <c r="M167" i="2" s="1"/>
  <c r="N167" i="2" s="1"/>
  <c r="R623" i="2" s="1"/>
  <c r="K167" i="2"/>
  <c r="L167" i="2"/>
  <c r="J168" i="2"/>
  <c r="M168" i="2" s="1"/>
  <c r="N168" i="2" s="1"/>
  <c r="R624" i="2" s="1"/>
  <c r="K168" i="2"/>
  <c r="L168" i="2"/>
  <c r="J169" i="2"/>
  <c r="M169" i="2" s="1"/>
  <c r="N169" i="2" s="1"/>
  <c r="R625" i="2" s="1"/>
  <c r="K169" i="2"/>
  <c r="L169" i="2"/>
  <c r="J170" i="2"/>
  <c r="M170" i="2" s="1"/>
  <c r="N170" i="2" s="1"/>
  <c r="R626" i="2" s="1"/>
  <c r="K170" i="2"/>
  <c r="L170" i="2"/>
  <c r="J171" i="2"/>
  <c r="M171" i="2" s="1"/>
  <c r="N171" i="2" s="1"/>
  <c r="R627" i="2" s="1"/>
  <c r="K171" i="2"/>
  <c r="L171" i="2"/>
  <c r="J172" i="2"/>
  <c r="M172" i="2" s="1"/>
  <c r="N172" i="2" s="1"/>
  <c r="R628" i="2" s="1"/>
  <c r="K172" i="2"/>
  <c r="L172" i="2"/>
  <c r="J173" i="2"/>
  <c r="M173" i="2" s="1"/>
  <c r="N173" i="2" s="1"/>
  <c r="R629" i="2" s="1"/>
  <c r="K173" i="2"/>
  <c r="L173" i="2"/>
  <c r="J174" i="2"/>
  <c r="M174" i="2" s="1"/>
  <c r="N174" i="2" s="1"/>
  <c r="R630" i="2" s="1"/>
  <c r="K174" i="2"/>
  <c r="L174" i="2"/>
  <c r="J175" i="2"/>
  <c r="M175" i="2" s="1"/>
  <c r="N175" i="2" s="1"/>
  <c r="R631" i="2" s="1"/>
  <c r="K175" i="2"/>
  <c r="L175" i="2"/>
  <c r="J176" i="2"/>
  <c r="M176" i="2" s="1"/>
  <c r="N176" i="2" s="1"/>
  <c r="R632" i="2" s="1"/>
  <c r="K176" i="2"/>
  <c r="L176" i="2"/>
  <c r="J177" i="2"/>
  <c r="M177" i="2" s="1"/>
  <c r="N177" i="2" s="1"/>
  <c r="R633" i="2" s="1"/>
  <c r="K177" i="2"/>
  <c r="L177" i="2"/>
  <c r="J178" i="2"/>
  <c r="M178" i="2" s="1"/>
  <c r="N178" i="2" s="1"/>
  <c r="R634" i="2" s="1"/>
  <c r="K178" i="2"/>
  <c r="L178" i="2"/>
  <c r="J179" i="2"/>
  <c r="M179" i="2" s="1"/>
  <c r="N179" i="2" s="1"/>
  <c r="R635" i="2" s="1"/>
  <c r="K179" i="2"/>
  <c r="L179" i="2"/>
  <c r="J180" i="2"/>
  <c r="M180" i="2" s="1"/>
  <c r="N180" i="2" s="1"/>
  <c r="R636" i="2" s="1"/>
  <c r="K180" i="2"/>
  <c r="L180" i="2"/>
  <c r="J181" i="2"/>
  <c r="M181" i="2" s="1"/>
  <c r="J182" i="2"/>
  <c r="M182" i="2" s="1"/>
  <c r="N182" i="2" s="1"/>
  <c r="R638" i="2" s="1"/>
  <c r="K182" i="2"/>
  <c r="L182" i="2"/>
  <c r="J183" i="2"/>
  <c r="M183" i="2" s="1"/>
  <c r="N183" i="2" s="1"/>
  <c r="R639" i="2" s="1"/>
  <c r="K183" i="2"/>
  <c r="L183" i="2"/>
  <c r="J184" i="2"/>
  <c r="M184" i="2" s="1"/>
  <c r="N184" i="2" s="1"/>
  <c r="R640" i="2" s="1"/>
  <c r="K184" i="2"/>
  <c r="L184" i="2"/>
  <c r="J185" i="2"/>
  <c r="M185" i="2" s="1"/>
  <c r="N185" i="2" s="1"/>
  <c r="R641" i="2" s="1"/>
  <c r="K185" i="2"/>
  <c r="L185" i="2"/>
  <c r="J186" i="2"/>
  <c r="M186" i="2" s="1"/>
  <c r="N186" i="2" s="1"/>
  <c r="R642" i="2" s="1"/>
  <c r="K186" i="2"/>
  <c r="L186" i="2"/>
  <c r="J187" i="2"/>
  <c r="M187" i="2" s="1"/>
  <c r="N187" i="2" s="1"/>
  <c r="R643" i="2" s="1"/>
  <c r="K187" i="2"/>
  <c r="L187" i="2"/>
  <c r="J188" i="2"/>
  <c r="M188" i="2" s="1"/>
  <c r="N188" i="2" s="1"/>
  <c r="R644" i="2" s="1"/>
  <c r="K188" i="2"/>
  <c r="L188" i="2"/>
  <c r="J189" i="2"/>
  <c r="M189" i="2" s="1"/>
  <c r="N189" i="2" s="1"/>
  <c r="R645" i="2" s="1"/>
  <c r="K189" i="2"/>
  <c r="L189" i="2"/>
  <c r="J190" i="2"/>
  <c r="M190" i="2" s="1"/>
  <c r="N190" i="2" s="1"/>
  <c r="R646" i="2" s="1"/>
  <c r="K190" i="2"/>
  <c r="L190" i="2"/>
  <c r="J191" i="2"/>
  <c r="M191" i="2" s="1"/>
  <c r="N191" i="2" s="1"/>
  <c r="R647" i="2" s="1"/>
  <c r="K191" i="2"/>
  <c r="L191" i="2"/>
  <c r="J192" i="2"/>
  <c r="M192" i="2" s="1"/>
  <c r="N192" i="2" s="1"/>
  <c r="R648" i="2" s="1"/>
  <c r="K192" i="2"/>
  <c r="L192" i="2"/>
  <c r="J193" i="2"/>
  <c r="M193" i="2" s="1"/>
  <c r="N193" i="2" s="1"/>
  <c r="R649" i="2" s="1"/>
  <c r="K193" i="2"/>
  <c r="L193" i="2"/>
  <c r="J194" i="2"/>
  <c r="M194" i="2" s="1"/>
  <c r="N194" i="2" s="1"/>
  <c r="R650" i="2" s="1"/>
  <c r="K194" i="2"/>
  <c r="L194" i="2"/>
  <c r="J195" i="2"/>
  <c r="M195" i="2" s="1"/>
  <c r="N195" i="2" s="1"/>
  <c r="R651" i="2" s="1"/>
  <c r="K195" i="2"/>
  <c r="L195" i="2"/>
  <c r="J158" i="2"/>
  <c r="M158" i="2" s="1"/>
  <c r="N158" i="2" s="1"/>
  <c r="R614" i="2" s="1"/>
  <c r="L158" i="2"/>
  <c r="K158" i="2"/>
  <c r="G181" i="2"/>
  <c r="L181" i="2" s="1"/>
  <c r="G162" i="2"/>
  <c r="K162" i="2" s="1"/>
  <c r="G159" i="2"/>
  <c r="K159" i="2" s="1"/>
  <c r="K181" i="2" l="1"/>
  <c r="L159" i="2"/>
  <c r="N219" i="2"/>
  <c r="P219" i="2" s="1"/>
  <c r="N197" i="2"/>
  <c r="P197" i="2" s="1"/>
  <c r="K197" i="2"/>
  <c r="N162" i="2"/>
  <c r="N159" i="2"/>
  <c r="N200" i="2"/>
  <c r="K219" i="2"/>
  <c r="O257" i="2"/>
  <c r="P257" i="2"/>
  <c r="O231" i="2"/>
  <c r="P231" i="2"/>
  <c r="O227" i="2"/>
  <c r="P227" i="2"/>
  <c r="O223" i="2"/>
  <c r="P223" i="2"/>
  <c r="O232" i="2"/>
  <c r="P232" i="2"/>
  <c r="O230" i="2"/>
  <c r="P230" i="2"/>
  <c r="O228" i="2"/>
  <c r="P228" i="2"/>
  <c r="O226" i="2"/>
  <c r="P226" i="2"/>
  <c r="O224" i="2"/>
  <c r="P224" i="2"/>
  <c r="O222" i="2"/>
  <c r="P222" i="2"/>
  <c r="O233" i="2"/>
  <c r="P233" i="2"/>
  <c r="O229" i="2"/>
  <c r="P229" i="2"/>
  <c r="O225" i="2"/>
  <c r="P225" i="2"/>
  <c r="O221" i="2"/>
  <c r="P221" i="2"/>
  <c r="L162" i="2"/>
  <c r="L200" i="2"/>
  <c r="N181" i="2"/>
  <c r="P220" i="2"/>
  <c r="O220" i="2"/>
  <c r="P218" i="2"/>
  <c r="O218" i="2"/>
  <c r="P216" i="2"/>
  <c r="O216" i="2"/>
  <c r="P214" i="2"/>
  <c r="O214" i="2"/>
  <c r="P212" i="2"/>
  <c r="O212" i="2"/>
  <c r="P210" i="2"/>
  <c r="O210" i="2"/>
  <c r="P208" i="2"/>
  <c r="O208" i="2"/>
  <c r="P206" i="2"/>
  <c r="O206" i="2"/>
  <c r="P204" i="2"/>
  <c r="O204" i="2"/>
  <c r="P202" i="2"/>
  <c r="O202" i="2"/>
  <c r="P198" i="2"/>
  <c r="O198" i="2"/>
  <c r="P196" i="2"/>
  <c r="O196" i="2"/>
  <c r="P217" i="2"/>
  <c r="O217" i="2"/>
  <c r="P215" i="2"/>
  <c r="O215" i="2"/>
  <c r="P213" i="2"/>
  <c r="O213" i="2"/>
  <c r="P211" i="2"/>
  <c r="O211" i="2"/>
  <c r="P209" i="2"/>
  <c r="O209" i="2"/>
  <c r="P207" i="2"/>
  <c r="O207" i="2"/>
  <c r="P205" i="2"/>
  <c r="O205" i="2"/>
  <c r="P203" i="2"/>
  <c r="O203" i="2"/>
  <c r="P201" i="2"/>
  <c r="O201" i="2"/>
  <c r="P199" i="2"/>
  <c r="O199" i="2"/>
  <c r="P194" i="2"/>
  <c r="O194" i="2"/>
  <c r="O195" i="2"/>
  <c r="P195" i="2"/>
  <c r="P192" i="2"/>
  <c r="O192" i="2"/>
  <c r="O191" i="2"/>
  <c r="P191" i="2"/>
  <c r="P188" i="2"/>
  <c r="O188" i="2"/>
  <c r="O187" i="2"/>
  <c r="P187" i="2"/>
  <c r="P184" i="2"/>
  <c r="O184" i="2"/>
  <c r="O183" i="2"/>
  <c r="P183" i="2"/>
  <c r="P180" i="2"/>
  <c r="O180" i="2"/>
  <c r="O179" i="2"/>
  <c r="P179" i="2"/>
  <c r="P176" i="2"/>
  <c r="O176" i="2"/>
  <c r="O175" i="2"/>
  <c r="P175" i="2"/>
  <c r="P172" i="2"/>
  <c r="O172" i="2"/>
  <c r="O171" i="2"/>
  <c r="P171" i="2"/>
  <c r="P168" i="2"/>
  <c r="O168" i="2"/>
  <c r="O167" i="2"/>
  <c r="P167" i="2"/>
  <c r="P164" i="2"/>
  <c r="O164" i="2"/>
  <c r="O163" i="2"/>
  <c r="P163" i="2"/>
  <c r="P160" i="2"/>
  <c r="O160" i="2"/>
  <c r="O193" i="2"/>
  <c r="P193" i="2"/>
  <c r="P190" i="2"/>
  <c r="O190" i="2"/>
  <c r="O189" i="2"/>
  <c r="P189" i="2"/>
  <c r="P186" i="2"/>
  <c r="O186" i="2"/>
  <c r="O185" i="2"/>
  <c r="P185" i="2"/>
  <c r="P182" i="2"/>
  <c r="O182" i="2"/>
  <c r="P178" i="2"/>
  <c r="O178" i="2"/>
  <c r="O177" i="2"/>
  <c r="P177" i="2"/>
  <c r="P174" i="2"/>
  <c r="O174" i="2"/>
  <c r="O173" i="2"/>
  <c r="P173" i="2"/>
  <c r="P170" i="2"/>
  <c r="O170" i="2"/>
  <c r="O169" i="2"/>
  <c r="P169" i="2"/>
  <c r="P166" i="2"/>
  <c r="O166" i="2"/>
  <c r="O165" i="2"/>
  <c r="P165" i="2"/>
  <c r="O161" i="2"/>
  <c r="P161" i="2"/>
  <c r="O158" i="2"/>
  <c r="P158" i="2"/>
  <c r="S258" i="2" l="1"/>
  <c r="T372" i="2" s="1"/>
  <c r="S250" i="2"/>
  <c r="T364" i="2" s="1"/>
  <c r="S242" i="2"/>
  <c r="T356" i="2" s="1"/>
  <c r="S259" i="2"/>
  <c r="S269" i="2"/>
  <c r="T383" i="2" s="1"/>
  <c r="S270" i="2"/>
  <c r="T384" i="2" s="1"/>
  <c r="S262" i="2"/>
  <c r="T376" i="2" s="1"/>
  <c r="S249" i="2"/>
  <c r="T363" i="2" s="1"/>
  <c r="S244" i="2"/>
  <c r="T358" i="2" s="1"/>
  <c r="S268" i="2"/>
  <c r="T382" i="2" s="1"/>
  <c r="S241" i="2"/>
  <c r="T355" i="2" s="1"/>
  <c r="S260" i="2"/>
  <c r="T374" i="2" s="1"/>
  <c r="S234" i="2"/>
  <c r="T348" i="2" s="1"/>
  <c r="S252" i="2"/>
  <c r="T366" i="2" s="1"/>
  <c r="S263" i="2"/>
  <c r="T377" i="2" s="1"/>
  <c r="P200" i="2"/>
  <c r="R656" i="2"/>
  <c r="P159" i="2"/>
  <c r="R615" i="2"/>
  <c r="S251" i="2"/>
  <c r="T365" i="2" s="1"/>
  <c r="O197" i="2"/>
  <c r="R653" i="2"/>
  <c r="O219" i="2"/>
  <c r="R675" i="2"/>
  <c r="O162" i="2"/>
  <c r="R618" i="2"/>
  <c r="O159" i="2"/>
  <c r="S267" i="2"/>
  <c r="T381" i="2" s="1"/>
  <c r="S236" i="2"/>
  <c r="T350" i="2" s="1"/>
  <c r="P162" i="2"/>
  <c r="S265" i="2"/>
  <c r="T379" i="2" s="1"/>
  <c r="O181" i="2"/>
  <c r="R637" i="2"/>
  <c r="S243" i="2"/>
  <c r="T357" i="2" s="1"/>
  <c r="S266" i="2"/>
  <c r="T380" i="2" s="1"/>
  <c r="S255" i="2"/>
  <c r="T369" i="2" s="1"/>
  <c r="S271" i="2"/>
  <c r="T385" i="2" s="1"/>
  <c r="O200" i="2"/>
  <c r="S239" i="2"/>
  <c r="T353" i="2" s="1"/>
  <c r="S240" i="2"/>
  <c r="T354" i="2" s="1"/>
  <c r="S248" i="2"/>
  <c r="T362" i="2" s="1"/>
  <c r="S256" i="2"/>
  <c r="T370" i="2" s="1"/>
  <c r="S264" i="2"/>
  <c r="T378" i="2" s="1"/>
  <c r="S245" i="2"/>
  <c r="T359" i="2" s="1"/>
  <c r="S261" i="2"/>
  <c r="T375" i="2" s="1"/>
  <c r="P181" i="2"/>
  <c r="S247" i="2"/>
  <c r="T361" i="2" s="1"/>
  <c r="S237" i="2"/>
  <c r="T351" i="2" s="1"/>
  <c r="S253" i="2"/>
  <c r="T367" i="2" s="1"/>
  <c r="S246" i="2"/>
  <c r="T360" i="2" s="1"/>
  <c r="S254" i="2"/>
  <c r="T368" i="2" s="1"/>
  <c r="T373" i="2"/>
  <c r="P263" i="4"/>
  <c r="P265" i="4"/>
  <c r="P269" i="4"/>
  <c r="O257" i="4"/>
  <c r="P257" i="4" s="1"/>
  <c r="O258" i="4"/>
  <c r="P258" i="4" s="1"/>
  <c r="O259" i="4"/>
  <c r="P259" i="4" s="1"/>
  <c r="O260" i="4"/>
  <c r="P260" i="4" s="1"/>
  <c r="O261" i="4"/>
  <c r="P261" i="4" s="1"/>
  <c r="O262" i="4"/>
  <c r="P262" i="4" s="1"/>
  <c r="O263" i="4"/>
  <c r="O264" i="4"/>
  <c r="P264" i="4" s="1"/>
  <c r="O265" i="4"/>
  <c r="O266" i="4"/>
  <c r="P266" i="4" s="1"/>
  <c r="O267" i="4"/>
  <c r="P267" i="4" s="1"/>
  <c r="O268" i="4"/>
  <c r="P268" i="4" s="1"/>
  <c r="O269" i="4"/>
  <c r="O270" i="4"/>
  <c r="P270" i="4" s="1"/>
  <c r="O271" i="4"/>
  <c r="P271" i="4" s="1"/>
  <c r="O272" i="4"/>
  <c r="P272" i="4" s="1"/>
  <c r="O273" i="4"/>
  <c r="P273" i="4" s="1"/>
  <c r="O274" i="4"/>
  <c r="P274" i="4" s="1"/>
  <c r="O275" i="4"/>
  <c r="P275" i="4" s="1"/>
  <c r="O276" i="4"/>
  <c r="P276" i="4" s="1"/>
  <c r="O256" i="4"/>
  <c r="P256" i="4" s="1"/>
  <c r="J121" i="2"/>
  <c r="M121" i="2" s="1"/>
  <c r="N121" i="2" s="1"/>
  <c r="R577" i="2" s="1"/>
  <c r="H8" i="1" s="1"/>
  <c r="J122" i="2"/>
  <c r="M122" i="2" s="1"/>
  <c r="N122" i="2" s="1"/>
  <c r="R578" i="2" s="1"/>
  <c r="H9" i="1" s="1"/>
  <c r="J123" i="2"/>
  <c r="M123" i="2" s="1"/>
  <c r="N123" i="2" s="1"/>
  <c r="R579" i="2" s="1"/>
  <c r="H10" i="1" s="1"/>
  <c r="J124" i="2"/>
  <c r="M124" i="2" s="1"/>
  <c r="N124" i="2" s="1"/>
  <c r="R580" i="2" s="1"/>
  <c r="H11" i="1" s="1"/>
  <c r="J125" i="2"/>
  <c r="M125" i="2" s="1"/>
  <c r="N125" i="2" s="1"/>
  <c r="R581" i="2" s="1"/>
  <c r="H12" i="1" s="1"/>
  <c r="J126" i="2"/>
  <c r="M126" i="2" s="1"/>
  <c r="N126" i="2" s="1"/>
  <c r="R582" i="2" s="1"/>
  <c r="H13" i="1" s="1"/>
  <c r="J127" i="2"/>
  <c r="M127" i="2" s="1"/>
  <c r="N127" i="2" s="1"/>
  <c r="R583" i="2" s="1"/>
  <c r="H14" i="1" s="1"/>
  <c r="J128" i="2"/>
  <c r="M128" i="2" s="1"/>
  <c r="N128" i="2" s="1"/>
  <c r="R584" i="2" s="1"/>
  <c r="H15" i="1" s="1"/>
  <c r="J129" i="2"/>
  <c r="M129" i="2" s="1"/>
  <c r="N129" i="2" s="1"/>
  <c r="R585" i="2" s="1"/>
  <c r="H16" i="1" s="1"/>
  <c r="J130" i="2"/>
  <c r="M130" i="2" s="1"/>
  <c r="N130" i="2" s="1"/>
  <c r="R586" i="2" s="1"/>
  <c r="H17" i="1" s="1"/>
  <c r="J131" i="2"/>
  <c r="M131" i="2" s="1"/>
  <c r="N131" i="2" s="1"/>
  <c r="R587" i="2" s="1"/>
  <c r="H18" i="1" s="1"/>
  <c r="J132" i="2"/>
  <c r="M132" i="2" s="1"/>
  <c r="N132" i="2" s="1"/>
  <c r="R588" i="2" s="1"/>
  <c r="H19" i="1" s="1"/>
  <c r="J133" i="2"/>
  <c r="M133" i="2" s="1"/>
  <c r="N133" i="2" s="1"/>
  <c r="R589" i="2" s="1"/>
  <c r="H20" i="1" s="1"/>
  <c r="J134" i="2"/>
  <c r="M134" i="2" s="1"/>
  <c r="N134" i="2" s="1"/>
  <c r="R590" i="2" s="1"/>
  <c r="H21" i="1" s="1"/>
  <c r="J135" i="2"/>
  <c r="M135" i="2" s="1"/>
  <c r="N135" i="2" s="1"/>
  <c r="R591" i="2" s="1"/>
  <c r="H22" i="1" s="1"/>
  <c r="J136" i="2"/>
  <c r="M136" i="2" s="1"/>
  <c r="N136" i="2" s="1"/>
  <c r="R592" i="2" s="1"/>
  <c r="H23" i="1" s="1"/>
  <c r="J137" i="2"/>
  <c r="M137" i="2" s="1"/>
  <c r="N137" i="2" s="1"/>
  <c r="R593" i="2" s="1"/>
  <c r="H24" i="1" s="1"/>
  <c r="J138" i="2"/>
  <c r="M138" i="2" s="1"/>
  <c r="N138" i="2" s="1"/>
  <c r="R594" i="2" s="1"/>
  <c r="H25" i="1" s="1"/>
  <c r="J139" i="2"/>
  <c r="M139" i="2" s="1"/>
  <c r="N139" i="2" s="1"/>
  <c r="R595" i="2" s="1"/>
  <c r="H27" i="1" s="1"/>
  <c r="J140" i="2"/>
  <c r="M140" i="2" s="1"/>
  <c r="N140" i="2" s="1"/>
  <c r="R596" i="2" s="1"/>
  <c r="H28" i="1" s="1"/>
  <c r="J141" i="2"/>
  <c r="M141" i="2" s="1"/>
  <c r="N141" i="2" s="1"/>
  <c r="R597" i="2" s="1"/>
  <c r="H29" i="1" s="1"/>
  <c r="J142" i="2"/>
  <c r="M142" i="2" s="1"/>
  <c r="N142" i="2" s="1"/>
  <c r="R598" i="2" s="1"/>
  <c r="H30" i="1" s="1"/>
  <c r="J143" i="2"/>
  <c r="M143" i="2" s="1"/>
  <c r="N143" i="2" s="1"/>
  <c r="R599" i="2" s="1"/>
  <c r="H31" i="1" s="1"/>
  <c r="J144" i="2"/>
  <c r="M144" i="2" s="1"/>
  <c r="N144" i="2" s="1"/>
  <c r="R600" i="2" s="1"/>
  <c r="H32" i="1" s="1"/>
  <c r="J145" i="2"/>
  <c r="M145" i="2" s="1"/>
  <c r="N145" i="2" s="1"/>
  <c r="R601" i="2" s="1"/>
  <c r="H33" i="1" s="1"/>
  <c r="J146" i="2"/>
  <c r="M146" i="2" s="1"/>
  <c r="N146" i="2" s="1"/>
  <c r="R602" i="2" s="1"/>
  <c r="H34" i="1" s="1"/>
  <c r="J147" i="2"/>
  <c r="M147" i="2" s="1"/>
  <c r="N147" i="2" s="1"/>
  <c r="R603" i="2" s="1"/>
  <c r="H35" i="1" s="1"/>
  <c r="J148" i="2"/>
  <c r="M148" i="2" s="1"/>
  <c r="N148" i="2" s="1"/>
  <c r="R604" i="2" s="1"/>
  <c r="H36" i="1" s="1"/>
  <c r="J149" i="2"/>
  <c r="M149" i="2" s="1"/>
  <c r="N149" i="2" s="1"/>
  <c r="R605" i="2" s="1"/>
  <c r="H37" i="1" s="1"/>
  <c r="J150" i="2"/>
  <c r="M150" i="2" s="1"/>
  <c r="N150" i="2" s="1"/>
  <c r="R606" i="2" s="1"/>
  <c r="H38" i="1" s="1"/>
  <c r="J151" i="2"/>
  <c r="M151" i="2" s="1"/>
  <c r="N151" i="2" s="1"/>
  <c r="R607" i="2" s="1"/>
  <c r="H39" i="1" s="1"/>
  <c r="J152" i="2"/>
  <c r="M152" i="2" s="1"/>
  <c r="N152" i="2" s="1"/>
  <c r="R608" i="2" s="1"/>
  <c r="H40" i="1" s="1"/>
  <c r="J153" i="2"/>
  <c r="M153" i="2" s="1"/>
  <c r="N153" i="2" s="1"/>
  <c r="R609" i="2" s="1"/>
  <c r="H41" i="1" s="1"/>
  <c r="J154" i="2"/>
  <c r="M154" i="2" s="1"/>
  <c r="N154" i="2" s="1"/>
  <c r="R610" i="2" s="1"/>
  <c r="H42" i="1" s="1"/>
  <c r="J155" i="2"/>
  <c r="M155" i="2" s="1"/>
  <c r="N155" i="2" s="1"/>
  <c r="R611" i="2" s="1"/>
  <c r="H43" i="1" s="1"/>
  <c r="J156" i="2"/>
  <c r="M156" i="2" s="1"/>
  <c r="N156" i="2" s="1"/>
  <c r="R612" i="2" s="1"/>
  <c r="H44" i="1" s="1"/>
  <c r="J157" i="2"/>
  <c r="M157" i="2" s="1"/>
  <c r="N157" i="2" s="1"/>
  <c r="R613" i="2" s="1"/>
  <c r="H45" i="1" s="1"/>
  <c r="J120" i="2"/>
  <c r="M120" i="2" s="1"/>
  <c r="N120" i="2" s="1"/>
  <c r="R576" i="2" s="1"/>
  <c r="H7" i="1" s="1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82" i="2"/>
  <c r="S238" i="2" l="1"/>
  <c r="T352" i="2" s="1"/>
  <c r="S235" i="2"/>
  <c r="T349" i="2" s="1"/>
  <c r="S257" i="2"/>
  <c r="T371" i="2" s="1"/>
  <c r="R261" i="4"/>
  <c r="R273" i="4"/>
  <c r="R276" i="4"/>
  <c r="R270" i="4"/>
  <c r="R264" i="4"/>
  <c r="R258" i="4"/>
  <c r="R267" i="4"/>
  <c r="P120" i="2"/>
  <c r="O120" i="2"/>
  <c r="P124" i="2"/>
  <c r="O124" i="2"/>
  <c r="O127" i="2"/>
  <c r="P127" i="2"/>
  <c r="O131" i="2"/>
  <c r="P131" i="2"/>
  <c r="O135" i="2"/>
  <c r="P135" i="2"/>
  <c r="P136" i="2"/>
  <c r="O136" i="2"/>
  <c r="P140" i="2"/>
  <c r="O140" i="2"/>
  <c r="O143" i="2"/>
  <c r="P143" i="2"/>
  <c r="O147" i="2"/>
  <c r="P147" i="2"/>
  <c r="P148" i="2"/>
  <c r="O148" i="2"/>
  <c r="O121" i="2"/>
  <c r="P121" i="2"/>
  <c r="P122" i="2"/>
  <c r="O122" i="2"/>
  <c r="O125" i="2"/>
  <c r="P125" i="2"/>
  <c r="P126" i="2"/>
  <c r="O126" i="2"/>
  <c r="O129" i="2"/>
  <c r="P129" i="2"/>
  <c r="P130" i="2"/>
  <c r="O130" i="2"/>
  <c r="O133" i="2"/>
  <c r="P133" i="2"/>
  <c r="P134" i="2"/>
  <c r="O134" i="2"/>
  <c r="O137" i="2"/>
  <c r="P137" i="2"/>
  <c r="P138" i="2"/>
  <c r="O138" i="2"/>
  <c r="O141" i="2"/>
  <c r="P141" i="2"/>
  <c r="P142" i="2"/>
  <c r="O142" i="2"/>
  <c r="O145" i="2"/>
  <c r="P145" i="2"/>
  <c r="P146" i="2"/>
  <c r="O146" i="2"/>
  <c r="O149" i="2"/>
  <c r="P149" i="2"/>
  <c r="P150" i="2"/>
  <c r="O150" i="2"/>
  <c r="O153" i="2"/>
  <c r="P153" i="2"/>
  <c r="P154" i="2"/>
  <c r="O154" i="2"/>
  <c r="O157" i="2"/>
  <c r="P157" i="2"/>
  <c r="O123" i="2"/>
  <c r="P123" i="2"/>
  <c r="P128" i="2"/>
  <c r="O128" i="2"/>
  <c r="P132" i="2"/>
  <c r="O132" i="2"/>
  <c r="O139" i="2"/>
  <c r="P139" i="2"/>
  <c r="P144" i="2"/>
  <c r="O144" i="2"/>
  <c r="O151" i="2"/>
  <c r="P151" i="2"/>
  <c r="P152" i="2"/>
  <c r="O152" i="2"/>
  <c r="O155" i="2"/>
  <c r="P155" i="2"/>
  <c r="P156" i="2"/>
  <c r="O156" i="2"/>
  <c r="M206" i="4" l="1"/>
  <c r="P203" i="4"/>
  <c r="P211" i="4"/>
  <c r="O195" i="4"/>
  <c r="P195" i="4" s="1"/>
  <c r="O196" i="4"/>
  <c r="P196" i="4" s="1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O204" i="4"/>
  <c r="P204" i="4" s="1"/>
  <c r="O205" i="4"/>
  <c r="P205" i="4" s="1"/>
  <c r="O206" i="4"/>
  <c r="P206" i="4" s="1"/>
  <c r="O207" i="4"/>
  <c r="P207" i="4" s="1"/>
  <c r="O208" i="4"/>
  <c r="P208" i="4" s="1"/>
  <c r="O209" i="4"/>
  <c r="P209" i="4" s="1"/>
  <c r="O210" i="4"/>
  <c r="P210" i="4" s="1"/>
  <c r="O211" i="4"/>
  <c r="O212" i="4"/>
  <c r="P212" i="4" s="1"/>
  <c r="O213" i="4"/>
  <c r="P213" i="4" s="1"/>
  <c r="O214" i="4"/>
  <c r="P214" i="4" s="1"/>
  <c r="O194" i="4"/>
  <c r="P194" i="4" s="1"/>
  <c r="F257" i="4"/>
  <c r="F259" i="4"/>
  <c r="F273" i="4"/>
  <c r="F275" i="4"/>
  <c r="E257" i="4"/>
  <c r="E258" i="4"/>
  <c r="F258" i="4" s="1"/>
  <c r="E259" i="4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E274" i="4"/>
  <c r="F274" i="4" s="1"/>
  <c r="E275" i="4"/>
  <c r="E276" i="4"/>
  <c r="F276" i="4" s="1"/>
  <c r="E256" i="4"/>
  <c r="F256" i="4" s="1"/>
  <c r="F195" i="4"/>
  <c r="F197" i="4"/>
  <c r="F203" i="4"/>
  <c r="F211" i="4"/>
  <c r="F213" i="4"/>
  <c r="E195" i="4"/>
  <c r="E196" i="4"/>
  <c r="F196" i="4" s="1"/>
  <c r="E197" i="4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H211" i="4" s="1"/>
  <c r="E210" i="4"/>
  <c r="F210" i="4" s="1"/>
  <c r="E211" i="4"/>
  <c r="E212" i="4"/>
  <c r="F212" i="4" s="1"/>
  <c r="E213" i="4"/>
  <c r="E214" i="4"/>
  <c r="F214" i="4" s="1"/>
  <c r="E194" i="4"/>
  <c r="F194" i="4" s="1"/>
  <c r="P133" i="4"/>
  <c r="P135" i="4"/>
  <c r="P141" i="4"/>
  <c r="P149" i="4"/>
  <c r="P151" i="4"/>
  <c r="O133" i="4"/>
  <c r="O134" i="4"/>
  <c r="P134" i="4" s="1"/>
  <c r="O135" i="4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O142" i="4"/>
  <c r="P142" i="4" s="1"/>
  <c r="O143" i="4"/>
  <c r="P143" i="4" s="1"/>
  <c r="O144" i="4"/>
  <c r="P144" i="4" s="1"/>
  <c r="O145" i="4"/>
  <c r="P145" i="4" s="1"/>
  <c r="O146" i="4"/>
  <c r="P146" i="4" s="1"/>
  <c r="O147" i="4"/>
  <c r="P147" i="4" s="1"/>
  <c r="R149" i="4" s="1"/>
  <c r="O148" i="4"/>
  <c r="P148" i="4" s="1"/>
  <c r="O149" i="4"/>
  <c r="O150" i="4"/>
  <c r="P150" i="4" s="1"/>
  <c r="O151" i="4"/>
  <c r="O152" i="4"/>
  <c r="P152" i="4" s="1"/>
  <c r="O132" i="4"/>
  <c r="P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/>
  <c r="E150" i="4"/>
  <c r="F150" i="4" s="1"/>
  <c r="E151" i="4"/>
  <c r="F151" i="4"/>
  <c r="E152" i="4"/>
  <c r="F152" i="4"/>
  <c r="E132" i="4"/>
  <c r="F132" i="4" s="1"/>
  <c r="H143" i="4" l="1"/>
  <c r="H264" i="4"/>
  <c r="R211" i="4"/>
  <c r="S211" i="4" s="1"/>
  <c r="R137" i="4"/>
  <c r="H134" i="4"/>
  <c r="R202" i="4"/>
  <c r="H270" i="4"/>
  <c r="H199" i="4"/>
  <c r="H149" i="4"/>
  <c r="R143" i="4"/>
  <c r="H205" i="4"/>
  <c r="H276" i="4"/>
  <c r="R205" i="4"/>
  <c r="S205" i="4" s="1"/>
  <c r="H137" i="4"/>
  <c r="I205" i="4"/>
  <c r="I211" i="4"/>
  <c r="H152" i="4"/>
  <c r="H146" i="4"/>
  <c r="H140" i="4"/>
  <c r="R152" i="4"/>
  <c r="R146" i="4"/>
  <c r="R140" i="4"/>
  <c r="R134" i="4"/>
  <c r="H258" i="4"/>
  <c r="H267" i="4"/>
  <c r="R214" i="4"/>
  <c r="S214" i="4" s="1"/>
  <c r="R208" i="4"/>
  <c r="H214" i="4"/>
  <c r="I214" i="4" s="1"/>
  <c r="H208" i="4"/>
  <c r="H202" i="4"/>
  <c r="I202" i="4" s="1"/>
  <c r="H196" i="4"/>
  <c r="H273" i="4"/>
  <c r="H261" i="4"/>
  <c r="R196" i="4"/>
  <c r="S196" i="4" s="1"/>
  <c r="R199" i="4"/>
  <c r="S202" i="4"/>
  <c r="I134" i="4"/>
  <c r="P79" i="4"/>
  <c r="P87" i="4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O80" i="4"/>
  <c r="P80" i="4" s="1"/>
  <c r="O81" i="4"/>
  <c r="P81" i="4" s="1"/>
  <c r="O82" i="4"/>
  <c r="P82" i="4" s="1"/>
  <c r="O83" i="4"/>
  <c r="P83" i="4" s="1"/>
  <c r="O84" i="4"/>
  <c r="P84" i="4" s="1"/>
  <c r="O85" i="4"/>
  <c r="P85" i="4" s="1"/>
  <c r="O86" i="4"/>
  <c r="P86" i="4" s="1"/>
  <c r="O87" i="4"/>
  <c r="O88" i="4"/>
  <c r="P88" i="4" s="1"/>
  <c r="O89" i="4"/>
  <c r="P89" i="4" s="1"/>
  <c r="O90" i="4"/>
  <c r="P90" i="4" s="1"/>
  <c r="O91" i="4"/>
  <c r="P91" i="4" s="1"/>
  <c r="O71" i="4"/>
  <c r="P71" i="4" s="1"/>
  <c r="F72" i="4"/>
  <c r="F76" i="4"/>
  <c r="F71" i="4"/>
  <c r="E72" i="4"/>
  <c r="E73" i="4"/>
  <c r="F73" i="4" s="1"/>
  <c r="E74" i="4"/>
  <c r="F74" i="4" s="1"/>
  <c r="E75" i="4"/>
  <c r="F75" i="4" s="1"/>
  <c r="E76" i="4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71" i="4"/>
  <c r="R85" i="4" l="1"/>
  <c r="S85" i="4" s="1"/>
  <c r="R73" i="4"/>
  <c r="R88" i="4"/>
  <c r="S88" i="4" s="1"/>
  <c r="R82" i="4"/>
  <c r="S82" i="4" s="1"/>
  <c r="R76" i="4"/>
  <c r="S76" i="4" s="1"/>
  <c r="R91" i="4"/>
  <c r="S91" i="4" s="1"/>
  <c r="R79" i="4"/>
  <c r="S79" i="4" s="1"/>
  <c r="H91" i="4"/>
  <c r="I91" i="4" s="1"/>
  <c r="H79" i="4"/>
  <c r="I79" i="4" s="1"/>
  <c r="S273" i="4"/>
  <c r="S261" i="4"/>
  <c r="S258" i="4"/>
  <c r="S267" i="4"/>
  <c r="S276" i="4"/>
  <c r="S270" i="4"/>
  <c r="S264" i="4"/>
  <c r="I273" i="4"/>
  <c r="I258" i="4"/>
  <c r="S140" i="4"/>
  <c r="S152" i="4"/>
  <c r="I146" i="4"/>
  <c r="S149" i="4"/>
  <c r="I149" i="4"/>
  <c r="I270" i="4"/>
  <c r="I143" i="4"/>
  <c r="S199" i="4"/>
  <c r="I261" i="4"/>
  <c r="I196" i="4"/>
  <c r="I208" i="4"/>
  <c r="S208" i="4"/>
  <c r="I267" i="4"/>
  <c r="S134" i="4"/>
  <c r="S146" i="4"/>
  <c r="I140" i="4"/>
  <c r="I152" i="4"/>
  <c r="I199" i="4"/>
  <c r="S137" i="4"/>
  <c r="I137" i="4"/>
  <c r="I264" i="4"/>
  <c r="I276" i="4"/>
  <c r="S143" i="4"/>
  <c r="H88" i="4"/>
  <c r="I88" i="4" s="1"/>
  <c r="H76" i="4"/>
  <c r="I76" i="4" s="1"/>
  <c r="H85" i="4"/>
  <c r="I85" i="4" s="1"/>
  <c r="H82" i="4"/>
  <c r="I82" i="4" s="1"/>
  <c r="J6" i="2"/>
  <c r="L119" i="2"/>
  <c r="K119" i="2"/>
  <c r="M119" i="2"/>
  <c r="N119" i="2" s="1"/>
  <c r="R575" i="2" s="1"/>
  <c r="L118" i="2"/>
  <c r="K118" i="2"/>
  <c r="M118" i="2"/>
  <c r="N118" i="2" s="1"/>
  <c r="R574" i="2" s="1"/>
  <c r="L117" i="2"/>
  <c r="K117" i="2"/>
  <c r="M117" i="2"/>
  <c r="N117" i="2" s="1"/>
  <c r="R573" i="2" s="1"/>
  <c r="M116" i="2"/>
  <c r="N116" i="2" s="1"/>
  <c r="R572" i="2" s="1"/>
  <c r="L116" i="2"/>
  <c r="K116" i="2"/>
  <c r="L115" i="2"/>
  <c r="K115" i="2"/>
  <c r="M115" i="2"/>
  <c r="N115" i="2" s="1"/>
  <c r="R571" i="2" s="1"/>
  <c r="M114" i="2"/>
  <c r="N114" i="2" s="1"/>
  <c r="R570" i="2" s="1"/>
  <c r="L114" i="2"/>
  <c r="K114" i="2"/>
  <c r="L113" i="2"/>
  <c r="K113" i="2"/>
  <c r="M113" i="2"/>
  <c r="N113" i="2" s="1"/>
  <c r="R569" i="2" s="1"/>
  <c r="M112" i="2"/>
  <c r="N112" i="2" s="1"/>
  <c r="R568" i="2" s="1"/>
  <c r="L112" i="2"/>
  <c r="K112" i="2"/>
  <c r="L111" i="2"/>
  <c r="K111" i="2"/>
  <c r="M111" i="2"/>
  <c r="N111" i="2" s="1"/>
  <c r="R567" i="2" s="1"/>
  <c r="M110" i="2"/>
  <c r="N110" i="2" s="1"/>
  <c r="R566" i="2" s="1"/>
  <c r="L110" i="2"/>
  <c r="K110" i="2"/>
  <c r="L109" i="2"/>
  <c r="K109" i="2"/>
  <c r="M109" i="2"/>
  <c r="N109" i="2" s="1"/>
  <c r="R565" i="2" s="1"/>
  <c r="M108" i="2"/>
  <c r="N108" i="2" s="1"/>
  <c r="R564" i="2" s="1"/>
  <c r="L108" i="2"/>
  <c r="K108" i="2"/>
  <c r="L107" i="2"/>
  <c r="K107" i="2"/>
  <c r="M107" i="2"/>
  <c r="N107" i="2" s="1"/>
  <c r="R563" i="2" s="1"/>
  <c r="M106" i="2"/>
  <c r="N106" i="2" s="1"/>
  <c r="R562" i="2" s="1"/>
  <c r="L106" i="2"/>
  <c r="K106" i="2"/>
  <c r="L105" i="2"/>
  <c r="K105" i="2"/>
  <c r="M105" i="2"/>
  <c r="N105" i="2" s="1"/>
  <c r="R561" i="2" s="1"/>
  <c r="M104" i="2"/>
  <c r="N104" i="2" s="1"/>
  <c r="R560" i="2" s="1"/>
  <c r="L104" i="2"/>
  <c r="K104" i="2"/>
  <c r="L103" i="2"/>
  <c r="K103" i="2"/>
  <c r="M103" i="2"/>
  <c r="N103" i="2" s="1"/>
  <c r="R559" i="2" s="1"/>
  <c r="M102" i="2"/>
  <c r="N102" i="2" s="1"/>
  <c r="R558" i="2" s="1"/>
  <c r="L102" i="2"/>
  <c r="K102" i="2"/>
  <c r="L101" i="2"/>
  <c r="K101" i="2"/>
  <c r="M101" i="2"/>
  <c r="N101" i="2" s="1"/>
  <c r="R557" i="2" s="1"/>
  <c r="M100" i="2"/>
  <c r="N100" i="2" s="1"/>
  <c r="R556" i="2" s="1"/>
  <c r="L100" i="2"/>
  <c r="K100" i="2"/>
  <c r="L99" i="2"/>
  <c r="K99" i="2"/>
  <c r="M99" i="2"/>
  <c r="N99" i="2" s="1"/>
  <c r="R555" i="2" s="1"/>
  <c r="M98" i="2"/>
  <c r="N98" i="2" s="1"/>
  <c r="R554" i="2" s="1"/>
  <c r="L98" i="2"/>
  <c r="K98" i="2"/>
  <c r="L97" i="2"/>
  <c r="K97" i="2"/>
  <c r="M97" i="2"/>
  <c r="N97" i="2" s="1"/>
  <c r="R553" i="2" s="1"/>
  <c r="M96" i="2"/>
  <c r="N96" i="2" s="1"/>
  <c r="R552" i="2" s="1"/>
  <c r="L96" i="2"/>
  <c r="K96" i="2"/>
  <c r="L95" i="2"/>
  <c r="K95" i="2"/>
  <c r="M95" i="2"/>
  <c r="N95" i="2" s="1"/>
  <c r="R551" i="2" s="1"/>
  <c r="M94" i="2"/>
  <c r="N94" i="2" s="1"/>
  <c r="R550" i="2" s="1"/>
  <c r="L94" i="2"/>
  <c r="K94" i="2"/>
  <c r="L93" i="2"/>
  <c r="K93" i="2"/>
  <c r="M93" i="2"/>
  <c r="N93" i="2" s="1"/>
  <c r="R549" i="2" s="1"/>
  <c r="M92" i="2"/>
  <c r="N92" i="2" s="1"/>
  <c r="R548" i="2" s="1"/>
  <c r="L92" i="2"/>
  <c r="K92" i="2"/>
  <c r="L91" i="2"/>
  <c r="K91" i="2"/>
  <c r="M91" i="2"/>
  <c r="N91" i="2" s="1"/>
  <c r="R547" i="2" s="1"/>
  <c r="M90" i="2"/>
  <c r="N90" i="2" s="1"/>
  <c r="R546" i="2" s="1"/>
  <c r="L90" i="2"/>
  <c r="K90" i="2"/>
  <c r="L89" i="2"/>
  <c r="K89" i="2"/>
  <c r="M89" i="2"/>
  <c r="N89" i="2" s="1"/>
  <c r="R545" i="2" s="1"/>
  <c r="M88" i="2"/>
  <c r="N88" i="2" s="1"/>
  <c r="R544" i="2" s="1"/>
  <c r="L88" i="2"/>
  <c r="K88" i="2"/>
  <c r="L87" i="2"/>
  <c r="K87" i="2"/>
  <c r="M87" i="2"/>
  <c r="N87" i="2" s="1"/>
  <c r="R543" i="2" s="1"/>
  <c r="M86" i="2"/>
  <c r="N86" i="2" s="1"/>
  <c r="R542" i="2" s="1"/>
  <c r="L86" i="2"/>
  <c r="K86" i="2"/>
  <c r="L85" i="2"/>
  <c r="K85" i="2"/>
  <c r="M85" i="2"/>
  <c r="N85" i="2" s="1"/>
  <c r="R541" i="2" s="1"/>
  <c r="M84" i="2"/>
  <c r="N84" i="2" s="1"/>
  <c r="R540" i="2" s="1"/>
  <c r="L84" i="2"/>
  <c r="K84" i="2"/>
  <c r="L83" i="2"/>
  <c r="K83" i="2"/>
  <c r="M83" i="2"/>
  <c r="M82" i="2"/>
  <c r="N82" i="2" s="1"/>
  <c r="R538" i="2" s="1"/>
  <c r="L82" i="2"/>
  <c r="K82" i="2"/>
  <c r="G20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0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J44" i="2"/>
  <c r="M44" i="2" s="1"/>
  <c r="N44" i="2" s="1"/>
  <c r="R500" i="2" s="1"/>
  <c r="K44" i="2"/>
  <c r="L44" i="2"/>
  <c r="J45" i="2"/>
  <c r="M45" i="2" s="1"/>
  <c r="N45" i="2" s="1"/>
  <c r="R501" i="2" s="1"/>
  <c r="K45" i="2"/>
  <c r="L45" i="2"/>
  <c r="J46" i="2"/>
  <c r="M46" i="2" s="1"/>
  <c r="N46" i="2" s="1"/>
  <c r="R502" i="2" s="1"/>
  <c r="K46" i="2"/>
  <c r="L46" i="2"/>
  <c r="J47" i="2"/>
  <c r="M47" i="2" s="1"/>
  <c r="N47" i="2" s="1"/>
  <c r="R503" i="2" s="1"/>
  <c r="K47" i="2"/>
  <c r="L47" i="2"/>
  <c r="J48" i="2"/>
  <c r="M48" i="2" s="1"/>
  <c r="N48" i="2" s="1"/>
  <c r="R504" i="2" s="1"/>
  <c r="K48" i="2"/>
  <c r="L48" i="2"/>
  <c r="J49" i="2"/>
  <c r="M49" i="2" s="1"/>
  <c r="N49" i="2" s="1"/>
  <c r="R505" i="2" s="1"/>
  <c r="K49" i="2"/>
  <c r="L49" i="2"/>
  <c r="J50" i="2"/>
  <c r="M50" i="2" s="1"/>
  <c r="N50" i="2" s="1"/>
  <c r="R506" i="2" s="1"/>
  <c r="K50" i="2"/>
  <c r="L50" i="2"/>
  <c r="J51" i="2"/>
  <c r="M51" i="2" s="1"/>
  <c r="N51" i="2" s="1"/>
  <c r="R507" i="2" s="1"/>
  <c r="K51" i="2"/>
  <c r="L51" i="2"/>
  <c r="J52" i="2"/>
  <c r="M52" i="2" s="1"/>
  <c r="N52" i="2" s="1"/>
  <c r="R508" i="2" s="1"/>
  <c r="K52" i="2"/>
  <c r="L52" i="2"/>
  <c r="J53" i="2"/>
  <c r="M53" i="2" s="1"/>
  <c r="N53" i="2" s="1"/>
  <c r="R509" i="2" s="1"/>
  <c r="K53" i="2"/>
  <c r="L53" i="2"/>
  <c r="J54" i="2"/>
  <c r="M54" i="2" s="1"/>
  <c r="N54" i="2" s="1"/>
  <c r="R510" i="2" s="1"/>
  <c r="K54" i="2"/>
  <c r="L54" i="2"/>
  <c r="J55" i="2"/>
  <c r="M55" i="2" s="1"/>
  <c r="N55" i="2" s="1"/>
  <c r="R511" i="2" s="1"/>
  <c r="K55" i="2"/>
  <c r="L55" i="2"/>
  <c r="J56" i="2"/>
  <c r="M56" i="2" s="1"/>
  <c r="N56" i="2" s="1"/>
  <c r="R512" i="2" s="1"/>
  <c r="K56" i="2"/>
  <c r="L56" i="2"/>
  <c r="J57" i="2"/>
  <c r="M57" i="2" s="1"/>
  <c r="N57" i="2" s="1"/>
  <c r="R513" i="2" s="1"/>
  <c r="K57" i="2"/>
  <c r="L57" i="2"/>
  <c r="J58" i="2"/>
  <c r="M58" i="2" s="1"/>
  <c r="N58" i="2" s="1"/>
  <c r="R514" i="2" s="1"/>
  <c r="K58" i="2"/>
  <c r="L58" i="2"/>
  <c r="J59" i="2"/>
  <c r="M59" i="2" s="1"/>
  <c r="N59" i="2" s="1"/>
  <c r="R515" i="2" s="1"/>
  <c r="K59" i="2"/>
  <c r="L59" i="2"/>
  <c r="J60" i="2"/>
  <c r="M60" i="2" s="1"/>
  <c r="N60" i="2" s="1"/>
  <c r="R516" i="2" s="1"/>
  <c r="K60" i="2"/>
  <c r="L60" i="2"/>
  <c r="J61" i="2"/>
  <c r="M61" i="2" s="1"/>
  <c r="N61" i="2" s="1"/>
  <c r="R517" i="2" s="1"/>
  <c r="K61" i="2"/>
  <c r="L61" i="2"/>
  <c r="J62" i="2"/>
  <c r="M62" i="2" s="1"/>
  <c r="N62" i="2" s="1"/>
  <c r="R518" i="2" s="1"/>
  <c r="K62" i="2"/>
  <c r="L62" i="2"/>
  <c r="J63" i="2"/>
  <c r="M63" i="2" s="1"/>
  <c r="N63" i="2" s="1"/>
  <c r="R519" i="2" s="1"/>
  <c r="K63" i="2"/>
  <c r="L63" i="2"/>
  <c r="J64" i="2"/>
  <c r="M64" i="2" s="1"/>
  <c r="N64" i="2" s="1"/>
  <c r="R520" i="2" s="1"/>
  <c r="K64" i="2"/>
  <c r="L64" i="2"/>
  <c r="J65" i="2"/>
  <c r="M65" i="2" s="1"/>
  <c r="N65" i="2" s="1"/>
  <c r="R521" i="2" s="1"/>
  <c r="K65" i="2"/>
  <c r="L65" i="2"/>
  <c r="J66" i="2"/>
  <c r="M66" i="2" s="1"/>
  <c r="N66" i="2" s="1"/>
  <c r="R522" i="2" s="1"/>
  <c r="K66" i="2"/>
  <c r="L66" i="2"/>
  <c r="J67" i="2"/>
  <c r="M67" i="2" s="1"/>
  <c r="N67" i="2" s="1"/>
  <c r="R523" i="2" s="1"/>
  <c r="K67" i="2"/>
  <c r="L67" i="2"/>
  <c r="J68" i="2"/>
  <c r="M68" i="2" s="1"/>
  <c r="N68" i="2" s="1"/>
  <c r="R524" i="2" s="1"/>
  <c r="K68" i="2"/>
  <c r="L68" i="2"/>
  <c r="J69" i="2"/>
  <c r="M69" i="2" s="1"/>
  <c r="N69" i="2" s="1"/>
  <c r="R525" i="2" s="1"/>
  <c r="K69" i="2"/>
  <c r="L69" i="2"/>
  <c r="J70" i="2"/>
  <c r="M70" i="2" s="1"/>
  <c r="N70" i="2" s="1"/>
  <c r="R526" i="2" s="1"/>
  <c r="K70" i="2"/>
  <c r="L70" i="2"/>
  <c r="J71" i="2"/>
  <c r="M71" i="2" s="1"/>
  <c r="N71" i="2" s="1"/>
  <c r="R527" i="2" s="1"/>
  <c r="K71" i="2"/>
  <c r="L71" i="2"/>
  <c r="J72" i="2"/>
  <c r="M72" i="2" s="1"/>
  <c r="N72" i="2" s="1"/>
  <c r="R528" i="2" s="1"/>
  <c r="K72" i="2"/>
  <c r="L72" i="2"/>
  <c r="J73" i="2"/>
  <c r="M73" i="2" s="1"/>
  <c r="N73" i="2" s="1"/>
  <c r="R529" i="2" s="1"/>
  <c r="K73" i="2"/>
  <c r="L73" i="2"/>
  <c r="J74" i="2"/>
  <c r="M74" i="2" s="1"/>
  <c r="N74" i="2" s="1"/>
  <c r="R530" i="2" s="1"/>
  <c r="K74" i="2"/>
  <c r="L74" i="2"/>
  <c r="J75" i="2"/>
  <c r="M75" i="2" s="1"/>
  <c r="N75" i="2" s="1"/>
  <c r="R531" i="2" s="1"/>
  <c r="K75" i="2"/>
  <c r="L75" i="2"/>
  <c r="J76" i="2"/>
  <c r="M76" i="2" s="1"/>
  <c r="N76" i="2" s="1"/>
  <c r="R532" i="2" s="1"/>
  <c r="K76" i="2"/>
  <c r="L76" i="2"/>
  <c r="J77" i="2"/>
  <c r="M77" i="2" s="1"/>
  <c r="N77" i="2" s="1"/>
  <c r="R533" i="2" s="1"/>
  <c r="K77" i="2"/>
  <c r="L77" i="2"/>
  <c r="J78" i="2"/>
  <c r="M78" i="2" s="1"/>
  <c r="N78" i="2" s="1"/>
  <c r="R534" i="2" s="1"/>
  <c r="K78" i="2"/>
  <c r="L78" i="2"/>
  <c r="J79" i="2"/>
  <c r="M79" i="2" s="1"/>
  <c r="N79" i="2" s="1"/>
  <c r="R535" i="2" s="1"/>
  <c r="K79" i="2"/>
  <c r="L79" i="2"/>
  <c r="J80" i="2"/>
  <c r="M80" i="2" s="1"/>
  <c r="N80" i="2" s="1"/>
  <c r="R536" i="2" s="1"/>
  <c r="K80" i="2"/>
  <c r="L80" i="2"/>
  <c r="J81" i="2"/>
  <c r="M81" i="2" s="1"/>
  <c r="N81" i="2" s="1"/>
  <c r="R537" i="2" s="1"/>
  <c r="K81" i="2"/>
  <c r="L8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O69" i="2" l="1"/>
  <c r="P69" i="2"/>
  <c r="O64" i="2"/>
  <c r="P64" i="2"/>
  <c r="O63" i="2"/>
  <c r="P63" i="2"/>
  <c r="P68" i="2"/>
  <c r="O68" i="2"/>
  <c r="O60" i="2"/>
  <c r="P60" i="2"/>
  <c r="O58" i="2"/>
  <c r="P58" i="2"/>
  <c r="O57" i="2"/>
  <c r="P57" i="2"/>
  <c r="O56" i="2"/>
  <c r="P56" i="2"/>
  <c r="O55" i="2"/>
  <c r="P55" i="2"/>
  <c r="O54" i="2"/>
  <c r="P54" i="2"/>
  <c r="N83" i="2"/>
  <c r="R539" i="2" s="1"/>
  <c r="E45" i="1"/>
  <c r="O87" i="2"/>
  <c r="F12" i="1" s="1"/>
  <c r="P87" i="2"/>
  <c r="G12" i="1" s="1"/>
  <c r="P88" i="2"/>
  <c r="G13" i="1" s="1"/>
  <c r="O88" i="2"/>
  <c r="F13" i="1" s="1"/>
  <c r="O95" i="2"/>
  <c r="P95" i="2"/>
  <c r="O99" i="2"/>
  <c r="P99" i="2"/>
  <c r="O103" i="2"/>
  <c r="P103" i="2"/>
  <c r="O107" i="2"/>
  <c r="P107" i="2"/>
  <c r="P82" i="2"/>
  <c r="O82" i="2"/>
  <c r="O85" i="2"/>
  <c r="F10" i="1" s="1"/>
  <c r="P85" i="2"/>
  <c r="G10" i="1" s="1"/>
  <c r="P86" i="2"/>
  <c r="G11" i="1" s="1"/>
  <c r="O86" i="2"/>
  <c r="F11" i="1" s="1"/>
  <c r="O89" i="2"/>
  <c r="F14" i="1" s="1"/>
  <c r="P89" i="2"/>
  <c r="G14" i="1" s="1"/>
  <c r="P90" i="2"/>
  <c r="G15" i="1" s="1"/>
  <c r="O90" i="2"/>
  <c r="F15" i="1" s="1"/>
  <c r="O93" i="2"/>
  <c r="F18" i="1" s="1"/>
  <c r="P93" i="2"/>
  <c r="G18" i="1" s="1"/>
  <c r="P94" i="2"/>
  <c r="G19" i="1" s="1"/>
  <c r="O94" i="2"/>
  <c r="F19" i="1" s="1"/>
  <c r="O97" i="2"/>
  <c r="F22" i="1" s="1"/>
  <c r="P97" i="2"/>
  <c r="G22" i="1" s="1"/>
  <c r="P98" i="2"/>
  <c r="O98" i="2"/>
  <c r="O101" i="2"/>
  <c r="P101" i="2"/>
  <c r="P102" i="2"/>
  <c r="O102" i="2"/>
  <c r="O105" i="2"/>
  <c r="P105" i="2"/>
  <c r="P106" i="2"/>
  <c r="O106" i="2"/>
  <c r="O109" i="2"/>
  <c r="P109" i="2"/>
  <c r="P110" i="2"/>
  <c r="O110" i="2"/>
  <c r="O113" i="2"/>
  <c r="P113" i="2"/>
  <c r="P114" i="2"/>
  <c r="O114" i="2"/>
  <c r="O117" i="2"/>
  <c r="P117" i="2"/>
  <c r="O119" i="2"/>
  <c r="P119" i="2"/>
  <c r="P84" i="2"/>
  <c r="G9" i="1" s="1"/>
  <c r="O84" i="2"/>
  <c r="F9" i="1" s="1"/>
  <c r="O91" i="2"/>
  <c r="F16" i="1" s="1"/>
  <c r="P91" i="2"/>
  <c r="G16" i="1" s="1"/>
  <c r="P92" i="2"/>
  <c r="G17" i="1" s="1"/>
  <c r="O92" i="2"/>
  <c r="F17" i="1" s="1"/>
  <c r="P96" i="2"/>
  <c r="G21" i="1" s="1"/>
  <c r="O96" i="2"/>
  <c r="F21" i="1" s="1"/>
  <c r="P100" i="2"/>
  <c r="O100" i="2"/>
  <c r="P104" i="2"/>
  <c r="O104" i="2"/>
  <c r="P108" i="2"/>
  <c r="O108" i="2"/>
  <c r="O111" i="2"/>
  <c r="P111" i="2"/>
  <c r="P112" i="2"/>
  <c r="O112" i="2"/>
  <c r="O115" i="2"/>
  <c r="P115" i="2"/>
  <c r="P116" i="2"/>
  <c r="O116" i="2"/>
  <c r="P118" i="2"/>
  <c r="O118" i="2"/>
  <c r="O80" i="2"/>
  <c r="P80" i="2"/>
  <c r="P79" i="2"/>
  <c r="O79" i="2"/>
  <c r="O76" i="2"/>
  <c r="P76" i="2"/>
  <c r="P75" i="2"/>
  <c r="O75" i="2"/>
  <c r="O72" i="2"/>
  <c r="P72" i="2"/>
  <c r="P71" i="2"/>
  <c r="O71" i="2"/>
  <c r="P67" i="2"/>
  <c r="O67" i="2"/>
  <c r="O62" i="2"/>
  <c r="P62" i="2"/>
  <c r="P61" i="2"/>
  <c r="O61" i="2"/>
  <c r="P53" i="2"/>
  <c r="O53" i="2"/>
  <c r="O52" i="2"/>
  <c r="P52" i="2"/>
  <c r="P49" i="2"/>
  <c r="O49" i="2"/>
  <c r="O48" i="2"/>
  <c r="P48" i="2"/>
  <c r="P45" i="2"/>
  <c r="O45" i="2"/>
  <c r="O44" i="2"/>
  <c r="P44" i="2"/>
  <c r="P81" i="2"/>
  <c r="O81" i="2"/>
  <c r="O78" i="2"/>
  <c r="P78" i="2"/>
  <c r="P77" i="2"/>
  <c r="O77" i="2"/>
  <c r="O74" i="2"/>
  <c r="P74" i="2"/>
  <c r="P73" i="2"/>
  <c r="O73" i="2"/>
  <c r="O70" i="2"/>
  <c r="P70" i="2"/>
  <c r="O66" i="2"/>
  <c r="P66" i="2"/>
  <c r="P65" i="2"/>
  <c r="O65" i="2"/>
  <c r="P59" i="2"/>
  <c r="O59" i="2"/>
  <c r="P51" i="2"/>
  <c r="O51" i="2"/>
  <c r="O50" i="2"/>
  <c r="P50" i="2"/>
  <c r="P47" i="2"/>
  <c r="O47" i="2"/>
  <c r="O46" i="2"/>
  <c r="P46" i="2"/>
  <c r="S135" i="2" l="1"/>
  <c r="T249" i="2" s="1"/>
  <c r="S151" i="2"/>
  <c r="T265" i="2" s="1"/>
  <c r="S143" i="2"/>
  <c r="T257" i="2" s="1"/>
  <c r="S127" i="2"/>
  <c r="T241" i="2" s="1"/>
  <c r="S123" i="2"/>
  <c r="T237" i="2" s="1"/>
  <c r="S137" i="2"/>
  <c r="T251" i="2" s="1"/>
  <c r="S149" i="2"/>
  <c r="T263" i="2" s="1"/>
  <c r="S157" i="2"/>
  <c r="T271" i="2" s="1"/>
  <c r="S125" i="2"/>
  <c r="T239" i="2" s="1"/>
  <c r="S141" i="2"/>
  <c r="T255" i="2" s="1"/>
  <c r="S153" i="2"/>
  <c r="T267" i="2" s="1"/>
  <c r="S129" i="2"/>
  <c r="T243" i="2" s="1"/>
  <c r="S147" i="2"/>
  <c r="T261" i="2" s="1"/>
  <c r="S155" i="2"/>
  <c r="T269" i="2" s="1"/>
  <c r="S122" i="2"/>
  <c r="T236" i="2" s="1"/>
  <c r="S126" i="2"/>
  <c r="T240" i="2" s="1"/>
  <c r="S142" i="2"/>
  <c r="T256" i="2" s="1"/>
  <c r="S146" i="2"/>
  <c r="T260" i="2" s="1"/>
  <c r="S150" i="2"/>
  <c r="T264" i="2" s="1"/>
  <c r="S120" i="2"/>
  <c r="T234" i="2" s="1"/>
  <c r="S124" i="2"/>
  <c r="T238" i="2" s="1"/>
  <c r="S128" i="2"/>
  <c r="T242" i="2" s="1"/>
  <c r="S148" i="2"/>
  <c r="T262" i="2" s="1"/>
  <c r="S152" i="2"/>
  <c r="T266" i="2" s="1"/>
  <c r="S144" i="2"/>
  <c r="T258" i="2" s="1"/>
  <c r="S154" i="2"/>
  <c r="T268" i="2" s="1"/>
  <c r="S138" i="2"/>
  <c r="T252" i="2" s="1"/>
  <c r="S156" i="2"/>
  <c r="T270" i="2" s="1"/>
  <c r="S130" i="2"/>
  <c r="T244" i="2" s="1"/>
  <c r="S131" i="2"/>
  <c r="T245" i="2" s="1"/>
  <c r="S132" i="2"/>
  <c r="T246" i="2" s="1"/>
  <c r="S133" i="2"/>
  <c r="T247" i="2" s="1"/>
  <c r="S134" i="2"/>
  <c r="T248" i="2" s="1"/>
  <c r="S136" i="2"/>
  <c r="T250" i="2" s="1"/>
  <c r="S139" i="2"/>
  <c r="T253" i="2" s="1"/>
  <c r="S140" i="2"/>
  <c r="T254" i="2" s="1"/>
  <c r="S145" i="2"/>
  <c r="T259" i="2" s="1"/>
  <c r="F44" i="1"/>
  <c r="F7" i="1"/>
  <c r="G44" i="1"/>
  <c r="G7" i="1"/>
  <c r="O83" i="2"/>
  <c r="S121" i="2" s="1"/>
  <c r="T235" i="2" s="1"/>
  <c r="P83" i="2"/>
  <c r="M7" i="2"/>
  <c r="N7" i="2" s="1"/>
  <c r="R463" i="2" s="1"/>
  <c r="M8" i="2"/>
  <c r="N8" i="2" s="1"/>
  <c r="R464" i="2" s="1"/>
  <c r="M9" i="2"/>
  <c r="N9" i="2" s="1"/>
  <c r="R465" i="2" s="1"/>
  <c r="M10" i="2"/>
  <c r="N10" i="2" s="1"/>
  <c r="R466" i="2" s="1"/>
  <c r="M11" i="2"/>
  <c r="N11" i="2" s="1"/>
  <c r="R467" i="2" s="1"/>
  <c r="M12" i="2"/>
  <c r="N12" i="2" s="1"/>
  <c r="R468" i="2" s="1"/>
  <c r="M13" i="2"/>
  <c r="N13" i="2" s="1"/>
  <c r="R469" i="2" s="1"/>
  <c r="M14" i="2"/>
  <c r="N14" i="2" s="1"/>
  <c r="R470" i="2" s="1"/>
  <c r="M15" i="2"/>
  <c r="N15" i="2" s="1"/>
  <c r="R471" i="2" s="1"/>
  <c r="M16" i="2"/>
  <c r="N16" i="2" s="1"/>
  <c r="R472" i="2" s="1"/>
  <c r="M17" i="2"/>
  <c r="N17" i="2" s="1"/>
  <c r="R473" i="2" s="1"/>
  <c r="M18" i="2"/>
  <c r="N18" i="2" s="1"/>
  <c r="R474" i="2" s="1"/>
  <c r="M19" i="2"/>
  <c r="N19" i="2" s="1"/>
  <c r="R475" i="2" s="1"/>
  <c r="M20" i="2"/>
  <c r="N20" i="2" s="1"/>
  <c r="R476" i="2" s="1"/>
  <c r="M21" i="2"/>
  <c r="N21" i="2" s="1"/>
  <c r="R477" i="2" s="1"/>
  <c r="M22" i="2"/>
  <c r="N22" i="2" s="1"/>
  <c r="R478" i="2" s="1"/>
  <c r="M23" i="2"/>
  <c r="N23" i="2" s="1"/>
  <c r="R479" i="2" s="1"/>
  <c r="M24" i="2"/>
  <c r="N24" i="2" s="1"/>
  <c r="R480" i="2" s="1"/>
  <c r="M25" i="2"/>
  <c r="N25" i="2" s="1"/>
  <c r="R481" i="2" s="1"/>
  <c r="M26" i="2"/>
  <c r="N26" i="2" s="1"/>
  <c r="R482" i="2" s="1"/>
  <c r="M27" i="2"/>
  <c r="N27" i="2" s="1"/>
  <c r="R483" i="2" s="1"/>
  <c r="M28" i="2"/>
  <c r="N28" i="2" s="1"/>
  <c r="R484" i="2" s="1"/>
  <c r="M29" i="2"/>
  <c r="N29" i="2" s="1"/>
  <c r="R485" i="2" s="1"/>
  <c r="M30" i="2"/>
  <c r="N30" i="2" s="1"/>
  <c r="R486" i="2" s="1"/>
  <c r="M31" i="2"/>
  <c r="N31" i="2" s="1"/>
  <c r="R487" i="2" s="1"/>
  <c r="M32" i="2"/>
  <c r="N32" i="2" s="1"/>
  <c r="R488" i="2" s="1"/>
  <c r="M33" i="2"/>
  <c r="N33" i="2" s="1"/>
  <c r="R489" i="2" s="1"/>
  <c r="M34" i="2"/>
  <c r="N34" i="2" s="1"/>
  <c r="R490" i="2" s="1"/>
  <c r="M35" i="2"/>
  <c r="N35" i="2" s="1"/>
  <c r="R491" i="2" s="1"/>
  <c r="M36" i="2"/>
  <c r="N36" i="2" s="1"/>
  <c r="R492" i="2" s="1"/>
  <c r="M37" i="2"/>
  <c r="N37" i="2" s="1"/>
  <c r="R493" i="2" s="1"/>
  <c r="M38" i="2"/>
  <c r="N38" i="2" s="1"/>
  <c r="R494" i="2" s="1"/>
  <c r="M39" i="2"/>
  <c r="N39" i="2" s="1"/>
  <c r="R495" i="2" s="1"/>
  <c r="M40" i="2"/>
  <c r="N40" i="2" s="1"/>
  <c r="R496" i="2" s="1"/>
  <c r="M41" i="2"/>
  <c r="N41" i="2" s="1"/>
  <c r="R497" i="2" s="1"/>
  <c r="M42" i="2"/>
  <c r="N42" i="2" s="1"/>
  <c r="R498" i="2" s="1"/>
  <c r="M43" i="2"/>
  <c r="N43" i="2" s="1"/>
  <c r="R499" i="2" s="1"/>
  <c r="M6" i="2"/>
  <c r="N6" i="2" s="1"/>
  <c r="R462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6" i="2"/>
  <c r="L7" i="2"/>
  <c r="L8" i="2"/>
  <c r="L9" i="2"/>
  <c r="L10" i="2"/>
  <c r="L11" i="2"/>
  <c r="L12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6" i="2"/>
  <c r="F45" i="1" l="1"/>
  <c r="F8" i="1"/>
  <c r="G45" i="1"/>
  <c r="G8" i="1"/>
  <c r="O43" i="2"/>
  <c r="P43" i="2"/>
  <c r="O41" i="2"/>
  <c r="P41" i="2"/>
  <c r="O39" i="2"/>
  <c r="P39" i="2"/>
  <c r="O37" i="2"/>
  <c r="P37" i="2"/>
  <c r="O35" i="2"/>
  <c r="P35" i="2"/>
  <c r="O33" i="2"/>
  <c r="P33" i="2"/>
  <c r="O31" i="2"/>
  <c r="P31" i="2"/>
  <c r="O29" i="2"/>
  <c r="P29" i="2"/>
  <c r="O27" i="2"/>
  <c r="P27" i="2"/>
  <c r="O25" i="2"/>
  <c r="P25" i="2"/>
  <c r="O23" i="2"/>
  <c r="P23" i="2"/>
  <c r="O21" i="2"/>
  <c r="P21" i="2"/>
  <c r="O19" i="2"/>
  <c r="P19" i="2"/>
  <c r="O17" i="2"/>
  <c r="P17" i="2"/>
  <c r="O15" i="2"/>
  <c r="P15" i="2"/>
  <c r="O13" i="2"/>
  <c r="P13" i="2"/>
  <c r="O11" i="2"/>
  <c r="P11" i="2"/>
  <c r="O9" i="2"/>
  <c r="P9" i="2"/>
  <c r="O7" i="2"/>
  <c r="P7" i="2"/>
  <c r="P42" i="2"/>
  <c r="O42" i="2"/>
  <c r="P40" i="2"/>
  <c r="O40" i="2"/>
  <c r="P38" i="2"/>
  <c r="O38" i="2"/>
  <c r="P36" i="2"/>
  <c r="O36" i="2"/>
  <c r="P34" i="2"/>
  <c r="O34" i="2"/>
  <c r="P32" i="2"/>
  <c r="O32" i="2"/>
  <c r="P30" i="2"/>
  <c r="O30" i="2"/>
  <c r="P28" i="2"/>
  <c r="O28" i="2"/>
  <c r="P26" i="2"/>
  <c r="O26" i="2"/>
  <c r="P24" i="2"/>
  <c r="O24" i="2"/>
  <c r="P22" i="2"/>
  <c r="O22" i="2"/>
  <c r="P20" i="2"/>
  <c r="O20" i="2"/>
  <c r="P18" i="2"/>
  <c r="O18" i="2"/>
  <c r="P16" i="2"/>
  <c r="O16" i="2"/>
  <c r="P14" i="2"/>
  <c r="O14" i="2"/>
  <c r="P12" i="2"/>
  <c r="O12" i="2"/>
  <c r="P10" i="2"/>
  <c r="O10" i="2"/>
  <c r="P8" i="2"/>
  <c r="O8" i="2"/>
  <c r="P6" i="2"/>
  <c r="O6" i="2"/>
  <c r="A5" i="1" l="1"/>
</calcChain>
</file>

<file path=xl/comments1.xml><?xml version="1.0" encoding="utf-8"?>
<comments xmlns="http://schemas.openxmlformats.org/spreadsheetml/2006/main">
  <authors>
    <author>laurel.benson</author>
    <author>Adam Sparger</author>
  </authors>
  <commentList>
    <comment ref="G613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51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89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27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65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146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0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4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7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1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5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9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4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8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2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4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5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8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9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202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203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205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207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</commentList>
</comments>
</file>

<file path=xl/sharedStrings.xml><?xml version="1.0" encoding="utf-8"?>
<sst xmlns="http://schemas.openxmlformats.org/spreadsheetml/2006/main" count="11804" uniqueCount="309">
  <si>
    <t xml:space="preserve"> </t>
  </si>
  <si>
    <t xml:space="preserve">Wheat </t>
  </si>
  <si>
    <t xml:space="preserve">South Central KS </t>
  </si>
  <si>
    <t xml:space="preserve">St. Louis, MO </t>
  </si>
  <si>
    <t xml:space="preserve">Grand Forks, ND </t>
  </si>
  <si>
    <t xml:space="preserve">Dulth-Superior, MN </t>
  </si>
  <si>
    <t xml:space="preserve">Los Angeles, CA </t>
  </si>
  <si>
    <t xml:space="preserve">New Orleans, LA </t>
  </si>
  <si>
    <t xml:space="preserve">Sioux Falls, SD </t>
  </si>
  <si>
    <t xml:space="preserve">Galveston-Houston, TX </t>
  </si>
  <si>
    <t xml:space="preserve">Northwest KS </t>
  </si>
  <si>
    <t xml:space="preserve">Amarillo, TX </t>
  </si>
  <si>
    <t xml:space="preserve">Corn </t>
  </si>
  <si>
    <t xml:space="preserve">Champaign-Urbana, IL </t>
  </si>
  <si>
    <t xml:space="preserve">Toledo, OH </t>
  </si>
  <si>
    <t xml:space="preserve">Raleigh, NC </t>
  </si>
  <si>
    <t xml:space="preserve">Des Moines, IA </t>
  </si>
  <si>
    <t xml:space="preserve">Davenport, IA </t>
  </si>
  <si>
    <t xml:space="preserve">Indianapolis, IN </t>
  </si>
  <si>
    <t xml:space="preserve">Atlanta, GA </t>
  </si>
  <si>
    <t xml:space="preserve">Knoxville, TN </t>
  </si>
  <si>
    <t xml:space="preserve">Little Rock, AR </t>
  </si>
  <si>
    <t xml:space="preserve">Soybeans </t>
  </si>
  <si>
    <t xml:space="preserve">Minneapolis, MN </t>
  </si>
  <si>
    <t xml:space="preserve">Huntsville, AL </t>
  </si>
  <si>
    <t xml:space="preserve">Great Falls, MT </t>
  </si>
  <si>
    <t xml:space="preserve">Portland, OR </t>
  </si>
  <si>
    <t xml:space="preserve">Chicago, IL </t>
  </si>
  <si>
    <t xml:space="preserve">Albany, NY </t>
  </si>
  <si>
    <t xml:space="preserve">Tacoma, WA </t>
  </si>
  <si>
    <t xml:space="preserve">Lincoln, NE </t>
  </si>
  <si>
    <t xml:space="preserve">Council Bluffs, IA </t>
  </si>
  <si>
    <t xml:space="preserve">Stockton, CA </t>
  </si>
  <si>
    <t xml:space="preserve">Fargo, ND </t>
  </si>
  <si>
    <t xml:space="preserve">Grand Island, NE </t>
  </si>
  <si>
    <t>Table 7</t>
  </si>
  <si>
    <r>
      <t>Tariff Rail Rates for Unit and Shuttle Train Shipments</t>
    </r>
    <r>
      <rPr>
        <b/>
        <vertAlign val="superscript"/>
        <sz val="11"/>
        <color indexed="8"/>
        <rFont val="Times New Roman"/>
        <family val="1"/>
      </rPr>
      <t>1</t>
    </r>
  </si>
  <si>
    <t xml:space="preserve">Effective date: </t>
  </si>
  <si>
    <t>Fuel surcharge per car</t>
  </si>
  <si>
    <t>Percent</t>
  </si>
  <si>
    <t>Tariff</t>
  </si>
  <si>
    <t>Tariff plus surcharge per:</t>
  </si>
  <si>
    <t>change</t>
  </si>
  <si>
    <t>rate/car</t>
  </si>
  <si>
    <t xml:space="preserve">     metric ton</t>
  </si>
  <si>
    <r>
      <t xml:space="preserve">         bushel</t>
    </r>
    <r>
      <rPr>
        <b/>
        <vertAlign val="superscript"/>
        <sz val="9"/>
        <rFont val="Times New Roman"/>
        <family val="1"/>
      </rPr>
      <t>2</t>
    </r>
  </si>
  <si>
    <r>
      <t>Y/Y</t>
    </r>
    <r>
      <rPr>
        <b/>
        <vertAlign val="superscript"/>
        <sz val="9"/>
        <rFont val="Times New Roman"/>
        <family val="1"/>
      </rPr>
      <t>3</t>
    </r>
  </si>
  <si>
    <r>
      <t>1</t>
    </r>
    <r>
      <rPr>
        <sz val="8"/>
        <rFont val="Times New Roman"/>
        <family val="1"/>
      </rPr>
      <t xml:space="preserve">A unit train refers to shipments of at least 25 cars.  Shuttle train rates are available for qualified shipments of </t>
    </r>
  </si>
  <si>
    <r>
      <t>3</t>
    </r>
    <r>
      <rPr>
        <sz val="8"/>
        <rFont val="Times New Roman"/>
        <family val="1"/>
      </rPr>
      <t>Percentage change year over year calculated using tariff rate plus fuel surchage</t>
    </r>
  </si>
  <si>
    <t>Sources:  www.bnsf.com, www.cpr.ca, www.csx.com, www.uprr.com</t>
  </si>
  <si>
    <t>Destination region*</t>
  </si>
  <si>
    <t>*Regional economic areas defined by the Bureau of Economic Analysis (BEA)</t>
  </si>
  <si>
    <t>Unit train</t>
  </si>
  <si>
    <t>Shuttle Train</t>
  </si>
  <si>
    <t>commodity</t>
  </si>
  <si>
    <t>origin</t>
  </si>
  <si>
    <t>destination</t>
  </si>
  <si>
    <t>mileage</t>
  </si>
  <si>
    <t>railroad</t>
  </si>
  <si>
    <t>fsc</t>
  </si>
  <si>
    <t>fsc:</t>
  </si>
  <si>
    <t>fuel surcharge</t>
  </si>
  <si>
    <t>Tariff Rail Rates for Unit and Shuttle Train Shipments</t>
  </si>
  <si>
    <t>quarter</t>
  </si>
  <si>
    <t>tr:</t>
  </si>
  <si>
    <t>tariff rate</t>
  </si>
  <si>
    <t>quarterly</t>
  </si>
  <si>
    <t>over</t>
  </si>
  <si>
    <t>gtr</t>
  </si>
  <si>
    <t>year over</t>
  </si>
  <si>
    <t>tr plus fsc</t>
  </si>
  <si>
    <t xml:space="preserve">quarter </t>
  </si>
  <si>
    <t>same quarter</t>
  </si>
  <si>
    <t xml:space="preserve">effective </t>
  </si>
  <si>
    <t>publication</t>
  </si>
  <si>
    <t>tr per</t>
  </si>
  <si>
    <t>per</t>
  </si>
  <si>
    <t>year change</t>
  </si>
  <si>
    <t>over quarter</t>
  </si>
  <si>
    <t>last year</t>
  </si>
  <si>
    <t>train type</t>
  </si>
  <si>
    <t>date</t>
  </si>
  <si>
    <t>tr per car</t>
  </si>
  <si>
    <t>per mile</t>
  </si>
  <si>
    <t>metric ton</t>
  </si>
  <si>
    <t>bushel</t>
  </si>
  <si>
    <t>fsc per car</t>
  </si>
  <si>
    <t>per car</t>
  </si>
  <si>
    <t>of tr</t>
  </si>
  <si>
    <t>of tr plus fsc</t>
  </si>
  <si>
    <t>unit</t>
  </si>
  <si>
    <t>shuttle</t>
  </si>
  <si>
    <t>UP</t>
  </si>
  <si>
    <t>BNSF</t>
  </si>
  <si>
    <t>CSX</t>
  </si>
  <si>
    <t>CN</t>
  </si>
  <si>
    <r>
      <t>2</t>
    </r>
    <r>
      <rPr>
        <sz val="8"/>
        <rFont val="Times New Roman"/>
        <family val="1"/>
      </rPr>
      <t>Approximate load per car = 111 short tons (100.7 metric tons):  corn 56 lbs./bu., wheat &amp; soybeans 60 lbs./bu.</t>
    </r>
  </si>
  <si>
    <t>Tariff document</t>
  </si>
  <si>
    <t>Commodity</t>
  </si>
  <si>
    <t>Origin Area</t>
  </si>
  <si>
    <t>Actual Origin</t>
  </si>
  <si>
    <t>Destination Area</t>
  </si>
  <si>
    <t>Actual Destination</t>
  </si>
  <si>
    <t>Railroad</t>
  </si>
  <si>
    <t>Train Type</t>
  </si>
  <si>
    <t>Rate</t>
  </si>
  <si>
    <t>Effective Date</t>
  </si>
  <si>
    <t>Mileage</t>
  </si>
  <si>
    <t>Tariff Document</t>
  </si>
  <si>
    <t>Wheat</t>
  </si>
  <si>
    <t>South Central KS</t>
  </si>
  <si>
    <t>Wichita, KS</t>
  </si>
  <si>
    <t>St. Louis, MO</t>
  </si>
  <si>
    <t>Unit</t>
  </si>
  <si>
    <t>UP 4052 Item 9171</t>
  </si>
  <si>
    <t>Grand Forks, ND</t>
  </si>
  <si>
    <t>Dulth-Superior, MN</t>
  </si>
  <si>
    <t>Duluth, MN</t>
  </si>
  <si>
    <t>BNSF 4022-M Item 45316</t>
  </si>
  <si>
    <t>Los Angeles, CA</t>
  </si>
  <si>
    <t>BNSF 4022-M Item 44102</t>
  </si>
  <si>
    <t>New Orleans, LA</t>
  </si>
  <si>
    <t>Ama, LA</t>
  </si>
  <si>
    <t>UP 4052 Item 7021</t>
  </si>
  <si>
    <t>Sioux Falls, SD</t>
  </si>
  <si>
    <t>Mitchell, SD</t>
  </si>
  <si>
    <t>Galveston-Houston, TX</t>
  </si>
  <si>
    <t>Houston, TX</t>
  </si>
  <si>
    <t>BNSF 4022-M Item 46103</t>
  </si>
  <si>
    <t>Northwest KS</t>
  </si>
  <si>
    <t>Colby, KS</t>
  </si>
  <si>
    <t>UP 4052 Item 7101</t>
  </si>
  <si>
    <t>Amarillo, TX</t>
  </si>
  <si>
    <t>UP 4052 Item 9045</t>
  </si>
  <si>
    <t>Corn</t>
  </si>
  <si>
    <t>Champaign-Urbana, IL</t>
  </si>
  <si>
    <t>Pontiac, IL</t>
  </si>
  <si>
    <t>UP 4051 Item 1132.000</t>
  </si>
  <si>
    <t>Toledo, OH</t>
  </si>
  <si>
    <t>Raleigh, NC</t>
  </si>
  <si>
    <t>Public CSXT 4315</t>
  </si>
  <si>
    <t>Des Moines, IA</t>
  </si>
  <si>
    <t>Davenport, IA</t>
  </si>
  <si>
    <t>Clinton, IA</t>
  </si>
  <si>
    <t>UP 4051 Item 2606.000</t>
  </si>
  <si>
    <t>Indianapolis, IN</t>
  </si>
  <si>
    <t>Atlanta, GA</t>
  </si>
  <si>
    <t>Athens, GA</t>
  </si>
  <si>
    <t>Knoxville, TN</t>
  </si>
  <si>
    <t>Little Rock, AR</t>
  </si>
  <si>
    <t>Russellville, AR</t>
  </si>
  <si>
    <t>UP 4051 Item 2205.000</t>
  </si>
  <si>
    <t>Brawley, CA</t>
  </si>
  <si>
    <t>UP 4051 Item 2320.000</t>
  </si>
  <si>
    <t>Soybeans</t>
  </si>
  <si>
    <t>Minneapolis, MN</t>
  </si>
  <si>
    <t>Glenville, MN</t>
  </si>
  <si>
    <t>Reserve, LA</t>
  </si>
  <si>
    <t>CN T 004051 Item 1110000</t>
  </si>
  <si>
    <t>Huntsville, AL</t>
  </si>
  <si>
    <t>Decatur, AL</t>
  </si>
  <si>
    <t>UP 4051 Item 1144.000</t>
  </si>
  <si>
    <t>Great Falls, MT</t>
  </si>
  <si>
    <t>Portland, OR</t>
  </si>
  <si>
    <t>Shuttle</t>
  </si>
  <si>
    <t>BNSF 4022-M Item 43802</t>
  </si>
  <si>
    <t>Galveston, TX</t>
  </si>
  <si>
    <t>BNSF 4022-M Item 46303</t>
  </si>
  <si>
    <t>Chicago, IL</t>
  </si>
  <si>
    <t>Albany, NY</t>
  </si>
  <si>
    <t>North Grand Forks, ND</t>
  </si>
  <si>
    <t>BNSF 4022-M Item 45416</t>
  </si>
  <si>
    <t>UP 4052 Item 6021</t>
  </si>
  <si>
    <t>New Ulm, MN</t>
  </si>
  <si>
    <t>BNSF 4022-M Item 39007</t>
  </si>
  <si>
    <t>Tacoma, WA</t>
  </si>
  <si>
    <t>Lincoln, NE</t>
  </si>
  <si>
    <t>Avon, IA</t>
  </si>
  <si>
    <t>UP 4051 Item 2240.000</t>
  </si>
  <si>
    <t>Council Bluffs, IA</t>
  </si>
  <si>
    <t>Red Oak, IA</t>
  </si>
  <si>
    <t>Stockton, CA</t>
  </si>
  <si>
    <t>BNSF 4022-M Item 61907</t>
  </si>
  <si>
    <t>Fargo, ND</t>
  </si>
  <si>
    <t>Casselton, ND</t>
  </si>
  <si>
    <t>Grand Island, NE</t>
  </si>
  <si>
    <t>UP 4051 Item 1300.000</t>
  </si>
  <si>
    <t xml:space="preserve">Duluth-Superior, MN </t>
  </si>
  <si>
    <t>BNSF rates for</t>
  </si>
  <si>
    <t>to</t>
  </si>
  <si>
    <t>(Casselton, ND)</t>
  </si>
  <si>
    <t>Shuttle trains of 110 to 120 railcars</t>
  </si>
  <si>
    <t>Miles</t>
  </si>
  <si>
    <t>Month/year</t>
  </si>
  <si>
    <t>Tariff rate</t>
  </si>
  <si>
    <t>FSC</t>
  </si>
  <si>
    <t>rate/mile</t>
  </si>
  <si>
    <t>Jan. 09</t>
  </si>
  <si>
    <t>Feb. 09</t>
  </si>
  <si>
    <t>Mar. 09</t>
  </si>
  <si>
    <t>Apr. 09</t>
  </si>
  <si>
    <t>May. 09</t>
  </si>
  <si>
    <t>Jun. 09</t>
  </si>
  <si>
    <t>Jul. 09</t>
  </si>
  <si>
    <t>Aug. 09</t>
  </si>
  <si>
    <t>Sep. 09</t>
  </si>
  <si>
    <t>Oct. 09</t>
  </si>
  <si>
    <t>Nov. 09</t>
  </si>
  <si>
    <t>Dec. 09</t>
  </si>
  <si>
    <t>Jan. 10</t>
  </si>
  <si>
    <t>Feb. 10</t>
  </si>
  <si>
    <t>Mar. 10</t>
  </si>
  <si>
    <t>Apr. 10</t>
  </si>
  <si>
    <t>May. 10</t>
  </si>
  <si>
    <t>Jun. 10</t>
  </si>
  <si>
    <t>Jul. 10</t>
  </si>
  <si>
    <t>Aug. 10</t>
  </si>
  <si>
    <t>Sep. 10</t>
  </si>
  <si>
    <t>per carload</t>
  </si>
  <si>
    <t>Tariff +</t>
  </si>
  <si>
    <t>1Q 09</t>
  </si>
  <si>
    <t>3Q 09</t>
  </si>
  <si>
    <t>2Q 09</t>
  </si>
  <si>
    <t>4Q 09</t>
  </si>
  <si>
    <t>1Q 10</t>
  </si>
  <si>
    <t>2Q 10</t>
  </si>
  <si>
    <t>3Q 10</t>
  </si>
  <si>
    <t>Rate/MT</t>
  </si>
  <si>
    <t>MT</t>
  </si>
  <si>
    <t>=</t>
  </si>
  <si>
    <t>Rate per</t>
  </si>
  <si>
    <t>Railcar</t>
  </si>
  <si>
    <t>Minneapolis,MN to Portland, OR</t>
  </si>
  <si>
    <t>(New Ulm, MN)</t>
  </si>
  <si>
    <t xml:space="preserve">South Central, KS </t>
  </si>
  <si>
    <t>(Wichita, KS)</t>
  </si>
  <si>
    <t>(Galveston, TX)</t>
  </si>
  <si>
    <t>Grand Forks, ND to Portland, OR</t>
  </si>
  <si>
    <t>(North Grand Forks, ND)</t>
  </si>
  <si>
    <t>(Houston, TX)</t>
  </si>
  <si>
    <t>Northwest, KS to Portland, OR</t>
  </si>
  <si>
    <t>(Colby, KS)</t>
  </si>
  <si>
    <t>UP rates for</t>
  </si>
  <si>
    <t>Origin region*</t>
  </si>
  <si>
    <t>Sioux Falls, SD to Tacoma, WA</t>
  </si>
  <si>
    <t>(Mitchell, SD)</t>
  </si>
  <si>
    <t xml:space="preserve">Wichita, KS </t>
  </si>
  <si>
    <t>Oct. 10</t>
  </si>
  <si>
    <t>Nov. 10</t>
  </si>
  <si>
    <t>Dec. 10</t>
  </si>
  <si>
    <t>Heavy axle railcars -- load to 111 tons</t>
  </si>
  <si>
    <t>4Q 10</t>
  </si>
  <si>
    <t>Jan. 11</t>
  </si>
  <si>
    <t>Feb. 11</t>
  </si>
  <si>
    <t>Mar. 11</t>
  </si>
  <si>
    <t>Apr. 11</t>
  </si>
  <si>
    <t>May. 11</t>
  </si>
  <si>
    <t>Jun. 11</t>
  </si>
  <si>
    <t>Jul. 11</t>
  </si>
  <si>
    <t>Aug. 11</t>
  </si>
  <si>
    <t>Sep. 11</t>
  </si>
  <si>
    <t>Oct. 11</t>
  </si>
  <si>
    <t>Nov. 11</t>
  </si>
  <si>
    <t>Dec. 11</t>
  </si>
  <si>
    <t>= month at the end of a quarter</t>
  </si>
  <si>
    <t>= data that shows in the table</t>
  </si>
  <si>
    <t>1Q 11</t>
  </si>
  <si>
    <t>2Q 11</t>
  </si>
  <si>
    <t>3Q 11</t>
  </si>
  <si>
    <t>75-120 cars that meet railroad efficiency requirements.</t>
  </si>
  <si>
    <t>4Q 11</t>
  </si>
  <si>
    <t>St Louis, MO</t>
  </si>
  <si>
    <t>STCC</t>
  </si>
  <si>
    <t>0113710</t>
  </si>
  <si>
    <t>0113210</t>
  </si>
  <si>
    <t>0114410</t>
  </si>
  <si>
    <t>Jan. 12</t>
  </si>
  <si>
    <t>Feb. 12</t>
  </si>
  <si>
    <t>Mar. 12</t>
  </si>
  <si>
    <t>1Q 12</t>
  </si>
  <si>
    <t>Oct. 12</t>
  </si>
  <si>
    <t>Apr. 12</t>
  </si>
  <si>
    <t>May. 12</t>
  </si>
  <si>
    <t>Jun. 12</t>
  </si>
  <si>
    <t>Jul. 12</t>
  </si>
  <si>
    <t>Aug. 12</t>
  </si>
  <si>
    <t>Sep. 12</t>
  </si>
  <si>
    <t>Nov. 12</t>
  </si>
  <si>
    <t>Dec. 12</t>
  </si>
  <si>
    <t>2Q 12</t>
  </si>
  <si>
    <t>3Q 12</t>
  </si>
  <si>
    <t>4Q 12</t>
  </si>
  <si>
    <t>Jan. 14</t>
  </si>
  <si>
    <t>Feb. 14</t>
  </si>
  <si>
    <t>Mar. 14</t>
  </si>
  <si>
    <t>Apr. 14</t>
  </si>
  <si>
    <t>Minneapolis, MN to St. Louis, MO</t>
  </si>
  <si>
    <t>Davenport, IA to St. Louis, MO</t>
  </si>
  <si>
    <t>(Clinton, IA)</t>
  </si>
  <si>
    <t>1Q 14</t>
  </si>
  <si>
    <t>Corn, Soybean</t>
  </si>
  <si>
    <t>May. 14</t>
  </si>
  <si>
    <t>Jun. 14</t>
  </si>
  <si>
    <t>2Q14</t>
  </si>
  <si>
    <t>Jul. 14</t>
  </si>
  <si>
    <t>Aug. 14</t>
  </si>
  <si>
    <t>Sep. 14</t>
  </si>
  <si>
    <t>Oct. 14</t>
  </si>
  <si>
    <t>3Q14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</si>
</sst>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_(* #,##0_____);_(* \(#,##0\);_(* &quot;-&quot;_);_(@_)"/>
    <numFmt numFmtId="165" formatCode="&quot;$&quot;#,##0___________);\(&quot;$&quot;#,##0\)"/>
    <numFmt numFmtId="166" formatCode="&quot;$&quot;#,##0.00___________)"/>
    <numFmt numFmtId="167" formatCode="&quot;$&quot;#,##0.00___________);\(&quot;$&quot;#,##0.00\)"/>
    <numFmt numFmtId="168" formatCode="[$$-409]#,##0"/>
    <numFmt numFmtId="169" formatCode="[$-409]d\-mmm\-yy;@"/>
    <numFmt numFmtId="170" formatCode="0.000"/>
    <numFmt numFmtId="171" formatCode="[$$-409]#,##0.00"/>
    <numFmt numFmtId="172" formatCode="_(* #,##0_);_(* \(#,##0\);_(* &quot;-&quot;??_);_(@_)"/>
    <numFmt numFmtId="173" formatCode="0.0000"/>
    <numFmt numFmtId="174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Times New Roman"/>
      <family val="1"/>
    </font>
    <font>
      <b/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b/>
      <u/>
      <sz val="9"/>
      <color indexed="8"/>
      <name val="Times New Roman"/>
      <family val="1"/>
    </font>
    <font>
      <sz val="9"/>
      <color indexed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vertAlign val="superscript"/>
      <sz val="8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2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18" fillId="33" borderId="0" xfId="0" applyFont="1" applyFill="1"/>
    <xf numFmtId="0" fontId="0" fillId="33" borderId="0" xfId="0" applyFill="1"/>
    <xf numFmtId="0" fontId="19" fillId="33" borderId="10" xfId="0" applyFont="1" applyFill="1" applyBorder="1" applyAlignment="1" applyProtection="1">
      <alignment horizontal="left"/>
    </xf>
    <xf numFmtId="0" fontId="19" fillId="33" borderId="10" xfId="0" applyFont="1" applyFill="1" applyBorder="1" applyAlignment="1" applyProtection="1">
      <alignment horizontal="center"/>
    </xf>
    <xf numFmtId="164" fontId="19" fillId="33" borderId="10" xfId="0" applyNumberFormat="1" applyFont="1" applyFill="1" applyBorder="1" applyAlignment="1" applyProtection="1">
      <alignment horizontal="center"/>
    </xf>
    <xf numFmtId="165" fontId="21" fillId="33" borderId="10" xfId="0" applyNumberFormat="1" applyFont="1" applyFill="1" applyBorder="1" applyAlignment="1" applyProtection="1">
      <alignment horizontal="center"/>
    </xf>
    <xf numFmtId="166" fontId="21" fillId="33" borderId="10" xfId="0" applyNumberFormat="1" applyFont="1" applyFill="1" applyBorder="1" applyAlignment="1" applyProtection="1">
      <alignment horizontal="center"/>
    </xf>
    <xf numFmtId="167" fontId="21" fillId="33" borderId="10" xfId="0" applyNumberFormat="1" applyFont="1" applyFill="1" applyBorder="1" applyAlignment="1" applyProtection="1">
      <alignment horizontal="center"/>
    </xf>
    <xf numFmtId="0" fontId="22" fillId="34" borderId="0" xfId="0" applyFont="1" applyFill="1" applyBorder="1" applyAlignment="1" applyProtection="1">
      <alignment horizontal="left"/>
    </xf>
    <xf numFmtId="0" fontId="22" fillId="34" borderId="0" xfId="0" applyFont="1" applyFill="1" applyBorder="1" applyAlignment="1" applyProtection="1">
      <alignment horizontal="center"/>
    </xf>
    <xf numFmtId="164" fontId="22" fillId="34" borderId="0" xfId="0" applyNumberFormat="1" applyFont="1" applyFill="1" applyBorder="1" applyAlignment="1" applyProtection="1">
      <alignment horizontal="center"/>
    </xf>
    <xf numFmtId="165" fontId="22" fillId="34" borderId="0" xfId="0" applyNumberFormat="1" applyFont="1" applyFill="1" applyBorder="1" applyAlignment="1" applyProtection="1">
      <alignment horizontal="center"/>
    </xf>
    <xf numFmtId="166" fontId="22" fillId="34" borderId="0" xfId="0" applyNumberFormat="1" applyFont="1" applyFill="1" applyBorder="1" applyAlignment="1" applyProtection="1">
      <alignment horizontal="right"/>
    </xf>
    <xf numFmtId="167" fontId="22" fillId="34" borderId="0" xfId="0" applyNumberFormat="1" applyFont="1" applyFill="1" applyBorder="1" applyAlignment="1" applyProtection="1">
      <alignment horizontal="right"/>
    </xf>
    <xf numFmtId="165" fontId="22" fillId="34" borderId="0" xfId="0" applyNumberFormat="1" applyFont="1" applyFill="1" applyBorder="1" applyAlignment="1" applyProtection="1">
      <alignment horizontal="right"/>
    </xf>
    <xf numFmtId="14" fontId="23" fillId="34" borderId="10" xfId="0" applyNumberFormat="1" applyFont="1" applyFill="1" applyBorder="1" applyAlignment="1">
      <alignment horizontal="left"/>
    </xf>
    <xf numFmtId="0" fontId="22" fillId="34" borderId="10" xfId="0" applyNumberFormat="1" applyFont="1" applyFill="1" applyBorder="1" applyAlignment="1">
      <alignment horizontal="left"/>
    </xf>
    <xf numFmtId="0" fontId="23" fillId="34" borderId="10" xfId="0" applyNumberFormat="1" applyFont="1" applyFill="1" applyBorder="1" applyAlignment="1">
      <alignment horizontal="right"/>
    </xf>
    <xf numFmtId="17" fontId="23" fillId="34" borderId="10" xfId="0" applyNumberFormat="1" applyFont="1" applyFill="1" applyBorder="1" applyAlignment="1">
      <alignment horizontal="right"/>
    </xf>
    <xf numFmtId="0" fontId="25" fillId="33" borderId="0" xfId="0" applyNumberFormat="1" applyFont="1" applyFill="1" applyBorder="1" applyAlignment="1"/>
    <xf numFmtId="0" fontId="26" fillId="35" borderId="0" xfId="0" applyNumberFormat="1" applyFont="1" applyFill="1" applyBorder="1" applyAlignment="1"/>
    <xf numFmtId="0" fontId="27" fillId="35" borderId="0" xfId="0" applyNumberFormat="1" applyFont="1" applyFill="1" applyBorder="1" applyAlignment="1"/>
    <xf numFmtId="168" fontId="27" fillId="33" borderId="0" xfId="0" applyNumberFormat="1" applyFont="1" applyFill="1" applyBorder="1" applyAlignment="1"/>
    <xf numFmtId="1" fontId="27" fillId="35" borderId="0" xfId="0" applyNumberFormat="1" applyFont="1" applyFill="1" applyBorder="1" applyAlignment="1">
      <alignment horizontal="right"/>
    </xf>
    <xf numFmtId="0" fontId="28" fillId="35" borderId="0" xfId="0" applyNumberFormat="1" applyFont="1" applyFill="1" applyBorder="1" applyAlignment="1"/>
    <xf numFmtId="0" fontId="30" fillId="33" borderId="0" xfId="0" applyFont="1" applyFill="1" applyBorder="1" applyAlignment="1">
      <alignment horizontal="left"/>
    </xf>
    <xf numFmtId="0" fontId="31" fillId="33" borderId="0" xfId="0" applyFont="1" applyFill="1" applyBorder="1" applyAlignment="1">
      <alignment horizontal="center"/>
    </xf>
    <xf numFmtId="164" fontId="31" fillId="33" borderId="0" xfId="0" applyNumberFormat="1" applyFont="1" applyFill="1" applyBorder="1" applyAlignment="1">
      <alignment horizontal="center"/>
    </xf>
    <xf numFmtId="165" fontId="31" fillId="33" borderId="0" xfId="0" applyNumberFormat="1" applyFont="1" applyFill="1" applyBorder="1" applyAlignment="1">
      <alignment horizontal="center"/>
    </xf>
    <xf numFmtId="166" fontId="31" fillId="33" borderId="0" xfId="0" applyNumberFormat="1" applyFont="1" applyFill="1" applyBorder="1" applyAlignment="1">
      <alignment horizontal="center"/>
    </xf>
    <xf numFmtId="167" fontId="31" fillId="33" borderId="0" xfId="0" applyNumberFormat="1" applyFont="1" applyFill="1" applyBorder="1" applyAlignment="1">
      <alignment horizontal="center"/>
    </xf>
    <xf numFmtId="0" fontId="31" fillId="33" borderId="0" xfId="0" applyFont="1" applyFill="1" applyBorder="1" applyAlignment="1">
      <alignment horizontal="left" indent="1"/>
    </xf>
    <xf numFmtId="0" fontId="31" fillId="33" borderId="0" xfId="0" applyFont="1" applyFill="1" applyBorder="1" applyAlignment="1">
      <alignment horizontal="left"/>
    </xf>
    <xf numFmtId="0" fontId="27" fillId="33" borderId="0" xfId="0" applyFont="1" applyFill="1" applyBorder="1" applyAlignment="1">
      <alignment horizontal="center"/>
    </xf>
    <xf numFmtId="164" fontId="27" fillId="33" borderId="0" xfId="0" applyNumberFormat="1" applyFont="1" applyFill="1" applyBorder="1" applyAlignment="1">
      <alignment horizontal="center"/>
    </xf>
    <xf numFmtId="165" fontId="27" fillId="33" borderId="0" xfId="0" applyNumberFormat="1" applyFont="1" applyFill="1" applyBorder="1" applyAlignment="1">
      <alignment horizontal="center"/>
    </xf>
    <xf numFmtId="166" fontId="27" fillId="33" borderId="0" xfId="0" applyNumberFormat="1" applyFont="1" applyFill="1" applyBorder="1" applyAlignment="1">
      <alignment horizontal="center"/>
    </xf>
    <xf numFmtId="167" fontId="27" fillId="33" borderId="0" xfId="0" applyNumberFormat="1" applyFont="1" applyFill="1" applyBorder="1" applyAlignment="1">
      <alignment horizontal="center"/>
    </xf>
    <xf numFmtId="0" fontId="33" fillId="0" borderId="0" xfId="43" applyFont="1" applyBorder="1" applyAlignment="1" applyProtection="1">
      <alignment horizontal="right"/>
      <protection locked="0"/>
    </xf>
    <xf numFmtId="0" fontId="33" fillId="0" borderId="0" xfId="43" applyFont="1" applyBorder="1" applyAlignment="1" applyProtection="1">
      <alignment horizontal="left"/>
      <protection locked="0"/>
    </xf>
    <xf numFmtId="4" fontId="33" fillId="0" borderId="0" xfId="43" applyNumberFormat="1" applyFont="1" applyBorder="1" applyAlignment="1" applyProtection="1">
      <alignment horizontal="left"/>
      <protection locked="0"/>
    </xf>
    <xf numFmtId="3" fontId="33" fillId="0" borderId="0" xfId="43" applyNumberFormat="1" applyFont="1" applyFill="1" applyBorder="1" applyAlignment="1" applyProtection="1">
      <alignment horizontal="left"/>
      <protection locked="0"/>
    </xf>
    <xf numFmtId="2" fontId="33" fillId="0" borderId="0" xfId="43" applyNumberFormat="1" applyFont="1" applyBorder="1" applyAlignment="1" applyProtection="1">
      <alignment horizontal="left"/>
      <protection locked="0"/>
    </xf>
    <xf numFmtId="1" fontId="33" fillId="0" borderId="0" xfId="43" applyNumberFormat="1" applyFont="1" applyBorder="1" applyAlignment="1" applyProtection="1">
      <alignment horizontal="left"/>
      <protection locked="0"/>
    </xf>
    <xf numFmtId="0" fontId="33" fillId="0" borderId="0" xfId="0" applyFont="1" applyAlignment="1">
      <alignment horizontal="left"/>
    </xf>
    <xf numFmtId="169" fontId="33" fillId="0" borderId="0" xfId="43" applyNumberFormat="1" applyFont="1" applyBorder="1" applyAlignment="1" applyProtection="1">
      <alignment horizontal="left"/>
      <protection locked="0"/>
    </xf>
    <xf numFmtId="4" fontId="33" fillId="0" borderId="0" xfId="43" applyNumberFormat="1" applyFont="1" applyFill="1" applyBorder="1" applyAlignment="1" applyProtection="1">
      <alignment horizontal="left"/>
      <protection locked="0"/>
    </xf>
    <xf numFmtId="0" fontId="33" fillId="0" borderId="0" xfId="43" applyFont="1" applyFill="1" applyBorder="1" applyAlignment="1" applyProtection="1">
      <alignment horizontal="left"/>
      <protection locked="0"/>
    </xf>
    <xf numFmtId="170" fontId="33" fillId="0" borderId="0" xfId="43" applyNumberFormat="1" applyFont="1" applyFill="1" applyBorder="1" applyAlignment="1" applyProtection="1">
      <alignment horizontal="left"/>
      <protection locked="0"/>
    </xf>
    <xf numFmtId="170" fontId="33" fillId="0" borderId="0" xfId="0" applyNumberFormat="1" applyFont="1" applyAlignment="1">
      <alignment horizontal="left"/>
    </xf>
    <xf numFmtId="14" fontId="33" fillId="0" borderId="0" xfId="0" applyNumberFormat="1" applyFont="1" applyAlignment="1">
      <alignment horizontal="left"/>
    </xf>
    <xf numFmtId="0" fontId="0" fillId="0" borderId="0" xfId="0" applyFill="1"/>
    <xf numFmtId="14" fontId="33" fillId="0" borderId="0" xfId="0" applyNumberFormat="1" applyFont="1" applyAlignment="1">
      <alignment horizontal="right"/>
    </xf>
    <xf numFmtId="171" fontId="27" fillId="33" borderId="0" xfId="0" applyNumberFormat="1" applyFont="1" applyFill="1" applyBorder="1" applyAlignment="1"/>
    <xf numFmtId="0" fontId="27" fillId="36" borderId="0" xfId="0" applyNumberFormat="1" applyFont="1" applyFill="1" applyBorder="1" applyAlignment="1"/>
    <xf numFmtId="0" fontId="29" fillId="36" borderId="0" xfId="0" applyNumberFormat="1" applyFont="1" applyFill="1" applyBorder="1" applyAlignment="1"/>
    <xf numFmtId="0" fontId="28" fillId="36" borderId="0" xfId="0" applyNumberFormat="1" applyFont="1" applyFill="1" applyBorder="1" applyAlignment="1"/>
    <xf numFmtId="0" fontId="25" fillId="36" borderId="0" xfId="0" applyNumberFormat="1" applyFont="1" applyFill="1" applyBorder="1" applyAlignment="1"/>
    <xf numFmtId="0" fontId="29" fillId="36" borderId="10" xfId="0" applyNumberFormat="1" applyFont="1" applyFill="1" applyBorder="1" applyAlignment="1"/>
    <xf numFmtId="0" fontId="33" fillId="37" borderId="0" xfId="0" applyFont="1" applyFill="1" applyAlignment="1">
      <alignment horizontal="left"/>
    </xf>
    <xf numFmtId="14" fontId="33" fillId="37" borderId="0" xfId="0" applyNumberFormat="1" applyFont="1" applyFill="1" applyAlignment="1">
      <alignment horizontal="right"/>
    </xf>
    <xf numFmtId="0" fontId="16" fillId="0" borderId="0" xfId="0" applyFont="1"/>
    <xf numFmtId="14" fontId="0" fillId="0" borderId="0" xfId="0" applyNumberFormat="1"/>
    <xf numFmtId="14" fontId="0" fillId="0" borderId="0" xfId="0" applyNumberFormat="1" applyFill="1"/>
    <xf numFmtId="2" fontId="0" fillId="0" borderId="0" xfId="0" applyNumberFormat="1" applyAlignment="1">
      <alignment horizontal="right"/>
    </xf>
    <xf numFmtId="0" fontId="0" fillId="0" borderId="12" xfId="0" applyBorder="1"/>
    <xf numFmtId="0" fontId="0" fillId="0" borderId="0" xfId="0" applyFill="1" applyBorder="1"/>
    <xf numFmtId="172" fontId="0" fillId="0" borderId="0" xfId="46" applyNumberFormat="1" applyFont="1"/>
    <xf numFmtId="172" fontId="0" fillId="0" borderId="0" xfId="0" applyNumberFormat="1"/>
    <xf numFmtId="2" fontId="0" fillId="0" borderId="0" xfId="0" applyNumberFormat="1"/>
    <xf numFmtId="43" fontId="0" fillId="0" borderId="0" xfId="0" applyNumberFormat="1"/>
    <xf numFmtId="1" fontId="0" fillId="0" borderId="0" xfId="0" applyNumberFormat="1"/>
    <xf numFmtId="0" fontId="27" fillId="38" borderId="0" xfId="0" applyNumberFormat="1" applyFont="1" applyFill="1" applyBorder="1" applyAlignment="1"/>
    <xf numFmtId="168" fontId="27" fillId="38" borderId="0" xfId="0" applyNumberFormat="1" applyFont="1" applyFill="1" applyBorder="1" applyAlignment="1"/>
    <xf numFmtId="171" fontId="27" fillId="38" borderId="0" xfId="0" applyNumberFormat="1" applyFont="1" applyFill="1" applyBorder="1" applyAlignment="1"/>
    <xf numFmtId="0" fontId="27" fillId="38" borderId="10" xfId="0" applyNumberFormat="1" applyFont="1" applyFill="1" applyBorder="1" applyAlignment="1"/>
    <xf numFmtId="168" fontId="27" fillId="38" borderId="10" xfId="0" applyNumberFormat="1" applyFont="1" applyFill="1" applyBorder="1" applyAlignment="1"/>
    <xf numFmtId="171" fontId="27" fillId="38" borderId="10" xfId="0" applyNumberFormat="1" applyFont="1" applyFill="1" applyBorder="1" applyAlignment="1"/>
    <xf numFmtId="0" fontId="27" fillId="0" borderId="0" xfId="0" applyNumberFormat="1" applyFont="1" applyFill="1" applyBorder="1" applyAlignment="1"/>
    <xf numFmtId="0" fontId="33" fillId="0" borderId="10" xfId="0" applyFont="1" applyBorder="1" applyAlignment="1">
      <alignment horizontal="left"/>
    </xf>
    <xf numFmtId="0" fontId="16" fillId="39" borderId="0" xfId="0" applyFont="1" applyFill="1"/>
    <xf numFmtId="0" fontId="33" fillId="0" borderId="0" xfId="0" applyFont="1" applyFill="1" applyAlignment="1">
      <alignment horizontal="left"/>
    </xf>
    <xf numFmtId="14" fontId="33" fillId="0" borderId="0" xfId="0" applyNumberFormat="1" applyFont="1" applyFill="1" applyAlignment="1">
      <alignment horizontal="right"/>
    </xf>
    <xf numFmtId="14" fontId="33" fillId="0" borderId="10" xfId="0" applyNumberFormat="1" applyFont="1" applyBorder="1" applyAlignment="1">
      <alignment horizontal="right"/>
    </xf>
    <xf numFmtId="0" fontId="33" fillId="37" borderId="10" xfId="0" applyFont="1" applyFill="1" applyBorder="1" applyAlignment="1">
      <alignment horizontal="left"/>
    </xf>
    <xf numFmtId="14" fontId="33" fillId="37" borderId="10" xfId="0" applyNumberFormat="1" applyFont="1" applyFill="1" applyBorder="1" applyAlignment="1">
      <alignment horizontal="right"/>
    </xf>
    <xf numFmtId="14" fontId="34" fillId="0" borderId="0" xfId="0" applyNumberFormat="1" applyFont="1" applyFill="1" applyAlignment="1">
      <alignment horizontal="right"/>
    </xf>
    <xf numFmtId="14" fontId="34" fillId="0" borderId="0" xfId="0" applyNumberFormat="1" applyFont="1" applyAlignment="1">
      <alignment horizontal="right"/>
    </xf>
    <xf numFmtId="14" fontId="34" fillId="37" borderId="0" xfId="0" applyNumberFormat="1" applyFont="1" applyFill="1" applyAlignment="1">
      <alignment horizontal="right"/>
    </xf>
    <xf numFmtId="14" fontId="34" fillId="0" borderId="10" xfId="0" applyNumberFormat="1" applyFont="1" applyBorder="1" applyAlignment="1">
      <alignment horizontal="right"/>
    </xf>
    <xf numFmtId="14" fontId="34" fillId="37" borderId="10" xfId="0" applyNumberFormat="1" applyFont="1" applyFill="1" applyBorder="1" applyAlignment="1">
      <alignment horizontal="right"/>
    </xf>
    <xf numFmtId="0" fontId="34" fillId="40" borderId="0" xfId="0" applyFont="1" applyFill="1"/>
    <xf numFmtId="0" fontId="34" fillId="37" borderId="0" xfId="0" applyFont="1" applyFill="1"/>
    <xf numFmtId="173" fontId="34" fillId="37" borderId="0" xfId="0" applyNumberFormat="1" applyFont="1" applyFill="1"/>
    <xf numFmtId="2" fontId="34" fillId="37" borderId="0" xfId="0" applyNumberFormat="1" applyFont="1" applyFill="1"/>
    <xf numFmtId="1" fontId="34" fillId="40" borderId="0" xfId="0" applyNumberFormat="1" applyFont="1" applyFill="1"/>
    <xf numFmtId="2" fontId="34" fillId="40" borderId="0" xfId="0" applyNumberFormat="1" applyFont="1" applyFill="1"/>
    <xf numFmtId="0" fontId="34" fillId="0" borderId="0" xfId="0" applyFont="1"/>
    <xf numFmtId="0" fontId="34" fillId="0" borderId="0" xfId="0" applyFont="1" applyFill="1"/>
    <xf numFmtId="173" fontId="34" fillId="0" borderId="0" xfId="0" applyNumberFormat="1" applyFont="1" applyFill="1"/>
    <xf numFmtId="2" fontId="34" fillId="0" borderId="0" xfId="0" applyNumberFormat="1" applyFont="1" applyFill="1"/>
    <xf numFmtId="173" fontId="34" fillId="0" borderId="0" xfId="0" applyNumberFormat="1" applyFont="1"/>
    <xf numFmtId="2" fontId="34" fillId="0" borderId="0" xfId="0" applyNumberFormat="1" applyFont="1"/>
    <xf numFmtId="174" fontId="34" fillId="0" borderId="0" xfId="47" applyNumberFormat="1" applyFont="1"/>
    <xf numFmtId="0" fontId="34" fillId="40" borderId="10" xfId="0" applyFont="1" applyFill="1" applyBorder="1"/>
    <xf numFmtId="0" fontId="34" fillId="0" borderId="10" xfId="0" applyFont="1" applyBorder="1"/>
    <xf numFmtId="0" fontId="34" fillId="37" borderId="10" xfId="0" applyFont="1" applyFill="1" applyBorder="1"/>
    <xf numFmtId="2" fontId="34" fillId="37" borderId="10" xfId="0" applyNumberFormat="1" applyFont="1" applyFill="1" applyBorder="1"/>
    <xf numFmtId="0" fontId="35" fillId="0" borderId="0" xfId="43" applyFont="1" applyBorder="1" applyAlignment="1" applyProtection="1">
      <alignment horizontal="left"/>
      <protection locked="0"/>
    </xf>
    <xf numFmtId="0" fontId="33" fillId="37" borderId="0" xfId="43" applyFont="1" applyFill="1" applyBorder="1" applyAlignment="1" applyProtection="1">
      <alignment horizontal="right"/>
      <protection locked="0"/>
    </xf>
    <xf numFmtId="0" fontId="33" fillId="40" borderId="0" xfId="43" applyFont="1" applyFill="1" applyBorder="1" applyAlignment="1" applyProtection="1">
      <alignment horizontal="right"/>
      <protection locked="0"/>
    </xf>
    <xf numFmtId="0" fontId="33" fillId="0" borderId="0" xfId="43" quotePrefix="1" applyFont="1" applyBorder="1" applyAlignment="1" applyProtection="1">
      <alignment horizontal="left"/>
      <protection locked="0"/>
    </xf>
    <xf numFmtId="173" fontId="34" fillId="0" borderId="10" xfId="0" applyNumberFormat="1" applyFont="1" applyBorder="1"/>
    <xf numFmtId="2" fontId="34" fillId="0" borderId="10" xfId="0" applyNumberFormat="1" applyFont="1" applyBorder="1"/>
    <xf numFmtId="1" fontId="34" fillId="40" borderId="10" xfId="0" applyNumberFormat="1" applyFont="1" applyFill="1" applyBorder="1"/>
    <xf numFmtId="2" fontId="34" fillId="40" borderId="10" xfId="0" applyNumberFormat="1" applyFont="1" applyFill="1" applyBorder="1"/>
    <xf numFmtId="173" fontId="34" fillId="37" borderId="10" xfId="0" applyNumberFormat="1" applyFont="1" applyFill="1" applyBorder="1"/>
    <xf numFmtId="0" fontId="33" fillId="0" borderId="10" xfId="0" applyFont="1" applyFill="1" applyBorder="1" applyAlignment="1">
      <alignment horizontal="left"/>
    </xf>
    <xf numFmtId="14" fontId="34" fillId="0" borderId="10" xfId="0" applyNumberFormat="1" applyFont="1" applyFill="1" applyBorder="1" applyAlignment="1">
      <alignment horizontal="right"/>
    </xf>
    <xf numFmtId="14" fontId="33" fillId="0" borderId="10" xfId="0" applyNumberFormat="1" applyFont="1" applyFill="1" applyBorder="1" applyAlignment="1">
      <alignment horizontal="right"/>
    </xf>
    <xf numFmtId="0" fontId="34" fillId="0" borderId="10" xfId="0" applyFont="1" applyFill="1" applyBorder="1"/>
    <xf numFmtId="173" fontId="34" fillId="0" borderId="10" xfId="0" applyNumberFormat="1" applyFont="1" applyFill="1" applyBorder="1"/>
    <xf numFmtId="2" fontId="34" fillId="0" borderId="10" xfId="0" applyNumberFormat="1" applyFont="1" applyFill="1" applyBorder="1"/>
    <xf numFmtId="14" fontId="0" fillId="0" borderId="0" xfId="0" applyNumberFormat="1" applyAlignment="1">
      <alignment horizontal="right"/>
    </xf>
    <xf numFmtId="0" fontId="0" fillId="0" borderId="10" xfId="0" applyBorder="1"/>
    <xf numFmtId="14" fontId="0" fillId="0" borderId="10" xfId="0" applyNumberFormat="1" applyBorder="1" applyAlignment="1">
      <alignment horizontal="right"/>
    </xf>
    <xf numFmtId="173" fontId="34" fillId="0" borderId="11" xfId="0" applyNumberFormat="1" applyFont="1" applyBorder="1"/>
    <xf numFmtId="173" fontId="34" fillId="0" borderId="0" xfId="0" applyNumberFormat="1" applyFont="1" applyBorder="1"/>
    <xf numFmtId="2" fontId="34" fillId="0" borderId="11" xfId="0" applyNumberFormat="1" applyFont="1" applyBorder="1"/>
    <xf numFmtId="1" fontId="34" fillId="40" borderId="11" xfId="0" applyNumberFormat="1" applyFont="1" applyFill="1" applyBorder="1"/>
    <xf numFmtId="2" fontId="34" fillId="40" borderId="11" xfId="0" applyNumberFormat="1" applyFont="1" applyFill="1" applyBorder="1"/>
    <xf numFmtId="2" fontId="34" fillId="0" borderId="0" xfId="0" applyNumberFormat="1" applyFont="1" applyBorder="1"/>
    <xf numFmtId="1" fontId="34" fillId="40" borderId="0" xfId="0" applyNumberFormat="1" applyFont="1" applyFill="1" applyBorder="1"/>
    <xf numFmtId="2" fontId="34" fillId="40" borderId="0" xfId="0" applyNumberFormat="1" applyFont="1" applyFill="1" applyBorder="1"/>
    <xf numFmtId="14" fontId="33" fillId="0" borderId="11" xfId="0" applyNumberFormat="1" applyFont="1" applyBorder="1" applyAlignment="1">
      <alignment horizontal="right"/>
    </xf>
    <xf numFmtId="14" fontId="33" fillId="0" borderId="0" xfId="0" applyNumberFormat="1" applyFont="1" applyBorder="1" applyAlignment="1">
      <alignment horizontal="right"/>
    </xf>
    <xf numFmtId="14" fontId="0" fillId="37" borderId="0" xfId="0" applyNumberFormat="1" applyFill="1" applyAlignment="1">
      <alignment horizontal="right"/>
    </xf>
    <xf numFmtId="0" fontId="0" fillId="37" borderId="0" xfId="0" applyFill="1"/>
    <xf numFmtId="173" fontId="34" fillId="37" borderId="11" xfId="0" applyNumberFormat="1" applyFont="1" applyFill="1" applyBorder="1"/>
    <xf numFmtId="2" fontId="34" fillId="37" borderId="0" xfId="0" applyNumberFormat="1" applyFont="1" applyFill="1" applyBorder="1"/>
    <xf numFmtId="173" fontId="34" fillId="37" borderId="0" xfId="0" applyNumberFormat="1" applyFont="1" applyFill="1" applyBorder="1"/>
    <xf numFmtId="14" fontId="0" fillId="37" borderId="10" xfId="0" applyNumberFormat="1" applyFill="1" applyBorder="1" applyAlignment="1">
      <alignment horizontal="right"/>
    </xf>
    <xf numFmtId="0" fontId="0" fillId="37" borderId="10" xfId="0" applyFill="1" applyBorder="1"/>
    <xf numFmtId="1" fontId="34" fillId="40" borderId="0" xfId="47" applyNumberFormat="1" applyFont="1" applyFill="1"/>
    <xf numFmtId="1" fontId="27" fillId="38" borderId="0" xfId="47" applyNumberFormat="1" applyFont="1" applyFill="1" applyBorder="1" applyAlignment="1"/>
    <xf numFmtId="1" fontId="27" fillId="33" borderId="0" xfId="47" applyNumberFormat="1" applyFont="1" applyFill="1" applyBorder="1" applyAlignment="1"/>
    <xf numFmtId="1" fontId="27" fillId="33" borderId="0" xfId="0" applyNumberFormat="1" applyFont="1" applyFill="1" applyBorder="1" applyAlignment="1"/>
    <xf numFmtId="1" fontId="27" fillId="38" borderId="10" xfId="47" applyNumberFormat="1" applyFont="1" applyFill="1" applyBorder="1" applyAlignment="1"/>
    <xf numFmtId="1" fontId="34" fillId="40" borderId="0" xfId="47" applyNumberFormat="1" applyFont="1" applyFill="1" applyBorder="1"/>
    <xf numFmtId="0" fontId="34" fillId="0" borderId="0" xfId="0" applyFont="1" applyBorder="1"/>
    <xf numFmtId="174" fontId="34" fillId="0" borderId="0" xfId="47" applyNumberFormat="1" applyFont="1" applyBorder="1"/>
    <xf numFmtId="1" fontId="34" fillId="40" borderId="10" xfId="47" applyNumberFormat="1" applyFont="1" applyFill="1" applyBorder="1"/>
    <xf numFmtId="174" fontId="34" fillId="0" borderId="10" xfId="47" applyNumberFormat="1" applyFont="1" applyBorder="1"/>
    <xf numFmtId="0" fontId="0" fillId="0" borderId="0" xfId="0" quotePrefix="1"/>
    <xf numFmtId="14" fontId="0" fillId="0" borderId="0" xfId="0" applyNumberFormat="1" applyFill="1" applyAlignment="1">
      <alignment horizontal="right"/>
    </xf>
    <xf numFmtId="14" fontId="0" fillId="0" borderId="10" xfId="0" applyNumberFormat="1" applyFill="1" applyBorder="1" applyAlignment="1">
      <alignment horizontal="right"/>
    </xf>
    <xf numFmtId="173" fontId="34" fillId="0" borderId="0" xfId="0" applyNumberFormat="1" applyFont="1" applyFill="1" applyBorder="1"/>
    <xf numFmtId="0" fontId="0" fillId="0" borderId="10" xfId="0" applyFill="1" applyBorder="1"/>
    <xf numFmtId="2" fontId="34" fillId="0" borderId="0" xfId="0" applyNumberFormat="1" applyFont="1" applyFill="1" applyBorder="1"/>
    <xf numFmtId="1" fontId="34" fillId="0" borderId="0" xfId="0" applyNumberFormat="1" applyFont="1"/>
    <xf numFmtId="0" fontId="33" fillId="36" borderId="0" xfId="0" applyFont="1" applyFill="1" applyAlignment="1">
      <alignment horizontal="left"/>
    </xf>
    <xf numFmtId="14" fontId="34" fillId="36" borderId="0" xfId="0" applyNumberFormat="1" applyFont="1" applyFill="1" applyAlignment="1">
      <alignment horizontal="right"/>
    </xf>
    <xf numFmtId="14" fontId="33" fillId="36" borderId="0" xfId="0" applyNumberFormat="1" applyFont="1" applyFill="1" applyAlignment="1">
      <alignment horizontal="right"/>
    </xf>
    <xf numFmtId="0" fontId="33" fillId="36" borderId="10" xfId="0" applyFont="1" applyFill="1" applyBorder="1" applyAlignment="1">
      <alignment horizontal="left"/>
    </xf>
    <xf numFmtId="14" fontId="34" fillId="36" borderId="10" xfId="0" applyNumberFormat="1" applyFont="1" applyFill="1" applyBorder="1" applyAlignment="1">
      <alignment horizontal="right"/>
    </xf>
    <xf numFmtId="14" fontId="33" fillId="36" borderId="10" xfId="0" applyNumberFormat="1" applyFont="1" applyFill="1" applyBorder="1" applyAlignment="1">
      <alignment horizontal="right"/>
    </xf>
    <xf numFmtId="0" fontId="0" fillId="36" borderId="0" xfId="0" applyFill="1"/>
    <xf numFmtId="173" fontId="34" fillId="36" borderId="0" xfId="0" applyNumberFormat="1" applyFont="1" applyFill="1" applyBorder="1"/>
    <xf numFmtId="2" fontId="34" fillId="36" borderId="0" xfId="0" applyNumberFormat="1" applyFont="1" applyFill="1"/>
    <xf numFmtId="0" fontId="0" fillId="36" borderId="10" xfId="0" applyFill="1" applyBorder="1"/>
    <xf numFmtId="173" fontId="34" fillId="36" borderId="10" xfId="0" applyNumberFormat="1" applyFont="1" applyFill="1" applyBorder="1"/>
    <xf numFmtId="2" fontId="34" fillId="36" borderId="10" xfId="0" applyNumberFormat="1" applyFont="1" applyFill="1" applyBorder="1"/>
    <xf numFmtId="166" fontId="22" fillId="34" borderId="10" xfId="0" applyNumberFormat="1" applyFont="1" applyFill="1" applyBorder="1" applyAlignment="1" applyProtection="1">
      <alignment horizontal="center"/>
    </xf>
    <xf numFmtId="165" fontId="22" fillId="34" borderId="11" xfId="0" applyNumberFormat="1" applyFont="1" applyFill="1" applyBorder="1" applyAlignment="1" applyProtection="1">
      <alignment horizontal="right" wrapText="1"/>
    </xf>
    <xf numFmtId="165" fontId="22" fillId="34" borderId="0" xfId="0" applyNumberFormat="1" applyFont="1" applyFill="1" applyBorder="1" applyAlignment="1" applyProtection="1">
      <alignment horizontal="right" wrapText="1"/>
    </xf>
    <xf numFmtId="165" fontId="22" fillId="34" borderId="10" xfId="0" applyNumberFormat="1" applyFont="1" applyFill="1" applyBorder="1" applyAlignment="1" applyProtection="1">
      <alignment horizontal="right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_Historical Rail Rates Update" xfId="43"/>
    <cellStyle name="Note" xfId="15" builtinId="10" customBuiltin="1"/>
    <cellStyle name="Output" xfId="10" builtinId="21" customBuiltin="1"/>
    <cellStyle name="Percent" xfId="47" builtinId="5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F99"/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2095"/>
  <sheetViews>
    <sheetView zoomScaleNormal="100" workbookViewId="0">
      <pane xSplit="4" ySplit="5" topLeftCell="E2060" activePane="bottomRight" state="frozen"/>
      <selection pane="topRight" activeCell="E1" sqref="E1"/>
      <selection pane="bottomLeft" activeCell="A6" sqref="A6"/>
      <selection pane="bottomRight" activeCell="Q2020" sqref="Q2020:Q2021"/>
    </sheetView>
  </sheetViews>
  <sheetFormatPr defaultColWidth="8.85546875" defaultRowHeight="12.75" x14ac:dyDescent="0.2"/>
  <cols>
    <col min="1" max="1" width="10.140625" style="98" bestFit="1" customWidth="1"/>
    <col min="2" max="2" width="19.5703125" style="98" customWidth="1"/>
    <col min="3" max="3" width="20.140625" style="98" customWidth="1"/>
    <col min="4" max="4" width="8.85546875" style="98" customWidth="1"/>
    <col min="5" max="5" width="10.28515625" style="88" customWidth="1"/>
    <col min="6" max="6" width="9.85546875" style="53" bestFit="1" customWidth="1"/>
    <col min="7" max="16" width="8.85546875" style="98"/>
    <col min="17" max="17" width="11.42578125" style="98" bestFit="1" customWidth="1"/>
    <col min="18" max="18" width="11.5703125" style="98" bestFit="1" customWidth="1"/>
    <col min="19" max="19" width="9.42578125" style="98" bestFit="1" customWidth="1"/>
    <col min="20" max="20" width="11.28515625" style="98" bestFit="1" customWidth="1"/>
    <col min="21" max="21" width="12" style="98" bestFit="1" customWidth="1"/>
    <col min="22" max="16384" width="8.85546875" style="98"/>
  </cols>
  <sheetData>
    <row r="1" spans="1:22" s="40" customFormat="1" ht="15.6" x14ac:dyDescent="0.3">
      <c r="A1" s="39" t="s">
        <v>60</v>
      </c>
      <c r="B1" s="40" t="s">
        <v>61</v>
      </c>
      <c r="C1" s="109" t="s">
        <v>62</v>
      </c>
      <c r="F1" s="51"/>
      <c r="L1" s="109" t="s">
        <v>62</v>
      </c>
      <c r="P1" s="41"/>
      <c r="R1" s="42"/>
      <c r="S1" s="43"/>
      <c r="T1" s="44"/>
      <c r="U1" s="44" t="s">
        <v>63</v>
      </c>
    </row>
    <row r="2" spans="1:22" s="40" customFormat="1" ht="13.15" x14ac:dyDescent="0.25">
      <c r="A2" s="39" t="s">
        <v>64</v>
      </c>
      <c r="B2" s="40" t="s">
        <v>65</v>
      </c>
      <c r="C2" s="110"/>
      <c r="D2" s="112" t="s">
        <v>264</v>
      </c>
      <c r="F2" s="51"/>
      <c r="G2" s="111"/>
      <c r="H2" s="112" t="s">
        <v>265</v>
      </c>
      <c r="O2" s="41"/>
      <c r="P2" s="41"/>
      <c r="R2" s="42"/>
      <c r="S2" s="45" t="s">
        <v>66</v>
      </c>
      <c r="T2" s="44"/>
      <c r="U2" s="44" t="s">
        <v>67</v>
      </c>
    </row>
    <row r="3" spans="1:22" s="40" customFormat="1" ht="13.15" x14ac:dyDescent="0.25">
      <c r="F3" s="51" t="s">
        <v>68</v>
      </c>
      <c r="G3" s="47"/>
      <c r="H3" s="48"/>
      <c r="I3" s="48"/>
      <c r="J3" s="49"/>
      <c r="K3" s="41"/>
      <c r="L3" s="41"/>
      <c r="M3" s="41"/>
      <c r="O3" s="45" t="s">
        <v>70</v>
      </c>
      <c r="P3" s="45" t="s">
        <v>70</v>
      </c>
      <c r="Q3" s="44" t="s">
        <v>69</v>
      </c>
      <c r="R3" s="44" t="s">
        <v>69</v>
      </c>
      <c r="S3" s="45" t="s">
        <v>70</v>
      </c>
      <c r="T3" s="45" t="s">
        <v>71</v>
      </c>
      <c r="U3" s="45" t="s">
        <v>72</v>
      </c>
      <c r="V3" s="45"/>
    </row>
    <row r="4" spans="1:22" s="40" customFormat="1" ht="13.15" x14ac:dyDescent="0.25">
      <c r="E4" s="46" t="s">
        <v>73</v>
      </c>
      <c r="F4" s="51" t="s">
        <v>74</v>
      </c>
      <c r="G4" s="47"/>
      <c r="H4" s="48"/>
      <c r="I4" s="48"/>
      <c r="J4" s="41" t="s">
        <v>59</v>
      </c>
      <c r="K4" s="41" t="s">
        <v>75</v>
      </c>
      <c r="L4" s="41" t="s">
        <v>75</v>
      </c>
      <c r="M4" s="41"/>
      <c r="N4" s="45" t="s">
        <v>70</v>
      </c>
      <c r="O4" s="40" t="s">
        <v>76</v>
      </c>
      <c r="P4" s="45" t="s">
        <v>76</v>
      </c>
      <c r="Q4" s="44" t="s">
        <v>77</v>
      </c>
      <c r="R4" s="44" t="s">
        <v>77</v>
      </c>
      <c r="S4" s="40" t="s">
        <v>76</v>
      </c>
      <c r="T4" s="45" t="s">
        <v>78</v>
      </c>
      <c r="U4" s="45" t="s">
        <v>79</v>
      </c>
      <c r="V4" s="45"/>
    </row>
    <row r="5" spans="1:22" s="40" customFormat="1" ht="13.15" x14ac:dyDescent="0.25">
      <c r="A5" s="45" t="s">
        <v>54</v>
      </c>
      <c r="B5" s="45" t="s">
        <v>55</v>
      </c>
      <c r="C5" s="45" t="s">
        <v>56</v>
      </c>
      <c r="D5" s="45" t="s">
        <v>80</v>
      </c>
      <c r="E5" s="45" t="s">
        <v>81</v>
      </c>
      <c r="F5" s="51" t="s">
        <v>81</v>
      </c>
      <c r="G5" s="45" t="s">
        <v>82</v>
      </c>
      <c r="H5" s="45" t="s">
        <v>57</v>
      </c>
      <c r="I5" s="45" t="s">
        <v>58</v>
      </c>
      <c r="J5" s="50" t="s">
        <v>83</v>
      </c>
      <c r="K5" s="45" t="s">
        <v>84</v>
      </c>
      <c r="L5" s="45" t="s">
        <v>85</v>
      </c>
      <c r="M5" s="41" t="s">
        <v>86</v>
      </c>
      <c r="N5" s="45" t="s">
        <v>87</v>
      </c>
      <c r="O5" s="45" t="s">
        <v>84</v>
      </c>
      <c r="P5" s="45" t="s">
        <v>85</v>
      </c>
      <c r="Q5" s="45" t="s">
        <v>88</v>
      </c>
      <c r="R5" s="45" t="s">
        <v>89</v>
      </c>
      <c r="S5" s="45" t="s">
        <v>84</v>
      </c>
      <c r="T5" s="45" t="s">
        <v>42</v>
      </c>
      <c r="U5" s="45" t="s">
        <v>42</v>
      </c>
      <c r="V5" s="45" t="s">
        <v>97</v>
      </c>
    </row>
    <row r="6" spans="1:22" ht="13.15" x14ac:dyDescent="0.25">
      <c r="A6" s="60" t="s">
        <v>1</v>
      </c>
      <c r="B6" s="60" t="s">
        <v>2</v>
      </c>
      <c r="C6" s="60" t="s">
        <v>3</v>
      </c>
      <c r="D6" s="60" t="s">
        <v>90</v>
      </c>
      <c r="E6" s="61">
        <v>40330</v>
      </c>
      <c r="F6" s="61">
        <v>40339</v>
      </c>
      <c r="G6" s="92">
        <v>2774</v>
      </c>
      <c r="H6" s="93">
        <v>506</v>
      </c>
      <c r="I6" s="93" t="s">
        <v>92</v>
      </c>
      <c r="J6" s="94">
        <f>IF(I6="BNSF",0.46,IF(I6="CN",0.1495,IF(I6="CSX",0.27,0.2)))</f>
        <v>0.2</v>
      </c>
      <c r="K6" s="95">
        <f>G6/100.7</f>
        <v>27.547169811320753</v>
      </c>
      <c r="L6" s="95">
        <f>IF(A6="corn",G6/(111*2000/56),G6/(111*2000/60))</f>
        <v>0.74972972972972973</v>
      </c>
      <c r="M6" s="96">
        <f>H6*J6</f>
        <v>101.2</v>
      </c>
      <c r="N6" s="96">
        <f>G6+M6</f>
        <v>2875.2</v>
      </c>
      <c r="O6" s="97">
        <f>N6/100.7</f>
        <v>28.552135054617672</v>
      </c>
      <c r="P6" s="97">
        <f>IF(A6="corn",N6/(111*2000/56),N6/(111*2000/60))</f>
        <v>0.77708108108108098</v>
      </c>
      <c r="R6" s="92"/>
    </row>
    <row r="7" spans="1:22" ht="13.15" x14ac:dyDescent="0.25">
      <c r="A7" s="60" t="s">
        <v>1</v>
      </c>
      <c r="B7" s="60" t="s">
        <v>4</v>
      </c>
      <c r="C7" s="60" t="s">
        <v>5</v>
      </c>
      <c r="D7" s="60" t="s">
        <v>90</v>
      </c>
      <c r="E7" s="61">
        <v>40330</v>
      </c>
      <c r="F7" s="61">
        <v>40339</v>
      </c>
      <c r="G7" s="92">
        <v>2400</v>
      </c>
      <c r="H7" s="93">
        <v>298</v>
      </c>
      <c r="I7" s="93" t="s">
        <v>93</v>
      </c>
      <c r="J7" s="94">
        <f t="shared" ref="J7:J70" si="0">IF(I7="BNSF",0.46,IF(I7="CN",0.1495,IF(I7="CSX",0.27,0.2)))</f>
        <v>0.46</v>
      </c>
      <c r="K7" s="95">
        <f t="shared" ref="K7:K43" si="1">G7/100.7</f>
        <v>23.833167825223434</v>
      </c>
      <c r="L7" s="95">
        <f t="shared" ref="L7:L43" si="2">IF(A7="corn",G7/(111*2000/56),G7/(111*2000/60))</f>
        <v>0.64864864864864868</v>
      </c>
      <c r="M7" s="96">
        <f t="shared" ref="M7:M43" si="3">H7*J7</f>
        <v>137.08000000000001</v>
      </c>
      <c r="N7" s="96">
        <f t="shared" ref="N7:N43" si="4">G7+M7</f>
        <v>2537.08</v>
      </c>
      <c r="O7" s="97">
        <f t="shared" ref="O7:O70" si="5">N7/100.7</f>
        <v>25.194438927507445</v>
      </c>
      <c r="P7" s="97">
        <f t="shared" ref="P7:P43" si="6">IF(A7="corn",N7/(111*2000/56),N7/(111*2000/60))</f>
        <v>0.68569729729729723</v>
      </c>
      <c r="R7" s="92"/>
    </row>
    <row r="8" spans="1:22" ht="13.15" x14ac:dyDescent="0.25">
      <c r="A8" s="60" t="s">
        <v>1</v>
      </c>
      <c r="B8" s="60" t="s">
        <v>2</v>
      </c>
      <c r="C8" s="60" t="s">
        <v>6</v>
      </c>
      <c r="D8" s="60" t="s">
        <v>90</v>
      </c>
      <c r="E8" s="61">
        <v>40330</v>
      </c>
      <c r="F8" s="61">
        <v>40339</v>
      </c>
      <c r="G8" s="92">
        <v>5047</v>
      </c>
      <c r="H8" s="93">
        <v>1530</v>
      </c>
      <c r="I8" s="93" t="s">
        <v>93</v>
      </c>
      <c r="J8" s="94">
        <f t="shared" si="0"/>
        <v>0.46</v>
      </c>
      <c r="K8" s="95">
        <f t="shared" si="1"/>
        <v>50.119165839126119</v>
      </c>
      <c r="L8" s="95">
        <f t="shared" si="2"/>
        <v>1.364054054054054</v>
      </c>
      <c r="M8" s="96">
        <f t="shared" si="3"/>
        <v>703.80000000000007</v>
      </c>
      <c r="N8" s="96">
        <f t="shared" si="4"/>
        <v>5750.8</v>
      </c>
      <c r="O8" s="97">
        <f t="shared" si="5"/>
        <v>57.108242303872892</v>
      </c>
      <c r="P8" s="97">
        <f t="shared" si="6"/>
        <v>1.5542702702702704</v>
      </c>
      <c r="R8" s="92"/>
    </row>
    <row r="9" spans="1:22" ht="13.15" x14ac:dyDescent="0.25">
      <c r="A9" s="60" t="s">
        <v>1</v>
      </c>
      <c r="B9" s="60" t="s">
        <v>2</v>
      </c>
      <c r="C9" s="60" t="s">
        <v>7</v>
      </c>
      <c r="D9" s="60" t="s">
        <v>90</v>
      </c>
      <c r="E9" s="61">
        <v>40330</v>
      </c>
      <c r="F9" s="61">
        <v>40339</v>
      </c>
      <c r="G9" s="92">
        <v>3275</v>
      </c>
      <c r="H9" s="93">
        <v>890</v>
      </c>
      <c r="I9" s="93" t="s">
        <v>92</v>
      </c>
      <c r="J9" s="94">
        <f t="shared" si="0"/>
        <v>0.2</v>
      </c>
      <c r="K9" s="95">
        <f t="shared" si="1"/>
        <v>32.522343594836144</v>
      </c>
      <c r="L9" s="95">
        <f t="shared" si="2"/>
        <v>0.88513513513513509</v>
      </c>
      <c r="M9" s="96">
        <f t="shared" si="3"/>
        <v>178</v>
      </c>
      <c r="N9" s="96">
        <f t="shared" si="4"/>
        <v>3453</v>
      </c>
      <c r="O9" s="97">
        <f t="shared" si="5"/>
        <v>34.289970208540218</v>
      </c>
      <c r="P9" s="97">
        <f t="shared" si="6"/>
        <v>0.93324324324324326</v>
      </c>
      <c r="R9" s="92"/>
    </row>
    <row r="10" spans="1:22" ht="13.15" x14ac:dyDescent="0.25">
      <c r="A10" s="60" t="s">
        <v>1</v>
      </c>
      <c r="B10" s="60" t="s">
        <v>8</v>
      </c>
      <c r="C10" s="60" t="s">
        <v>9</v>
      </c>
      <c r="D10" s="60" t="s">
        <v>90</v>
      </c>
      <c r="E10" s="61">
        <v>40330</v>
      </c>
      <c r="F10" s="61">
        <v>40339</v>
      </c>
      <c r="G10" s="92">
        <v>4981</v>
      </c>
      <c r="H10" s="93">
        <v>1256</v>
      </c>
      <c r="I10" s="93" t="s">
        <v>93</v>
      </c>
      <c r="J10" s="94">
        <f t="shared" si="0"/>
        <v>0.46</v>
      </c>
      <c r="K10" s="95">
        <f t="shared" si="1"/>
        <v>49.46375372393247</v>
      </c>
      <c r="L10" s="95">
        <f t="shared" si="2"/>
        <v>1.3462162162162161</v>
      </c>
      <c r="M10" s="96">
        <f t="shared" si="3"/>
        <v>577.76</v>
      </c>
      <c r="N10" s="96">
        <f t="shared" si="4"/>
        <v>5558.76</v>
      </c>
      <c r="O10" s="97">
        <f t="shared" si="5"/>
        <v>55.201191658391259</v>
      </c>
      <c r="P10" s="97">
        <f t="shared" si="6"/>
        <v>1.5023675675675676</v>
      </c>
      <c r="R10" s="92"/>
    </row>
    <row r="11" spans="1:22" ht="13.15" x14ac:dyDescent="0.25">
      <c r="A11" s="60" t="s">
        <v>1</v>
      </c>
      <c r="B11" s="60" t="s">
        <v>10</v>
      </c>
      <c r="C11" s="60" t="s">
        <v>9</v>
      </c>
      <c r="D11" s="60" t="s">
        <v>90</v>
      </c>
      <c r="E11" s="61">
        <v>40330</v>
      </c>
      <c r="F11" s="61">
        <v>40339</v>
      </c>
      <c r="G11" s="92">
        <v>3543</v>
      </c>
      <c r="H11" s="93">
        <v>975</v>
      </c>
      <c r="I11" s="93" t="s">
        <v>92</v>
      </c>
      <c r="J11" s="94">
        <f t="shared" si="0"/>
        <v>0.2</v>
      </c>
      <c r="K11" s="95">
        <f t="shared" si="1"/>
        <v>35.183714001986097</v>
      </c>
      <c r="L11" s="95">
        <f t="shared" si="2"/>
        <v>0.95756756756756756</v>
      </c>
      <c r="M11" s="96">
        <f t="shared" si="3"/>
        <v>195</v>
      </c>
      <c r="N11" s="96">
        <f t="shared" si="4"/>
        <v>3738</v>
      </c>
      <c r="O11" s="97">
        <f t="shared" si="5"/>
        <v>37.1201588877855</v>
      </c>
      <c r="P11" s="97">
        <f t="shared" si="6"/>
        <v>1.0102702702702702</v>
      </c>
      <c r="R11" s="92"/>
    </row>
    <row r="12" spans="1:22" ht="13.15" x14ac:dyDescent="0.25">
      <c r="A12" s="60" t="s">
        <v>1</v>
      </c>
      <c r="B12" s="60" t="s">
        <v>11</v>
      </c>
      <c r="C12" s="60" t="s">
        <v>6</v>
      </c>
      <c r="D12" s="60" t="s">
        <v>90</v>
      </c>
      <c r="E12" s="61">
        <v>40330</v>
      </c>
      <c r="F12" s="61">
        <v>40339</v>
      </c>
      <c r="G12" s="92">
        <v>3742</v>
      </c>
      <c r="H12" s="93">
        <v>1357</v>
      </c>
      <c r="I12" s="93" t="s">
        <v>92</v>
      </c>
      <c r="J12" s="94">
        <f t="shared" si="0"/>
        <v>0.2</v>
      </c>
      <c r="K12" s="95">
        <f t="shared" si="1"/>
        <v>37.159880834160873</v>
      </c>
      <c r="L12" s="95">
        <f t="shared" si="2"/>
        <v>1.0113513513513515</v>
      </c>
      <c r="M12" s="96">
        <f t="shared" si="3"/>
        <v>271.40000000000003</v>
      </c>
      <c r="N12" s="96">
        <f t="shared" si="4"/>
        <v>4013.4</v>
      </c>
      <c r="O12" s="97">
        <f t="shared" si="5"/>
        <v>39.855014895729887</v>
      </c>
      <c r="P12" s="97">
        <f t="shared" si="6"/>
        <v>1.0847027027027027</v>
      </c>
      <c r="R12" s="92"/>
    </row>
    <row r="13" spans="1:22" ht="13.15" x14ac:dyDescent="0.25">
      <c r="A13" s="60" t="s">
        <v>134</v>
      </c>
      <c r="B13" s="60" t="s">
        <v>13</v>
      </c>
      <c r="C13" s="60" t="s">
        <v>7</v>
      </c>
      <c r="D13" s="60" t="s">
        <v>90</v>
      </c>
      <c r="E13" s="61">
        <v>40330</v>
      </c>
      <c r="F13" s="61">
        <v>40339</v>
      </c>
      <c r="G13" s="92">
        <v>2785</v>
      </c>
      <c r="H13" s="93">
        <v>1006</v>
      </c>
      <c r="I13" s="93" t="s">
        <v>92</v>
      </c>
      <c r="J13" s="94">
        <f t="shared" si="0"/>
        <v>0.2</v>
      </c>
      <c r="K13" s="95">
        <f t="shared" si="1"/>
        <v>27.656405163853027</v>
      </c>
      <c r="L13" s="95">
        <f t="shared" si="2"/>
        <v>0.70252252252252256</v>
      </c>
      <c r="M13" s="96">
        <f t="shared" si="3"/>
        <v>201.20000000000002</v>
      </c>
      <c r="N13" s="96">
        <f t="shared" si="4"/>
        <v>2986.2</v>
      </c>
      <c r="O13" s="97">
        <f t="shared" si="5"/>
        <v>29.654419066534256</v>
      </c>
      <c r="P13" s="97">
        <f t="shared" si="6"/>
        <v>0.75327567567567566</v>
      </c>
      <c r="R13" s="92"/>
    </row>
    <row r="14" spans="1:22" ht="13.15" x14ac:dyDescent="0.25">
      <c r="A14" s="60" t="s">
        <v>134</v>
      </c>
      <c r="B14" s="60" t="s">
        <v>14</v>
      </c>
      <c r="C14" s="60" t="s">
        <v>15</v>
      </c>
      <c r="D14" s="60" t="s">
        <v>90</v>
      </c>
      <c r="E14" s="61">
        <v>40330</v>
      </c>
      <c r="F14" s="61">
        <v>40339</v>
      </c>
      <c r="G14" s="92">
        <v>3471</v>
      </c>
      <c r="H14" s="93">
        <v>866</v>
      </c>
      <c r="I14" s="93" t="s">
        <v>94</v>
      </c>
      <c r="J14" s="94">
        <f t="shared" si="0"/>
        <v>0.27</v>
      </c>
      <c r="K14" s="95">
        <f t="shared" si="1"/>
        <v>34.468718967229393</v>
      </c>
      <c r="L14" s="95">
        <f t="shared" si="2"/>
        <v>0.8755675675675676</v>
      </c>
      <c r="M14" s="96">
        <f t="shared" si="3"/>
        <v>233.82000000000002</v>
      </c>
      <c r="N14" s="96">
        <f t="shared" si="4"/>
        <v>3704.82</v>
      </c>
      <c r="O14" s="97">
        <f t="shared" si="5"/>
        <v>36.790665342601791</v>
      </c>
      <c r="P14" s="97">
        <f t="shared" si="6"/>
        <v>0.93454918918918928</v>
      </c>
      <c r="R14" s="92"/>
    </row>
    <row r="15" spans="1:22" ht="13.15" x14ac:dyDescent="0.25">
      <c r="A15" s="60" t="s">
        <v>134</v>
      </c>
      <c r="B15" s="60" t="s">
        <v>16</v>
      </c>
      <c r="C15" s="60" t="s">
        <v>17</v>
      </c>
      <c r="D15" s="60" t="s">
        <v>90</v>
      </c>
      <c r="E15" s="61">
        <v>40330</v>
      </c>
      <c r="F15" s="61">
        <v>40339</v>
      </c>
      <c r="G15" s="92">
        <v>1912</v>
      </c>
      <c r="H15" s="93">
        <v>213</v>
      </c>
      <c r="I15" s="93" t="s">
        <v>92</v>
      </c>
      <c r="J15" s="94">
        <f t="shared" si="0"/>
        <v>0.2</v>
      </c>
      <c r="K15" s="95">
        <f t="shared" si="1"/>
        <v>18.987090367428003</v>
      </c>
      <c r="L15" s="95">
        <f t="shared" si="2"/>
        <v>0.48230630630630633</v>
      </c>
      <c r="M15" s="96">
        <f t="shared" si="3"/>
        <v>42.6</v>
      </c>
      <c r="N15" s="96">
        <f t="shared" si="4"/>
        <v>1954.6</v>
      </c>
      <c r="O15" s="97">
        <f t="shared" si="5"/>
        <v>19.410129096325718</v>
      </c>
      <c r="P15" s="97">
        <f t="shared" si="6"/>
        <v>0.49305225225225224</v>
      </c>
      <c r="R15" s="92"/>
    </row>
    <row r="16" spans="1:22" ht="13.15" x14ac:dyDescent="0.25">
      <c r="A16" s="60" t="s">
        <v>134</v>
      </c>
      <c r="B16" s="60" t="s">
        <v>18</v>
      </c>
      <c r="C16" s="60" t="s">
        <v>19</v>
      </c>
      <c r="D16" s="60" t="s">
        <v>90</v>
      </c>
      <c r="E16" s="61">
        <v>40330</v>
      </c>
      <c r="F16" s="61">
        <v>40339</v>
      </c>
      <c r="G16" s="92">
        <v>2993</v>
      </c>
      <c r="H16" s="93">
        <v>650</v>
      </c>
      <c r="I16" s="93" t="s">
        <v>94</v>
      </c>
      <c r="J16" s="94">
        <f t="shared" si="0"/>
        <v>0.27</v>
      </c>
      <c r="K16" s="95">
        <f t="shared" si="1"/>
        <v>29.721946375372394</v>
      </c>
      <c r="L16" s="95">
        <f t="shared" si="2"/>
        <v>0.75499099099099098</v>
      </c>
      <c r="M16" s="96">
        <f t="shared" si="3"/>
        <v>175.5</v>
      </c>
      <c r="N16" s="96">
        <f t="shared" si="4"/>
        <v>3168.5</v>
      </c>
      <c r="O16" s="97">
        <f t="shared" si="5"/>
        <v>31.464746772591855</v>
      </c>
      <c r="P16" s="97">
        <f t="shared" si="6"/>
        <v>0.79926126126126129</v>
      </c>
      <c r="R16" s="92"/>
    </row>
    <row r="17" spans="1:18" ht="13.15" x14ac:dyDescent="0.25">
      <c r="A17" s="60" t="s">
        <v>134</v>
      </c>
      <c r="B17" s="60" t="s">
        <v>18</v>
      </c>
      <c r="C17" s="60" t="s">
        <v>20</v>
      </c>
      <c r="D17" s="60" t="s">
        <v>90</v>
      </c>
      <c r="E17" s="61">
        <v>40330</v>
      </c>
      <c r="F17" s="61">
        <v>40339</v>
      </c>
      <c r="G17" s="92">
        <v>2557</v>
      </c>
      <c r="H17" s="93">
        <v>417</v>
      </c>
      <c r="I17" s="93" t="s">
        <v>94</v>
      </c>
      <c r="J17" s="94">
        <f t="shared" si="0"/>
        <v>0.27</v>
      </c>
      <c r="K17" s="95">
        <f t="shared" si="1"/>
        <v>25.392254220456802</v>
      </c>
      <c r="L17" s="95">
        <f t="shared" si="2"/>
        <v>0.64500900900900904</v>
      </c>
      <c r="M17" s="96">
        <f t="shared" si="3"/>
        <v>112.59</v>
      </c>
      <c r="N17" s="96">
        <f t="shared" si="4"/>
        <v>2669.59</v>
      </c>
      <c r="O17" s="97">
        <f t="shared" si="5"/>
        <v>26.510327706057598</v>
      </c>
      <c r="P17" s="97">
        <f t="shared" si="6"/>
        <v>0.67341009009009012</v>
      </c>
      <c r="R17" s="92"/>
    </row>
    <row r="18" spans="1:18" ht="13.15" x14ac:dyDescent="0.25">
      <c r="A18" s="60" t="s">
        <v>134</v>
      </c>
      <c r="B18" s="60" t="s">
        <v>16</v>
      </c>
      <c r="C18" s="60" t="s">
        <v>21</v>
      </c>
      <c r="D18" s="60" t="s">
        <v>90</v>
      </c>
      <c r="E18" s="61">
        <v>40330</v>
      </c>
      <c r="F18" s="61">
        <v>40339</v>
      </c>
      <c r="G18" s="92">
        <v>2848</v>
      </c>
      <c r="H18" s="93">
        <v>626</v>
      </c>
      <c r="I18" s="93" t="s">
        <v>92</v>
      </c>
      <c r="J18" s="94">
        <f t="shared" si="0"/>
        <v>0.2</v>
      </c>
      <c r="K18" s="95">
        <f t="shared" si="1"/>
        <v>28.282025819265144</v>
      </c>
      <c r="L18" s="95">
        <f t="shared" si="2"/>
        <v>0.71841441441441445</v>
      </c>
      <c r="M18" s="96">
        <f t="shared" si="3"/>
        <v>125.2</v>
      </c>
      <c r="N18" s="96">
        <f t="shared" si="4"/>
        <v>2973.2</v>
      </c>
      <c r="O18" s="97">
        <f t="shared" si="5"/>
        <v>29.525322740814296</v>
      </c>
      <c r="P18" s="97">
        <f t="shared" si="6"/>
        <v>0.74999639639639637</v>
      </c>
      <c r="R18" s="92"/>
    </row>
    <row r="19" spans="1:18" ht="13.15" x14ac:dyDescent="0.25">
      <c r="A19" s="60" t="s">
        <v>134</v>
      </c>
      <c r="B19" s="60" t="s">
        <v>16</v>
      </c>
      <c r="C19" s="60" t="s">
        <v>6</v>
      </c>
      <c r="D19" s="60" t="s">
        <v>90</v>
      </c>
      <c r="E19" s="61">
        <v>40330</v>
      </c>
      <c r="F19" s="61">
        <v>40339</v>
      </c>
      <c r="G19" s="92">
        <v>4263</v>
      </c>
      <c r="H19" s="93">
        <v>1823</v>
      </c>
      <c r="I19" s="93" t="s">
        <v>92</v>
      </c>
      <c r="J19" s="94">
        <f t="shared" si="0"/>
        <v>0.2</v>
      </c>
      <c r="K19" s="95">
        <f t="shared" si="1"/>
        <v>42.333664349553125</v>
      </c>
      <c r="L19" s="95">
        <f t="shared" si="2"/>
        <v>1.0753513513513513</v>
      </c>
      <c r="M19" s="96">
        <f t="shared" si="3"/>
        <v>364.6</v>
      </c>
      <c r="N19" s="96">
        <f t="shared" si="4"/>
        <v>4627.6000000000004</v>
      </c>
      <c r="O19" s="97">
        <f t="shared" si="5"/>
        <v>45.954319761668323</v>
      </c>
      <c r="P19" s="97">
        <f t="shared" si="6"/>
        <v>1.1673225225225226</v>
      </c>
      <c r="R19" s="92"/>
    </row>
    <row r="20" spans="1:18" ht="13.15" x14ac:dyDescent="0.25">
      <c r="A20" s="60" t="s">
        <v>22</v>
      </c>
      <c r="B20" s="60" t="s">
        <v>23</v>
      </c>
      <c r="C20" s="60" t="s">
        <v>7</v>
      </c>
      <c r="D20" s="60" t="s">
        <v>90</v>
      </c>
      <c r="E20" s="61">
        <v>40330</v>
      </c>
      <c r="F20" s="61">
        <v>40339</v>
      </c>
      <c r="G20" s="92">
        <v>2981</v>
      </c>
      <c r="H20" s="93">
        <v>1295</v>
      </c>
      <c r="I20" s="93" t="s">
        <v>95</v>
      </c>
      <c r="J20" s="94">
        <f t="shared" si="0"/>
        <v>0.14949999999999999</v>
      </c>
      <c r="K20" s="95">
        <f t="shared" si="1"/>
        <v>29.602780536246275</v>
      </c>
      <c r="L20" s="95">
        <f t="shared" si="2"/>
        <v>0.80567567567567566</v>
      </c>
      <c r="M20" s="96">
        <f t="shared" si="3"/>
        <v>193.60249999999999</v>
      </c>
      <c r="N20" s="96">
        <f t="shared" si="4"/>
        <v>3174.6025</v>
      </c>
      <c r="O20" s="97">
        <f t="shared" si="5"/>
        <v>31.525347567030785</v>
      </c>
      <c r="P20" s="97">
        <f t="shared" si="6"/>
        <v>0.85800067567567562</v>
      </c>
      <c r="R20" s="92"/>
    </row>
    <row r="21" spans="1:18" ht="13.15" x14ac:dyDescent="0.25">
      <c r="A21" s="60" t="s">
        <v>22</v>
      </c>
      <c r="B21" s="60" t="s">
        <v>14</v>
      </c>
      <c r="C21" s="60" t="s">
        <v>24</v>
      </c>
      <c r="D21" s="60" t="s">
        <v>90</v>
      </c>
      <c r="E21" s="61">
        <v>40330</v>
      </c>
      <c r="F21" s="61">
        <v>40339</v>
      </c>
      <c r="G21" s="92">
        <v>2748</v>
      </c>
      <c r="H21" s="93">
        <v>615</v>
      </c>
      <c r="I21" s="93" t="s">
        <v>94</v>
      </c>
      <c r="J21" s="94">
        <f t="shared" si="0"/>
        <v>0.27</v>
      </c>
      <c r="K21" s="95">
        <f t="shared" si="1"/>
        <v>27.288977159880833</v>
      </c>
      <c r="L21" s="95">
        <f t="shared" si="2"/>
        <v>0.74270270270270267</v>
      </c>
      <c r="M21" s="96">
        <f t="shared" si="3"/>
        <v>166.05</v>
      </c>
      <c r="N21" s="96">
        <f t="shared" si="4"/>
        <v>2914.05</v>
      </c>
      <c r="O21" s="97">
        <f t="shared" si="5"/>
        <v>28.937934458788483</v>
      </c>
      <c r="P21" s="97">
        <f t="shared" si="6"/>
        <v>0.78758108108108116</v>
      </c>
      <c r="R21" s="92"/>
    </row>
    <row r="22" spans="1:18" ht="13.15" x14ac:dyDescent="0.25">
      <c r="A22" s="60" t="s">
        <v>22</v>
      </c>
      <c r="B22" s="60" t="s">
        <v>18</v>
      </c>
      <c r="C22" s="60" t="s">
        <v>15</v>
      </c>
      <c r="D22" s="60" t="s">
        <v>90</v>
      </c>
      <c r="E22" s="61">
        <v>40330</v>
      </c>
      <c r="F22" s="61">
        <v>40339</v>
      </c>
      <c r="G22" s="92">
        <v>3540</v>
      </c>
      <c r="H22" s="93">
        <v>872</v>
      </c>
      <c r="I22" s="93" t="s">
        <v>94</v>
      </c>
      <c r="J22" s="94">
        <f t="shared" si="0"/>
        <v>0.27</v>
      </c>
      <c r="K22" s="95">
        <f t="shared" si="1"/>
        <v>35.153922542204569</v>
      </c>
      <c r="L22" s="95">
        <f t="shared" si="2"/>
        <v>0.95675675675675675</v>
      </c>
      <c r="M22" s="96">
        <f t="shared" si="3"/>
        <v>235.44000000000003</v>
      </c>
      <c r="N22" s="96">
        <f t="shared" si="4"/>
        <v>3775.44</v>
      </c>
      <c r="O22" s="97">
        <f t="shared" si="5"/>
        <v>37.491956305858984</v>
      </c>
      <c r="P22" s="97">
        <f t="shared" si="6"/>
        <v>1.0203891891891892</v>
      </c>
      <c r="R22" s="92"/>
    </row>
    <row r="23" spans="1:18" ht="13.15" x14ac:dyDescent="0.25">
      <c r="A23" s="60" t="s">
        <v>22</v>
      </c>
      <c r="B23" s="60" t="s">
        <v>18</v>
      </c>
      <c r="C23" s="60" t="s">
        <v>24</v>
      </c>
      <c r="D23" s="60" t="s">
        <v>90</v>
      </c>
      <c r="E23" s="61">
        <v>40330</v>
      </c>
      <c r="F23" s="61">
        <v>40339</v>
      </c>
      <c r="G23" s="92">
        <v>2443</v>
      </c>
      <c r="H23" s="93">
        <v>417</v>
      </c>
      <c r="I23" s="93" t="s">
        <v>94</v>
      </c>
      <c r="J23" s="94">
        <f t="shared" si="0"/>
        <v>0.27</v>
      </c>
      <c r="K23" s="95">
        <f t="shared" si="1"/>
        <v>24.260178748758687</v>
      </c>
      <c r="L23" s="95">
        <f t="shared" si="2"/>
        <v>0.6602702702702703</v>
      </c>
      <c r="M23" s="96">
        <f t="shared" si="3"/>
        <v>112.59</v>
      </c>
      <c r="N23" s="96">
        <f t="shared" si="4"/>
        <v>2555.59</v>
      </c>
      <c r="O23" s="97">
        <f t="shared" si="5"/>
        <v>25.378252234359483</v>
      </c>
      <c r="P23" s="97">
        <f t="shared" si="6"/>
        <v>0.69070000000000009</v>
      </c>
      <c r="R23" s="92"/>
    </row>
    <row r="24" spans="1:18" ht="13.15" x14ac:dyDescent="0.25">
      <c r="A24" s="60" t="s">
        <v>22</v>
      </c>
      <c r="B24" s="60" t="s">
        <v>13</v>
      </c>
      <c r="C24" s="60" t="s">
        <v>7</v>
      </c>
      <c r="D24" s="60" t="s">
        <v>90</v>
      </c>
      <c r="E24" s="61">
        <v>40330</v>
      </c>
      <c r="F24" s="61">
        <v>40339</v>
      </c>
      <c r="G24" s="92">
        <v>3038</v>
      </c>
      <c r="H24" s="93">
        <v>1006</v>
      </c>
      <c r="I24" s="93" t="s">
        <v>92</v>
      </c>
      <c r="J24" s="94">
        <f t="shared" si="0"/>
        <v>0.2</v>
      </c>
      <c r="K24" s="95">
        <f t="shared" si="1"/>
        <v>30.168818272095333</v>
      </c>
      <c r="L24" s="95">
        <f t="shared" si="2"/>
        <v>0.82108108108108113</v>
      </c>
      <c r="M24" s="96">
        <f t="shared" si="3"/>
        <v>201.20000000000002</v>
      </c>
      <c r="N24" s="96">
        <f t="shared" si="4"/>
        <v>3239.2</v>
      </c>
      <c r="O24" s="97">
        <f t="shared" si="5"/>
        <v>32.166832174776559</v>
      </c>
      <c r="P24" s="97">
        <f t="shared" si="6"/>
        <v>0.87545945945945935</v>
      </c>
      <c r="R24" s="92"/>
    </row>
    <row r="25" spans="1:18" ht="13.15" x14ac:dyDescent="0.25">
      <c r="A25" s="60" t="s">
        <v>1</v>
      </c>
      <c r="B25" s="60" t="s">
        <v>25</v>
      </c>
      <c r="C25" s="60" t="s">
        <v>26</v>
      </c>
      <c r="D25" s="60" t="s">
        <v>91</v>
      </c>
      <c r="E25" s="61">
        <v>40330</v>
      </c>
      <c r="F25" s="61">
        <v>40339</v>
      </c>
      <c r="G25" s="92">
        <v>2770</v>
      </c>
      <c r="H25" s="93">
        <v>880</v>
      </c>
      <c r="I25" s="93" t="s">
        <v>93</v>
      </c>
      <c r="J25" s="94">
        <f t="shared" si="0"/>
        <v>0.46</v>
      </c>
      <c r="K25" s="95">
        <f t="shared" si="1"/>
        <v>27.50744786494538</v>
      </c>
      <c r="L25" s="95">
        <f t="shared" si="2"/>
        <v>0.74864864864864866</v>
      </c>
      <c r="M25" s="96">
        <f t="shared" si="3"/>
        <v>404.8</v>
      </c>
      <c r="N25" s="96">
        <f t="shared" si="4"/>
        <v>3174.8</v>
      </c>
      <c r="O25" s="97">
        <f t="shared" si="5"/>
        <v>31.52730883813307</v>
      </c>
      <c r="P25" s="97">
        <f t="shared" si="6"/>
        <v>0.85805405405405411</v>
      </c>
      <c r="R25" s="92"/>
    </row>
    <row r="26" spans="1:18" ht="13.15" x14ac:dyDescent="0.25">
      <c r="A26" s="60" t="s">
        <v>1</v>
      </c>
      <c r="B26" s="60" t="s">
        <v>2</v>
      </c>
      <c r="C26" s="60" t="s">
        <v>9</v>
      </c>
      <c r="D26" s="60" t="s">
        <v>91</v>
      </c>
      <c r="E26" s="61">
        <v>40330</v>
      </c>
      <c r="F26" s="61">
        <v>40339</v>
      </c>
      <c r="G26" s="92">
        <v>2867</v>
      </c>
      <c r="H26" s="93">
        <v>685</v>
      </c>
      <c r="I26" s="93" t="s">
        <v>93</v>
      </c>
      <c r="J26" s="94">
        <f t="shared" si="0"/>
        <v>0.46</v>
      </c>
      <c r="K26" s="95">
        <f t="shared" si="1"/>
        <v>28.470705064548163</v>
      </c>
      <c r="L26" s="95">
        <f t="shared" si="2"/>
        <v>0.77486486486486483</v>
      </c>
      <c r="M26" s="96">
        <f t="shared" si="3"/>
        <v>315.10000000000002</v>
      </c>
      <c r="N26" s="96">
        <f t="shared" si="4"/>
        <v>3182.1</v>
      </c>
      <c r="O26" s="97">
        <f t="shared" si="5"/>
        <v>31.599801390268123</v>
      </c>
      <c r="P26" s="97">
        <f t="shared" si="6"/>
        <v>0.86002702702702705</v>
      </c>
      <c r="R26" s="92"/>
    </row>
    <row r="27" spans="1:18" ht="13.15" x14ac:dyDescent="0.25">
      <c r="A27" s="60" t="s">
        <v>1</v>
      </c>
      <c r="B27" s="60" t="s">
        <v>27</v>
      </c>
      <c r="C27" s="60" t="s">
        <v>28</v>
      </c>
      <c r="D27" s="60" t="s">
        <v>91</v>
      </c>
      <c r="E27" s="61">
        <v>40330</v>
      </c>
      <c r="F27" s="61">
        <v>40339</v>
      </c>
      <c r="G27" s="92">
        <v>3811</v>
      </c>
      <c r="H27" s="93">
        <v>812</v>
      </c>
      <c r="I27" s="93" t="s">
        <v>94</v>
      </c>
      <c r="J27" s="94">
        <f t="shared" si="0"/>
        <v>0.27</v>
      </c>
      <c r="K27" s="95">
        <f t="shared" si="1"/>
        <v>37.845084409136049</v>
      </c>
      <c r="L27" s="95">
        <f t="shared" si="2"/>
        <v>1.03</v>
      </c>
      <c r="M27" s="96">
        <f t="shared" si="3"/>
        <v>219.24</v>
      </c>
      <c r="N27" s="96">
        <f t="shared" si="4"/>
        <v>4030.24</v>
      </c>
      <c r="O27" s="97">
        <f t="shared" si="5"/>
        <v>40.022244289970203</v>
      </c>
      <c r="P27" s="97">
        <f t="shared" si="6"/>
        <v>1.0892540540540541</v>
      </c>
      <c r="R27" s="92"/>
    </row>
    <row r="28" spans="1:18" ht="13.15" x14ac:dyDescent="0.25">
      <c r="A28" s="60" t="s">
        <v>1</v>
      </c>
      <c r="B28" s="60" t="s">
        <v>4</v>
      </c>
      <c r="C28" s="60" t="s">
        <v>26</v>
      </c>
      <c r="D28" s="60" t="s">
        <v>91</v>
      </c>
      <c r="E28" s="61">
        <v>40330</v>
      </c>
      <c r="F28" s="61">
        <v>40339</v>
      </c>
      <c r="G28" s="92">
        <v>4033</v>
      </c>
      <c r="H28" s="93">
        <v>1520</v>
      </c>
      <c r="I28" s="93" t="s">
        <v>93</v>
      </c>
      <c r="J28" s="94">
        <f t="shared" si="0"/>
        <v>0.46</v>
      </c>
      <c r="K28" s="95">
        <f t="shared" si="1"/>
        <v>40.049652432969218</v>
      </c>
      <c r="L28" s="95">
        <f t="shared" si="2"/>
        <v>1.0900000000000001</v>
      </c>
      <c r="M28" s="96">
        <f t="shared" si="3"/>
        <v>699.2</v>
      </c>
      <c r="N28" s="96">
        <f t="shared" si="4"/>
        <v>4732.2</v>
      </c>
      <c r="O28" s="97">
        <f t="shared" si="5"/>
        <v>46.993048659384307</v>
      </c>
      <c r="P28" s="97">
        <f t="shared" si="6"/>
        <v>1.2789729729729729</v>
      </c>
      <c r="R28" s="92"/>
    </row>
    <row r="29" spans="1:18" ht="13.15" x14ac:dyDescent="0.25">
      <c r="A29" s="60" t="s">
        <v>1</v>
      </c>
      <c r="B29" s="60" t="s">
        <v>4</v>
      </c>
      <c r="C29" s="60" t="s">
        <v>9</v>
      </c>
      <c r="D29" s="60" t="s">
        <v>91</v>
      </c>
      <c r="E29" s="61">
        <v>40330</v>
      </c>
      <c r="F29" s="61">
        <v>40339</v>
      </c>
      <c r="G29" s="92">
        <v>4948</v>
      </c>
      <c r="H29" s="93">
        <v>1583</v>
      </c>
      <c r="I29" s="93" t="s">
        <v>93</v>
      </c>
      <c r="J29" s="94">
        <f t="shared" si="0"/>
        <v>0.46</v>
      </c>
      <c r="K29" s="95">
        <f t="shared" si="1"/>
        <v>49.136047666335649</v>
      </c>
      <c r="L29" s="95">
        <f t="shared" si="2"/>
        <v>1.3372972972972974</v>
      </c>
      <c r="M29" s="96">
        <f t="shared" si="3"/>
        <v>728.18000000000006</v>
      </c>
      <c r="N29" s="96">
        <f t="shared" si="4"/>
        <v>5676.18</v>
      </c>
      <c r="O29" s="97">
        <f t="shared" si="5"/>
        <v>56.367229394240319</v>
      </c>
      <c r="P29" s="97">
        <f t="shared" si="6"/>
        <v>1.5341027027027028</v>
      </c>
      <c r="R29" s="92"/>
    </row>
    <row r="30" spans="1:18" ht="13.15" x14ac:dyDescent="0.25">
      <c r="A30" s="60" t="s">
        <v>1</v>
      </c>
      <c r="B30" s="60" t="s">
        <v>10</v>
      </c>
      <c r="C30" s="60" t="s">
        <v>26</v>
      </c>
      <c r="D30" s="60" t="s">
        <v>91</v>
      </c>
      <c r="E30" s="61">
        <v>40330</v>
      </c>
      <c r="F30" s="61">
        <v>40339</v>
      </c>
      <c r="G30" s="92">
        <v>4510</v>
      </c>
      <c r="H30" s="93">
        <v>1599</v>
      </c>
      <c r="I30" s="93" t="s">
        <v>92</v>
      </c>
      <c r="J30" s="94">
        <f t="shared" si="0"/>
        <v>0.2</v>
      </c>
      <c r="K30" s="95">
        <f t="shared" si="1"/>
        <v>44.786494538232375</v>
      </c>
      <c r="L30" s="95">
        <f t="shared" si="2"/>
        <v>1.2189189189189189</v>
      </c>
      <c r="M30" s="96">
        <f t="shared" si="3"/>
        <v>319.8</v>
      </c>
      <c r="N30" s="96">
        <f t="shared" si="4"/>
        <v>4829.8</v>
      </c>
      <c r="O30" s="97">
        <f t="shared" si="5"/>
        <v>47.962264150943398</v>
      </c>
      <c r="P30" s="97">
        <f t="shared" si="6"/>
        <v>1.3053513513513515</v>
      </c>
      <c r="R30" s="92"/>
    </row>
    <row r="31" spans="1:18" ht="13.15" x14ac:dyDescent="0.25">
      <c r="A31" s="60" t="s">
        <v>134</v>
      </c>
      <c r="B31" s="60" t="s">
        <v>23</v>
      </c>
      <c r="C31" s="60" t="s">
        <v>26</v>
      </c>
      <c r="D31" s="60" t="s">
        <v>91</v>
      </c>
      <c r="E31" s="61">
        <v>40330</v>
      </c>
      <c r="F31" s="61">
        <v>40339</v>
      </c>
      <c r="G31" s="92">
        <v>3920</v>
      </c>
      <c r="H31" s="93">
        <v>1851</v>
      </c>
      <c r="I31" s="93" t="s">
        <v>93</v>
      </c>
      <c r="J31" s="94">
        <f t="shared" si="0"/>
        <v>0.46</v>
      </c>
      <c r="K31" s="95">
        <f t="shared" si="1"/>
        <v>38.927507447864947</v>
      </c>
      <c r="L31" s="95">
        <f t="shared" si="2"/>
        <v>0.98882882882882883</v>
      </c>
      <c r="M31" s="96">
        <f t="shared" si="3"/>
        <v>851.46</v>
      </c>
      <c r="N31" s="96">
        <f t="shared" si="4"/>
        <v>4771.46</v>
      </c>
      <c r="O31" s="97">
        <f t="shared" si="5"/>
        <v>47.382919563058586</v>
      </c>
      <c r="P31" s="97">
        <f t="shared" si="6"/>
        <v>1.2036115315315317</v>
      </c>
      <c r="R31" s="92"/>
    </row>
    <row r="32" spans="1:18" ht="13.15" x14ac:dyDescent="0.25">
      <c r="A32" s="60" t="s">
        <v>134</v>
      </c>
      <c r="B32" s="60" t="s">
        <v>8</v>
      </c>
      <c r="C32" s="60" t="s">
        <v>29</v>
      </c>
      <c r="D32" s="60" t="s">
        <v>91</v>
      </c>
      <c r="E32" s="61">
        <v>40330</v>
      </c>
      <c r="F32" s="61">
        <v>40339</v>
      </c>
      <c r="G32" s="92">
        <v>3920</v>
      </c>
      <c r="H32" s="93">
        <v>1695</v>
      </c>
      <c r="I32" s="93" t="s">
        <v>93</v>
      </c>
      <c r="J32" s="94">
        <f t="shared" si="0"/>
        <v>0.46</v>
      </c>
      <c r="K32" s="95">
        <f t="shared" si="1"/>
        <v>38.927507447864947</v>
      </c>
      <c r="L32" s="95">
        <f t="shared" si="2"/>
        <v>0.98882882882882883</v>
      </c>
      <c r="M32" s="96">
        <f t="shared" si="3"/>
        <v>779.7</v>
      </c>
      <c r="N32" s="96">
        <f t="shared" si="4"/>
        <v>4699.7</v>
      </c>
      <c r="O32" s="97">
        <f t="shared" si="5"/>
        <v>46.670307845084409</v>
      </c>
      <c r="P32" s="97">
        <f t="shared" si="6"/>
        <v>1.1855099099099098</v>
      </c>
      <c r="R32" s="92"/>
    </row>
    <row r="33" spans="1:18" ht="13.15" x14ac:dyDescent="0.25">
      <c r="A33" s="60" t="s">
        <v>134</v>
      </c>
      <c r="B33" s="60" t="s">
        <v>13</v>
      </c>
      <c r="C33" s="60" t="s">
        <v>7</v>
      </c>
      <c r="D33" s="60" t="s">
        <v>91</v>
      </c>
      <c r="E33" s="61">
        <v>40330</v>
      </c>
      <c r="F33" s="61">
        <v>40339</v>
      </c>
      <c r="G33" s="92">
        <v>2677</v>
      </c>
      <c r="H33" s="93">
        <v>1006</v>
      </c>
      <c r="I33" s="93" t="s">
        <v>92</v>
      </c>
      <c r="J33" s="94">
        <f t="shared" si="0"/>
        <v>0.2</v>
      </c>
      <c r="K33" s="95">
        <f t="shared" si="1"/>
        <v>26.583912611717974</v>
      </c>
      <c r="L33" s="95">
        <f t="shared" si="2"/>
        <v>0.67527927927927933</v>
      </c>
      <c r="M33" s="96">
        <f t="shared" si="3"/>
        <v>201.20000000000002</v>
      </c>
      <c r="N33" s="96">
        <f t="shared" si="4"/>
        <v>2878.2</v>
      </c>
      <c r="O33" s="97">
        <f t="shared" si="5"/>
        <v>28.581926514399203</v>
      </c>
      <c r="P33" s="97">
        <f t="shared" si="6"/>
        <v>0.72603243243243243</v>
      </c>
      <c r="R33" s="92"/>
    </row>
    <row r="34" spans="1:18" ht="13.15" x14ac:dyDescent="0.25">
      <c r="A34" s="60" t="s">
        <v>134</v>
      </c>
      <c r="B34" s="60" t="s">
        <v>30</v>
      </c>
      <c r="C34" s="60" t="s">
        <v>9</v>
      </c>
      <c r="D34" s="60" t="s">
        <v>91</v>
      </c>
      <c r="E34" s="61">
        <v>40330</v>
      </c>
      <c r="F34" s="61">
        <v>40339</v>
      </c>
      <c r="G34" s="92">
        <v>2800</v>
      </c>
      <c r="H34" s="93">
        <v>988</v>
      </c>
      <c r="I34" s="93" t="s">
        <v>93</v>
      </c>
      <c r="J34" s="94">
        <f t="shared" si="0"/>
        <v>0.46</v>
      </c>
      <c r="K34" s="95">
        <f t="shared" si="1"/>
        <v>27.805362462760673</v>
      </c>
      <c r="L34" s="95">
        <f t="shared" si="2"/>
        <v>0.70630630630630631</v>
      </c>
      <c r="M34" s="96">
        <f t="shared" si="3"/>
        <v>454.48</v>
      </c>
      <c r="N34" s="96">
        <f t="shared" si="4"/>
        <v>3254.48</v>
      </c>
      <c r="O34" s="97">
        <f t="shared" si="5"/>
        <v>32.318570009930482</v>
      </c>
      <c r="P34" s="97">
        <f t="shared" si="6"/>
        <v>0.8209499099099099</v>
      </c>
      <c r="R34" s="92"/>
    </row>
    <row r="35" spans="1:18" ht="13.15" x14ac:dyDescent="0.25">
      <c r="A35" s="60" t="s">
        <v>134</v>
      </c>
      <c r="B35" s="60" t="s">
        <v>16</v>
      </c>
      <c r="C35" s="60" t="s">
        <v>11</v>
      </c>
      <c r="D35" s="60" t="s">
        <v>91</v>
      </c>
      <c r="E35" s="61">
        <v>40330</v>
      </c>
      <c r="F35" s="61">
        <v>40339</v>
      </c>
      <c r="G35" s="92">
        <v>3230</v>
      </c>
      <c r="H35" s="93">
        <v>787</v>
      </c>
      <c r="I35" s="93" t="s">
        <v>92</v>
      </c>
      <c r="J35" s="94">
        <f t="shared" si="0"/>
        <v>0.2</v>
      </c>
      <c r="K35" s="95">
        <f t="shared" si="1"/>
        <v>32.075471698113205</v>
      </c>
      <c r="L35" s="95">
        <f t="shared" si="2"/>
        <v>0.81477477477477478</v>
      </c>
      <c r="M35" s="96">
        <f t="shared" si="3"/>
        <v>157.4</v>
      </c>
      <c r="N35" s="96">
        <f t="shared" si="4"/>
        <v>3387.4</v>
      </c>
      <c r="O35" s="97">
        <f t="shared" si="5"/>
        <v>33.638530287984111</v>
      </c>
      <c r="P35" s="97">
        <f t="shared" si="6"/>
        <v>0.85447927927927936</v>
      </c>
      <c r="R35" s="92"/>
    </row>
    <row r="36" spans="1:18" ht="13.15" x14ac:dyDescent="0.25">
      <c r="A36" s="60" t="s">
        <v>134</v>
      </c>
      <c r="B36" s="60" t="s">
        <v>23</v>
      </c>
      <c r="C36" s="60" t="s">
        <v>29</v>
      </c>
      <c r="D36" s="60" t="s">
        <v>91</v>
      </c>
      <c r="E36" s="61">
        <v>40330</v>
      </c>
      <c r="F36" s="61">
        <v>40339</v>
      </c>
      <c r="G36" s="92">
        <v>3920</v>
      </c>
      <c r="H36" s="93">
        <v>1836</v>
      </c>
      <c r="I36" s="93" t="s">
        <v>93</v>
      </c>
      <c r="J36" s="94">
        <f t="shared" si="0"/>
        <v>0.46</v>
      </c>
      <c r="K36" s="95">
        <f t="shared" si="1"/>
        <v>38.927507447864947</v>
      </c>
      <c r="L36" s="95">
        <f t="shared" si="2"/>
        <v>0.98882882882882883</v>
      </c>
      <c r="M36" s="96">
        <f t="shared" si="3"/>
        <v>844.56000000000006</v>
      </c>
      <c r="N36" s="96">
        <f t="shared" si="4"/>
        <v>4764.5600000000004</v>
      </c>
      <c r="O36" s="97">
        <f t="shared" si="5"/>
        <v>47.314399205561074</v>
      </c>
      <c r="P36" s="97">
        <f t="shared" si="6"/>
        <v>1.201870990990991</v>
      </c>
      <c r="R36" s="92"/>
    </row>
    <row r="37" spans="1:18" ht="13.15" x14ac:dyDescent="0.25">
      <c r="A37" s="60" t="s">
        <v>134</v>
      </c>
      <c r="B37" s="60" t="s">
        <v>31</v>
      </c>
      <c r="C37" s="60" t="s">
        <v>32</v>
      </c>
      <c r="D37" s="60" t="s">
        <v>91</v>
      </c>
      <c r="E37" s="61">
        <v>40330</v>
      </c>
      <c r="F37" s="61">
        <v>40339</v>
      </c>
      <c r="G37" s="92">
        <v>3400</v>
      </c>
      <c r="H37" s="93">
        <v>1899</v>
      </c>
      <c r="I37" s="93" t="s">
        <v>93</v>
      </c>
      <c r="J37" s="94">
        <f t="shared" si="0"/>
        <v>0.46</v>
      </c>
      <c r="K37" s="95">
        <f t="shared" si="1"/>
        <v>33.763654419066533</v>
      </c>
      <c r="L37" s="95">
        <f t="shared" si="2"/>
        <v>0.85765765765765767</v>
      </c>
      <c r="M37" s="96">
        <f t="shared" si="3"/>
        <v>873.54000000000008</v>
      </c>
      <c r="N37" s="96">
        <f t="shared" si="4"/>
        <v>4273.54</v>
      </c>
      <c r="O37" s="97">
        <f t="shared" si="5"/>
        <v>42.438331678252233</v>
      </c>
      <c r="P37" s="97">
        <f t="shared" si="6"/>
        <v>1.0780100900900902</v>
      </c>
      <c r="R37" s="92"/>
    </row>
    <row r="38" spans="1:18" ht="13.15" x14ac:dyDescent="0.25">
      <c r="A38" s="60" t="s">
        <v>22</v>
      </c>
      <c r="B38" s="60" t="s">
        <v>8</v>
      </c>
      <c r="C38" s="60" t="s">
        <v>29</v>
      </c>
      <c r="D38" s="60" t="s">
        <v>91</v>
      </c>
      <c r="E38" s="61">
        <v>40330</v>
      </c>
      <c r="F38" s="61">
        <v>40339</v>
      </c>
      <c r="G38" s="92">
        <v>4220</v>
      </c>
      <c r="H38" s="93">
        <v>1695</v>
      </c>
      <c r="I38" s="93" t="s">
        <v>93</v>
      </c>
      <c r="J38" s="94">
        <f t="shared" si="0"/>
        <v>0.46</v>
      </c>
      <c r="K38" s="95">
        <f t="shared" si="1"/>
        <v>41.906653426017876</v>
      </c>
      <c r="L38" s="95">
        <f t="shared" si="2"/>
        <v>1.1405405405405404</v>
      </c>
      <c r="M38" s="96">
        <f t="shared" si="3"/>
        <v>779.7</v>
      </c>
      <c r="N38" s="96">
        <f t="shared" si="4"/>
        <v>4999.7</v>
      </c>
      <c r="O38" s="97">
        <f t="shared" si="5"/>
        <v>49.649453823237337</v>
      </c>
      <c r="P38" s="97">
        <f t="shared" si="6"/>
        <v>1.3512702702702701</v>
      </c>
      <c r="R38" s="92"/>
    </row>
    <row r="39" spans="1:18" ht="13.15" x14ac:dyDescent="0.25">
      <c r="A39" s="60" t="s">
        <v>22</v>
      </c>
      <c r="B39" s="60" t="s">
        <v>23</v>
      </c>
      <c r="C39" s="60" t="s">
        <v>26</v>
      </c>
      <c r="D39" s="60" t="s">
        <v>91</v>
      </c>
      <c r="E39" s="61">
        <v>40330</v>
      </c>
      <c r="F39" s="61">
        <v>40339</v>
      </c>
      <c r="G39" s="92">
        <v>4170</v>
      </c>
      <c r="H39" s="93">
        <v>1851</v>
      </c>
      <c r="I39" s="93" t="s">
        <v>93</v>
      </c>
      <c r="J39" s="94">
        <f t="shared" si="0"/>
        <v>0.46</v>
      </c>
      <c r="K39" s="95">
        <f t="shared" si="1"/>
        <v>41.410129096325718</v>
      </c>
      <c r="L39" s="95">
        <f t="shared" si="2"/>
        <v>1.1270270270270271</v>
      </c>
      <c r="M39" s="96">
        <f t="shared" si="3"/>
        <v>851.46</v>
      </c>
      <c r="N39" s="96">
        <f t="shared" si="4"/>
        <v>5021.46</v>
      </c>
      <c r="O39" s="97">
        <f t="shared" si="5"/>
        <v>49.865541211519364</v>
      </c>
      <c r="P39" s="97">
        <f t="shared" si="6"/>
        <v>1.3571513513513513</v>
      </c>
      <c r="R39" s="92"/>
    </row>
    <row r="40" spans="1:18" ht="13.15" x14ac:dyDescent="0.25">
      <c r="A40" s="60" t="s">
        <v>22</v>
      </c>
      <c r="B40" s="60" t="s">
        <v>33</v>
      </c>
      <c r="C40" s="60" t="s">
        <v>29</v>
      </c>
      <c r="D40" s="60" t="s">
        <v>91</v>
      </c>
      <c r="E40" s="61">
        <v>40330</v>
      </c>
      <c r="F40" s="61">
        <v>40339</v>
      </c>
      <c r="G40" s="92">
        <v>4170</v>
      </c>
      <c r="H40" s="93">
        <v>1507</v>
      </c>
      <c r="I40" s="93" t="s">
        <v>93</v>
      </c>
      <c r="J40" s="94">
        <f t="shared" si="0"/>
        <v>0.46</v>
      </c>
      <c r="K40" s="95">
        <f t="shared" si="1"/>
        <v>41.410129096325718</v>
      </c>
      <c r="L40" s="95">
        <f t="shared" si="2"/>
        <v>1.1270270270270271</v>
      </c>
      <c r="M40" s="96">
        <f t="shared" si="3"/>
        <v>693.22</v>
      </c>
      <c r="N40" s="96">
        <f t="shared" si="4"/>
        <v>4863.22</v>
      </c>
      <c r="O40" s="97">
        <f t="shared" si="5"/>
        <v>48.294141012909634</v>
      </c>
      <c r="P40" s="97">
        <f t="shared" si="6"/>
        <v>1.314383783783784</v>
      </c>
      <c r="R40" s="92"/>
    </row>
    <row r="41" spans="1:18" ht="13.15" x14ac:dyDescent="0.25">
      <c r="A41" s="60" t="s">
        <v>22</v>
      </c>
      <c r="B41" s="60" t="s">
        <v>31</v>
      </c>
      <c r="C41" s="60" t="s">
        <v>7</v>
      </c>
      <c r="D41" s="60" t="s">
        <v>91</v>
      </c>
      <c r="E41" s="61">
        <v>40330</v>
      </c>
      <c r="F41" s="61">
        <v>40339</v>
      </c>
      <c r="G41" s="92">
        <v>3410</v>
      </c>
      <c r="H41" s="93">
        <v>1160</v>
      </c>
      <c r="I41" s="93" t="s">
        <v>92</v>
      </c>
      <c r="J41" s="94">
        <f t="shared" si="0"/>
        <v>0.2</v>
      </c>
      <c r="K41" s="95">
        <f t="shared" si="1"/>
        <v>33.862959285004962</v>
      </c>
      <c r="L41" s="95">
        <f t="shared" si="2"/>
        <v>0.92162162162162165</v>
      </c>
      <c r="M41" s="96">
        <f t="shared" si="3"/>
        <v>232</v>
      </c>
      <c r="N41" s="96">
        <f t="shared" si="4"/>
        <v>3642</v>
      </c>
      <c r="O41" s="97">
        <f t="shared" si="5"/>
        <v>36.166832174776566</v>
      </c>
      <c r="P41" s="97">
        <f t="shared" si="6"/>
        <v>0.98432432432432437</v>
      </c>
      <c r="R41" s="92"/>
    </row>
    <row r="42" spans="1:18" ht="13.15" x14ac:dyDescent="0.25">
      <c r="A42" s="60" t="s">
        <v>22</v>
      </c>
      <c r="B42" s="60" t="s">
        <v>14</v>
      </c>
      <c r="C42" s="60" t="s">
        <v>24</v>
      </c>
      <c r="D42" s="60" t="s">
        <v>91</v>
      </c>
      <c r="E42" s="61">
        <v>40330</v>
      </c>
      <c r="F42" s="61">
        <v>40339</v>
      </c>
      <c r="G42" s="92">
        <v>2366</v>
      </c>
      <c r="H42" s="93">
        <v>615</v>
      </c>
      <c r="I42" s="93" t="s">
        <v>94</v>
      </c>
      <c r="J42" s="94">
        <f t="shared" si="0"/>
        <v>0.27</v>
      </c>
      <c r="K42" s="95">
        <f t="shared" si="1"/>
        <v>23.495531281032768</v>
      </c>
      <c r="L42" s="95">
        <f t="shared" si="2"/>
        <v>0.63945945945945948</v>
      </c>
      <c r="M42" s="96">
        <f t="shared" si="3"/>
        <v>166.05</v>
      </c>
      <c r="N42" s="96">
        <f t="shared" si="4"/>
        <v>2532.0500000000002</v>
      </c>
      <c r="O42" s="97">
        <f t="shared" si="5"/>
        <v>25.144488579940418</v>
      </c>
      <c r="P42" s="97">
        <f t="shared" si="6"/>
        <v>0.68433783783783786</v>
      </c>
      <c r="R42" s="92"/>
    </row>
    <row r="43" spans="1:18" ht="13.15" x14ac:dyDescent="0.25">
      <c r="A43" s="85" t="s">
        <v>22</v>
      </c>
      <c r="B43" s="85" t="s">
        <v>34</v>
      </c>
      <c r="C43" s="85" t="s">
        <v>26</v>
      </c>
      <c r="D43" s="85" t="s">
        <v>91</v>
      </c>
      <c r="E43" s="86">
        <v>40330</v>
      </c>
      <c r="F43" s="86">
        <v>40339</v>
      </c>
      <c r="G43" s="105">
        <v>4320</v>
      </c>
      <c r="H43" s="107">
        <v>1637</v>
      </c>
      <c r="I43" s="107" t="s">
        <v>92</v>
      </c>
      <c r="J43" s="117">
        <f t="shared" si="0"/>
        <v>0.2</v>
      </c>
      <c r="K43" s="108">
        <f t="shared" si="1"/>
        <v>42.899702085402183</v>
      </c>
      <c r="L43" s="108">
        <f t="shared" si="2"/>
        <v>1.1675675675675676</v>
      </c>
      <c r="M43" s="115">
        <f t="shared" si="3"/>
        <v>327.40000000000003</v>
      </c>
      <c r="N43" s="115">
        <f t="shared" si="4"/>
        <v>4647.3999999999996</v>
      </c>
      <c r="O43" s="116">
        <f t="shared" si="5"/>
        <v>46.15094339622641</v>
      </c>
      <c r="P43" s="116">
        <f t="shared" si="6"/>
        <v>1.2560540540540539</v>
      </c>
      <c r="R43" s="92"/>
    </row>
    <row r="44" spans="1:18" ht="13.15" x14ac:dyDescent="0.25">
      <c r="A44" s="82" t="s">
        <v>1</v>
      </c>
      <c r="B44" s="82" t="s">
        <v>2</v>
      </c>
      <c r="C44" s="82" t="s">
        <v>3</v>
      </c>
      <c r="D44" s="82" t="s">
        <v>90</v>
      </c>
      <c r="E44" s="87">
        <v>40360</v>
      </c>
      <c r="F44" s="83">
        <v>40365</v>
      </c>
      <c r="G44" s="92">
        <v>2774</v>
      </c>
      <c r="H44" s="99">
        <v>506</v>
      </c>
      <c r="I44" s="99" t="s">
        <v>92</v>
      </c>
      <c r="J44" s="100">
        <f t="shared" si="0"/>
        <v>0.2</v>
      </c>
      <c r="K44" s="101">
        <f t="shared" ref="K44:K81" si="7">G44/100.7</f>
        <v>27.547169811320753</v>
      </c>
      <c r="L44" s="101">
        <f t="shared" ref="L44:L81" si="8">IF(A44="corn",G44/(111*2000/56),G44/(111*2000/60))</f>
        <v>0.74972972972972973</v>
      </c>
      <c r="M44" s="96">
        <f t="shared" ref="M44:M81" si="9">H44*J44</f>
        <v>101.2</v>
      </c>
      <c r="N44" s="96">
        <f t="shared" ref="N44:N81" si="10">G44+M44</f>
        <v>2875.2</v>
      </c>
      <c r="O44" s="97">
        <f t="shared" si="5"/>
        <v>28.552135054617672</v>
      </c>
      <c r="P44" s="97">
        <f t="shared" ref="P44:P81" si="11">IF(A44="corn",N44/(111*2000/56),N44/(111*2000/60))</f>
        <v>0.77708108108108098</v>
      </c>
      <c r="R44" s="92"/>
    </row>
    <row r="45" spans="1:18" ht="13.15" x14ac:dyDescent="0.25">
      <c r="A45" s="82" t="s">
        <v>1</v>
      </c>
      <c r="B45" s="82" t="s">
        <v>4</v>
      </c>
      <c r="C45" s="82" t="s">
        <v>5</v>
      </c>
      <c r="D45" s="82" t="s">
        <v>90</v>
      </c>
      <c r="E45" s="87">
        <v>40360</v>
      </c>
      <c r="F45" s="83">
        <v>40365</v>
      </c>
      <c r="G45" s="92">
        <v>2400</v>
      </c>
      <c r="H45" s="99">
        <v>298</v>
      </c>
      <c r="I45" s="99" t="s">
        <v>93</v>
      </c>
      <c r="J45" s="100">
        <f t="shared" si="0"/>
        <v>0.46</v>
      </c>
      <c r="K45" s="101">
        <f t="shared" si="7"/>
        <v>23.833167825223434</v>
      </c>
      <c r="L45" s="101">
        <f t="shared" si="8"/>
        <v>0.64864864864864868</v>
      </c>
      <c r="M45" s="96">
        <f t="shared" si="9"/>
        <v>137.08000000000001</v>
      </c>
      <c r="N45" s="96">
        <f t="shared" si="10"/>
        <v>2537.08</v>
      </c>
      <c r="O45" s="97">
        <f t="shared" si="5"/>
        <v>25.194438927507445</v>
      </c>
      <c r="P45" s="97">
        <f t="shared" si="11"/>
        <v>0.68569729729729723</v>
      </c>
      <c r="R45" s="92"/>
    </row>
    <row r="46" spans="1:18" ht="13.15" x14ac:dyDescent="0.25">
      <c r="A46" s="82" t="s">
        <v>1</v>
      </c>
      <c r="B46" s="82" t="s">
        <v>2</v>
      </c>
      <c r="C46" s="82" t="s">
        <v>6</v>
      </c>
      <c r="D46" s="82" t="s">
        <v>90</v>
      </c>
      <c r="E46" s="87">
        <v>40360</v>
      </c>
      <c r="F46" s="83">
        <v>40365</v>
      </c>
      <c r="G46" s="92">
        <v>5047</v>
      </c>
      <c r="H46" s="99">
        <v>1530</v>
      </c>
      <c r="I46" s="99" t="s">
        <v>93</v>
      </c>
      <c r="J46" s="100">
        <f t="shared" si="0"/>
        <v>0.46</v>
      </c>
      <c r="K46" s="101">
        <f t="shared" si="7"/>
        <v>50.119165839126119</v>
      </c>
      <c r="L46" s="101">
        <f t="shared" si="8"/>
        <v>1.364054054054054</v>
      </c>
      <c r="M46" s="96">
        <f t="shared" si="9"/>
        <v>703.80000000000007</v>
      </c>
      <c r="N46" s="96">
        <f t="shared" si="10"/>
        <v>5750.8</v>
      </c>
      <c r="O46" s="97">
        <f t="shared" si="5"/>
        <v>57.108242303872892</v>
      </c>
      <c r="P46" s="97">
        <f t="shared" si="11"/>
        <v>1.5542702702702704</v>
      </c>
      <c r="R46" s="92"/>
    </row>
    <row r="47" spans="1:18" ht="13.15" x14ac:dyDescent="0.25">
      <c r="A47" s="82" t="s">
        <v>1</v>
      </c>
      <c r="B47" s="82" t="s">
        <v>2</v>
      </c>
      <c r="C47" s="82" t="s">
        <v>7</v>
      </c>
      <c r="D47" s="82" t="s">
        <v>90</v>
      </c>
      <c r="E47" s="87">
        <v>40360</v>
      </c>
      <c r="F47" s="83">
        <v>40365</v>
      </c>
      <c r="G47" s="92">
        <v>3275</v>
      </c>
      <c r="H47" s="99">
        <v>890</v>
      </c>
      <c r="I47" s="99" t="s">
        <v>92</v>
      </c>
      <c r="J47" s="100">
        <f t="shared" si="0"/>
        <v>0.2</v>
      </c>
      <c r="K47" s="101">
        <f t="shared" si="7"/>
        <v>32.522343594836144</v>
      </c>
      <c r="L47" s="101">
        <f t="shared" si="8"/>
        <v>0.88513513513513509</v>
      </c>
      <c r="M47" s="96">
        <f t="shared" si="9"/>
        <v>178</v>
      </c>
      <c r="N47" s="96">
        <f t="shared" si="10"/>
        <v>3453</v>
      </c>
      <c r="O47" s="97">
        <f t="shared" si="5"/>
        <v>34.289970208540218</v>
      </c>
      <c r="P47" s="97">
        <f t="shared" si="11"/>
        <v>0.93324324324324326</v>
      </c>
      <c r="R47" s="92"/>
    </row>
    <row r="48" spans="1:18" ht="13.15" x14ac:dyDescent="0.25">
      <c r="A48" s="82" t="s">
        <v>1</v>
      </c>
      <c r="B48" s="82" t="s">
        <v>8</v>
      </c>
      <c r="C48" s="82" t="s">
        <v>9</v>
      </c>
      <c r="D48" s="82" t="s">
        <v>90</v>
      </c>
      <c r="E48" s="87">
        <v>40360</v>
      </c>
      <c r="F48" s="83">
        <v>40365</v>
      </c>
      <c r="G48" s="92">
        <v>4981</v>
      </c>
      <c r="H48" s="99">
        <v>1256</v>
      </c>
      <c r="I48" s="99" t="s">
        <v>93</v>
      </c>
      <c r="J48" s="100">
        <f t="shared" si="0"/>
        <v>0.46</v>
      </c>
      <c r="K48" s="101">
        <f t="shared" si="7"/>
        <v>49.46375372393247</v>
      </c>
      <c r="L48" s="101">
        <f t="shared" si="8"/>
        <v>1.3462162162162161</v>
      </c>
      <c r="M48" s="96">
        <f t="shared" si="9"/>
        <v>577.76</v>
      </c>
      <c r="N48" s="96">
        <f t="shared" si="10"/>
        <v>5558.76</v>
      </c>
      <c r="O48" s="97">
        <f t="shared" si="5"/>
        <v>55.201191658391259</v>
      </c>
      <c r="P48" s="97">
        <f t="shared" si="11"/>
        <v>1.5023675675675676</v>
      </c>
      <c r="R48" s="92"/>
    </row>
    <row r="49" spans="1:18" ht="13.15" x14ac:dyDescent="0.25">
      <c r="A49" s="82" t="s">
        <v>1</v>
      </c>
      <c r="B49" s="82" t="s">
        <v>10</v>
      </c>
      <c r="C49" s="82" t="s">
        <v>9</v>
      </c>
      <c r="D49" s="82" t="s">
        <v>90</v>
      </c>
      <c r="E49" s="87">
        <v>40360</v>
      </c>
      <c r="F49" s="83">
        <v>40365</v>
      </c>
      <c r="G49" s="92">
        <v>3543</v>
      </c>
      <c r="H49" s="99">
        <v>975</v>
      </c>
      <c r="I49" s="99" t="s">
        <v>92</v>
      </c>
      <c r="J49" s="100">
        <f t="shared" si="0"/>
        <v>0.2</v>
      </c>
      <c r="K49" s="101">
        <f t="shared" si="7"/>
        <v>35.183714001986097</v>
      </c>
      <c r="L49" s="101">
        <f t="shared" si="8"/>
        <v>0.95756756756756756</v>
      </c>
      <c r="M49" s="96">
        <f t="shared" si="9"/>
        <v>195</v>
      </c>
      <c r="N49" s="96">
        <f t="shared" si="10"/>
        <v>3738</v>
      </c>
      <c r="O49" s="97">
        <f t="shared" si="5"/>
        <v>37.1201588877855</v>
      </c>
      <c r="P49" s="97">
        <f t="shared" si="11"/>
        <v>1.0102702702702702</v>
      </c>
      <c r="R49" s="92"/>
    </row>
    <row r="50" spans="1:18" ht="13.15" x14ac:dyDescent="0.25">
      <c r="A50" s="82" t="s">
        <v>1</v>
      </c>
      <c r="B50" s="82" t="s">
        <v>11</v>
      </c>
      <c r="C50" s="82" t="s">
        <v>6</v>
      </c>
      <c r="D50" s="82" t="s">
        <v>90</v>
      </c>
      <c r="E50" s="87">
        <v>40360</v>
      </c>
      <c r="F50" s="83">
        <v>40365</v>
      </c>
      <c r="G50" s="92">
        <v>3742</v>
      </c>
      <c r="H50" s="99">
        <v>1357</v>
      </c>
      <c r="I50" s="99" t="s">
        <v>92</v>
      </c>
      <c r="J50" s="100">
        <f t="shared" si="0"/>
        <v>0.2</v>
      </c>
      <c r="K50" s="101">
        <f t="shared" si="7"/>
        <v>37.159880834160873</v>
      </c>
      <c r="L50" s="101">
        <f t="shared" si="8"/>
        <v>1.0113513513513515</v>
      </c>
      <c r="M50" s="96">
        <f t="shared" si="9"/>
        <v>271.40000000000003</v>
      </c>
      <c r="N50" s="96">
        <f t="shared" si="10"/>
        <v>4013.4</v>
      </c>
      <c r="O50" s="97">
        <f t="shared" si="5"/>
        <v>39.855014895729887</v>
      </c>
      <c r="P50" s="97">
        <f t="shared" si="11"/>
        <v>1.0847027027027027</v>
      </c>
      <c r="R50" s="92"/>
    </row>
    <row r="51" spans="1:18" ht="13.15" x14ac:dyDescent="0.25">
      <c r="A51" s="82" t="s">
        <v>134</v>
      </c>
      <c r="B51" s="82" t="s">
        <v>13</v>
      </c>
      <c r="C51" s="82" t="s">
        <v>7</v>
      </c>
      <c r="D51" s="82" t="s">
        <v>90</v>
      </c>
      <c r="E51" s="87">
        <v>40360</v>
      </c>
      <c r="F51" s="83">
        <v>40365</v>
      </c>
      <c r="G51" s="92">
        <v>2785</v>
      </c>
      <c r="H51" s="99">
        <v>1006</v>
      </c>
      <c r="I51" s="99" t="s">
        <v>92</v>
      </c>
      <c r="J51" s="100">
        <f t="shared" si="0"/>
        <v>0.2</v>
      </c>
      <c r="K51" s="101">
        <f t="shared" si="7"/>
        <v>27.656405163853027</v>
      </c>
      <c r="L51" s="101">
        <f t="shared" si="8"/>
        <v>0.70252252252252256</v>
      </c>
      <c r="M51" s="96">
        <f t="shared" si="9"/>
        <v>201.20000000000002</v>
      </c>
      <c r="N51" s="96">
        <f t="shared" si="10"/>
        <v>2986.2</v>
      </c>
      <c r="O51" s="97">
        <f t="shared" si="5"/>
        <v>29.654419066534256</v>
      </c>
      <c r="P51" s="97">
        <f t="shared" si="11"/>
        <v>0.75327567567567566</v>
      </c>
      <c r="R51" s="92"/>
    </row>
    <row r="52" spans="1:18" ht="13.15" x14ac:dyDescent="0.25">
      <c r="A52" s="82" t="s">
        <v>134</v>
      </c>
      <c r="B52" s="82" t="s">
        <v>14</v>
      </c>
      <c r="C52" s="82" t="s">
        <v>15</v>
      </c>
      <c r="D52" s="82" t="s">
        <v>90</v>
      </c>
      <c r="E52" s="87">
        <v>40360</v>
      </c>
      <c r="F52" s="83">
        <v>40365</v>
      </c>
      <c r="G52" s="92">
        <v>3471</v>
      </c>
      <c r="H52" s="99">
        <v>866</v>
      </c>
      <c r="I52" s="99" t="s">
        <v>94</v>
      </c>
      <c r="J52" s="100">
        <f t="shared" si="0"/>
        <v>0.27</v>
      </c>
      <c r="K52" s="101">
        <f t="shared" si="7"/>
        <v>34.468718967229393</v>
      </c>
      <c r="L52" s="101">
        <f t="shared" si="8"/>
        <v>0.8755675675675676</v>
      </c>
      <c r="M52" s="96">
        <f t="shared" si="9"/>
        <v>233.82000000000002</v>
      </c>
      <c r="N52" s="96">
        <f t="shared" si="10"/>
        <v>3704.82</v>
      </c>
      <c r="O52" s="97">
        <f t="shared" si="5"/>
        <v>36.790665342601791</v>
      </c>
      <c r="P52" s="97">
        <f t="shared" si="11"/>
        <v>0.93454918918918928</v>
      </c>
      <c r="R52" s="92"/>
    </row>
    <row r="53" spans="1:18" ht="13.15" x14ac:dyDescent="0.25">
      <c r="A53" s="82" t="s">
        <v>134</v>
      </c>
      <c r="B53" s="82" t="s">
        <v>16</v>
      </c>
      <c r="C53" s="82" t="s">
        <v>17</v>
      </c>
      <c r="D53" s="82" t="s">
        <v>90</v>
      </c>
      <c r="E53" s="87">
        <v>40360</v>
      </c>
      <c r="F53" s="83">
        <v>40365</v>
      </c>
      <c r="G53" s="92">
        <v>1912</v>
      </c>
      <c r="H53" s="99">
        <v>213</v>
      </c>
      <c r="I53" s="99" t="s">
        <v>92</v>
      </c>
      <c r="J53" s="100">
        <f t="shared" si="0"/>
        <v>0.2</v>
      </c>
      <c r="K53" s="101">
        <f t="shared" si="7"/>
        <v>18.987090367428003</v>
      </c>
      <c r="L53" s="101">
        <f t="shared" si="8"/>
        <v>0.48230630630630633</v>
      </c>
      <c r="M53" s="96">
        <f t="shared" si="9"/>
        <v>42.6</v>
      </c>
      <c r="N53" s="96">
        <f t="shared" si="10"/>
        <v>1954.6</v>
      </c>
      <c r="O53" s="97">
        <f t="shared" si="5"/>
        <v>19.410129096325718</v>
      </c>
      <c r="P53" s="97">
        <f t="shared" si="11"/>
        <v>0.49305225225225224</v>
      </c>
      <c r="R53" s="92"/>
    </row>
    <row r="54" spans="1:18" ht="13.15" x14ac:dyDescent="0.25">
      <c r="A54" s="82" t="s">
        <v>134</v>
      </c>
      <c r="B54" s="82" t="s">
        <v>18</v>
      </c>
      <c r="C54" s="82" t="s">
        <v>19</v>
      </c>
      <c r="D54" s="82" t="s">
        <v>90</v>
      </c>
      <c r="E54" s="87">
        <v>40360</v>
      </c>
      <c r="F54" s="83">
        <v>40365</v>
      </c>
      <c r="G54" s="92">
        <v>2993</v>
      </c>
      <c r="H54" s="99">
        <v>650</v>
      </c>
      <c r="I54" s="99" t="s">
        <v>94</v>
      </c>
      <c r="J54" s="100">
        <f t="shared" si="0"/>
        <v>0.27</v>
      </c>
      <c r="K54" s="101">
        <f t="shared" si="7"/>
        <v>29.721946375372394</v>
      </c>
      <c r="L54" s="101">
        <f t="shared" si="8"/>
        <v>0.75499099099099098</v>
      </c>
      <c r="M54" s="96">
        <f t="shared" si="9"/>
        <v>175.5</v>
      </c>
      <c r="N54" s="96">
        <f t="shared" si="10"/>
        <v>3168.5</v>
      </c>
      <c r="O54" s="97">
        <f t="shared" si="5"/>
        <v>31.464746772591855</v>
      </c>
      <c r="P54" s="97">
        <f t="shared" si="11"/>
        <v>0.79926126126126129</v>
      </c>
      <c r="R54" s="92"/>
    </row>
    <row r="55" spans="1:18" ht="13.15" x14ac:dyDescent="0.25">
      <c r="A55" s="82" t="s">
        <v>134</v>
      </c>
      <c r="B55" s="82" t="s">
        <v>18</v>
      </c>
      <c r="C55" s="82" t="s">
        <v>20</v>
      </c>
      <c r="D55" s="82" t="s">
        <v>90</v>
      </c>
      <c r="E55" s="87">
        <v>40360</v>
      </c>
      <c r="F55" s="83">
        <v>40365</v>
      </c>
      <c r="G55" s="92">
        <v>2557</v>
      </c>
      <c r="H55" s="99">
        <v>417</v>
      </c>
      <c r="I55" s="99" t="s">
        <v>94</v>
      </c>
      <c r="J55" s="100">
        <f t="shared" si="0"/>
        <v>0.27</v>
      </c>
      <c r="K55" s="101">
        <f t="shared" si="7"/>
        <v>25.392254220456802</v>
      </c>
      <c r="L55" s="101">
        <f t="shared" si="8"/>
        <v>0.64500900900900904</v>
      </c>
      <c r="M55" s="96">
        <f t="shared" si="9"/>
        <v>112.59</v>
      </c>
      <c r="N55" s="96">
        <f t="shared" si="10"/>
        <v>2669.59</v>
      </c>
      <c r="O55" s="97">
        <f t="shared" si="5"/>
        <v>26.510327706057598</v>
      </c>
      <c r="P55" s="97">
        <f t="shared" si="11"/>
        <v>0.67341009009009012</v>
      </c>
      <c r="R55" s="92"/>
    </row>
    <row r="56" spans="1:18" ht="13.15" x14ac:dyDescent="0.25">
      <c r="A56" s="82" t="s">
        <v>134</v>
      </c>
      <c r="B56" s="82" t="s">
        <v>16</v>
      </c>
      <c r="C56" s="82" t="s">
        <v>21</v>
      </c>
      <c r="D56" s="82" t="s">
        <v>90</v>
      </c>
      <c r="E56" s="87">
        <v>40360</v>
      </c>
      <c r="F56" s="83">
        <v>40365</v>
      </c>
      <c r="G56" s="92">
        <v>2848</v>
      </c>
      <c r="H56" s="99">
        <v>626</v>
      </c>
      <c r="I56" s="99" t="s">
        <v>92</v>
      </c>
      <c r="J56" s="100">
        <f t="shared" si="0"/>
        <v>0.2</v>
      </c>
      <c r="K56" s="101">
        <f t="shared" si="7"/>
        <v>28.282025819265144</v>
      </c>
      <c r="L56" s="101">
        <f t="shared" si="8"/>
        <v>0.71841441441441445</v>
      </c>
      <c r="M56" s="96">
        <f t="shared" si="9"/>
        <v>125.2</v>
      </c>
      <c r="N56" s="96">
        <f t="shared" si="10"/>
        <v>2973.2</v>
      </c>
      <c r="O56" s="97">
        <f t="shared" si="5"/>
        <v>29.525322740814296</v>
      </c>
      <c r="P56" s="97">
        <f t="shared" si="11"/>
        <v>0.74999639639639637</v>
      </c>
      <c r="R56" s="92"/>
    </row>
    <row r="57" spans="1:18" ht="13.15" x14ac:dyDescent="0.25">
      <c r="A57" s="82" t="s">
        <v>134</v>
      </c>
      <c r="B57" s="82" t="s">
        <v>16</v>
      </c>
      <c r="C57" s="82" t="s">
        <v>6</v>
      </c>
      <c r="D57" s="82" t="s">
        <v>90</v>
      </c>
      <c r="E57" s="87">
        <v>40360</v>
      </c>
      <c r="F57" s="83">
        <v>40365</v>
      </c>
      <c r="G57" s="92">
        <v>4263</v>
      </c>
      <c r="H57" s="99">
        <v>1823</v>
      </c>
      <c r="I57" s="99" t="s">
        <v>92</v>
      </c>
      <c r="J57" s="100">
        <f t="shared" si="0"/>
        <v>0.2</v>
      </c>
      <c r="K57" s="101">
        <f t="shared" si="7"/>
        <v>42.333664349553125</v>
      </c>
      <c r="L57" s="101">
        <f t="shared" si="8"/>
        <v>1.0753513513513513</v>
      </c>
      <c r="M57" s="96">
        <f t="shared" si="9"/>
        <v>364.6</v>
      </c>
      <c r="N57" s="96">
        <f t="shared" si="10"/>
        <v>4627.6000000000004</v>
      </c>
      <c r="O57" s="97">
        <f t="shared" si="5"/>
        <v>45.954319761668323</v>
      </c>
      <c r="P57" s="97">
        <f t="shared" si="11"/>
        <v>1.1673225225225226</v>
      </c>
      <c r="R57" s="92"/>
    </row>
    <row r="58" spans="1:18" ht="13.15" x14ac:dyDescent="0.25">
      <c r="A58" s="82" t="s">
        <v>22</v>
      </c>
      <c r="B58" s="82" t="s">
        <v>23</v>
      </c>
      <c r="C58" s="82" t="s">
        <v>7</v>
      </c>
      <c r="D58" s="82" t="s">
        <v>90</v>
      </c>
      <c r="E58" s="87">
        <v>40360</v>
      </c>
      <c r="F58" s="83">
        <v>40365</v>
      </c>
      <c r="G58" s="92">
        <v>2851</v>
      </c>
      <c r="H58" s="99">
        <v>1295</v>
      </c>
      <c r="I58" s="99" t="s">
        <v>95</v>
      </c>
      <c r="J58" s="100">
        <f t="shared" si="0"/>
        <v>0.14949999999999999</v>
      </c>
      <c r="K58" s="101">
        <f t="shared" si="7"/>
        <v>28.311817279046672</v>
      </c>
      <c r="L58" s="101">
        <f t="shared" si="8"/>
        <v>0.77054054054054055</v>
      </c>
      <c r="M58" s="96">
        <f t="shared" si="9"/>
        <v>193.60249999999999</v>
      </c>
      <c r="N58" s="96">
        <f t="shared" si="10"/>
        <v>3044.6025</v>
      </c>
      <c r="O58" s="97">
        <f t="shared" si="5"/>
        <v>30.234384309831182</v>
      </c>
      <c r="P58" s="97">
        <f t="shared" si="11"/>
        <v>0.82286554054054051</v>
      </c>
      <c r="R58" s="92"/>
    </row>
    <row r="59" spans="1:18" ht="13.15" x14ac:dyDescent="0.25">
      <c r="A59" s="82" t="s">
        <v>22</v>
      </c>
      <c r="B59" s="82" t="s">
        <v>14</v>
      </c>
      <c r="C59" s="82" t="s">
        <v>24</v>
      </c>
      <c r="D59" s="82" t="s">
        <v>90</v>
      </c>
      <c r="E59" s="87">
        <v>40360</v>
      </c>
      <c r="F59" s="83">
        <v>40365</v>
      </c>
      <c r="G59" s="92">
        <v>2748</v>
      </c>
      <c r="H59" s="99">
        <v>615</v>
      </c>
      <c r="I59" s="99" t="s">
        <v>94</v>
      </c>
      <c r="J59" s="100">
        <f t="shared" si="0"/>
        <v>0.27</v>
      </c>
      <c r="K59" s="101">
        <f t="shared" si="7"/>
        <v>27.288977159880833</v>
      </c>
      <c r="L59" s="101">
        <f t="shared" si="8"/>
        <v>0.74270270270270267</v>
      </c>
      <c r="M59" s="96">
        <f t="shared" si="9"/>
        <v>166.05</v>
      </c>
      <c r="N59" s="96">
        <f t="shared" si="10"/>
        <v>2914.05</v>
      </c>
      <c r="O59" s="97">
        <f t="shared" si="5"/>
        <v>28.937934458788483</v>
      </c>
      <c r="P59" s="97">
        <f t="shared" si="11"/>
        <v>0.78758108108108116</v>
      </c>
      <c r="R59" s="92"/>
    </row>
    <row r="60" spans="1:18" ht="13.15" x14ac:dyDescent="0.25">
      <c r="A60" s="82" t="s">
        <v>22</v>
      </c>
      <c r="B60" s="82" t="s">
        <v>18</v>
      </c>
      <c r="C60" s="82" t="s">
        <v>15</v>
      </c>
      <c r="D60" s="82" t="s">
        <v>90</v>
      </c>
      <c r="E60" s="87">
        <v>40360</v>
      </c>
      <c r="F60" s="83">
        <v>40365</v>
      </c>
      <c r="G60" s="92">
        <v>3540</v>
      </c>
      <c r="H60" s="99">
        <v>872</v>
      </c>
      <c r="I60" s="99" t="s">
        <v>94</v>
      </c>
      <c r="J60" s="100">
        <f t="shared" si="0"/>
        <v>0.27</v>
      </c>
      <c r="K60" s="101">
        <f t="shared" si="7"/>
        <v>35.153922542204569</v>
      </c>
      <c r="L60" s="101">
        <f t="shared" si="8"/>
        <v>0.95675675675675675</v>
      </c>
      <c r="M60" s="96">
        <f t="shared" si="9"/>
        <v>235.44000000000003</v>
      </c>
      <c r="N60" s="96">
        <f t="shared" si="10"/>
        <v>3775.44</v>
      </c>
      <c r="O60" s="97">
        <f t="shared" si="5"/>
        <v>37.491956305858984</v>
      </c>
      <c r="P60" s="97">
        <f t="shared" si="11"/>
        <v>1.0203891891891892</v>
      </c>
      <c r="R60" s="92"/>
    </row>
    <row r="61" spans="1:18" ht="13.15" x14ac:dyDescent="0.25">
      <c r="A61" s="82" t="s">
        <v>22</v>
      </c>
      <c r="B61" s="82" t="s">
        <v>18</v>
      </c>
      <c r="C61" s="82" t="s">
        <v>24</v>
      </c>
      <c r="D61" s="82" t="s">
        <v>90</v>
      </c>
      <c r="E61" s="87">
        <v>40360</v>
      </c>
      <c r="F61" s="83">
        <v>40365</v>
      </c>
      <c r="G61" s="92">
        <v>2443</v>
      </c>
      <c r="H61" s="99">
        <v>417</v>
      </c>
      <c r="I61" s="99" t="s">
        <v>94</v>
      </c>
      <c r="J61" s="100">
        <f t="shared" si="0"/>
        <v>0.27</v>
      </c>
      <c r="K61" s="101">
        <f t="shared" si="7"/>
        <v>24.260178748758687</v>
      </c>
      <c r="L61" s="101">
        <f t="shared" si="8"/>
        <v>0.6602702702702703</v>
      </c>
      <c r="M61" s="96">
        <f t="shared" si="9"/>
        <v>112.59</v>
      </c>
      <c r="N61" s="96">
        <f t="shared" si="10"/>
        <v>2555.59</v>
      </c>
      <c r="O61" s="97">
        <f t="shared" si="5"/>
        <v>25.378252234359483</v>
      </c>
      <c r="P61" s="97">
        <f t="shared" si="11"/>
        <v>0.69070000000000009</v>
      </c>
      <c r="R61" s="92"/>
    </row>
    <row r="62" spans="1:18" ht="13.15" x14ac:dyDescent="0.25">
      <c r="A62" s="82" t="s">
        <v>22</v>
      </c>
      <c r="B62" s="82" t="s">
        <v>13</v>
      </c>
      <c r="C62" s="82" t="s">
        <v>7</v>
      </c>
      <c r="D62" s="82" t="s">
        <v>90</v>
      </c>
      <c r="E62" s="87">
        <v>40360</v>
      </c>
      <c r="F62" s="83">
        <v>40365</v>
      </c>
      <c r="G62" s="92">
        <v>3038</v>
      </c>
      <c r="H62" s="99">
        <v>1006</v>
      </c>
      <c r="I62" s="99" t="s">
        <v>92</v>
      </c>
      <c r="J62" s="100">
        <f t="shared" si="0"/>
        <v>0.2</v>
      </c>
      <c r="K62" s="101">
        <f t="shared" si="7"/>
        <v>30.168818272095333</v>
      </c>
      <c r="L62" s="101">
        <f t="shared" si="8"/>
        <v>0.82108108108108113</v>
      </c>
      <c r="M62" s="96">
        <f t="shared" si="9"/>
        <v>201.20000000000002</v>
      </c>
      <c r="N62" s="96">
        <f t="shared" si="10"/>
        <v>3239.2</v>
      </c>
      <c r="O62" s="97">
        <f t="shared" si="5"/>
        <v>32.166832174776559</v>
      </c>
      <c r="P62" s="97">
        <f t="shared" si="11"/>
        <v>0.87545945945945935</v>
      </c>
      <c r="R62" s="92"/>
    </row>
    <row r="63" spans="1:18" ht="13.15" x14ac:dyDescent="0.25">
      <c r="A63" s="82" t="s">
        <v>1</v>
      </c>
      <c r="B63" s="82" t="s">
        <v>25</v>
      </c>
      <c r="C63" s="82" t="s">
        <v>26</v>
      </c>
      <c r="D63" s="82" t="s">
        <v>91</v>
      </c>
      <c r="E63" s="87">
        <v>40360</v>
      </c>
      <c r="F63" s="83">
        <v>40365</v>
      </c>
      <c r="G63" s="92">
        <v>2770</v>
      </c>
      <c r="H63" s="99">
        <v>880</v>
      </c>
      <c r="I63" s="99" t="s">
        <v>93</v>
      </c>
      <c r="J63" s="100">
        <f t="shared" si="0"/>
        <v>0.46</v>
      </c>
      <c r="K63" s="101">
        <f t="shared" si="7"/>
        <v>27.50744786494538</v>
      </c>
      <c r="L63" s="101">
        <f t="shared" si="8"/>
        <v>0.74864864864864866</v>
      </c>
      <c r="M63" s="96">
        <f t="shared" si="9"/>
        <v>404.8</v>
      </c>
      <c r="N63" s="96">
        <f t="shared" si="10"/>
        <v>3174.8</v>
      </c>
      <c r="O63" s="97">
        <f t="shared" si="5"/>
        <v>31.52730883813307</v>
      </c>
      <c r="P63" s="97">
        <f t="shared" si="11"/>
        <v>0.85805405405405411</v>
      </c>
      <c r="R63" s="92"/>
    </row>
    <row r="64" spans="1:18" ht="13.15" x14ac:dyDescent="0.25">
      <c r="A64" s="82" t="s">
        <v>1</v>
      </c>
      <c r="B64" s="82" t="s">
        <v>2</v>
      </c>
      <c r="C64" s="82" t="s">
        <v>9</v>
      </c>
      <c r="D64" s="82" t="s">
        <v>91</v>
      </c>
      <c r="E64" s="87">
        <v>40360</v>
      </c>
      <c r="F64" s="83">
        <v>40365</v>
      </c>
      <c r="G64" s="92">
        <v>2867</v>
      </c>
      <c r="H64" s="99">
        <v>685</v>
      </c>
      <c r="I64" s="99" t="s">
        <v>93</v>
      </c>
      <c r="J64" s="100">
        <f t="shared" si="0"/>
        <v>0.46</v>
      </c>
      <c r="K64" s="101">
        <f t="shared" si="7"/>
        <v>28.470705064548163</v>
      </c>
      <c r="L64" s="101">
        <f t="shared" si="8"/>
        <v>0.77486486486486483</v>
      </c>
      <c r="M64" s="96">
        <f t="shared" si="9"/>
        <v>315.10000000000002</v>
      </c>
      <c r="N64" s="96">
        <f t="shared" si="10"/>
        <v>3182.1</v>
      </c>
      <c r="O64" s="97">
        <f t="shared" si="5"/>
        <v>31.599801390268123</v>
      </c>
      <c r="P64" s="97">
        <f t="shared" si="11"/>
        <v>0.86002702702702705</v>
      </c>
      <c r="R64" s="92"/>
    </row>
    <row r="65" spans="1:18" ht="13.15" x14ac:dyDescent="0.25">
      <c r="A65" s="82" t="s">
        <v>1</v>
      </c>
      <c r="B65" s="82" t="s">
        <v>27</v>
      </c>
      <c r="C65" s="82" t="s">
        <v>28</v>
      </c>
      <c r="D65" s="82" t="s">
        <v>91</v>
      </c>
      <c r="E65" s="87">
        <v>40360</v>
      </c>
      <c r="F65" s="83">
        <v>40365</v>
      </c>
      <c r="G65" s="92">
        <v>3811</v>
      </c>
      <c r="H65" s="99">
        <v>812</v>
      </c>
      <c r="I65" s="99" t="s">
        <v>94</v>
      </c>
      <c r="J65" s="100">
        <f t="shared" si="0"/>
        <v>0.27</v>
      </c>
      <c r="K65" s="101">
        <f t="shared" si="7"/>
        <v>37.845084409136049</v>
      </c>
      <c r="L65" s="101">
        <f t="shared" si="8"/>
        <v>1.03</v>
      </c>
      <c r="M65" s="96">
        <f t="shared" si="9"/>
        <v>219.24</v>
      </c>
      <c r="N65" s="96">
        <f t="shared" si="10"/>
        <v>4030.24</v>
      </c>
      <c r="O65" s="97">
        <f t="shared" si="5"/>
        <v>40.022244289970203</v>
      </c>
      <c r="P65" s="97">
        <f t="shared" si="11"/>
        <v>1.0892540540540541</v>
      </c>
      <c r="R65" s="92"/>
    </row>
    <row r="66" spans="1:18" ht="13.15" x14ac:dyDescent="0.25">
      <c r="A66" s="82" t="s">
        <v>1</v>
      </c>
      <c r="B66" s="82" t="s">
        <v>4</v>
      </c>
      <c r="C66" s="82" t="s">
        <v>26</v>
      </c>
      <c r="D66" s="82" t="s">
        <v>91</v>
      </c>
      <c r="E66" s="87">
        <v>40360</v>
      </c>
      <c r="F66" s="83">
        <v>40365</v>
      </c>
      <c r="G66" s="92">
        <v>4033</v>
      </c>
      <c r="H66" s="99">
        <v>1520</v>
      </c>
      <c r="I66" s="99" t="s">
        <v>93</v>
      </c>
      <c r="J66" s="100">
        <f t="shared" si="0"/>
        <v>0.46</v>
      </c>
      <c r="K66" s="101">
        <f t="shared" si="7"/>
        <v>40.049652432969218</v>
      </c>
      <c r="L66" s="101">
        <f t="shared" si="8"/>
        <v>1.0900000000000001</v>
      </c>
      <c r="M66" s="96">
        <f t="shared" si="9"/>
        <v>699.2</v>
      </c>
      <c r="N66" s="96">
        <f t="shared" si="10"/>
        <v>4732.2</v>
      </c>
      <c r="O66" s="97">
        <f t="shared" si="5"/>
        <v>46.993048659384307</v>
      </c>
      <c r="P66" s="97">
        <f t="shared" si="11"/>
        <v>1.2789729729729729</v>
      </c>
      <c r="R66" s="92"/>
    </row>
    <row r="67" spans="1:18" ht="13.15" x14ac:dyDescent="0.25">
      <c r="A67" s="82" t="s">
        <v>1</v>
      </c>
      <c r="B67" s="82" t="s">
        <v>4</v>
      </c>
      <c r="C67" s="82" t="s">
        <v>9</v>
      </c>
      <c r="D67" s="82" t="s">
        <v>91</v>
      </c>
      <c r="E67" s="87">
        <v>40360</v>
      </c>
      <c r="F67" s="83">
        <v>40365</v>
      </c>
      <c r="G67" s="92">
        <v>4948</v>
      </c>
      <c r="H67" s="99">
        <v>1583</v>
      </c>
      <c r="I67" s="99" t="s">
        <v>93</v>
      </c>
      <c r="J67" s="100">
        <f t="shared" si="0"/>
        <v>0.46</v>
      </c>
      <c r="K67" s="101">
        <f t="shared" si="7"/>
        <v>49.136047666335649</v>
      </c>
      <c r="L67" s="101">
        <f t="shared" si="8"/>
        <v>1.3372972972972974</v>
      </c>
      <c r="M67" s="96">
        <f t="shared" si="9"/>
        <v>728.18000000000006</v>
      </c>
      <c r="N67" s="96">
        <f t="shared" si="10"/>
        <v>5676.18</v>
      </c>
      <c r="O67" s="97">
        <f t="shared" si="5"/>
        <v>56.367229394240319</v>
      </c>
      <c r="P67" s="97">
        <f t="shared" si="11"/>
        <v>1.5341027027027028</v>
      </c>
      <c r="R67" s="92"/>
    </row>
    <row r="68" spans="1:18" ht="13.15" x14ac:dyDescent="0.25">
      <c r="A68" s="82" t="s">
        <v>1</v>
      </c>
      <c r="B68" s="82" t="s">
        <v>10</v>
      </c>
      <c r="C68" s="82" t="s">
        <v>26</v>
      </c>
      <c r="D68" s="82" t="s">
        <v>91</v>
      </c>
      <c r="E68" s="87">
        <v>40360</v>
      </c>
      <c r="F68" s="83">
        <v>40365</v>
      </c>
      <c r="G68" s="92">
        <v>4510</v>
      </c>
      <c r="H68" s="99">
        <v>1599</v>
      </c>
      <c r="I68" s="99" t="s">
        <v>92</v>
      </c>
      <c r="J68" s="100">
        <f t="shared" si="0"/>
        <v>0.2</v>
      </c>
      <c r="K68" s="101">
        <f t="shared" si="7"/>
        <v>44.786494538232375</v>
      </c>
      <c r="L68" s="101">
        <f t="shared" si="8"/>
        <v>1.2189189189189189</v>
      </c>
      <c r="M68" s="96">
        <f t="shared" si="9"/>
        <v>319.8</v>
      </c>
      <c r="N68" s="96">
        <f t="shared" si="10"/>
        <v>4829.8</v>
      </c>
      <c r="O68" s="97">
        <f t="shared" si="5"/>
        <v>47.962264150943398</v>
      </c>
      <c r="P68" s="97">
        <f t="shared" si="11"/>
        <v>1.3053513513513515</v>
      </c>
      <c r="R68" s="92"/>
    </row>
    <row r="69" spans="1:18" ht="13.15" x14ac:dyDescent="0.25">
      <c r="A69" s="82" t="s">
        <v>134</v>
      </c>
      <c r="B69" s="82" t="s">
        <v>23</v>
      </c>
      <c r="C69" s="82" t="s">
        <v>26</v>
      </c>
      <c r="D69" s="82" t="s">
        <v>91</v>
      </c>
      <c r="E69" s="87">
        <v>40360</v>
      </c>
      <c r="F69" s="83">
        <v>40365</v>
      </c>
      <c r="G69" s="92">
        <v>3920</v>
      </c>
      <c r="H69" s="99">
        <v>1851</v>
      </c>
      <c r="I69" s="99" t="s">
        <v>93</v>
      </c>
      <c r="J69" s="100">
        <f t="shared" si="0"/>
        <v>0.46</v>
      </c>
      <c r="K69" s="101">
        <f t="shared" si="7"/>
        <v>38.927507447864947</v>
      </c>
      <c r="L69" s="101">
        <f t="shared" si="8"/>
        <v>0.98882882882882883</v>
      </c>
      <c r="M69" s="96">
        <f t="shared" si="9"/>
        <v>851.46</v>
      </c>
      <c r="N69" s="96">
        <f t="shared" si="10"/>
        <v>4771.46</v>
      </c>
      <c r="O69" s="97">
        <f t="shared" si="5"/>
        <v>47.382919563058586</v>
      </c>
      <c r="P69" s="97">
        <f t="shared" si="11"/>
        <v>1.2036115315315317</v>
      </c>
      <c r="R69" s="92"/>
    </row>
    <row r="70" spans="1:18" ht="13.15" x14ac:dyDescent="0.25">
      <c r="A70" s="82" t="s">
        <v>134</v>
      </c>
      <c r="B70" s="82" t="s">
        <v>8</v>
      </c>
      <c r="C70" s="82" t="s">
        <v>29</v>
      </c>
      <c r="D70" s="82" t="s">
        <v>91</v>
      </c>
      <c r="E70" s="87">
        <v>40360</v>
      </c>
      <c r="F70" s="83">
        <v>40365</v>
      </c>
      <c r="G70" s="92">
        <v>3920</v>
      </c>
      <c r="H70" s="99">
        <v>1695</v>
      </c>
      <c r="I70" s="99" t="s">
        <v>93</v>
      </c>
      <c r="J70" s="100">
        <f t="shared" si="0"/>
        <v>0.46</v>
      </c>
      <c r="K70" s="101">
        <f t="shared" si="7"/>
        <v>38.927507447864947</v>
      </c>
      <c r="L70" s="101">
        <f t="shared" si="8"/>
        <v>0.98882882882882883</v>
      </c>
      <c r="M70" s="96">
        <f t="shared" si="9"/>
        <v>779.7</v>
      </c>
      <c r="N70" s="96">
        <f t="shared" si="10"/>
        <v>4699.7</v>
      </c>
      <c r="O70" s="97">
        <f t="shared" si="5"/>
        <v>46.670307845084409</v>
      </c>
      <c r="P70" s="97">
        <f t="shared" si="11"/>
        <v>1.1855099099099098</v>
      </c>
      <c r="R70" s="92"/>
    </row>
    <row r="71" spans="1:18" ht="13.15" x14ac:dyDescent="0.25">
      <c r="A71" s="82" t="s">
        <v>134</v>
      </c>
      <c r="B71" s="82" t="s">
        <v>13</v>
      </c>
      <c r="C71" s="82" t="s">
        <v>7</v>
      </c>
      <c r="D71" s="82" t="s">
        <v>91</v>
      </c>
      <c r="E71" s="87">
        <v>40360</v>
      </c>
      <c r="F71" s="83">
        <v>40365</v>
      </c>
      <c r="G71" s="92">
        <v>2677</v>
      </c>
      <c r="H71" s="99">
        <v>1006</v>
      </c>
      <c r="I71" s="99" t="s">
        <v>92</v>
      </c>
      <c r="J71" s="100">
        <f t="shared" ref="J71:J81" si="12">IF(I71="BNSF",0.46,IF(I71="CN",0.1495,IF(I71="CSX",0.27,0.2)))</f>
        <v>0.2</v>
      </c>
      <c r="K71" s="101">
        <f t="shared" si="7"/>
        <v>26.583912611717974</v>
      </c>
      <c r="L71" s="101">
        <f t="shared" si="8"/>
        <v>0.67527927927927933</v>
      </c>
      <c r="M71" s="96">
        <f t="shared" si="9"/>
        <v>201.20000000000002</v>
      </c>
      <c r="N71" s="96">
        <f t="shared" si="10"/>
        <v>2878.2</v>
      </c>
      <c r="O71" s="97">
        <f t="shared" ref="O71:O81" si="13">N71/100.7</f>
        <v>28.581926514399203</v>
      </c>
      <c r="P71" s="97">
        <f t="shared" si="11"/>
        <v>0.72603243243243243</v>
      </c>
      <c r="R71" s="92"/>
    </row>
    <row r="72" spans="1:18" ht="13.15" x14ac:dyDescent="0.25">
      <c r="A72" s="82" t="s">
        <v>134</v>
      </c>
      <c r="B72" s="82" t="s">
        <v>30</v>
      </c>
      <c r="C72" s="82" t="s">
        <v>9</v>
      </c>
      <c r="D72" s="82" t="s">
        <v>91</v>
      </c>
      <c r="E72" s="87">
        <v>40360</v>
      </c>
      <c r="F72" s="83">
        <v>40365</v>
      </c>
      <c r="G72" s="92">
        <v>2800</v>
      </c>
      <c r="H72" s="99">
        <v>988</v>
      </c>
      <c r="I72" s="99" t="s">
        <v>93</v>
      </c>
      <c r="J72" s="100">
        <f t="shared" si="12"/>
        <v>0.46</v>
      </c>
      <c r="K72" s="101">
        <f t="shared" si="7"/>
        <v>27.805362462760673</v>
      </c>
      <c r="L72" s="101">
        <f t="shared" si="8"/>
        <v>0.70630630630630631</v>
      </c>
      <c r="M72" s="96">
        <f t="shared" si="9"/>
        <v>454.48</v>
      </c>
      <c r="N72" s="96">
        <f t="shared" si="10"/>
        <v>3254.48</v>
      </c>
      <c r="O72" s="97">
        <f t="shared" si="13"/>
        <v>32.318570009930482</v>
      </c>
      <c r="P72" s="97">
        <f t="shared" si="11"/>
        <v>0.8209499099099099</v>
      </c>
      <c r="R72" s="92"/>
    </row>
    <row r="73" spans="1:18" ht="13.15" x14ac:dyDescent="0.25">
      <c r="A73" s="82" t="s">
        <v>134</v>
      </c>
      <c r="B73" s="82" t="s">
        <v>16</v>
      </c>
      <c r="C73" s="82" t="s">
        <v>11</v>
      </c>
      <c r="D73" s="82" t="s">
        <v>91</v>
      </c>
      <c r="E73" s="87">
        <v>40360</v>
      </c>
      <c r="F73" s="83">
        <v>40365</v>
      </c>
      <c r="G73" s="92">
        <v>3230</v>
      </c>
      <c r="H73" s="99">
        <v>787</v>
      </c>
      <c r="I73" s="99" t="s">
        <v>92</v>
      </c>
      <c r="J73" s="100">
        <f t="shared" si="12"/>
        <v>0.2</v>
      </c>
      <c r="K73" s="101">
        <f t="shared" si="7"/>
        <v>32.075471698113205</v>
      </c>
      <c r="L73" s="101">
        <f t="shared" si="8"/>
        <v>0.81477477477477478</v>
      </c>
      <c r="M73" s="96">
        <f t="shared" si="9"/>
        <v>157.4</v>
      </c>
      <c r="N73" s="96">
        <f t="shared" si="10"/>
        <v>3387.4</v>
      </c>
      <c r="O73" s="97">
        <f t="shared" si="13"/>
        <v>33.638530287984111</v>
      </c>
      <c r="P73" s="97">
        <f t="shared" si="11"/>
        <v>0.85447927927927936</v>
      </c>
      <c r="R73" s="92"/>
    </row>
    <row r="74" spans="1:18" ht="13.15" x14ac:dyDescent="0.25">
      <c r="A74" s="82" t="s">
        <v>134</v>
      </c>
      <c r="B74" s="82" t="s">
        <v>23</v>
      </c>
      <c r="C74" s="82" t="s">
        <v>29</v>
      </c>
      <c r="D74" s="82" t="s">
        <v>91</v>
      </c>
      <c r="E74" s="87">
        <v>40360</v>
      </c>
      <c r="F74" s="83">
        <v>40365</v>
      </c>
      <c r="G74" s="92">
        <v>3920</v>
      </c>
      <c r="H74" s="99">
        <v>1836</v>
      </c>
      <c r="I74" s="99" t="s">
        <v>93</v>
      </c>
      <c r="J74" s="100">
        <f t="shared" si="12"/>
        <v>0.46</v>
      </c>
      <c r="K74" s="101">
        <f t="shared" si="7"/>
        <v>38.927507447864947</v>
      </c>
      <c r="L74" s="101">
        <f t="shared" si="8"/>
        <v>0.98882882882882883</v>
      </c>
      <c r="M74" s="96">
        <f t="shared" si="9"/>
        <v>844.56000000000006</v>
      </c>
      <c r="N74" s="96">
        <f t="shared" si="10"/>
        <v>4764.5600000000004</v>
      </c>
      <c r="O74" s="97">
        <f t="shared" si="13"/>
        <v>47.314399205561074</v>
      </c>
      <c r="P74" s="97">
        <f t="shared" si="11"/>
        <v>1.201870990990991</v>
      </c>
      <c r="R74" s="92"/>
    </row>
    <row r="75" spans="1:18" ht="13.15" x14ac:dyDescent="0.25">
      <c r="A75" s="82" t="s">
        <v>134</v>
      </c>
      <c r="B75" s="82" t="s">
        <v>31</v>
      </c>
      <c r="C75" s="82" t="s">
        <v>32</v>
      </c>
      <c r="D75" s="82" t="s">
        <v>91</v>
      </c>
      <c r="E75" s="87">
        <v>40360</v>
      </c>
      <c r="F75" s="83">
        <v>40365</v>
      </c>
      <c r="G75" s="92">
        <v>3400</v>
      </c>
      <c r="H75" s="99">
        <v>1899</v>
      </c>
      <c r="I75" s="99" t="s">
        <v>93</v>
      </c>
      <c r="J75" s="100">
        <f t="shared" si="12"/>
        <v>0.46</v>
      </c>
      <c r="K75" s="101">
        <f t="shared" si="7"/>
        <v>33.763654419066533</v>
      </c>
      <c r="L75" s="101">
        <f t="shared" si="8"/>
        <v>0.85765765765765767</v>
      </c>
      <c r="M75" s="96">
        <f t="shared" si="9"/>
        <v>873.54000000000008</v>
      </c>
      <c r="N75" s="96">
        <f t="shared" si="10"/>
        <v>4273.54</v>
      </c>
      <c r="O75" s="97">
        <f t="shared" si="13"/>
        <v>42.438331678252233</v>
      </c>
      <c r="P75" s="97">
        <f t="shared" si="11"/>
        <v>1.0780100900900902</v>
      </c>
      <c r="R75" s="92"/>
    </row>
    <row r="76" spans="1:18" ht="13.15" x14ac:dyDescent="0.25">
      <c r="A76" s="82" t="s">
        <v>22</v>
      </c>
      <c r="B76" s="82" t="s">
        <v>8</v>
      </c>
      <c r="C76" s="82" t="s">
        <v>29</v>
      </c>
      <c r="D76" s="82" t="s">
        <v>91</v>
      </c>
      <c r="E76" s="87">
        <v>40360</v>
      </c>
      <c r="F76" s="83">
        <v>40365</v>
      </c>
      <c r="G76" s="92">
        <v>4220</v>
      </c>
      <c r="H76" s="99">
        <v>1695</v>
      </c>
      <c r="I76" s="99" t="s">
        <v>93</v>
      </c>
      <c r="J76" s="100">
        <f t="shared" si="12"/>
        <v>0.46</v>
      </c>
      <c r="K76" s="101">
        <f t="shared" si="7"/>
        <v>41.906653426017876</v>
      </c>
      <c r="L76" s="101">
        <f t="shared" si="8"/>
        <v>1.1405405405405404</v>
      </c>
      <c r="M76" s="96">
        <f t="shared" si="9"/>
        <v>779.7</v>
      </c>
      <c r="N76" s="96">
        <f t="shared" si="10"/>
        <v>4999.7</v>
      </c>
      <c r="O76" s="97">
        <f t="shared" si="13"/>
        <v>49.649453823237337</v>
      </c>
      <c r="P76" s="97">
        <f t="shared" si="11"/>
        <v>1.3512702702702701</v>
      </c>
      <c r="R76" s="92"/>
    </row>
    <row r="77" spans="1:18" ht="13.15" x14ac:dyDescent="0.25">
      <c r="A77" s="82" t="s">
        <v>22</v>
      </c>
      <c r="B77" s="82" t="s">
        <v>23</v>
      </c>
      <c r="C77" s="82" t="s">
        <v>26</v>
      </c>
      <c r="D77" s="82" t="s">
        <v>91</v>
      </c>
      <c r="E77" s="87">
        <v>40360</v>
      </c>
      <c r="F77" s="83">
        <v>40365</v>
      </c>
      <c r="G77" s="92">
        <v>4170</v>
      </c>
      <c r="H77" s="99">
        <v>1851</v>
      </c>
      <c r="I77" s="99" t="s">
        <v>93</v>
      </c>
      <c r="J77" s="100">
        <f t="shared" si="12"/>
        <v>0.46</v>
      </c>
      <c r="K77" s="101">
        <f t="shared" si="7"/>
        <v>41.410129096325718</v>
      </c>
      <c r="L77" s="101">
        <f t="shared" si="8"/>
        <v>1.1270270270270271</v>
      </c>
      <c r="M77" s="96">
        <f t="shared" si="9"/>
        <v>851.46</v>
      </c>
      <c r="N77" s="96">
        <f t="shared" si="10"/>
        <v>5021.46</v>
      </c>
      <c r="O77" s="97">
        <f t="shared" si="13"/>
        <v>49.865541211519364</v>
      </c>
      <c r="P77" s="97">
        <f t="shared" si="11"/>
        <v>1.3571513513513513</v>
      </c>
      <c r="R77" s="92"/>
    </row>
    <row r="78" spans="1:18" ht="13.15" x14ac:dyDescent="0.25">
      <c r="A78" s="82" t="s">
        <v>22</v>
      </c>
      <c r="B78" s="82" t="s">
        <v>33</v>
      </c>
      <c r="C78" s="82" t="s">
        <v>29</v>
      </c>
      <c r="D78" s="82" t="s">
        <v>91</v>
      </c>
      <c r="E78" s="87">
        <v>40360</v>
      </c>
      <c r="F78" s="83">
        <v>40365</v>
      </c>
      <c r="G78" s="92">
        <v>4170</v>
      </c>
      <c r="H78" s="99">
        <v>1507</v>
      </c>
      <c r="I78" s="99" t="s">
        <v>93</v>
      </c>
      <c r="J78" s="100">
        <f t="shared" si="12"/>
        <v>0.46</v>
      </c>
      <c r="K78" s="101">
        <f t="shared" si="7"/>
        <v>41.410129096325718</v>
      </c>
      <c r="L78" s="101">
        <f t="shared" si="8"/>
        <v>1.1270270270270271</v>
      </c>
      <c r="M78" s="96">
        <f t="shared" si="9"/>
        <v>693.22</v>
      </c>
      <c r="N78" s="96">
        <f t="shared" si="10"/>
        <v>4863.22</v>
      </c>
      <c r="O78" s="97">
        <f t="shared" si="13"/>
        <v>48.294141012909634</v>
      </c>
      <c r="P78" s="97">
        <f t="shared" si="11"/>
        <v>1.314383783783784</v>
      </c>
      <c r="R78" s="92"/>
    </row>
    <row r="79" spans="1:18" ht="13.15" x14ac:dyDescent="0.25">
      <c r="A79" s="82" t="s">
        <v>22</v>
      </c>
      <c r="B79" s="82" t="s">
        <v>31</v>
      </c>
      <c r="C79" s="82" t="s">
        <v>7</v>
      </c>
      <c r="D79" s="82" t="s">
        <v>91</v>
      </c>
      <c r="E79" s="87">
        <v>40360</v>
      </c>
      <c r="F79" s="83">
        <v>40365</v>
      </c>
      <c r="G79" s="92">
        <v>3410</v>
      </c>
      <c r="H79" s="99">
        <v>1160</v>
      </c>
      <c r="I79" s="99" t="s">
        <v>92</v>
      </c>
      <c r="J79" s="100">
        <f t="shared" si="12"/>
        <v>0.2</v>
      </c>
      <c r="K79" s="101">
        <f t="shared" si="7"/>
        <v>33.862959285004962</v>
      </c>
      <c r="L79" s="101">
        <f t="shared" si="8"/>
        <v>0.92162162162162165</v>
      </c>
      <c r="M79" s="96">
        <f t="shared" si="9"/>
        <v>232</v>
      </c>
      <c r="N79" s="96">
        <f t="shared" si="10"/>
        <v>3642</v>
      </c>
      <c r="O79" s="97">
        <f t="shared" si="13"/>
        <v>36.166832174776566</v>
      </c>
      <c r="P79" s="97">
        <f t="shared" si="11"/>
        <v>0.98432432432432437</v>
      </c>
      <c r="R79" s="92"/>
    </row>
    <row r="80" spans="1:18" ht="13.15" x14ac:dyDescent="0.25">
      <c r="A80" s="82" t="s">
        <v>22</v>
      </c>
      <c r="B80" s="82" t="s">
        <v>14</v>
      </c>
      <c r="C80" s="82" t="s">
        <v>24</v>
      </c>
      <c r="D80" s="82" t="s">
        <v>91</v>
      </c>
      <c r="E80" s="87">
        <v>40360</v>
      </c>
      <c r="F80" s="83">
        <v>40365</v>
      </c>
      <c r="G80" s="92">
        <v>2366</v>
      </c>
      <c r="H80" s="99">
        <v>615</v>
      </c>
      <c r="I80" s="99" t="s">
        <v>94</v>
      </c>
      <c r="J80" s="100">
        <f t="shared" si="12"/>
        <v>0.27</v>
      </c>
      <c r="K80" s="101">
        <f t="shared" si="7"/>
        <v>23.495531281032768</v>
      </c>
      <c r="L80" s="101">
        <f t="shared" si="8"/>
        <v>0.63945945945945948</v>
      </c>
      <c r="M80" s="96">
        <f t="shared" si="9"/>
        <v>166.05</v>
      </c>
      <c r="N80" s="96">
        <f t="shared" si="10"/>
        <v>2532.0500000000002</v>
      </c>
      <c r="O80" s="97">
        <f t="shared" si="13"/>
        <v>25.144488579940418</v>
      </c>
      <c r="P80" s="97">
        <f t="shared" si="11"/>
        <v>0.68433783783783786</v>
      </c>
      <c r="R80" s="92"/>
    </row>
    <row r="81" spans="1:18" ht="13.15" x14ac:dyDescent="0.25">
      <c r="A81" s="118" t="s">
        <v>22</v>
      </c>
      <c r="B81" s="118" t="s">
        <v>34</v>
      </c>
      <c r="C81" s="118" t="s">
        <v>26</v>
      </c>
      <c r="D81" s="118" t="s">
        <v>91</v>
      </c>
      <c r="E81" s="119">
        <v>40360</v>
      </c>
      <c r="F81" s="120">
        <v>40365</v>
      </c>
      <c r="G81" s="105">
        <v>4320</v>
      </c>
      <c r="H81" s="121">
        <v>1637</v>
      </c>
      <c r="I81" s="121" t="s">
        <v>92</v>
      </c>
      <c r="J81" s="122">
        <f t="shared" si="12"/>
        <v>0.2</v>
      </c>
      <c r="K81" s="123">
        <f t="shared" si="7"/>
        <v>42.899702085402183</v>
      </c>
      <c r="L81" s="123">
        <f t="shared" si="8"/>
        <v>1.1675675675675676</v>
      </c>
      <c r="M81" s="115">
        <f t="shared" si="9"/>
        <v>327.40000000000003</v>
      </c>
      <c r="N81" s="115">
        <f t="shared" si="10"/>
        <v>4647.3999999999996</v>
      </c>
      <c r="O81" s="116">
        <f t="shared" si="13"/>
        <v>46.15094339622641</v>
      </c>
      <c r="P81" s="116">
        <f t="shared" si="11"/>
        <v>1.2560540540540539</v>
      </c>
      <c r="R81" s="92"/>
    </row>
    <row r="82" spans="1:18" ht="13.15" x14ac:dyDescent="0.25">
      <c r="A82" s="45" t="s">
        <v>1</v>
      </c>
      <c r="B82" s="45" t="s">
        <v>2</v>
      </c>
      <c r="C82" s="45" t="s">
        <v>3</v>
      </c>
      <c r="D82" s="45" t="s">
        <v>90</v>
      </c>
      <c r="E82" s="88">
        <v>40391</v>
      </c>
      <c r="F82" s="53">
        <v>40395</v>
      </c>
      <c r="G82" s="92">
        <v>2774</v>
      </c>
      <c r="H82" s="98">
        <v>506</v>
      </c>
      <c r="I82" s="98" t="s">
        <v>92</v>
      </c>
      <c r="J82" s="102">
        <f>IF(I82="BNSF",0.43,IF(I82="CN",0.1265,IF(I82="CSX",0.24,0.17)))</f>
        <v>0.17</v>
      </c>
      <c r="K82" s="103">
        <f>G82/100.7</f>
        <v>27.547169811320753</v>
      </c>
      <c r="L82" s="103">
        <f>IF(A82="corn",G82/(111*2000/56),G82/(111*2000/60))</f>
        <v>0.74972972972972973</v>
      </c>
      <c r="M82" s="96">
        <f>H82*J82</f>
        <v>86.02000000000001</v>
      </c>
      <c r="N82" s="96">
        <f>G82+M82</f>
        <v>2860.02</v>
      </c>
      <c r="O82" s="97">
        <f>N82/100.7</f>
        <v>28.401390268123137</v>
      </c>
      <c r="P82" s="97">
        <f>IF(A82="corn",N82/(111*2000/56),N82/(111*2000/60))</f>
        <v>0.77297837837837835</v>
      </c>
      <c r="R82" s="92"/>
    </row>
    <row r="83" spans="1:18" ht="13.15" x14ac:dyDescent="0.25">
      <c r="A83" s="45" t="s">
        <v>1</v>
      </c>
      <c r="B83" s="45" t="s">
        <v>4</v>
      </c>
      <c r="C83" s="45" t="s">
        <v>5</v>
      </c>
      <c r="D83" s="45" t="s">
        <v>90</v>
      </c>
      <c r="E83" s="88">
        <v>40391</v>
      </c>
      <c r="F83" s="53">
        <v>40395</v>
      </c>
      <c r="G83" s="92">
        <v>2563</v>
      </c>
      <c r="H83" s="98">
        <v>298</v>
      </c>
      <c r="I83" s="98" t="s">
        <v>93</v>
      </c>
      <c r="J83" s="102">
        <f t="shared" ref="J83:J119" si="14">IF(I83="BNSF",0.43,IF(I83="CN",0.1265,IF(I83="CSX",0.24,0.17)))</f>
        <v>0.43</v>
      </c>
      <c r="K83" s="103">
        <f t="shared" ref="K83:K119" si="15">G83/100.7</f>
        <v>25.451837140019862</v>
      </c>
      <c r="L83" s="103">
        <f t="shared" ref="L83:L119" si="16">IF(A83="corn",G83/(111*2000/56),G83/(111*2000/60))</f>
        <v>0.69270270270270273</v>
      </c>
      <c r="M83" s="96">
        <f t="shared" ref="M83:M119" si="17">H83*J83</f>
        <v>128.13999999999999</v>
      </c>
      <c r="N83" s="96">
        <f t="shared" ref="N83:N119" si="18">G83+M83</f>
        <v>2691.14</v>
      </c>
      <c r="O83" s="97">
        <f t="shared" ref="O83:O119" si="19">N83/100.7</f>
        <v>26.724329692154914</v>
      </c>
      <c r="P83" s="97">
        <f t="shared" ref="P83:P119" si="20">IF(A83="corn",N83/(111*2000/56),N83/(111*2000/60))</f>
        <v>0.72733513513513515</v>
      </c>
      <c r="R83" s="92"/>
    </row>
    <row r="84" spans="1:18" ht="13.15" x14ac:dyDescent="0.25">
      <c r="A84" s="45" t="s">
        <v>1</v>
      </c>
      <c r="B84" s="45" t="s">
        <v>2</v>
      </c>
      <c r="C84" s="45" t="s">
        <v>6</v>
      </c>
      <c r="D84" s="45" t="s">
        <v>90</v>
      </c>
      <c r="E84" s="88">
        <v>40391</v>
      </c>
      <c r="F84" s="53">
        <v>40395</v>
      </c>
      <c r="G84" s="92">
        <v>5047</v>
      </c>
      <c r="H84" s="98">
        <v>1530</v>
      </c>
      <c r="I84" s="98" t="s">
        <v>93</v>
      </c>
      <c r="J84" s="102">
        <f t="shared" si="14"/>
        <v>0.43</v>
      </c>
      <c r="K84" s="103">
        <f t="shared" si="15"/>
        <v>50.119165839126119</v>
      </c>
      <c r="L84" s="103">
        <f t="shared" si="16"/>
        <v>1.364054054054054</v>
      </c>
      <c r="M84" s="96">
        <f t="shared" si="17"/>
        <v>657.9</v>
      </c>
      <c r="N84" s="96">
        <f t="shared" si="18"/>
        <v>5704.9</v>
      </c>
      <c r="O84" s="97">
        <f t="shared" si="19"/>
        <v>56.652432969215489</v>
      </c>
      <c r="P84" s="97">
        <f t="shared" si="20"/>
        <v>1.5418648648648647</v>
      </c>
      <c r="R84" s="92"/>
    </row>
    <row r="85" spans="1:18" ht="13.15" x14ac:dyDescent="0.25">
      <c r="A85" s="45" t="s">
        <v>1</v>
      </c>
      <c r="B85" s="45" t="s">
        <v>2</v>
      </c>
      <c r="C85" s="45" t="s">
        <v>7</v>
      </c>
      <c r="D85" s="45" t="s">
        <v>90</v>
      </c>
      <c r="E85" s="88">
        <v>40391</v>
      </c>
      <c r="F85" s="53">
        <v>40395</v>
      </c>
      <c r="G85" s="92">
        <v>3275</v>
      </c>
      <c r="H85" s="98">
        <v>890</v>
      </c>
      <c r="I85" s="98" t="s">
        <v>92</v>
      </c>
      <c r="J85" s="102">
        <f t="shared" si="14"/>
        <v>0.17</v>
      </c>
      <c r="K85" s="103">
        <f t="shared" si="15"/>
        <v>32.522343594836144</v>
      </c>
      <c r="L85" s="103">
        <f t="shared" si="16"/>
        <v>0.88513513513513509</v>
      </c>
      <c r="M85" s="96">
        <f t="shared" si="17"/>
        <v>151.30000000000001</v>
      </c>
      <c r="N85" s="96">
        <f t="shared" si="18"/>
        <v>3426.3</v>
      </c>
      <c r="O85" s="97">
        <f t="shared" si="19"/>
        <v>34.024826216484605</v>
      </c>
      <c r="P85" s="97">
        <f t="shared" si="20"/>
        <v>0.92602702702702711</v>
      </c>
      <c r="R85" s="92"/>
    </row>
    <row r="86" spans="1:18" ht="13.15" x14ac:dyDescent="0.25">
      <c r="A86" s="45" t="s">
        <v>1</v>
      </c>
      <c r="B86" s="45" t="s">
        <v>8</v>
      </c>
      <c r="C86" s="45" t="s">
        <v>9</v>
      </c>
      <c r="D86" s="45" t="s">
        <v>90</v>
      </c>
      <c r="E86" s="88">
        <v>40391</v>
      </c>
      <c r="F86" s="53">
        <v>40395</v>
      </c>
      <c r="G86" s="92">
        <v>4981</v>
      </c>
      <c r="H86" s="98">
        <v>1256</v>
      </c>
      <c r="I86" s="98" t="s">
        <v>93</v>
      </c>
      <c r="J86" s="102">
        <f t="shared" si="14"/>
        <v>0.43</v>
      </c>
      <c r="K86" s="103">
        <f t="shared" si="15"/>
        <v>49.46375372393247</v>
      </c>
      <c r="L86" s="103">
        <f t="shared" si="16"/>
        <v>1.3462162162162161</v>
      </c>
      <c r="M86" s="96">
        <f t="shared" si="17"/>
        <v>540.08000000000004</v>
      </c>
      <c r="N86" s="96">
        <f t="shared" si="18"/>
        <v>5521.08</v>
      </c>
      <c r="O86" s="97">
        <f t="shared" si="19"/>
        <v>54.827010923535248</v>
      </c>
      <c r="P86" s="97">
        <f t="shared" si="20"/>
        <v>1.4921837837837837</v>
      </c>
      <c r="R86" s="92"/>
    </row>
    <row r="87" spans="1:18" ht="13.15" x14ac:dyDescent="0.25">
      <c r="A87" s="45" t="s">
        <v>1</v>
      </c>
      <c r="B87" s="45" t="s">
        <v>10</v>
      </c>
      <c r="C87" s="45" t="s">
        <v>9</v>
      </c>
      <c r="D87" s="45" t="s">
        <v>90</v>
      </c>
      <c r="E87" s="88">
        <v>40391</v>
      </c>
      <c r="F87" s="53">
        <v>40395</v>
      </c>
      <c r="G87" s="92">
        <v>3543</v>
      </c>
      <c r="H87" s="98">
        <v>975</v>
      </c>
      <c r="I87" s="98" t="s">
        <v>92</v>
      </c>
      <c r="J87" s="102">
        <f t="shared" si="14"/>
        <v>0.17</v>
      </c>
      <c r="K87" s="103">
        <f t="shared" si="15"/>
        <v>35.183714001986097</v>
      </c>
      <c r="L87" s="103">
        <f t="shared" si="16"/>
        <v>0.95756756756756756</v>
      </c>
      <c r="M87" s="96">
        <f t="shared" si="17"/>
        <v>165.75</v>
      </c>
      <c r="N87" s="96">
        <f t="shared" si="18"/>
        <v>3708.75</v>
      </c>
      <c r="O87" s="97">
        <f t="shared" si="19"/>
        <v>36.829692154915591</v>
      </c>
      <c r="P87" s="97">
        <f t="shared" si="20"/>
        <v>1.0023648648648649</v>
      </c>
      <c r="R87" s="92"/>
    </row>
    <row r="88" spans="1:18" ht="13.15" x14ac:dyDescent="0.25">
      <c r="A88" s="45" t="s">
        <v>1</v>
      </c>
      <c r="B88" s="45" t="s">
        <v>11</v>
      </c>
      <c r="C88" s="45" t="s">
        <v>6</v>
      </c>
      <c r="D88" s="45" t="s">
        <v>90</v>
      </c>
      <c r="E88" s="88">
        <v>40391</v>
      </c>
      <c r="F88" s="53">
        <v>40395</v>
      </c>
      <c r="G88" s="92">
        <v>3742</v>
      </c>
      <c r="H88" s="98">
        <v>1357</v>
      </c>
      <c r="I88" s="98" t="s">
        <v>92</v>
      </c>
      <c r="J88" s="102">
        <f t="shared" si="14"/>
        <v>0.17</v>
      </c>
      <c r="K88" s="103">
        <f t="shared" si="15"/>
        <v>37.159880834160873</v>
      </c>
      <c r="L88" s="103">
        <f t="shared" si="16"/>
        <v>1.0113513513513515</v>
      </c>
      <c r="M88" s="96">
        <f t="shared" si="17"/>
        <v>230.69000000000003</v>
      </c>
      <c r="N88" s="96">
        <f t="shared" si="18"/>
        <v>3972.69</v>
      </c>
      <c r="O88" s="97">
        <f t="shared" si="19"/>
        <v>39.450744786494539</v>
      </c>
      <c r="P88" s="97">
        <f t="shared" si="20"/>
        <v>1.0737000000000001</v>
      </c>
      <c r="R88" s="92"/>
    </row>
    <row r="89" spans="1:18" ht="13.15" x14ac:dyDescent="0.25">
      <c r="A89" s="45" t="s">
        <v>134</v>
      </c>
      <c r="B89" s="45" t="s">
        <v>13</v>
      </c>
      <c r="C89" s="45" t="s">
        <v>7</v>
      </c>
      <c r="D89" s="45" t="s">
        <v>90</v>
      </c>
      <c r="E89" s="88">
        <v>40391</v>
      </c>
      <c r="F89" s="53">
        <v>40395</v>
      </c>
      <c r="G89" s="92">
        <v>2785</v>
      </c>
      <c r="H89" s="98">
        <v>1006</v>
      </c>
      <c r="I89" s="98" t="s">
        <v>92</v>
      </c>
      <c r="J89" s="102">
        <f t="shared" si="14"/>
        <v>0.17</v>
      </c>
      <c r="K89" s="103">
        <f t="shared" si="15"/>
        <v>27.656405163853027</v>
      </c>
      <c r="L89" s="103">
        <f t="shared" si="16"/>
        <v>0.70252252252252256</v>
      </c>
      <c r="M89" s="96">
        <f t="shared" si="17"/>
        <v>171.02</v>
      </c>
      <c r="N89" s="96">
        <f t="shared" si="18"/>
        <v>2956.02</v>
      </c>
      <c r="O89" s="97">
        <f t="shared" si="19"/>
        <v>29.354716981132075</v>
      </c>
      <c r="P89" s="97">
        <f t="shared" si="20"/>
        <v>0.74566270270270274</v>
      </c>
      <c r="R89" s="92"/>
    </row>
    <row r="90" spans="1:18" ht="13.15" x14ac:dyDescent="0.25">
      <c r="A90" s="45" t="s">
        <v>134</v>
      </c>
      <c r="B90" s="45" t="s">
        <v>14</v>
      </c>
      <c r="C90" s="45" t="s">
        <v>15</v>
      </c>
      <c r="D90" s="45" t="s">
        <v>90</v>
      </c>
      <c r="E90" s="88">
        <v>40391</v>
      </c>
      <c r="F90" s="53">
        <v>40395</v>
      </c>
      <c r="G90" s="92">
        <v>3471</v>
      </c>
      <c r="H90" s="98">
        <v>866</v>
      </c>
      <c r="I90" s="98" t="s">
        <v>94</v>
      </c>
      <c r="J90" s="102">
        <f t="shared" si="14"/>
        <v>0.24</v>
      </c>
      <c r="K90" s="103">
        <f t="shared" si="15"/>
        <v>34.468718967229393</v>
      </c>
      <c r="L90" s="103">
        <f t="shared" si="16"/>
        <v>0.8755675675675676</v>
      </c>
      <c r="M90" s="96">
        <f t="shared" si="17"/>
        <v>207.84</v>
      </c>
      <c r="N90" s="96">
        <f t="shared" si="18"/>
        <v>3678.84</v>
      </c>
      <c r="O90" s="97">
        <f t="shared" si="19"/>
        <v>36.532671300893746</v>
      </c>
      <c r="P90" s="97">
        <f t="shared" si="20"/>
        <v>0.92799567567567576</v>
      </c>
      <c r="R90" s="92"/>
    </row>
    <row r="91" spans="1:18" ht="13.15" x14ac:dyDescent="0.25">
      <c r="A91" s="45" t="s">
        <v>134</v>
      </c>
      <c r="B91" s="45" t="s">
        <v>16</v>
      </c>
      <c r="C91" s="45" t="s">
        <v>17</v>
      </c>
      <c r="D91" s="45" t="s">
        <v>90</v>
      </c>
      <c r="E91" s="88">
        <v>40391</v>
      </c>
      <c r="F91" s="53">
        <v>40395</v>
      </c>
      <c r="G91" s="92">
        <v>1912</v>
      </c>
      <c r="H91" s="98">
        <v>213</v>
      </c>
      <c r="I91" s="98" t="s">
        <v>92</v>
      </c>
      <c r="J91" s="102">
        <f t="shared" si="14"/>
        <v>0.17</v>
      </c>
      <c r="K91" s="103">
        <f t="shared" si="15"/>
        <v>18.987090367428003</v>
      </c>
      <c r="L91" s="103">
        <f t="shared" si="16"/>
        <v>0.48230630630630633</v>
      </c>
      <c r="M91" s="96">
        <f t="shared" si="17"/>
        <v>36.21</v>
      </c>
      <c r="N91" s="96">
        <f t="shared" si="18"/>
        <v>1948.21</v>
      </c>
      <c r="O91" s="97">
        <f t="shared" si="19"/>
        <v>19.346673286991063</v>
      </c>
      <c r="P91" s="97">
        <f t="shared" si="20"/>
        <v>0.49144036036036037</v>
      </c>
      <c r="R91" s="92"/>
    </row>
    <row r="92" spans="1:18" ht="13.15" x14ac:dyDescent="0.25">
      <c r="A92" s="45" t="s">
        <v>134</v>
      </c>
      <c r="B92" s="45" t="s">
        <v>18</v>
      </c>
      <c r="C92" s="45" t="s">
        <v>19</v>
      </c>
      <c r="D92" s="45" t="s">
        <v>90</v>
      </c>
      <c r="E92" s="88">
        <v>40391</v>
      </c>
      <c r="F92" s="53">
        <v>40395</v>
      </c>
      <c r="G92" s="92">
        <v>2993</v>
      </c>
      <c r="H92" s="98">
        <v>650</v>
      </c>
      <c r="I92" s="98" t="s">
        <v>94</v>
      </c>
      <c r="J92" s="102">
        <f t="shared" si="14"/>
        <v>0.24</v>
      </c>
      <c r="K92" s="103">
        <f t="shared" si="15"/>
        <v>29.721946375372394</v>
      </c>
      <c r="L92" s="103">
        <f t="shared" si="16"/>
        <v>0.75499099099099098</v>
      </c>
      <c r="M92" s="96">
        <f t="shared" si="17"/>
        <v>156</v>
      </c>
      <c r="N92" s="96">
        <f t="shared" si="18"/>
        <v>3149</v>
      </c>
      <c r="O92" s="97">
        <f t="shared" si="19"/>
        <v>31.271102284011917</v>
      </c>
      <c r="P92" s="97">
        <f t="shared" si="20"/>
        <v>0.79434234234234236</v>
      </c>
      <c r="R92" s="92"/>
    </row>
    <row r="93" spans="1:18" ht="13.15" x14ac:dyDescent="0.25">
      <c r="A93" s="45" t="s">
        <v>134</v>
      </c>
      <c r="B93" s="45" t="s">
        <v>18</v>
      </c>
      <c r="C93" s="45" t="s">
        <v>20</v>
      </c>
      <c r="D93" s="45" t="s">
        <v>90</v>
      </c>
      <c r="E93" s="88">
        <v>40391</v>
      </c>
      <c r="F93" s="53">
        <v>40395</v>
      </c>
      <c r="G93" s="92">
        <v>2557</v>
      </c>
      <c r="H93" s="98">
        <v>417</v>
      </c>
      <c r="I93" s="98" t="s">
        <v>94</v>
      </c>
      <c r="J93" s="102">
        <f t="shared" si="14"/>
        <v>0.24</v>
      </c>
      <c r="K93" s="103">
        <f t="shared" si="15"/>
        <v>25.392254220456802</v>
      </c>
      <c r="L93" s="103">
        <f t="shared" si="16"/>
        <v>0.64500900900900904</v>
      </c>
      <c r="M93" s="96">
        <f t="shared" si="17"/>
        <v>100.08</v>
      </c>
      <c r="N93" s="96">
        <f t="shared" si="18"/>
        <v>2657.08</v>
      </c>
      <c r="O93" s="97">
        <f t="shared" si="19"/>
        <v>26.38609731876862</v>
      </c>
      <c r="P93" s="97">
        <f t="shared" si="20"/>
        <v>0.67025441441441436</v>
      </c>
      <c r="R93" s="92"/>
    </row>
    <row r="94" spans="1:18" ht="13.15" x14ac:dyDescent="0.25">
      <c r="A94" s="45" t="s">
        <v>134</v>
      </c>
      <c r="B94" s="45" t="s">
        <v>16</v>
      </c>
      <c r="C94" s="45" t="s">
        <v>21</v>
      </c>
      <c r="D94" s="45" t="s">
        <v>90</v>
      </c>
      <c r="E94" s="88">
        <v>40391</v>
      </c>
      <c r="F94" s="53">
        <v>40395</v>
      </c>
      <c r="G94" s="92">
        <v>2848</v>
      </c>
      <c r="H94" s="98">
        <v>626</v>
      </c>
      <c r="I94" s="98" t="s">
        <v>92</v>
      </c>
      <c r="J94" s="102">
        <f t="shared" si="14"/>
        <v>0.17</v>
      </c>
      <c r="K94" s="103">
        <f t="shared" si="15"/>
        <v>28.282025819265144</v>
      </c>
      <c r="L94" s="103">
        <f t="shared" si="16"/>
        <v>0.71841441441441445</v>
      </c>
      <c r="M94" s="96">
        <f t="shared" si="17"/>
        <v>106.42</v>
      </c>
      <c r="N94" s="96">
        <f t="shared" si="18"/>
        <v>2954.42</v>
      </c>
      <c r="O94" s="97">
        <f t="shared" si="19"/>
        <v>29.338828202581926</v>
      </c>
      <c r="P94" s="97">
        <f t="shared" si="20"/>
        <v>0.74525909909909915</v>
      </c>
      <c r="R94" s="92"/>
    </row>
    <row r="95" spans="1:18" ht="13.15" x14ac:dyDescent="0.25">
      <c r="A95" s="45" t="s">
        <v>134</v>
      </c>
      <c r="B95" s="45" t="s">
        <v>16</v>
      </c>
      <c r="C95" s="45" t="s">
        <v>6</v>
      </c>
      <c r="D95" s="45" t="s">
        <v>90</v>
      </c>
      <c r="E95" s="88">
        <v>40391</v>
      </c>
      <c r="F95" s="53">
        <v>40395</v>
      </c>
      <c r="G95" s="92">
        <v>4263</v>
      </c>
      <c r="H95" s="98">
        <v>1823</v>
      </c>
      <c r="I95" s="98" t="s">
        <v>92</v>
      </c>
      <c r="J95" s="102">
        <f t="shared" si="14"/>
        <v>0.17</v>
      </c>
      <c r="K95" s="103">
        <f t="shared" si="15"/>
        <v>42.333664349553125</v>
      </c>
      <c r="L95" s="103">
        <f t="shared" si="16"/>
        <v>1.0753513513513513</v>
      </c>
      <c r="M95" s="96">
        <f t="shared" si="17"/>
        <v>309.91000000000003</v>
      </c>
      <c r="N95" s="96">
        <f t="shared" si="18"/>
        <v>4572.91</v>
      </c>
      <c r="O95" s="97">
        <f t="shared" si="19"/>
        <v>45.411221449851041</v>
      </c>
      <c r="P95" s="97">
        <f t="shared" si="20"/>
        <v>1.1535268468468469</v>
      </c>
      <c r="R95" s="92"/>
    </row>
    <row r="96" spans="1:18" ht="13.15" x14ac:dyDescent="0.25">
      <c r="A96" s="45" t="s">
        <v>22</v>
      </c>
      <c r="B96" s="45" t="s">
        <v>23</v>
      </c>
      <c r="C96" s="45" t="s">
        <v>7</v>
      </c>
      <c r="D96" s="45" t="s">
        <v>90</v>
      </c>
      <c r="E96" s="88">
        <v>40391</v>
      </c>
      <c r="F96" s="53">
        <v>40395</v>
      </c>
      <c r="G96" s="92">
        <v>3181</v>
      </c>
      <c r="H96" s="99">
        <v>1295</v>
      </c>
      <c r="I96" s="98" t="s">
        <v>95</v>
      </c>
      <c r="J96" s="102">
        <f t="shared" si="14"/>
        <v>0.1265</v>
      </c>
      <c r="K96" s="103">
        <f t="shared" si="15"/>
        <v>31.588877855014896</v>
      </c>
      <c r="L96" s="103">
        <f t="shared" si="16"/>
        <v>0.85972972972972972</v>
      </c>
      <c r="M96" s="96">
        <f t="shared" si="17"/>
        <v>163.8175</v>
      </c>
      <c r="N96" s="96">
        <f t="shared" si="18"/>
        <v>3344.8175000000001</v>
      </c>
      <c r="O96" s="97">
        <f t="shared" si="19"/>
        <v>33.215665342601788</v>
      </c>
      <c r="P96" s="97">
        <f t="shared" si="20"/>
        <v>0.90400472972972978</v>
      </c>
      <c r="R96" s="92"/>
    </row>
    <row r="97" spans="1:18" ht="13.15" x14ac:dyDescent="0.25">
      <c r="A97" s="45" t="s">
        <v>22</v>
      </c>
      <c r="B97" s="45" t="s">
        <v>14</v>
      </c>
      <c r="C97" s="45" t="s">
        <v>24</v>
      </c>
      <c r="D97" s="45" t="s">
        <v>90</v>
      </c>
      <c r="E97" s="88">
        <v>40391</v>
      </c>
      <c r="F97" s="53">
        <v>40395</v>
      </c>
      <c r="G97" s="92">
        <v>2748</v>
      </c>
      <c r="H97" s="98">
        <v>615</v>
      </c>
      <c r="I97" s="98" t="s">
        <v>94</v>
      </c>
      <c r="J97" s="102">
        <f t="shared" si="14"/>
        <v>0.24</v>
      </c>
      <c r="K97" s="103">
        <f t="shared" si="15"/>
        <v>27.288977159880833</v>
      </c>
      <c r="L97" s="103">
        <f t="shared" si="16"/>
        <v>0.74270270270270267</v>
      </c>
      <c r="M97" s="96">
        <f t="shared" si="17"/>
        <v>147.6</v>
      </c>
      <c r="N97" s="96">
        <f t="shared" si="18"/>
        <v>2895.6</v>
      </c>
      <c r="O97" s="97">
        <f t="shared" si="19"/>
        <v>28.754716981132074</v>
      </c>
      <c r="P97" s="97">
        <f t="shared" si="20"/>
        <v>0.78259459459459457</v>
      </c>
      <c r="R97" s="92"/>
    </row>
    <row r="98" spans="1:18" ht="13.15" x14ac:dyDescent="0.25">
      <c r="A98" s="45" t="s">
        <v>22</v>
      </c>
      <c r="B98" s="45" t="s">
        <v>18</v>
      </c>
      <c r="C98" s="45" t="s">
        <v>15</v>
      </c>
      <c r="D98" s="45" t="s">
        <v>90</v>
      </c>
      <c r="E98" s="88">
        <v>40391</v>
      </c>
      <c r="F98" s="53">
        <v>40395</v>
      </c>
      <c r="G98" s="92">
        <v>3540</v>
      </c>
      <c r="H98" s="98">
        <v>872</v>
      </c>
      <c r="I98" s="98" t="s">
        <v>94</v>
      </c>
      <c r="J98" s="102">
        <f t="shared" si="14"/>
        <v>0.24</v>
      </c>
      <c r="K98" s="103">
        <f t="shared" si="15"/>
        <v>35.153922542204569</v>
      </c>
      <c r="L98" s="103">
        <f t="shared" si="16"/>
        <v>0.95675675675675675</v>
      </c>
      <c r="M98" s="96">
        <f t="shared" si="17"/>
        <v>209.28</v>
      </c>
      <c r="N98" s="96">
        <f t="shared" si="18"/>
        <v>3749.28</v>
      </c>
      <c r="O98" s="97">
        <f t="shared" si="19"/>
        <v>37.232174776564051</v>
      </c>
      <c r="P98" s="97">
        <f t="shared" si="20"/>
        <v>1.0133189189189189</v>
      </c>
      <c r="R98" s="92"/>
    </row>
    <row r="99" spans="1:18" ht="13.15" x14ac:dyDescent="0.25">
      <c r="A99" s="45" t="s">
        <v>22</v>
      </c>
      <c r="B99" s="45" t="s">
        <v>18</v>
      </c>
      <c r="C99" s="45" t="s">
        <v>24</v>
      </c>
      <c r="D99" s="45" t="s">
        <v>90</v>
      </c>
      <c r="E99" s="88">
        <v>40391</v>
      </c>
      <c r="F99" s="53">
        <v>40395</v>
      </c>
      <c r="G99" s="92">
        <v>2443</v>
      </c>
      <c r="H99" s="98">
        <v>417</v>
      </c>
      <c r="I99" s="98" t="s">
        <v>94</v>
      </c>
      <c r="J99" s="102">
        <f t="shared" si="14"/>
        <v>0.24</v>
      </c>
      <c r="K99" s="103">
        <f t="shared" si="15"/>
        <v>24.260178748758687</v>
      </c>
      <c r="L99" s="103">
        <f t="shared" si="16"/>
        <v>0.6602702702702703</v>
      </c>
      <c r="M99" s="96">
        <f t="shared" si="17"/>
        <v>100.08</v>
      </c>
      <c r="N99" s="96">
        <f t="shared" si="18"/>
        <v>2543.08</v>
      </c>
      <c r="O99" s="97">
        <f t="shared" si="19"/>
        <v>25.254021847070504</v>
      </c>
      <c r="P99" s="97">
        <f t="shared" si="20"/>
        <v>0.68731891891891894</v>
      </c>
      <c r="R99" s="92"/>
    </row>
    <row r="100" spans="1:18" ht="13.15" x14ac:dyDescent="0.25">
      <c r="A100" s="45" t="s">
        <v>22</v>
      </c>
      <c r="B100" s="45" t="s">
        <v>13</v>
      </c>
      <c r="C100" s="45" t="s">
        <v>7</v>
      </c>
      <c r="D100" s="45" t="s">
        <v>90</v>
      </c>
      <c r="E100" s="88">
        <v>40391</v>
      </c>
      <c r="F100" s="53">
        <v>40395</v>
      </c>
      <c r="G100" s="92">
        <v>3038</v>
      </c>
      <c r="H100" s="98">
        <v>1006</v>
      </c>
      <c r="I100" s="98" t="s">
        <v>92</v>
      </c>
      <c r="J100" s="102">
        <f t="shared" si="14"/>
        <v>0.17</v>
      </c>
      <c r="K100" s="103">
        <f t="shared" si="15"/>
        <v>30.168818272095333</v>
      </c>
      <c r="L100" s="103">
        <f t="shared" si="16"/>
        <v>0.82108108108108113</v>
      </c>
      <c r="M100" s="96">
        <f t="shared" si="17"/>
        <v>171.02</v>
      </c>
      <c r="N100" s="96">
        <f t="shared" si="18"/>
        <v>3209.02</v>
      </c>
      <c r="O100" s="97">
        <f t="shared" si="19"/>
        <v>31.867130089374378</v>
      </c>
      <c r="P100" s="97">
        <f t="shared" si="20"/>
        <v>0.86730270270270271</v>
      </c>
      <c r="R100" s="92"/>
    </row>
    <row r="101" spans="1:18" ht="13.15" x14ac:dyDescent="0.25">
      <c r="A101" s="45" t="s">
        <v>1</v>
      </c>
      <c r="B101" s="45" t="s">
        <v>25</v>
      </c>
      <c r="C101" s="45" t="s">
        <v>26</v>
      </c>
      <c r="D101" s="45" t="s">
        <v>91</v>
      </c>
      <c r="E101" s="88">
        <v>40391</v>
      </c>
      <c r="F101" s="53">
        <v>40395</v>
      </c>
      <c r="G101" s="92">
        <v>2868</v>
      </c>
      <c r="H101" s="98">
        <v>880</v>
      </c>
      <c r="I101" s="98" t="s">
        <v>93</v>
      </c>
      <c r="J101" s="102">
        <f t="shared" si="14"/>
        <v>0.43</v>
      </c>
      <c r="K101" s="103">
        <f t="shared" si="15"/>
        <v>28.480635551142004</v>
      </c>
      <c r="L101" s="103">
        <f t="shared" si="16"/>
        <v>0.7751351351351351</v>
      </c>
      <c r="M101" s="96">
        <f t="shared" si="17"/>
        <v>378.4</v>
      </c>
      <c r="N101" s="96">
        <f t="shared" si="18"/>
        <v>3246.4</v>
      </c>
      <c r="O101" s="97">
        <f t="shared" si="19"/>
        <v>32.238331678252237</v>
      </c>
      <c r="P101" s="97">
        <f t="shared" si="20"/>
        <v>0.87740540540540546</v>
      </c>
      <c r="R101" s="92"/>
    </row>
    <row r="102" spans="1:18" ht="13.15" x14ac:dyDescent="0.25">
      <c r="A102" s="45" t="s">
        <v>1</v>
      </c>
      <c r="B102" s="45" t="s">
        <v>2</v>
      </c>
      <c r="C102" s="45" t="s">
        <v>9</v>
      </c>
      <c r="D102" s="45" t="s">
        <v>91</v>
      </c>
      <c r="E102" s="88">
        <v>40391</v>
      </c>
      <c r="F102" s="53">
        <v>40395</v>
      </c>
      <c r="G102" s="92">
        <v>2867</v>
      </c>
      <c r="H102" s="98">
        <v>685</v>
      </c>
      <c r="I102" s="98" t="s">
        <v>93</v>
      </c>
      <c r="J102" s="102">
        <f t="shared" si="14"/>
        <v>0.43</v>
      </c>
      <c r="K102" s="103">
        <f t="shared" si="15"/>
        <v>28.470705064548163</v>
      </c>
      <c r="L102" s="103">
        <f t="shared" si="16"/>
        <v>0.77486486486486483</v>
      </c>
      <c r="M102" s="96">
        <f t="shared" si="17"/>
        <v>294.55</v>
      </c>
      <c r="N102" s="96">
        <f t="shared" si="18"/>
        <v>3161.55</v>
      </c>
      <c r="O102" s="97">
        <f t="shared" si="19"/>
        <v>31.395729890764649</v>
      </c>
      <c r="P102" s="97">
        <f t="shared" si="20"/>
        <v>0.85447297297297298</v>
      </c>
      <c r="R102" s="92"/>
    </row>
    <row r="103" spans="1:18" ht="13.15" x14ac:dyDescent="0.25">
      <c r="A103" s="45" t="s">
        <v>1</v>
      </c>
      <c r="B103" s="45" t="s">
        <v>27</v>
      </c>
      <c r="C103" s="45" t="s">
        <v>28</v>
      </c>
      <c r="D103" s="45" t="s">
        <v>91</v>
      </c>
      <c r="E103" s="88">
        <v>40391</v>
      </c>
      <c r="F103" s="53">
        <v>40395</v>
      </c>
      <c r="G103" s="92">
        <v>3811</v>
      </c>
      <c r="H103" s="98">
        <v>812</v>
      </c>
      <c r="I103" s="98" t="s">
        <v>94</v>
      </c>
      <c r="J103" s="102">
        <f t="shared" si="14"/>
        <v>0.24</v>
      </c>
      <c r="K103" s="103">
        <f t="shared" si="15"/>
        <v>37.845084409136049</v>
      </c>
      <c r="L103" s="103">
        <f t="shared" si="16"/>
        <v>1.03</v>
      </c>
      <c r="M103" s="96">
        <f t="shared" si="17"/>
        <v>194.88</v>
      </c>
      <c r="N103" s="96">
        <f t="shared" si="18"/>
        <v>4005.88</v>
      </c>
      <c r="O103" s="97">
        <f t="shared" si="19"/>
        <v>39.780337636544189</v>
      </c>
      <c r="P103" s="97">
        <f t="shared" si="20"/>
        <v>1.0826702702702704</v>
      </c>
      <c r="R103" s="92"/>
    </row>
    <row r="104" spans="1:18" ht="13.15" x14ac:dyDescent="0.25">
      <c r="A104" s="45" t="s">
        <v>1</v>
      </c>
      <c r="B104" s="45" t="s">
        <v>4</v>
      </c>
      <c r="C104" s="45" t="s">
        <v>26</v>
      </c>
      <c r="D104" s="45" t="s">
        <v>91</v>
      </c>
      <c r="E104" s="88">
        <v>40391</v>
      </c>
      <c r="F104" s="53">
        <v>40395</v>
      </c>
      <c r="G104" s="92">
        <v>4131</v>
      </c>
      <c r="H104" s="98">
        <v>1520</v>
      </c>
      <c r="I104" s="98" t="s">
        <v>93</v>
      </c>
      <c r="J104" s="102">
        <f t="shared" si="14"/>
        <v>0.43</v>
      </c>
      <c r="K104" s="103">
        <f t="shared" si="15"/>
        <v>41.022840119165835</v>
      </c>
      <c r="L104" s="103">
        <f t="shared" si="16"/>
        <v>1.1164864864864865</v>
      </c>
      <c r="M104" s="96">
        <f t="shared" si="17"/>
        <v>653.6</v>
      </c>
      <c r="N104" s="96">
        <f t="shared" si="18"/>
        <v>4784.6000000000004</v>
      </c>
      <c r="O104" s="97">
        <f t="shared" si="19"/>
        <v>47.513406156901688</v>
      </c>
      <c r="P104" s="97">
        <f t="shared" si="20"/>
        <v>1.2931351351351352</v>
      </c>
      <c r="R104" s="92"/>
    </row>
    <row r="105" spans="1:18" ht="13.15" x14ac:dyDescent="0.25">
      <c r="A105" s="45" t="s">
        <v>1</v>
      </c>
      <c r="B105" s="45" t="s">
        <v>4</v>
      </c>
      <c r="C105" s="45" t="s">
        <v>9</v>
      </c>
      <c r="D105" s="45" t="s">
        <v>91</v>
      </c>
      <c r="E105" s="88">
        <v>40391</v>
      </c>
      <c r="F105" s="53">
        <v>40395</v>
      </c>
      <c r="G105" s="92">
        <v>5046</v>
      </c>
      <c r="H105" s="98">
        <v>1583</v>
      </c>
      <c r="I105" s="98" t="s">
        <v>93</v>
      </c>
      <c r="J105" s="102">
        <f t="shared" si="14"/>
        <v>0.43</v>
      </c>
      <c r="K105" s="103">
        <f t="shared" si="15"/>
        <v>50.109235352532274</v>
      </c>
      <c r="L105" s="103">
        <f t="shared" si="16"/>
        <v>1.3637837837837838</v>
      </c>
      <c r="M105" s="96">
        <f t="shared" si="17"/>
        <v>680.68999999999994</v>
      </c>
      <c r="N105" s="96">
        <f t="shared" si="18"/>
        <v>5726.69</v>
      </c>
      <c r="O105" s="97">
        <f t="shared" si="19"/>
        <v>56.868818272095325</v>
      </c>
      <c r="P105" s="97">
        <f t="shared" si="20"/>
        <v>1.547754054054054</v>
      </c>
      <c r="R105" s="92"/>
    </row>
    <row r="106" spans="1:18" ht="13.15" x14ac:dyDescent="0.25">
      <c r="A106" s="45" t="s">
        <v>1</v>
      </c>
      <c r="B106" s="45" t="s">
        <v>10</v>
      </c>
      <c r="C106" s="45" t="s">
        <v>26</v>
      </c>
      <c r="D106" s="45" t="s">
        <v>91</v>
      </c>
      <c r="E106" s="88">
        <v>40391</v>
      </c>
      <c r="F106" s="53">
        <v>40395</v>
      </c>
      <c r="G106" s="92">
        <v>4510</v>
      </c>
      <c r="H106" s="98">
        <v>1599</v>
      </c>
      <c r="I106" s="98" t="s">
        <v>92</v>
      </c>
      <c r="J106" s="102">
        <f t="shared" si="14"/>
        <v>0.17</v>
      </c>
      <c r="K106" s="103">
        <f t="shared" si="15"/>
        <v>44.786494538232375</v>
      </c>
      <c r="L106" s="103">
        <f t="shared" si="16"/>
        <v>1.2189189189189189</v>
      </c>
      <c r="M106" s="96">
        <f t="shared" si="17"/>
        <v>271.83000000000004</v>
      </c>
      <c r="N106" s="96">
        <f t="shared" si="18"/>
        <v>4781.83</v>
      </c>
      <c r="O106" s="97">
        <f t="shared" si="19"/>
        <v>47.485898709036739</v>
      </c>
      <c r="P106" s="97">
        <f t="shared" si="20"/>
        <v>1.2923864864864865</v>
      </c>
      <c r="R106" s="92"/>
    </row>
    <row r="107" spans="1:18" ht="13.15" x14ac:dyDescent="0.25">
      <c r="A107" s="45" t="s">
        <v>134</v>
      </c>
      <c r="B107" s="45" t="s">
        <v>23</v>
      </c>
      <c r="C107" s="45" t="s">
        <v>26</v>
      </c>
      <c r="D107" s="45" t="s">
        <v>91</v>
      </c>
      <c r="E107" s="88">
        <v>40391</v>
      </c>
      <c r="F107" s="53">
        <v>40395</v>
      </c>
      <c r="G107" s="92">
        <v>3920</v>
      </c>
      <c r="H107" s="98">
        <v>1851</v>
      </c>
      <c r="I107" s="98" t="s">
        <v>93</v>
      </c>
      <c r="J107" s="102">
        <f t="shared" si="14"/>
        <v>0.43</v>
      </c>
      <c r="K107" s="103">
        <f t="shared" si="15"/>
        <v>38.927507447864947</v>
      </c>
      <c r="L107" s="103">
        <f t="shared" si="16"/>
        <v>0.98882882882882883</v>
      </c>
      <c r="M107" s="96">
        <f t="shared" si="17"/>
        <v>795.93</v>
      </c>
      <c r="N107" s="96">
        <f t="shared" si="18"/>
        <v>4715.93</v>
      </c>
      <c r="O107" s="97">
        <f t="shared" si="19"/>
        <v>46.831479642502487</v>
      </c>
      <c r="P107" s="97">
        <f t="shared" si="20"/>
        <v>1.189603963963964</v>
      </c>
      <c r="R107" s="92"/>
    </row>
    <row r="108" spans="1:18" ht="13.15" x14ac:dyDescent="0.25">
      <c r="A108" s="45" t="s">
        <v>134</v>
      </c>
      <c r="B108" s="45" t="s">
        <v>8</v>
      </c>
      <c r="C108" s="45" t="s">
        <v>29</v>
      </c>
      <c r="D108" s="45" t="s">
        <v>91</v>
      </c>
      <c r="E108" s="88">
        <v>40391</v>
      </c>
      <c r="F108" s="53">
        <v>40395</v>
      </c>
      <c r="G108" s="92">
        <v>3920</v>
      </c>
      <c r="H108" s="98">
        <v>1695</v>
      </c>
      <c r="I108" s="98" t="s">
        <v>93</v>
      </c>
      <c r="J108" s="102">
        <f t="shared" si="14"/>
        <v>0.43</v>
      </c>
      <c r="K108" s="103">
        <f t="shared" si="15"/>
        <v>38.927507447864947</v>
      </c>
      <c r="L108" s="103">
        <f t="shared" si="16"/>
        <v>0.98882882882882883</v>
      </c>
      <c r="M108" s="96">
        <f t="shared" si="17"/>
        <v>728.85</v>
      </c>
      <c r="N108" s="96">
        <f t="shared" si="18"/>
        <v>4648.8500000000004</v>
      </c>
      <c r="O108" s="97">
        <f t="shared" si="19"/>
        <v>46.165342601787486</v>
      </c>
      <c r="P108" s="97">
        <f t="shared" si="20"/>
        <v>1.172682882882883</v>
      </c>
      <c r="R108" s="92"/>
    </row>
    <row r="109" spans="1:18" ht="13.15" x14ac:dyDescent="0.25">
      <c r="A109" s="45" t="s">
        <v>134</v>
      </c>
      <c r="B109" s="45" t="s">
        <v>13</v>
      </c>
      <c r="C109" s="45" t="s">
        <v>7</v>
      </c>
      <c r="D109" s="45" t="s">
        <v>91</v>
      </c>
      <c r="E109" s="88">
        <v>40391</v>
      </c>
      <c r="F109" s="53">
        <v>40395</v>
      </c>
      <c r="G109" s="92">
        <v>2677</v>
      </c>
      <c r="H109" s="98">
        <v>1006</v>
      </c>
      <c r="I109" s="98" t="s">
        <v>92</v>
      </c>
      <c r="J109" s="102">
        <f t="shared" si="14"/>
        <v>0.17</v>
      </c>
      <c r="K109" s="103">
        <f t="shared" si="15"/>
        <v>26.583912611717974</v>
      </c>
      <c r="L109" s="103">
        <f t="shared" si="16"/>
        <v>0.67527927927927933</v>
      </c>
      <c r="M109" s="96">
        <f t="shared" si="17"/>
        <v>171.02</v>
      </c>
      <c r="N109" s="96">
        <f t="shared" si="18"/>
        <v>2848.02</v>
      </c>
      <c r="O109" s="97">
        <f t="shared" si="19"/>
        <v>28.282224428997019</v>
      </c>
      <c r="P109" s="97">
        <f t="shared" si="20"/>
        <v>0.71841945945945951</v>
      </c>
      <c r="R109" s="92"/>
    </row>
    <row r="110" spans="1:18" ht="13.15" x14ac:dyDescent="0.25">
      <c r="A110" s="45" t="s">
        <v>134</v>
      </c>
      <c r="B110" s="45" t="s">
        <v>30</v>
      </c>
      <c r="C110" s="45" t="s">
        <v>9</v>
      </c>
      <c r="D110" s="45" t="s">
        <v>91</v>
      </c>
      <c r="E110" s="88">
        <v>40391</v>
      </c>
      <c r="F110" s="53">
        <v>40395</v>
      </c>
      <c r="G110" s="92">
        <v>2800</v>
      </c>
      <c r="H110" s="98">
        <v>988</v>
      </c>
      <c r="I110" s="98" t="s">
        <v>93</v>
      </c>
      <c r="J110" s="102">
        <f t="shared" si="14"/>
        <v>0.43</v>
      </c>
      <c r="K110" s="103">
        <f t="shared" si="15"/>
        <v>27.805362462760673</v>
      </c>
      <c r="L110" s="103">
        <f t="shared" si="16"/>
        <v>0.70630630630630631</v>
      </c>
      <c r="M110" s="96">
        <f t="shared" si="17"/>
        <v>424.84</v>
      </c>
      <c r="N110" s="96">
        <f t="shared" si="18"/>
        <v>3224.84</v>
      </c>
      <c r="O110" s="97">
        <f t="shared" si="19"/>
        <v>32.024230387288981</v>
      </c>
      <c r="P110" s="97">
        <f t="shared" si="20"/>
        <v>0.81347315315315316</v>
      </c>
      <c r="R110" s="92"/>
    </row>
    <row r="111" spans="1:18" ht="13.15" x14ac:dyDescent="0.25">
      <c r="A111" s="45" t="s">
        <v>134</v>
      </c>
      <c r="B111" s="45" t="s">
        <v>16</v>
      </c>
      <c r="C111" s="45" t="s">
        <v>11</v>
      </c>
      <c r="D111" s="45" t="s">
        <v>91</v>
      </c>
      <c r="E111" s="88">
        <v>40391</v>
      </c>
      <c r="F111" s="53">
        <v>40395</v>
      </c>
      <c r="G111" s="92">
        <v>3230</v>
      </c>
      <c r="H111" s="99">
        <v>787</v>
      </c>
      <c r="I111" s="98" t="s">
        <v>92</v>
      </c>
      <c r="J111" s="102">
        <f t="shared" si="14"/>
        <v>0.17</v>
      </c>
      <c r="K111" s="103">
        <f t="shared" si="15"/>
        <v>32.075471698113205</v>
      </c>
      <c r="L111" s="103">
        <f t="shared" si="16"/>
        <v>0.81477477477477478</v>
      </c>
      <c r="M111" s="96">
        <f t="shared" si="17"/>
        <v>133.79000000000002</v>
      </c>
      <c r="N111" s="96">
        <f t="shared" si="18"/>
        <v>3363.79</v>
      </c>
      <c r="O111" s="97">
        <f t="shared" si="19"/>
        <v>33.404071499503473</v>
      </c>
      <c r="P111" s="97">
        <f t="shared" si="20"/>
        <v>0.84852360360360357</v>
      </c>
      <c r="R111" s="92"/>
    </row>
    <row r="112" spans="1:18" ht="13.15" x14ac:dyDescent="0.25">
      <c r="A112" s="45" t="s">
        <v>134</v>
      </c>
      <c r="B112" s="45" t="s">
        <v>23</v>
      </c>
      <c r="C112" s="45" t="s">
        <v>29</v>
      </c>
      <c r="D112" s="45" t="s">
        <v>91</v>
      </c>
      <c r="E112" s="88">
        <v>40391</v>
      </c>
      <c r="F112" s="53">
        <v>40395</v>
      </c>
      <c r="G112" s="92">
        <v>3920</v>
      </c>
      <c r="H112" s="98">
        <v>1836</v>
      </c>
      <c r="I112" s="98" t="s">
        <v>93</v>
      </c>
      <c r="J112" s="102">
        <f t="shared" si="14"/>
        <v>0.43</v>
      </c>
      <c r="K112" s="103">
        <f t="shared" si="15"/>
        <v>38.927507447864947</v>
      </c>
      <c r="L112" s="103">
        <f t="shared" si="16"/>
        <v>0.98882882882882883</v>
      </c>
      <c r="M112" s="96">
        <f t="shared" si="17"/>
        <v>789.48</v>
      </c>
      <c r="N112" s="96">
        <f t="shared" si="18"/>
        <v>4709.4799999999996</v>
      </c>
      <c r="O112" s="97">
        <f t="shared" si="19"/>
        <v>46.767428003972192</v>
      </c>
      <c r="P112" s="97">
        <f t="shared" si="20"/>
        <v>1.1879769369369368</v>
      </c>
      <c r="R112" s="92"/>
    </row>
    <row r="113" spans="1:19" ht="13.15" x14ac:dyDescent="0.25">
      <c r="A113" s="45" t="s">
        <v>134</v>
      </c>
      <c r="B113" s="45" t="s">
        <v>31</v>
      </c>
      <c r="C113" s="45" t="s">
        <v>32</v>
      </c>
      <c r="D113" s="45" t="s">
        <v>91</v>
      </c>
      <c r="E113" s="88">
        <v>40391</v>
      </c>
      <c r="F113" s="53">
        <v>40395</v>
      </c>
      <c r="G113" s="92">
        <v>3400</v>
      </c>
      <c r="H113" s="98">
        <v>1899</v>
      </c>
      <c r="I113" s="98" t="s">
        <v>93</v>
      </c>
      <c r="J113" s="102">
        <f t="shared" si="14"/>
        <v>0.43</v>
      </c>
      <c r="K113" s="103">
        <f t="shared" si="15"/>
        <v>33.763654419066533</v>
      </c>
      <c r="L113" s="103">
        <f t="shared" si="16"/>
        <v>0.85765765765765767</v>
      </c>
      <c r="M113" s="96">
        <f t="shared" si="17"/>
        <v>816.56999999999994</v>
      </c>
      <c r="N113" s="96">
        <f t="shared" si="18"/>
        <v>4216.57</v>
      </c>
      <c r="O113" s="97">
        <f t="shared" si="19"/>
        <v>41.872591857000991</v>
      </c>
      <c r="P113" s="97">
        <f t="shared" si="20"/>
        <v>1.0636392792792793</v>
      </c>
      <c r="R113" s="92"/>
    </row>
    <row r="114" spans="1:19" ht="13.15" x14ac:dyDescent="0.25">
      <c r="A114" s="45" t="s">
        <v>22</v>
      </c>
      <c r="B114" s="45" t="s">
        <v>8</v>
      </c>
      <c r="C114" s="45" t="s">
        <v>29</v>
      </c>
      <c r="D114" s="45" t="s">
        <v>91</v>
      </c>
      <c r="E114" s="88">
        <v>40391</v>
      </c>
      <c r="F114" s="53">
        <v>40395</v>
      </c>
      <c r="G114" s="92">
        <v>4220</v>
      </c>
      <c r="H114" s="99">
        <v>1695</v>
      </c>
      <c r="I114" s="98" t="s">
        <v>93</v>
      </c>
      <c r="J114" s="102">
        <f t="shared" si="14"/>
        <v>0.43</v>
      </c>
      <c r="K114" s="103">
        <f t="shared" si="15"/>
        <v>41.906653426017876</v>
      </c>
      <c r="L114" s="103">
        <f t="shared" si="16"/>
        <v>1.1405405405405404</v>
      </c>
      <c r="M114" s="96">
        <f t="shared" si="17"/>
        <v>728.85</v>
      </c>
      <c r="N114" s="96">
        <f t="shared" si="18"/>
        <v>4948.8500000000004</v>
      </c>
      <c r="O114" s="97">
        <f t="shared" si="19"/>
        <v>49.144488579940422</v>
      </c>
      <c r="P114" s="97">
        <f t="shared" si="20"/>
        <v>1.3375270270270272</v>
      </c>
      <c r="R114" s="92"/>
    </row>
    <row r="115" spans="1:19" ht="13.15" x14ac:dyDescent="0.25">
      <c r="A115" s="45" t="s">
        <v>22</v>
      </c>
      <c r="B115" s="45" t="s">
        <v>23</v>
      </c>
      <c r="C115" s="45" t="s">
        <v>26</v>
      </c>
      <c r="D115" s="45" t="s">
        <v>91</v>
      </c>
      <c r="E115" s="88">
        <v>40391</v>
      </c>
      <c r="F115" s="53">
        <v>40395</v>
      </c>
      <c r="G115" s="92">
        <v>4170</v>
      </c>
      <c r="H115" s="98">
        <v>1851</v>
      </c>
      <c r="I115" s="98" t="s">
        <v>93</v>
      </c>
      <c r="J115" s="102">
        <f t="shared" si="14"/>
        <v>0.43</v>
      </c>
      <c r="K115" s="103">
        <f t="shared" si="15"/>
        <v>41.410129096325718</v>
      </c>
      <c r="L115" s="103">
        <f t="shared" si="16"/>
        <v>1.1270270270270271</v>
      </c>
      <c r="M115" s="96">
        <f t="shared" si="17"/>
        <v>795.93</v>
      </c>
      <c r="N115" s="96">
        <f t="shared" si="18"/>
        <v>4965.93</v>
      </c>
      <c r="O115" s="97">
        <f t="shared" si="19"/>
        <v>49.314101290963258</v>
      </c>
      <c r="P115" s="97">
        <f t="shared" si="20"/>
        <v>1.3421432432432434</v>
      </c>
      <c r="R115" s="92"/>
    </row>
    <row r="116" spans="1:19" ht="13.15" x14ac:dyDescent="0.25">
      <c r="A116" s="45" t="s">
        <v>22</v>
      </c>
      <c r="B116" s="45" t="s">
        <v>33</v>
      </c>
      <c r="C116" s="45" t="s">
        <v>29</v>
      </c>
      <c r="D116" s="45" t="s">
        <v>91</v>
      </c>
      <c r="E116" s="88">
        <v>40391</v>
      </c>
      <c r="F116" s="53">
        <v>40395</v>
      </c>
      <c r="G116" s="92">
        <v>4170</v>
      </c>
      <c r="H116" s="98">
        <v>1507</v>
      </c>
      <c r="I116" s="98" t="s">
        <v>93</v>
      </c>
      <c r="J116" s="102">
        <f t="shared" si="14"/>
        <v>0.43</v>
      </c>
      <c r="K116" s="103">
        <f t="shared" si="15"/>
        <v>41.410129096325718</v>
      </c>
      <c r="L116" s="103">
        <f t="shared" si="16"/>
        <v>1.1270270270270271</v>
      </c>
      <c r="M116" s="96">
        <f t="shared" si="17"/>
        <v>648.01</v>
      </c>
      <c r="N116" s="96">
        <f t="shared" si="18"/>
        <v>4818.01</v>
      </c>
      <c r="O116" s="97">
        <f t="shared" si="19"/>
        <v>47.84518371400199</v>
      </c>
      <c r="P116" s="97">
        <f t="shared" si="20"/>
        <v>1.3021648648648649</v>
      </c>
      <c r="R116" s="92"/>
    </row>
    <row r="117" spans="1:19" ht="13.15" x14ac:dyDescent="0.25">
      <c r="A117" s="45" t="s">
        <v>22</v>
      </c>
      <c r="B117" s="45" t="s">
        <v>31</v>
      </c>
      <c r="C117" s="45" t="s">
        <v>7</v>
      </c>
      <c r="D117" s="45" t="s">
        <v>91</v>
      </c>
      <c r="E117" s="88">
        <v>40391</v>
      </c>
      <c r="F117" s="53">
        <v>40395</v>
      </c>
      <c r="G117" s="92">
        <v>3410</v>
      </c>
      <c r="H117" s="98">
        <v>1160</v>
      </c>
      <c r="I117" s="98" t="s">
        <v>92</v>
      </c>
      <c r="J117" s="102">
        <f t="shared" si="14"/>
        <v>0.17</v>
      </c>
      <c r="K117" s="103">
        <f t="shared" si="15"/>
        <v>33.862959285004962</v>
      </c>
      <c r="L117" s="103">
        <f t="shared" si="16"/>
        <v>0.92162162162162165</v>
      </c>
      <c r="M117" s="96">
        <f t="shared" si="17"/>
        <v>197.20000000000002</v>
      </c>
      <c r="N117" s="96">
        <f t="shared" si="18"/>
        <v>3607.2</v>
      </c>
      <c r="O117" s="97">
        <f t="shared" si="19"/>
        <v>35.821251241310819</v>
      </c>
      <c r="P117" s="97">
        <f t="shared" si="20"/>
        <v>0.97491891891891891</v>
      </c>
      <c r="R117" s="92"/>
    </row>
    <row r="118" spans="1:19" ht="13.15" x14ac:dyDescent="0.25">
      <c r="A118" s="45" t="s">
        <v>22</v>
      </c>
      <c r="B118" s="45" t="s">
        <v>14</v>
      </c>
      <c r="C118" s="45" t="s">
        <v>24</v>
      </c>
      <c r="D118" s="45" t="s">
        <v>91</v>
      </c>
      <c r="E118" s="88">
        <v>40391</v>
      </c>
      <c r="F118" s="53">
        <v>40395</v>
      </c>
      <c r="G118" s="92">
        <v>2366</v>
      </c>
      <c r="H118" s="98">
        <v>615</v>
      </c>
      <c r="I118" s="98" t="s">
        <v>94</v>
      </c>
      <c r="J118" s="102">
        <f t="shared" si="14"/>
        <v>0.24</v>
      </c>
      <c r="K118" s="103">
        <f t="shared" si="15"/>
        <v>23.495531281032768</v>
      </c>
      <c r="L118" s="103">
        <f t="shared" si="16"/>
        <v>0.63945945945945948</v>
      </c>
      <c r="M118" s="96">
        <f t="shared" si="17"/>
        <v>147.6</v>
      </c>
      <c r="N118" s="96">
        <f t="shared" si="18"/>
        <v>2513.6</v>
      </c>
      <c r="O118" s="97">
        <f t="shared" si="19"/>
        <v>24.961271102284009</v>
      </c>
      <c r="P118" s="97">
        <f t="shared" si="20"/>
        <v>0.67935135135135127</v>
      </c>
      <c r="R118" s="92"/>
    </row>
    <row r="119" spans="1:19" ht="13.15" x14ac:dyDescent="0.25">
      <c r="A119" s="80" t="s">
        <v>22</v>
      </c>
      <c r="B119" s="80" t="s">
        <v>34</v>
      </c>
      <c r="C119" s="80" t="s">
        <v>26</v>
      </c>
      <c r="D119" s="80" t="s">
        <v>91</v>
      </c>
      <c r="E119" s="90">
        <v>40391</v>
      </c>
      <c r="F119" s="84">
        <v>40395</v>
      </c>
      <c r="G119" s="105">
        <v>4320</v>
      </c>
      <c r="H119" s="106">
        <v>1637</v>
      </c>
      <c r="I119" s="106" t="s">
        <v>92</v>
      </c>
      <c r="J119" s="113">
        <f t="shared" si="14"/>
        <v>0.17</v>
      </c>
      <c r="K119" s="114">
        <f t="shared" si="15"/>
        <v>42.899702085402183</v>
      </c>
      <c r="L119" s="114">
        <f t="shared" si="16"/>
        <v>1.1675675675675676</v>
      </c>
      <c r="M119" s="115">
        <f t="shared" si="17"/>
        <v>278.29000000000002</v>
      </c>
      <c r="N119" s="115">
        <f t="shared" si="18"/>
        <v>4598.29</v>
      </c>
      <c r="O119" s="116">
        <f t="shared" si="19"/>
        <v>45.663257199602782</v>
      </c>
      <c r="P119" s="116">
        <f t="shared" si="20"/>
        <v>1.2427810810810811</v>
      </c>
      <c r="R119" s="92"/>
    </row>
    <row r="120" spans="1:19" ht="13.15" x14ac:dyDescent="0.25">
      <c r="A120" s="60" t="s">
        <v>1</v>
      </c>
      <c r="B120" s="60" t="s">
        <v>2</v>
      </c>
      <c r="C120" s="60" t="s">
        <v>3</v>
      </c>
      <c r="D120" s="60" t="s">
        <v>90</v>
      </c>
      <c r="E120" s="89">
        <v>40422</v>
      </c>
      <c r="F120" s="61">
        <v>40428</v>
      </c>
      <c r="G120" s="92">
        <v>2774</v>
      </c>
      <c r="H120" s="93">
        <v>506</v>
      </c>
      <c r="I120" s="93" t="s">
        <v>92</v>
      </c>
      <c r="J120" s="94">
        <f>IF(I120="BNSF",0.42,IF(I120="CN",0.1208,IF(I120="CSX",0.23,0.17)))</f>
        <v>0.17</v>
      </c>
      <c r="K120" s="95">
        <f>G120/100.7</f>
        <v>27.547169811320753</v>
      </c>
      <c r="L120" s="95">
        <f>IF(A120="corn",G120/(111*2000/56),G120/(111*2000/60))</f>
        <v>0.74972972972972973</v>
      </c>
      <c r="M120" s="96">
        <f>H120*J120</f>
        <v>86.02000000000001</v>
      </c>
      <c r="N120" s="96">
        <f>G120+M120</f>
        <v>2860.02</v>
      </c>
      <c r="O120" s="97">
        <f>N120/100.7</f>
        <v>28.401390268123137</v>
      </c>
      <c r="P120" s="97">
        <f>IF(A120="corn",N120/(111*2000/56),N120/(111*2000/60))</f>
        <v>0.77297837837837835</v>
      </c>
      <c r="R120" s="92"/>
      <c r="S120" s="95">
        <f>AVERAGE(O44,O82,O120)</f>
        <v>28.451638530287983</v>
      </c>
    </row>
    <row r="121" spans="1:19" ht="13.15" x14ac:dyDescent="0.25">
      <c r="A121" s="60" t="s">
        <v>1</v>
      </c>
      <c r="B121" s="60" t="s">
        <v>4</v>
      </c>
      <c r="C121" s="60" t="s">
        <v>5</v>
      </c>
      <c r="D121" s="60" t="s">
        <v>90</v>
      </c>
      <c r="E121" s="89">
        <v>40422</v>
      </c>
      <c r="F121" s="61">
        <v>40428</v>
      </c>
      <c r="G121" s="92">
        <v>2563</v>
      </c>
      <c r="H121" s="93">
        <v>298</v>
      </c>
      <c r="I121" s="93" t="s">
        <v>93</v>
      </c>
      <c r="J121" s="94">
        <f t="shared" ref="J121:J157" si="21">IF(I121="BNSF",0.42,IF(I121="CN",0.1208,IF(I121="CSX",0.23,0.17)))</f>
        <v>0.42</v>
      </c>
      <c r="K121" s="95">
        <f t="shared" ref="K121:K158" si="22">G121/100.7</f>
        <v>25.451837140019862</v>
      </c>
      <c r="L121" s="95">
        <f t="shared" ref="L121:L158" si="23">IF(A121="corn",G121/(111*2000/56),G121/(111*2000/60))</f>
        <v>0.69270270270270273</v>
      </c>
      <c r="M121" s="96">
        <f t="shared" ref="M121:M158" si="24">H121*J121</f>
        <v>125.16</v>
      </c>
      <c r="N121" s="96">
        <f t="shared" ref="N121:N158" si="25">G121+M121</f>
        <v>2688.16</v>
      </c>
      <c r="O121" s="97">
        <f t="shared" ref="O121:O158" si="26">N121/100.7</f>
        <v>26.694736842105261</v>
      </c>
      <c r="P121" s="97">
        <f t="shared" ref="P121:P158" si="27">IF(A121="corn",N121/(111*2000/56),N121/(111*2000/60))</f>
        <v>0.72652972972972973</v>
      </c>
      <c r="R121" s="92"/>
      <c r="S121" s="95">
        <f t="shared" ref="S121:S157" si="28">AVERAGE(O45,O83,O121)</f>
        <v>26.204501820589204</v>
      </c>
    </row>
    <row r="122" spans="1:19" ht="13.15" x14ac:dyDescent="0.25">
      <c r="A122" s="60" t="s">
        <v>1</v>
      </c>
      <c r="B122" s="60" t="s">
        <v>2</v>
      </c>
      <c r="C122" s="60" t="s">
        <v>6</v>
      </c>
      <c r="D122" s="60" t="s">
        <v>90</v>
      </c>
      <c r="E122" s="89">
        <v>40422</v>
      </c>
      <c r="F122" s="61">
        <v>40428</v>
      </c>
      <c r="G122" s="92">
        <v>5047</v>
      </c>
      <c r="H122" s="93">
        <v>1530</v>
      </c>
      <c r="I122" s="93" t="s">
        <v>93</v>
      </c>
      <c r="J122" s="94">
        <f t="shared" si="21"/>
        <v>0.42</v>
      </c>
      <c r="K122" s="95">
        <f t="shared" si="22"/>
        <v>50.119165839126119</v>
      </c>
      <c r="L122" s="95">
        <f t="shared" si="23"/>
        <v>1.364054054054054</v>
      </c>
      <c r="M122" s="96">
        <f t="shared" si="24"/>
        <v>642.6</v>
      </c>
      <c r="N122" s="96">
        <f t="shared" si="25"/>
        <v>5689.6</v>
      </c>
      <c r="O122" s="97">
        <f t="shared" si="26"/>
        <v>56.500496524329691</v>
      </c>
      <c r="P122" s="97">
        <f t="shared" si="27"/>
        <v>1.5377297297297299</v>
      </c>
      <c r="R122" s="92"/>
      <c r="S122" s="95">
        <f t="shared" si="28"/>
        <v>56.753723932472688</v>
      </c>
    </row>
    <row r="123" spans="1:19" ht="13.15" x14ac:dyDescent="0.25">
      <c r="A123" s="60" t="s">
        <v>1</v>
      </c>
      <c r="B123" s="60" t="s">
        <v>2</v>
      </c>
      <c r="C123" s="60" t="s">
        <v>7</v>
      </c>
      <c r="D123" s="60" t="s">
        <v>90</v>
      </c>
      <c r="E123" s="89">
        <v>40422</v>
      </c>
      <c r="F123" s="61">
        <v>40428</v>
      </c>
      <c r="G123" s="92">
        <v>3275</v>
      </c>
      <c r="H123" s="93">
        <v>890</v>
      </c>
      <c r="I123" s="93" t="s">
        <v>92</v>
      </c>
      <c r="J123" s="94">
        <f t="shared" si="21"/>
        <v>0.17</v>
      </c>
      <c r="K123" s="95">
        <f t="shared" si="22"/>
        <v>32.522343594836144</v>
      </c>
      <c r="L123" s="95">
        <f t="shared" si="23"/>
        <v>0.88513513513513509</v>
      </c>
      <c r="M123" s="96">
        <f t="shared" si="24"/>
        <v>151.30000000000001</v>
      </c>
      <c r="N123" s="96">
        <f t="shared" si="25"/>
        <v>3426.3</v>
      </c>
      <c r="O123" s="97">
        <f t="shared" si="26"/>
        <v>34.024826216484605</v>
      </c>
      <c r="P123" s="97">
        <f t="shared" si="27"/>
        <v>0.92602702702702711</v>
      </c>
      <c r="R123" s="92"/>
      <c r="S123" s="95">
        <f t="shared" si="28"/>
        <v>34.113207547169814</v>
      </c>
    </row>
    <row r="124" spans="1:19" ht="13.15" x14ac:dyDescent="0.25">
      <c r="A124" s="60" t="s">
        <v>1</v>
      </c>
      <c r="B124" s="60" t="s">
        <v>8</v>
      </c>
      <c r="C124" s="60" t="s">
        <v>9</v>
      </c>
      <c r="D124" s="60" t="s">
        <v>90</v>
      </c>
      <c r="E124" s="89">
        <v>40422</v>
      </c>
      <c r="F124" s="61">
        <v>40428</v>
      </c>
      <c r="G124" s="92">
        <v>4981</v>
      </c>
      <c r="H124" s="93">
        <v>1256</v>
      </c>
      <c r="I124" s="93" t="s">
        <v>93</v>
      </c>
      <c r="J124" s="94">
        <f t="shared" si="21"/>
        <v>0.42</v>
      </c>
      <c r="K124" s="95">
        <f t="shared" si="22"/>
        <v>49.46375372393247</v>
      </c>
      <c r="L124" s="95">
        <f t="shared" si="23"/>
        <v>1.3462162162162161</v>
      </c>
      <c r="M124" s="96">
        <f t="shared" si="24"/>
        <v>527.52</v>
      </c>
      <c r="N124" s="96">
        <f t="shared" si="25"/>
        <v>5508.52</v>
      </c>
      <c r="O124" s="97">
        <f t="shared" si="26"/>
        <v>54.702284011916589</v>
      </c>
      <c r="P124" s="97">
        <f t="shared" si="27"/>
        <v>1.4887891891891893</v>
      </c>
      <c r="R124" s="92"/>
      <c r="S124" s="95">
        <f t="shared" si="28"/>
        <v>54.910162197947699</v>
      </c>
    </row>
    <row r="125" spans="1:19" ht="13.15" x14ac:dyDescent="0.25">
      <c r="A125" s="60" t="s">
        <v>1</v>
      </c>
      <c r="B125" s="60" t="s">
        <v>10</v>
      </c>
      <c r="C125" s="60" t="s">
        <v>9</v>
      </c>
      <c r="D125" s="60" t="s">
        <v>90</v>
      </c>
      <c r="E125" s="89">
        <v>40422</v>
      </c>
      <c r="F125" s="61">
        <v>40428</v>
      </c>
      <c r="G125" s="92">
        <v>3543</v>
      </c>
      <c r="H125" s="93">
        <v>975</v>
      </c>
      <c r="I125" s="93" t="s">
        <v>92</v>
      </c>
      <c r="J125" s="94">
        <f t="shared" si="21"/>
        <v>0.17</v>
      </c>
      <c r="K125" s="95">
        <f t="shared" si="22"/>
        <v>35.183714001986097</v>
      </c>
      <c r="L125" s="95">
        <f t="shared" si="23"/>
        <v>0.95756756756756756</v>
      </c>
      <c r="M125" s="96">
        <f t="shared" si="24"/>
        <v>165.75</v>
      </c>
      <c r="N125" s="96">
        <f t="shared" si="25"/>
        <v>3708.75</v>
      </c>
      <c r="O125" s="97">
        <f t="shared" si="26"/>
        <v>36.829692154915591</v>
      </c>
      <c r="P125" s="97">
        <f t="shared" si="27"/>
        <v>1.0023648648648649</v>
      </c>
      <c r="R125" s="92"/>
      <c r="S125" s="95">
        <f t="shared" si="28"/>
        <v>36.926514399205558</v>
      </c>
    </row>
    <row r="126" spans="1:19" ht="13.15" x14ac:dyDescent="0.25">
      <c r="A126" s="60" t="s">
        <v>1</v>
      </c>
      <c r="B126" s="60" t="s">
        <v>11</v>
      </c>
      <c r="C126" s="60" t="s">
        <v>6</v>
      </c>
      <c r="D126" s="60" t="s">
        <v>90</v>
      </c>
      <c r="E126" s="89">
        <v>40422</v>
      </c>
      <c r="F126" s="61">
        <v>40428</v>
      </c>
      <c r="G126" s="92">
        <v>3742</v>
      </c>
      <c r="H126" s="93">
        <v>1357</v>
      </c>
      <c r="I126" s="93" t="s">
        <v>92</v>
      </c>
      <c r="J126" s="94">
        <f t="shared" si="21"/>
        <v>0.17</v>
      </c>
      <c r="K126" s="95">
        <f t="shared" si="22"/>
        <v>37.159880834160873</v>
      </c>
      <c r="L126" s="95">
        <f t="shared" si="23"/>
        <v>1.0113513513513515</v>
      </c>
      <c r="M126" s="96">
        <f t="shared" si="24"/>
        <v>230.69000000000003</v>
      </c>
      <c r="N126" s="96">
        <f t="shared" si="25"/>
        <v>3972.69</v>
      </c>
      <c r="O126" s="97">
        <f t="shared" si="26"/>
        <v>39.450744786494539</v>
      </c>
      <c r="P126" s="97">
        <f t="shared" si="27"/>
        <v>1.0737000000000001</v>
      </c>
      <c r="R126" s="92"/>
      <c r="S126" s="95">
        <f t="shared" si="28"/>
        <v>39.585501489572984</v>
      </c>
    </row>
    <row r="127" spans="1:19" ht="13.15" x14ac:dyDescent="0.25">
      <c r="A127" s="60" t="s">
        <v>134</v>
      </c>
      <c r="B127" s="60" t="s">
        <v>13</v>
      </c>
      <c r="C127" s="60" t="s">
        <v>7</v>
      </c>
      <c r="D127" s="60" t="s">
        <v>90</v>
      </c>
      <c r="E127" s="89">
        <v>40422</v>
      </c>
      <c r="F127" s="61">
        <v>40428</v>
      </c>
      <c r="G127" s="92">
        <v>2785</v>
      </c>
      <c r="H127" s="93">
        <v>1006</v>
      </c>
      <c r="I127" s="93" t="s">
        <v>92</v>
      </c>
      <c r="J127" s="94">
        <f t="shared" si="21"/>
        <v>0.17</v>
      </c>
      <c r="K127" s="95">
        <f t="shared" si="22"/>
        <v>27.656405163853027</v>
      </c>
      <c r="L127" s="95">
        <f t="shared" si="23"/>
        <v>0.70252252252252256</v>
      </c>
      <c r="M127" s="96">
        <f t="shared" si="24"/>
        <v>171.02</v>
      </c>
      <c r="N127" s="96">
        <f t="shared" si="25"/>
        <v>2956.02</v>
      </c>
      <c r="O127" s="97">
        <f t="shared" si="26"/>
        <v>29.354716981132075</v>
      </c>
      <c r="P127" s="97">
        <f t="shared" si="27"/>
        <v>0.74566270270270274</v>
      </c>
      <c r="R127" s="92"/>
      <c r="S127" s="95">
        <f t="shared" si="28"/>
        <v>29.454617676266135</v>
      </c>
    </row>
    <row r="128" spans="1:19" ht="13.15" x14ac:dyDescent="0.25">
      <c r="A128" s="60" t="s">
        <v>134</v>
      </c>
      <c r="B128" s="60" t="s">
        <v>14</v>
      </c>
      <c r="C128" s="60" t="s">
        <v>15</v>
      </c>
      <c r="D128" s="60" t="s">
        <v>90</v>
      </c>
      <c r="E128" s="89">
        <v>40422</v>
      </c>
      <c r="F128" s="61">
        <v>40428</v>
      </c>
      <c r="G128" s="92">
        <v>3471</v>
      </c>
      <c r="H128" s="93">
        <v>866</v>
      </c>
      <c r="I128" s="93" t="s">
        <v>94</v>
      </c>
      <c r="J128" s="94">
        <f t="shared" si="21"/>
        <v>0.23</v>
      </c>
      <c r="K128" s="95">
        <f t="shared" si="22"/>
        <v>34.468718967229393</v>
      </c>
      <c r="L128" s="95">
        <f t="shared" si="23"/>
        <v>0.8755675675675676</v>
      </c>
      <c r="M128" s="96">
        <f t="shared" si="24"/>
        <v>199.18</v>
      </c>
      <c r="N128" s="96">
        <f t="shared" si="25"/>
        <v>3670.18</v>
      </c>
      <c r="O128" s="97">
        <f t="shared" si="26"/>
        <v>36.446673286991057</v>
      </c>
      <c r="P128" s="97">
        <f t="shared" si="27"/>
        <v>0.92581117117117118</v>
      </c>
      <c r="R128" s="92"/>
      <c r="S128" s="95">
        <f t="shared" si="28"/>
        <v>36.590003310162196</v>
      </c>
    </row>
    <row r="129" spans="1:19" ht="13.15" x14ac:dyDescent="0.25">
      <c r="A129" s="60" t="s">
        <v>134</v>
      </c>
      <c r="B129" s="60" t="s">
        <v>16</v>
      </c>
      <c r="C129" s="60" t="s">
        <v>17</v>
      </c>
      <c r="D129" s="60" t="s">
        <v>90</v>
      </c>
      <c r="E129" s="89">
        <v>40422</v>
      </c>
      <c r="F129" s="61">
        <v>40428</v>
      </c>
      <c r="G129" s="92">
        <v>1912</v>
      </c>
      <c r="H129" s="93">
        <v>213</v>
      </c>
      <c r="I129" s="93" t="s">
        <v>92</v>
      </c>
      <c r="J129" s="94">
        <f t="shared" si="21"/>
        <v>0.17</v>
      </c>
      <c r="K129" s="95">
        <f t="shared" si="22"/>
        <v>18.987090367428003</v>
      </c>
      <c r="L129" s="95">
        <f t="shared" si="23"/>
        <v>0.48230630630630633</v>
      </c>
      <c r="M129" s="96">
        <f t="shared" si="24"/>
        <v>36.21</v>
      </c>
      <c r="N129" s="96">
        <f t="shared" si="25"/>
        <v>1948.21</v>
      </c>
      <c r="O129" s="97">
        <f t="shared" si="26"/>
        <v>19.346673286991063</v>
      </c>
      <c r="P129" s="97">
        <f t="shared" si="27"/>
        <v>0.49144036036036037</v>
      </c>
      <c r="R129" s="92"/>
      <c r="S129" s="95">
        <f t="shared" si="28"/>
        <v>19.367825223435947</v>
      </c>
    </row>
    <row r="130" spans="1:19" ht="13.15" x14ac:dyDescent="0.25">
      <c r="A130" s="60" t="s">
        <v>134</v>
      </c>
      <c r="B130" s="60" t="s">
        <v>18</v>
      </c>
      <c r="C130" s="60" t="s">
        <v>19</v>
      </c>
      <c r="D130" s="60" t="s">
        <v>90</v>
      </c>
      <c r="E130" s="89">
        <v>40422</v>
      </c>
      <c r="F130" s="61">
        <v>40428</v>
      </c>
      <c r="G130" s="92">
        <v>2993</v>
      </c>
      <c r="H130" s="93">
        <v>650</v>
      </c>
      <c r="I130" s="93" t="s">
        <v>94</v>
      </c>
      <c r="J130" s="94">
        <f t="shared" si="21"/>
        <v>0.23</v>
      </c>
      <c r="K130" s="95">
        <f t="shared" si="22"/>
        <v>29.721946375372394</v>
      </c>
      <c r="L130" s="95">
        <f t="shared" si="23"/>
        <v>0.75499099099099098</v>
      </c>
      <c r="M130" s="96">
        <f t="shared" si="24"/>
        <v>149.5</v>
      </c>
      <c r="N130" s="96">
        <f t="shared" si="25"/>
        <v>3142.5</v>
      </c>
      <c r="O130" s="97">
        <f t="shared" si="26"/>
        <v>31.206554121151935</v>
      </c>
      <c r="P130" s="97">
        <f t="shared" si="27"/>
        <v>0.79270270270270271</v>
      </c>
      <c r="R130" s="92"/>
      <c r="S130" s="95">
        <f t="shared" si="28"/>
        <v>31.314134392585235</v>
      </c>
    </row>
    <row r="131" spans="1:19" ht="13.15" x14ac:dyDescent="0.25">
      <c r="A131" s="60" t="s">
        <v>134</v>
      </c>
      <c r="B131" s="60" t="s">
        <v>18</v>
      </c>
      <c r="C131" s="60" t="s">
        <v>20</v>
      </c>
      <c r="D131" s="60" t="s">
        <v>90</v>
      </c>
      <c r="E131" s="89">
        <v>40422</v>
      </c>
      <c r="F131" s="61">
        <v>40428</v>
      </c>
      <c r="G131" s="92">
        <v>2557</v>
      </c>
      <c r="H131" s="93">
        <v>417</v>
      </c>
      <c r="I131" s="93" t="s">
        <v>94</v>
      </c>
      <c r="J131" s="94">
        <f t="shared" si="21"/>
        <v>0.23</v>
      </c>
      <c r="K131" s="95">
        <f t="shared" si="22"/>
        <v>25.392254220456802</v>
      </c>
      <c r="L131" s="95">
        <f t="shared" si="23"/>
        <v>0.64500900900900904</v>
      </c>
      <c r="M131" s="96">
        <f t="shared" si="24"/>
        <v>95.910000000000011</v>
      </c>
      <c r="N131" s="96">
        <f t="shared" si="25"/>
        <v>2652.91</v>
      </c>
      <c r="O131" s="97">
        <f t="shared" si="26"/>
        <v>26.344687189672293</v>
      </c>
      <c r="P131" s="97">
        <f t="shared" si="27"/>
        <v>0.66920252252252255</v>
      </c>
      <c r="R131" s="92"/>
      <c r="S131" s="95">
        <f t="shared" si="28"/>
        <v>26.413704071499506</v>
      </c>
    </row>
    <row r="132" spans="1:19" ht="13.15" x14ac:dyDescent="0.25">
      <c r="A132" s="60" t="s">
        <v>134</v>
      </c>
      <c r="B132" s="60" t="s">
        <v>16</v>
      </c>
      <c r="C132" s="60" t="s">
        <v>21</v>
      </c>
      <c r="D132" s="60" t="s">
        <v>90</v>
      </c>
      <c r="E132" s="89">
        <v>40422</v>
      </c>
      <c r="F132" s="61">
        <v>40428</v>
      </c>
      <c r="G132" s="92">
        <v>2848</v>
      </c>
      <c r="H132" s="93">
        <v>626</v>
      </c>
      <c r="I132" s="93" t="s">
        <v>92</v>
      </c>
      <c r="J132" s="94">
        <f t="shared" si="21"/>
        <v>0.17</v>
      </c>
      <c r="K132" s="95">
        <f t="shared" si="22"/>
        <v>28.282025819265144</v>
      </c>
      <c r="L132" s="95">
        <f t="shared" si="23"/>
        <v>0.71841441441441445</v>
      </c>
      <c r="M132" s="96">
        <f t="shared" si="24"/>
        <v>106.42</v>
      </c>
      <c r="N132" s="96">
        <f t="shared" si="25"/>
        <v>2954.42</v>
      </c>
      <c r="O132" s="97">
        <f t="shared" si="26"/>
        <v>29.338828202581926</v>
      </c>
      <c r="P132" s="97">
        <f t="shared" si="27"/>
        <v>0.74525909909909915</v>
      </c>
      <c r="R132" s="92"/>
      <c r="S132" s="95">
        <f t="shared" si="28"/>
        <v>29.400993048659384</v>
      </c>
    </row>
    <row r="133" spans="1:19" ht="13.15" x14ac:dyDescent="0.25">
      <c r="A133" s="60" t="s">
        <v>134</v>
      </c>
      <c r="B133" s="60" t="s">
        <v>16</v>
      </c>
      <c r="C133" s="60" t="s">
        <v>6</v>
      </c>
      <c r="D133" s="60" t="s">
        <v>90</v>
      </c>
      <c r="E133" s="89">
        <v>40422</v>
      </c>
      <c r="F133" s="61">
        <v>40428</v>
      </c>
      <c r="G133" s="92">
        <v>4263</v>
      </c>
      <c r="H133" s="93">
        <v>1823</v>
      </c>
      <c r="I133" s="93" t="s">
        <v>92</v>
      </c>
      <c r="J133" s="94">
        <f t="shared" si="21"/>
        <v>0.17</v>
      </c>
      <c r="K133" s="95">
        <f t="shared" si="22"/>
        <v>42.333664349553125</v>
      </c>
      <c r="L133" s="95">
        <f t="shared" si="23"/>
        <v>1.0753513513513513</v>
      </c>
      <c r="M133" s="96">
        <f t="shared" si="24"/>
        <v>309.91000000000003</v>
      </c>
      <c r="N133" s="96">
        <f t="shared" si="25"/>
        <v>4572.91</v>
      </c>
      <c r="O133" s="97">
        <f t="shared" si="26"/>
        <v>45.411221449851041</v>
      </c>
      <c r="P133" s="97">
        <f t="shared" si="27"/>
        <v>1.1535268468468469</v>
      </c>
      <c r="R133" s="92"/>
      <c r="S133" s="95">
        <f t="shared" si="28"/>
        <v>45.592254220456802</v>
      </c>
    </row>
    <row r="134" spans="1:19" ht="13.15" x14ac:dyDescent="0.25">
      <c r="A134" s="60" t="s">
        <v>22</v>
      </c>
      <c r="B134" s="60" t="s">
        <v>23</v>
      </c>
      <c r="C134" s="60" t="s">
        <v>7</v>
      </c>
      <c r="D134" s="60" t="s">
        <v>90</v>
      </c>
      <c r="E134" s="89">
        <v>40422</v>
      </c>
      <c r="F134" s="61">
        <v>40428</v>
      </c>
      <c r="G134" s="92">
        <v>3181</v>
      </c>
      <c r="H134" s="93">
        <v>1295</v>
      </c>
      <c r="I134" s="93" t="s">
        <v>95</v>
      </c>
      <c r="J134" s="94">
        <f t="shared" si="21"/>
        <v>0.1208</v>
      </c>
      <c r="K134" s="95">
        <f t="shared" si="22"/>
        <v>31.588877855014896</v>
      </c>
      <c r="L134" s="95">
        <f t="shared" si="23"/>
        <v>0.85972972972972972</v>
      </c>
      <c r="M134" s="96">
        <f t="shared" si="24"/>
        <v>156.43600000000001</v>
      </c>
      <c r="N134" s="96">
        <f t="shared" si="25"/>
        <v>3337.4360000000001</v>
      </c>
      <c r="O134" s="97">
        <f t="shared" si="26"/>
        <v>33.142363455809338</v>
      </c>
      <c r="P134" s="97">
        <f t="shared" si="27"/>
        <v>0.90200972972972981</v>
      </c>
      <c r="R134" s="92"/>
      <c r="S134" s="95">
        <f t="shared" si="28"/>
        <v>32.197471036080771</v>
      </c>
    </row>
    <row r="135" spans="1:19" ht="13.15" x14ac:dyDescent="0.25">
      <c r="A135" s="60" t="s">
        <v>22</v>
      </c>
      <c r="B135" s="60" t="s">
        <v>14</v>
      </c>
      <c r="C135" s="60" t="s">
        <v>24</v>
      </c>
      <c r="D135" s="60" t="s">
        <v>90</v>
      </c>
      <c r="E135" s="89">
        <v>40422</v>
      </c>
      <c r="F135" s="61">
        <v>40428</v>
      </c>
      <c r="G135" s="92">
        <v>2748</v>
      </c>
      <c r="H135" s="93">
        <v>615</v>
      </c>
      <c r="I135" s="93" t="s">
        <v>94</v>
      </c>
      <c r="J135" s="94">
        <f t="shared" si="21"/>
        <v>0.23</v>
      </c>
      <c r="K135" s="95">
        <f t="shared" si="22"/>
        <v>27.288977159880833</v>
      </c>
      <c r="L135" s="95">
        <f t="shared" si="23"/>
        <v>0.74270270270270267</v>
      </c>
      <c r="M135" s="96">
        <f t="shared" si="24"/>
        <v>141.45000000000002</v>
      </c>
      <c r="N135" s="96">
        <f t="shared" si="25"/>
        <v>2889.45</v>
      </c>
      <c r="O135" s="97">
        <f t="shared" si="26"/>
        <v>28.693644488579938</v>
      </c>
      <c r="P135" s="97">
        <f t="shared" si="27"/>
        <v>0.78093243243243238</v>
      </c>
      <c r="R135" s="92"/>
      <c r="S135" s="95">
        <f t="shared" si="28"/>
        <v>28.795431976166828</v>
      </c>
    </row>
    <row r="136" spans="1:19" ht="13.15" x14ac:dyDescent="0.25">
      <c r="A136" s="60" t="s">
        <v>22</v>
      </c>
      <c r="B136" s="60" t="s">
        <v>18</v>
      </c>
      <c r="C136" s="60" t="s">
        <v>15</v>
      </c>
      <c r="D136" s="60" t="s">
        <v>90</v>
      </c>
      <c r="E136" s="89">
        <v>40422</v>
      </c>
      <c r="F136" s="61">
        <v>40428</v>
      </c>
      <c r="G136" s="92">
        <v>3540</v>
      </c>
      <c r="H136" s="93">
        <v>872</v>
      </c>
      <c r="I136" s="93" t="s">
        <v>94</v>
      </c>
      <c r="J136" s="94">
        <f t="shared" si="21"/>
        <v>0.23</v>
      </c>
      <c r="K136" s="95">
        <f t="shared" si="22"/>
        <v>35.153922542204569</v>
      </c>
      <c r="L136" s="95">
        <f t="shared" si="23"/>
        <v>0.95675675675675675</v>
      </c>
      <c r="M136" s="96">
        <f t="shared" si="24"/>
        <v>200.56</v>
      </c>
      <c r="N136" s="96">
        <f t="shared" si="25"/>
        <v>3740.56</v>
      </c>
      <c r="O136" s="97">
        <f t="shared" si="26"/>
        <v>37.145580933465737</v>
      </c>
      <c r="P136" s="97">
        <f t="shared" si="27"/>
        <v>1.0109621621621621</v>
      </c>
      <c r="R136" s="92"/>
      <c r="S136" s="95">
        <f t="shared" si="28"/>
        <v>37.289904005296258</v>
      </c>
    </row>
    <row r="137" spans="1:19" ht="13.15" x14ac:dyDescent="0.25">
      <c r="A137" s="60" t="s">
        <v>22</v>
      </c>
      <c r="B137" s="60" t="s">
        <v>18</v>
      </c>
      <c r="C137" s="60" t="s">
        <v>24</v>
      </c>
      <c r="D137" s="60" t="s">
        <v>90</v>
      </c>
      <c r="E137" s="89">
        <v>40422</v>
      </c>
      <c r="F137" s="61">
        <v>40428</v>
      </c>
      <c r="G137" s="92">
        <v>2443</v>
      </c>
      <c r="H137" s="93">
        <v>417</v>
      </c>
      <c r="I137" s="93" t="s">
        <v>94</v>
      </c>
      <c r="J137" s="94">
        <f t="shared" si="21"/>
        <v>0.23</v>
      </c>
      <c r="K137" s="95">
        <f t="shared" si="22"/>
        <v>24.260178748758687</v>
      </c>
      <c r="L137" s="95">
        <f t="shared" si="23"/>
        <v>0.6602702702702703</v>
      </c>
      <c r="M137" s="96">
        <f t="shared" si="24"/>
        <v>95.910000000000011</v>
      </c>
      <c r="N137" s="96">
        <f t="shared" si="25"/>
        <v>2538.91</v>
      </c>
      <c r="O137" s="97">
        <f t="shared" si="26"/>
        <v>25.212611717974177</v>
      </c>
      <c r="P137" s="97">
        <f t="shared" si="27"/>
        <v>0.68619189189189189</v>
      </c>
      <c r="R137" s="92"/>
      <c r="S137" s="95">
        <f t="shared" si="28"/>
        <v>25.281628599801383</v>
      </c>
    </row>
    <row r="138" spans="1:19" ht="13.15" x14ac:dyDescent="0.25">
      <c r="A138" s="60" t="s">
        <v>22</v>
      </c>
      <c r="B138" s="60" t="s">
        <v>13</v>
      </c>
      <c r="C138" s="60" t="s">
        <v>7</v>
      </c>
      <c r="D138" s="60" t="s">
        <v>90</v>
      </c>
      <c r="E138" s="89">
        <v>40422</v>
      </c>
      <c r="F138" s="61">
        <v>40428</v>
      </c>
      <c r="G138" s="92">
        <v>3038</v>
      </c>
      <c r="H138" s="93">
        <v>1006</v>
      </c>
      <c r="I138" s="93" t="s">
        <v>92</v>
      </c>
      <c r="J138" s="94">
        <f t="shared" si="21"/>
        <v>0.17</v>
      </c>
      <c r="K138" s="95">
        <f t="shared" si="22"/>
        <v>30.168818272095333</v>
      </c>
      <c r="L138" s="95">
        <f t="shared" si="23"/>
        <v>0.82108108108108113</v>
      </c>
      <c r="M138" s="96">
        <f t="shared" si="24"/>
        <v>171.02</v>
      </c>
      <c r="N138" s="96">
        <f t="shared" si="25"/>
        <v>3209.02</v>
      </c>
      <c r="O138" s="97">
        <f t="shared" si="26"/>
        <v>31.867130089374378</v>
      </c>
      <c r="P138" s="97">
        <f t="shared" si="27"/>
        <v>0.86730270270270271</v>
      </c>
      <c r="R138" s="92"/>
      <c r="S138" s="95">
        <f t="shared" si="28"/>
        <v>31.967030784508438</v>
      </c>
    </row>
    <row r="139" spans="1:19" ht="13.15" x14ac:dyDescent="0.25">
      <c r="A139" s="60" t="s">
        <v>1</v>
      </c>
      <c r="B139" s="60" t="s">
        <v>25</v>
      </c>
      <c r="C139" s="60" t="s">
        <v>26</v>
      </c>
      <c r="D139" s="60" t="s">
        <v>91</v>
      </c>
      <c r="E139" s="89">
        <v>40422</v>
      </c>
      <c r="F139" s="61">
        <v>40428</v>
      </c>
      <c r="G139" s="92">
        <v>2868</v>
      </c>
      <c r="H139" s="93">
        <v>880</v>
      </c>
      <c r="I139" s="93" t="s">
        <v>93</v>
      </c>
      <c r="J139" s="94">
        <f t="shared" si="21"/>
        <v>0.42</v>
      </c>
      <c r="K139" s="95">
        <f t="shared" si="22"/>
        <v>28.480635551142004</v>
      </c>
      <c r="L139" s="95">
        <f t="shared" si="23"/>
        <v>0.7751351351351351</v>
      </c>
      <c r="M139" s="96">
        <f t="shared" si="24"/>
        <v>369.59999999999997</v>
      </c>
      <c r="N139" s="96">
        <f t="shared" si="25"/>
        <v>3237.6</v>
      </c>
      <c r="O139" s="97">
        <f t="shared" si="26"/>
        <v>32.15094339622641</v>
      </c>
      <c r="P139" s="97">
        <f t="shared" si="27"/>
        <v>0.87502702702702695</v>
      </c>
      <c r="R139" s="92"/>
      <c r="S139" s="95">
        <f t="shared" si="28"/>
        <v>31.972194637537239</v>
      </c>
    </row>
    <row r="140" spans="1:19" ht="13.15" x14ac:dyDescent="0.25">
      <c r="A140" s="60" t="s">
        <v>1</v>
      </c>
      <c r="B140" s="60" t="s">
        <v>2</v>
      </c>
      <c r="C140" s="60" t="s">
        <v>9</v>
      </c>
      <c r="D140" s="60" t="s">
        <v>91</v>
      </c>
      <c r="E140" s="89">
        <v>40422</v>
      </c>
      <c r="F140" s="61">
        <v>40428</v>
      </c>
      <c r="G140" s="92">
        <v>2867</v>
      </c>
      <c r="H140" s="93">
        <v>685</v>
      </c>
      <c r="I140" s="93" t="s">
        <v>93</v>
      </c>
      <c r="J140" s="94">
        <f t="shared" si="21"/>
        <v>0.42</v>
      </c>
      <c r="K140" s="95">
        <f t="shared" si="22"/>
        <v>28.470705064548163</v>
      </c>
      <c r="L140" s="95">
        <f t="shared" si="23"/>
        <v>0.77486486486486483</v>
      </c>
      <c r="M140" s="96">
        <f t="shared" si="24"/>
        <v>287.7</v>
      </c>
      <c r="N140" s="96">
        <f t="shared" si="25"/>
        <v>3154.7</v>
      </c>
      <c r="O140" s="97">
        <f t="shared" si="26"/>
        <v>31.327706057596821</v>
      </c>
      <c r="P140" s="97">
        <f t="shared" si="27"/>
        <v>0.85262162162162158</v>
      </c>
      <c r="R140" s="92"/>
      <c r="S140" s="95">
        <f t="shared" si="28"/>
        <v>31.441079112876526</v>
      </c>
    </row>
    <row r="141" spans="1:19" ht="13.15" x14ac:dyDescent="0.25">
      <c r="A141" s="60" t="s">
        <v>1</v>
      </c>
      <c r="B141" s="60" t="s">
        <v>27</v>
      </c>
      <c r="C141" s="60" t="s">
        <v>28</v>
      </c>
      <c r="D141" s="60" t="s">
        <v>91</v>
      </c>
      <c r="E141" s="89">
        <v>40422</v>
      </c>
      <c r="F141" s="61">
        <v>40428</v>
      </c>
      <c r="G141" s="92">
        <v>3811</v>
      </c>
      <c r="H141" s="93">
        <v>812</v>
      </c>
      <c r="I141" s="93" t="s">
        <v>94</v>
      </c>
      <c r="J141" s="94">
        <f t="shared" si="21"/>
        <v>0.23</v>
      </c>
      <c r="K141" s="95">
        <f t="shared" si="22"/>
        <v>37.845084409136049</v>
      </c>
      <c r="L141" s="95">
        <f t="shared" si="23"/>
        <v>1.03</v>
      </c>
      <c r="M141" s="96">
        <f t="shared" si="24"/>
        <v>186.76000000000002</v>
      </c>
      <c r="N141" s="96">
        <f t="shared" si="25"/>
        <v>3997.76</v>
      </c>
      <c r="O141" s="97">
        <f t="shared" si="26"/>
        <v>39.699702085402187</v>
      </c>
      <c r="P141" s="97">
        <f t="shared" si="27"/>
        <v>1.0804756756756757</v>
      </c>
      <c r="R141" s="92"/>
      <c r="S141" s="95">
        <f t="shared" si="28"/>
        <v>39.834094670638855</v>
      </c>
    </row>
    <row r="142" spans="1:19" ht="13.15" x14ac:dyDescent="0.25">
      <c r="A142" s="60" t="s">
        <v>1</v>
      </c>
      <c r="B142" s="60" t="s">
        <v>4</v>
      </c>
      <c r="C142" s="60" t="s">
        <v>26</v>
      </c>
      <c r="D142" s="60" t="s">
        <v>91</v>
      </c>
      <c r="E142" s="89">
        <v>40422</v>
      </c>
      <c r="F142" s="61">
        <v>40428</v>
      </c>
      <c r="G142" s="92">
        <v>4131</v>
      </c>
      <c r="H142" s="93">
        <v>1520</v>
      </c>
      <c r="I142" s="93" t="s">
        <v>93</v>
      </c>
      <c r="J142" s="94">
        <f t="shared" si="21"/>
        <v>0.42</v>
      </c>
      <c r="K142" s="95">
        <f t="shared" si="22"/>
        <v>41.022840119165835</v>
      </c>
      <c r="L142" s="95">
        <f t="shared" si="23"/>
        <v>1.1164864864864865</v>
      </c>
      <c r="M142" s="96">
        <f t="shared" si="24"/>
        <v>638.4</v>
      </c>
      <c r="N142" s="96">
        <f t="shared" si="25"/>
        <v>4769.3999999999996</v>
      </c>
      <c r="O142" s="97">
        <f t="shared" si="26"/>
        <v>47.362462760675271</v>
      </c>
      <c r="P142" s="97">
        <f t="shared" si="27"/>
        <v>1.289027027027027</v>
      </c>
      <c r="R142" s="92"/>
      <c r="S142" s="95">
        <f t="shared" si="28"/>
        <v>47.289639192320429</v>
      </c>
    </row>
    <row r="143" spans="1:19" ht="13.15" x14ac:dyDescent="0.25">
      <c r="A143" s="60" t="s">
        <v>1</v>
      </c>
      <c r="B143" s="60" t="s">
        <v>4</v>
      </c>
      <c r="C143" s="60" t="s">
        <v>9</v>
      </c>
      <c r="D143" s="60" t="s">
        <v>91</v>
      </c>
      <c r="E143" s="89">
        <v>40422</v>
      </c>
      <c r="F143" s="61">
        <v>40428</v>
      </c>
      <c r="G143" s="92">
        <v>5046</v>
      </c>
      <c r="H143" s="93">
        <v>1583</v>
      </c>
      <c r="I143" s="93" t="s">
        <v>93</v>
      </c>
      <c r="J143" s="94">
        <f t="shared" si="21"/>
        <v>0.42</v>
      </c>
      <c r="K143" s="95">
        <f t="shared" si="22"/>
        <v>50.109235352532274</v>
      </c>
      <c r="L143" s="95">
        <f t="shared" si="23"/>
        <v>1.3637837837837838</v>
      </c>
      <c r="M143" s="96">
        <f t="shared" si="24"/>
        <v>664.86</v>
      </c>
      <c r="N143" s="96">
        <f t="shared" si="25"/>
        <v>5710.86</v>
      </c>
      <c r="O143" s="97">
        <f t="shared" si="26"/>
        <v>56.711618669314788</v>
      </c>
      <c r="P143" s="97">
        <f t="shared" si="27"/>
        <v>1.5434756756756756</v>
      </c>
      <c r="R143" s="92"/>
      <c r="S143" s="95">
        <f t="shared" si="28"/>
        <v>56.649222111883482</v>
      </c>
    </row>
    <row r="144" spans="1:19" ht="13.15" x14ac:dyDescent="0.25">
      <c r="A144" s="60" t="s">
        <v>1</v>
      </c>
      <c r="B144" s="60" t="s">
        <v>10</v>
      </c>
      <c r="C144" s="60" t="s">
        <v>26</v>
      </c>
      <c r="D144" s="60" t="s">
        <v>91</v>
      </c>
      <c r="E144" s="89">
        <v>40422</v>
      </c>
      <c r="F144" s="61">
        <v>40428</v>
      </c>
      <c r="G144" s="92">
        <v>4510</v>
      </c>
      <c r="H144" s="93">
        <v>1599</v>
      </c>
      <c r="I144" s="93" t="s">
        <v>92</v>
      </c>
      <c r="J144" s="94">
        <f t="shared" si="21"/>
        <v>0.17</v>
      </c>
      <c r="K144" s="95">
        <f t="shared" si="22"/>
        <v>44.786494538232375</v>
      </c>
      <c r="L144" s="95">
        <f t="shared" si="23"/>
        <v>1.2189189189189189</v>
      </c>
      <c r="M144" s="96">
        <f t="shared" si="24"/>
        <v>271.83000000000004</v>
      </c>
      <c r="N144" s="96">
        <f t="shared" si="25"/>
        <v>4781.83</v>
      </c>
      <c r="O144" s="97">
        <f t="shared" si="26"/>
        <v>47.485898709036739</v>
      </c>
      <c r="P144" s="97">
        <f t="shared" si="27"/>
        <v>1.2923864864864865</v>
      </c>
      <c r="R144" s="92"/>
      <c r="S144" s="95">
        <f t="shared" si="28"/>
        <v>47.64468718967229</v>
      </c>
    </row>
    <row r="145" spans="1:19" ht="13.15" x14ac:dyDescent="0.25">
      <c r="A145" s="60" t="s">
        <v>134</v>
      </c>
      <c r="B145" s="60" t="s">
        <v>23</v>
      </c>
      <c r="C145" s="60" t="s">
        <v>26</v>
      </c>
      <c r="D145" s="60" t="s">
        <v>91</v>
      </c>
      <c r="E145" s="89">
        <v>40422</v>
      </c>
      <c r="F145" s="61">
        <v>40428</v>
      </c>
      <c r="G145" s="92">
        <v>3920</v>
      </c>
      <c r="H145" s="93">
        <v>1851</v>
      </c>
      <c r="I145" s="93" t="s">
        <v>93</v>
      </c>
      <c r="J145" s="94">
        <f t="shared" si="21"/>
        <v>0.42</v>
      </c>
      <c r="K145" s="95">
        <f t="shared" si="22"/>
        <v>38.927507447864947</v>
      </c>
      <c r="L145" s="95">
        <f t="shared" si="23"/>
        <v>0.98882882882882883</v>
      </c>
      <c r="M145" s="96">
        <f t="shared" si="24"/>
        <v>777.42</v>
      </c>
      <c r="N145" s="96">
        <f t="shared" si="25"/>
        <v>4697.42</v>
      </c>
      <c r="O145" s="97">
        <f t="shared" si="26"/>
        <v>46.647666335650449</v>
      </c>
      <c r="P145" s="97">
        <f t="shared" si="27"/>
        <v>1.1849347747747747</v>
      </c>
      <c r="R145" s="92"/>
      <c r="S145" s="95">
        <f t="shared" si="28"/>
        <v>46.954021847070514</v>
      </c>
    </row>
    <row r="146" spans="1:19" ht="13.15" x14ac:dyDescent="0.25">
      <c r="A146" s="60" t="s">
        <v>134</v>
      </c>
      <c r="B146" s="60" t="s">
        <v>8</v>
      </c>
      <c r="C146" s="60" t="s">
        <v>29</v>
      </c>
      <c r="D146" s="60" t="s">
        <v>91</v>
      </c>
      <c r="E146" s="89">
        <v>40422</v>
      </c>
      <c r="F146" s="61">
        <v>40428</v>
      </c>
      <c r="G146" s="92">
        <v>3920</v>
      </c>
      <c r="H146" s="93">
        <v>1695</v>
      </c>
      <c r="I146" s="93" t="s">
        <v>93</v>
      </c>
      <c r="J146" s="94">
        <f t="shared" si="21"/>
        <v>0.42</v>
      </c>
      <c r="K146" s="95">
        <f t="shared" si="22"/>
        <v>38.927507447864947</v>
      </c>
      <c r="L146" s="95">
        <f t="shared" si="23"/>
        <v>0.98882882882882883</v>
      </c>
      <c r="M146" s="96">
        <f t="shared" si="24"/>
        <v>711.9</v>
      </c>
      <c r="N146" s="96">
        <f t="shared" si="25"/>
        <v>4631.8999999999996</v>
      </c>
      <c r="O146" s="97">
        <f t="shared" si="26"/>
        <v>45.997020854021841</v>
      </c>
      <c r="P146" s="97">
        <f t="shared" si="27"/>
        <v>1.1684072072072071</v>
      </c>
      <c r="R146" s="92"/>
      <c r="S146" s="95">
        <f t="shared" si="28"/>
        <v>46.277557100297912</v>
      </c>
    </row>
    <row r="147" spans="1:19" ht="13.15" x14ac:dyDescent="0.25">
      <c r="A147" s="60" t="s">
        <v>134</v>
      </c>
      <c r="B147" s="60" t="s">
        <v>13</v>
      </c>
      <c r="C147" s="60" t="s">
        <v>7</v>
      </c>
      <c r="D147" s="60" t="s">
        <v>91</v>
      </c>
      <c r="E147" s="89">
        <v>40422</v>
      </c>
      <c r="F147" s="61">
        <v>40428</v>
      </c>
      <c r="G147" s="92">
        <v>2677</v>
      </c>
      <c r="H147" s="93">
        <v>1006</v>
      </c>
      <c r="I147" s="93" t="s">
        <v>92</v>
      </c>
      <c r="J147" s="94">
        <f t="shared" si="21"/>
        <v>0.17</v>
      </c>
      <c r="K147" s="95">
        <f t="shared" si="22"/>
        <v>26.583912611717974</v>
      </c>
      <c r="L147" s="95">
        <f t="shared" si="23"/>
        <v>0.67527927927927933</v>
      </c>
      <c r="M147" s="96">
        <f t="shared" si="24"/>
        <v>171.02</v>
      </c>
      <c r="N147" s="96">
        <f t="shared" si="25"/>
        <v>2848.02</v>
      </c>
      <c r="O147" s="97">
        <f t="shared" si="26"/>
        <v>28.282224428997019</v>
      </c>
      <c r="P147" s="97">
        <f t="shared" si="27"/>
        <v>0.71841945945945951</v>
      </c>
      <c r="R147" s="92"/>
      <c r="S147" s="95">
        <f t="shared" si="28"/>
        <v>28.382125124131079</v>
      </c>
    </row>
    <row r="148" spans="1:19" ht="13.15" x14ac:dyDescent="0.25">
      <c r="A148" s="60" t="s">
        <v>134</v>
      </c>
      <c r="B148" s="60" t="s">
        <v>30</v>
      </c>
      <c r="C148" s="60" t="s">
        <v>9</v>
      </c>
      <c r="D148" s="60" t="s">
        <v>91</v>
      </c>
      <c r="E148" s="89">
        <v>40422</v>
      </c>
      <c r="F148" s="61">
        <v>40428</v>
      </c>
      <c r="G148" s="92">
        <v>2800</v>
      </c>
      <c r="H148" s="93">
        <v>988</v>
      </c>
      <c r="I148" s="93" t="s">
        <v>93</v>
      </c>
      <c r="J148" s="94">
        <f t="shared" si="21"/>
        <v>0.42</v>
      </c>
      <c r="K148" s="95">
        <f t="shared" si="22"/>
        <v>27.805362462760673</v>
      </c>
      <c r="L148" s="95">
        <f t="shared" si="23"/>
        <v>0.70630630630630631</v>
      </c>
      <c r="M148" s="96">
        <f t="shared" si="24"/>
        <v>414.96</v>
      </c>
      <c r="N148" s="96">
        <f t="shared" si="25"/>
        <v>3214.96</v>
      </c>
      <c r="O148" s="97">
        <f t="shared" si="26"/>
        <v>31.926117179741805</v>
      </c>
      <c r="P148" s="97">
        <f t="shared" si="27"/>
        <v>0.81098090090090091</v>
      </c>
      <c r="R148" s="92"/>
      <c r="S148" s="95">
        <f t="shared" si="28"/>
        <v>32.089639192320426</v>
      </c>
    </row>
    <row r="149" spans="1:19" ht="13.15" x14ac:dyDescent="0.25">
      <c r="A149" s="60" t="s">
        <v>134</v>
      </c>
      <c r="B149" s="60" t="s">
        <v>16</v>
      </c>
      <c r="C149" s="60" t="s">
        <v>11</v>
      </c>
      <c r="D149" s="60" t="s">
        <v>91</v>
      </c>
      <c r="E149" s="89">
        <v>40422</v>
      </c>
      <c r="F149" s="61">
        <v>40428</v>
      </c>
      <c r="G149" s="92">
        <v>3230</v>
      </c>
      <c r="H149" s="93">
        <v>787</v>
      </c>
      <c r="I149" s="93" t="s">
        <v>92</v>
      </c>
      <c r="J149" s="94">
        <f t="shared" si="21"/>
        <v>0.17</v>
      </c>
      <c r="K149" s="95">
        <f t="shared" si="22"/>
        <v>32.075471698113205</v>
      </c>
      <c r="L149" s="95">
        <f t="shared" si="23"/>
        <v>0.81477477477477478</v>
      </c>
      <c r="M149" s="96">
        <f t="shared" si="24"/>
        <v>133.79000000000002</v>
      </c>
      <c r="N149" s="96">
        <f t="shared" si="25"/>
        <v>3363.79</v>
      </c>
      <c r="O149" s="97">
        <f t="shared" si="26"/>
        <v>33.404071499503473</v>
      </c>
      <c r="P149" s="97">
        <f t="shared" si="27"/>
        <v>0.84852360360360357</v>
      </c>
      <c r="R149" s="92"/>
      <c r="S149" s="95">
        <f t="shared" si="28"/>
        <v>33.482224428997021</v>
      </c>
    </row>
    <row r="150" spans="1:19" ht="13.15" x14ac:dyDescent="0.25">
      <c r="A150" s="60" t="s">
        <v>134</v>
      </c>
      <c r="B150" s="60" t="s">
        <v>23</v>
      </c>
      <c r="C150" s="60" t="s">
        <v>29</v>
      </c>
      <c r="D150" s="60" t="s">
        <v>91</v>
      </c>
      <c r="E150" s="89">
        <v>40422</v>
      </c>
      <c r="F150" s="61">
        <v>40428</v>
      </c>
      <c r="G150" s="92">
        <v>3920</v>
      </c>
      <c r="H150" s="93">
        <v>1836</v>
      </c>
      <c r="I150" s="93" t="s">
        <v>93</v>
      </c>
      <c r="J150" s="94">
        <f t="shared" si="21"/>
        <v>0.42</v>
      </c>
      <c r="K150" s="95">
        <f t="shared" si="22"/>
        <v>38.927507447864947</v>
      </c>
      <c r="L150" s="95">
        <f t="shared" si="23"/>
        <v>0.98882882882882883</v>
      </c>
      <c r="M150" s="96">
        <f t="shared" si="24"/>
        <v>771.12</v>
      </c>
      <c r="N150" s="96">
        <f t="shared" si="25"/>
        <v>4691.12</v>
      </c>
      <c r="O150" s="97">
        <f t="shared" si="26"/>
        <v>46.585104270109234</v>
      </c>
      <c r="P150" s="97">
        <f t="shared" si="27"/>
        <v>1.1833455855855857</v>
      </c>
      <c r="R150" s="92"/>
      <c r="S150" s="95">
        <f t="shared" si="28"/>
        <v>46.888977159880831</v>
      </c>
    </row>
    <row r="151" spans="1:19" ht="13.15" x14ac:dyDescent="0.25">
      <c r="A151" s="60" t="s">
        <v>134</v>
      </c>
      <c r="B151" s="60" t="s">
        <v>31</v>
      </c>
      <c r="C151" s="60" t="s">
        <v>32</v>
      </c>
      <c r="D151" s="60" t="s">
        <v>91</v>
      </c>
      <c r="E151" s="89">
        <v>40422</v>
      </c>
      <c r="F151" s="61">
        <v>40428</v>
      </c>
      <c r="G151" s="92">
        <v>3400</v>
      </c>
      <c r="H151" s="93">
        <v>1899</v>
      </c>
      <c r="I151" s="93" t="s">
        <v>93</v>
      </c>
      <c r="J151" s="94">
        <f t="shared" si="21"/>
        <v>0.42</v>
      </c>
      <c r="K151" s="95">
        <f t="shared" si="22"/>
        <v>33.763654419066533</v>
      </c>
      <c r="L151" s="95">
        <f t="shared" si="23"/>
        <v>0.85765765765765767</v>
      </c>
      <c r="M151" s="96">
        <f t="shared" si="24"/>
        <v>797.57999999999993</v>
      </c>
      <c r="N151" s="96">
        <f t="shared" si="25"/>
        <v>4197.58</v>
      </c>
      <c r="O151" s="97">
        <f t="shared" si="26"/>
        <v>41.684011916583913</v>
      </c>
      <c r="P151" s="97">
        <f t="shared" si="27"/>
        <v>1.058849009009009</v>
      </c>
      <c r="R151" s="92"/>
      <c r="S151" s="95">
        <f t="shared" si="28"/>
        <v>41.998311817279045</v>
      </c>
    </row>
    <row r="152" spans="1:19" ht="13.15" x14ac:dyDescent="0.25">
      <c r="A152" s="60" t="s">
        <v>22</v>
      </c>
      <c r="B152" s="60" t="s">
        <v>8</v>
      </c>
      <c r="C152" s="60" t="s">
        <v>29</v>
      </c>
      <c r="D152" s="60" t="s">
        <v>91</v>
      </c>
      <c r="E152" s="89">
        <v>40422</v>
      </c>
      <c r="F152" s="61">
        <v>40428</v>
      </c>
      <c r="G152" s="92">
        <v>4320</v>
      </c>
      <c r="H152" s="93">
        <v>1695</v>
      </c>
      <c r="I152" s="93" t="s">
        <v>93</v>
      </c>
      <c r="J152" s="94">
        <f t="shared" si="21"/>
        <v>0.42</v>
      </c>
      <c r="K152" s="95">
        <f t="shared" si="22"/>
        <v>42.899702085402183</v>
      </c>
      <c r="L152" s="95">
        <f t="shared" si="23"/>
        <v>1.1675675675675676</v>
      </c>
      <c r="M152" s="96">
        <f t="shared" si="24"/>
        <v>711.9</v>
      </c>
      <c r="N152" s="96">
        <f t="shared" si="25"/>
        <v>5031.8999999999996</v>
      </c>
      <c r="O152" s="97">
        <f t="shared" si="26"/>
        <v>49.969215491559083</v>
      </c>
      <c r="P152" s="97">
        <f t="shared" si="27"/>
        <v>1.3599729729729728</v>
      </c>
      <c r="R152" s="92"/>
      <c r="S152" s="95">
        <f t="shared" si="28"/>
        <v>49.587719298245617</v>
      </c>
    </row>
    <row r="153" spans="1:19" ht="13.15" x14ac:dyDescent="0.25">
      <c r="A153" s="60" t="s">
        <v>22</v>
      </c>
      <c r="B153" s="60" t="s">
        <v>23</v>
      </c>
      <c r="C153" s="60" t="s">
        <v>26</v>
      </c>
      <c r="D153" s="60" t="s">
        <v>91</v>
      </c>
      <c r="E153" s="89">
        <v>40422</v>
      </c>
      <c r="F153" s="61">
        <v>40428</v>
      </c>
      <c r="G153" s="92">
        <v>4270</v>
      </c>
      <c r="H153" s="93">
        <v>1851</v>
      </c>
      <c r="I153" s="93" t="s">
        <v>93</v>
      </c>
      <c r="J153" s="94">
        <f t="shared" si="21"/>
        <v>0.42</v>
      </c>
      <c r="K153" s="95">
        <f t="shared" si="22"/>
        <v>42.403177755710026</v>
      </c>
      <c r="L153" s="95">
        <f t="shared" si="23"/>
        <v>1.154054054054054</v>
      </c>
      <c r="M153" s="96">
        <f t="shared" si="24"/>
        <v>777.42</v>
      </c>
      <c r="N153" s="96">
        <f t="shared" si="25"/>
        <v>5047.42</v>
      </c>
      <c r="O153" s="97">
        <f t="shared" si="26"/>
        <v>50.123336643495527</v>
      </c>
      <c r="P153" s="97">
        <f t="shared" si="27"/>
        <v>1.3641675675675675</v>
      </c>
      <c r="R153" s="92"/>
      <c r="S153" s="95">
        <f t="shared" si="28"/>
        <v>49.767659715326054</v>
      </c>
    </row>
    <row r="154" spans="1:19" ht="13.15" x14ac:dyDescent="0.25">
      <c r="A154" s="60" t="s">
        <v>22</v>
      </c>
      <c r="B154" s="60" t="s">
        <v>33</v>
      </c>
      <c r="C154" s="60" t="s">
        <v>29</v>
      </c>
      <c r="D154" s="60" t="s">
        <v>91</v>
      </c>
      <c r="E154" s="89">
        <v>40422</v>
      </c>
      <c r="F154" s="61">
        <v>40428</v>
      </c>
      <c r="G154" s="92">
        <v>4270</v>
      </c>
      <c r="H154" s="93">
        <v>1507</v>
      </c>
      <c r="I154" s="93" t="s">
        <v>93</v>
      </c>
      <c r="J154" s="94">
        <f t="shared" si="21"/>
        <v>0.42</v>
      </c>
      <c r="K154" s="95">
        <f t="shared" si="22"/>
        <v>42.403177755710026</v>
      </c>
      <c r="L154" s="95">
        <f t="shared" si="23"/>
        <v>1.154054054054054</v>
      </c>
      <c r="M154" s="96">
        <f t="shared" si="24"/>
        <v>632.93999999999994</v>
      </c>
      <c r="N154" s="96">
        <f t="shared" si="25"/>
        <v>4902.9399999999996</v>
      </c>
      <c r="O154" s="97">
        <f t="shared" si="26"/>
        <v>48.688579940417078</v>
      </c>
      <c r="P154" s="97">
        <f t="shared" si="27"/>
        <v>1.3251189189189188</v>
      </c>
      <c r="R154" s="92"/>
      <c r="S154" s="95">
        <f t="shared" si="28"/>
        <v>48.275968222442906</v>
      </c>
    </row>
    <row r="155" spans="1:19" ht="13.15" x14ac:dyDescent="0.25">
      <c r="A155" s="60" t="s">
        <v>22</v>
      </c>
      <c r="B155" s="60" t="s">
        <v>31</v>
      </c>
      <c r="C155" s="60" t="s">
        <v>7</v>
      </c>
      <c r="D155" s="60" t="s">
        <v>91</v>
      </c>
      <c r="E155" s="89">
        <v>40422</v>
      </c>
      <c r="F155" s="61">
        <v>40428</v>
      </c>
      <c r="G155" s="92">
        <v>3410</v>
      </c>
      <c r="H155" s="93">
        <v>1160</v>
      </c>
      <c r="I155" s="93" t="s">
        <v>92</v>
      </c>
      <c r="J155" s="94">
        <f t="shared" si="21"/>
        <v>0.17</v>
      </c>
      <c r="K155" s="95">
        <f t="shared" si="22"/>
        <v>33.862959285004962</v>
      </c>
      <c r="L155" s="95">
        <f t="shared" si="23"/>
        <v>0.92162162162162165</v>
      </c>
      <c r="M155" s="96">
        <f t="shared" si="24"/>
        <v>197.20000000000002</v>
      </c>
      <c r="N155" s="96">
        <f t="shared" si="25"/>
        <v>3607.2</v>
      </c>
      <c r="O155" s="97">
        <f t="shared" si="26"/>
        <v>35.821251241310819</v>
      </c>
      <c r="P155" s="97">
        <f t="shared" si="27"/>
        <v>0.97491891891891891</v>
      </c>
      <c r="R155" s="92"/>
      <c r="S155" s="95">
        <f t="shared" si="28"/>
        <v>35.936444885799403</v>
      </c>
    </row>
    <row r="156" spans="1:19" ht="13.15" x14ac:dyDescent="0.25">
      <c r="A156" s="60" t="s">
        <v>22</v>
      </c>
      <c r="B156" s="60" t="s">
        <v>14</v>
      </c>
      <c r="C156" s="60" t="s">
        <v>24</v>
      </c>
      <c r="D156" s="60" t="s">
        <v>91</v>
      </c>
      <c r="E156" s="89">
        <v>40422</v>
      </c>
      <c r="F156" s="61">
        <v>40428</v>
      </c>
      <c r="G156" s="92">
        <v>2366</v>
      </c>
      <c r="H156" s="93">
        <v>615</v>
      </c>
      <c r="I156" s="93" t="s">
        <v>94</v>
      </c>
      <c r="J156" s="94">
        <f t="shared" si="21"/>
        <v>0.23</v>
      </c>
      <c r="K156" s="95">
        <f t="shared" si="22"/>
        <v>23.495531281032768</v>
      </c>
      <c r="L156" s="95">
        <f t="shared" si="23"/>
        <v>0.63945945945945948</v>
      </c>
      <c r="M156" s="96">
        <f t="shared" si="24"/>
        <v>141.45000000000002</v>
      </c>
      <c r="N156" s="96">
        <f t="shared" si="25"/>
        <v>2507.4499999999998</v>
      </c>
      <c r="O156" s="97">
        <f t="shared" si="26"/>
        <v>24.900198609731873</v>
      </c>
      <c r="P156" s="97">
        <f t="shared" si="27"/>
        <v>0.67768918918918919</v>
      </c>
      <c r="R156" s="92"/>
      <c r="S156" s="95">
        <f t="shared" si="28"/>
        <v>25.001986097318767</v>
      </c>
    </row>
    <row r="157" spans="1:19" ht="13.15" x14ac:dyDescent="0.25">
      <c r="A157" s="85" t="s">
        <v>22</v>
      </c>
      <c r="B157" s="85" t="s">
        <v>34</v>
      </c>
      <c r="C157" s="85" t="s">
        <v>26</v>
      </c>
      <c r="D157" s="85" t="s">
        <v>91</v>
      </c>
      <c r="E157" s="91">
        <v>40422</v>
      </c>
      <c r="F157" s="86">
        <v>40428</v>
      </c>
      <c r="G157" s="105">
        <v>4420</v>
      </c>
      <c r="H157" s="107">
        <v>1637</v>
      </c>
      <c r="I157" s="107" t="s">
        <v>92</v>
      </c>
      <c r="J157" s="117">
        <f t="shared" si="21"/>
        <v>0.17</v>
      </c>
      <c r="K157" s="108">
        <f t="shared" si="22"/>
        <v>43.892750744786497</v>
      </c>
      <c r="L157" s="108">
        <f t="shared" si="23"/>
        <v>1.1945945945945946</v>
      </c>
      <c r="M157" s="115">
        <f t="shared" si="24"/>
        <v>278.29000000000002</v>
      </c>
      <c r="N157" s="115">
        <f t="shared" si="25"/>
        <v>4698.29</v>
      </c>
      <c r="O157" s="116">
        <f t="shared" si="26"/>
        <v>46.656305858987089</v>
      </c>
      <c r="P157" s="116">
        <f t="shared" si="27"/>
        <v>1.2698081081081081</v>
      </c>
      <c r="R157" s="92"/>
      <c r="S157" s="95">
        <f t="shared" si="28"/>
        <v>46.15683548493876</v>
      </c>
    </row>
    <row r="158" spans="1:19" ht="13.15" x14ac:dyDescent="0.25">
      <c r="A158" s="45" t="s">
        <v>1</v>
      </c>
      <c r="B158" s="45" t="s">
        <v>2</v>
      </c>
      <c r="C158" s="45" t="s">
        <v>3</v>
      </c>
      <c r="D158" s="45" t="s">
        <v>90</v>
      </c>
      <c r="E158" s="88">
        <v>40455</v>
      </c>
      <c r="F158" s="53">
        <v>40458</v>
      </c>
      <c r="G158" s="92">
        <v>2774</v>
      </c>
      <c r="H158" s="98">
        <v>506</v>
      </c>
      <c r="I158" s="98" t="s">
        <v>92</v>
      </c>
      <c r="J158" s="102">
        <f>IF(I158="BNSF",0.43,IF(I158="CN",0.1265,IF(I158="CSX",0.24,0.18)))</f>
        <v>0.18</v>
      </c>
      <c r="K158" s="103">
        <f t="shared" si="22"/>
        <v>27.547169811320753</v>
      </c>
      <c r="L158" s="103">
        <f t="shared" si="23"/>
        <v>0.74972972972972973</v>
      </c>
      <c r="M158" s="96">
        <f t="shared" si="24"/>
        <v>91.08</v>
      </c>
      <c r="N158" s="96">
        <f t="shared" si="25"/>
        <v>2865.08</v>
      </c>
      <c r="O158" s="97">
        <f t="shared" si="26"/>
        <v>28.451638530287983</v>
      </c>
      <c r="P158" s="97">
        <f t="shared" si="27"/>
        <v>0.77434594594594597</v>
      </c>
      <c r="R158" s="92"/>
    </row>
    <row r="159" spans="1:19" ht="13.15" x14ac:dyDescent="0.25">
      <c r="A159" s="45" t="s">
        <v>1</v>
      </c>
      <c r="B159" s="45" t="s">
        <v>4</v>
      </c>
      <c r="C159" s="45" t="s">
        <v>5</v>
      </c>
      <c r="D159" s="45" t="s">
        <v>90</v>
      </c>
      <c r="E159" s="88">
        <v>40455</v>
      </c>
      <c r="F159" s="53">
        <v>40458</v>
      </c>
      <c r="G159" s="92">
        <f>SUM(-698+3261)</f>
        <v>2563</v>
      </c>
      <c r="H159" s="98">
        <v>298</v>
      </c>
      <c r="I159" s="98" t="s">
        <v>93</v>
      </c>
      <c r="J159" s="102">
        <f t="shared" ref="J159:J195" si="29">IF(I159="BNSF",0.43,IF(I159="CN",0.1265,IF(I159="CSX",0.24,0.18)))</f>
        <v>0.43</v>
      </c>
      <c r="K159" s="103">
        <f t="shared" ref="K159:K195" si="30">G159/100.7</f>
        <v>25.451837140019862</v>
      </c>
      <c r="L159" s="103">
        <f t="shared" ref="L159:L195" si="31">IF(A159="corn",G159/(111*2000/56),G159/(111*2000/60))</f>
        <v>0.69270270270270273</v>
      </c>
      <c r="M159" s="96">
        <f t="shared" ref="M159:M195" si="32">H159*J159</f>
        <v>128.13999999999999</v>
      </c>
      <c r="N159" s="96">
        <f t="shared" ref="N159:N195" si="33">G159+M159</f>
        <v>2691.14</v>
      </c>
      <c r="O159" s="97">
        <f t="shared" ref="O159:O195" si="34">N159/100.7</f>
        <v>26.724329692154914</v>
      </c>
      <c r="P159" s="97">
        <f t="shared" ref="P159:P195" si="35">IF(A159="corn",N159/(111*2000/56),N159/(111*2000/60))</f>
        <v>0.72733513513513515</v>
      </c>
      <c r="R159" s="92"/>
    </row>
    <row r="160" spans="1:19" ht="13.15" x14ac:dyDescent="0.25">
      <c r="A160" s="45" t="s">
        <v>1</v>
      </c>
      <c r="B160" s="45" t="s">
        <v>2</v>
      </c>
      <c r="C160" s="45" t="s">
        <v>6</v>
      </c>
      <c r="D160" s="45" t="s">
        <v>90</v>
      </c>
      <c r="E160" s="88">
        <v>40455</v>
      </c>
      <c r="F160" s="53">
        <v>40458</v>
      </c>
      <c r="G160" s="92">
        <v>5047</v>
      </c>
      <c r="H160" s="98">
        <v>1530</v>
      </c>
      <c r="I160" s="98" t="s">
        <v>93</v>
      </c>
      <c r="J160" s="102">
        <f t="shared" si="29"/>
        <v>0.43</v>
      </c>
      <c r="K160" s="103">
        <f t="shared" si="30"/>
        <v>50.119165839126119</v>
      </c>
      <c r="L160" s="103">
        <f t="shared" si="31"/>
        <v>1.364054054054054</v>
      </c>
      <c r="M160" s="96">
        <f t="shared" si="32"/>
        <v>657.9</v>
      </c>
      <c r="N160" s="96">
        <f t="shared" si="33"/>
        <v>5704.9</v>
      </c>
      <c r="O160" s="97">
        <f t="shared" si="34"/>
        <v>56.652432969215489</v>
      </c>
      <c r="P160" s="97">
        <f t="shared" si="35"/>
        <v>1.5418648648648647</v>
      </c>
      <c r="R160" s="92"/>
    </row>
    <row r="161" spans="1:18" ht="13.15" x14ac:dyDescent="0.25">
      <c r="A161" s="45" t="s">
        <v>1</v>
      </c>
      <c r="B161" s="45" t="s">
        <v>2</v>
      </c>
      <c r="C161" s="45" t="s">
        <v>7</v>
      </c>
      <c r="D161" s="45" t="s">
        <v>90</v>
      </c>
      <c r="E161" s="88">
        <v>40455</v>
      </c>
      <c r="F161" s="53">
        <v>40458</v>
      </c>
      <c r="G161" s="92">
        <v>3275</v>
      </c>
      <c r="H161" s="98">
        <v>890</v>
      </c>
      <c r="I161" s="98" t="s">
        <v>92</v>
      </c>
      <c r="J161" s="102">
        <f t="shared" si="29"/>
        <v>0.18</v>
      </c>
      <c r="K161" s="103">
        <f t="shared" si="30"/>
        <v>32.522343594836144</v>
      </c>
      <c r="L161" s="103">
        <f t="shared" si="31"/>
        <v>0.88513513513513509</v>
      </c>
      <c r="M161" s="96">
        <f t="shared" si="32"/>
        <v>160.19999999999999</v>
      </c>
      <c r="N161" s="96">
        <f t="shared" si="33"/>
        <v>3435.2</v>
      </c>
      <c r="O161" s="97">
        <f t="shared" si="34"/>
        <v>34.113207547169807</v>
      </c>
      <c r="P161" s="97">
        <f t="shared" si="35"/>
        <v>0.92843243243243234</v>
      </c>
      <c r="R161" s="92"/>
    </row>
    <row r="162" spans="1:18" ht="13.15" x14ac:dyDescent="0.25">
      <c r="A162" s="45" t="s">
        <v>1</v>
      </c>
      <c r="B162" s="45" t="s">
        <v>8</v>
      </c>
      <c r="C162" s="45" t="s">
        <v>9</v>
      </c>
      <c r="D162" s="45" t="s">
        <v>90</v>
      </c>
      <c r="E162" s="88">
        <v>40455</v>
      </c>
      <c r="F162" s="53">
        <v>40458</v>
      </c>
      <c r="G162" s="92">
        <f>SUM(109+4872)</f>
        <v>4981</v>
      </c>
      <c r="H162" s="98">
        <v>1256</v>
      </c>
      <c r="I162" s="98" t="s">
        <v>93</v>
      </c>
      <c r="J162" s="102">
        <f t="shared" si="29"/>
        <v>0.43</v>
      </c>
      <c r="K162" s="103">
        <f t="shared" si="30"/>
        <v>49.46375372393247</v>
      </c>
      <c r="L162" s="103">
        <f t="shared" si="31"/>
        <v>1.3462162162162161</v>
      </c>
      <c r="M162" s="96">
        <f t="shared" si="32"/>
        <v>540.08000000000004</v>
      </c>
      <c r="N162" s="96">
        <f t="shared" si="33"/>
        <v>5521.08</v>
      </c>
      <c r="O162" s="97">
        <f t="shared" si="34"/>
        <v>54.827010923535248</v>
      </c>
      <c r="P162" s="97">
        <f t="shared" si="35"/>
        <v>1.4921837837837837</v>
      </c>
      <c r="R162" s="92"/>
    </row>
    <row r="163" spans="1:18" ht="13.15" x14ac:dyDescent="0.25">
      <c r="A163" s="45" t="s">
        <v>1</v>
      </c>
      <c r="B163" s="45" t="s">
        <v>10</v>
      </c>
      <c r="C163" s="45" t="s">
        <v>9</v>
      </c>
      <c r="D163" s="45" t="s">
        <v>90</v>
      </c>
      <c r="E163" s="88">
        <v>40455</v>
      </c>
      <c r="F163" s="53">
        <v>40458</v>
      </c>
      <c r="G163" s="92">
        <v>3543</v>
      </c>
      <c r="H163" s="98">
        <v>975</v>
      </c>
      <c r="I163" s="98" t="s">
        <v>92</v>
      </c>
      <c r="J163" s="102">
        <f t="shared" si="29"/>
        <v>0.18</v>
      </c>
      <c r="K163" s="103">
        <f t="shared" si="30"/>
        <v>35.183714001986097</v>
      </c>
      <c r="L163" s="103">
        <f t="shared" si="31"/>
        <v>0.95756756756756756</v>
      </c>
      <c r="M163" s="96">
        <f t="shared" si="32"/>
        <v>175.5</v>
      </c>
      <c r="N163" s="96">
        <f t="shared" si="33"/>
        <v>3718.5</v>
      </c>
      <c r="O163" s="97">
        <f t="shared" si="34"/>
        <v>36.926514399205558</v>
      </c>
      <c r="P163" s="97">
        <f t="shared" si="35"/>
        <v>1.0049999999999999</v>
      </c>
      <c r="R163" s="92"/>
    </row>
    <row r="164" spans="1:18" ht="13.15" x14ac:dyDescent="0.25">
      <c r="A164" s="45" t="s">
        <v>1</v>
      </c>
      <c r="B164" s="45" t="s">
        <v>11</v>
      </c>
      <c r="C164" s="45" t="s">
        <v>6</v>
      </c>
      <c r="D164" s="45" t="s">
        <v>90</v>
      </c>
      <c r="E164" s="88">
        <v>40455</v>
      </c>
      <c r="F164" s="53">
        <v>40458</v>
      </c>
      <c r="G164" s="92">
        <v>3742</v>
      </c>
      <c r="H164" s="98">
        <v>1357</v>
      </c>
      <c r="I164" s="98" t="s">
        <v>92</v>
      </c>
      <c r="J164" s="102">
        <f t="shared" si="29"/>
        <v>0.18</v>
      </c>
      <c r="K164" s="103">
        <f t="shared" si="30"/>
        <v>37.159880834160873</v>
      </c>
      <c r="L164" s="103">
        <f t="shared" si="31"/>
        <v>1.0113513513513515</v>
      </c>
      <c r="M164" s="96">
        <f t="shared" si="32"/>
        <v>244.26</v>
      </c>
      <c r="N164" s="96">
        <f t="shared" si="33"/>
        <v>3986.26</v>
      </c>
      <c r="O164" s="97">
        <f t="shared" si="34"/>
        <v>39.585501489572991</v>
      </c>
      <c r="P164" s="97">
        <f t="shared" si="35"/>
        <v>1.0773675675675676</v>
      </c>
      <c r="R164" s="92"/>
    </row>
    <row r="165" spans="1:18" ht="13.15" x14ac:dyDescent="0.25">
      <c r="A165" s="45" t="s">
        <v>134</v>
      </c>
      <c r="B165" s="45" t="s">
        <v>13</v>
      </c>
      <c r="C165" s="45" t="s">
        <v>7</v>
      </c>
      <c r="D165" s="45" t="s">
        <v>90</v>
      </c>
      <c r="E165" s="88">
        <v>40455</v>
      </c>
      <c r="F165" s="53">
        <v>40458</v>
      </c>
      <c r="G165" s="92">
        <v>2812</v>
      </c>
      <c r="H165" s="98">
        <v>1006</v>
      </c>
      <c r="I165" s="98" t="s">
        <v>92</v>
      </c>
      <c r="J165" s="102">
        <f t="shared" si="29"/>
        <v>0.18</v>
      </c>
      <c r="K165" s="103">
        <f t="shared" si="30"/>
        <v>27.924528301886792</v>
      </c>
      <c r="L165" s="103">
        <f t="shared" si="31"/>
        <v>0.70933333333333337</v>
      </c>
      <c r="M165" s="96">
        <f t="shared" si="32"/>
        <v>181.07999999999998</v>
      </c>
      <c r="N165" s="96">
        <f t="shared" si="33"/>
        <v>2993.08</v>
      </c>
      <c r="O165" s="97">
        <f t="shared" si="34"/>
        <v>29.7227408142999</v>
      </c>
      <c r="P165" s="97">
        <f t="shared" si="35"/>
        <v>0.75501117117117111</v>
      </c>
      <c r="R165" s="92"/>
    </row>
    <row r="166" spans="1:18" ht="13.15" x14ac:dyDescent="0.25">
      <c r="A166" s="45" t="s">
        <v>134</v>
      </c>
      <c r="B166" s="45" t="s">
        <v>14</v>
      </c>
      <c r="C166" s="45" t="s">
        <v>15</v>
      </c>
      <c r="D166" s="45" t="s">
        <v>90</v>
      </c>
      <c r="E166" s="88">
        <v>40455</v>
      </c>
      <c r="F166" s="53">
        <v>40458</v>
      </c>
      <c r="G166" s="92">
        <v>3760</v>
      </c>
      <c r="H166" s="98">
        <v>866</v>
      </c>
      <c r="I166" s="98" t="s">
        <v>94</v>
      </c>
      <c r="J166" s="102">
        <f t="shared" si="29"/>
        <v>0.24</v>
      </c>
      <c r="K166" s="103">
        <f t="shared" si="30"/>
        <v>37.338629592850047</v>
      </c>
      <c r="L166" s="103">
        <f t="shared" si="31"/>
        <v>0.94846846846846844</v>
      </c>
      <c r="M166" s="96">
        <f t="shared" si="32"/>
        <v>207.84</v>
      </c>
      <c r="N166" s="96">
        <f t="shared" si="33"/>
        <v>3967.84</v>
      </c>
      <c r="O166" s="97">
        <f t="shared" si="34"/>
        <v>39.402581926514401</v>
      </c>
      <c r="P166" s="97">
        <f t="shared" si="35"/>
        <v>1.0008965765765767</v>
      </c>
      <c r="R166" s="92"/>
    </row>
    <row r="167" spans="1:18" ht="13.15" x14ac:dyDescent="0.25">
      <c r="A167" s="45" t="s">
        <v>134</v>
      </c>
      <c r="B167" s="45" t="s">
        <v>16</v>
      </c>
      <c r="C167" s="45" t="s">
        <v>17</v>
      </c>
      <c r="D167" s="45" t="s">
        <v>90</v>
      </c>
      <c r="E167" s="88">
        <v>40455</v>
      </c>
      <c r="F167" s="53">
        <v>40458</v>
      </c>
      <c r="G167" s="92">
        <v>1843</v>
      </c>
      <c r="H167" s="98">
        <v>213</v>
      </c>
      <c r="I167" s="98" t="s">
        <v>92</v>
      </c>
      <c r="J167" s="102">
        <f t="shared" si="29"/>
        <v>0.18</v>
      </c>
      <c r="K167" s="103">
        <f t="shared" si="30"/>
        <v>18.30188679245283</v>
      </c>
      <c r="L167" s="103">
        <f t="shared" si="31"/>
        <v>0.46490090090090092</v>
      </c>
      <c r="M167" s="96">
        <f t="shared" si="32"/>
        <v>38.339999999999996</v>
      </c>
      <c r="N167" s="96">
        <f t="shared" si="33"/>
        <v>1881.34</v>
      </c>
      <c r="O167" s="97">
        <f t="shared" si="34"/>
        <v>18.682621648460774</v>
      </c>
      <c r="P167" s="97">
        <f t="shared" si="35"/>
        <v>0.47457225225225225</v>
      </c>
      <c r="R167" s="92"/>
    </row>
    <row r="168" spans="1:18" ht="13.15" x14ac:dyDescent="0.25">
      <c r="A168" s="45" t="s">
        <v>134</v>
      </c>
      <c r="B168" s="45" t="s">
        <v>18</v>
      </c>
      <c r="C168" s="45" t="s">
        <v>19</v>
      </c>
      <c r="D168" s="45" t="s">
        <v>90</v>
      </c>
      <c r="E168" s="88">
        <v>40455</v>
      </c>
      <c r="F168" s="53">
        <v>40458</v>
      </c>
      <c r="G168" s="92">
        <v>3196</v>
      </c>
      <c r="H168" s="98">
        <v>650</v>
      </c>
      <c r="I168" s="98" t="s">
        <v>94</v>
      </c>
      <c r="J168" s="102">
        <f t="shared" si="29"/>
        <v>0.24</v>
      </c>
      <c r="K168" s="103">
        <f t="shared" si="30"/>
        <v>31.737835153922543</v>
      </c>
      <c r="L168" s="103">
        <f t="shared" si="31"/>
        <v>0.80619819819819816</v>
      </c>
      <c r="M168" s="96">
        <f t="shared" si="32"/>
        <v>156</v>
      </c>
      <c r="N168" s="96">
        <f t="shared" si="33"/>
        <v>3352</v>
      </c>
      <c r="O168" s="97">
        <f t="shared" si="34"/>
        <v>33.286991062562066</v>
      </c>
      <c r="P168" s="97">
        <f t="shared" si="35"/>
        <v>0.84554954954954953</v>
      </c>
      <c r="R168" s="92"/>
    </row>
    <row r="169" spans="1:18" ht="13.15" x14ac:dyDescent="0.25">
      <c r="A169" s="45" t="s">
        <v>134</v>
      </c>
      <c r="B169" s="45" t="s">
        <v>18</v>
      </c>
      <c r="C169" s="45" t="s">
        <v>20</v>
      </c>
      <c r="D169" s="45" t="s">
        <v>90</v>
      </c>
      <c r="E169" s="88">
        <v>40455</v>
      </c>
      <c r="F169" s="53">
        <v>40458</v>
      </c>
      <c r="G169" s="92">
        <v>2760</v>
      </c>
      <c r="H169" s="98">
        <v>417</v>
      </c>
      <c r="I169" s="98" t="s">
        <v>94</v>
      </c>
      <c r="J169" s="102">
        <f t="shared" si="29"/>
        <v>0.24</v>
      </c>
      <c r="K169" s="103">
        <f t="shared" si="30"/>
        <v>27.408142999006952</v>
      </c>
      <c r="L169" s="103">
        <f t="shared" si="31"/>
        <v>0.69621621621621621</v>
      </c>
      <c r="M169" s="96">
        <f t="shared" si="32"/>
        <v>100.08</v>
      </c>
      <c r="N169" s="96">
        <f t="shared" si="33"/>
        <v>2860.08</v>
      </c>
      <c r="O169" s="97">
        <f t="shared" si="34"/>
        <v>28.401986097318765</v>
      </c>
      <c r="P169" s="97">
        <f t="shared" si="35"/>
        <v>0.72146162162162164</v>
      </c>
      <c r="R169" s="92"/>
    </row>
    <row r="170" spans="1:18" ht="13.15" x14ac:dyDescent="0.25">
      <c r="A170" s="45" t="s">
        <v>134</v>
      </c>
      <c r="B170" s="45" t="s">
        <v>16</v>
      </c>
      <c r="C170" s="45" t="s">
        <v>21</v>
      </c>
      <c r="D170" s="45" t="s">
        <v>90</v>
      </c>
      <c r="E170" s="88">
        <v>40455</v>
      </c>
      <c r="F170" s="53">
        <v>40458</v>
      </c>
      <c r="G170" s="92">
        <v>2938</v>
      </c>
      <c r="H170" s="98">
        <v>626</v>
      </c>
      <c r="I170" s="98" t="s">
        <v>92</v>
      </c>
      <c r="J170" s="102">
        <f t="shared" si="29"/>
        <v>0.18</v>
      </c>
      <c r="K170" s="103">
        <f t="shared" si="30"/>
        <v>29.175769612711022</v>
      </c>
      <c r="L170" s="103">
        <f t="shared" si="31"/>
        <v>0.74111711711711714</v>
      </c>
      <c r="M170" s="96">
        <f t="shared" si="32"/>
        <v>112.67999999999999</v>
      </c>
      <c r="N170" s="96">
        <f t="shared" si="33"/>
        <v>3050.68</v>
      </c>
      <c r="O170" s="97">
        <f t="shared" si="34"/>
        <v>30.294736842105262</v>
      </c>
      <c r="P170" s="97">
        <f t="shared" si="35"/>
        <v>0.76954090090090088</v>
      </c>
      <c r="R170" s="92"/>
    </row>
    <row r="171" spans="1:18" ht="13.15" x14ac:dyDescent="0.25">
      <c r="A171" s="45" t="s">
        <v>134</v>
      </c>
      <c r="B171" s="45" t="s">
        <v>16</v>
      </c>
      <c r="C171" s="45" t="s">
        <v>6</v>
      </c>
      <c r="D171" s="45" t="s">
        <v>90</v>
      </c>
      <c r="E171" s="88">
        <v>40455</v>
      </c>
      <c r="F171" s="53">
        <v>40458</v>
      </c>
      <c r="G171" s="92">
        <v>4372</v>
      </c>
      <c r="H171" s="98">
        <v>1823</v>
      </c>
      <c r="I171" s="98" t="s">
        <v>92</v>
      </c>
      <c r="J171" s="102">
        <f t="shared" si="29"/>
        <v>0.18</v>
      </c>
      <c r="K171" s="103">
        <f t="shared" si="30"/>
        <v>43.416087388282023</v>
      </c>
      <c r="L171" s="103">
        <f t="shared" si="31"/>
        <v>1.1028468468468469</v>
      </c>
      <c r="M171" s="96">
        <f t="shared" si="32"/>
        <v>328.14</v>
      </c>
      <c r="N171" s="96">
        <f t="shared" si="33"/>
        <v>4700.1400000000003</v>
      </c>
      <c r="O171" s="97">
        <f t="shared" si="34"/>
        <v>46.6746772591857</v>
      </c>
      <c r="P171" s="97">
        <f t="shared" si="35"/>
        <v>1.1856209009009011</v>
      </c>
      <c r="R171" s="92"/>
    </row>
    <row r="172" spans="1:18" ht="13.15" x14ac:dyDescent="0.25">
      <c r="A172" s="45" t="s">
        <v>22</v>
      </c>
      <c r="B172" s="45" t="s">
        <v>23</v>
      </c>
      <c r="C172" s="45" t="s">
        <v>7</v>
      </c>
      <c r="D172" s="45" t="s">
        <v>90</v>
      </c>
      <c r="E172" s="88">
        <v>40455</v>
      </c>
      <c r="F172" s="53">
        <v>40458</v>
      </c>
      <c r="G172" s="92">
        <v>3316</v>
      </c>
      <c r="H172" s="99">
        <v>1295</v>
      </c>
      <c r="I172" s="98" t="s">
        <v>95</v>
      </c>
      <c r="J172" s="102">
        <f t="shared" si="29"/>
        <v>0.1265</v>
      </c>
      <c r="K172" s="103">
        <f t="shared" si="30"/>
        <v>32.929493545183711</v>
      </c>
      <c r="L172" s="103">
        <f t="shared" si="31"/>
        <v>0.89621621621621617</v>
      </c>
      <c r="M172" s="96">
        <f t="shared" si="32"/>
        <v>163.8175</v>
      </c>
      <c r="N172" s="96">
        <f t="shared" si="33"/>
        <v>3479.8175000000001</v>
      </c>
      <c r="O172" s="97">
        <f t="shared" si="34"/>
        <v>34.556281032770606</v>
      </c>
      <c r="P172" s="97">
        <f t="shared" si="35"/>
        <v>0.94049121621621623</v>
      </c>
      <c r="R172" s="92"/>
    </row>
    <row r="173" spans="1:18" ht="13.15" x14ac:dyDescent="0.25">
      <c r="A173" s="45" t="s">
        <v>22</v>
      </c>
      <c r="B173" s="45" t="s">
        <v>14</v>
      </c>
      <c r="C173" s="45" t="s">
        <v>24</v>
      </c>
      <c r="D173" s="45" t="s">
        <v>90</v>
      </c>
      <c r="E173" s="88">
        <v>40455</v>
      </c>
      <c r="F173" s="53">
        <v>40458</v>
      </c>
      <c r="G173" s="92">
        <v>2921</v>
      </c>
      <c r="H173" s="98">
        <v>615</v>
      </c>
      <c r="I173" s="98" t="s">
        <v>94</v>
      </c>
      <c r="J173" s="102">
        <f t="shared" si="29"/>
        <v>0.24</v>
      </c>
      <c r="K173" s="103">
        <f t="shared" si="30"/>
        <v>29.006951340615689</v>
      </c>
      <c r="L173" s="103">
        <f t="shared" si="31"/>
        <v>0.7894594594594595</v>
      </c>
      <c r="M173" s="96">
        <f t="shared" si="32"/>
        <v>147.6</v>
      </c>
      <c r="N173" s="96">
        <f t="shared" si="33"/>
        <v>3068.6</v>
      </c>
      <c r="O173" s="97">
        <f t="shared" si="34"/>
        <v>30.47269116186693</v>
      </c>
      <c r="P173" s="97">
        <f t="shared" si="35"/>
        <v>0.8293513513513513</v>
      </c>
      <c r="R173" s="92"/>
    </row>
    <row r="174" spans="1:18" ht="13.15" x14ac:dyDescent="0.25">
      <c r="A174" s="45" t="s">
        <v>22</v>
      </c>
      <c r="B174" s="45" t="s">
        <v>18</v>
      </c>
      <c r="C174" s="45" t="s">
        <v>15</v>
      </c>
      <c r="D174" s="45" t="s">
        <v>90</v>
      </c>
      <c r="E174" s="88">
        <v>40455</v>
      </c>
      <c r="F174" s="53">
        <v>40458</v>
      </c>
      <c r="G174" s="92">
        <v>3830</v>
      </c>
      <c r="H174" s="98">
        <v>872</v>
      </c>
      <c r="I174" s="98" t="s">
        <v>94</v>
      </c>
      <c r="J174" s="102">
        <f t="shared" si="29"/>
        <v>0.24</v>
      </c>
      <c r="K174" s="103">
        <f t="shared" si="30"/>
        <v>38.033763654419069</v>
      </c>
      <c r="L174" s="103">
        <f t="shared" si="31"/>
        <v>1.0351351351351352</v>
      </c>
      <c r="M174" s="96">
        <f t="shared" si="32"/>
        <v>209.28</v>
      </c>
      <c r="N174" s="96">
        <f t="shared" si="33"/>
        <v>4039.28</v>
      </c>
      <c r="O174" s="97">
        <f t="shared" si="34"/>
        <v>40.112015888778551</v>
      </c>
      <c r="P174" s="97">
        <f t="shared" si="35"/>
        <v>1.0916972972972974</v>
      </c>
      <c r="R174" s="92"/>
    </row>
    <row r="175" spans="1:18" ht="13.15" x14ac:dyDescent="0.25">
      <c r="A175" s="45" t="s">
        <v>22</v>
      </c>
      <c r="B175" s="45" t="s">
        <v>18</v>
      </c>
      <c r="C175" s="45" t="s">
        <v>24</v>
      </c>
      <c r="D175" s="45" t="s">
        <v>90</v>
      </c>
      <c r="E175" s="88">
        <v>40455</v>
      </c>
      <c r="F175" s="53">
        <v>40458</v>
      </c>
      <c r="G175" s="92">
        <v>2613</v>
      </c>
      <c r="H175" s="98">
        <v>417</v>
      </c>
      <c r="I175" s="98" t="s">
        <v>94</v>
      </c>
      <c r="J175" s="102">
        <f t="shared" si="29"/>
        <v>0.24</v>
      </c>
      <c r="K175" s="103">
        <f t="shared" si="30"/>
        <v>25.948361469712015</v>
      </c>
      <c r="L175" s="103">
        <f t="shared" si="31"/>
        <v>0.70621621621621622</v>
      </c>
      <c r="M175" s="96">
        <f t="shared" si="32"/>
        <v>100.08</v>
      </c>
      <c r="N175" s="96">
        <f t="shared" si="33"/>
        <v>2713.08</v>
      </c>
      <c r="O175" s="97">
        <f t="shared" si="34"/>
        <v>26.942204568023833</v>
      </c>
      <c r="P175" s="97">
        <f t="shared" si="35"/>
        <v>0.73326486486486486</v>
      </c>
      <c r="R175" s="92"/>
    </row>
    <row r="176" spans="1:18" ht="13.15" x14ac:dyDescent="0.25">
      <c r="A176" s="45" t="s">
        <v>22</v>
      </c>
      <c r="B176" s="45" t="s">
        <v>13</v>
      </c>
      <c r="C176" s="45" t="s">
        <v>7</v>
      </c>
      <c r="D176" s="45" t="s">
        <v>90</v>
      </c>
      <c r="E176" s="88">
        <v>40455</v>
      </c>
      <c r="F176" s="53">
        <v>40458</v>
      </c>
      <c r="G176" s="92">
        <v>3156</v>
      </c>
      <c r="H176" s="98">
        <v>1006</v>
      </c>
      <c r="I176" s="98" t="s">
        <v>92</v>
      </c>
      <c r="J176" s="102">
        <f t="shared" si="29"/>
        <v>0.18</v>
      </c>
      <c r="K176" s="103">
        <f t="shared" si="30"/>
        <v>31.340615690168818</v>
      </c>
      <c r="L176" s="103">
        <f t="shared" si="31"/>
        <v>0.85297297297297292</v>
      </c>
      <c r="M176" s="96">
        <f t="shared" si="32"/>
        <v>181.07999999999998</v>
      </c>
      <c r="N176" s="96">
        <f t="shared" si="33"/>
        <v>3337.08</v>
      </c>
      <c r="O176" s="97">
        <f t="shared" si="34"/>
        <v>33.138828202581927</v>
      </c>
      <c r="P176" s="97">
        <f t="shared" si="35"/>
        <v>0.90191351351351345</v>
      </c>
      <c r="R176" s="92"/>
    </row>
    <row r="177" spans="1:18" ht="13.15" x14ac:dyDescent="0.25">
      <c r="A177" s="45" t="s">
        <v>1</v>
      </c>
      <c r="B177" s="45" t="s">
        <v>25</v>
      </c>
      <c r="C177" s="45" t="s">
        <v>26</v>
      </c>
      <c r="D177" s="45" t="s">
        <v>91</v>
      </c>
      <c r="E177" s="88">
        <v>40455</v>
      </c>
      <c r="F177" s="53">
        <v>40458</v>
      </c>
      <c r="G177" s="92">
        <v>2868</v>
      </c>
      <c r="H177" s="98">
        <v>880</v>
      </c>
      <c r="I177" s="98" t="s">
        <v>93</v>
      </c>
      <c r="J177" s="102">
        <f t="shared" si="29"/>
        <v>0.43</v>
      </c>
      <c r="K177" s="103">
        <f t="shared" si="30"/>
        <v>28.480635551142004</v>
      </c>
      <c r="L177" s="103">
        <f t="shared" si="31"/>
        <v>0.7751351351351351</v>
      </c>
      <c r="M177" s="96">
        <f t="shared" si="32"/>
        <v>378.4</v>
      </c>
      <c r="N177" s="96">
        <f t="shared" si="33"/>
        <v>3246.4</v>
      </c>
      <c r="O177" s="97">
        <f t="shared" si="34"/>
        <v>32.238331678252237</v>
      </c>
      <c r="P177" s="97">
        <f t="shared" si="35"/>
        <v>0.87740540540540546</v>
      </c>
      <c r="R177" s="92"/>
    </row>
    <row r="178" spans="1:18" ht="13.15" x14ac:dyDescent="0.25">
      <c r="A178" s="45" t="s">
        <v>1</v>
      </c>
      <c r="B178" s="45" t="s">
        <v>2</v>
      </c>
      <c r="C178" s="45" t="s">
        <v>9</v>
      </c>
      <c r="D178" s="45" t="s">
        <v>91</v>
      </c>
      <c r="E178" s="88">
        <v>40455</v>
      </c>
      <c r="F178" s="53">
        <v>40458</v>
      </c>
      <c r="G178" s="92">
        <v>2867</v>
      </c>
      <c r="H178" s="98">
        <v>685</v>
      </c>
      <c r="I178" s="98" t="s">
        <v>93</v>
      </c>
      <c r="J178" s="102">
        <f t="shared" si="29"/>
        <v>0.43</v>
      </c>
      <c r="K178" s="103">
        <f t="shared" si="30"/>
        <v>28.470705064548163</v>
      </c>
      <c r="L178" s="103">
        <f t="shared" si="31"/>
        <v>0.77486486486486483</v>
      </c>
      <c r="M178" s="96">
        <f t="shared" si="32"/>
        <v>294.55</v>
      </c>
      <c r="N178" s="96">
        <f t="shared" si="33"/>
        <v>3161.55</v>
      </c>
      <c r="O178" s="97">
        <f t="shared" si="34"/>
        <v>31.395729890764649</v>
      </c>
      <c r="P178" s="97">
        <f t="shared" si="35"/>
        <v>0.85447297297297298</v>
      </c>
      <c r="R178" s="92"/>
    </row>
    <row r="179" spans="1:18" ht="13.15" x14ac:dyDescent="0.25">
      <c r="A179" s="45" t="s">
        <v>1</v>
      </c>
      <c r="B179" s="45" t="s">
        <v>27</v>
      </c>
      <c r="C179" s="45" t="s">
        <v>28</v>
      </c>
      <c r="D179" s="45" t="s">
        <v>91</v>
      </c>
      <c r="E179" s="88">
        <v>40455</v>
      </c>
      <c r="F179" s="53">
        <v>40458</v>
      </c>
      <c r="G179" s="92">
        <v>3497</v>
      </c>
      <c r="H179" s="98">
        <v>812</v>
      </c>
      <c r="I179" s="98" t="s">
        <v>94</v>
      </c>
      <c r="J179" s="102">
        <f t="shared" si="29"/>
        <v>0.24</v>
      </c>
      <c r="K179" s="103">
        <f t="shared" si="30"/>
        <v>34.726911618669313</v>
      </c>
      <c r="L179" s="103">
        <f t="shared" si="31"/>
        <v>0.94513513513513514</v>
      </c>
      <c r="M179" s="96">
        <f t="shared" si="32"/>
        <v>194.88</v>
      </c>
      <c r="N179" s="96">
        <f t="shared" si="33"/>
        <v>3691.88</v>
      </c>
      <c r="O179" s="97">
        <f t="shared" si="34"/>
        <v>36.662164846077459</v>
      </c>
      <c r="P179" s="97">
        <f t="shared" si="35"/>
        <v>0.99780540540540541</v>
      </c>
      <c r="R179" s="92"/>
    </row>
    <row r="180" spans="1:18" ht="13.15" x14ac:dyDescent="0.25">
      <c r="A180" s="45" t="s">
        <v>1</v>
      </c>
      <c r="B180" s="45" t="s">
        <v>4</v>
      </c>
      <c r="C180" s="45" t="s">
        <v>26</v>
      </c>
      <c r="D180" s="45" t="s">
        <v>91</v>
      </c>
      <c r="E180" s="88">
        <v>40455</v>
      </c>
      <c r="F180" s="53">
        <v>40458</v>
      </c>
      <c r="G180" s="92">
        <v>4131</v>
      </c>
      <c r="H180" s="98">
        <v>1520</v>
      </c>
      <c r="I180" s="98" t="s">
        <v>93</v>
      </c>
      <c r="J180" s="102">
        <f t="shared" si="29"/>
        <v>0.43</v>
      </c>
      <c r="K180" s="103">
        <f t="shared" si="30"/>
        <v>41.022840119165835</v>
      </c>
      <c r="L180" s="103">
        <f t="shared" si="31"/>
        <v>1.1164864864864865</v>
      </c>
      <c r="M180" s="96">
        <f t="shared" si="32"/>
        <v>653.6</v>
      </c>
      <c r="N180" s="96">
        <f t="shared" si="33"/>
        <v>4784.6000000000004</v>
      </c>
      <c r="O180" s="97">
        <f t="shared" si="34"/>
        <v>47.513406156901688</v>
      </c>
      <c r="P180" s="97">
        <f t="shared" si="35"/>
        <v>1.2931351351351352</v>
      </c>
      <c r="R180" s="92"/>
    </row>
    <row r="181" spans="1:18" ht="13.15" x14ac:dyDescent="0.25">
      <c r="A181" s="45" t="s">
        <v>1</v>
      </c>
      <c r="B181" s="45" t="s">
        <v>4</v>
      </c>
      <c r="C181" s="45" t="s">
        <v>9</v>
      </c>
      <c r="D181" s="45" t="s">
        <v>91</v>
      </c>
      <c r="E181" s="88">
        <v>40455</v>
      </c>
      <c r="F181" s="53">
        <v>40458</v>
      </c>
      <c r="G181" s="92">
        <f>SUM(2591+2455)</f>
        <v>5046</v>
      </c>
      <c r="H181" s="98">
        <v>1583</v>
      </c>
      <c r="I181" s="98" t="s">
        <v>93</v>
      </c>
      <c r="J181" s="102">
        <f t="shared" si="29"/>
        <v>0.43</v>
      </c>
      <c r="K181" s="103">
        <f t="shared" si="30"/>
        <v>50.109235352532274</v>
      </c>
      <c r="L181" s="103">
        <f t="shared" si="31"/>
        <v>1.3637837837837838</v>
      </c>
      <c r="M181" s="96">
        <f t="shared" si="32"/>
        <v>680.68999999999994</v>
      </c>
      <c r="N181" s="96">
        <f t="shared" si="33"/>
        <v>5726.69</v>
      </c>
      <c r="O181" s="97">
        <f t="shared" si="34"/>
        <v>56.868818272095325</v>
      </c>
      <c r="P181" s="97">
        <f t="shared" si="35"/>
        <v>1.547754054054054</v>
      </c>
      <c r="R181" s="92"/>
    </row>
    <row r="182" spans="1:18" ht="13.15" x14ac:dyDescent="0.25">
      <c r="A182" s="45" t="s">
        <v>1</v>
      </c>
      <c r="B182" s="45" t="s">
        <v>10</v>
      </c>
      <c r="C182" s="45" t="s">
        <v>26</v>
      </c>
      <c r="D182" s="45" t="s">
        <v>91</v>
      </c>
      <c r="E182" s="88">
        <v>40455</v>
      </c>
      <c r="F182" s="53">
        <v>40458</v>
      </c>
      <c r="G182" s="92">
        <v>4510</v>
      </c>
      <c r="H182" s="98">
        <v>1599</v>
      </c>
      <c r="I182" s="98" t="s">
        <v>92</v>
      </c>
      <c r="J182" s="102">
        <f t="shared" si="29"/>
        <v>0.18</v>
      </c>
      <c r="K182" s="103">
        <f t="shared" si="30"/>
        <v>44.786494538232375</v>
      </c>
      <c r="L182" s="103">
        <f t="shared" si="31"/>
        <v>1.2189189189189189</v>
      </c>
      <c r="M182" s="96">
        <f t="shared" si="32"/>
        <v>287.82</v>
      </c>
      <c r="N182" s="96">
        <f t="shared" si="33"/>
        <v>4797.82</v>
      </c>
      <c r="O182" s="97">
        <f t="shared" si="34"/>
        <v>47.64468718967229</v>
      </c>
      <c r="P182" s="97">
        <f t="shared" si="35"/>
        <v>1.296708108108108</v>
      </c>
      <c r="R182" s="92"/>
    </row>
    <row r="183" spans="1:18" ht="13.15" x14ac:dyDescent="0.25">
      <c r="A183" s="45" t="s">
        <v>134</v>
      </c>
      <c r="B183" s="45" t="s">
        <v>23</v>
      </c>
      <c r="C183" s="45" t="s">
        <v>26</v>
      </c>
      <c r="D183" s="45" t="s">
        <v>91</v>
      </c>
      <c r="E183" s="88">
        <v>40455</v>
      </c>
      <c r="F183" s="53">
        <v>40458</v>
      </c>
      <c r="G183" s="92">
        <v>3920</v>
      </c>
      <c r="H183" s="98">
        <v>1851</v>
      </c>
      <c r="I183" s="98" t="s">
        <v>93</v>
      </c>
      <c r="J183" s="102">
        <f t="shared" si="29"/>
        <v>0.43</v>
      </c>
      <c r="K183" s="103">
        <f t="shared" si="30"/>
        <v>38.927507447864947</v>
      </c>
      <c r="L183" s="103">
        <f t="shared" si="31"/>
        <v>0.98882882882882883</v>
      </c>
      <c r="M183" s="96">
        <f t="shared" si="32"/>
        <v>795.93</v>
      </c>
      <c r="N183" s="96">
        <f t="shared" si="33"/>
        <v>4715.93</v>
      </c>
      <c r="O183" s="97">
        <f t="shared" si="34"/>
        <v>46.831479642502487</v>
      </c>
      <c r="P183" s="97">
        <f t="shared" si="35"/>
        <v>1.189603963963964</v>
      </c>
      <c r="R183" s="92"/>
    </row>
    <row r="184" spans="1:18" ht="13.15" x14ac:dyDescent="0.25">
      <c r="A184" s="45" t="s">
        <v>134</v>
      </c>
      <c r="B184" s="45" t="s">
        <v>8</v>
      </c>
      <c r="C184" s="45" t="s">
        <v>29</v>
      </c>
      <c r="D184" s="45" t="s">
        <v>91</v>
      </c>
      <c r="E184" s="88">
        <v>40455</v>
      </c>
      <c r="F184" s="53">
        <v>40458</v>
      </c>
      <c r="G184" s="92">
        <v>3920</v>
      </c>
      <c r="H184" s="98">
        <v>1695</v>
      </c>
      <c r="I184" s="98" t="s">
        <v>93</v>
      </c>
      <c r="J184" s="102">
        <f t="shared" si="29"/>
        <v>0.43</v>
      </c>
      <c r="K184" s="103">
        <f t="shared" si="30"/>
        <v>38.927507447864947</v>
      </c>
      <c r="L184" s="103">
        <f t="shared" si="31"/>
        <v>0.98882882882882883</v>
      </c>
      <c r="M184" s="96">
        <f t="shared" si="32"/>
        <v>728.85</v>
      </c>
      <c r="N184" s="96">
        <f t="shared" si="33"/>
        <v>4648.8500000000004</v>
      </c>
      <c r="O184" s="97">
        <f t="shared" si="34"/>
        <v>46.165342601787486</v>
      </c>
      <c r="P184" s="97">
        <f t="shared" si="35"/>
        <v>1.172682882882883</v>
      </c>
      <c r="R184" s="92"/>
    </row>
    <row r="185" spans="1:18" ht="13.15" x14ac:dyDescent="0.25">
      <c r="A185" s="45" t="s">
        <v>134</v>
      </c>
      <c r="B185" s="45" t="s">
        <v>13</v>
      </c>
      <c r="C185" s="45" t="s">
        <v>7</v>
      </c>
      <c r="D185" s="45" t="s">
        <v>91</v>
      </c>
      <c r="E185" s="88">
        <v>40455</v>
      </c>
      <c r="F185" s="53">
        <v>40458</v>
      </c>
      <c r="G185" s="92">
        <v>2677</v>
      </c>
      <c r="H185" s="98">
        <v>1006</v>
      </c>
      <c r="I185" s="98" t="s">
        <v>92</v>
      </c>
      <c r="J185" s="102">
        <f t="shared" si="29"/>
        <v>0.18</v>
      </c>
      <c r="K185" s="103">
        <f t="shared" si="30"/>
        <v>26.583912611717974</v>
      </c>
      <c r="L185" s="103">
        <f t="shared" si="31"/>
        <v>0.67527927927927933</v>
      </c>
      <c r="M185" s="96">
        <f t="shared" si="32"/>
        <v>181.07999999999998</v>
      </c>
      <c r="N185" s="96">
        <f t="shared" si="33"/>
        <v>2858.08</v>
      </c>
      <c r="O185" s="97">
        <f t="shared" si="34"/>
        <v>28.382125124131083</v>
      </c>
      <c r="P185" s="97">
        <f t="shared" si="35"/>
        <v>0.72095711711711707</v>
      </c>
      <c r="R185" s="92"/>
    </row>
    <row r="186" spans="1:18" ht="13.15" x14ac:dyDescent="0.25">
      <c r="A186" s="45" t="s">
        <v>134</v>
      </c>
      <c r="B186" s="45" t="s">
        <v>30</v>
      </c>
      <c r="C186" s="45" t="s">
        <v>9</v>
      </c>
      <c r="D186" s="45" t="s">
        <v>91</v>
      </c>
      <c r="E186" s="88">
        <v>40455</v>
      </c>
      <c r="F186" s="53">
        <v>40458</v>
      </c>
      <c r="G186" s="92">
        <v>2800</v>
      </c>
      <c r="H186" s="98">
        <v>988</v>
      </c>
      <c r="I186" s="98" t="s">
        <v>93</v>
      </c>
      <c r="J186" s="102">
        <f t="shared" si="29"/>
        <v>0.43</v>
      </c>
      <c r="K186" s="103">
        <f t="shared" si="30"/>
        <v>27.805362462760673</v>
      </c>
      <c r="L186" s="103">
        <f t="shared" si="31"/>
        <v>0.70630630630630631</v>
      </c>
      <c r="M186" s="96">
        <f t="shared" si="32"/>
        <v>424.84</v>
      </c>
      <c r="N186" s="96">
        <f t="shared" si="33"/>
        <v>3224.84</v>
      </c>
      <c r="O186" s="97">
        <f t="shared" si="34"/>
        <v>32.024230387288981</v>
      </c>
      <c r="P186" s="97">
        <f t="shared" si="35"/>
        <v>0.81347315315315316</v>
      </c>
      <c r="R186" s="92"/>
    </row>
    <row r="187" spans="1:18" ht="13.15" x14ac:dyDescent="0.25">
      <c r="A187" s="45" t="s">
        <v>134</v>
      </c>
      <c r="B187" s="45" t="s">
        <v>16</v>
      </c>
      <c r="C187" s="45" t="s">
        <v>11</v>
      </c>
      <c r="D187" s="45" t="s">
        <v>91</v>
      </c>
      <c r="E187" s="88">
        <v>40455</v>
      </c>
      <c r="F187" s="53">
        <v>40458</v>
      </c>
      <c r="G187" s="92">
        <v>3330</v>
      </c>
      <c r="H187" s="99">
        <v>787</v>
      </c>
      <c r="I187" s="98" t="s">
        <v>92</v>
      </c>
      <c r="J187" s="102">
        <f t="shared" si="29"/>
        <v>0.18</v>
      </c>
      <c r="K187" s="103">
        <f t="shared" si="30"/>
        <v>33.068520357497519</v>
      </c>
      <c r="L187" s="103">
        <f t="shared" si="31"/>
        <v>0.84</v>
      </c>
      <c r="M187" s="96">
        <f t="shared" si="32"/>
        <v>141.66</v>
      </c>
      <c r="N187" s="96">
        <f t="shared" si="33"/>
        <v>3471.66</v>
      </c>
      <c r="O187" s="97">
        <f t="shared" si="34"/>
        <v>34.475273088381329</v>
      </c>
      <c r="P187" s="97">
        <f t="shared" si="35"/>
        <v>0.87573405405405402</v>
      </c>
      <c r="R187" s="92"/>
    </row>
    <row r="188" spans="1:18" ht="13.15" x14ac:dyDescent="0.25">
      <c r="A188" s="45" t="s">
        <v>134</v>
      </c>
      <c r="B188" s="45" t="s">
        <v>23</v>
      </c>
      <c r="C188" s="45" t="s">
        <v>29</v>
      </c>
      <c r="D188" s="45" t="s">
        <v>91</v>
      </c>
      <c r="E188" s="88">
        <v>40455</v>
      </c>
      <c r="F188" s="53">
        <v>40458</v>
      </c>
      <c r="G188" s="92">
        <v>3920</v>
      </c>
      <c r="H188" s="98">
        <v>1836</v>
      </c>
      <c r="I188" s="98" t="s">
        <v>93</v>
      </c>
      <c r="J188" s="102">
        <f t="shared" si="29"/>
        <v>0.43</v>
      </c>
      <c r="K188" s="103">
        <f t="shared" si="30"/>
        <v>38.927507447864947</v>
      </c>
      <c r="L188" s="103">
        <f t="shared" si="31"/>
        <v>0.98882882882882883</v>
      </c>
      <c r="M188" s="96">
        <f t="shared" si="32"/>
        <v>789.48</v>
      </c>
      <c r="N188" s="96">
        <f t="shared" si="33"/>
        <v>4709.4799999999996</v>
      </c>
      <c r="O188" s="97">
        <f t="shared" si="34"/>
        <v>46.767428003972192</v>
      </c>
      <c r="P188" s="97">
        <f t="shared" si="35"/>
        <v>1.1879769369369368</v>
      </c>
      <c r="R188" s="92"/>
    </row>
    <row r="189" spans="1:18" ht="13.15" x14ac:dyDescent="0.25">
      <c r="A189" s="45" t="s">
        <v>134</v>
      </c>
      <c r="B189" s="45" t="s">
        <v>31</v>
      </c>
      <c r="C189" s="45" t="s">
        <v>32</v>
      </c>
      <c r="D189" s="45" t="s">
        <v>91</v>
      </c>
      <c r="E189" s="88">
        <v>40455</v>
      </c>
      <c r="F189" s="53">
        <v>40458</v>
      </c>
      <c r="G189" s="92">
        <v>3400</v>
      </c>
      <c r="H189" s="98">
        <v>1899</v>
      </c>
      <c r="I189" s="98" t="s">
        <v>93</v>
      </c>
      <c r="J189" s="102">
        <f t="shared" si="29"/>
        <v>0.43</v>
      </c>
      <c r="K189" s="103">
        <f t="shared" si="30"/>
        <v>33.763654419066533</v>
      </c>
      <c r="L189" s="103">
        <f t="shared" si="31"/>
        <v>0.85765765765765767</v>
      </c>
      <c r="M189" s="96">
        <f t="shared" si="32"/>
        <v>816.56999999999994</v>
      </c>
      <c r="N189" s="96">
        <f t="shared" si="33"/>
        <v>4216.57</v>
      </c>
      <c r="O189" s="97">
        <f t="shared" si="34"/>
        <v>41.872591857000991</v>
      </c>
      <c r="P189" s="97">
        <f t="shared" si="35"/>
        <v>1.0636392792792793</v>
      </c>
      <c r="R189" s="92"/>
    </row>
    <row r="190" spans="1:18" ht="13.15" x14ac:dyDescent="0.25">
      <c r="A190" s="45" t="s">
        <v>22</v>
      </c>
      <c r="B190" s="45" t="s">
        <v>8</v>
      </c>
      <c r="C190" s="45" t="s">
        <v>29</v>
      </c>
      <c r="D190" s="45" t="s">
        <v>91</v>
      </c>
      <c r="E190" s="88">
        <v>40455</v>
      </c>
      <c r="F190" s="53">
        <v>40458</v>
      </c>
      <c r="G190" s="92">
        <v>4320</v>
      </c>
      <c r="H190" s="99">
        <v>1695</v>
      </c>
      <c r="I190" s="98" t="s">
        <v>93</v>
      </c>
      <c r="J190" s="102">
        <f t="shared" si="29"/>
        <v>0.43</v>
      </c>
      <c r="K190" s="103">
        <f t="shared" si="30"/>
        <v>42.899702085402183</v>
      </c>
      <c r="L190" s="103">
        <f t="shared" si="31"/>
        <v>1.1675675675675676</v>
      </c>
      <c r="M190" s="96">
        <f t="shared" si="32"/>
        <v>728.85</v>
      </c>
      <c r="N190" s="96">
        <f t="shared" si="33"/>
        <v>5048.8500000000004</v>
      </c>
      <c r="O190" s="97">
        <f t="shared" si="34"/>
        <v>50.137537239324729</v>
      </c>
      <c r="P190" s="97">
        <f t="shared" si="35"/>
        <v>1.3645540540540542</v>
      </c>
      <c r="R190" s="92"/>
    </row>
    <row r="191" spans="1:18" ht="13.15" x14ac:dyDescent="0.25">
      <c r="A191" s="45" t="s">
        <v>22</v>
      </c>
      <c r="B191" s="45" t="s">
        <v>23</v>
      </c>
      <c r="C191" s="45" t="s">
        <v>26</v>
      </c>
      <c r="D191" s="45" t="s">
        <v>91</v>
      </c>
      <c r="E191" s="88">
        <v>40455</v>
      </c>
      <c r="F191" s="53">
        <v>40458</v>
      </c>
      <c r="G191" s="92">
        <v>4270</v>
      </c>
      <c r="H191" s="98">
        <v>1851</v>
      </c>
      <c r="I191" s="98" t="s">
        <v>93</v>
      </c>
      <c r="J191" s="102">
        <f t="shared" si="29"/>
        <v>0.43</v>
      </c>
      <c r="K191" s="103">
        <f t="shared" si="30"/>
        <v>42.403177755710026</v>
      </c>
      <c r="L191" s="103">
        <f t="shared" si="31"/>
        <v>1.154054054054054</v>
      </c>
      <c r="M191" s="96">
        <f t="shared" si="32"/>
        <v>795.93</v>
      </c>
      <c r="N191" s="96">
        <f t="shared" si="33"/>
        <v>5065.93</v>
      </c>
      <c r="O191" s="97">
        <f t="shared" si="34"/>
        <v>50.307149950347565</v>
      </c>
      <c r="P191" s="97">
        <f t="shared" si="35"/>
        <v>1.3691702702702704</v>
      </c>
      <c r="R191" s="92"/>
    </row>
    <row r="192" spans="1:18" ht="13.15" x14ac:dyDescent="0.25">
      <c r="A192" s="45" t="s">
        <v>22</v>
      </c>
      <c r="B192" s="45" t="s">
        <v>33</v>
      </c>
      <c r="C192" s="45" t="s">
        <v>29</v>
      </c>
      <c r="D192" s="45" t="s">
        <v>91</v>
      </c>
      <c r="E192" s="88">
        <v>40455</v>
      </c>
      <c r="F192" s="53">
        <v>40458</v>
      </c>
      <c r="G192" s="92">
        <v>4270</v>
      </c>
      <c r="H192" s="98">
        <v>1507</v>
      </c>
      <c r="I192" s="98" t="s">
        <v>93</v>
      </c>
      <c r="J192" s="102">
        <f t="shared" si="29"/>
        <v>0.43</v>
      </c>
      <c r="K192" s="103">
        <f t="shared" si="30"/>
        <v>42.403177755710026</v>
      </c>
      <c r="L192" s="103">
        <f t="shared" si="31"/>
        <v>1.154054054054054</v>
      </c>
      <c r="M192" s="96">
        <f t="shared" si="32"/>
        <v>648.01</v>
      </c>
      <c r="N192" s="96">
        <f t="shared" si="33"/>
        <v>4918.01</v>
      </c>
      <c r="O192" s="97">
        <f t="shared" si="34"/>
        <v>48.838232373386298</v>
      </c>
      <c r="P192" s="97">
        <f t="shared" si="35"/>
        <v>1.3291918918918919</v>
      </c>
      <c r="R192" s="92"/>
    </row>
    <row r="193" spans="1:18" ht="13.15" x14ac:dyDescent="0.25">
      <c r="A193" s="45" t="s">
        <v>22</v>
      </c>
      <c r="B193" s="45" t="s">
        <v>31</v>
      </c>
      <c r="C193" s="45" t="s">
        <v>7</v>
      </c>
      <c r="D193" s="45" t="s">
        <v>91</v>
      </c>
      <c r="E193" s="88">
        <v>40455</v>
      </c>
      <c r="F193" s="53">
        <v>40458</v>
      </c>
      <c r="G193" s="92">
        <v>3510</v>
      </c>
      <c r="H193" s="98">
        <v>1160</v>
      </c>
      <c r="I193" s="98" t="s">
        <v>92</v>
      </c>
      <c r="J193" s="102">
        <f t="shared" si="29"/>
        <v>0.18</v>
      </c>
      <c r="K193" s="103">
        <f t="shared" si="30"/>
        <v>34.856007944389276</v>
      </c>
      <c r="L193" s="103">
        <f t="shared" si="31"/>
        <v>0.94864864864864862</v>
      </c>
      <c r="M193" s="96">
        <f t="shared" si="32"/>
        <v>208.79999999999998</v>
      </c>
      <c r="N193" s="96">
        <f t="shared" si="33"/>
        <v>3718.8</v>
      </c>
      <c r="O193" s="97">
        <f t="shared" si="34"/>
        <v>36.929493545183718</v>
      </c>
      <c r="P193" s="97">
        <f t="shared" si="35"/>
        <v>1.0050810810810811</v>
      </c>
      <c r="R193" s="92"/>
    </row>
    <row r="194" spans="1:18" ht="13.15" x14ac:dyDescent="0.25">
      <c r="A194" s="45" t="s">
        <v>22</v>
      </c>
      <c r="B194" s="45" t="s">
        <v>14</v>
      </c>
      <c r="C194" s="45" t="s">
        <v>24</v>
      </c>
      <c r="D194" s="45" t="s">
        <v>91</v>
      </c>
      <c r="E194" s="88">
        <v>40455</v>
      </c>
      <c r="F194" s="53">
        <v>40458</v>
      </c>
      <c r="G194" s="92">
        <v>2536</v>
      </c>
      <c r="H194" s="98">
        <v>615</v>
      </c>
      <c r="I194" s="98" t="s">
        <v>94</v>
      </c>
      <c r="J194" s="102">
        <f t="shared" si="29"/>
        <v>0.24</v>
      </c>
      <c r="K194" s="103">
        <f t="shared" si="30"/>
        <v>25.183714001986097</v>
      </c>
      <c r="L194" s="103">
        <f t="shared" si="31"/>
        <v>0.6854054054054054</v>
      </c>
      <c r="M194" s="96">
        <f t="shared" si="32"/>
        <v>147.6</v>
      </c>
      <c r="N194" s="96">
        <f t="shared" si="33"/>
        <v>2683.6</v>
      </c>
      <c r="O194" s="97">
        <f t="shared" si="34"/>
        <v>26.649453823237337</v>
      </c>
      <c r="P194" s="97">
        <f t="shared" si="35"/>
        <v>0.72529729729729731</v>
      </c>
      <c r="R194" s="92"/>
    </row>
    <row r="195" spans="1:18" ht="13.15" x14ac:dyDescent="0.25">
      <c r="A195" s="80" t="s">
        <v>22</v>
      </c>
      <c r="B195" s="80" t="s">
        <v>34</v>
      </c>
      <c r="C195" s="80" t="s">
        <v>26</v>
      </c>
      <c r="D195" s="80" t="s">
        <v>91</v>
      </c>
      <c r="E195" s="90">
        <v>40455</v>
      </c>
      <c r="F195" s="84">
        <v>40458</v>
      </c>
      <c r="G195" s="105">
        <v>4420</v>
      </c>
      <c r="H195" s="106">
        <v>1637</v>
      </c>
      <c r="I195" s="106" t="s">
        <v>92</v>
      </c>
      <c r="J195" s="113">
        <f t="shared" si="29"/>
        <v>0.18</v>
      </c>
      <c r="K195" s="114">
        <f t="shared" si="30"/>
        <v>43.892750744786497</v>
      </c>
      <c r="L195" s="114">
        <f t="shared" si="31"/>
        <v>1.1945945945945946</v>
      </c>
      <c r="M195" s="115">
        <f t="shared" si="32"/>
        <v>294.65999999999997</v>
      </c>
      <c r="N195" s="115">
        <f t="shared" si="33"/>
        <v>4714.66</v>
      </c>
      <c r="O195" s="116">
        <f t="shared" si="34"/>
        <v>46.818867924528298</v>
      </c>
      <c r="P195" s="116">
        <f t="shared" si="35"/>
        <v>1.2742324324324323</v>
      </c>
      <c r="R195" s="92"/>
    </row>
    <row r="196" spans="1:18" ht="13.15" x14ac:dyDescent="0.25">
      <c r="A196" s="82" t="s">
        <v>1</v>
      </c>
      <c r="B196" s="82" t="s">
        <v>2</v>
      </c>
      <c r="C196" s="82" t="s">
        <v>3</v>
      </c>
      <c r="D196" s="82" t="s">
        <v>90</v>
      </c>
      <c r="E196" s="87">
        <v>40483</v>
      </c>
      <c r="F196" s="83">
        <v>40486</v>
      </c>
      <c r="G196" s="92">
        <v>2774</v>
      </c>
      <c r="H196" s="99">
        <v>506</v>
      </c>
      <c r="I196" s="99" t="s">
        <v>92</v>
      </c>
      <c r="J196" s="100">
        <f>IF(I196="BNSF",0.43,IF(I196="CN",0.1265,IF(I196="CSX",0.24,0.17)))</f>
        <v>0.17</v>
      </c>
      <c r="K196" s="101">
        <f t="shared" ref="K196:K233" si="36">G196/100.7</f>
        <v>27.547169811320753</v>
      </c>
      <c r="L196" s="101">
        <f t="shared" ref="L196:L233" si="37">IF(A196="corn",G196/(111*2000/56),G196/(111*2000/60))</f>
        <v>0.74972972972972973</v>
      </c>
      <c r="M196" s="96">
        <f t="shared" ref="M196:M233" si="38">H196*J196</f>
        <v>86.02000000000001</v>
      </c>
      <c r="N196" s="96">
        <f t="shared" ref="N196:N233" si="39">G196+M196</f>
        <v>2860.02</v>
      </c>
      <c r="O196" s="97">
        <f t="shared" ref="O196:O233" si="40">N196/100.7</f>
        <v>28.401390268123137</v>
      </c>
      <c r="P196" s="97">
        <f t="shared" ref="P196:P233" si="41">IF(A196="corn",N196/(111*2000/56),N196/(111*2000/60))</f>
        <v>0.77297837837837835</v>
      </c>
      <c r="R196" s="92"/>
    </row>
    <row r="197" spans="1:18" ht="13.15" x14ac:dyDescent="0.25">
      <c r="A197" s="82" t="s">
        <v>1</v>
      </c>
      <c r="B197" s="82" t="s">
        <v>4</v>
      </c>
      <c r="C197" s="82" t="s">
        <v>5</v>
      </c>
      <c r="D197" s="82" t="s">
        <v>90</v>
      </c>
      <c r="E197" s="87">
        <v>40483</v>
      </c>
      <c r="F197" s="83">
        <v>40486</v>
      </c>
      <c r="G197" s="92">
        <f>SUM(-698+3261)</f>
        <v>2563</v>
      </c>
      <c r="H197" s="99">
        <v>298</v>
      </c>
      <c r="I197" s="99" t="s">
        <v>93</v>
      </c>
      <c r="J197" s="100">
        <f t="shared" ref="J197:J233" si="42">IF(I197="BNSF",0.43,IF(I197="CN",0.1265,IF(I197="CSX",0.24,0.17)))</f>
        <v>0.43</v>
      </c>
      <c r="K197" s="101">
        <f t="shared" si="36"/>
        <v>25.451837140019862</v>
      </c>
      <c r="L197" s="101">
        <f t="shared" si="37"/>
        <v>0.69270270270270273</v>
      </c>
      <c r="M197" s="96">
        <f t="shared" si="38"/>
        <v>128.13999999999999</v>
      </c>
      <c r="N197" s="96">
        <f t="shared" si="39"/>
        <v>2691.14</v>
      </c>
      <c r="O197" s="97">
        <f t="shared" si="40"/>
        <v>26.724329692154914</v>
      </c>
      <c r="P197" s="97">
        <f t="shared" si="41"/>
        <v>0.72733513513513515</v>
      </c>
      <c r="R197" s="92"/>
    </row>
    <row r="198" spans="1:18" ht="13.15" x14ac:dyDescent="0.25">
      <c r="A198" s="82" t="s">
        <v>1</v>
      </c>
      <c r="B198" s="82" t="s">
        <v>2</v>
      </c>
      <c r="C198" s="82" t="s">
        <v>6</v>
      </c>
      <c r="D198" s="82" t="s">
        <v>90</v>
      </c>
      <c r="E198" s="87">
        <v>40483</v>
      </c>
      <c r="F198" s="83">
        <v>40486</v>
      </c>
      <c r="G198" s="92">
        <v>5047</v>
      </c>
      <c r="H198" s="99">
        <v>1530</v>
      </c>
      <c r="I198" s="99" t="s">
        <v>93</v>
      </c>
      <c r="J198" s="100">
        <f t="shared" si="42"/>
        <v>0.43</v>
      </c>
      <c r="K198" s="101">
        <f t="shared" si="36"/>
        <v>50.119165839126119</v>
      </c>
      <c r="L198" s="101">
        <f t="shared" si="37"/>
        <v>1.364054054054054</v>
      </c>
      <c r="M198" s="96">
        <f t="shared" si="38"/>
        <v>657.9</v>
      </c>
      <c r="N198" s="96">
        <f t="shared" si="39"/>
        <v>5704.9</v>
      </c>
      <c r="O198" s="97">
        <f t="shared" si="40"/>
        <v>56.652432969215489</v>
      </c>
      <c r="P198" s="97">
        <f t="shared" si="41"/>
        <v>1.5418648648648647</v>
      </c>
      <c r="R198" s="92"/>
    </row>
    <row r="199" spans="1:18" ht="13.15" x14ac:dyDescent="0.25">
      <c r="A199" s="82" t="s">
        <v>1</v>
      </c>
      <c r="B199" s="82" t="s">
        <v>2</v>
      </c>
      <c r="C199" s="82" t="s">
        <v>7</v>
      </c>
      <c r="D199" s="82" t="s">
        <v>90</v>
      </c>
      <c r="E199" s="87">
        <v>40483</v>
      </c>
      <c r="F199" s="83">
        <v>40486</v>
      </c>
      <c r="G199" s="92">
        <v>3275</v>
      </c>
      <c r="H199" s="99">
        <v>890</v>
      </c>
      <c r="I199" s="99" t="s">
        <v>92</v>
      </c>
      <c r="J199" s="100">
        <f t="shared" si="42"/>
        <v>0.17</v>
      </c>
      <c r="K199" s="101">
        <f t="shared" si="36"/>
        <v>32.522343594836144</v>
      </c>
      <c r="L199" s="101">
        <f t="shared" si="37"/>
        <v>0.88513513513513509</v>
      </c>
      <c r="M199" s="96">
        <f t="shared" si="38"/>
        <v>151.30000000000001</v>
      </c>
      <c r="N199" s="96">
        <f t="shared" si="39"/>
        <v>3426.3</v>
      </c>
      <c r="O199" s="97">
        <f t="shared" si="40"/>
        <v>34.024826216484605</v>
      </c>
      <c r="P199" s="97">
        <f t="shared" si="41"/>
        <v>0.92602702702702711</v>
      </c>
      <c r="R199" s="92"/>
    </row>
    <row r="200" spans="1:18" ht="13.15" x14ac:dyDescent="0.25">
      <c r="A200" s="82" t="s">
        <v>1</v>
      </c>
      <c r="B200" s="82" t="s">
        <v>8</v>
      </c>
      <c r="C200" s="82" t="s">
        <v>9</v>
      </c>
      <c r="D200" s="82" t="s">
        <v>90</v>
      </c>
      <c r="E200" s="87">
        <v>40483</v>
      </c>
      <c r="F200" s="83">
        <v>40486</v>
      </c>
      <c r="G200" s="92">
        <f>SUM(109+4872)</f>
        <v>4981</v>
      </c>
      <c r="H200" s="99">
        <v>1256</v>
      </c>
      <c r="I200" s="99" t="s">
        <v>93</v>
      </c>
      <c r="J200" s="100">
        <f t="shared" si="42"/>
        <v>0.43</v>
      </c>
      <c r="K200" s="101">
        <f t="shared" si="36"/>
        <v>49.46375372393247</v>
      </c>
      <c r="L200" s="101">
        <f t="shared" si="37"/>
        <v>1.3462162162162161</v>
      </c>
      <c r="M200" s="96">
        <f t="shared" si="38"/>
        <v>540.08000000000004</v>
      </c>
      <c r="N200" s="96">
        <f t="shared" si="39"/>
        <v>5521.08</v>
      </c>
      <c r="O200" s="97">
        <f t="shared" si="40"/>
        <v>54.827010923535248</v>
      </c>
      <c r="P200" s="97">
        <f t="shared" si="41"/>
        <v>1.4921837837837837</v>
      </c>
      <c r="R200" s="92"/>
    </row>
    <row r="201" spans="1:18" ht="13.15" x14ac:dyDescent="0.25">
      <c r="A201" s="82" t="s">
        <v>1</v>
      </c>
      <c r="B201" s="82" t="s">
        <v>10</v>
      </c>
      <c r="C201" s="82" t="s">
        <v>9</v>
      </c>
      <c r="D201" s="82" t="s">
        <v>90</v>
      </c>
      <c r="E201" s="87">
        <v>40483</v>
      </c>
      <c r="F201" s="83">
        <v>40486</v>
      </c>
      <c r="G201" s="92">
        <v>3543</v>
      </c>
      <c r="H201" s="99">
        <v>975</v>
      </c>
      <c r="I201" s="99" t="s">
        <v>92</v>
      </c>
      <c r="J201" s="100">
        <f t="shared" si="42"/>
        <v>0.17</v>
      </c>
      <c r="K201" s="101">
        <f t="shared" si="36"/>
        <v>35.183714001986097</v>
      </c>
      <c r="L201" s="101">
        <f t="shared" si="37"/>
        <v>0.95756756756756756</v>
      </c>
      <c r="M201" s="96">
        <f t="shared" si="38"/>
        <v>165.75</v>
      </c>
      <c r="N201" s="96">
        <f t="shared" si="39"/>
        <v>3708.75</v>
      </c>
      <c r="O201" s="97">
        <f t="shared" si="40"/>
        <v>36.829692154915591</v>
      </c>
      <c r="P201" s="97">
        <f t="shared" si="41"/>
        <v>1.0023648648648649</v>
      </c>
      <c r="R201" s="92"/>
    </row>
    <row r="202" spans="1:18" ht="13.15" x14ac:dyDescent="0.25">
      <c r="A202" s="82" t="s">
        <v>1</v>
      </c>
      <c r="B202" s="82" t="s">
        <v>11</v>
      </c>
      <c r="C202" s="82" t="s">
        <v>6</v>
      </c>
      <c r="D202" s="82" t="s">
        <v>90</v>
      </c>
      <c r="E202" s="87">
        <v>40483</v>
      </c>
      <c r="F202" s="83">
        <v>40486</v>
      </c>
      <c r="G202" s="92">
        <v>3742</v>
      </c>
      <c r="H202" s="99">
        <v>1357</v>
      </c>
      <c r="I202" s="99" t="s">
        <v>92</v>
      </c>
      <c r="J202" s="100">
        <f t="shared" si="42"/>
        <v>0.17</v>
      </c>
      <c r="K202" s="101">
        <f t="shared" si="36"/>
        <v>37.159880834160873</v>
      </c>
      <c r="L202" s="101">
        <f t="shared" si="37"/>
        <v>1.0113513513513515</v>
      </c>
      <c r="M202" s="96">
        <f t="shared" si="38"/>
        <v>230.69000000000003</v>
      </c>
      <c r="N202" s="96">
        <f t="shared" si="39"/>
        <v>3972.69</v>
      </c>
      <c r="O202" s="97">
        <f t="shared" si="40"/>
        <v>39.450744786494539</v>
      </c>
      <c r="P202" s="97">
        <f t="shared" si="41"/>
        <v>1.0737000000000001</v>
      </c>
      <c r="R202" s="92"/>
    </row>
    <row r="203" spans="1:18" ht="13.15" x14ac:dyDescent="0.25">
      <c r="A203" s="82" t="s">
        <v>134</v>
      </c>
      <c r="B203" s="82" t="s">
        <v>13</v>
      </c>
      <c r="C203" s="82" t="s">
        <v>7</v>
      </c>
      <c r="D203" s="82" t="s">
        <v>90</v>
      </c>
      <c r="E203" s="87">
        <v>40483</v>
      </c>
      <c r="F203" s="83">
        <v>40486</v>
      </c>
      <c r="G203" s="92">
        <v>2812</v>
      </c>
      <c r="H203" s="99">
        <v>1006</v>
      </c>
      <c r="I203" s="99" t="s">
        <v>92</v>
      </c>
      <c r="J203" s="100">
        <f t="shared" si="42"/>
        <v>0.17</v>
      </c>
      <c r="K203" s="101">
        <f t="shared" si="36"/>
        <v>27.924528301886792</v>
      </c>
      <c r="L203" s="101">
        <f t="shared" si="37"/>
        <v>0.70933333333333337</v>
      </c>
      <c r="M203" s="96">
        <f t="shared" si="38"/>
        <v>171.02</v>
      </c>
      <c r="N203" s="96">
        <f t="shared" si="39"/>
        <v>2983.02</v>
      </c>
      <c r="O203" s="97">
        <f t="shared" si="40"/>
        <v>29.622840119165836</v>
      </c>
      <c r="P203" s="97">
        <f t="shared" si="41"/>
        <v>0.75247351351351355</v>
      </c>
      <c r="R203" s="92"/>
    </row>
    <row r="204" spans="1:18" ht="13.15" x14ac:dyDescent="0.25">
      <c r="A204" s="82" t="s">
        <v>134</v>
      </c>
      <c r="B204" s="82" t="s">
        <v>14</v>
      </c>
      <c r="C204" s="82" t="s">
        <v>15</v>
      </c>
      <c r="D204" s="82" t="s">
        <v>90</v>
      </c>
      <c r="E204" s="87">
        <v>40483</v>
      </c>
      <c r="F204" s="83">
        <v>40486</v>
      </c>
      <c r="G204" s="92">
        <v>3760</v>
      </c>
      <c r="H204" s="99">
        <v>866</v>
      </c>
      <c r="I204" s="99" t="s">
        <v>94</v>
      </c>
      <c r="J204" s="100">
        <f t="shared" si="42"/>
        <v>0.24</v>
      </c>
      <c r="K204" s="101">
        <f t="shared" si="36"/>
        <v>37.338629592850047</v>
      </c>
      <c r="L204" s="101">
        <f t="shared" si="37"/>
        <v>0.94846846846846844</v>
      </c>
      <c r="M204" s="96">
        <f t="shared" si="38"/>
        <v>207.84</v>
      </c>
      <c r="N204" s="96">
        <f t="shared" si="39"/>
        <v>3967.84</v>
      </c>
      <c r="O204" s="97">
        <f t="shared" si="40"/>
        <v>39.402581926514401</v>
      </c>
      <c r="P204" s="97">
        <f t="shared" si="41"/>
        <v>1.0008965765765767</v>
      </c>
      <c r="R204" s="92"/>
    </row>
    <row r="205" spans="1:18" ht="13.15" x14ac:dyDescent="0.25">
      <c r="A205" s="82" t="s">
        <v>134</v>
      </c>
      <c r="B205" s="82" t="s">
        <v>16</v>
      </c>
      <c r="C205" s="82" t="s">
        <v>17</v>
      </c>
      <c r="D205" s="82" t="s">
        <v>90</v>
      </c>
      <c r="E205" s="87">
        <v>40483</v>
      </c>
      <c r="F205" s="83">
        <v>40486</v>
      </c>
      <c r="G205" s="92">
        <v>1843</v>
      </c>
      <c r="H205" s="99">
        <v>213</v>
      </c>
      <c r="I205" s="99" t="s">
        <v>92</v>
      </c>
      <c r="J205" s="100">
        <f t="shared" si="42"/>
        <v>0.17</v>
      </c>
      <c r="K205" s="101">
        <f t="shared" si="36"/>
        <v>18.30188679245283</v>
      </c>
      <c r="L205" s="101">
        <f t="shared" si="37"/>
        <v>0.46490090090090092</v>
      </c>
      <c r="M205" s="96">
        <f t="shared" si="38"/>
        <v>36.21</v>
      </c>
      <c r="N205" s="96">
        <f t="shared" si="39"/>
        <v>1879.21</v>
      </c>
      <c r="O205" s="97">
        <f t="shared" si="40"/>
        <v>18.66146971201589</v>
      </c>
      <c r="P205" s="97">
        <f t="shared" si="41"/>
        <v>0.47403495495495496</v>
      </c>
      <c r="R205" s="92"/>
    </row>
    <row r="206" spans="1:18" ht="13.15" x14ac:dyDescent="0.25">
      <c r="A206" s="82" t="s">
        <v>134</v>
      </c>
      <c r="B206" s="82" t="s">
        <v>18</v>
      </c>
      <c r="C206" s="82" t="s">
        <v>19</v>
      </c>
      <c r="D206" s="82" t="s">
        <v>90</v>
      </c>
      <c r="E206" s="87">
        <v>40483</v>
      </c>
      <c r="F206" s="83">
        <v>40486</v>
      </c>
      <c r="G206" s="92">
        <v>3196</v>
      </c>
      <c r="H206" s="99">
        <v>650</v>
      </c>
      <c r="I206" s="99" t="s">
        <v>94</v>
      </c>
      <c r="J206" s="100">
        <f t="shared" si="42"/>
        <v>0.24</v>
      </c>
      <c r="K206" s="101">
        <f t="shared" si="36"/>
        <v>31.737835153922543</v>
      </c>
      <c r="L206" s="101">
        <f t="shared" si="37"/>
        <v>0.80619819819819816</v>
      </c>
      <c r="M206" s="96">
        <f t="shared" si="38"/>
        <v>156</v>
      </c>
      <c r="N206" s="96">
        <f t="shared" si="39"/>
        <v>3352</v>
      </c>
      <c r="O206" s="97">
        <f t="shared" si="40"/>
        <v>33.286991062562066</v>
      </c>
      <c r="P206" s="97">
        <f t="shared" si="41"/>
        <v>0.84554954954954953</v>
      </c>
      <c r="R206" s="92"/>
    </row>
    <row r="207" spans="1:18" ht="13.15" x14ac:dyDescent="0.25">
      <c r="A207" s="82" t="s">
        <v>134</v>
      </c>
      <c r="B207" s="82" t="s">
        <v>18</v>
      </c>
      <c r="C207" s="82" t="s">
        <v>20</v>
      </c>
      <c r="D207" s="82" t="s">
        <v>90</v>
      </c>
      <c r="E207" s="87">
        <v>40483</v>
      </c>
      <c r="F207" s="83">
        <v>40486</v>
      </c>
      <c r="G207" s="92">
        <v>2760</v>
      </c>
      <c r="H207" s="99">
        <v>417</v>
      </c>
      <c r="I207" s="99" t="s">
        <v>94</v>
      </c>
      <c r="J207" s="100">
        <f t="shared" si="42"/>
        <v>0.24</v>
      </c>
      <c r="K207" s="101">
        <f t="shared" si="36"/>
        <v>27.408142999006952</v>
      </c>
      <c r="L207" s="101">
        <f t="shared" si="37"/>
        <v>0.69621621621621621</v>
      </c>
      <c r="M207" s="96">
        <f t="shared" si="38"/>
        <v>100.08</v>
      </c>
      <c r="N207" s="96">
        <f t="shared" si="39"/>
        <v>2860.08</v>
      </c>
      <c r="O207" s="97">
        <f t="shared" si="40"/>
        <v>28.401986097318765</v>
      </c>
      <c r="P207" s="97">
        <f t="shared" si="41"/>
        <v>0.72146162162162164</v>
      </c>
      <c r="R207" s="92"/>
    </row>
    <row r="208" spans="1:18" ht="13.15" x14ac:dyDescent="0.25">
      <c r="A208" s="82" t="s">
        <v>134</v>
      </c>
      <c r="B208" s="82" t="s">
        <v>16</v>
      </c>
      <c r="C208" s="82" t="s">
        <v>21</v>
      </c>
      <c r="D208" s="82" t="s">
        <v>90</v>
      </c>
      <c r="E208" s="87">
        <v>40483</v>
      </c>
      <c r="F208" s="83">
        <v>40486</v>
      </c>
      <c r="G208" s="92">
        <v>2938</v>
      </c>
      <c r="H208" s="99">
        <v>626</v>
      </c>
      <c r="I208" s="99" t="s">
        <v>92</v>
      </c>
      <c r="J208" s="100">
        <f t="shared" si="42"/>
        <v>0.17</v>
      </c>
      <c r="K208" s="101">
        <f t="shared" si="36"/>
        <v>29.175769612711022</v>
      </c>
      <c r="L208" s="101">
        <f t="shared" si="37"/>
        <v>0.74111711711711714</v>
      </c>
      <c r="M208" s="96">
        <f t="shared" si="38"/>
        <v>106.42</v>
      </c>
      <c r="N208" s="96">
        <f t="shared" si="39"/>
        <v>3044.42</v>
      </c>
      <c r="O208" s="97">
        <f t="shared" si="40"/>
        <v>30.232571996027804</v>
      </c>
      <c r="P208" s="97">
        <f t="shared" si="41"/>
        <v>0.76796180180180185</v>
      </c>
      <c r="R208" s="92"/>
    </row>
    <row r="209" spans="1:18" ht="13.15" x14ac:dyDescent="0.25">
      <c r="A209" s="82" t="s">
        <v>134</v>
      </c>
      <c r="B209" s="82" t="s">
        <v>16</v>
      </c>
      <c r="C209" s="82" t="s">
        <v>6</v>
      </c>
      <c r="D209" s="82" t="s">
        <v>90</v>
      </c>
      <c r="E209" s="87">
        <v>40483</v>
      </c>
      <c r="F209" s="83">
        <v>40486</v>
      </c>
      <c r="G209" s="92">
        <v>4372</v>
      </c>
      <c r="H209" s="99">
        <v>1823</v>
      </c>
      <c r="I209" s="99" t="s">
        <v>92</v>
      </c>
      <c r="J209" s="100">
        <f t="shared" si="42"/>
        <v>0.17</v>
      </c>
      <c r="K209" s="101">
        <f t="shared" si="36"/>
        <v>43.416087388282023</v>
      </c>
      <c r="L209" s="101">
        <f t="shared" si="37"/>
        <v>1.1028468468468469</v>
      </c>
      <c r="M209" s="96">
        <f t="shared" si="38"/>
        <v>309.91000000000003</v>
      </c>
      <c r="N209" s="96">
        <f t="shared" si="39"/>
        <v>4681.91</v>
      </c>
      <c r="O209" s="97">
        <f t="shared" si="40"/>
        <v>46.493644488579939</v>
      </c>
      <c r="P209" s="97">
        <f t="shared" si="41"/>
        <v>1.1810223423423423</v>
      </c>
      <c r="R209" s="92"/>
    </row>
    <row r="210" spans="1:18" ht="13.15" x14ac:dyDescent="0.25">
      <c r="A210" s="82" t="s">
        <v>22</v>
      </c>
      <c r="B210" s="82" t="s">
        <v>23</v>
      </c>
      <c r="C210" s="82" t="s">
        <v>7</v>
      </c>
      <c r="D210" s="82" t="s">
        <v>90</v>
      </c>
      <c r="E210" s="87">
        <v>40483</v>
      </c>
      <c r="F210" s="83">
        <v>40486</v>
      </c>
      <c r="G210" s="92">
        <v>3316</v>
      </c>
      <c r="H210" s="99">
        <v>1295</v>
      </c>
      <c r="I210" s="99" t="s">
        <v>95</v>
      </c>
      <c r="J210" s="100">
        <f t="shared" si="42"/>
        <v>0.1265</v>
      </c>
      <c r="K210" s="101">
        <f t="shared" si="36"/>
        <v>32.929493545183711</v>
      </c>
      <c r="L210" s="101">
        <f t="shared" si="37"/>
        <v>0.89621621621621617</v>
      </c>
      <c r="M210" s="96">
        <f t="shared" si="38"/>
        <v>163.8175</v>
      </c>
      <c r="N210" s="96">
        <f t="shared" si="39"/>
        <v>3479.8175000000001</v>
      </c>
      <c r="O210" s="97">
        <f t="shared" si="40"/>
        <v>34.556281032770606</v>
      </c>
      <c r="P210" s="97">
        <f t="shared" si="41"/>
        <v>0.94049121621621623</v>
      </c>
      <c r="R210" s="92"/>
    </row>
    <row r="211" spans="1:18" ht="13.15" x14ac:dyDescent="0.25">
      <c r="A211" s="82" t="s">
        <v>22</v>
      </c>
      <c r="B211" s="82" t="s">
        <v>14</v>
      </c>
      <c r="C211" s="82" t="s">
        <v>24</v>
      </c>
      <c r="D211" s="82" t="s">
        <v>90</v>
      </c>
      <c r="E211" s="87">
        <v>40483</v>
      </c>
      <c r="F211" s="83">
        <v>40486</v>
      </c>
      <c r="G211" s="92">
        <v>2921</v>
      </c>
      <c r="H211" s="99">
        <v>615</v>
      </c>
      <c r="I211" s="99" t="s">
        <v>94</v>
      </c>
      <c r="J211" s="100">
        <f t="shared" si="42"/>
        <v>0.24</v>
      </c>
      <c r="K211" s="101">
        <f t="shared" si="36"/>
        <v>29.006951340615689</v>
      </c>
      <c r="L211" s="101">
        <f t="shared" si="37"/>
        <v>0.7894594594594595</v>
      </c>
      <c r="M211" s="96">
        <f t="shared" si="38"/>
        <v>147.6</v>
      </c>
      <c r="N211" s="96">
        <f t="shared" si="39"/>
        <v>3068.6</v>
      </c>
      <c r="O211" s="97">
        <f t="shared" si="40"/>
        <v>30.47269116186693</v>
      </c>
      <c r="P211" s="97">
        <f t="shared" si="41"/>
        <v>0.8293513513513513</v>
      </c>
      <c r="R211" s="92"/>
    </row>
    <row r="212" spans="1:18" ht="13.15" x14ac:dyDescent="0.25">
      <c r="A212" s="82" t="s">
        <v>22</v>
      </c>
      <c r="B212" s="82" t="s">
        <v>18</v>
      </c>
      <c r="C212" s="82" t="s">
        <v>15</v>
      </c>
      <c r="D212" s="82" t="s">
        <v>90</v>
      </c>
      <c r="E212" s="87">
        <v>40483</v>
      </c>
      <c r="F212" s="83">
        <v>40486</v>
      </c>
      <c r="G212" s="92">
        <v>3830</v>
      </c>
      <c r="H212" s="99">
        <v>872</v>
      </c>
      <c r="I212" s="99" t="s">
        <v>94</v>
      </c>
      <c r="J212" s="100">
        <f t="shared" si="42"/>
        <v>0.24</v>
      </c>
      <c r="K212" s="101">
        <f t="shared" si="36"/>
        <v>38.033763654419069</v>
      </c>
      <c r="L212" s="101">
        <f t="shared" si="37"/>
        <v>1.0351351351351352</v>
      </c>
      <c r="M212" s="96">
        <f t="shared" si="38"/>
        <v>209.28</v>
      </c>
      <c r="N212" s="96">
        <f t="shared" si="39"/>
        <v>4039.28</v>
      </c>
      <c r="O212" s="97">
        <f t="shared" si="40"/>
        <v>40.112015888778551</v>
      </c>
      <c r="P212" s="97">
        <f t="shared" si="41"/>
        <v>1.0916972972972974</v>
      </c>
      <c r="R212" s="92"/>
    </row>
    <row r="213" spans="1:18" ht="13.15" x14ac:dyDescent="0.25">
      <c r="A213" s="82" t="s">
        <v>22</v>
      </c>
      <c r="B213" s="82" t="s">
        <v>18</v>
      </c>
      <c r="C213" s="82" t="s">
        <v>24</v>
      </c>
      <c r="D213" s="82" t="s">
        <v>90</v>
      </c>
      <c r="E213" s="87">
        <v>40483</v>
      </c>
      <c r="F213" s="83">
        <v>40486</v>
      </c>
      <c r="G213" s="92">
        <v>2613</v>
      </c>
      <c r="H213" s="99">
        <v>417</v>
      </c>
      <c r="I213" s="99" t="s">
        <v>94</v>
      </c>
      <c r="J213" s="100">
        <f t="shared" si="42"/>
        <v>0.24</v>
      </c>
      <c r="K213" s="101">
        <f t="shared" si="36"/>
        <v>25.948361469712015</v>
      </c>
      <c r="L213" s="101">
        <f t="shared" si="37"/>
        <v>0.70621621621621622</v>
      </c>
      <c r="M213" s="96">
        <f t="shared" si="38"/>
        <v>100.08</v>
      </c>
      <c r="N213" s="96">
        <f t="shared" si="39"/>
        <v>2713.08</v>
      </c>
      <c r="O213" s="97">
        <f t="shared" si="40"/>
        <v>26.942204568023833</v>
      </c>
      <c r="P213" s="97">
        <f t="shared" si="41"/>
        <v>0.73326486486486486</v>
      </c>
      <c r="R213" s="92"/>
    </row>
    <row r="214" spans="1:18" ht="13.15" x14ac:dyDescent="0.25">
      <c r="A214" s="82" t="s">
        <v>22</v>
      </c>
      <c r="B214" s="82" t="s">
        <v>13</v>
      </c>
      <c r="C214" s="82" t="s">
        <v>7</v>
      </c>
      <c r="D214" s="82" t="s">
        <v>90</v>
      </c>
      <c r="E214" s="87">
        <v>40483</v>
      </c>
      <c r="F214" s="83">
        <v>40486</v>
      </c>
      <c r="G214" s="92">
        <v>3156</v>
      </c>
      <c r="H214" s="99">
        <v>1006</v>
      </c>
      <c r="I214" s="99" t="s">
        <v>92</v>
      </c>
      <c r="J214" s="100">
        <f t="shared" si="42"/>
        <v>0.17</v>
      </c>
      <c r="K214" s="101">
        <f t="shared" si="36"/>
        <v>31.340615690168818</v>
      </c>
      <c r="L214" s="101">
        <f t="shared" si="37"/>
        <v>0.85297297297297292</v>
      </c>
      <c r="M214" s="96">
        <f t="shared" si="38"/>
        <v>171.02</v>
      </c>
      <c r="N214" s="96">
        <f t="shared" si="39"/>
        <v>3327.02</v>
      </c>
      <c r="O214" s="97">
        <f t="shared" si="40"/>
        <v>33.038927507447866</v>
      </c>
      <c r="P214" s="97">
        <f t="shared" si="41"/>
        <v>0.89919459459459461</v>
      </c>
      <c r="R214" s="92"/>
    </row>
    <row r="215" spans="1:18" ht="13.15" x14ac:dyDescent="0.25">
      <c r="A215" s="82" t="s">
        <v>1</v>
      </c>
      <c r="B215" s="82" t="s">
        <v>25</v>
      </c>
      <c r="C215" s="82" t="s">
        <v>26</v>
      </c>
      <c r="D215" s="82" t="s">
        <v>91</v>
      </c>
      <c r="E215" s="87">
        <v>40483</v>
      </c>
      <c r="F215" s="83">
        <v>40486</v>
      </c>
      <c r="G215" s="92">
        <v>2868</v>
      </c>
      <c r="H215" s="99">
        <v>880</v>
      </c>
      <c r="I215" s="99" t="s">
        <v>93</v>
      </c>
      <c r="J215" s="100">
        <f t="shared" si="42"/>
        <v>0.43</v>
      </c>
      <c r="K215" s="101">
        <f t="shared" si="36"/>
        <v>28.480635551142004</v>
      </c>
      <c r="L215" s="101">
        <f t="shared" si="37"/>
        <v>0.7751351351351351</v>
      </c>
      <c r="M215" s="96">
        <f t="shared" si="38"/>
        <v>378.4</v>
      </c>
      <c r="N215" s="96">
        <f t="shared" si="39"/>
        <v>3246.4</v>
      </c>
      <c r="O215" s="97">
        <f t="shared" si="40"/>
        <v>32.238331678252237</v>
      </c>
      <c r="P215" s="97">
        <f t="shared" si="41"/>
        <v>0.87740540540540546</v>
      </c>
      <c r="R215" s="92"/>
    </row>
    <row r="216" spans="1:18" ht="13.15" x14ac:dyDescent="0.25">
      <c r="A216" s="82" t="s">
        <v>1</v>
      </c>
      <c r="B216" s="82" t="s">
        <v>2</v>
      </c>
      <c r="C216" s="82" t="s">
        <v>9</v>
      </c>
      <c r="D216" s="82" t="s">
        <v>91</v>
      </c>
      <c r="E216" s="87">
        <v>40483</v>
      </c>
      <c r="F216" s="83">
        <v>40486</v>
      </c>
      <c r="G216" s="92">
        <v>2867</v>
      </c>
      <c r="H216" s="99">
        <v>685</v>
      </c>
      <c r="I216" s="99" t="s">
        <v>93</v>
      </c>
      <c r="J216" s="100">
        <f t="shared" si="42"/>
        <v>0.43</v>
      </c>
      <c r="K216" s="101">
        <f t="shared" si="36"/>
        <v>28.470705064548163</v>
      </c>
      <c r="L216" s="101">
        <f t="shared" si="37"/>
        <v>0.77486486486486483</v>
      </c>
      <c r="M216" s="96">
        <f t="shared" si="38"/>
        <v>294.55</v>
      </c>
      <c r="N216" s="96">
        <f t="shared" si="39"/>
        <v>3161.55</v>
      </c>
      <c r="O216" s="97">
        <f t="shared" si="40"/>
        <v>31.395729890764649</v>
      </c>
      <c r="P216" s="97">
        <f t="shared" si="41"/>
        <v>0.85447297297297298</v>
      </c>
      <c r="R216" s="92"/>
    </row>
    <row r="217" spans="1:18" ht="13.15" x14ac:dyDescent="0.25">
      <c r="A217" s="82" t="s">
        <v>1</v>
      </c>
      <c r="B217" s="82" t="s">
        <v>27</v>
      </c>
      <c r="C217" s="82" t="s">
        <v>28</v>
      </c>
      <c r="D217" s="82" t="s">
        <v>91</v>
      </c>
      <c r="E217" s="87">
        <v>40483</v>
      </c>
      <c r="F217" s="83">
        <v>40486</v>
      </c>
      <c r="G217" s="92">
        <v>3497</v>
      </c>
      <c r="H217" s="99">
        <v>812</v>
      </c>
      <c r="I217" s="99" t="s">
        <v>94</v>
      </c>
      <c r="J217" s="100">
        <f t="shared" si="42"/>
        <v>0.24</v>
      </c>
      <c r="K217" s="101">
        <f t="shared" si="36"/>
        <v>34.726911618669313</v>
      </c>
      <c r="L217" s="101">
        <f t="shared" si="37"/>
        <v>0.94513513513513514</v>
      </c>
      <c r="M217" s="96">
        <f t="shared" si="38"/>
        <v>194.88</v>
      </c>
      <c r="N217" s="96">
        <f t="shared" si="39"/>
        <v>3691.88</v>
      </c>
      <c r="O217" s="97">
        <f t="shared" si="40"/>
        <v>36.662164846077459</v>
      </c>
      <c r="P217" s="97">
        <f t="shared" si="41"/>
        <v>0.99780540540540541</v>
      </c>
      <c r="R217" s="92"/>
    </row>
    <row r="218" spans="1:18" ht="13.15" x14ac:dyDescent="0.25">
      <c r="A218" s="82" t="s">
        <v>1</v>
      </c>
      <c r="B218" s="82" t="s">
        <v>4</v>
      </c>
      <c r="C218" s="82" t="s">
        <v>26</v>
      </c>
      <c r="D218" s="82" t="s">
        <v>91</v>
      </c>
      <c r="E218" s="87">
        <v>40483</v>
      </c>
      <c r="F218" s="83">
        <v>40486</v>
      </c>
      <c r="G218" s="92">
        <v>4131</v>
      </c>
      <c r="H218" s="99">
        <v>1520</v>
      </c>
      <c r="I218" s="99" t="s">
        <v>93</v>
      </c>
      <c r="J218" s="100">
        <f t="shared" si="42"/>
        <v>0.43</v>
      </c>
      <c r="K218" s="101">
        <f t="shared" si="36"/>
        <v>41.022840119165835</v>
      </c>
      <c r="L218" s="101">
        <f t="shared" si="37"/>
        <v>1.1164864864864865</v>
      </c>
      <c r="M218" s="96">
        <f t="shared" si="38"/>
        <v>653.6</v>
      </c>
      <c r="N218" s="96">
        <f t="shared" si="39"/>
        <v>4784.6000000000004</v>
      </c>
      <c r="O218" s="97">
        <f t="shared" si="40"/>
        <v>47.513406156901688</v>
      </c>
      <c r="P218" s="97">
        <f t="shared" si="41"/>
        <v>1.2931351351351352</v>
      </c>
      <c r="R218" s="92"/>
    </row>
    <row r="219" spans="1:18" ht="13.15" x14ac:dyDescent="0.25">
      <c r="A219" s="82" t="s">
        <v>1</v>
      </c>
      <c r="B219" s="82" t="s">
        <v>4</v>
      </c>
      <c r="C219" s="82" t="s">
        <v>9</v>
      </c>
      <c r="D219" s="82" t="s">
        <v>91</v>
      </c>
      <c r="E219" s="87">
        <v>40483</v>
      </c>
      <c r="F219" s="83">
        <v>40486</v>
      </c>
      <c r="G219" s="92">
        <f>SUM(2591+2455)</f>
        <v>5046</v>
      </c>
      <c r="H219" s="99">
        <v>1583</v>
      </c>
      <c r="I219" s="99" t="s">
        <v>93</v>
      </c>
      <c r="J219" s="100">
        <f t="shared" si="42"/>
        <v>0.43</v>
      </c>
      <c r="K219" s="101">
        <f t="shared" si="36"/>
        <v>50.109235352532274</v>
      </c>
      <c r="L219" s="101">
        <f t="shared" si="37"/>
        <v>1.3637837837837838</v>
      </c>
      <c r="M219" s="96">
        <f t="shared" si="38"/>
        <v>680.68999999999994</v>
      </c>
      <c r="N219" s="96">
        <f t="shared" si="39"/>
        <v>5726.69</v>
      </c>
      <c r="O219" s="97">
        <f t="shared" si="40"/>
        <v>56.868818272095325</v>
      </c>
      <c r="P219" s="97">
        <f t="shared" si="41"/>
        <v>1.547754054054054</v>
      </c>
      <c r="R219" s="92"/>
    </row>
    <row r="220" spans="1:18" ht="13.15" x14ac:dyDescent="0.25">
      <c r="A220" s="82" t="s">
        <v>1</v>
      </c>
      <c r="B220" s="82" t="s">
        <v>10</v>
      </c>
      <c r="C220" s="82" t="s">
        <v>26</v>
      </c>
      <c r="D220" s="82" t="s">
        <v>91</v>
      </c>
      <c r="E220" s="87">
        <v>40483</v>
      </c>
      <c r="F220" s="83">
        <v>40486</v>
      </c>
      <c r="G220" s="92">
        <v>4510</v>
      </c>
      <c r="H220" s="99">
        <v>1599</v>
      </c>
      <c r="I220" s="99" t="s">
        <v>92</v>
      </c>
      <c r="J220" s="100">
        <f t="shared" si="42"/>
        <v>0.17</v>
      </c>
      <c r="K220" s="101">
        <f t="shared" si="36"/>
        <v>44.786494538232375</v>
      </c>
      <c r="L220" s="101">
        <f t="shared" si="37"/>
        <v>1.2189189189189189</v>
      </c>
      <c r="M220" s="96">
        <f t="shared" si="38"/>
        <v>271.83000000000004</v>
      </c>
      <c r="N220" s="96">
        <f t="shared" si="39"/>
        <v>4781.83</v>
      </c>
      <c r="O220" s="97">
        <f t="shared" si="40"/>
        <v>47.485898709036739</v>
      </c>
      <c r="P220" s="97">
        <f t="shared" si="41"/>
        <v>1.2923864864864865</v>
      </c>
      <c r="R220" s="92"/>
    </row>
    <row r="221" spans="1:18" ht="13.15" x14ac:dyDescent="0.25">
      <c r="A221" s="82" t="s">
        <v>134</v>
      </c>
      <c r="B221" s="82" t="s">
        <v>23</v>
      </c>
      <c r="C221" s="82" t="s">
        <v>26</v>
      </c>
      <c r="D221" s="82" t="s">
        <v>91</v>
      </c>
      <c r="E221" s="87">
        <v>40483</v>
      </c>
      <c r="F221" s="83">
        <v>40486</v>
      </c>
      <c r="G221" s="92">
        <v>4000</v>
      </c>
      <c r="H221" s="99">
        <v>1851</v>
      </c>
      <c r="I221" s="99" t="s">
        <v>93</v>
      </c>
      <c r="J221" s="100">
        <f t="shared" si="42"/>
        <v>0.43</v>
      </c>
      <c r="K221" s="101">
        <f t="shared" si="36"/>
        <v>39.72194637537239</v>
      </c>
      <c r="L221" s="101">
        <f t="shared" si="37"/>
        <v>1.0090090090090089</v>
      </c>
      <c r="M221" s="96">
        <f t="shared" si="38"/>
        <v>795.93</v>
      </c>
      <c r="N221" s="96">
        <f t="shared" si="39"/>
        <v>4795.93</v>
      </c>
      <c r="O221" s="97">
        <f t="shared" si="40"/>
        <v>47.625918570009929</v>
      </c>
      <c r="P221" s="97">
        <f t="shared" si="41"/>
        <v>1.2097841441441441</v>
      </c>
      <c r="R221" s="92"/>
    </row>
    <row r="222" spans="1:18" ht="13.15" x14ac:dyDescent="0.25">
      <c r="A222" s="82" t="s">
        <v>134</v>
      </c>
      <c r="B222" s="82" t="s">
        <v>8</v>
      </c>
      <c r="C222" s="82" t="s">
        <v>29</v>
      </c>
      <c r="D222" s="82" t="s">
        <v>91</v>
      </c>
      <c r="E222" s="87">
        <v>40483</v>
      </c>
      <c r="F222" s="83">
        <v>40486</v>
      </c>
      <c r="G222" s="92">
        <v>4000</v>
      </c>
      <c r="H222" s="99">
        <v>1695</v>
      </c>
      <c r="I222" s="99" t="s">
        <v>93</v>
      </c>
      <c r="J222" s="100">
        <f t="shared" si="42"/>
        <v>0.43</v>
      </c>
      <c r="K222" s="101">
        <f t="shared" si="36"/>
        <v>39.72194637537239</v>
      </c>
      <c r="L222" s="101">
        <f t="shared" si="37"/>
        <v>1.0090090090090089</v>
      </c>
      <c r="M222" s="96">
        <f t="shared" si="38"/>
        <v>728.85</v>
      </c>
      <c r="N222" s="96">
        <f t="shared" si="39"/>
        <v>4728.8500000000004</v>
      </c>
      <c r="O222" s="97">
        <f t="shared" si="40"/>
        <v>46.959781529294936</v>
      </c>
      <c r="P222" s="97">
        <f t="shared" si="41"/>
        <v>1.1928630630630632</v>
      </c>
      <c r="R222" s="92"/>
    </row>
    <row r="223" spans="1:18" ht="13.15" x14ac:dyDescent="0.25">
      <c r="A223" s="82" t="s">
        <v>134</v>
      </c>
      <c r="B223" s="82" t="s">
        <v>13</v>
      </c>
      <c r="C223" s="82" t="s">
        <v>7</v>
      </c>
      <c r="D223" s="82" t="s">
        <v>91</v>
      </c>
      <c r="E223" s="87">
        <v>40483</v>
      </c>
      <c r="F223" s="83">
        <v>40486</v>
      </c>
      <c r="G223" s="92">
        <v>2677</v>
      </c>
      <c r="H223" s="99">
        <v>1006</v>
      </c>
      <c r="I223" s="99" t="s">
        <v>92</v>
      </c>
      <c r="J223" s="100">
        <f t="shared" si="42"/>
        <v>0.17</v>
      </c>
      <c r="K223" s="101">
        <f t="shared" si="36"/>
        <v>26.583912611717974</v>
      </c>
      <c r="L223" s="101">
        <f t="shared" si="37"/>
        <v>0.67527927927927933</v>
      </c>
      <c r="M223" s="96">
        <f t="shared" si="38"/>
        <v>171.02</v>
      </c>
      <c r="N223" s="96">
        <f t="shared" si="39"/>
        <v>2848.02</v>
      </c>
      <c r="O223" s="97">
        <f t="shared" si="40"/>
        <v>28.282224428997019</v>
      </c>
      <c r="P223" s="97">
        <f t="shared" si="41"/>
        <v>0.71841945945945951</v>
      </c>
      <c r="R223" s="92"/>
    </row>
    <row r="224" spans="1:18" ht="13.15" x14ac:dyDescent="0.25">
      <c r="A224" s="82" t="s">
        <v>134</v>
      </c>
      <c r="B224" s="82" t="s">
        <v>30</v>
      </c>
      <c r="C224" s="82" t="s">
        <v>9</v>
      </c>
      <c r="D224" s="82" t="s">
        <v>91</v>
      </c>
      <c r="E224" s="87">
        <v>40483</v>
      </c>
      <c r="F224" s="83">
        <v>40486</v>
      </c>
      <c r="G224" s="92">
        <v>2880</v>
      </c>
      <c r="H224" s="99">
        <v>988</v>
      </c>
      <c r="I224" s="99" t="s">
        <v>93</v>
      </c>
      <c r="J224" s="100">
        <f t="shared" si="42"/>
        <v>0.43</v>
      </c>
      <c r="K224" s="101">
        <f t="shared" si="36"/>
        <v>28.599801390268123</v>
      </c>
      <c r="L224" s="101">
        <f t="shared" si="37"/>
        <v>0.7264864864864865</v>
      </c>
      <c r="M224" s="96">
        <f t="shared" si="38"/>
        <v>424.84</v>
      </c>
      <c r="N224" s="96">
        <f t="shared" si="39"/>
        <v>3304.84</v>
      </c>
      <c r="O224" s="97">
        <f t="shared" si="40"/>
        <v>32.818669314796423</v>
      </c>
      <c r="P224" s="97">
        <f t="shared" si="41"/>
        <v>0.83365333333333336</v>
      </c>
      <c r="R224" s="92"/>
    </row>
    <row r="225" spans="1:20" ht="13.15" x14ac:dyDescent="0.25">
      <c r="A225" s="82" t="s">
        <v>134</v>
      </c>
      <c r="B225" s="82" t="s">
        <v>16</v>
      </c>
      <c r="C225" s="82" t="s">
        <v>11</v>
      </c>
      <c r="D225" s="82" t="s">
        <v>91</v>
      </c>
      <c r="E225" s="87">
        <v>40483</v>
      </c>
      <c r="F225" s="83">
        <v>40486</v>
      </c>
      <c r="G225" s="92">
        <v>3330</v>
      </c>
      <c r="H225" s="99">
        <v>787</v>
      </c>
      <c r="I225" s="99" t="s">
        <v>92</v>
      </c>
      <c r="J225" s="100">
        <f t="shared" si="42"/>
        <v>0.17</v>
      </c>
      <c r="K225" s="101">
        <f t="shared" si="36"/>
        <v>33.068520357497519</v>
      </c>
      <c r="L225" s="101">
        <f t="shared" si="37"/>
        <v>0.84</v>
      </c>
      <c r="M225" s="96">
        <f t="shared" si="38"/>
        <v>133.79000000000002</v>
      </c>
      <c r="N225" s="96">
        <f t="shared" si="39"/>
        <v>3463.79</v>
      </c>
      <c r="O225" s="97">
        <f t="shared" si="40"/>
        <v>34.397120158887788</v>
      </c>
      <c r="P225" s="97">
        <f t="shared" si="41"/>
        <v>0.87374882882882887</v>
      </c>
      <c r="R225" s="92"/>
    </row>
    <row r="226" spans="1:20" ht="13.15" x14ac:dyDescent="0.25">
      <c r="A226" s="82" t="s">
        <v>134</v>
      </c>
      <c r="B226" s="82" t="s">
        <v>23</v>
      </c>
      <c r="C226" s="82" t="s">
        <v>29</v>
      </c>
      <c r="D226" s="82" t="s">
        <v>91</v>
      </c>
      <c r="E226" s="87">
        <v>40483</v>
      </c>
      <c r="F226" s="83">
        <v>40486</v>
      </c>
      <c r="G226" s="92">
        <v>4000</v>
      </c>
      <c r="H226" s="99">
        <v>1836</v>
      </c>
      <c r="I226" s="99" t="s">
        <v>93</v>
      </c>
      <c r="J226" s="100">
        <f t="shared" si="42"/>
        <v>0.43</v>
      </c>
      <c r="K226" s="101">
        <f t="shared" si="36"/>
        <v>39.72194637537239</v>
      </c>
      <c r="L226" s="101">
        <f t="shared" si="37"/>
        <v>1.0090090090090089</v>
      </c>
      <c r="M226" s="96">
        <f t="shared" si="38"/>
        <v>789.48</v>
      </c>
      <c r="N226" s="96">
        <f t="shared" si="39"/>
        <v>4789.4799999999996</v>
      </c>
      <c r="O226" s="97">
        <f t="shared" si="40"/>
        <v>47.561866931479635</v>
      </c>
      <c r="P226" s="97">
        <f t="shared" si="41"/>
        <v>1.208157117117117</v>
      </c>
      <c r="R226" s="92"/>
    </row>
    <row r="227" spans="1:20" ht="13.15" x14ac:dyDescent="0.25">
      <c r="A227" s="82" t="s">
        <v>134</v>
      </c>
      <c r="B227" s="82" t="s">
        <v>31</v>
      </c>
      <c r="C227" s="82" t="s">
        <v>32</v>
      </c>
      <c r="D227" s="82" t="s">
        <v>91</v>
      </c>
      <c r="E227" s="87">
        <v>40483</v>
      </c>
      <c r="F227" s="83">
        <v>40486</v>
      </c>
      <c r="G227" s="92">
        <v>3480</v>
      </c>
      <c r="H227" s="99">
        <v>1899</v>
      </c>
      <c r="I227" s="99" t="s">
        <v>93</v>
      </c>
      <c r="J227" s="100">
        <f t="shared" si="42"/>
        <v>0.43</v>
      </c>
      <c r="K227" s="101">
        <f t="shared" si="36"/>
        <v>34.558093346573983</v>
      </c>
      <c r="L227" s="101">
        <f t="shared" si="37"/>
        <v>0.87783783783783786</v>
      </c>
      <c r="M227" s="96">
        <f t="shared" si="38"/>
        <v>816.56999999999994</v>
      </c>
      <c r="N227" s="96">
        <f t="shared" si="39"/>
        <v>4296.57</v>
      </c>
      <c r="O227" s="97">
        <f t="shared" si="40"/>
        <v>42.667030784508434</v>
      </c>
      <c r="P227" s="97">
        <f t="shared" si="41"/>
        <v>1.0838194594594595</v>
      </c>
      <c r="R227" s="92"/>
    </row>
    <row r="228" spans="1:20" ht="13.15" x14ac:dyDescent="0.25">
      <c r="A228" s="82" t="s">
        <v>22</v>
      </c>
      <c r="B228" s="82" t="s">
        <v>8</v>
      </c>
      <c r="C228" s="82" t="s">
        <v>29</v>
      </c>
      <c r="D228" s="82" t="s">
        <v>91</v>
      </c>
      <c r="E228" s="87">
        <v>40483</v>
      </c>
      <c r="F228" s="83">
        <v>40486</v>
      </c>
      <c r="G228" s="92">
        <v>4320</v>
      </c>
      <c r="H228" s="99">
        <v>1695</v>
      </c>
      <c r="I228" s="99" t="s">
        <v>93</v>
      </c>
      <c r="J228" s="100">
        <f t="shared" si="42"/>
        <v>0.43</v>
      </c>
      <c r="K228" s="101">
        <f t="shared" si="36"/>
        <v>42.899702085402183</v>
      </c>
      <c r="L228" s="101">
        <f t="shared" si="37"/>
        <v>1.1675675675675676</v>
      </c>
      <c r="M228" s="96">
        <f t="shared" si="38"/>
        <v>728.85</v>
      </c>
      <c r="N228" s="96">
        <f t="shared" si="39"/>
        <v>5048.8500000000004</v>
      </c>
      <c r="O228" s="97">
        <f t="shared" si="40"/>
        <v>50.137537239324729</v>
      </c>
      <c r="P228" s="97">
        <f t="shared" si="41"/>
        <v>1.3645540540540542</v>
      </c>
      <c r="R228" s="92"/>
    </row>
    <row r="229" spans="1:20" ht="13.15" x14ac:dyDescent="0.25">
      <c r="A229" s="82" t="s">
        <v>22</v>
      </c>
      <c r="B229" s="82" t="s">
        <v>23</v>
      </c>
      <c r="C229" s="82" t="s">
        <v>26</v>
      </c>
      <c r="D229" s="82" t="s">
        <v>91</v>
      </c>
      <c r="E229" s="87">
        <v>40483</v>
      </c>
      <c r="F229" s="83">
        <v>40486</v>
      </c>
      <c r="G229" s="92">
        <v>4270</v>
      </c>
      <c r="H229" s="99">
        <v>1851</v>
      </c>
      <c r="I229" s="99" t="s">
        <v>93</v>
      </c>
      <c r="J229" s="100">
        <f t="shared" si="42"/>
        <v>0.43</v>
      </c>
      <c r="K229" s="101">
        <f t="shared" si="36"/>
        <v>42.403177755710026</v>
      </c>
      <c r="L229" s="101">
        <f t="shared" si="37"/>
        <v>1.154054054054054</v>
      </c>
      <c r="M229" s="96">
        <f t="shared" si="38"/>
        <v>795.93</v>
      </c>
      <c r="N229" s="96">
        <f t="shared" si="39"/>
        <v>5065.93</v>
      </c>
      <c r="O229" s="97">
        <f t="shared" si="40"/>
        <v>50.307149950347565</v>
      </c>
      <c r="P229" s="97">
        <f t="shared" si="41"/>
        <v>1.3691702702702704</v>
      </c>
      <c r="R229" s="92"/>
    </row>
    <row r="230" spans="1:20" ht="13.15" x14ac:dyDescent="0.25">
      <c r="A230" s="82" t="s">
        <v>22</v>
      </c>
      <c r="B230" s="82" t="s">
        <v>33</v>
      </c>
      <c r="C230" s="82" t="s">
        <v>29</v>
      </c>
      <c r="D230" s="82" t="s">
        <v>91</v>
      </c>
      <c r="E230" s="87">
        <v>40483</v>
      </c>
      <c r="F230" s="83">
        <v>40486</v>
      </c>
      <c r="G230" s="92">
        <v>4270</v>
      </c>
      <c r="H230" s="99">
        <v>1507</v>
      </c>
      <c r="I230" s="99" t="s">
        <v>93</v>
      </c>
      <c r="J230" s="100">
        <f t="shared" si="42"/>
        <v>0.43</v>
      </c>
      <c r="K230" s="101">
        <f t="shared" si="36"/>
        <v>42.403177755710026</v>
      </c>
      <c r="L230" s="101">
        <f t="shared" si="37"/>
        <v>1.154054054054054</v>
      </c>
      <c r="M230" s="96">
        <f t="shared" si="38"/>
        <v>648.01</v>
      </c>
      <c r="N230" s="96">
        <f t="shared" si="39"/>
        <v>4918.01</v>
      </c>
      <c r="O230" s="97">
        <f t="shared" si="40"/>
        <v>48.838232373386298</v>
      </c>
      <c r="P230" s="97">
        <f t="shared" si="41"/>
        <v>1.3291918918918919</v>
      </c>
      <c r="R230" s="92"/>
    </row>
    <row r="231" spans="1:20" ht="13.15" x14ac:dyDescent="0.25">
      <c r="A231" s="82" t="s">
        <v>22</v>
      </c>
      <c r="B231" s="82" t="s">
        <v>31</v>
      </c>
      <c r="C231" s="82" t="s">
        <v>7</v>
      </c>
      <c r="D231" s="82" t="s">
        <v>91</v>
      </c>
      <c r="E231" s="87">
        <v>40483</v>
      </c>
      <c r="F231" s="83">
        <v>40486</v>
      </c>
      <c r="G231" s="92">
        <v>3510</v>
      </c>
      <c r="H231" s="99">
        <v>1160</v>
      </c>
      <c r="I231" s="99" t="s">
        <v>92</v>
      </c>
      <c r="J231" s="100">
        <f t="shared" si="42"/>
        <v>0.17</v>
      </c>
      <c r="K231" s="101">
        <f t="shared" si="36"/>
        <v>34.856007944389276</v>
      </c>
      <c r="L231" s="101">
        <f t="shared" si="37"/>
        <v>0.94864864864864862</v>
      </c>
      <c r="M231" s="96">
        <f t="shared" si="38"/>
        <v>197.20000000000002</v>
      </c>
      <c r="N231" s="96">
        <f t="shared" si="39"/>
        <v>3707.2</v>
      </c>
      <c r="O231" s="97">
        <f t="shared" si="40"/>
        <v>36.814299900695133</v>
      </c>
      <c r="P231" s="97">
        <f t="shared" si="41"/>
        <v>1.0019459459459459</v>
      </c>
      <c r="R231" s="92"/>
    </row>
    <row r="232" spans="1:20" ht="13.15" x14ac:dyDescent="0.25">
      <c r="A232" s="82" t="s">
        <v>22</v>
      </c>
      <c r="B232" s="82" t="s">
        <v>14</v>
      </c>
      <c r="C232" s="82" t="s">
        <v>24</v>
      </c>
      <c r="D232" s="82" t="s">
        <v>91</v>
      </c>
      <c r="E232" s="87">
        <v>40483</v>
      </c>
      <c r="F232" s="83">
        <v>40486</v>
      </c>
      <c r="G232" s="92">
        <v>2536</v>
      </c>
      <c r="H232" s="99">
        <v>615</v>
      </c>
      <c r="I232" s="99" t="s">
        <v>94</v>
      </c>
      <c r="J232" s="100">
        <f t="shared" si="42"/>
        <v>0.24</v>
      </c>
      <c r="K232" s="101">
        <f t="shared" si="36"/>
        <v>25.183714001986097</v>
      </c>
      <c r="L232" s="101">
        <f t="shared" si="37"/>
        <v>0.6854054054054054</v>
      </c>
      <c r="M232" s="96">
        <f t="shared" si="38"/>
        <v>147.6</v>
      </c>
      <c r="N232" s="96">
        <f t="shared" si="39"/>
        <v>2683.6</v>
      </c>
      <c r="O232" s="97">
        <f t="shared" si="40"/>
        <v>26.649453823237337</v>
      </c>
      <c r="P232" s="97">
        <f t="shared" si="41"/>
        <v>0.72529729729729731</v>
      </c>
      <c r="R232" s="92"/>
    </row>
    <row r="233" spans="1:20" ht="13.15" x14ac:dyDescent="0.25">
      <c r="A233" s="118" t="s">
        <v>22</v>
      </c>
      <c r="B233" s="118" t="s">
        <v>34</v>
      </c>
      <c r="C233" s="118" t="s">
        <v>26</v>
      </c>
      <c r="D233" s="118" t="s">
        <v>91</v>
      </c>
      <c r="E233" s="119">
        <v>40483</v>
      </c>
      <c r="F233" s="120">
        <v>40486</v>
      </c>
      <c r="G233" s="105">
        <v>4420</v>
      </c>
      <c r="H233" s="121">
        <v>1637</v>
      </c>
      <c r="I233" s="121" t="s">
        <v>92</v>
      </c>
      <c r="J233" s="122">
        <f t="shared" si="42"/>
        <v>0.17</v>
      </c>
      <c r="K233" s="123">
        <f t="shared" si="36"/>
        <v>43.892750744786497</v>
      </c>
      <c r="L233" s="123">
        <f t="shared" si="37"/>
        <v>1.1945945945945946</v>
      </c>
      <c r="M233" s="115">
        <f t="shared" si="38"/>
        <v>278.29000000000002</v>
      </c>
      <c r="N233" s="115">
        <f t="shared" si="39"/>
        <v>4698.29</v>
      </c>
      <c r="O233" s="116">
        <f t="shared" si="40"/>
        <v>46.656305858987089</v>
      </c>
      <c r="P233" s="116">
        <f t="shared" si="41"/>
        <v>1.2698081081081081</v>
      </c>
      <c r="R233" s="92"/>
    </row>
    <row r="234" spans="1:20" ht="13.15" x14ac:dyDescent="0.25">
      <c r="A234" s="60" t="s">
        <v>1</v>
      </c>
      <c r="B234" s="60" t="s">
        <v>2</v>
      </c>
      <c r="C234" s="60" t="s">
        <v>3</v>
      </c>
      <c r="D234" s="60" t="s">
        <v>90</v>
      </c>
      <c r="E234" s="89">
        <v>40518</v>
      </c>
      <c r="F234" s="61">
        <v>40521</v>
      </c>
      <c r="G234" s="92">
        <v>2774</v>
      </c>
      <c r="H234" s="93">
        <v>506</v>
      </c>
      <c r="I234" s="93" t="s">
        <v>92</v>
      </c>
      <c r="J234" s="94">
        <f>IF(I234="BNSF",0.46,IF(I234="CN",0.1495,IF(I234="CSX",0.27,0.2)))</f>
        <v>0.2</v>
      </c>
      <c r="K234" s="95">
        <f t="shared" ref="K234:K271" si="43">G234/100.7</f>
        <v>27.547169811320753</v>
      </c>
      <c r="L234" s="95">
        <f t="shared" ref="L234:L271" si="44">IF(A234="corn",G234/(111*2000/56),G234/(111*2000/60))</f>
        <v>0.74972972972972973</v>
      </c>
      <c r="M234" s="96">
        <f t="shared" ref="M234:M271" si="45">H234*J234</f>
        <v>101.2</v>
      </c>
      <c r="N234" s="96">
        <f t="shared" ref="N234:N271" si="46">G234+M234</f>
        <v>2875.2</v>
      </c>
      <c r="O234" s="97">
        <f t="shared" ref="O234:O271" si="47">N234/100.7</f>
        <v>28.552135054617672</v>
      </c>
      <c r="P234" s="97">
        <f t="shared" ref="P234:P271" si="48">IF(A234="corn",N234/(111*2000/56),N234/(111*2000/60))</f>
        <v>0.77708108108108098</v>
      </c>
      <c r="R234" s="92"/>
      <c r="S234" s="95">
        <f>AVERAGE(O158,O196,O234)</f>
        <v>28.4683879510096</v>
      </c>
      <c r="T234" s="104">
        <f>(S234/S120)-1</f>
        <v>5.8869793048255126E-4</v>
      </c>
    </row>
    <row r="235" spans="1:20" ht="13.15" x14ac:dyDescent="0.25">
      <c r="A235" s="60" t="s">
        <v>1</v>
      </c>
      <c r="B235" s="60" t="s">
        <v>4</v>
      </c>
      <c r="C235" s="60" t="s">
        <v>5</v>
      </c>
      <c r="D235" s="60" t="s">
        <v>90</v>
      </c>
      <c r="E235" s="89">
        <v>40518</v>
      </c>
      <c r="F235" s="61">
        <v>40521</v>
      </c>
      <c r="G235" s="92">
        <f>SUM(-698+3261)</f>
        <v>2563</v>
      </c>
      <c r="H235" s="93">
        <v>298</v>
      </c>
      <c r="I235" s="93" t="s">
        <v>93</v>
      </c>
      <c r="J235" s="94">
        <f t="shared" ref="J235:J271" si="49">IF(I235="BNSF",0.46,IF(I235="CN",0.1495,IF(I235="CSX",0.27,0.2)))</f>
        <v>0.46</v>
      </c>
      <c r="K235" s="95">
        <f t="shared" si="43"/>
        <v>25.451837140019862</v>
      </c>
      <c r="L235" s="95">
        <f t="shared" si="44"/>
        <v>0.69270270270270273</v>
      </c>
      <c r="M235" s="96">
        <f t="shared" si="45"/>
        <v>137.08000000000001</v>
      </c>
      <c r="N235" s="96">
        <f t="shared" si="46"/>
        <v>2700.08</v>
      </c>
      <c r="O235" s="97">
        <f t="shared" si="47"/>
        <v>26.813108242303873</v>
      </c>
      <c r="P235" s="97">
        <f t="shared" si="48"/>
        <v>0.72975135135135138</v>
      </c>
      <c r="R235" s="92"/>
      <c r="S235" s="95">
        <f t="shared" ref="S235:S271" si="50">AVERAGE(O159,O197,O235)</f>
        <v>26.753922542204567</v>
      </c>
      <c r="T235" s="104">
        <f t="shared" ref="T235:T271" si="51">(S235/S121)-1</f>
        <v>2.0966653950416969E-2</v>
      </c>
    </row>
    <row r="236" spans="1:20" ht="13.15" x14ac:dyDescent="0.25">
      <c r="A236" s="60" t="s">
        <v>1</v>
      </c>
      <c r="B236" s="60" t="s">
        <v>2</v>
      </c>
      <c r="C236" s="60" t="s">
        <v>6</v>
      </c>
      <c r="D236" s="60" t="s">
        <v>90</v>
      </c>
      <c r="E236" s="89">
        <v>40518</v>
      </c>
      <c r="F236" s="61">
        <v>40521</v>
      </c>
      <c r="G236" s="92">
        <v>5047</v>
      </c>
      <c r="H236" s="93">
        <v>1530</v>
      </c>
      <c r="I236" s="93" t="s">
        <v>93</v>
      </c>
      <c r="J236" s="94">
        <f t="shared" si="49"/>
        <v>0.46</v>
      </c>
      <c r="K236" s="95">
        <f t="shared" si="43"/>
        <v>50.119165839126119</v>
      </c>
      <c r="L236" s="95">
        <f t="shared" si="44"/>
        <v>1.364054054054054</v>
      </c>
      <c r="M236" s="96">
        <f t="shared" si="45"/>
        <v>703.80000000000007</v>
      </c>
      <c r="N236" s="96">
        <f t="shared" si="46"/>
        <v>5750.8</v>
      </c>
      <c r="O236" s="97">
        <f t="shared" si="47"/>
        <v>57.108242303872892</v>
      </c>
      <c r="P236" s="97">
        <f t="shared" si="48"/>
        <v>1.5542702702702704</v>
      </c>
      <c r="R236" s="92"/>
      <c r="S236" s="95">
        <f t="shared" si="50"/>
        <v>56.804369414101295</v>
      </c>
      <c r="T236" s="104">
        <f t="shared" si="51"/>
        <v>8.9237283687082503E-4</v>
      </c>
    </row>
    <row r="237" spans="1:20" ht="13.15" x14ac:dyDescent="0.25">
      <c r="A237" s="60" t="s">
        <v>1</v>
      </c>
      <c r="B237" s="60" t="s">
        <v>2</v>
      </c>
      <c r="C237" s="60" t="s">
        <v>7</v>
      </c>
      <c r="D237" s="60" t="s">
        <v>90</v>
      </c>
      <c r="E237" s="89">
        <v>40518</v>
      </c>
      <c r="F237" s="61">
        <v>40521</v>
      </c>
      <c r="G237" s="92">
        <v>3275</v>
      </c>
      <c r="H237" s="93">
        <v>890</v>
      </c>
      <c r="I237" s="93" t="s">
        <v>92</v>
      </c>
      <c r="J237" s="94">
        <f t="shared" si="49"/>
        <v>0.2</v>
      </c>
      <c r="K237" s="95">
        <f t="shared" si="43"/>
        <v>32.522343594836144</v>
      </c>
      <c r="L237" s="95">
        <f t="shared" si="44"/>
        <v>0.88513513513513509</v>
      </c>
      <c r="M237" s="96">
        <f t="shared" si="45"/>
        <v>178</v>
      </c>
      <c r="N237" s="96">
        <f t="shared" si="46"/>
        <v>3453</v>
      </c>
      <c r="O237" s="97">
        <f t="shared" si="47"/>
        <v>34.289970208540218</v>
      </c>
      <c r="P237" s="97">
        <f t="shared" si="48"/>
        <v>0.93324324324324326</v>
      </c>
      <c r="R237" s="92"/>
      <c r="S237" s="95">
        <f t="shared" si="50"/>
        <v>34.142667990731546</v>
      </c>
      <c r="T237" s="104">
        <f t="shared" si="51"/>
        <v>8.6360813538255421E-4</v>
      </c>
    </row>
    <row r="238" spans="1:20" ht="13.15" x14ac:dyDescent="0.25">
      <c r="A238" s="60" t="s">
        <v>1</v>
      </c>
      <c r="B238" s="60" t="s">
        <v>8</v>
      </c>
      <c r="C238" s="60" t="s">
        <v>9</v>
      </c>
      <c r="D238" s="60" t="s">
        <v>90</v>
      </c>
      <c r="E238" s="89">
        <v>40518</v>
      </c>
      <c r="F238" s="61">
        <v>40521</v>
      </c>
      <c r="G238" s="92">
        <f>SUM(109+4872)</f>
        <v>4981</v>
      </c>
      <c r="H238" s="93">
        <v>1256</v>
      </c>
      <c r="I238" s="93" t="s">
        <v>93</v>
      </c>
      <c r="J238" s="94">
        <f t="shared" si="49"/>
        <v>0.46</v>
      </c>
      <c r="K238" s="95">
        <f t="shared" si="43"/>
        <v>49.46375372393247</v>
      </c>
      <c r="L238" s="95">
        <f t="shared" si="44"/>
        <v>1.3462162162162161</v>
      </c>
      <c r="M238" s="96">
        <f t="shared" si="45"/>
        <v>577.76</v>
      </c>
      <c r="N238" s="96">
        <f t="shared" si="46"/>
        <v>5558.76</v>
      </c>
      <c r="O238" s="97">
        <f t="shared" si="47"/>
        <v>55.201191658391259</v>
      </c>
      <c r="P238" s="97">
        <f t="shared" si="48"/>
        <v>1.5023675675675676</v>
      </c>
      <c r="R238" s="92"/>
      <c r="S238" s="95">
        <f t="shared" si="50"/>
        <v>54.951737835153921</v>
      </c>
      <c r="T238" s="104">
        <f t="shared" si="51"/>
        <v>7.571574284619409E-4</v>
      </c>
    </row>
    <row r="239" spans="1:20" ht="13.15" x14ac:dyDescent="0.25">
      <c r="A239" s="60" t="s">
        <v>1</v>
      </c>
      <c r="B239" s="60" t="s">
        <v>10</v>
      </c>
      <c r="C239" s="60" t="s">
        <v>9</v>
      </c>
      <c r="D239" s="60" t="s">
        <v>90</v>
      </c>
      <c r="E239" s="89">
        <v>40518</v>
      </c>
      <c r="F239" s="61">
        <v>40521</v>
      </c>
      <c r="G239" s="92">
        <v>3543</v>
      </c>
      <c r="H239" s="93">
        <v>975</v>
      </c>
      <c r="I239" s="93" t="s">
        <v>92</v>
      </c>
      <c r="J239" s="94">
        <f t="shared" si="49"/>
        <v>0.2</v>
      </c>
      <c r="K239" s="95">
        <f t="shared" si="43"/>
        <v>35.183714001986097</v>
      </c>
      <c r="L239" s="95">
        <f t="shared" si="44"/>
        <v>0.95756756756756756</v>
      </c>
      <c r="M239" s="96">
        <f t="shared" si="45"/>
        <v>195</v>
      </c>
      <c r="N239" s="96">
        <f t="shared" si="46"/>
        <v>3738</v>
      </c>
      <c r="O239" s="97">
        <f t="shared" si="47"/>
        <v>37.1201588877855</v>
      </c>
      <c r="P239" s="97">
        <f t="shared" si="48"/>
        <v>1.0102702702702702</v>
      </c>
      <c r="R239" s="92"/>
      <c r="S239" s="95">
        <f t="shared" si="50"/>
        <v>36.958788480635548</v>
      </c>
      <c r="T239" s="104">
        <f t="shared" si="51"/>
        <v>8.7400833669493139E-4</v>
      </c>
    </row>
    <row r="240" spans="1:20" ht="13.15" x14ac:dyDescent="0.25">
      <c r="A240" s="60" t="s">
        <v>1</v>
      </c>
      <c r="B240" s="60" t="s">
        <v>11</v>
      </c>
      <c r="C240" s="60" t="s">
        <v>6</v>
      </c>
      <c r="D240" s="60" t="s">
        <v>90</v>
      </c>
      <c r="E240" s="89">
        <v>40518</v>
      </c>
      <c r="F240" s="61">
        <v>40521</v>
      </c>
      <c r="G240" s="92">
        <v>3742</v>
      </c>
      <c r="H240" s="93">
        <v>1357</v>
      </c>
      <c r="I240" s="93" t="s">
        <v>92</v>
      </c>
      <c r="J240" s="94">
        <f t="shared" si="49"/>
        <v>0.2</v>
      </c>
      <c r="K240" s="95">
        <f t="shared" si="43"/>
        <v>37.159880834160873</v>
      </c>
      <c r="L240" s="95">
        <f t="shared" si="44"/>
        <v>1.0113513513513515</v>
      </c>
      <c r="M240" s="96">
        <f t="shared" si="45"/>
        <v>271.40000000000003</v>
      </c>
      <c r="N240" s="96">
        <f t="shared" si="46"/>
        <v>4013.4</v>
      </c>
      <c r="O240" s="97">
        <f t="shared" si="47"/>
        <v>39.855014895729887</v>
      </c>
      <c r="P240" s="97">
        <f t="shared" si="48"/>
        <v>1.0847027027027027</v>
      </c>
      <c r="R240" s="92"/>
      <c r="S240" s="95">
        <f t="shared" si="50"/>
        <v>39.630420390599141</v>
      </c>
      <c r="T240" s="104">
        <f t="shared" si="51"/>
        <v>1.1347311347815747E-3</v>
      </c>
    </row>
    <row r="241" spans="1:20" ht="13.15" x14ac:dyDescent="0.25">
      <c r="A241" s="60" t="s">
        <v>134</v>
      </c>
      <c r="B241" s="60" t="s">
        <v>13</v>
      </c>
      <c r="C241" s="60" t="s">
        <v>7</v>
      </c>
      <c r="D241" s="60" t="s">
        <v>90</v>
      </c>
      <c r="E241" s="89">
        <v>40518</v>
      </c>
      <c r="F241" s="61">
        <v>40521</v>
      </c>
      <c r="G241" s="92">
        <v>2812</v>
      </c>
      <c r="H241" s="93">
        <v>1006</v>
      </c>
      <c r="I241" s="93" t="s">
        <v>92</v>
      </c>
      <c r="J241" s="94">
        <f t="shared" si="49"/>
        <v>0.2</v>
      </c>
      <c r="K241" s="95">
        <f t="shared" si="43"/>
        <v>27.924528301886792</v>
      </c>
      <c r="L241" s="95">
        <f t="shared" si="44"/>
        <v>0.70933333333333337</v>
      </c>
      <c r="M241" s="96">
        <f t="shared" si="45"/>
        <v>201.20000000000002</v>
      </c>
      <c r="N241" s="96">
        <f t="shared" si="46"/>
        <v>3013.2</v>
      </c>
      <c r="O241" s="97">
        <f t="shared" si="47"/>
        <v>29.922542204568021</v>
      </c>
      <c r="P241" s="97">
        <f t="shared" si="48"/>
        <v>0.76008648648648647</v>
      </c>
      <c r="R241" s="92"/>
      <c r="S241" s="95">
        <f t="shared" si="50"/>
        <v>29.756041046011251</v>
      </c>
      <c r="T241" s="104">
        <f t="shared" si="51"/>
        <v>1.0233484374438051E-2</v>
      </c>
    </row>
    <row r="242" spans="1:20" ht="13.15" x14ac:dyDescent="0.25">
      <c r="A242" s="60" t="s">
        <v>134</v>
      </c>
      <c r="B242" s="60" t="s">
        <v>14</v>
      </c>
      <c r="C242" s="60" t="s">
        <v>15</v>
      </c>
      <c r="D242" s="60" t="s">
        <v>90</v>
      </c>
      <c r="E242" s="89">
        <v>40518</v>
      </c>
      <c r="F242" s="61">
        <v>40521</v>
      </c>
      <c r="G242" s="92">
        <v>3760</v>
      </c>
      <c r="H242" s="93">
        <v>866</v>
      </c>
      <c r="I242" s="93" t="s">
        <v>94</v>
      </c>
      <c r="J242" s="94">
        <f t="shared" si="49"/>
        <v>0.27</v>
      </c>
      <c r="K242" s="95">
        <f t="shared" si="43"/>
        <v>37.338629592850047</v>
      </c>
      <c r="L242" s="95">
        <f t="shared" si="44"/>
        <v>0.94846846846846844</v>
      </c>
      <c r="M242" s="96">
        <f t="shared" si="45"/>
        <v>233.82000000000002</v>
      </c>
      <c r="N242" s="96">
        <f t="shared" si="46"/>
        <v>3993.82</v>
      </c>
      <c r="O242" s="97">
        <f t="shared" si="47"/>
        <v>39.660575968222446</v>
      </c>
      <c r="P242" s="97">
        <f t="shared" si="48"/>
        <v>1.0074500900900902</v>
      </c>
      <c r="R242" s="92"/>
      <c r="S242" s="95">
        <f t="shared" si="50"/>
        <v>39.488579940417083</v>
      </c>
      <c r="T242" s="104">
        <f t="shared" si="51"/>
        <v>7.9217719815014576E-2</v>
      </c>
    </row>
    <row r="243" spans="1:20" ht="13.15" x14ac:dyDescent="0.25">
      <c r="A243" s="60" t="s">
        <v>134</v>
      </c>
      <c r="B243" s="60" t="s">
        <v>16</v>
      </c>
      <c r="C243" s="60" t="s">
        <v>17</v>
      </c>
      <c r="D243" s="60" t="s">
        <v>90</v>
      </c>
      <c r="E243" s="89">
        <v>40518</v>
      </c>
      <c r="F243" s="61">
        <v>40521</v>
      </c>
      <c r="G243" s="92">
        <v>1843</v>
      </c>
      <c r="H243" s="93">
        <v>213</v>
      </c>
      <c r="I243" s="93" t="s">
        <v>92</v>
      </c>
      <c r="J243" s="94">
        <f t="shared" si="49"/>
        <v>0.2</v>
      </c>
      <c r="K243" s="95">
        <f t="shared" si="43"/>
        <v>18.30188679245283</v>
      </c>
      <c r="L243" s="95">
        <f t="shared" si="44"/>
        <v>0.46490090090090092</v>
      </c>
      <c r="M243" s="96">
        <f t="shared" si="45"/>
        <v>42.6</v>
      </c>
      <c r="N243" s="96">
        <f t="shared" si="46"/>
        <v>1885.6</v>
      </c>
      <c r="O243" s="97">
        <f t="shared" si="47"/>
        <v>18.724925521350546</v>
      </c>
      <c r="P243" s="97">
        <f t="shared" si="48"/>
        <v>0.47564684684684683</v>
      </c>
      <c r="R243" s="92"/>
      <c r="S243" s="95">
        <f t="shared" si="50"/>
        <v>18.689672293942404</v>
      </c>
      <c r="T243" s="104">
        <f t="shared" si="51"/>
        <v>-3.5014407744290654E-2</v>
      </c>
    </row>
    <row r="244" spans="1:20" ht="13.15" x14ac:dyDescent="0.25">
      <c r="A244" s="60" t="s">
        <v>134</v>
      </c>
      <c r="B244" s="60" t="s">
        <v>18</v>
      </c>
      <c r="C244" s="60" t="s">
        <v>19</v>
      </c>
      <c r="D244" s="60" t="s">
        <v>90</v>
      </c>
      <c r="E244" s="89">
        <v>40518</v>
      </c>
      <c r="F244" s="61">
        <v>40521</v>
      </c>
      <c r="G244" s="92">
        <v>3196</v>
      </c>
      <c r="H244" s="93">
        <v>650</v>
      </c>
      <c r="I244" s="93" t="s">
        <v>94</v>
      </c>
      <c r="J244" s="94">
        <f t="shared" si="49"/>
        <v>0.27</v>
      </c>
      <c r="K244" s="95">
        <f t="shared" si="43"/>
        <v>31.737835153922543</v>
      </c>
      <c r="L244" s="95">
        <f t="shared" si="44"/>
        <v>0.80619819819819816</v>
      </c>
      <c r="M244" s="96">
        <f t="shared" si="45"/>
        <v>175.5</v>
      </c>
      <c r="N244" s="96">
        <f t="shared" si="46"/>
        <v>3371.5</v>
      </c>
      <c r="O244" s="97">
        <f t="shared" si="47"/>
        <v>33.480635551142008</v>
      </c>
      <c r="P244" s="97">
        <f t="shared" si="48"/>
        <v>0.85046846846846846</v>
      </c>
      <c r="R244" s="92"/>
      <c r="S244" s="95">
        <f t="shared" si="50"/>
        <v>33.351539225422044</v>
      </c>
      <c r="T244" s="104">
        <f t="shared" si="51"/>
        <v>6.5063424947146009E-2</v>
      </c>
    </row>
    <row r="245" spans="1:20" ht="13.15" x14ac:dyDescent="0.25">
      <c r="A245" s="60" t="s">
        <v>134</v>
      </c>
      <c r="B245" s="60" t="s">
        <v>18</v>
      </c>
      <c r="C245" s="60" t="s">
        <v>20</v>
      </c>
      <c r="D245" s="60" t="s">
        <v>90</v>
      </c>
      <c r="E245" s="89">
        <v>40518</v>
      </c>
      <c r="F245" s="61">
        <v>40521</v>
      </c>
      <c r="G245" s="92">
        <v>2760</v>
      </c>
      <c r="H245" s="93">
        <v>417</v>
      </c>
      <c r="I245" s="93" t="s">
        <v>94</v>
      </c>
      <c r="J245" s="94">
        <f t="shared" si="49"/>
        <v>0.27</v>
      </c>
      <c r="K245" s="95">
        <f t="shared" si="43"/>
        <v>27.408142999006952</v>
      </c>
      <c r="L245" s="95">
        <f t="shared" si="44"/>
        <v>0.69621621621621621</v>
      </c>
      <c r="M245" s="96">
        <f t="shared" si="45"/>
        <v>112.59</v>
      </c>
      <c r="N245" s="96">
        <f t="shared" si="46"/>
        <v>2872.59</v>
      </c>
      <c r="O245" s="97">
        <f t="shared" si="47"/>
        <v>28.526216484607748</v>
      </c>
      <c r="P245" s="97">
        <f t="shared" si="48"/>
        <v>0.72461729729729729</v>
      </c>
      <c r="R245" s="92"/>
      <c r="S245" s="95">
        <f t="shared" si="50"/>
        <v>28.443396226415093</v>
      </c>
      <c r="T245" s="104">
        <f t="shared" si="51"/>
        <v>7.684239020098782E-2</v>
      </c>
    </row>
    <row r="246" spans="1:20" ht="13.15" x14ac:dyDescent="0.25">
      <c r="A246" s="60" t="s">
        <v>134</v>
      </c>
      <c r="B246" s="60" t="s">
        <v>16</v>
      </c>
      <c r="C246" s="60" t="s">
        <v>21</v>
      </c>
      <c r="D246" s="60" t="s">
        <v>90</v>
      </c>
      <c r="E246" s="89">
        <v>40518</v>
      </c>
      <c r="F246" s="61">
        <v>40521</v>
      </c>
      <c r="G246" s="92">
        <v>2938</v>
      </c>
      <c r="H246" s="93">
        <v>626</v>
      </c>
      <c r="I246" s="93" t="s">
        <v>92</v>
      </c>
      <c r="J246" s="94">
        <f t="shared" si="49"/>
        <v>0.2</v>
      </c>
      <c r="K246" s="95">
        <f t="shared" si="43"/>
        <v>29.175769612711022</v>
      </c>
      <c r="L246" s="95">
        <f t="shared" si="44"/>
        <v>0.74111711711711714</v>
      </c>
      <c r="M246" s="96">
        <f t="shared" si="45"/>
        <v>125.2</v>
      </c>
      <c r="N246" s="96">
        <f t="shared" si="46"/>
        <v>3063.2</v>
      </c>
      <c r="O246" s="97">
        <f t="shared" si="47"/>
        <v>30.419066534260175</v>
      </c>
      <c r="P246" s="97">
        <f t="shared" si="48"/>
        <v>0.77269909909909906</v>
      </c>
      <c r="R246" s="92"/>
      <c r="S246" s="95">
        <f t="shared" si="50"/>
        <v>30.315458457464416</v>
      </c>
      <c r="T246" s="104">
        <f t="shared" si="51"/>
        <v>3.1103215027178388E-2</v>
      </c>
    </row>
    <row r="247" spans="1:20" ht="13.15" x14ac:dyDescent="0.25">
      <c r="A247" s="60" t="s">
        <v>134</v>
      </c>
      <c r="B247" s="60" t="s">
        <v>16</v>
      </c>
      <c r="C247" s="60" t="s">
        <v>6</v>
      </c>
      <c r="D247" s="60" t="s">
        <v>90</v>
      </c>
      <c r="E247" s="89">
        <v>40518</v>
      </c>
      <c r="F247" s="61">
        <v>40521</v>
      </c>
      <c r="G247" s="92">
        <v>4372</v>
      </c>
      <c r="H247" s="93">
        <v>1823</v>
      </c>
      <c r="I247" s="93" t="s">
        <v>92</v>
      </c>
      <c r="J247" s="94">
        <f t="shared" si="49"/>
        <v>0.2</v>
      </c>
      <c r="K247" s="95">
        <f t="shared" si="43"/>
        <v>43.416087388282023</v>
      </c>
      <c r="L247" s="95">
        <f t="shared" si="44"/>
        <v>1.1028468468468469</v>
      </c>
      <c r="M247" s="96">
        <f t="shared" si="45"/>
        <v>364.6</v>
      </c>
      <c r="N247" s="96">
        <f t="shared" si="46"/>
        <v>4736.6000000000004</v>
      </c>
      <c r="O247" s="97">
        <f t="shared" si="47"/>
        <v>47.036742800397221</v>
      </c>
      <c r="P247" s="97">
        <f t="shared" si="48"/>
        <v>1.1948180180180181</v>
      </c>
      <c r="R247" s="92"/>
      <c r="S247" s="95">
        <f t="shared" si="50"/>
        <v>46.735021516054282</v>
      </c>
      <c r="T247" s="104">
        <f t="shared" si="51"/>
        <v>2.5064943928232664E-2</v>
      </c>
    </row>
    <row r="248" spans="1:20" ht="13.15" x14ac:dyDescent="0.25">
      <c r="A248" s="60" t="s">
        <v>22</v>
      </c>
      <c r="B248" s="60" t="s">
        <v>23</v>
      </c>
      <c r="C248" s="60" t="s">
        <v>7</v>
      </c>
      <c r="D248" s="60" t="s">
        <v>90</v>
      </c>
      <c r="E248" s="89">
        <v>40518</v>
      </c>
      <c r="F248" s="61">
        <v>40521</v>
      </c>
      <c r="G248" s="92">
        <v>3381</v>
      </c>
      <c r="H248" s="93">
        <v>1295</v>
      </c>
      <c r="I248" s="93" t="s">
        <v>95</v>
      </c>
      <c r="J248" s="94">
        <f t="shared" si="49"/>
        <v>0.14949999999999999</v>
      </c>
      <c r="K248" s="95">
        <f t="shared" si="43"/>
        <v>33.574975173783514</v>
      </c>
      <c r="L248" s="95">
        <f t="shared" si="44"/>
        <v>0.91378378378378378</v>
      </c>
      <c r="M248" s="96">
        <f t="shared" si="45"/>
        <v>193.60249999999999</v>
      </c>
      <c r="N248" s="96">
        <f t="shared" si="46"/>
        <v>3574.6025</v>
      </c>
      <c r="O248" s="97">
        <f t="shared" si="47"/>
        <v>35.49754220456802</v>
      </c>
      <c r="P248" s="97">
        <f t="shared" si="48"/>
        <v>0.96610878378378373</v>
      </c>
      <c r="R248" s="92"/>
      <c r="S248" s="95">
        <f t="shared" si="50"/>
        <v>34.870034756703078</v>
      </c>
      <c r="T248" s="104">
        <f t="shared" si="51"/>
        <v>8.3005392492702557E-2</v>
      </c>
    </row>
    <row r="249" spans="1:20" ht="13.15" x14ac:dyDescent="0.25">
      <c r="A249" s="60" t="s">
        <v>22</v>
      </c>
      <c r="B249" s="60" t="s">
        <v>14</v>
      </c>
      <c r="C249" s="60" t="s">
        <v>24</v>
      </c>
      <c r="D249" s="60" t="s">
        <v>90</v>
      </c>
      <c r="E249" s="89">
        <v>40518</v>
      </c>
      <c r="F249" s="61">
        <v>40521</v>
      </c>
      <c r="G249" s="92">
        <v>2921</v>
      </c>
      <c r="H249" s="93">
        <v>615</v>
      </c>
      <c r="I249" s="93" t="s">
        <v>94</v>
      </c>
      <c r="J249" s="94">
        <f t="shared" si="49"/>
        <v>0.27</v>
      </c>
      <c r="K249" s="95">
        <f t="shared" si="43"/>
        <v>29.006951340615689</v>
      </c>
      <c r="L249" s="95">
        <f t="shared" si="44"/>
        <v>0.7894594594594595</v>
      </c>
      <c r="M249" s="96">
        <f t="shared" si="45"/>
        <v>166.05</v>
      </c>
      <c r="N249" s="96">
        <f t="shared" si="46"/>
        <v>3087.05</v>
      </c>
      <c r="O249" s="97">
        <f t="shared" si="47"/>
        <v>30.655908639523339</v>
      </c>
      <c r="P249" s="97">
        <f t="shared" si="48"/>
        <v>0.83433783783783788</v>
      </c>
      <c r="R249" s="92"/>
      <c r="S249" s="95">
        <f t="shared" si="50"/>
        <v>30.533763654419065</v>
      </c>
      <c r="T249" s="104">
        <f t="shared" si="51"/>
        <v>6.0368313963513609E-2</v>
      </c>
    </row>
    <row r="250" spans="1:20" ht="13.15" x14ac:dyDescent="0.25">
      <c r="A250" s="60" t="s">
        <v>22</v>
      </c>
      <c r="B250" s="60" t="s">
        <v>18</v>
      </c>
      <c r="C250" s="60" t="s">
        <v>15</v>
      </c>
      <c r="D250" s="60" t="s">
        <v>90</v>
      </c>
      <c r="E250" s="89">
        <v>40518</v>
      </c>
      <c r="F250" s="61">
        <v>40521</v>
      </c>
      <c r="G250" s="92">
        <v>3830</v>
      </c>
      <c r="H250" s="93">
        <v>872</v>
      </c>
      <c r="I250" s="93" t="s">
        <v>94</v>
      </c>
      <c r="J250" s="94">
        <f t="shared" si="49"/>
        <v>0.27</v>
      </c>
      <c r="K250" s="95">
        <f t="shared" si="43"/>
        <v>38.033763654419069</v>
      </c>
      <c r="L250" s="95">
        <f t="shared" si="44"/>
        <v>1.0351351351351352</v>
      </c>
      <c r="M250" s="96">
        <f t="shared" si="45"/>
        <v>235.44000000000003</v>
      </c>
      <c r="N250" s="96">
        <f t="shared" si="46"/>
        <v>4065.44</v>
      </c>
      <c r="O250" s="97">
        <f t="shared" si="47"/>
        <v>40.371797418073484</v>
      </c>
      <c r="P250" s="97">
        <f t="shared" si="48"/>
        <v>1.0987675675675677</v>
      </c>
      <c r="R250" s="92"/>
      <c r="S250" s="95">
        <f t="shared" si="50"/>
        <v>40.198609731876864</v>
      </c>
      <c r="T250" s="104">
        <f t="shared" si="51"/>
        <v>7.800249971594142E-2</v>
      </c>
    </row>
    <row r="251" spans="1:20" ht="13.15" x14ac:dyDescent="0.25">
      <c r="A251" s="60" t="s">
        <v>22</v>
      </c>
      <c r="B251" s="60" t="s">
        <v>18</v>
      </c>
      <c r="C251" s="60" t="s">
        <v>24</v>
      </c>
      <c r="D251" s="60" t="s">
        <v>90</v>
      </c>
      <c r="E251" s="89">
        <v>40518</v>
      </c>
      <c r="F251" s="61">
        <v>40521</v>
      </c>
      <c r="G251" s="92">
        <v>2613</v>
      </c>
      <c r="H251" s="93">
        <v>417</v>
      </c>
      <c r="I251" s="93" t="s">
        <v>94</v>
      </c>
      <c r="J251" s="94">
        <f t="shared" si="49"/>
        <v>0.27</v>
      </c>
      <c r="K251" s="95">
        <f t="shared" si="43"/>
        <v>25.948361469712015</v>
      </c>
      <c r="L251" s="95">
        <f t="shared" si="44"/>
        <v>0.70621621621621622</v>
      </c>
      <c r="M251" s="96">
        <f t="shared" si="45"/>
        <v>112.59</v>
      </c>
      <c r="N251" s="96">
        <f t="shared" si="46"/>
        <v>2725.59</v>
      </c>
      <c r="O251" s="97">
        <f t="shared" si="47"/>
        <v>27.066434955312811</v>
      </c>
      <c r="P251" s="97">
        <f t="shared" si="48"/>
        <v>0.73664594594594601</v>
      </c>
      <c r="R251" s="92"/>
      <c r="S251" s="95">
        <f t="shared" si="50"/>
        <v>26.98361469712016</v>
      </c>
      <c r="T251" s="104">
        <f t="shared" si="51"/>
        <v>6.7321062430770295E-2</v>
      </c>
    </row>
    <row r="252" spans="1:20" ht="13.15" x14ac:dyDescent="0.25">
      <c r="A252" s="60" t="s">
        <v>22</v>
      </c>
      <c r="B252" s="60" t="s">
        <v>13</v>
      </c>
      <c r="C252" s="60" t="s">
        <v>7</v>
      </c>
      <c r="D252" s="60" t="s">
        <v>90</v>
      </c>
      <c r="E252" s="89">
        <v>40518</v>
      </c>
      <c r="F252" s="61">
        <v>40521</v>
      </c>
      <c r="G252" s="92">
        <v>3156</v>
      </c>
      <c r="H252" s="93">
        <v>1006</v>
      </c>
      <c r="I252" s="93" t="s">
        <v>92</v>
      </c>
      <c r="J252" s="94">
        <f t="shared" si="49"/>
        <v>0.2</v>
      </c>
      <c r="K252" s="95">
        <f t="shared" si="43"/>
        <v>31.340615690168818</v>
      </c>
      <c r="L252" s="95">
        <f t="shared" si="44"/>
        <v>0.85297297297297292</v>
      </c>
      <c r="M252" s="96">
        <f t="shared" si="45"/>
        <v>201.20000000000002</v>
      </c>
      <c r="N252" s="96">
        <f t="shared" si="46"/>
        <v>3357.2</v>
      </c>
      <c r="O252" s="97">
        <f t="shared" si="47"/>
        <v>33.338629592850047</v>
      </c>
      <c r="P252" s="97">
        <f t="shared" si="48"/>
        <v>0.90735135135135125</v>
      </c>
      <c r="R252" s="92"/>
      <c r="S252" s="95">
        <f t="shared" si="50"/>
        <v>33.172128434293285</v>
      </c>
      <c r="T252" s="104">
        <f t="shared" si="51"/>
        <v>3.7698141497985116E-2</v>
      </c>
    </row>
    <row r="253" spans="1:20" ht="13.15" x14ac:dyDescent="0.25">
      <c r="A253" s="60" t="s">
        <v>1</v>
      </c>
      <c r="B253" s="60" t="s">
        <v>25</v>
      </c>
      <c r="C253" s="60" t="s">
        <v>26</v>
      </c>
      <c r="D253" s="60" t="s">
        <v>91</v>
      </c>
      <c r="E253" s="89">
        <v>40518</v>
      </c>
      <c r="F253" s="61">
        <v>40521</v>
      </c>
      <c r="G253" s="92">
        <v>2868</v>
      </c>
      <c r="H253" s="93">
        <v>880</v>
      </c>
      <c r="I253" s="93" t="s">
        <v>93</v>
      </c>
      <c r="J253" s="94">
        <f t="shared" si="49"/>
        <v>0.46</v>
      </c>
      <c r="K253" s="95">
        <f t="shared" si="43"/>
        <v>28.480635551142004</v>
      </c>
      <c r="L253" s="95">
        <f t="shared" si="44"/>
        <v>0.7751351351351351</v>
      </c>
      <c r="M253" s="96">
        <f t="shared" si="45"/>
        <v>404.8</v>
      </c>
      <c r="N253" s="96">
        <f t="shared" si="46"/>
        <v>3272.8</v>
      </c>
      <c r="O253" s="97">
        <f t="shared" si="47"/>
        <v>32.500496524329691</v>
      </c>
      <c r="P253" s="97">
        <f t="shared" si="48"/>
        <v>0.88454054054054054</v>
      </c>
      <c r="R253" s="92"/>
      <c r="S253" s="95">
        <f t="shared" si="50"/>
        <v>32.325719960278057</v>
      </c>
      <c r="T253" s="104">
        <f t="shared" si="51"/>
        <v>1.1057274195552358E-2</v>
      </c>
    </row>
    <row r="254" spans="1:20" ht="13.15" x14ac:dyDescent="0.25">
      <c r="A254" s="60" t="s">
        <v>1</v>
      </c>
      <c r="B254" s="60" t="s">
        <v>2</v>
      </c>
      <c r="C254" s="60" t="s">
        <v>9</v>
      </c>
      <c r="D254" s="60" t="s">
        <v>91</v>
      </c>
      <c r="E254" s="89">
        <v>40518</v>
      </c>
      <c r="F254" s="61">
        <v>40521</v>
      </c>
      <c r="G254" s="92">
        <v>2867</v>
      </c>
      <c r="H254" s="93">
        <v>685</v>
      </c>
      <c r="I254" s="93" t="s">
        <v>93</v>
      </c>
      <c r="J254" s="94">
        <f t="shared" si="49"/>
        <v>0.46</v>
      </c>
      <c r="K254" s="95">
        <f t="shared" si="43"/>
        <v>28.470705064548163</v>
      </c>
      <c r="L254" s="95">
        <f t="shared" si="44"/>
        <v>0.77486486486486483</v>
      </c>
      <c r="M254" s="96">
        <f t="shared" si="45"/>
        <v>315.10000000000002</v>
      </c>
      <c r="N254" s="96">
        <f t="shared" si="46"/>
        <v>3182.1</v>
      </c>
      <c r="O254" s="97">
        <f t="shared" si="47"/>
        <v>31.599801390268123</v>
      </c>
      <c r="P254" s="97">
        <f t="shared" si="48"/>
        <v>0.86002702702702705</v>
      </c>
      <c r="R254" s="92"/>
      <c r="S254" s="95">
        <f t="shared" si="50"/>
        <v>31.463753723932474</v>
      </c>
      <c r="T254" s="104">
        <f t="shared" si="51"/>
        <v>7.2117788879144662E-4</v>
      </c>
    </row>
    <row r="255" spans="1:20" ht="13.15" x14ac:dyDescent="0.25">
      <c r="A255" s="60" t="s">
        <v>1</v>
      </c>
      <c r="B255" s="60" t="s">
        <v>27</v>
      </c>
      <c r="C255" s="60" t="s">
        <v>28</v>
      </c>
      <c r="D255" s="60" t="s">
        <v>91</v>
      </c>
      <c r="E255" s="89">
        <v>40518</v>
      </c>
      <c r="F255" s="61">
        <v>40521</v>
      </c>
      <c r="G255" s="92">
        <v>3497</v>
      </c>
      <c r="H255" s="93">
        <v>812</v>
      </c>
      <c r="I255" s="93" t="s">
        <v>94</v>
      </c>
      <c r="J255" s="94">
        <f t="shared" si="49"/>
        <v>0.27</v>
      </c>
      <c r="K255" s="95">
        <f t="shared" si="43"/>
        <v>34.726911618669313</v>
      </c>
      <c r="L255" s="95">
        <f t="shared" si="44"/>
        <v>0.94513513513513514</v>
      </c>
      <c r="M255" s="96">
        <f t="shared" si="45"/>
        <v>219.24</v>
      </c>
      <c r="N255" s="96">
        <f t="shared" si="46"/>
        <v>3716.24</v>
      </c>
      <c r="O255" s="97">
        <f t="shared" si="47"/>
        <v>36.904071499503473</v>
      </c>
      <c r="P255" s="97">
        <f t="shared" si="48"/>
        <v>1.0043891891891892</v>
      </c>
      <c r="R255" s="92"/>
      <c r="S255" s="95">
        <f t="shared" si="50"/>
        <v>36.742800397219462</v>
      </c>
      <c r="T255" s="104">
        <f t="shared" si="51"/>
        <v>-7.7604230721928347E-2</v>
      </c>
    </row>
    <row r="256" spans="1:20" ht="13.15" x14ac:dyDescent="0.25">
      <c r="A256" s="60" t="s">
        <v>1</v>
      </c>
      <c r="B256" s="60" t="s">
        <v>4</v>
      </c>
      <c r="C256" s="60" t="s">
        <v>26</v>
      </c>
      <c r="D256" s="60" t="s">
        <v>91</v>
      </c>
      <c r="E256" s="89">
        <v>40518</v>
      </c>
      <c r="F256" s="61">
        <v>40521</v>
      </c>
      <c r="G256" s="92">
        <v>4131</v>
      </c>
      <c r="H256" s="93">
        <v>1520</v>
      </c>
      <c r="I256" s="93" t="s">
        <v>93</v>
      </c>
      <c r="J256" s="94">
        <f t="shared" si="49"/>
        <v>0.46</v>
      </c>
      <c r="K256" s="95">
        <f t="shared" si="43"/>
        <v>41.022840119165835</v>
      </c>
      <c r="L256" s="95">
        <f t="shared" si="44"/>
        <v>1.1164864864864865</v>
      </c>
      <c r="M256" s="96">
        <f t="shared" si="45"/>
        <v>699.2</v>
      </c>
      <c r="N256" s="96">
        <f t="shared" si="46"/>
        <v>4830.2</v>
      </c>
      <c r="O256" s="97">
        <f t="shared" si="47"/>
        <v>47.966236345580931</v>
      </c>
      <c r="P256" s="97">
        <f t="shared" si="48"/>
        <v>1.3054594594594595</v>
      </c>
      <c r="R256" s="92"/>
      <c r="S256" s="95">
        <f t="shared" si="50"/>
        <v>47.664349553128098</v>
      </c>
      <c r="T256" s="104">
        <f t="shared" si="51"/>
        <v>7.9237305931596502E-3</v>
      </c>
    </row>
    <row r="257" spans="1:20" ht="13.15" x14ac:dyDescent="0.25">
      <c r="A257" s="60" t="s">
        <v>1</v>
      </c>
      <c r="B257" s="60" t="s">
        <v>4</v>
      </c>
      <c r="C257" s="60" t="s">
        <v>9</v>
      </c>
      <c r="D257" s="60" t="s">
        <v>91</v>
      </c>
      <c r="E257" s="89">
        <v>40518</v>
      </c>
      <c r="F257" s="61">
        <v>40521</v>
      </c>
      <c r="G257" s="92">
        <f>SUM(2591+2455)</f>
        <v>5046</v>
      </c>
      <c r="H257" s="93">
        <v>1583</v>
      </c>
      <c r="I257" s="93" t="s">
        <v>93</v>
      </c>
      <c r="J257" s="94">
        <f t="shared" si="49"/>
        <v>0.46</v>
      </c>
      <c r="K257" s="95">
        <f t="shared" si="43"/>
        <v>50.109235352532274</v>
      </c>
      <c r="L257" s="95">
        <f t="shared" si="44"/>
        <v>1.3637837837837838</v>
      </c>
      <c r="M257" s="96">
        <f t="shared" si="45"/>
        <v>728.18000000000006</v>
      </c>
      <c r="N257" s="96">
        <f t="shared" si="46"/>
        <v>5774.18</v>
      </c>
      <c r="O257" s="97">
        <f t="shared" si="47"/>
        <v>57.340417080436943</v>
      </c>
      <c r="P257" s="97">
        <f t="shared" si="48"/>
        <v>1.5605891891891892</v>
      </c>
      <c r="R257" s="92"/>
      <c r="S257" s="95">
        <f t="shared" si="50"/>
        <v>57.026017874875862</v>
      </c>
      <c r="T257" s="104">
        <f t="shared" si="51"/>
        <v>6.651384590033782E-3</v>
      </c>
    </row>
    <row r="258" spans="1:20" ht="13.15" x14ac:dyDescent="0.25">
      <c r="A258" s="60" t="s">
        <v>1</v>
      </c>
      <c r="B258" s="60" t="s">
        <v>10</v>
      </c>
      <c r="C258" s="60" t="s">
        <v>26</v>
      </c>
      <c r="D258" s="60" t="s">
        <v>91</v>
      </c>
      <c r="E258" s="89">
        <v>40518</v>
      </c>
      <c r="F258" s="61">
        <v>40521</v>
      </c>
      <c r="G258" s="92">
        <v>4510</v>
      </c>
      <c r="H258" s="93">
        <v>1599</v>
      </c>
      <c r="I258" s="93" t="s">
        <v>92</v>
      </c>
      <c r="J258" s="94">
        <f t="shared" si="49"/>
        <v>0.2</v>
      </c>
      <c r="K258" s="95">
        <f t="shared" si="43"/>
        <v>44.786494538232375</v>
      </c>
      <c r="L258" s="95">
        <f t="shared" si="44"/>
        <v>1.2189189189189189</v>
      </c>
      <c r="M258" s="96">
        <f t="shared" si="45"/>
        <v>319.8</v>
      </c>
      <c r="N258" s="96">
        <f t="shared" si="46"/>
        <v>4829.8</v>
      </c>
      <c r="O258" s="97">
        <f t="shared" si="47"/>
        <v>47.962264150943398</v>
      </c>
      <c r="P258" s="97">
        <f t="shared" si="48"/>
        <v>1.3053513513513515</v>
      </c>
      <c r="R258" s="92"/>
      <c r="S258" s="95">
        <f t="shared" si="50"/>
        <v>47.697616683217483</v>
      </c>
      <c r="T258" s="104">
        <f t="shared" si="51"/>
        <v>1.1109212100497423E-3</v>
      </c>
    </row>
    <row r="259" spans="1:20" ht="13.15" x14ac:dyDescent="0.25">
      <c r="A259" s="60" t="s">
        <v>134</v>
      </c>
      <c r="B259" s="60" t="s">
        <v>23</v>
      </c>
      <c r="C259" s="60" t="s">
        <v>26</v>
      </c>
      <c r="D259" s="60" t="s">
        <v>91</v>
      </c>
      <c r="E259" s="89">
        <v>40518</v>
      </c>
      <c r="F259" s="61">
        <v>40521</v>
      </c>
      <c r="G259" s="92">
        <v>4120</v>
      </c>
      <c r="H259" s="93">
        <v>1851</v>
      </c>
      <c r="I259" s="93" t="s">
        <v>93</v>
      </c>
      <c r="J259" s="94">
        <f t="shared" si="49"/>
        <v>0.46</v>
      </c>
      <c r="K259" s="95">
        <f t="shared" si="43"/>
        <v>40.913604766633561</v>
      </c>
      <c r="L259" s="95">
        <f t="shared" si="44"/>
        <v>1.0392792792792793</v>
      </c>
      <c r="M259" s="96">
        <f t="shared" si="45"/>
        <v>851.46</v>
      </c>
      <c r="N259" s="96">
        <f t="shared" si="46"/>
        <v>4971.46</v>
      </c>
      <c r="O259" s="97">
        <f t="shared" si="47"/>
        <v>49.369016881827207</v>
      </c>
      <c r="P259" s="97">
        <f t="shared" si="48"/>
        <v>1.254061981981982</v>
      </c>
      <c r="R259" s="92"/>
      <c r="S259" s="95">
        <f t="shared" si="50"/>
        <v>47.942138364779872</v>
      </c>
      <c r="T259" s="104">
        <f t="shared" si="51"/>
        <v>2.1044342504411118E-2</v>
      </c>
    </row>
    <row r="260" spans="1:20" ht="13.15" x14ac:dyDescent="0.25">
      <c r="A260" s="60" t="s">
        <v>134</v>
      </c>
      <c r="B260" s="60" t="s">
        <v>8</v>
      </c>
      <c r="C260" s="60" t="s">
        <v>29</v>
      </c>
      <c r="D260" s="60" t="s">
        <v>91</v>
      </c>
      <c r="E260" s="89">
        <v>40518</v>
      </c>
      <c r="F260" s="61">
        <v>40521</v>
      </c>
      <c r="G260" s="92">
        <v>4120</v>
      </c>
      <c r="H260" s="93">
        <v>1695</v>
      </c>
      <c r="I260" s="93" t="s">
        <v>93</v>
      </c>
      <c r="J260" s="94">
        <f t="shared" si="49"/>
        <v>0.46</v>
      </c>
      <c r="K260" s="95">
        <f t="shared" si="43"/>
        <v>40.913604766633561</v>
      </c>
      <c r="L260" s="95">
        <f t="shared" si="44"/>
        <v>1.0392792792792793</v>
      </c>
      <c r="M260" s="96">
        <f t="shared" si="45"/>
        <v>779.7</v>
      </c>
      <c r="N260" s="96">
        <f t="shared" si="46"/>
        <v>4899.7</v>
      </c>
      <c r="O260" s="97">
        <f t="shared" si="47"/>
        <v>48.656405163853023</v>
      </c>
      <c r="P260" s="97">
        <f t="shared" si="48"/>
        <v>1.2359603603603604</v>
      </c>
      <c r="R260" s="92"/>
      <c r="S260" s="95">
        <f t="shared" si="50"/>
        <v>47.260509764978487</v>
      </c>
      <c r="T260" s="104">
        <f t="shared" si="51"/>
        <v>2.1240374952165464E-2</v>
      </c>
    </row>
    <row r="261" spans="1:20" ht="13.15" x14ac:dyDescent="0.25">
      <c r="A261" s="60" t="s">
        <v>134</v>
      </c>
      <c r="B261" s="60" t="s">
        <v>13</v>
      </c>
      <c r="C261" s="60" t="s">
        <v>7</v>
      </c>
      <c r="D261" s="60" t="s">
        <v>91</v>
      </c>
      <c r="E261" s="89">
        <v>40518</v>
      </c>
      <c r="F261" s="61">
        <v>40521</v>
      </c>
      <c r="G261" s="92">
        <v>2677</v>
      </c>
      <c r="H261" s="93">
        <v>1006</v>
      </c>
      <c r="I261" s="93" t="s">
        <v>92</v>
      </c>
      <c r="J261" s="94">
        <f t="shared" si="49"/>
        <v>0.2</v>
      </c>
      <c r="K261" s="95">
        <f t="shared" si="43"/>
        <v>26.583912611717974</v>
      </c>
      <c r="L261" s="95">
        <f t="shared" si="44"/>
        <v>0.67527927927927933</v>
      </c>
      <c r="M261" s="96">
        <f t="shared" si="45"/>
        <v>201.20000000000002</v>
      </c>
      <c r="N261" s="96">
        <f t="shared" si="46"/>
        <v>2878.2</v>
      </c>
      <c r="O261" s="97">
        <f t="shared" si="47"/>
        <v>28.581926514399203</v>
      </c>
      <c r="P261" s="97">
        <f t="shared" si="48"/>
        <v>0.72603243243243243</v>
      </c>
      <c r="R261" s="92"/>
      <c r="S261" s="95">
        <f t="shared" si="50"/>
        <v>28.415425355842434</v>
      </c>
      <c r="T261" s="104">
        <f t="shared" si="51"/>
        <v>1.1732818302263581E-3</v>
      </c>
    </row>
    <row r="262" spans="1:20" ht="13.15" x14ac:dyDescent="0.25">
      <c r="A262" s="60" t="s">
        <v>134</v>
      </c>
      <c r="B262" s="60" t="s">
        <v>30</v>
      </c>
      <c r="C262" s="60" t="s">
        <v>9</v>
      </c>
      <c r="D262" s="60" t="s">
        <v>91</v>
      </c>
      <c r="E262" s="89">
        <v>40518</v>
      </c>
      <c r="F262" s="61">
        <v>40521</v>
      </c>
      <c r="G262" s="92">
        <v>2880</v>
      </c>
      <c r="H262" s="93">
        <v>988</v>
      </c>
      <c r="I262" s="93" t="s">
        <v>93</v>
      </c>
      <c r="J262" s="94">
        <f t="shared" si="49"/>
        <v>0.46</v>
      </c>
      <c r="K262" s="95">
        <f t="shared" si="43"/>
        <v>28.599801390268123</v>
      </c>
      <c r="L262" s="95">
        <f t="shared" si="44"/>
        <v>0.7264864864864865</v>
      </c>
      <c r="M262" s="96">
        <f t="shared" si="45"/>
        <v>454.48</v>
      </c>
      <c r="N262" s="96">
        <f t="shared" si="46"/>
        <v>3334.48</v>
      </c>
      <c r="O262" s="97">
        <f t="shared" si="47"/>
        <v>33.113008937437932</v>
      </c>
      <c r="P262" s="97">
        <f t="shared" si="48"/>
        <v>0.8411300900900901</v>
      </c>
      <c r="R262" s="92"/>
      <c r="S262" s="95">
        <f t="shared" si="50"/>
        <v>32.651969546507779</v>
      </c>
      <c r="T262" s="104">
        <f t="shared" si="51"/>
        <v>1.7523735646174821E-2</v>
      </c>
    </row>
    <row r="263" spans="1:20" ht="13.15" x14ac:dyDescent="0.25">
      <c r="A263" s="60" t="s">
        <v>134</v>
      </c>
      <c r="B263" s="60" t="s">
        <v>16</v>
      </c>
      <c r="C263" s="60" t="s">
        <v>11</v>
      </c>
      <c r="D263" s="60" t="s">
        <v>91</v>
      </c>
      <c r="E263" s="89">
        <v>40518</v>
      </c>
      <c r="F263" s="61">
        <v>40521</v>
      </c>
      <c r="G263" s="92">
        <v>3330</v>
      </c>
      <c r="H263" s="93">
        <v>787</v>
      </c>
      <c r="I263" s="93" t="s">
        <v>92</v>
      </c>
      <c r="J263" s="94">
        <f t="shared" si="49"/>
        <v>0.2</v>
      </c>
      <c r="K263" s="95">
        <f t="shared" si="43"/>
        <v>33.068520357497519</v>
      </c>
      <c r="L263" s="95">
        <f t="shared" si="44"/>
        <v>0.84</v>
      </c>
      <c r="M263" s="96">
        <f t="shared" si="45"/>
        <v>157.4</v>
      </c>
      <c r="N263" s="96">
        <f t="shared" si="46"/>
        <v>3487.4</v>
      </c>
      <c r="O263" s="97">
        <f t="shared" si="47"/>
        <v>34.631578947368418</v>
      </c>
      <c r="P263" s="97">
        <f t="shared" si="48"/>
        <v>0.87970450450450455</v>
      </c>
      <c r="R263" s="92"/>
      <c r="S263" s="95">
        <f t="shared" si="50"/>
        <v>34.501324064879178</v>
      </c>
      <c r="T263" s="104">
        <f t="shared" si="51"/>
        <v>3.0437034971893207E-2</v>
      </c>
    </row>
    <row r="264" spans="1:20" ht="13.15" x14ac:dyDescent="0.25">
      <c r="A264" s="60" t="s">
        <v>134</v>
      </c>
      <c r="B264" s="60" t="s">
        <v>23</v>
      </c>
      <c r="C264" s="60" t="s">
        <v>29</v>
      </c>
      <c r="D264" s="60" t="s">
        <v>91</v>
      </c>
      <c r="E264" s="89">
        <v>40518</v>
      </c>
      <c r="F264" s="61">
        <v>40521</v>
      </c>
      <c r="G264" s="92">
        <v>4120</v>
      </c>
      <c r="H264" s="93">
        <v>1836</v>
      </c>
      <c r="I264" s="93" t="s">
        <v>93</v>
      </c>
      <c r="J264" s="94">
        <f t="shared" si="49"/>
        <v>0.46</v>
      </c>
      <c r="K264" s="95">
        <f t="shared" si="43"/>
        <v>40.913604766633561</v>
      </c>
      <c r="L264" s="95">
        <f t="shared" si="44"/>
        <v>1.0392792792792793</v>
      </c>
      <c r="M264" s="96">
        <f t="shared" si="45"/>
        <v>844.56000000000006</v>
      </c>
      <c r="N264" s="96">
        <f t="shared" si="46"/>
        <v>4964.5600000000004</v>
      </c>
      <c r="O264" s="97">
        <f t="shared" si="47"/>
        <v>49.300496524329695</v>
      </c>
      <c r="P264" s="97">
        <f t="shared" si="48"/>
        <v>1.2523214414414416</v>
      </c>
      <c r="R264" s="92"/>
      <c r="S264" s="95">
        <f t="shared" si="50"/>
        <v>47.876597153260512</v>
      </c>
      <c r="T264" s="104">
        <f t="shared" si="51"/>
        <v>2.1062945988608694E-2</v>
      </c>
    </row>
    <row r="265" spans="1:20" ht="13.15" x14ac:dyDescent="0.25">
      <c r="A265" s="60" t="s">
        <v>134</v>
      </c>
      <c r="B265" s="60" t="s">
        <v>31</v>
      </c>
      <c r="C265" s="60" t="s">
        <v>32</v>
      </c>
      <c r="D265" s="60" t="s">
        <v>91</v>
      </c>
      <c r="E265" s="89">
        <v>40518</v>
      </c>
      <c r="F265" s="61">
        <v>40521</v>
      </c>
      <c r="G265" s="92">
        <v>3480</v>
      </c>
      <c r="H265" s="93">
        <v>1899</v>
      </c>
      <c r="I265" s="93" t="s">
        <v>93</v>
      </c>
      <c r="J265" s="94">
        <f t="shared" si="49"/>
        <v>0.46</v>
      </c>
      <c r="K265" s="95">
        <f t="shared" si="43"/>
        <v>34.558093346573983</v>
      </c>
      <c r="L265" s="95">
        <f t="shared" si="44"/>
        <v>0.87783783783783786</v>
      </c>
      <c r="M265" s="96">
        <f t="shared" si="45"/>
        <v>873.54000000000008</v>
      </c>
      <c r="N265" s="96">
        <f t="shared" si="46"/>
        <v>4353.54</v>
      </c>
      <c r="O265" s="97">
        <f t="shared" si="47"/>
        <v>43.232770605759683</v>
      </c>
      <c r="P265" s="97">
        <f t="shared" si="48"/>
        <v>1.0981902702702704</v>
      </c>
      <c r="R265" s="92"/>
      <c r="S265" s="95">
        <f t="shared" si="50"/>
        <v>42.590797749089703</v>
      </c>
      <c r="T265" s="104">
        <f t="shared" si="51"/>
        <v>1.4107374943744588E-2</v>
      </c>
    </row>
    <row r="266" spans="1:20" ht="13.15" x14ac:dyDescent="0.25">
      <c r="A266" s="60" t="s">
        <v>22</v>
      </c>
      <c r="B266" s="60" t="s">
        <v>8</v>
      </c>
      <c r="C266" s="60" t="s">
        <v>29</v>
      </c>
      <c r="D266" s="60" t="s">
        <v>91</v>
      </c>
      <c r="E266" s="89">
        <v>40518</v>
      </c>
      <c r="F266" s="61">
        <v>40521</v>
      </c>
      <c r="G266" s="92">
        <v>4320</v>
      </c>
      <c r="H266" s="93">
        <v>1695</v>
      </c>
      <c r="I266" s="93" t="s">
        <v>93</v>
      </c>
      <c r="J266" s="94">
        <f t="shared" si="49"/>
        <v>0.46</v>
      </c>
      <c r="K266" s="95">
        <f t="shared" si="43"/>
        <v>42.899702085402183</v>
      </c>
      <c r="L266" s="95">
        <f t="shared" si="44"/>
        <v>1.1675675675675676</v>
      </c>
      <c r="M266" s="96">
        <f t="shared" si="45"/>
        <v>779.7</v>
      </c>
      <c r="N266" s="96">
        <f t="shared" si="46"/>
        <v>5099.7</v>
      </c>
      <c r="O266" s="97">
        <f t="shared" si="47"/>
        <v>50.642502482621644</v>
      </c>
      <c r="P266" s="97">
        <f t="shared" si="48"/>
        <v>1.3782972972972973</v>
      </c>
      <c r="R266" s="92"/>
      <c r="S266" s="95">
        <f t="shared" si="50"/>
        <v>50.305858987090367</v>
      </c>
      <c r="T266" s="104">
        <f t="shared" si="51"/>
        <v>1.4482208478383551E-2</v>
      </c>
    </row>
    <row r="267" spans="1:20" ht="13.15" x14ac:dyDescent="0.25">
      <c r="A267" s="60" t="s">
        <v>22</v>
      </c>
      <c r="B267" s="60" t="s">
        <v>23</v>
      </c>
      <c r="C267" s="60" t="s">
        <v>26</v>
      </c>
      <c r="D267" s="60" t="s">
        <v>91</v>
      </c>
      <c r="E267" s="89">
        <v>40518</v>
      </c>
      <c r="F267" s="61">
        <v>40521</v>
      </c>
      <c r="G267" s="92">
        <v>4270</v>
      </c>
      <c r="H267" s="93">
        <v>1851</v>
      </c>
      <c r="I267" s="93" t="s">
        <v>93</v>
      </c>
      <c r="J267" s="94">
        <f t="shared" si="49"/>
        <v>0.46</v>
      </c>
      <c r="K267" s="95">
        <f t="shared" si="43"/>
        <v>42.403177755710026</v>
      </c>
      <c r="L267" s="95">
        <f t="shared" si="44"/>
        <v>1.154054054054054</v>
      </c>
      <c r="M267" s="96">
        <f t="shared" si="45"/>
        <v>851.46</v>
      </c>
      <c r="N267" s="96">
        <f t="shared" si="46"/>
        <v>5121.46</v>
      </c>
      <c r="O267" s="97">
        <f t="shared" si="47"/>
        <v>50.858589870903671</v>
      </c>
      <c r="P267" s="97">
        <f t="shared" si="48"/>
        <v>1.3841783783783783</v>
      </c>
      <c r="R267" s="92"/>
      <c r="S267" s="95">
        <f t="shared" si="50"/>
        <v>50.490963257199603</v>
      </c>
      <c r="T267" s="104">
        <f t="shared" si="51"/>
        <v>1.4533605679087236E-2</v>
      </c>
    </row>
    <row r="268" spans="1:20" ht="13.15" x14ac:dyDescent="0.25">
      <c r="A268" s="60" t="s">
        <v>22</v>
      </c>
      <c r="B268" s="60" t="s">
        <v>33</v>
      </c>
      <c r="C268" s="60" t="s">
        <v>29</v>
      </c>
      <c r="D268" s="60" t="s">
        <v>91</v>
      </c>
      <c r="E268" s="89">
        <v>40518</v>
      </c>
      <c r="F268" s="61">
        <v>40521</v>
      </c>
      <c r="G268" s="92">
        <v>4270</v>
      </c>
      <c r="H268" s="93">
        <v>1507</v>
      </c>
      <c r="I268" s="93" t="s">
        <v>93</v>
      </c>
      <c r="J268" s="94">
        <f t="shared" si="49"/>
        <v>0.46</v>
      </c>
      <c r="K268" s="95">
        <f t="shared" si="43"/>
        <v>42.403177755710026</v>
      </c>
      <c r="L268" s="95">
        <f t="shared" si="44"/>
        <v>1.154054054054054</v>
      </c>
      <c r="M268" s="96">
        <f t="shared" si="45"/>
        <v>693.22</v>
      </c>
      <c r="N268" s="96">
        <f t="shared" si="46"/>
        <v>4963.22</v>
      </c>
      <c r="O268" s="97">
        <f t="shared" si="47"/>
        <v>49.287189672293941</v>
      </c>
      <c r="P268" s="97">
        <f t="shared" si="48"/>
        <v>1.3414108108108109</v>
      </c>
      <c r="R268" s="92"/>
      <c r="S268" s="95">
        <f t="shared" si="50"/>
        <v>48.98788480635551</v>
      </c>
      <c r="T268" s="104">
        <f t="shared" si="51"/>
        <v>1.4746811097237522E-2</v>
      </c>
    </row>
    <row r="269" spans="1:20" ht="13.15" x14ac:dyDescent="0.25">
      <c r="A269" s="60" t="s">
        <v>22</v>
      </c>
      <c r="B269" s="60" t="s">
        <v>31</v>
      </c>
      <c r="C269" s="60" t="s">
        <v>7</v>
      </c>
      <c r="D269" s="60" t="s">
        <v>91</v>
      </c>
      <c r="E269" s="89">
        <v>40518</v>
      </c>
      <c r="F269" s="61">
        <v>40521</v>
      </c>
      <c r="G269" s="92">
        <v>3510</v>
      </c>
      <c r="H269" s="93">
        <v>1160</v>
      </c>
      <c r="I269" s="93" t="s">
        <v>92</v>
      </c>
      <c r="J269" s="94">
        <f t="shared" si="49"/>
        <v>0.2</v>
      </c>
      <c r="K269" s="95">
        <f t="shared" si="43"/>
        <v>34.856007944389276</v>
      </c>
      <c r="L269" s="95">
        <f t="shared" si="44"/>
        <v>0.94864864864864862</v>
      </c>
      <c r="M269" s="96">
        <f t="shared" si="45"/>
        <v>232</v>
      </c>
      <c r="N269" s="96">
        <f t="shared" si="46"/>
        <v>3742</v>
      </c>
      <c r="O269" s="97">
        <f t="shared" si="47"/>
        <v>37.159880834160873</v>
      </c>
      <c r="P269" s="97">
        <f t="shared" si="48"/>
        <v>1.0113513513513515</v>
      </c>
      <c r="R269" s="92"/>
      <c r="S269" s="95">
        <f t="shared" si="50"/>
        <v>36.967891426679905</v>
      </c>
      <c r="T269" s="104">
        <f t="shared" si="51"/>
        <v>2.8701963818577036E-2</v>
      </c>
    </row>
    <row r="270" spans="1:20" ht="13.15" x14ac:dyDescent="0.25">
      <c r="A270" s="60" t="s">
        <v>22</v>
      </c>
      <c r="B270" s="60" t="s">
        <v>14</v>
      </c>
      <c r="C270" s="60" t="s">
        <v>24</v>
      </c>
      <c r="D270" s="60" t="s">
        <v>91</v>
      </c>
      <c r="E270" s="89">
        <v>40518</v>
      </c>
      <c r="F270" s="61">
        <v>40521</v>
      </c>
      <c r="G270" s="92">
        <v>2536</v>
      </c>
      <c r="H270" s="93">
        <v>615</v>
      </c>
      <c r="I270" s="93" t="s">
        <v>94</v>
      </c>
      <c r="J270" s="94">
        <f t="shared" si="49"/>
        <v>0.27</v>
      </c>
      <c r="K270" s="95">
        <f t="shared" si="43"/>
        <v>25.183714001986097</v>
      </c>
      <c r="L270" s="95">
        <f t="shared" si="44"/>
        <v>0.6854054054054054</v>
      </c>
      <c r="M270" s="96">
        <f t="shared" si="45"/>
        <v>166.05</v>
      </c>
      <c r="N270" s="96">
        <f t="shared" si="46"/>
        <v>2702.05</v>
      </c>
      <c r="O270" s="97">
        <f t="shared" si="47"/>
        <v>26.832671300893743</v>
      </c>
      <c r="P270" s="97">
        <f t="shared" si="48"/>
        <v>0.73028378378378378</v>
      </c>
      <c r="R270" s="92"/>
      <c r="S270" s="95">
        <f t="shared" si="50"/>
        <v>26.710526315789469</v>
      </c>
      <c r="T270" s="104">
        <f t="shared" si="51"/>
        <v>6.8336179846685274E-2</v>
      </c>
    </row>
    <row r="271" spans="1:20" ht="13.15" x14ac:dyDescent="0.25">
      <c r="A271" s="85" t="s">
        <v>22</v>
      </c>
      <c r="B271" s="85" t="s">
        <v>34</v>
      </c>
      <c r="C271" s="85" t="s">
        <v>26</v>
      </c>
      <c r="D271" s="85" t="s">
        <v>91</v>
      </c>
      <c r="E271" s="91">
        <v>40518</v>
      </c>
      <c r="F271" s="86">
        <v>40521</v>
      </c>
      <c r="G271" s="105">
        <v>4520</v>
      </c>
      <c r="H271" s="107">
        <v>1637</v>
      </c>
      <c r="I271" s="107" t="s">
        <v>92</v>
      </c>
      <c r="J271" s="117">
        <f t="shared" si="49"/>
        <v>0.2</v>
      </c>
      <c r="K271" s="108">
        <f t="shared" si="43"/>
        <v>44.885799404170804</v>
      </c>
      <c r="L271" s="108">
        <f t="shared" si="44"/>
        <v>1.2216216216216216</v>
      </c>
      <c r="M271" s="115">
        <f t="shared" si="45"/>
        <v>327.40000000000003</v>
      </c>
      <c r="N271" s="115">
        <f t="shared" si="46"/>
        <v>4847.3999999999996</v>
      </c>
      <c r="O271" s="116">
        <f t="shared" si="47"/>
        <v>48.137040714995031</v>
      </c>
      <c r="P271" s="116">
        <f t="shared" si="48"/>
        <v>1.3101081081081081</v>
      </c>
      <c r="R271" s="92"/>
      <c r="S271" s="95">
        <f t="shared" si="50"/>
        <v>47.20407149950347</v>
      </c>
      <c r="T271" s="104">
        <f t="shared" si="51"/>
        <v>2.268864413173266E-2</v>
      </c>
    </row>
    <row r="272" spans="1:20" ht="13.15" x14ac:dyDescent="0.25">
      <c r="A272" s="45" t="s">
        <v>1</v>
      </c>
      <c r="B272" s="45" t="s">
        <v>2</v>
      </c>
      <c r="C272" s="45" t="s">
        <v>3</v>
      </c>
      <c r="D272" s="45" t="s">
        <v>90</v>
      </c>
      <c r="E272" s="88">
        <v>40546</v>
      </c>
      <c r="F272" s="53">
        <v>40549</v>
      </c>
      <c r="G272" s="92">
        <v>2774</v>
      </c>
      <c r="H272" s="98">
        <v>506</v>
      </c>
      <c r="I272" s="98" t="s">
        <v>92</v>
      </c>
      <c r="J272" s="102">
        <f>IF(I272="BNSF",0.48,IF(I272="CN",0.1668,IF(I272="CSX",0.29,0.21)))</f>
        <v>0.21</v>
      </c>
      <c r="K272" s="103">
        <f t="shared" ref="K272:K309" si="52">G272/100.7</f>
        <v>27.547169811320753</v>
      </c>
      <c r="L272" s="103">
        <f t="shared" ref="L272:L309" si="53">IF(A272="corn",G272/(111*2000/56),G272/(111*2000/60))</f>
        <v>0.74972972972972973</v>
      </c>
      <c r="M272" s="96">
        <f t="shared" ref="M272:M309" si="54">H272*J272</f>
        <v>106.25999999999999</v>
      </c>
      <c r="N272" s="96">
        <f t="shared" ref="N272:N309" si="55">G272+M272</f>
        <v>2880.26</v>
      </c>
      <c r="O272" s="97">
        <f t="shared" ref="O272:O309" si="56">N272/100.7</f>
        <v>28.602383316782525</v>
      </c>
      <c r="P272" s="97">
        <f t="shared" ref="P272:P309" si="57">IF(A272="corn",N272/(111*2000/56),N272/(111*2000/60))</f>
        <v>0.77844864864864871</v>
      </c>
      <c r="R272" s="92"/>
    </row>
    <row r="273" spans="1:18" ht="13.15" x14ac:dyDescent="0.25">
      <c r="A273" s="45" t="s">
        <v>1</v>
      </c>
      <c r="B273" s="45" t="s">
        <v>4</v>
      </c>
      <c r="C273" s="45" t="s">
        <v>5</v>
      </c>
      <c r="D273" s="45" t="s">
        <v>90</v>
      </c>
      <c r="E273" s="88">
        <v>40546</v>
      </c>
      <c r="F273" s="53">
        <v>40549</v>
      </c>
      <c r="G273" s="92">
        <f>SUM(-698+3261)</f>
        <v>2563</v>
      </c>
      <c r="H273" s="98">
        <v>298</v>
      </c>
      <c r="I273" s="98" t="s">
        <v>93</v>
      </c>
      <c r="J273" s="102">
        <f t="shared" ref="J273:J309" si="58">IF(I273="BNSF",0.48,IF(I273="CN",0.1668,IF(I273="CSX",0.29,0.21)))</f>
        <v>0.48</v>
      </c>
      <c r="K273" s="103">
        <f t="shared" si="52"/>
        <v>25.451837140019862</v>
      </c>
      <c r="L273" s="103">
        <f t="shared" si="53"/>
        <v>0.69270270270270273</v>
      </c>
      <c r="M273" s="96">
        <f t="shared" si="54"/>
        <v>143.04</v>
      </c>
      <c r="N273" s="96">
        <f t="shared" si="55"/>
        <v>2706.04</v>
      </c>
      <c r="O273" s="97">
        <f t="shared" si="56"/>
        <v>26.872293942403175</v>
      </c>
      <c r="P273" s="97">
        <f t="shared" si="57"/>
        <v>0.7313621621621621</v>
      </c>
      <c r="R273" s="92"/>
    </row>
    <row r="274" spans="1:18" ht="13.15" x14ac:dyDescent="0.25">
      <c r="A274" s="45" t="s">
        <v>1</v>
      </c>
      <c r="B274" s="45" t="s">
        <v>2</v>
      </c>
      <c r="C274" s="45" t="s">
        <v>6</v>
      </c>
      <c r="D274" s="45" t="s">
        <v>90</v>
      </c>
      <c r="E274" s="88">
        <v>40546</v>
      </c>
      <c r="F274" s="53">
        <v>40549</v>
      </c>
      <c r="G274" s="92">
        <v>5047</v>
      </c>
      <c r="H274" s="98">
        <v>1530</v>
      </c>
      <c r="I274" s="98" t="s">
        <v>93</v>
      </c>
      <c r="J274" s="102">
        <f t="shared" si="58"/>
        <v>0.48</v>
      </c>
      <c r="K274" s="103">
        <f t="shared" si="52"/>
        <v>50.119165839126119</v>
      </c>
      <c r="L274" s="103">
        <f t="shared" si="53"/>
        <v>1.364054054054054</v>
      </c>
      <c r="M274" s="96">
        <f t="shared" si="54"/>
        <v>734.4</v>
      </c>
      <c r="N274" s="96">
        <f t="shared" si="55"/>
        <v>5781.4</v>
      </c>
      <c r="O274" s="97">
        <f t="shared" si="56"/>
        <v>57.412115193644482</v>
      </c>
      <c r="P274" s="97">
        <f t="shared" si="57"/>
        <v>1.5625405405405404</v>
      </c>
      <c r="R274" s="92"/>
    </row>
    <row r="275" spans="1:18" ht="13.15" x14ac:dyDescent="0.25">
      <c r="A275" s="45" t="s">
        <v>1</v>
      </c>
      <c r="B275" s="45" t="s">
        <v>2</v>
      </c>
      <c r="C275" s="45" t="s">
        <v>7</v>
      </c>
      <c r="D275" s="45" t="s">
        <v>90</v>
      </c>
      <c r="E275" s="88">
        <v>40546</v>
      </c>
      <c r="F275" s="53">
        <v>40549</v>
      </c>
      <c r="G275" s="92">
        <v>3275</v>
      </c>
      <c r="H275" s="98">
        <v>890</v>
      </c>
      <c r="I275" s="98" t="s">
        <v>92</v>
      </c>
      <c r="J275" s="102">
        <f t="shared" si="58"/>
        <v>0.21</v>
      </c>
      <c r="K275" s="103">
        <f t="shared" si="52"/>
        <v>32.522343594836144</v>
      </c>
      <c r="L275" s="103">
        <f t="shared" si="53"/>
        <v>0.88513513513513509</v>
      </c>
      <c r="M275" s="96">
        <f t="shared" si="54"/>
        <v>186.9</v>
      </c>
      <c r="N275" s="96">
        <f t="shared" si="55"/>
        <v>3461.9</v>
      </c>
      <c r="O275" s="97">
        <f t="shared" si="56"/>
        <v>34.37835153922542</v>
      </c>
      <c r="P275" s="97">
        <f t="shared" si="57"/>
        <v>0.93564864864864872</v>
      </c>
      <c r="R275" s="92"/>
    </row>
    <row r="276" spans="1:18" ht="13.15" x14ac:dyDescent="0.25">
      <c r="A276" s="45" t="s">
        <v>1</v>
      </c>
      <c r="B276" s="45" t="s">
        <v>8</v>
      </c>
      <c r="C276" s="45" t="s">
        <v>9</v>
      </c>
      <c r="D276" s="45" t="s">
        <v>90</v>
      </c>
      <c r="E276" s="88">
        <v>40546</v>
      </c>
      <c r="F276" s="53">
        <v>40549</v>
      </c>
      <c r="G276" s="92">
        <f>SUM(109+4872)</f>
        <v>4981</v>
      </c>
      <c r="H276" s="98">
        <v>1256</v>
      </c>
      <c r="I276" s="98" t="s">
        <v>93</v>
      </c>
      <c r="J276" s="102">
        <f t="shared" si="58"/>
        <v>0.48</v>
      </c>
      <c r="K276" s="103">
        <f t="shared" si="52"/>
        <v>49.46375372393247</v>
      </c>
      <c r="L276" s="103">
        <f t="shared" si="53"/>
        <v>1.3462162162162161</v>
      </c>
      <c r="M276" s="96">
        <f t="shared" si="54"/>
        <v>602.88</v>
      </c>
      <c r="N276" s="96">
        <f t="shared" si="55"/>
        <v>5583.88</v>
      </c>
      <c r="O276" s="97">
        <f t="shared" si="56"/>
        <v>55.450645481628598</v>
      </c>
      <c r="P276" s="97">
        <f t="shared" si="57"/>
        <v>1.5091567567567568</v>
      </c>
      <c r="R276" s="92"/>
    </row>
    <row r="277" spans="1:18" ht="13.15" x14ac:dyDescent="0.25">
      <c r="A277" s="45" t="s">
        <v>1</v>
      </c>
      <c r="B277" s="45" t="s">
        <v>10</v>
      </c>
      <c r="C277" s="45" t="s">
        <v>9</v>
      </c>
      <c r="D277" s="45" t="s">
        <v>90</v>
      </c>
      <c r="E277" s="88">
        <v>40546</v>
      </c>
      <c r="F277" s="53">
        <v>40549</v>
      </c>
      <c r="G277" s="92">
        <v>3543</v>
      </c>
      <c r="H277" s="98">
        <v>975</v>
      </c>
      <c r="I277" s="98" t="s">
        <v>92</v>
      </c>
      <c r="J277" s="102">
        <f t="shared" si="58"/>
        <v>0.21</v>
      </c>
      <c r="K277" s="103">
        <f t="shared" si="52"/>
        <v>35.183714001986097</v>
      </c>
      <c r="L277" s="103">
        <f t="shared" si="53"/>
        <v>0.95756756756756756</v>
      </c>
      <c r="M277" s="96">
        <f t="shared" si="54"/>
        <v>204.75</v>
      </c>
      <c r="N277" s="96">
        <f t="shared" si="55"/>
        <v>3747.75</v>
      </c>
      <c r="O277" s="97">
        <f t="shared" si="56"/>
        <v>37.216981132075468</v>
      </c>
      <c r="P277" s="97">
        <f t="shared" si="57"/>
        <v>1.0129054054054054</v>
      </c>
      <c r="R277" s="92"/>
    </row>
    <row r="278" spans="1:18" ht="13.15" x14ac:dyDescent="0.25">
      <c r="A278" s="45" t="s">
        <v>1</v>
      </c>
      <c r="B278" s="45" t="s">
        <v>11</v>
      </c>
      <c r="C278" s="45" t="s">
        <v>6</v>
      </c>
      <c r="D278" s="45" t="s">
        <v>90</v>
      </c>
      <c r="E278" s="88">
        <v>40546</v>
      </c>
      <c r="F278" s="53">
        <v>40549</v>
      </c>
      <c r="G278" s="92">
        <v>3742</v>
      </c>
      <c r="H278" s="98">
        <v>1357</v>
      </c>
      <c r="I278" s="98" t="s">
        <v>92</v>
      </c>
      <c r="J278" s="102">
        <f t="shared" si="58"/>
        <v>0.21</v>
      </c>
      <c r="K278" s="103">
        <f t="shared" si="52"/>
        <v>37.159880834160873</v>
      </c>
      <c r="L278" s="103">
        <f t="shared" si="53"/>
        <v>1.0113513513513515</v>
      </c>
      <c r="M278" s="96">
        <f t="shared" si="54"/>
        <v>284.96999999999997</v>
      </c>
      <c r="N278" s="96">
        <f t="shared" si="55"/>
        <v>4026.97</v>
      </c>
      <c r="O278" s="97">
        <f t="shared" si="56"/>
        <v>39.989771598808339</v>
      </c>
      <c r="P278" s="97">
        <f t="shared" si="57"/>
        <v>1.0883702702702702</v>
      </c>
      <c r="R278" s="92"/>
    </row>
    <row r="279" spans="1:18" ht="13.15" x14ac:dyDescent="0.25">
      <c r="A279" s="45" t="s">
        <v>134</v>
      </c>
      <c r="B279" s="45" t="s">
        <v>13</v>
      </c>
      <c r="C279" s="45" t="s">
        <v>7</v>
      </c>
      <c r="D279" s="45" t="s">
        <v>90</v>
      </c>
      <c r="E279" s="88">
        <v>40546</v>
      </c>
      <c r="F279" s="53">
        <v>40549</v>
      </c>
      <c r="G279" s="92">
        <v>2812</v>
      </c>
      <c r="H279" s="98">
        <v>1006</v>
      </c>
      <c r="I279" s="98" t="s">
        <v>92</v>
      </c>
      <c r="J279" s="102">
        <f t="shared" si="58"/>
        <v>0.21</v>
      </c>
      <c r="K279" s="103">
        <f t="shared" si="52"/>
        <v>27.924528301886792</v>
      </c>
      <c r="L279" s="103">
        <f>IF(A279="corn",G279/(111*2000/56),G279/(111*2000/60))</f>
        <v>0.70933333333333337</v>
      </c>
      <c r="M279" s="96">
        <f t="shared" si="54"/>
        <v>211.26</v>
      </c>
      <c r="N279" s="96">
        <f t="shared" si="55"/>
        <v>3023.26</v>
      </c>
      <c r="O279" s="97">
        <f t="shared" si="56"/>
        <v>30.022442899702085</v>
      </c>
      <c r="P279" s="97">
        <f t="shared" si="57"/>
        <v>0.76262414414414426</v>
      </c>
      <c r="R279" s="92"/>
    </row>
    <row r="280" spans="1:18" ht="13.15" x14ac:dyDescent="0.25">
      <c r="A280" s="45" t="s">
        <v>134</v>
      </c>
      <c r="B280" s="45" t="s">
        <v>14</v>
      </c>
      <c r="C280" s="45" t="s">
        <v>15</v>
      </c>
      <c r="D280" s="45" t="s">
        <v>90</v>
      </c>
      <c r="E280" s="88">
        <v>40546</v>
      </c>
      <c r="F280" s="53">
        <v>40549</v>
      </c>
      <c r="G280" s="92">
        <v>3760</v>
      </c>
      <c r="H280" s="98">
        <v>866</v>
      </c>
      <c r="I280" s="98" t="s">
        <v>94</v>
      </c>
      <c r="J280" s="102">
        <f t="shared" si="58"/>
        <v>0.28999999999999998</v>
      </c>
      <c r="K280" s="103">
        <f t="shared" si="52"/>
        <v>37.338629592850047</v>
      </c>
      <c r="L280" s="103">
        <f t="shared" ref="L280:L285" si="59">IF(A280="corn",G280/(111*2000/56),G280/(111*2000/60))</f>
        <v>0.94846846846846844</v>
      </c>
      <c r="M280" s="96">
        <f t="shared" si="54"/>
        <v>251.14</v>
      </c>
      <c r="N280" s="96">
        <f t="shared" si="55"/>
        <v>4011.14</v>
      </c>
      <c r="O280" s="97">
        <f t="shared" si="56"/>
        <v>39.832571996027802</v>
      </c>
      <c r="P280" s="97">
        <f t="shared" si="57"/>
        <v>1.0118190990990992</v>
      </c>
      <c r="R280" s="92"/>
    </row>
    <row r="281" spans="1:18" ht="13.15" x14ac:dyDescent="0.25">
      <c r="A281" s="45" t="s">
        <v>134</v>
      </c>
      <c r="B281" s="45" t="s">
        <v>16</v>
      </c>
      <c r="C281" s="45" t="s">
        <v>17</v>
      </c>
      <c r="D281" s="45" t="s">
        <v>90</v>
      </c>
      <c r="E281" s="88">
        <v>40546</v>
      </c>
      <c r="F281" s="53">
        <v>40549</v>
      </c>
      <c r="G281" s="92">
        <v>1843</v>
      </c>
      <c r="H281" s="98">
        <v>213</v>
      </c>
      <c r="I281" s="98" t="s">
        <v>92</v>
      </c>
      <c r="J281" s="102">
        <f t="shared" si="58"/>
        <v>0.21</v>
      </c>
      <c r="K281" s="103">
        <f t="shared" si="52"/>
        <v>18.30188679245283</v>
      </c>
      <c r="L281" s="103">
        <f t="shared" si="59"/>
        <v>0.46490090090090092</v>
      </c>
      <c r="M281" s="96">
        <f t="shared" si="54"/>
        <v>44.73</v>
      </c>
      <c r="N281" s="96">
        <f t="shared" si="55"/>
        <v>1887.73</v>
      </c>
      <c r="O281" s="97">
        <f t="shared" si="56"/>
        <v>18.746077457795433</v>
      </c>
      <c r="P281" s="97">
        <f t="shared" si="57"/>
        <v>0.47618414414414417</v>
      </c>
      <c r="R281" s="92"/>
    </row>
    <row r="282" spans="1:18" ht="13.15" x14ac:dyDescent="0.25">
      <c r="A282" s="45" t="s">
        <v>134</v>
      </c>
      <c r="B282" s="45" t="s">
        <v>18</v>
      </c>
      <c r="C282" s="45" t="s">
        <v>19</v>
      </c>
      <c r="D282" s="45" t="s">
        <v>90</v>
      </c>
      <c r="E282" s="88">
        <v>40546</v>
      </c>
      <c r="F282" s="53">
        <v>40549</v>
      </c>
      <c r="G282" s="92">
        <v>3196</v>
      </c>
      <c r="H282" s="98">
        <v>650</v>
      </c>
      <c r="I282" s="98" t="s">
        <v>94</v>
      </c>
      <c r="J282" s="102">
        <f t="shared" si="58"/>
        <v>0.28999999999999998</v>
      </c>
      <c r="K282" s="103">
        <f t="shared" si="52"/>
        <v>31.737835153922543</v>
      </c>
      <c r="L282" s="103">
        <f t="shared" si="59"/>
        <v>0.80619819819819816</v>
      </c>
      <c r="M282" s="96">
        <f t="shared" si="54"/>
        <v>188.5</v>
      </c>
      <c r="N282" s="96">
        <f t="shared" si="55"/>
        <v>3384.5</v>
      </c>
      <c r="O282" s="97">
        <f t="shared" si="56"/>
        <v>33.609731876861964</v>
      </c>
      <c r="P282" s="97">
        <f t="shared" si="57"/>
        <v>0.85374774774774775</v>
      </c>
      <c r="R282" s="92"/>
    </row>
    <row r="283" spans="1:18" ht="13.15" x14ac:dyDescent="0.25">
      <c r="A283" s="45" t="s">
        <v>134</v>
      </c>
      <c r="B283" s="45" t="s">
        <v>18</v>
      </c>
      <c r="C283" s="45" t="s">
        <v>20</v>
      </c>
      <c r="D283" s="45" t="s">
        <v>90</v>
      </c>
      <c r="E283" s="88">
        <v>40546</v>
      </c>
      <c r="F283" s="53">
        <v>40549</v>
      </c>
      <c r="G283" s="92">
        <v>2760</v>
      </c>
      <c r="H283" s="98">
        <v>417</v>
      </c>
      <c r="I283" s="98" t="s">
        <v>94</v>
      </c>
      <c r="J283" s="102">
        <f t="shared" si="58"/>
        <v>0.28999999999999998</v>
      </c>
      <c r="K283" s="103">
        <f t="shared" si="52"/>
        <v>27.408142999006952</v>
      </c>
      <c r="L283" s="103">
        <f t="shared" si="59"/>
        <v>0.69621621621621621</v>
      </c>
      <c r="M283" s="96">
        <f t="shared" si="54"/>
        <v>120.92999999999999</v>
      </c>
      <c r="N283" s="96">
        <f t="shared" si="55"/>
        <v>2880.93</v>
      </c>
      <c r="O283" s="97">
        <f t="shared" si="56"/>
        <v>28.609036742800395</v>
      </c>
      <c r="P283" s="97">
        <f t="shared" si="57"/>
        <v>0.72672108108108102</v>
      </c>
      <c r="R283" s="92"/>
    </row>
    <row r="284" spans="1:18" ht="13.15" x14ac:dyDescent="0.25">
      <c r="A284" s="45" t="s">
        <v>134</v>
      </c>
      <c r="B284" s="45" t="s">
        <v>16</v>
      </c>
      <c r="C284" s="45" t="s">
        <v>21</v>
      </c>
      <c r="D284" s="45" t="s">
        <v>90</v>
      </c>
      <c r="E284" s="88">
        <v>40546</v>
      </c>
      <c r="F284" s="53">
        <v>40549</v>
      </c>
      <c r="G284" s="92">
        <v>2938</v>
      </c>
      <c r="H284" s="98">
        <v>626</v>
      </c>
      <c r="I284" s="98" t="s">
        <v>92</v>
      </c>
      <c r="J284" s="102">
        <f t="shared" si="58"/>
        <v>0.21</v>
      </c>
      <c r="K284" s="103">
        <f t="shared" si="52"/>
        <v>29.175769612711022</v>
      </c>
      <c r="L284" s="103">
        <f t="shared" si="59"/>
        <v>0.74111711711711714</v>
      </c>
      <c r="M284" s="96">
        <f t="shared" si="54"/>
        <v>131.46</v>
      </c>
      <c r="N284" s="96">
        <f t="shared" si="55"/>
        <v>3069.46</v>
      </c>
      <c r="O284" s="97">
        <f t="shared" si="56"/>
        <v>30.481231380337636</v>
      </c>
      <c r="P284" s="97">
        <f t="shared" si="57"/>
        <v>0.77427819819819821</v>
      </c>
      <c r="R284" s="92"/>
    </row>
    <row r="285" spans="1:18" ht="13.15" x14ac:dyDescent="0.25">
      <c r="A285" s="45" t="s">
        <v>134</v>
      </c>
      <c r="B285" s="45" t="s">
        <v>16</v>
      </c>
      <c r="C285" s="45" t="s">
        <v>6</v>
      </c>
      <c r="D285" s="45" t="s">
        <v>90</v>
      </c>
      <c r="E285" s="88">
        <v>40546</v>
      </c>
      <c r="F285" s="53">
        <v>40549</v>
      </c>
      <c r="G285" s="92">
        <v>4372</v>
      </c>
      <c r="H285" s="98">
        <v>1823</v>
      </c>
      <c r="I285" s="98" t="s">
        <v>92</v>
      </c>
      <c r="J285" s="102">
        <f t="shared" si="58"/>
        <v>0.21</v>
      </c>
      <c r="K285" s="103">
        <f t="shared" si="52"/>
        <v>43.416087388282023</v>
      </c>
      <c r="L285" s="103">
        <f t="shared" si="59"/>
        <v>1.1028468468468469</v>
      </c>
      <c r="M285" s="96">
        <f t="shared" si="54"/>
        <v>382.83</v>
      </c>
      <c r="N285" s="96">
        <f t="shared" si="55"/>
        <v>4754.83</v>
      </c>
      <c r="O285" s="97">
        <f t="shared" si="56"/>
        <v>47.217775571002974</v>
      </c>
      <c r="P285" s="97">
        <f t="shared" si="57"/>
        <v>1.1994165765765765</v>
      </c>
      <c r="R285" s="92"/>
    </row>
    <row r="286" spans="1:18" ht="13.15" x14ac:dyDescent="0.25">
      <c r="A286" s="45" t="s">
        <v>22</v>
      </c>
      <c r="B286" s="45" t="s">
        <v>23</v>
      </c>
      <c r="C286" s="45" t="s">
        <v>7</v>
      </c>
      <c r="D286" s="45" t="s">
        <v>90</v>
      </c>
      <c r="E286" s="88">
        <v>40546</v>
      </c>
      <c r="F286" s="53">
        <v>40549</v>
      </c>
      <c r="G286" s="92">
        <v>3381</v>
      </c>
      <c r="H286" s="99">
        <v>1295</v>
      </c>
      <c r="I286" s="98" t="s">
        <v>95</v>
      </c>
      <c r="J286" s="102">
        <f t="shared" si="58"/>
        <v>0.1668</v>
      </c>
      <c r="K286" s="103">
        <f t="shared" si="52"/>
        <v>33.574975173783514</v>
      </c>
      <c r="L286" s="103">
        <f t="shared" si="53"/>
        <v>0.91378378378378378</v>
      </c>
      <c r="M286" s="96">
        <f t="shared" si="54"/>
        <v>216.006</v>
      </c>
      <c r="N286" s="96">
        <f t="shared" si="55"/>
        <v>3597.0059999999999</v>
      </c>
      <c r="O286" s="97">
        <f t="shared" si="56"/>
        <v>35.720019860973188</v>
      </c>
      <c r="P286" s="97">
        <f t="shared" si="57"/>
        <v>0.97216378378378376</v>
      </c>
      <c r="R286" s="92"/>
    </row>
    <row r="287" spans="1:18" ht="13.15" x14ac:dyDescent="0.25">
      <c r="A287" s="45" t="s">
        <v>22</v>
      </c>
      <c r="B287" s="45" t="s">
        <v>14</v>
      </c>
      <c r="C287" s="45" t="s">
        <v>24</v>
      </c>
      <c r="D287" s="45" t="s">
        <v>90</v>
      </c>
      <c r="E287" s="88">
        <v>40546</v>
      </c>
      <c r="F287" s="53">
        <v>40549</v>
      </c>
      <c r="G287" s="92">
        <v>2921</v>
      </c>
      <c r="H287" s="98">
        <v>615</v>
      </c>
      <c r="I287" s="98" t="s">
        <v>94</v>
      </c>
      <c r="J287" s="102">
        <f t="shared" si="58"/>
        <v>0.28999999999999998</v>
      </c>
      <c r="K287" s="103">
        <f t="shared" si="52"/>
        <v>29.006951340615689</v>
      </c>
      <c r="L287" s="103">
        <f t="shared" si="53"/>
        <v>0.7894594594594595</v>
      </c>
      <c r="M287" s="96">
        <f t="shared" si="54"/>
        <v>178.35</v>
      </c>
      <c r="N287" s="96">
        <f t="shared" si="55"/>
        <v>3099.35</v>
      </c>
      <c r="O287" s="97">
        <f t="shared" si="56"/>
        <v>30.778053624627606</v>
      </c>
      <c r="P287" s="97">
        <f t="shared" si="57"/>
        <v>0.83766216216216216</v>
      </c>
      <c r="R287" s="92"/>
    </row>
    <row r="288" spans="1:18" ht="13.15" x14ac:dyDescent="0.25">
      <c r="A288" s="45" t="s">
        <v>22</v>
      </c>
      <c r="B288" s="45" t="s">
        <v>18</v>
      </c>
      <c r="C288" s="45" t="s">
        <v>15</v>
      </c>
      <c r="D288" s="45" t="s">
        <v>90</v>
      </c>
      <c r="E288" s="88">
        <v>40546</v>
      </c>
      <c r="F288" s="53">
        <v>40549</v>
      </c>
      <c r="G288" s="92">
        <v>3830</v>
      </c>
      <c r="H288" s="98">
        <v>872</v>
      </c>
      <c r="I288" s="98" t="s">
        <v>94</v>
      </c>
      <c r="J288" s="102">
        <f t="shared" si="58"/>
        <v>0.28999999999999998</v>
      </c>
      <c r="K288" s="103">
        <f t="shared" si="52"/>
        <v>38.033763654419069</v>
      </c>
      <c r="L288" s="103">
        <f t="shared" si="53"/>
        <v>1.0351351351351352</v>
      </c>
      <c r="M288" s="96">
        <f t="shared" si="54"/>
        <v>252.88</v>
      </c>
      <c r="N288" s="96">
        <f t="shared" si="55"/>
        <v>4082.88</v>
      </c>
      <c r="O288" s="97">
        <f t="shared" si="56"/>
        <v>40.544985104270111</v>
      </c>
      <c r="P288" s="97">
        <f t="shared" si="57"/>
        <v>1.1034810810810811</v>
      </c>
      <c r="R288" s="92"/>
    </row>
    <row r="289" spans="1:18" ht="13.15" x14ac:dyDescent="0.25">
      <c r="A289" s="45" t="s">
        <v>22</v>
      </c>
      <c r="B289" s="45" t="s">
        <v>18</v>
      </c>
      <c r="C289" s="45" t="s">
        <v>24</v>
      </c>
      <c r="D289" s="45" t="s">
        <v>90</v>
      </c>
      <c r="E289" s="88">
        <v>40546</v>
      </c>
      <c r="F289" s="53">
        <v>40549</v>
      </c>
      <c r="G289" s="92">
        <v>2613</v>
      </c>
      <c r="H289" s="98">
        <v>417</v>
      </c>
      <c r="I289" s="98" t="s">
        <v>94</v>
      </c>
      <c r="J289" s="102">
        <f t="shared" si="58"/>
        <v>0.28999999999999998</v>
      </c>
      <c r="K289" s="103">
        <f t="shared" si="52"/>
        <v>25.948361469712015</v>
      </c>
      <c r="L289" s="103">
        <f t="shared" si="53"/>
        <v>0.70621621621621622</v>
      </c>
      <c r="M289" s="96">
        <f t="shared" si="54"/>
        <v>120.92999999999999</v>
      </c>
      <c r="N289" s="96">
        <f t="shared" si="55"/>
        <v>2733.93</v>
      </c>
      <c r="O289" s="97">
        <f t="shared" si="56"/>
        <v>27.149255213505459</v>
      </c>
      <c r="P289" s="97">
        <f t="shared" si="57"/>
        <v>0.7389</v>
      </c>
      <c r="R289" s="92"/>
    </row>
    <row r="290" spans="1:18" ht="13.15" x14ac:dyDescent="0.25">
      <c r="A290" s="45" t="s">
        <v>22</v>
      </c>
      <c r="B290" s="45" t="s">
        <v>13</v>
      </c>
      <c r="C290" s="45" t="s">
        <v>7</v>
      </c>
      <c r="D290" s="45" t="s">
        <v>90</v>
      </c>
      <c r="E290" s="88">
        <v>40546</v>
      </c>
      <c r="F290" s="53">
        <v>40549</v>
      </c>
      <c r="G290" s="92">
        <v>3156</v>
      </c>
      <c r="H290" s="98">
        <v>1006</v>
      </c>
      <c r="I290" s="98" t="s">
        <v>92</v>
      </c>
      <c r="J290" s="102">
        <f t="shared" si="58"/>
        <v>0.21</v>
      </c>
      <c r="K290" s="103">
        <f t="shared" si="52"/>
        <v>31.340615690168818</v>
      </c>
      <c r="L290" s="103">
        <f t="shared" si="53"/>
        <v>0.85297297297297292</v>
      </c>
      <c r="M290" s="96">
        <f t="shared" si="54"/>
        <v>211.26</v>
      </c>
      <c r="N290" s="96">
        <f t="shared" si="55"/>
        <v>3367.26</v>
      </c>
      <c r="O290" s="97">
        <f t="shared" si="56"/>
        <v>33.438530287984115</v>
      </c>
      <c r="P290" s="97">
        <f t="shared" si="57"/>
        <v>0.91007027027027032</v>
      </c>
      <c r="R290" s="92"/>
    </row>
    <row r="291" spans="1:18" ht="13.15" x14ac:dyDescent="0.25">
      <c r="A291" s="45" t="s">
        <v>1</v>
      </c>
      <c r="B291" s="45" t="s">
        <v>25</v>
      </c>
      <c r="C291" s="45" t="s">
        <v>26</v>
      </c>
      <c r="D291" s="45" t="s">
        <v>91</v>
      </c>
      <c r="E291" s="88">
        <v>40546</v>
      </c>
      <c r="F291" s="53">
        <v>40549</v>
      </c>
      <c r="G291" s="92">
        <v>2868</v>
      </c>
      <c r="H291" s="98">
        <v>880</v>
      </c>
      <c r="I291" s="98" t="s">
        <v>93</v>
      </c>
      <c r="J291" s="102">
        <f t="shared" si="58"/>
        <v>0.48</v>
      </c>
      <c r="K291" s="103">
        <f t="shared" si="52"/>
        <v>28.480635551142004</v>
      </c>
      <c r="L291" s="103">
        <f t="shared" si="53"/>
        <v>0.7751351351351351</v>
      </c>
      <c r="M291" s="96">
        <f t="shared" si="54"/>
        <v>422.4</v>
      </c>
      <c r="N291" s="96">
        <f t="shared" si="55"/>
        <v>3290.4</v>
      </c>
      <c r="O291" s="97">
        <f t="shared" si="56"/>
        <v>32.675273088381331</v>
      </c>
      <c r="P291" s="97">
        <f t="shared" si="57"/>
        <v>0.88929729729729734</v>
      </c>
      <c r="R291" s="92"/>
    </row>
    <row r="292" spans="1:18" ht="13.15" x14ac:dyDescent="0.25">
      <c r="A292" s="45" t="s">
        <v>1</v>
      </c>
      <c r="B292" s="45" t="s">
        <v>2</v>
      </c>
      <c r="C292" s="45" t="s">
        <v>9</v>
      </c>
      <c r="D292" s="45" t="s">
        <v>91</v>
      </c>
      <c r="E292" s="88">
        <v>40546</v>
      </c>
      <c r="F292" s="53">
        <v>40549</v>
      </c>
      <c r="G292" s="92">
        <v>2867</v>
      </c>
      <c r="H292" s="98">
        <v>685</v>
      </c>
      <c r="I292" s="98" t="s">
        <v>93</v>
      </c>
      <c r="J292" s="102">
        <f t="shared" si="58"/>
        <v>0.48</v>
      </c>
      <c r="K292" s="103">
        <f t="shared" si="52"/>
        <v>28.470705064548163</v>
      </c>
      <c r="L292" s="103">
        <f t="shared" si="53"/>
        <v>0.77486486486486483</v>
      </c>
      <c r="M292" s="96">
        <f t="shared" si="54"/>
        <v>328.8</v>
      </c>
      <c r="N292" s="96">
        <f t="shared" si="55"/>
        <v>3195.8</v>
      </c>
      <c r="O292" s="97">
        <f t="shared" si="56"/>
        <v>31.735849056603776</v>
      </c>
      <c r="P292" s="97">
        <f t="shared" si="57"/>
        <v>0.86372972972972983</v>
      </c>
      <c r="R292" s="92"/>
    </row>
    <row r="293" spans="1:18" ht="13.15" x14ac:dyDescent="0.25">
      <c r="A293" s="45" t="s">
        <v>1</v>
      </c>
      <c r="B293" s="45" t="s">
        <v>27</v>
      </c>
      <c r="C293" s="45" t="s">
        <v>28</v>
      </c>
      <c r="D293" s="45" t="s">
        <v>91</v>
      </c>
      <c r="E293" s="88">
        <v>40546</v>
      </c>
      <c r="F293" s="53">
        <v>40549</v>
      </c>
      <c r="G293" s="92">
        <v>3497</v>
      </c>
      <c r="H293" s="98">
        <v>812</v>
      </c>
      <c r="I293" s="98" t="s">
        <v>94</v>
      </c>
      <c r="J293" s="102">
        <f t="shared" si="58"/>
        <v>0.28999999999999998</v>
      </c>
      <c r="K293" s="103">
        <f t="shared" si="52"/>
        <v>34.726911618669313</v>
      </c>
      <c r="L293" s="103">
        <f t="shared" si="53"/>
        <v>0.94513513513513514</v>
      </c>
      <c r="M293" s="96">
        <f t="shared" si="54"/>
        <v>235.48</v>
      </c>
      <c r="N293" s="96">
        <f t="shared" si="55"/>
        <v>3732.48</v>
      </c>
      <c r="O293" s="97">
        <f t="shared" si="56"/>
        <v>37.065342601787485</v>
      </c>
      <c r="P293" s="97">
        <f t="shared" si="57"/>
        <v>1.0087783783783784</v>
      </c>
      <c r="R293" s="92"/>
    </row>
    <row r="294" spans="1:18" ht="13.15" x14ac:dyDescent="0.25">
      <c r="A294" s="45" t="s">
        <v>1</v>
      </c>
      <c r="B294" s="45" t="s">
        <v>4</v>
      </c>
      <c r="C294" s="45" t="s">
        <v>26</v>
      </c>
      <c r="D294" s="45" t="s">
        <v>91</v>
      </c>
      <c r="E294" s="88">
        <v>40546</v>
      </c>
      <c r="F294" s="53">
        <v>40549</v>
      </c>
      <c r="G294" s="92">
        <v>4131</v>
      </c>
      <c r="H294" s="98">
        <v>1520</v>
      </c>
      <c r="I294" s="98" t="s">
        <v>93</v>
      </c>
      <c r="J294" s="102">
        <f t="shared" si="58"/>
        <v>0.48</v>
      </c>
      <c r="K294" s="103">
        <f t="shared" si="52"/>
        <v>41.022840119165835</v>
      </c>
      <c r="L294" s="103">
        <f t="shared" si="53"/>
        <v>1.1164864864864865</v>
      </c>
      <c r="M294" s="96">
        <f t="shared" si="54"/>
        <v>729.6</v>
      </c>
      <c r="N294" s="96">
        <f t="shared" si="55"/>
        <v>4860.6000000000004</v>
      </c>
      <c r="O294" s="97">
        <f t="shared" si="56"/>
        <v>48.268123138033765</v>
      </c>
      <c r="P294" s="97">
        <f t="shared" si="57"/>
        <v>1.3136756756756758</v>
      </c>
      <c r="R294" s="92"/>
    </row>
    <row r="295" spans="1:18" ht="13.15" x14ac:dyDescent="0.25">
      <c r="A295" s="45" t="s">
        <v>1</v>
      </c>
      <c r="B295" s="45" t="s">
        <v>4</v>
      </c>
      <c r="C295" s="45" t="s">
        <v>9</v>
      </c>
      <c r="D295" s="45" t="s">
        <v>91</v>
      </c>
      <c r="E295" s="88">
        <v>40546</v>
      </c>
      <c r="F295" s="53">
        <v>40549</v>
      </c>
      <c r="G295" s="92">
        <f>SUM(2591+2455)</f>
        <v>5046</v>
      </c>
      <c r="H295" s="98">
        <v>1583</v>
      </c>
      <c r="I295" s="98" t="s">
        <v>93</v>
      </c>
      <c r="J295" s="102">
        <f t="shared" si="58"/>
        <v>0.48</v>
      </c>
      <c r="K295" s="103">
        <f t="shared" si="52"/>
        <v>50.109235352532274</v>
      </c>
      <c r="L295" s="103">
        <f t="shared" si="53"/>
        <v>1.3637837837837838</v>
      </c>
      <c r="M295" s="96">
        <f t="shared" si="54"/>
        <v>759.83999999999992</v>
      </c>
      <c r="N295" s="96">
        <f t="shared" si="55"/>
        <v>5805.84</v>
      </c>
      <c r="O295" s="97">
        <f t="shared" si="56"/>
        <v>57.654816285998017</v>
      </c>
      <c r="P295" s="97">
        <f t="shared" si="57"/>
        <v>1.569145945945946</v>
      </c>
      <c r="R295" s="92"/>
    </row>
    <row r="296" spans="1:18" ht="13.15" x14ac:dyDescent="0.25">
      <c r="A296" s="45" t="s">
        <v>1</v>
      </c>
      <c r="B296" s="45" t="s">
        <v>10</v>
      </c>
      <c r="C296" s="45" t="s">
        <v>26</v>
      </c>
      <c r="D296" s="45" t="s">
        <v>91</v>
      </c>
      <c r="E296" s="88">
        <v>40546</v>
      </c>
      <c r="F296" s="53">
        <v>40549</v>
      </c>
      <c r="G296" s="92">
        <v>4510</v>
      </c>
      <c r="H296" s="98">
        <v>1599</v>
      </c>
      <c r="I296" s="98" t="s">
        <v>92</v>
      </c>
      <c r="J296" s="102">
        <f t="shared" si="58"/>
        <v>0.21</v>
      </c>
      <c r="K296" s="103">
        <f t="shared" si="52"/>
        <v>44.786494538232375</v>
      </c>
      <c r="L296" s="103">
        <f t="shared" si="53"/>
        <v>1.2189189189189189</v>
      </c>
      <c r="M296" s="96">
        <f t="shared" si="54"/>
        <v>335.78999999999996</v>
      </c>
      <c r="N296" s="96">
        <f t="shared" si="55"/>
        <v>4845.79</v>
      </c>
      <c r="O296" s="97">
        <f t="shared" si="56"/>
        <v>48.121052631578948</v>
      </c>
      <c r="P296" s="97">
        <f t="shared" si="57"/>
        <v>1.309672972972973</v>
      </c>
      <c r="R296" s="92"/>
    </row>
    <row r="297" spans="1:18" ht="13.15" x14ac:dyDescent="0.25">
      <c r="A297" s="45" t="s">
        <v>134</v>
      </c>
      <c r="B297" s="45" t="s">
        <v>23</v>
      </c>
      <c r="C297" s="45" t="s">
        <v>26</v>
      </c>
      <c r="D297" s="45" t="s">
        <v>91</v>
      </c>
      <c r="E297" s="88">
        <v>40546</v>
      </c>
      <c r="F297" s="53">
        <v>40549</v>
      </c>
      <c r="G297" s="92">
        <v>4120</v>
      </c>
      <c r="H297" s="98">
        <v>1851</v>
      </c>
      <c r="I297" s="98" t="s">
        <v>93</v>
      </c>
      <c r="J297" s="102">
        <f t="shared" si="58"/>
        <v>0.48</v>
      </c>
      <c r="K297" s="103">
        <f t="shared" si="52"/>
        <v>40.913604766633561</v>
      </c>
      <c r="L297" s="103">
        <f t="shared" si="53"/>
        <v>1.0392792792792793</v>
      </c>
      <c r="M297" s="96">
        <f t="shared" si="54"/>
        <v>888.48</v>
      </c>
      <c r="N297" s="96">
        <f t="shared" si="55"/>
        <v>5008.4799999999996</v>
      </c>
      <c r="O297" s="97">
        <f t="shared" si="56"/>
        <v>49.736643495531276</v>
      </c>
      <c r="P297" s="97">
        <f t="shared" si="57"/>
        <v>1.2634003603603603</v>
      </c>
      <c r="R297" s="92"/>
    </row>
    <row r="298" spans="1:18" ht="13.15" x14ac:dyDescent="0.25">
      <c r="A298" s="45" t="s">
        <v>134</v>
      </c>
      <c r="B298" s="45" t="s">
        <v>8</v>
      </c>
      <c r="C298" s="45" t="s">
        <v>29</v>
      </c>
      <c r="D298" s="45" t="s">
        <v>91</v>
      </c>
      <c r="E298" s="88">
        <v>40546</v>
      </c>
      <c r="F298" s="53">
        <v>40549</v>
      </c>
      <c r="G298" s="92">
        <v>4120</v>
      </c>
      <c r="H298" s="98">
        <v>1695</v>
      </c>
      <c r="I298" s="98" t="s">
        <v>93</v>
      </c>
      <c r="J298" s="102">
        <f t="shared" si="58"/>
        <v>0.48</v>
      </c>
      <c r="K298" s="103">
        <f t="shared" si="52"/>
        <v>40.913604766633561</v>
      </c>
      <c r="L298" s="103">
        <f t="shared" si="53"/>
        <v>1.0392792792792793</v>
      </c>
      <c r="M298" s="96">
        <f t="shared" si="54"/>
        <v>813.6</v>
      </c>
      <c r="N298" s="96">
        <f t="shared" si="55"/>
        <v>4933.6000000000004</v>
      </c>
      <c r="O298" s="97">
        <f t="shared" si="56"/>
        <v>48.993048659384314</v>
      </c>
      <c r="P298" s="97">
        <f t="shared" si="57"/>
        <v>1.2445117117117119</v>
      </c>
      <c r="R298" s="92"/>
    </row>
    <row r="299" spans="1:18" ht="13.15" x14ac:dyDescent="0.25">
      <c r="A299" s="45" t="s">
        <v>134</v>
      </c>
      <c r="B299" s="45" t="s">
        <v>13</v>
      </c>
      <c r="C299" s="45" t="s">
        <v>7</v>
      </c>
      <c r="D299" s="45" t="s">
        <v>91</v>
      </c>
      <c r="E299" s="88">
        <v>40546</v>
      </c>
      <c r="F299" s="53">
        <v>40549</v>
      </c>
      <c r="G299" s="92">
        <v>2677</v>
      </c>
      <c r="H299" s="98">
        <v>1006</v>
      </c>
      <c r="I299" s="98" t="s">
        <v>92</v>
      </c>
      <c r="J299" s="102">
        <f t="shared" si="58"/>
        <v>0.21</v>
      </c>
      <c r="K299" s="103">
        <f t="shared" si="52"/>
        <v>26.583912611717974</v>
      </c>
      <c r="L299" s="103">
        <f t="shared" si="53"/>
        <v>0.67527927927927933</v>
      </c>
      <c r="M299" s="96">
        <f t="shared" si="54"/>
        <v>211.26</v>
      </c>
      <c r="N299" s="96">
        <f t="shared" si="55"/>
        <v>2888.26</v>
      </c>
      <c r="O299" s="97">
        <f t="shared" si="56"/>
        <v>28.681827209533267</v>
      </c>
      <c r="P299" s="97">
        <f t="shared" si="57"/>
        <v>0.72857009009009011</v>
      </c>
      <c r="R299" s="92"/>
    </row>
    <row r="300" spans="1:18" ht="13.15" x14ac:dyDescent="0.25">
      <c r="A300" s="45" t="s">
        <v>134</v>
      </c>
      <c r="B300" s="45" t="s">
        <v>30</v>
      </c>
      <c r="C300" s="45" t="s">
        <v>9</v>
      </c>
      <c r="D300" s="45" t="s">
        <v>91</v>
      </c>
      <c r="E300" s="88">
        <v>40546</v>
      </c>
      <c r="F300" s="53">
        <v>40549</v>
      </c>
      <c r="G300" s="92">
        <v>2880</v>
      </c>
      <c r="H300" s="98">
        <v>988</v>
      </c>
      <c r="I300" s="98" t="s">
        <v>93</v>
      </c>
      <c r="J300" s="102">
        <f t="shared" si="58"/>
        <v>0.48</v>
      </c>
      <c r="K300" s="103">
        <f t="shared" si="52"/>
        <v>28.599801390268123</v>
      </c>
      <c r="L300" s="103">
        <f t="shared" si="53"/>
        <v>0.7264864864864865</v>
      </c>
      <c r="M300" s="96">
        <f t="shared" si="54"/>
        <v>474.24</v>
      </c>
      <c r="N300" s="96">
        <f t="shared" si="55"/>
        <v>3354.24</v>
      </c>
      <c r="O300" s="97">
        <f t="shared" si="56"/>
        <v>33.309235352532269</v>
      </c>
      <c r="P300" s="97">
        <f t="shared" si="57"/>
        <v>0.84611459459459459</v>
      </c>
      <c r="R300" s="92"/>
    </row>
    <row r="301" spans="1:18" ht="13.15" x14ac:dyDescent="0.25">
      <c r="A301" s="45" t="s">
        <v>134</v>
      </c>
      <c r="B301" s="45" t="s">
        <v>16</v>
      </c>
      <c r="C301" s="45" t="s">
        <v>11</v>
      </c>
      <c r="D301" s="45" t="s">
        <v>91</v>
      </c>
      <c r="E301" s="88">
        <v>40546</v>
      </c>
      <c r="F301" s="53">
        <v>40549</v>
      </c>
      <c r="G301" s="92">
        <v>3330</v>
      </c>
      <c r="H301" s="99">
        <v>787</v>
      </c>
      <c r="I301" s="98" t="s">
        <v>92</v>
      </c>
      <c r="J301" s="102">
        <f t="shared" si="58"/>
        <v>0.21</v>
      </c>
      <c r="K301" s="103">
        <f t="shared" si="52"/>
        <v>33.068520357497519</v>
      </c>
      <c r="L301" s="103">
        <f t="shared" si="53"/>
        <v>0.84</v>
      </c>
      <c r="M301" s="96">
        <f t="shared" si="54"/>
        <v>165.26999999999998</v>
      </c>
      <c r="N301" s="96">
        <f t="shared" si="55"/>
        <v>3495.27</v>
      </c>
      <c r="O301" s="97">
        <f t="shared" si="56"/>
        <v>34.709731876861966</v>
      </c>
      <c r="P301" s="97">
        <f t="shared" si="57"/>
        <v>0.8816897297297297</v>
      </c>
      <c r="R301" s="92"/>
    </row>
    <row r="302" spans="1:18" ht="13.15" x14ac:dyDescent="0.25">
      <c r="A302" s="45" t="s">
        <v>134</v>
      </c>
      <c r="B302" s="45" t="s">
        <v>23</v>
      </c>
      <c r="C302" s="45" t="s">
        <v>29</v>
      </c>
      <c r="D302" s="45" t="s">
        <v>91</v>
      </c>
      <c r="E302" s="88">
        <v>40546</v>
      </c>
      <c r="F302" s="53">
        <v>40549</v>
      </c>
      <c r="G302" s="92">
        <v>4120</v>
      </c>
      <c r="H302" s="98">
        <v>1836</v>
      </c>
      <c r="I302" s="98" t="s">
        <v>93</v>
      </c>
      <c r="J302" s="102">
        <f t="shared" si="58"/>
        <v>0.48</v>
      </c>
      <c r="K302" s="103">
        <f t="shared" si="52"/>
        <v>40.913604766633561</v>
      </c>
      <c r="L302" s="103">
        <f t="shared" si="53"/>
        <v>1.0392792792792793</v>
      </c>
      <c r="M302" s="96">
        <f t="shared" si="54"/>
        <v>881.28</v>
      </c>
      <c r="N302" s="96">
        <f t="shared" si="55"/>
        <v>5001.28</v>
      </c>
      <c r="O302" s="97">
        <f t="shared" si="56"/>
        <v>49.665143992055604</v>
      </c>
      <c r="P302" s="97">
        <f t="shared" si="57"/>
        <v>1.261584144144144</v>
      </c>
      <c r="R302" s="92"/>
    </row>
    <row r="303" spans="1:18" ht="13.15" x14ac:dyDescent="0.25">
      <c r="A303" s="45" t="s">
        <v>134</v>
      </c>
      <c r="B303" s="45" t="s">
        <v>31</v>
      </c>
      <c r="C303" s="45" t="s">
        <v>32</v>
      </c>
      <c r="D303" s="45" t="s">
        <v>91</v>
      </c>
      <c r="E303" s="88">
        <v>40546</v>
      </c>
      <c r="F303" s="53">
        <v>40549</v>
      </c>
      <c r="G303" s="92">
        <v>3480</v>
      </c>
      <c r="H303" s="98">
        <v>1899</v>
      </c>
      <c r="I303" s="98" t="s">
        <v>93</v>
      </c>
      <c r="J303" s="102">
        <f t="shared" si="58"/>
        <v>0.48</v>
      </c>
      <c r="K303" s="103">
        <f t="shared" si="52"/>
        <v>34.558093346573983</v>
      </c>
      <c r="L303" s="103">
        <f t="shared" si="53"/>
        <v>0.87783783783783786</v>
      </c>
      <c r="M303" s="96">
        <f t="shared" si="54"/>
        <v>911.52</v>
      </c>
      <c r="N303" s="96">
        <f t="shared" si="55"/>
        <v>4391.5200000000004</v>
      </c>
      <c r="O303" s="97">
        <f t="shared" si="56"/>
        <v>43.609930486593846</v>
      </c>
      <c r="P303" s="97">
        <f t="shared" si="57"/>
        <v>1.1077708108108109</v>
      </c>
      <c r="R303" s="92"/>
    </row>
    <row r="304" spans="1:18" ht="13.15" x14ac:dyDescent="0.25">
      <c r="A304" s="45" t="s">
        <v>22</v>
      </c>
      <c r="B304" s="45" t="s">
        <v>8</v>
      </c>
      <c r="C304" s="45" t="s">
        <v>29</v>
      </c>
      <c r="D304" s="45" t="s">
        <v>91</v>
      </c>
      <c r="E304" s="88">
        <v>40546</v>
      </c>
      <c r="F304" s="53">
        <v>40549</v>
      </c>
      <c r="G304" s="92">
        <v>4320</v>
      </c>
      <c r="H304" s="99">
        <v>1695</v>
      </c>
      <c r="I304" s="98" t="s">
        <v>93</v>
      </c>
      <c r="J304" s="102">
        <f t="shared" si="58"/>
        <v>0.48</v>
      </c>
      <c r="K304" s="103">
        <f t="shared" si="52"/>
        <v>42.899702085402183</v>
      </c>
      <c r="L304" s="103">
        <f t="shared" si="53"/>
        <v>1.1675675675675676</v>
      </c>
      <c r="M304" s="96">
        <f t="shared" si="54"/>
        <v>813.6</v>
      </c>
      <c r="N304" s="96">
        <f t="shared" si="55"/>
        <v>5133.6000000000004</v>
      </c>
      <c r="O304" s="97">
        <f t="shared" si="56"/>
        <v>50.979145978152928</v>
      </c>
      <c r="P304" s="97">
        <f t="shared" si="57"/>
        <v>1.3874594594594596</v>
      </c>
      <c r="R304" s="92"/>
    </row>
    <row r="305" spans="1:18" ht="13.15" x14ac:dyDescent="0.25">
      <c r="A305" s="45" t="s">
        <v>22</v>
      </c>
      <c r="B305" s="45" t="s">
        <v>23</v>
      </c>
      <c r="C305" s="45" t="s">
        <v>26</v>
      </c>
      <c r="D305" s="45" t="s">
        <v>91</v>
      </c>
      <c r="E305" s="88">
        <v>40546</v>
      </c>
      <c r="F305" s="53">
        <v>40549</v>
      </c>
      <c r="G305" s="92">
        <v>4270</v>
      </c>
      <c r="H305" s="98">
        <v>1851</v>
      </c>
      <c r="I305" s="98" t="s">
        <v>93</v>
      </c>
      <c r="J305" s="102">
        <f t="shared" si="58"/>
        <v>0.48</v>
      </c>
      <c r="K305" s="103">
        <f t="shared" si="52"/>
        <v>42.403177755710026</v>
      </c>
      <c r="L305" s="103">
        <f t="shared" si="53"/>
        <v>1.154054054054054</v>
      </c>
      <c r="M305" s="96">
        <f t="shared" si="54"/>
        <v>888.48</v>
      </c>
      <c r="N305" s="96">
        <f t="shared" si="55"/>
        <v>5158.4799999999996</v>
      </c>
      <c r="O305" s="97">
        <f t="shared" si="56"/>
        <v>51.22621648460774</v>
      </c>
      <c r="P305" s="97">
        <f t="shared" si="57"/>
        <v>1.3941837837837836</v>
      </c>
      <c r="R305" s="92"/>
    </row>
    <row r="306" spans="1:18" ht="13.15" x14ac:dyDescent="0.25">
      <c r="A306" s="45" t="s">
        <v>22</v>
      </c>
      <c r="B306" s="45" t="s">
        <v>33</v>
      </c>
      <c r="C306" s="45" t="s">
        <v>29</v>
      </c>
      <c r="D306" s="45" t="s">
        <v>91</v>
      </c>
      <c r="E306" s="88">
        <v>40546</v>
      </c>
      <c r="F306" s="53">
        <v>40549</v>
      </c>
      <c r="G306" s="92">
        <v>4270</v>
      </c>
      <c r="H306" s="98">
        <v>1507</v>
      </c>
      <c r="I306" s="98" t="s">
        <v>93</v>
      </c>
      <c r="J306" s="102">
        <f t="shared" si="58"/>
        <v>0.48</v>
      </c>
      <c r="K306" s="103">
        <f t="shared" si="52"/>
        <v>42.403177755710026</v>
      </c>
      <c r="L306" s="103">
        <f t="shared" si="53"/>
        <v>1.154054054054054</v>
      </c>
      <c r="M306" s="96">
        <f t="shared" si="54"/>
        <v>723.36</v>
      </c>
      <c r="N306" s="96">
        <f t="shared" si="55"/>
        <v>4993.3599999999997</v>
      </c>
      <c r="O306" s="97">
        <f t="shared" si="56"/>
        <v>49.586494538232365</v>
      </c>
      <c r="P306" s="97">
        <f t="shared" si="57"/>
        <v>1.3495567567567566</v>
      </c>
      <c r="R306" s="92"/>
    </row>
    <row r="307" spans="1:18" ht="13.15" x14ac:dyDescent="0.25">
      <c r="A307" s="45" t="s">
        <v>22</v>
      </c>
      <c r="B307" s="45" t="s">
        <v>31</v>
      </c>
      <c r="C307" s="45" t="s">
        <v>7</v>
      </c>
      <c r="D307" s="45" t="s">
        <v>91</v>
      </c>
      <c r="E307" s="88">
        <v>40546</v>
      </c>
      <c r="F307" s="53">
        <v>40549</v>
      </c>
      <c r="G307" s="92">
        <v>3510</v>
      </c>
      <c r="H307" s="98">
        <v>1160</v>
      </c>
      <c r="I307" s="98" t="s">
        <v>92</v>
      </c>
      <c r="J307" s="102">
        <f t="shared" si="58"/>
        <v>0.21</v>
      </c>
      <c r="K307" s="103">
        <f t="shared" si="52"/>
        <v>34.856007944389276</v>
      </c>
      <c r="L307" s="103">
        <f t="shared" si="53"/>
        <v>0.94864864864864862</v>
      </c>
      <c r="M307" s="96">
        <f t="shared" si="54"/>
        <v>243.6</v>
      </c>
      <c r="N307" s="96">
        <f t="shared" si="55"/>
        <v>3753.6</v>
      </c>
      <c r="O307" s="97">
        <f t="shared" si="56"/>
        <v>37.275074478649451</v>
      </c>
      <c r="P307" s="97">
        <f t="shared" si="57"/>
        <v>1.0144864864864864</v>
      </c>
      <c r="R307" s="92"/>
    </row>
    <row r="308" spans="1:18" ht="13.15" x14ac:dyDescent="0.25">
      <c r="A308" s="45" t="s">
        <v>22</v>
      </c>
      <c r="B308" s="45" t="s">
        <v>14</v>
      </c>
      <c r="C308" s="45" t="s">
        <v>24</v>
      </c>
      <c r="D308" s="45" t="s">
        <v>91</v>
      </c>
      <c r="E308" s="88">
        <v>40546</v>
      </c>
      <c r="F308" s="53">
        <v>40549</v>
      </c>
      <c r="G308" s="92">
        <v>2536</v>
      </c>
      <c r="H308" s="98">
        <v>615</v>
      </c>
      <c r="I308" s="98" t="s">
        <v>94</v>
      </c>
      <c r="J308" s="102">
        <f t="shared" si="58"/>
        <v>0.28999999999999998</v>
      </c>
      <c r="K308" s="103">
        <f t="shared" si="52"/>
        <v>25.183714001986097</v>
      </c>
      <c r="L308" s="103">
        <f t="shared" si="53"/>
        <v>0.6854054054054054</v>
      </c>
      <c r="M308" s="96">
        <f t="shared" si="54"/>
        <v>178.35</v>
      </c>
      <c r="N308" s="96">
        <f t="shared" si="55"/>
        <v>2714.35</v>
      </c>
      <c r="O308" s="97">
        <f t="shared" si="56"/>
        <v>26.954816285998014</v>
      </c>
      <c r="P308" s="97">
        <f t="shared" si="57"/>
        <v>0.73360810810810806</v>
      </c>
      <c r="R308" s="92"/>
    </row>
    <row r="309" spans="1:18" ht="13.15" x14ac:dyDescent="0.25">
      <c r="A309" s="80" t="s">
        <v>22</v>
      </c>
      <c r="B309" s="80" t="s">
        <v>34</v>
      </c>
      <c r="C309" s="80" t="s">
        <v>26</v>
      </c>
      <c r="D309" s="80" t="s">
        <v>91</v>
      </c>
      <c r="E309" s="90">
        <v>40546</v>
      </c>
      <c r="F309" s="84">
        <v>40549</v>
      </c>
      <c r="G309" s="105">
        <v>4520</v>
      </c>
      <c r="H309" s="106">
        <v>1637</v>
      </c>
      <c r="I309" s="106" t="s">
        <v>92</v>
      </c>
      <c r="J309" s="113">
        <f t="shared" si="58"/>
        <v>0.21</v>
      </c>
      <c r="K309" s="114">
        <f t="shared" si="52"/>
        <v>44.885799404170804</v>
      </c>
      <c r="L309" s="114">
        <f t="shared" si="53"/>
        <v>1.2216216216216216</v>
      </c>
      <c r="M309" s="115">
        <f t="shared" si="54"/>
        <v>343.77</v>
      </c>
      <c r="N309" s="115">
        <f t="shared" si="55"/>
        <v>4863.7700000000004</v>
      </c>
      <c r="O309" s="116">
        <f t="shared" si="56"/>
        <v>48.299602780536247</v>
      </c>
      <c r="P309" s="116">
        <f t="shared" si="57"/>
        <v>1.3145324324324326</v>
      </c>
      <c r="R309" s="92"/>
    </row>
    <row r="310" spans="1:18" ht="13.15" x14ac:dyDescent="0.25">
      <c r="A310" s="45" t="s">
        <v>1</v>
      </c>
      <c r="B310" s="45" t="s">
        <v>2</v>
      </c>
      <c r="C310" s="45" t="s">
        <v>3</v>
      </c>
      <c r="D310" s="45" t="s">
        <v>90</v>
      </c>
      <c r="E310" s="88">
        <v>40581</v>
      </c>
      <c r="F310" s="53">
        <v>40584</v>
      </c>
      <c r="G310" s="92">
        <v>2883</v>
      </c>
      <c r="H310" s="98">
        <v>506</v>
      </c>
      <c r="I310" s="98" t="s">
        <v>92</v>
      </c>
      <c r="J310" s="102">
        <f>IF(I310="BNSF",0.5,IF(I310="CN",0.184,IF(I310="CSX",0.32,0.23)))</f>
        <v>0.23</v>
      </c>
      <c r="K310" s="103">
        <f t="shared" ref="K310:K347" si="60">G310/100.7</f>
        <v>28.629592850049651</v>
      </c>
      <c r="L310" s="103">
        <f t="shared" ref="L310:L347" si="61">IF(A310="corn",G310/(111*2000/56),G310/(111*2000/60))</f>
        <v>0.77918918918918922</v>
      </c>
      <c r="M310" s="96">
        <f t="shared" ref="M310:M347" si="62">H310*J310</f>
        <v>116.38000000000001</v>
      </c>
      <c r="N310" s="96">
        <f t="shared" ref="N310:N347" si="63">G310+M310</f>
        <v>2999.38</v>
      </c>
      <c r="O310" s="97">
        <f t="shared" ref="O310:O347" si="64">N310/100.7</f>
        <v>29.785302879841112</v>
      </c>
      <c r="P310" s="97">
        <f t="shared" ref="P310:P347" si="65">IF(A310="corn",N310/(111*2000/56),N310/(111*2000/60))</f>
        <v>0.81064324324324333</v>
      </c>
      <c r="R310" s="92"/>
    </row>
    <row r="311" spans="1:18" ht="13.15" x14ac:dyDescent="0.25">
      <c r="A311" s="45" t="s">
        <v>1</v>
      </c>
      <c r="B311" s="45" t="s">
        <v>4</v>
      </c>
      <c r="C311" s="45" t="s">
        <v>5</v>
      </c>
      <c r="D311" s="45" t="s">
        <v>90</v>
      </c>
      <c r="E311" s="88">
        <v>40581</v>
      </c>
      <c r="F311" s="53">
        <v>40584</v>
      </c>
      <c r="G311" s="92">
        <v>2727</v>
      </c>
      <c r="H311" s="98">
        <v>298</v>
      </c>
      <c r="I311" s="98" t="s">
        <v>93</v>
      </c>
      <c r="J311" s="102">
        <f t="shared" ref="J311:J347" si="66">IF(I311="BNSF",0.5,IF(I311="CN",0.184,IF(I311="CSX",0.32,0.23)))</f>
        <v>0.5</v>
      </c>
      <c r="K311" s="103">
        <f t="shared" si="60"/>
        <v>27.080436941410127</v>
      </c>
      <c r="L311" s="103">
        <f t="shared" si="61"/>
        <v>0.73702702702702705</v>
      </c>
      <c r="M311" s="96">
        <f t="shared" si="62"/>
        <v>149</v>
      </c>
      <c r="N311" s="96">
        <f t="shared" si="63"/>
        <v>2876</v>
      </c>
      <c r="O311" s="97">
        <f t="shared" si="64"/>
        <v>28.56007944389275</v>
      </c>
      <c r="P311" s="97">
        <f t="shared" si="65"/>
        <v>0.77729729729729735</v>
      </c>
      <c r="R311" s="92"/>
    </row>
    <row r="312" spans="1:18" ht="13.15" x14ac:dyDescent="0.25">
      <c r="A312" s="45" t="s">
        <v>1</v>
      </c>
      <c r="B312" s="45" t="s">
        <v>2</v>
      </c>
      <c r="C312" s="45" t="s">
        <v>6</v>
      </c>
      <c r="D312" s="45" t="s">
        <v>90</v>
      </c>
      <c r="E312" s="88">
        <v>40581</v>
      </c>
      <c r="F312" s="53">
        <v>40584</v>
      </c>
      <c r="G312" s="92">
        <v>5232</v>
      </c>
      <c r="H312" s="98">
        <v>1530</v>
      </c>
      <c r="I312" s="98" t="s">
        <v>93</v>
      </c>
      <c r="J312" s="102">
        <f t="shared" si="66"/>
        <v>0.5</v>
      </c>
      <c r="K312" s="103">
        <f t="shared" si="60"/>
        <v>51.956305858987086</v>
      </c>
      <c r="L312" s="103">
        <f t="shared" si="61"/>
        <v>1.414054054054054</v>
      </c>
      <c r="M312" s="96">
        <f t="shared" si="62"/>
        <v>765</v>
      </c>
      <c r="N312" s="96">
        <f t="shared" si="63"/>
        <v>5997</v>
      </c>
      <c r="O312" s="97">
        <f t="shared" si="64"/>
        <v>59.553128103277061</v>
      </c>
      <c r="P312" s="97">
        <f t="shared" si="65"/>
        <v>1.6208108108108108</v>
      </c>
      <c r="R312" s="92"/>
    </row>
    <row r="313" spans="1:18" ht="13.15" x14ac:dyDescent="0.25">
      <c r="A313" s="45" t="s">
        <v>1</v>
      </c>
      <c r="B313" s="45" t="s">
        <v>2</v>
      </c>
      <c r="C313" s="45" t="s">
        <v>7</v>
      </c>
      <c r="D313" s="45" t="s">
        <v>90</v>
      </c>
      <c r="E313" s="88">
        <v>40581</v>
      </c>
      <c r="F313" s="53">
        <v>40584</v>
      </c>
      <c r="G313" s="92">
        <v>3384</v>
      </c>
      <c r="H313" s="98">
        <v>890</v>
      </c>
      <c r="I313" s="98" t="s">
        <v>92</v>
      </c>
      <c r="J313" s="102">
        <f t="shared" si="66"/>
        <v>0.23</v>
      </c>
      <c r="K313" s="103">
        <f t="shared" si="60"/>
        <v>33.604766633565042</v>
      </c>
      <c r="L313" s="103">
        <f t="shared" si="61"/>
        <v>0.91459459459459458</v>
      </c>
      <c r="M313" s="96">
        <f t="shared" si="62"/>
        <v>204.70000000000002</v>
      </c>
      <c r="N313" s="96">
        <f t="shared" si="63"/>
        <v>3588.7</v>
      </c>
      <c r="O313" s="97">
        <f t="shared" si="64"/>
        <v>35.637537239324722</v>
      </c>
      <c r="P313" s="97">
        <f t="shared" si="65"/>
        <v>0.9699189189189189</v>
      </c>
      <c r="R313" s="92"/>
    </row>
    <row r="314" spans="1:18" ht="13.15" x14ac:dyDescent="0.25">
      <c r="A314" s="45" t="s">
        <v>1</v>
      </c>
      <c r="B314" s="45" t="s">
        <v>8</v>
      </c>
      <c r="C314" s="45" t="s">
        <v>9</v>
      </c>
      <c r="D314" s="45" t="s">
        <v>90</v>
      </c>
      <c r="E314" s="88">
        <v>40581</v>
      </c>
      <c r="F314" s="53">
        <v>40584</v>
      </c>
      <c r="G314" s="92">
        <v>5167</v>
      </c>
      <c r="H314" s="98">
        <v>1256</v>
      </c>
      <c r="I314" s="98" t="s">
        <v>93</v>
      </c>
      <c r="J314" s="102">
        <f t="shared" si="66"/>
        <v>0.5</v>
      </c>
      <c r="K314" s="103">
        <f t="shared" si="60"/>
        <v>51.31082423038729</v>
      </c>
      <c r="L314" s="103">
        <f t="shared" si="61"/>
        <v>1.3964864864864865</v>
      </c>
      <c r="M314" s="96">
        <f t="shared" si="62"/>
        <v>628</v>
      </c>
      <c r="N314" s="96">
        <f t="shared" si="63"/>
        <v>5795</v>
      </c>
      <c r="O314" s="97">
        <f t="shared" si="64"/>
        <v>57.547169811320757</v>
      </c>
      <c r="P314" s="97">
        <f t="shared" si="65"/>
        <v>1.5662162162162163</v>
      </c>
      <c r="R314" s="92"/>
    </row>
    <row r="315" spans="1:18" ht="13.15" x14ac:dyDescent="0.25">
      <c r="A315" s="45" t="s">
        <v>1</v>
      </c>
      <c r="B315" s="45" t="s">
        <v>10</v>
      </c>
      <c r="C315" s="45" t="s">
        <v>9</v>
      </c>
      <c r="D315" s="45" t="s">
        <v>90</v>
      </c>
      <c r="E315" s="88">
        <v>40581</v>
      </c>
      <c r="F315" s="53">
        <v>40584</v>
      </c>
      <c r="G315" s="92">
        <v>3651</v>
      </c>
      <c r="H315" s="98">
        <v>975</v>
      </c>
      <c r="I315" s="98" t="s">
        <v>92</v>
      </c>
      <c r="J315" s="102">
        <f t="shared" si="66"/>
        <v>0.23</v>
      </c>
      <c r="K315" s="103">
        <f t="shared" si="60"/>
        <v>36.25620655412115</v>
      </c>
      <c r="L315" s="103">
        <f t="shared" si="61"/>
        <v>0.98675675675675678</v>
      </c>
      <c r="M315" s="96">
        <f t="shared" si="62"/>
        <v>224.25</v>
      </c>
      <c r="N315" s="96">
        <f t="shared" si="63"/>
        <v>3875.25</v>
      </c>
      <c r="O315" s="97">
        <f t="shared" si="64"/>
        <v>38.483118172790462</v>
      </c>
      <c r="P315" s="97">
        <f t="shared" si="65"/>
        <v>1.0473648648648648</v>
      </c>
      <c r="R315" s="92"/>
    </row>
    <row r="316" spans="1:18" ht="13.15" x14ac:dyDescent="0.25">
      <c r="A316" s="45" t="s">
        <v>1</v>
      </c>
      <c r="B316" s="45" t="s">
        <v>11</v>
      </c>
      <c r="C316" s="45" t="s">
        <v>6</v>
      </c>
      <c r="D316" s="45" t="s">
        <v>90</v>
      </c>
      <c r="E316" s="88">
        <v>40581</v>
      </c>
      <c r="F316" s="53">
        <v>40584</v>
      </c>
      <c r="G316" s="92">
        <v>3850</v>
      </c>
      <c r="H316" s="98">
        <v>1357</v>
      </c>
      <c r="I316" s="98" t="s">
        <v>92</v>
      </c>
      <c r="J316" s="102">
        <f t="shared" si="66"/>
        <v>0.23</v>
      </c>
      <c r="K316" s="103">
        <f t="shared" si="60"/>
        <v>38.232373386295926</v>
      </c>
      <c r="L316" s="103">
        <f t="shared" si="61"/>
        <v>1.0405405405405406</v>
      </c>
      <c r="M316" s="96">
        <f t="shared" si="62"/>
        <v>312.11</v>
      </c>
      <c r="N316" s="96">
        <f t="shared" si="63"/>
        <v>4162.1099999999997</v>
      </c>
      <c r="O316" s="97">
        <f t="shared" si="64"/>
        <v>41.331777557100295</v>
      </c>
      <c r="P316" s="97">
        <f t="shared" si="65"/>
        <v>1.1248945945945945</v>
      </c>
      <c r="R316" s="92"/>
    </row>
    <row r="317" spans="1:18" ht="13.15" x14ac:dyDescent="0.25">
      <c r="A317" s="45" t="s">
        <v>134</v>
      </c>
      <c r="B317" s="45" t="s">
        <v>13</v>
      </c>
      <c r="C317" s="45" t="s">
        <v>7</v>
      </c>
      <c r="D317" s="45" t="s">
        <v>90</v>
      </c>
      <c r="E317" s="88">
        <v>40581</v>
      </c>
      <c r="F317" s="53">
        <v>40584</v>
      </c>
      <c r="G317" s="92">
        <v>2812</v>
      </c>
      <c r="H317" s="98">
        <v>1006</v>
      </c>
      <c r="I317" s="98" t="s">
        <v>92</v>
      </c>
      <c r="J317" s="102">
        <f t="shared" si="66"/>
        <v>0.23</v>
      </c>
      <c r="K317" s="103">
        <f t="shared" si="60"/>
        <v>27.924528301886792</v>
      </c>
      <c r="L317" s="103">
        <f t="shared" si="61"/>
        <v>0.70933333333333337</v>
      </c>
      <c r="M317" s="96">
        <f t="shared" si="62"/>
        <v>231.38000000000002</v>
      </c>
      <c r="N317" s="96">
        <f t="shared" si="63"/>
        <v>3043.38</v>
      </c>
      <c r="O317" s="97">
        <f t="shared" si="64"/>
        <v>30.22224428997021</v>
      </c>
      <c r="P317" s="97">
        <f t="shared" si="65"/>
        <v>0.7676994594594595</v>
      </c>
      <c r="R317" s="92"/>
    </row>
    <row r="318" spans="1:18" ht="13.15" x14ac:dyDescent="0.25">
      <c r="A318" s="45" t="s">
        <v>134</v>
      </c>
      <c r="B318" s="45" t="s">
        <v>14</v>
      </c>
      <c r="C318" s="45" t="s">
        <v>15</v>
      </c>
      <c r="D318" s="45" t="s">
        <v>90</v>
      </c>
      <c r="E318" s="88">
        <v>40581</v>
      </c>
      <c r="F318" s="53">
        <v>40584</v>
      </c>
      <c r="G318" s="92">
        <v>3760</v>
      </c>
      <c r="H318" s="98">
        <v>866</v>
      </c>
      <c r="I318" s="98" t="s">
        <v>94</v>
      </c>
      <c r="J318" s="102">
        <f t="shared" si="66"/>
        <v>0.32</v>
      </c>
      <c r="K318" s="103">
        <f t="shared" si="60"/>
        <v>37.338629592850047</v>
      </c>
      <c r="L318" s="103">
        <f t="shared" si="61"/>
        <v>0.94846846846846844</v>
      </c>
      <c r="M318" s="96">
        <f t="shared" si="62"/>
        <v>277.12</v>
      </c>
      <c r="N318" s="96">
        <f t="shared" si="63"/>
        <v>4037.12</v>
      </c>
      <c r="O318" s="97">
        <f t="shared" si="64"/>
        <v>40.090566037735847</v>
      </c>
      <c r="P318" s="97">
        <f t="shared" si="65"/>
        <v>1.0183726126126127</v>
      </c>
      <c r="R318" s="92"/>
    </row>
    <row r="319" spans="1:18" ht="13.15" x14ac:dyDescent="0.25">
      <c r="A319" s="45" t="s">
        <v>134</v>
      </c>
      <c r="B319" s="45" t="s">
        <v>16</v>
      </c>
      <c r="C319" s="45" t="s">
        <v>17</v>
      </c>
      <c r="D319" s="45" t="s">
        <v>90</v>
      </c>
      <c r="E319" s="88">
        <v>40581</v>
      </c>
      <c r="F319" s="53">
        <v>40584</v>
      </c>
      <c r="G319" s="92">
        <v>1843</v>
      </c>
      <c r="H319" s="98">
        <v>213</v>
      </c>
      <c r="I319" s="98" t="s">
        <v>92</v>
      </c>
      <c r="J319" s="102">
        <f t="shared" si="66"/>
        <v>0.23</v>
      </c>
      <c r="K319" s="103">
        <f t="shared" si="60"/>
        <v>18.30188679245283</v>
      </c>
      <c r="L319" s="103">
        <f t="shared" si="61"/>
        <v>0.46490090090090092</v>
      </c>
      <c r="M319" s="96">
        <f t="shared" si="62"/>
        <v>48.99</v>
      </c>
      <c r="N319" s="96">
        <f t="shared" si="63"/>
        <v>1891.99</v>
      </c>
      <c r="O319" s="97">
        <f t="shared" si="64"/>
        <v>18.788381330685205</v>
      </c>
      <c r="P319" s="97">
        <f t="shared" si="65"/>
        <v>0.47725873873873875</v>
      </c>
      <c r="R319" s="92"/>
    </row>
    <row r="320" spans="1:18" ht="13.15" x14ac:dyDescent="0.25">
      <c r="A320" s="45" t="s">
        <v>134</v>
      </c>
      <c r="B320" s="45" t="s">
        <v>18</v>
      </c>
      <c r="C320" s="45" t="s">
        <v>19</v>
      </c>
      <c r="D320" s="45" t="s">
        <v>90</v>
      </c>
      <c r="E320" s="88">
        <v>40581</v>
      </c>
      <c r="F320" s="53">
        <v>40584</v>
      </c>
      <c r="G320" s="92">
        <v>3196</v>
      </c>
      <c r="H320" s="98">
        <v>650</v>
      </c>
      <c r="I320" s="98" t="s">
        <v>94</v>
      </c>
      <c r="J320" s="102">
        <f t="shared" si="66"/>
        <v>0.32</v>
      </c>
      <c r="K320" s="103">
        <f t="shared" si="60"/>
        <v>31.737835153922543</v>
      </c>
      <c r="L320" s="103">
        <f t="shared" si="61"/>
        <v>0.80619819819819816</v>
      </c>
      <c r="M320" s="96">
        <f t="shared" si="62"/>
        <v>208</v>
      </c>
      <c r="N320" s="96">
        <f t="shared" si="63"/>
        <v>3404</v>
      </c>
      <c r="O320" s="97">
        <f t="shared" si="64"/>
        <v>33.803376365441906</v>
      </c>
      <c r="P320" s="97">
        <f t="shared" si="65"/>
        <v>0.85866666666666669</v>
      </c>
      <c r="R320" s="92"/>
    </row>
    <row r="321" spans="1:18" ht="13.15" x14ac:dyDescent="0.25">
      <c r="A321" s="45" t="s">
        <v>134</v>
      </c>
      <c r="B321" s="45" t="s">
        <v>18</v>
      </c>
      <c r="C321" s="45" t="s">
        <v>20</v>
      </c>
      <c r="D321" s="45" t="s">
        <v>90</v>
      </c>
      <c r="E321" s="88">
        <v>40581</v>
      </c>
      <c r="F321" s="53">
        <v>40584</v>
      </c>
      <c r="G321" s="92">
        <v>2760</v>
      </c>
      <c r="H321" s="98">
        <v>417</v>
      </c>
      <c r="I321" s="98" t="s">
        <v>94</v>
      </c>
      <c r="J321" s="102">
        <f t="shared" si="66"/>
        <v>0.32</v>
      </c>
      <c r="K321" s="103">
        <f t="shared" si="60"/>
        <v>27.408142999006952</v>
      </c>
      <c r="L321" s="103">
        <f t="shared" si="61"/>
        <v>0.69621621621621621</v>
      </c>
      <c r="M321" s="96">
        <f t="shared" si="62"/>
        <v>133.44</v>
      </c>
      <c r="N321" s="96">
        <f t="shared" si="63"/>
        <v>2893.44</v>
      </c>
      <c r="O321" s="97">
        <f t="shared" si="64"/>
        <v>28.733267130089374</v>
      </c>
      <c r="P321" s="97">
        <f t="shared" si="65"/>
        <v>0.72987675675675678</v>
      </c>
      <c r="R321" s="92"/>
    </row>
    <row r="322" spans="1:18" ht="13.15" x14ac:dyDescent="0.25">
      <c r="A322" s="45" t="s">
        <v>134</v>
      </c>
      <c r="B322" s="45" t="s">
        <v>16</v>
      </c>
      <c r="C322" s="45" t="s">
        <v>21</v>
      </c>
      <c r="D322" s="45" t="s">
        <v>90</v>
      </c>
      <c r="E322" s="88">
        <v>40581</v>
      </c>
      <c r="F322" s="53">
        <v>40584</v>
      </c>
      <c r="G322" s="92">
        <v>2938</v>
      </c>
      <c r="H322" s="98">
        <v>626</v>
      </c>
      <c r="I322" s="98" t="s">
        <v>92</v>
      </c>
      <c r="J322" s="102">
        <f t="shared" si="66"/>
        <v>0.23</v>
      </c>
      <c r="K322" s="103">
        <f t="shared" si="60"/>
        <v>29.175769612711022</v>
      </c>
      <c r="L322" s="103">
        <f t="shared" si="61"/>
        <v>0.74111711711711714</v>
      </c>
      <c r="M322" s="96">
        <f t="shared" si="62"/>
        <v>143.98000000000002</v>
      </c>
      <c r="N322" s="96">
        <f t="shared" si="63"/>
        <v>3081.98</v>
      </c>
      <c r="O322" s="97">
        <f t="shared" si="64"/>
        <v>30.605561072492552</v>
      </c>
      <c r="P322" s="97">
        <f t="shared" si="65"/>
        <v>0.77743639639639639</v>
      </c>
      <c r="R322" s="92"/>
    </row>
    <row r="323" spans="1:18" ht="13.15" x14ac:dyDescent="0.25">
      <c r="A323" s="45" t="s">
        <v>134</v>
      </c>
      <c r="B323" s="45" t="s">
        <v>16</v>
      </c>
      <c r="C323" s="45" t="s">
        <v>6</v>
      </c>
      <c r="D323" s="45" t="s">
        <v>90</v>
      </c>
      <c r="E323" s="88">
        <v>40581</v>
      </c>
      <c r="F323" s="53">
        <v>40584</v>
      </c>
      <c r="G323" s="92">
        <v>4372</v>
      </c>
      <c r="H323" s="98">
        <v>1823</v>
      </c>
      <c r="I323" s="98" t="s">
        <v>92</v>
      </c>
      <c r="J323" s="102">
        <f t="shared" si="66"/>
        <v>0.23</v>
      </c>
      <c r="K323" s="103">
        <f t="shared" si="60"/>
        <v>43.416087388282023</v>
      </c>
      <c r="L323" s="103">
        <f t="shared" si="61"/>
        <v>1.1028468468468469</v>
      </c>
      <c r="M323" s="96">
        <f t="shared" si="62"/>
        <v>419.29</v>
      </c>
      <c r="N323" s="96">
        <f t="shared" si="63"/>
        <v>4791.29</v>
      </c>
      <c r="O323" s="97">
        <f t="shared" si="64"/>
        <v>47.579841112214496</v>
      </c>
      <c r="P323" s="97">
        <f t="shared" si="65"/>
        <v>1.2086136936936938</v>
      </c>
      <c r="R323" s="92"/>
    </row>
    <row r="324" spans="1:18" ht="13.15" x14ac:dyDescent="0.25">
      <c r="A324" s="45" t="s">
        <v>22</v>
      </c>
      <c r="B324" s="45" t="s">
        <v>23</v>
      </c>
      <c r="C324" s="45" t="s">
        <v>7</v>
      </c>
      <c r="D324" s="45" t="s">
        <v>90</v>
      </c>
      <c r="E324" s="88">
        <v>40581</v>
      </c>
      <c r="F324" s="53">
        <v>40584</v>
      </c>
      <c r="G324" s="92">
        <v>3391</v>
      </c>
      <c r="H324" s="99">
        <v>1295</v>
      </c>
      <c r="I324" s="98" t="s">
        <v>95</v>
      </c>
      <c r="J324" s="102">
        <f t="shared" si="66"/>
        <v>0.184</v>
      </c>
      <c r="K324" s="103">
        <f t="shared" si="60"/>
        <v>33.674280039721943</v>
      </c>
      <c r="L324" s="103">
        <f t="shared" si="61"/>
        <v>0.91648648648648645</v>
      </c>
      <c r="M324" s="96">
        <f t="shared" si="62"/>
        <v>238.28</v>
      </c>
      <c r="N324" s="96">
        <f t="shared" si="63"/>
        <v>3629.28</v>
      </c>
      <c r="O324" s="97">
        <f t="shared" si="64"/>
        <v>36.04051638530288</v>
      </c>
      <c r="P324" s="97">
        <f t="shared" si="65"/>
        <v>0.98088648648648658</v>
      </c>
      <c r="R324" s="92"/>
    </row>
    <row r="325" spans="1:18" ht="13.15" x14ac:dyDescent="0.25">
      <c r="A325" s="45" t="s">
        <v>22</v>
      </c>
      <c r="B325" s="45" t="s">
        <v>14</v>
      </c>
      <c r="C325" s="45" t="s">
        <v>24</v>
      </c>
      <c r="D325" s="45" t="s">
        <v>90</v>
      </c>
      <c r="E325" s="88">
        <v>40581</v>
      </c>
      <c r="F325" s="53">
        <v>40584</v>
      </c>
      <c r="G325" s="92">
        <v>2921</v>
      </c>
      <c r="H325" s="98">
        <v>615</v>
      </c>
      <c r="I325" s="98" t="s">
        <v>94</v>
      </c>
      <c r="J325" s="102">
        <f t="shared" si="66"/>
        <v>0.32</v>
      </c>
      <c r="K325" s="103">
        <f t="shared" si="60"/>
        <v>29.006951340615689</v>
      </c>
      <c r="L325" s="103">
        <f t="shared" si="61"/>
        <v>0.7894594594594595</v>
      </c>
      <c r="M325" s="96">
        <f t="shared" si="62"/>
        <v>196.8</v>
      </c>
      <c r="N325" s="96">
        <f t="shared" si="63"/>
        <v>3117.8</v>
      </c>
      <c r="O325" s="97">
        <f t="shared" si="64"/>
        <v>30.961271102284012</v>
      </c>
      <c r="P325" s="97">
        <f t="shared" si="65"/>
        <v>0.84264864864864875</v>
      </c>
      <c r="R325" s="92"/>
    </row>
    <row r="326" spans="1:18" ht="13.15" x14ac:dyDescent="0.25">
      <c r="A326" s="45" t="s">
        <v>22</v>
      </c>
      <c r="B326" s="45" t="s">
        <v>18</v>
      </c>
      <c r="C326" s="45" t="s">
        <v>15</v>
      </c>
      <c r="D326" s="45" t="s">
        <v>90</v>
      </c>
      <c r="E326" s="88">
        <v>40581</v>
      </c>
      <c r="F326" s="53">
        <v>40584</v>
      </c>
      <c r="G326" s="92">
        <v>3830</v>
      </c>
      <c r="H326" s="98">
        <v>872</v>
      </c>
      <c r="I326" s="98" t="s">
        <v>94</v>
      </c>
      <c r="J326" s="102">
        <f t="shared" si="66"/>
        <v>0.32</v>
      </c>
      <c r="K326" s="103">
        <f t="shared" si="60"/>
        <v>38.033763654419069</v>
      </c>
      <c r="L326" s="103">
        <f t="shared" si="61"/>
        <v>1.0351351351351352</v>
      </c>
      <c r="M326" s="96">
        <f t="shared" si="62"/>
        <v>279.04000000000002</v>
      </c>
      <c r="N326" s="96">
        <f t="shared" si="63"/>
        <v>4109.04</v>
      </c>
      <c r="O326" s="97">
        <f t="shared" si="64"/>
        <v>40.804766633565045</v>
      </c>
      <c r="P326" s="97">
        <f t="shared" si="65"/>
        <v>1.1105513513513514</v>
      </c>
      <c r="R326" s="92"/>
    </row>
    <row r="327" spans="1:18" ht="13.15" x14ac:dyDescent="0.25">
      <c r="A327" s="45" t="s">
        <v>22</v>
      </c>
      <c r="B327" s="45" t="s">
        <v>18</v>
      </c>
      <c r="C327" s="45" t="s">
        <v>24</v>
      </c>
      <c r="D327" s="45" t="s">
        <v>90</v>
      </c>
      <c r="E327" s="88">
        <v>40581</v>
      </c>
      <c r="F327" s="53">
        <v>40584</v>
      </c>
      <c r="G327" s="92">
        <v>2613</v>
      </c>
      <c r="H327" s="98">
        <v>417</v>
      </c>
      <c r="I327" s="98" t="s">
        <v>94</v>
      </c>
      <c r="J327" s="102">
        <f t="shared" si="66"/>
        <v>0.32</v>
      </c>
      <c r="K327" s="103">
        <f t="shared" si="60"/>
        <v>25.948361469712015</v>
      </c>
      <c r="L327" s="103">
        <f t="shared" si="61"/>
        <v>0.70621621621621622</v>
      </c>
      <c r="M327" s="96">
        <f t="shared" si="62"/>
        <v>133.44</v>
      </c>
      <c r="N327" s="96">
        <f t="shared" si="63"/>
        <v>2746.44</v>
      </c>
      <c r="O327" s="97">
        <f t="shared" si="64"/>
        <v>27.273485600794437</v>
      </c>
      <c r="P327" s="97">
        <f t="shared" si="65"/>
        <v>0.74228108108108115</v>
      </c>
      <c r="R327" s="92"/>
    </row>
    <row r="328" spans="1:18" ht="13.15" x14ac:dyDescent="0.25">
      <c r="A328" s="45" t="s">
        <v>22</v>
      </c>
      <c r="B328" s="45" t="s">
        <v>13</v>
      </c>
      <c r="C328" s="45" t="s">
        <v>7</v>
      </c>
      <c r="D328" s="45" t="s">
        <v>90</v>
      </c>
      <c r="E328" s="88">
        <v>40581</v>
      </c>
      <c r="F328" s="53">
        <v>40584</v>
      </c>
      <c r="G328" s="92">
        <v>3156</v>
      </c>
      <c r="H328" s="98">
        <v>1006</v>
      </c>
      <c r="I328" s="98" t="s">
        <v>92</v>
      </c>
      <c r="J328" s="102">
        <f t="shared" si="66"/>
        <v>0.23</v>
      </c>
      <c r="K328" s="103">
        <f t="shared" si="60"/>
        <v>31.340615690168818</v>
      </c>
      <c r="L328" s="103">
        <f t="shared" si="61"/>
        <v>0.85297297297297292</v>
      </c>
      <c r="M328" s="96">
        <f t="shared" si="62"/>
        <v>231.38000000000002</v>
      </c>
      <c r="N328" s="96">
        <f t="shared" si="63"/>
        <v>3387.38</v>
      </c>
      <c r="O328" s="97">
        <f t="shared" si="64"/>
        <v>33.638331678252236</v>
      </c>
      <c r="P328" s="97">
        <f t="shared" si="65"/>
        <v>0.91550810810810812</v>
      </c>
      <c r="R328" s="92"/>
    </row>
    <row r="329" spans="1:18" ht="13.15" x14ac:dyDescent="0.25">
      <c r="A329" s="45" t="s">
        <v>1</v>
      </c>
      <c r="B329" s="45" t="s">
        <v>25</v>
      </c>
      <c r="C329" s="45" t="s">
        <v>26</v>
      </c>
      <c r="D329" s="45" t="s">
        <v>91</v>
      </c>
      <c r="E329" s="88">
        <v>40581</v>
      </c>
      <c r="F329" s="53">
        <v>40584</v>
      </c>
      <c r="G329" s="92">
        <v>2966</v>
      </c>
      <c r="H329" s="98">
        <v>880</v>
      </c>
      <c r="I329" s="98" t="s">
        <v>93</v>
      </c>
      <c r="J329" s="102">
        <f t="shared" si="66"/>
        <v>0.5</v>
      </c>
      <c r="K329" s="103">
        <f t="shared" si="60"/>
        <v>29.453823237338629</v>
      </c>
      <c r="L329" s="103">
        <f t="shared" si="61"/>
        <v>0.80162162162162165</v>
      </c>
      <c r="M329" s="96">
        <f t="shared" si="62"/>
        <v>440</v>
      </c>
      <c r="N329" s="96">
        <f t="shared" si="63"/>
        <v>3406</v>
      </c>
      <c r="O329" s="97">
        <f t="shared" si="64"/>
        <v>33.823237338629589</v>
      </c>
      <c r="P329" s="97">
        <f t="shared" si="65"/>
        <v>0.92054054054054057</v>
      </c>
      <c r="R329" s="92"/>
    </row>
    <row r="330" spans="1:18" ht="13.15" x14ac:dyDescent="0.25">
      <c r="A330" s="45" t="s">
        <v>1</v>
      </c>
      <c r="B330" s="45" t="s">
        <v>2</v>
      </c>
      <c r="C330" s="45" t="s">
        <v>9</v>
      </c>
      <c r="D330" s="45" t="s">
        <v>91</v>
      </c>
      <c r="E330" s="88">
        <v>40581</v>
      </c>
      <c r="F330" s="53">
        <v>40584</v>
      </c>
      <c r="G330" s="92">
        <v>2987</v>
      </c>
      <c r="H330" s="98">
        <v>685</v>
      </c>
      <c r="I330" s="98" t="s">
        <v>93</v>
      </c>
      <c r="J330" s="102">
        <f t="shared" si="66"/>
        <v>0.5</v>
      </c>
      <c r="K330" s="103">
        <f t="shared" si="60"/>
        <v>29.662363455809334</v>
      </c>
      <c r="L330" s="103">
        <f t="shared" si="61"/>
        <v>0.80729729729729727</v>
      </c>
      <c r="M330" s="96">
        <f t="shared" si="62"/>
        <v>342.5</v>
      </c>
      <c r="N330" s="96">
        <f t="shared" si="63"/>
        <v>3329.5</v>
      </c>
      <c r="O330" s="97">
        <f t="shared" si="64"/>
        <v>33.063555114200597</v>
      </c>
      <c r="P330" s="97">
        <f t="shared" si="65"/>
        <v>0.89986486486486483</v>
      </c>
      <c r="R330" s="92"/>
    </row>
    <row r="331" spans="1:18" ht="13.15" x14ac:dyDescent="0.25">
      <c r="A331" s="45" t="s">
        <v>1</v>
      </c>
      <c r="B331" s="45" t="s">
        <v>27</v>
      </c>
      <c r="C331" s="45" t="s">
        <v>28</v>
      </c>
      <c r="D331" s="45" t="s">
        <v>91</v>
      </c>
      <c r="E331" s="88">
        <v>40581</v>
      </c>
      <c r="F331" s="53">
        <v>40584</v>
      </c>
      <c r="G331" s="92">
        <v>3497</v>
      </c>
      <c r="H331" s="98">
        <v>812</v>
      </c>
      <c r="I331" s="98" t="s">
        <v>94</v>
      </c>
      <c r="J331" s="102">
        <f t="shared" si="66"/>
        <v>0.32</v>
      </c>
      <c r="K331" s="103">
        <f t="shared" si="60"/>
        <v>34.726911618669313</v>
      </c>
      <c r="L331" s="103">
        <f t="shared" si="61"/>
        <v>0.94513513513513514</v>
      </c>
      <c r="M331" s="96">
        <f t="shared" si="62"/>
        <v>259.84000000000003</v>
      </c>
      <c r="N331" s="96">
        <f t="shared" si="63"/>
        <v>3756.84</v>
      </c>
      <c r="O331" s="97">
        <f t="shared" si="64"/>
        <v>37.307249255213506</v>
      </c>
      <c r="P331" s="97">
        <f t="shared" si="65"/>
        <v>1.0153621621621622</v>
      </c>
      <c r="R331" s="92"/>
    </row>
    <row r="332" spans="1:18" ht="13.15" x14ac:dyDescent="0.25">
      <c r="A332" s="45" t="s">
        <v>1</v>
      </c>
      <c r="B332" s="45" t="s">
        <v>4</v>
      </c>
      <c r="C332" s="45" t="s">
        <v>26</v>
      </c>
      <c r="D332" s="45" t="s">
        <v>91</v>
      </c>
      <c r="E332" s="88">
        <v>40581</v>
      </c>
      <c r="F332" s="53">
        <v>40584</v>
      </c>
      <c r="G332" s="92">
        <v>4229</v>
      </c>
      <c r="H332" s="98">
        <v>1520</v>
      </c>
      <c r="I332" s="98" t="s">
        <v>93</v>
      </c>
      <c r="J332" s="102">
        <f t="shared" si="66"/>
        <v>0.5</v>
      </c>
      <c r="K332" s="103">
        <f t="shared" si="60"/>
        <v>41.996027805362459</v>
      </c>
      <c r="L332" s="103">
        <f t="shared" si="61"/>
        <v>1.142972972972973</v>
      </c>
      <c r="M332" s="96">
        <f t="shared" si="62"/>
        <v>760</v>
      </c>
      <c r="N332" s="96">
        <f t="shared" si="63"/>
        <v>4989</v>
      </c>
      <c r="O332" s="97">
        <f t="shared" si="64"/>
        <v>49.543197616683216</v>
      </c>
      <c r="P332" s="97">
        <f t="shared" si="65"/>
        <v>1.3483783783783785</v>
      </c>
      <c r="R332" s="92"/>
    </row>
    <row r="333" spans="1:18" ht="13.15" x14ac:dyDescent="0.25">
      <c r="A333" s="45" t="s">
        <v>1</v>
      </c>
      <c r="B333" s="45" t="s">
        <v>4</v>
      </c>
      <c r="C333" s="45" t="s">
        <v>9</v>
      </c>
      <c r="D333" s="45" t="s">
        <v>91</v>
      </c>
      <c r="E333" s="88">
        <v>40581</v>
      </c>
      <c r="F333" s="53">
        <v>40584</v>
      </c>
      <c r="G333" s="92">
        <v>5144</v>
      </c>
      <c r="H333" s="98">
        <v>1583</v>
      </c>
      <c r="I333" s="98" t="s">
        <v>93</v>
      </c>
      <c r="J333" s="102">
        <f t="shared" si="66"/>
        <v>0.5</v>
      </c>
      <c r="K333" s="103">
        <f t="shared" si="60"/>
        <v>51.082423038728898</v>
      </c>
      <c r="L333" s="103">
        <f t="shared" si="61"/>
        <v>1.3902702702702703</v>
      </c>
      <c r="M333" s="96">
        <f t="shared" si="62"/>
        <v>791.5</v>
      </c>
      <c r="N333" s="96">
        <f t="shared" si="63"/>
        <v>5935.5</v>
      </c>
      <c r="O333" s="97">
        <f t="shared" si="64"/>
        <v>58.942403177755708</v>
      </c>
      <c r="P333" s="97">
        <f t="shared" si="65"/>
        <v>1.6041891891891893</v>
      </c>
      <c r="R333" s="92"/>
    </row>
    <row r="334" spans="1:18" ht="13.15" x14ac:dyDescent="0.25">
      <c r="A334" s="45" t="s">
        <v>1</v>
      </c>
      <c r="B334" s="45" t="s">
        <v>10</v>
      </c>
      <c r="C334" s="45" t="s">
        <v>26</v>
      </c>
      <c r="D334" s="45" t="s">
        <v>91</v>
      </c>
      <c r="E334" s="88">
        <v>40581</v>
      </c>
      <c r="F334" s="53">
        <v>40584</v>
      </c>
      <c r="G334" s="92">
        <v>4619</v>
      </c>
      <c r="H334" s="98">
        <v>1599</v>
      </c>
      <c r="I334" s="98" t="s">
        <v>92</v>
      </c>
      <c r="J334" s="102">
        <f t="shared" si="66"/>
        <v>0.23</v>
      </c>
      <c r="K334" s="103">
        <f t="shared" si="60"/>
        <v>45.868917576961273</v>
      </c>
      <c r="L334" s="103">
        <f t="shared" si="61"/>
        <v>1.2483783783783784</v>
      </c>
      <c r="M334" s="96">
        <f t="shared" si="62"/>
        <v>367.77000000000004</v>
      </c>
      <c r="N334" s="96">
        <f t="shared" si="63"/>
        <v>4986.7700000000004</v>
      </c>
      <c r="O334" s="97">
        <f t="shared" si="64"/>
        <v>49.521052631578954</v>
      </c>
      <c r="P334" s="97">
        <f t="shared" si="65"/>
        <v>1.3477756756756758</v>
      </c>
      <c r="R334" s="92"/>
    </row>
    <row r="335" spans="1:18" ht="13.15" x14ac:dyDescent="0.25">
      <c r="A335" s="45" t="s">
        <v>134</v>
      </c>
      <c r="B335" s="45" t="s">
        <v>23</v>
      </c>
      <c r="C335" s="45" t="s">
        <v>26</v>
      </c>
      <c r="D335" s="45" t="s">
        <v>91</v>
      </c>
      <c r="E335" s="88">
        <v>40581</v>
      </c>
      <c r="F335" s="53">
        <v>40584</v>
      </c>
      <c r="G335" s="92">
        <v>4120</v>
      </c>
      <c r="H335" s="98">
        <v>1851</v>
      </c>
      <c r="I335" s="98" t="s">
        <v>93</v>
      </c>
      <c r="J335" s="102">
        <f t="shared" si="66"/>
        <v>0.5</v>
      </c>
      <c r="K335" s="103">
        <f t="shared" si="60"/>
        <v>40.913604766633561</v>
      </c>
      <c r="L335" s="103">
        <f t="shared" si="61"/>
        <v>1.0392792792792793</v>
      </c>
      <c r="M335" s="96">
        <f t="shared" si="62"/>
        <v>925.5</v>
      </c>
      <c r="N335" s="96">
        <f t="shared" si="63"/>
        <v>5045.5</v>
      </c>
      <c r="O335" s="97">
        <f t="shared" si="64"/>
        <v>50.104270109235351</v>
      </c>
      <c r="P335" s="97">
        <f t="shared" si="65"/>
        <v>1.2727387387387388</v>
      </c>
      <c r="R335" s="92"/>
    </row>
    <row r="336" spans="1:18" ht="13.15" x14ac:dyDescent="0.25">
      <c r="A336" s="45" t="s">
        <v>134</v>
      </c>
      <c r="B336" s="45" t="s">
        <v>8</v>
      </c>
      <c r="C336" s="45" t="s">
        <v>29</v>
      </c>
      <c r="D336" s="45" t="s">
        <v>91</v>
      </c>
      <c r="E336" s="88">
        <v>40581</v>
      </c>
      <c r="F336" s="53">
        <v>40584</v>
      </c>
      <c r="G336" s="92">
        <v>4120</v>
      </c>
      <c r="H336" s="98">
        <v>1695</v>
      </c>
      <c r="I336" s="98" t="s">
        <v>93</v>
      </c>
      <c r="J336" s="102">
        <f t="shared" si="66"/>
        <v>0.5</v>
      </c>
      <c r="K336" s="103">
        <f t="shared" si="60"/>
        <v>40.913604766633561</v>
      </c>
      <c r="L336" s="103">
        <f t="shared" si="61"/>
        <v>1.0392792792792793</v>
      </c>
      <c r="M336" s="96">
        <f t="shared" si="62"/>
        <v>847.5</v>
      </c>
      <c r="N336" s="96">
        <f t="shared" si="63"/>
        <v>4967.5</v>
      </c>
      <c r="O336" s="97">
        <f t="shared" si="64"/>
        <v>49.329692154915591</v>
      </c>
      <c r="P336" s="97">
        <f t="shared" si="65"/>
        <v>1.253063063063063</v>
      </c>
      <c r="R336" s="92"/>
    </row>
    <row r="337" spans="1:20" ht="13.15" x14ac:dyDescent="0.25">
      <c r="A337" s="45" t="s">
        <v>134</v>
      </c>
      <c r="B337" s="45" t="s">
        <v>13</v>
      </c>
      <c r="C337" s="45" t="s">
        <v>7</v>
      </c>
      <c r="D337" s="45" t="s">
        <v>91</v>
      </c>
      <c r="E337" s="88">
        <v>40581</v>
      </c>
      <c r="F337" s="53">
        <v>40584</v>
      </c>
      <c r="G337" s="92">
        <v>2677</v>
      </c>
      <c r="H337" s="98">
        <v>1006</v>
      </c>
      <c r="I337" s="98" t="s">
        <v>92</v>
      </c>
      <c r="J337" s="102">
        <f t="shared" si="66"/>
        <v>0.23</v>
      </c>
      <c r="K337" s="103">
        <f t="shared" si="60"/>
        <v>26.583912611717974</v>
      </c>
      <c r="L337" s="103">
        <f t="shared" si="61"/>
        <v>0.67527927927927933</v>
      </c>
      <c r="M337" s="96">
        <f t="shared" si="62"/>
        <v>231.38000000000002</v>
      </c>
      <c r="N337" s="96">
        <f t="shared" si="63"/>
        <v>2908.38</v>
      </c>
      <c r="O337" s="97">
        <f t="shared" si="64"/>
        <v>28.881628599801392</v>
      </c>
      <c r="P337" s="97">
        <f t="shared" si="65"/>
        <v>0.73364540540540546</v>
      </c>
      <c r="R337" s="92"/>
    </row>
    <row r="338" spans="1:20" ht="13.15" x14ac:dyDescent="0.25">
      <c r="A338" s="45" t="s">
        <v>134</v>
      </c>
      <c r="B338" s="45" t="s">
        <v>30</v>
      </c>
      <c r="C338" s="45" t="s">
        <v>9</v>
      </c>
      <c r="D338" s="45" t="s">
        <v>91</v>
      </c>
      <c r="E338" s="88">
        <v>40581</v>
      </c>
      <c r="F338" s="53">
        <v>40584</v>
      </c>
      <c r="G338" s="92">
        <v>2880</v>
      </c>
      <c r="H338" s="98">
        <v>988</v>
      </c>
      <c r="I338" s="98" t="s">
        <v>93</v>
      </c>
      <c r="J338" s="102">
        <f t="shared" si="66"/>
        <v>0.5</v>
      </c>
      <c r="K338" s="103">
        <f t="shared" si="60"/>
        <v>28.599801390268123</v>
      </c>
      <c r="L338" s="103">
        <f t="shared" si="61"/>
        <v>0.7264864864864865</v>
      </c>
      <c r="M338" s="96">
        <f t="shared" si="62"/>
        <v>494</v>
      </c>
      <c r="N338" s="96">
        <f t="shared" si="63"/>
        <v>3374</v>
      </c>
      <c r="O338" s="97">
        <f t="shared" si="64"/>
        <v>33.505461767626613</v>
      </c>
      <c r="P338" s="97">
        <f t="shared" si="65"/>
        <v>0.85109909909909909</v>
      </c>
      <c r="R338" s="92"/>
    </row>
    <row r="339" spans="1:20" ht="13.15" x14ac:dyDescent="0.25">
      <c r="A339" s="45" t="s">
        <v>134</v>
      </c>
      <c r="B339" s="45" t="s">
        <v>16</v>
      </c>
      <c r="C339" s="45" t="s">
        <v>11</v>
      </c>
      <c r="D339" s="45" t="s">
        <v>91</v>
      </c>
      <c r="E339" s="88">
        <v>40581</v>
      </c>
      <c r="F339" s="53">
        <v>40584</v>
      </c>
      <c r="G339" s="92">
        <v>3330</v>
      </c>
      <c r="H339" s="99">
        <v>787</v>
      </c>
      <c r="I339" s="98" t="s">
        <v>92</v>
      </c>
      <c r="J339" s="102">
        <f t="shared" si="66"/>
        <v>0.23</v>
      </c>
      <c r="K339" s="103">
        <f t="shared" si="60"/>
        <v>33.068520357497519</v>
      </c>
      <c r="L339" s="103">
        <f t="shared" si="61"/>
        <v>0.84</v>
      </c>
      <c r="M339" s="96">
        <f t="shared" si="62"/>
        <v>181.01000000000002</v>
      </c>
      <c r="N339" s="96">
        <f t="shared" si="63"/>
        <v>3511.01</v>
      </c>
      <c r="O339" s="97">
        <f t="shared" si="64"/>
        <v>34.866037735849055</v>
      </c>
      <c r="P339" s="97">
        <f t="shared" si="65"/>
        <v>0.88566018018018022</v>
      </c>
      <c r="R339" s="92"/>
    </row>
    <row r="340" spans="1:20" ht="13.15" x14ac:dyDescent="0.25">
      <c r="A340" s="45" t="s">
        <v>134</v>
      </c>
      <c r="B340" s="45" t="s">
        <v>23</v>
      </c>
      <c r="C340" s="45" t="s">
        <v>29</v>
      </c>
      <c r="D340" s="45" t="s">
        <v>91</v>
      </c>
      <c r="E340" s="88">
        <v>40581</v>
      </c>
      <c r="F340" s="53">
        <v>40584</v>
      </c>
      <c r="G340" s="92">
        <v>4120</v>
      </c>
      <c r="H340" s="98">
        <v>1836</v>
      </c>
      <c r="I340" s="98" t="s">
        <v>93</v>
      </c>
      <c r="J340" s="102">
        <f t="shared" si="66"/>
        <v>0.5</v>
      </c>
      <c r="K340" s="103">
        <f t="shared" si="60"/>
        <v>40.913604766633561</v>
      </c>
      <c r="L340" s="103">
        <f t="shared" si="61"/>
        <v>1.0392792792792793</v>
      </c>
      <c r="M340" s="96">
        <f t="shared" si="62"/>
        <v>918</v>
      </c>
      <c r="N340" s="96">
        <f t="shared" si="63"/>
        <v>5038</v>
      </c>
      <c r="O340" s="97">
        <f t="shared" si="64"/>
        <v>50.029791459781528</v>
      </c>
      <c r="P340" s="97">
        <f t="shared" si="65"/>
        <v>1.2708468468468468</v>
      </c>
      <c r="R340" s="92"/>
    </row>
    <row r="341" spans="1:20" ht="13.15" x14ac:dyDescent="0.25">
      <c r="A341" s="45" t="s">
        <v>134</v>
      </c>
      <c r="B341" s="45" t="s">
        <v>31</v>
      </c>
      <c r="C341" s="45" t="s">
        <v>32</v>
      </c>
      <c r="D341" s="45" t="s">
        <v>91</v>
      </c>
      <c r="E341" s="88">
        <v>40581</v>
      </c>
      <c r="F341" s="53">
        <v>40584</v>
      </c>
      <c r="G341" s="92">
        <v>3480</v>
      </c>
      <c r="H341" s="98">
        <v>1899</v>
      </c>
      <c r="I341" s="98" t="s">
        <v>93</v>
      </c>
      <c r="J341" s="102">
        <f t="shared" si="66"/>
        <v>0.5</v>
      </c>
      <c r="K341" s="103">
        <f t="shared" si="60"/>
        <v>34.558093346573983</v>
      </c>
      <c r="L341" s="103">
        <f t="shared" si="61"/>
        <v>0.87783783783783786</v>
      </c>
      <c r="M341" s="96">
        <f t="shared" si="62"/>
        <v>949.5</v>
      </c>
      <c r="N341" s="96">
        <f t="shared" si="63"/>
        <v>4429.5</v>
      </c>
      <c r="O341" s="97">
        <f t="shared" si="64"/>
        <v>43.987090367428003</v>
      </c>
      <c r="P341" s="97">
        <f t="shared" si="65"/>
        <v>1.1173513513513513</v>
      </c>
      <c r="R341" s="92"/>
    </row>
    <row r="342" spans="1:20" ht="13.15" x14ac:dyDescent="0.25">
      <c r="A342" s="45" t="s">
        <v>22</v>
      </c>
      <c r="B342" s="45" t="s">
        <v>8</v>
      </c>
      <c r="C342" s="45" t="s">
        <v>29</v>
      </c>
      <c r="D342" s="45" t="s">
        <v>91</v>
      </c>
      <c r="E342" s="88">
        <v>40581</v>
      </c>
      <c r="F342" s="53">
        <v>40584</v>
      </c>
      <c r="G342" s="92">
        <v>4320</v>
      </c>
      <c r="H342" s="99">
        <v>1695</v>
      </c>
      <c r="I342" s="98" t="s">
        <v>93</v>
      </c>
      <c r="J342" s="102">
        <f t="shared" si="66"/>
        <v>0.5</v>
      </c>
      <c r="K342" s="103">
        <f t="shared" si="60"/>
        <v>42.899702085402183</v>
      </c>
      <c r="L342" s="103">
        <f t="shared" si="61"/>
        <v>1.1675675675675676</v>
      </c>
      <c r="M342" s="96">
        <f t="shared" si="62"/>
        <v>847.5</v>
      </c>
      <c r="N342" s="96">
        <f t="shared" si="63"/>
        <v>5167.5</v>
      </c>
      <c r="O342" s="97">
        <f t="shared" si="64"/>
        <v>51.315789473684212</v>
      </c>
      <c r="P342" s="97">
        <f t="shared" si="65"/>
        <v>1.3966216216216216</v>
      </c>
      <c r="R342" s="92"/>
    </row>
    <row r="343" spans="1:20" ht="13.15" x14ac:dyDescent="0.25">
      <c r="A343" s="45" t="s">
        <v>22</v>
      </c>
      <c r="B343" s="45" t="s">
        <v>23</v>
      </c>
      <c r="C343" s="45" t="s">
        <v>26</v>
      </c>
      <c r="D343" s="45" t="s">
        <v>91</v>
      </c>
      <c r="E343" s="88">
        <v>40581</v>
      </c>
      <c r="F343" s="53">
        <v>40584</v>
      </c>
      <c r="G343" s="92">
        <v>4270</v>
      </c>
      <c r="H343" s="98">
        <v>1851</v>
      </c>
      <c r="I343" s="98" t="s">
        <v>93</v>
      </c>
      <c r="J343" s="102">
        <f t="shared" si="66"/>
        <v>0.5</v>
      </c>
      <c r="K343" s="103">
        <f t="shared" si="60"/>
        <v>42.403177755710026</v>
      </c>
      <c r="L343" s="103">
        <f t="shared" si="61"/>
        <v>1.154054054054054</v>
      </c>
      <c r="M343" s="96">
        <f t="shared" si="62"/>
        <v>925.5</v>
      </c>
      <c r="N343" s="96">
        <f t="shared" si="63"/>
        <v>5195.5</v>
      </c>
      <c r="O343" s="97">
        <f t="shared" si="64"/>
        <v>51.593843098311815</v>
      </c>
      <c r="P343" s="97">
        <f t="shared" si="65"/>
        <v>1.4041891891891891</v>
      </c>
      <c r="R343" s="92"/>
    </row>
    <row r="344" spans="1:20" ht="13.15" x14ac:dyDescent="0.25">
      <c r="A344" s="45" t="s">
        <v>22</v>
      </c>
      <c r="B344" s="45" t="s">
        <v>33</v>
      </c>
      <c r="C344" s="45" t="s">
        <v>29</v>
      </c>
      <c r="D344" s="45" t="s">
        <v>91</v>
      </c>
      <c r="E344" s="88">
        <v>40581</v>
      </c>
      <c r="F344" s="53">
        <v>40584</v>
      </c>
      <c r="G344" s="92">
        <v>4270</v>
      </c>
      <c r="H344" s="98">
        <v>1507</v>
      </c>
      <c r="I344" s="98" t="s">
        <v>93</v>
      </c>
      <c r="J344" s="102">
        <f t="shared" si="66"/>
        <v>0.5</v>
      </c>
      <c r="K344" s="103">
        <f t="shared" si="60"/>
        <v>42.403177755710026</v>
      </c>
      <c r="L344" s="103">
        <f t="shared" si="61"/>
        <v>1.154054054054054</v>
      </c>
      <c r="M344" s="96">
        <f t="shared" si="62"/>
        <v>753.5</v>
      </c>
      <c r="N344" s="96">
        <f t="shared" si="63"/>
        <v>5023.5</v>
      </c>
      <c r="O344" s="97">
        <f t="shared" si="64"/>
        <v>49.885799404170804</v>
      </c>
      <c r="P344" s="97">
        <f t="shared" si="65"/>
        <v>1.3577027027027027</v>
      </c>
      <c r="R344" s="92"/>
    </row>
    <row r="345" spans="1:20" ht="13.15" x14ac:dyDescent="0.25">
      <c r="A345" s="45" t="s">
        <v>22</v>
      </c>
      <c r="B345" s="45" t="s">
        <v>31</v>
      </c>
      <c r="C345" s="45" t="s">
        <v>7</v>
      </c>
      <c r="D345" s="45" t="s">
        <v>91</v>
      </c>
      <c r="E345" s="88">
        <v>40581</v>
      </c>
      <c r="F345" s="53">
        <v>40584</v>
      </c>
      <c r="G345" s="92">
        <v>3510</v>
      </c>
      <c r="H345" s="98">
        <v>1160</v>
      </c>
      <c r="I345" s="98" t="s">
        <v>92</v>
      </c>
      <c r="J345" s="102">
        <f t="shared" si="66"/>
        <v>0.23</v>
      </c>
      <c r="K345" s="103">
        <f t="shared" si="60"/>
        <v>34.856007944389276</v>
      </c>
      <c r="L345" s="103">
        <f t="shared" si="61"/>
        <v>0.94864864864864862</v>
      </c>
      <c r="M345" s="96">
        <f t="shared" si="62"/>
        <v>266.8</v>
      </c>
      <c r="N345" s="96">
        <f t="shared" si="63"/>
        <v>3776.8</v>
      </c>
      <c r="O345" s="97">
        <f t="shared" si="64"/>
        <v>37.505461767626613</v>
      </c>
      <c r="P345" s="97">
        <f t="shared" si="65"/>
        <v>1.0207567567567568</v>
      </c>
      <c r="R345" s="92"/>
    </row>
    <row r="346" spans="1:20" ht="13.15" x14ac:dyDescent="0.25">
      <c r="A346" s="45" t="s">
        <v>22</v>
      </c>
      <c r="B346" s="45" t="s">
        <v>14</v>
      </c>
      <c r="C346" s="45" t="s">
        <v>24</v>
      </c>
      <c r="D346" s="45" t="s">
        <v>91</v>
      </c>
      <c r="E346" s="88">
        <v>40581</v>
      </c>
      <c r="F346" s="53">
        <v>40584</v>
      </c>
      <c r="G346" s="92">
        <v>2536</v>
      </c>
      <c r="H346" s="98">
        <v>615</v>
      </c>
      <c r="I346" s="98" t="s">
        <v>94</v>
      </c>
      <c r="J346" s="102">
        <f t="shared" si="66"/>
        <v>0.32</v>
      </c>
      <c r="K346" s="103">
        <f t="shared" si="60"/>
        <v>25.183714001986097</v>
      </c>
      <c r="L346" s="103">
        <f t="shared" si="61"/>
        <v>0.6854054054054054</v>
      </c>
      <c r="M346" s="96">
        <f t="shared" si="62"/>
        <v>196.8</v>
      </c>
      <c r="N346" s="96">
        <f t="shared" si="63"/>
        <v>2732.8</v>
      </c>
      <c r="O346" s="97">
        <f t="shared" si="64"/>
        <v>27.13803376365442</v>
      </c>
      <c r="P346" s="97">
        <f t="shared" si="65"/>
        <v>0.73859459459459464</v>
      </c>
      <c r="R346" s="92"/>
    </row>
    <row r="347" spans="1:20" ht="13.15" x14ac:dyDescent="0.25">
      <c r="A347" s="80" t="s">
        <v>22</v>
      </c>
      <c r="B347" s="80" t="s">
        <v>34</v>
      </c>
      <c r="C347" s="80" t="s">
        <v>26</v>
      </c>
      <c r="D347" s="80" t="s">
        <v>91</v>
      </c>
      <c r="E347" s="90">
        <v>40581</v>
      </c>
      <c r="F347" s="84">
        <v>40584</v>
      </c>
      <c r="G347" s="105">
        <v>4520</v>
      </c>
      <c r="H347" s="106">
        <v>1637</v>
      </c>
      <c r="I347" s="106" t="s">
        <v>92</v>
      </c>
      <c r="J347" s="113">
        <f t="shared" si="66"/>
        <v>0.23</v>
      </c>
      <c r="K347" s="114">
        <f t="shared" si="60"/>
        <v>44.885799404170804</v>
      </c>
      <c r="L347" s="114">
        <f t="shared" si="61"/>
        <v>1.2216216216216216</v>
      </c>
      <c r="M347" s="115">
        <f t="shared" si="62"/>
        <v>376.51</v>
      </c>
      <c r="N347" s="115">
        <f t="shared" si="63"/>
        <v>4896.51</v>
      </c>
      <c r="O347" s="116">
        <f t="shared" si="64"/>
        <v>48.624726911618673</v>
      </c>
      <c r="P347" s="116">
        <f t="shared" si="65"/>
        <v>1.3233810810810811</v>
      </c>
      <c r="R347" s="92"/>
    </row>
    <row r="348" spans="1:20" ht="13.15" x14ac:dyDescent="0.25">
      <c r="A348" s="60" t="s">
        <v>1</v>
      </c>
      <c r="B348" s="60" t="s">
        <v>2</v>
      </c>
      <c r="C348" s="60" t="s">
        <v>3</v>
      </c>
      <c r="D348" s="60" t="s">
        <v>90</v>
      </c>
      <c r="E348" s="89">
        <v>40603</v>
      </c>
      <c r="F348" s="61">
        <v>40605</v>
      </c>
      <c r="G348" s="92">
        <v>2883</v>
      </c>
      <c r="H348" s="93">
        <v>506</v>
      </c>
      <c r="I348" s="93" t="s">
        <v>92</v>
      </c>
      <c r="J348" s="94">
        <f>IF(I348="BNSF",0.23,IF(I348="CN",0.2128,IF(I348="CSX",0.35,0.26)))</f>
        <v>0.26</v>
      </c>
      <c r="K348" s="95">
        <f t="shared" ref="K348:K385" si="67">G348/100.7</f>
        <v>28.629592850049651</v>
      </c>
      <c r="L348" s="95">
        <f t="shared" ref="L348:L385" si="68">IF(A348="corn",G348/(111*2000/56),G348/(111*2000/60))</f>
        <v>0.77918918918918922</v>
      </c>
      <c r="M348" s="96">
        <f t="shared" ref="M348:M385" si="69">H348*J348</f>
        <v>131.56</v>
      </c>
      <c r="N348" s="96">
        <f t="shared" ref="N348:N385" si="70">G348+M348</f>
        <v>3014.56</v>
      </c>
      <c r="O348" s="97">
        <f t="shared" ref="O348:O385" si="71">N348/100.7</f>
        <v>29.93604766633565</v>
      </c>
      <c r="P348" s="97">
        <f t="shared" ref="P348:P385" si="72">IF(A348="corn",N348/(111*2000/56),N348/(111*2000/60))</f>
        <v>0.81474594594594596</v>
      </c>
      <c r="R348" s="92"/>
      <c r="S348" s="95">
        <f>AVERAGE(O272,O310,O348)</f>
        <v>29.441244620986428</v>
      </c>
      <c r="T348" s="104">
        <f>(S348/S234)-1</f>
        <v>3.4173226515354038E-2</v>
      </c>
    </row>
    <row r="349" spans="1:20" ht="13.15" x14ac:dyDescent="0.25">
      <c r="A349" s="60" t="s">
        <v>1</v>
      </c>
      <c r="B349" s="60" t="s">
        <v>4</v>
      </c>
      <c r="C349" s="60" t="s">
        <v>5</v>
      </c>
      <c r="D349" s="60" t="s">
        <v>90</v>
      </c>
      <c r="E349" s="89">
        <v>40603</v>
      </c>
      <c r="F349" s="61">
        <v>40605</v>
      </c>
      <c r="G349" s="92">
        <v>2727</v>
      </c>
      <c r="H349" s="93">
        <v>298</v>
      </c>
      <c r="I349" s="93" t="s">
        <v>93</v>
      </c>
      <c r="J349" s="94">
        <f t="shared" ref="J349:J385" si="73">IF(I349="BNSF",0.23,IF(I349="CN",0.2128,IF(I349="CSX",0.35,0.26)))</f>
        <v>0.23</v>
      </c>
      <c r="K349" s="95">
        <f t="shared" si="67"/>
        <v>27.080436941410127</v>
      </c>
      <c r="L349" s="95">
        <f t="shared" si="68"/>
        <v>0.73702702702702705</v>
      </c>
      <c r="M349" s="96">
        <f t="shared" si="69"/>
        <v>68.540000000000006</v>
      </c>
      <c r="N349" s="96">
        <f t="shared" si="70"/>
        <v>2795.54</v>
      </c>
      <c r="O349" s="97">
        <f t="shared" si="71"/>
        <v>27.761072492552135</v>
      </c>
      <c r="P349" s="97">
        <f t="shared" si="72"/>
        <v>0.75555135135135132</v>
      </c>
      <c r="R349" s="92"/>
      <c r="S349" s="95">
        <f t="shared" ref="S349:S385" si="74">AVERAGE(O273,O311,O349)</f>
        <v>27.731148626282685</v>
      </c>
      <c r="T349" s="104">
        <f>(S349/S235)-1</f>
        <v>3.6526460093339042E-2</v>
      </c>
    </row>
    <row r="350" spans="1:20" ht="13.15" x14ac:dyDescent="0.25">
      <c r="A350" s="60" t="s">
        <v>1</v>
      </c>
      <c r="B350" s="60" t="s">
        <v>2</v>
      </c>
      <c r="C350" s="60" t="s">
        <v>6</v>
      </c>
      <c r="D350" s="60" t="s">
        <v>90</v>
      </c>
      <c r="E350" s="89">
        <v>40603</v>
      </c>
      <c r="F350" s="61">
        <v>40605</v>
      </c>
      <c r="G350" s="92">
        <v>5232</v>
      </c>
      <c r="H350" s="93">
        <v>1530</v>
      </c>
      <c r="I350" s="93" t="s">
        <v>93</v>
      </c>
      <c r="J350" s="94">
        <f t="shared" si="73"/>
        <v>0.23</v>
      </c>
      <c r="K350" s="95">
        <f t="shared" si="67"/>
        <v>51.956305858987086</v>
      </c>
      <c r="L350" s="95">
        <f t="shared" si="68"/>
        <v>1.414054054054054</v>
      </c>
      <c r="M350" s="96">
        <f t="shared" si="69"/>
        <v>351.90000000000003</v>
      </c>
      <c r="N350" s="96">
        <f t="shared" si="70"/>
        <v>5583.9</v>
      </c>
      <c r="O350" s="97">
        <f t="shared" si="71"/>
        <v>55.450844091360473</v>
      </c>
      <c r="P350" s="97">
        <f t="shared" si="72"/>
        <v>1.509162162162162</v>
      </c>
      <c r="R350" s="92"/>
      <c r="S350" s="95">
        <f t="shared" si="74"/>
        <v>57.472029129427341</v>
      </c>
      <c r="T350" s="104">
        <f t="shared" ref="T350:T385" si="75">(S350/S236)-1</f>
        <v>1.1753668286656582E-2</v>
      </c>
    </row>
    <row r="351" spans="1:20" ht="13.15" x14ac:dyDescent="0.25">
      <c r="A351" s="60" t="s">
        <v>1</v>
      </c>
      <c r="B351" s="60" t="s">
        <v>2</v>
      </c>
      <c r="C351" s="60" t="s">
        <v>7</v>
      </c>
      <c r="D351" s="60" t="s">
        <v>90</v>
      </c>
      <c r="E351" s="89">
        <v>40603</v>
      </c>
      <c r="F351" s="61">
        <v>40605</v>
      </c>
      <c r="G351" s="92">
        <v>3384</v>
      </c>
      <c r="H351" s="93">
        <v>890</v>
      </c>
      <c r="I351" s="93" t="s">
        <v>92</v>
      </c>
      <c r="J351" s="94">
        <f t="shared" si="73"/>
        <v>0.26</v>
      </c>
      <c r="K351" s="95">
        <f t="shared" si="67"/>
        <v>33.604766633565042</v>
      </c>
      <c r="L351" s="95">
        <f t="shared" si="68"/>
        <v>0.91459459459459458</v>
      </c>
      <c r="M351" s="96">
        <f t="shared" si="69"/>
        <v>231.4</v>
      </c>
      <c r="N351" s="96">
        <f t="shared" si="70"/>
        <v>3615.4</v>
      </c>
      <c r="O351" s="97">
        <f t="shared" si="71"/>
        <v>35.902681231380335</v>
      </c>
      <c r="P351" s="97">
        <f t="shared" si="72"/>
        <v>0.97713513513513517</v>
      </c>
      <c r="R351" s="92"/>
      <c r="S351" s="95">
        <f t="shared" si="74"/>
        <v>35.306190003310157</v>
      </c>
      <c r="T351" s="104">
        <f t="shared" si="75"/>
        <v>3.4078239371758023E-2</v>
      </c>
    </row>
    <row r="352" spans="1:20" ht="13.15" x14ac:dyDescent="0.25">
      <c r="A352" s="60" t="s">
        <v>1</v>
      </c>
      <c r="B352" s="60" t="s">
        <v>8</v>
      </c>
      <c r="C352" s="60" t="s">
        <v>9</v>
      </c>
      <c r="D352" s="60" t="s">
        <v>90</v>
      </c>
      <c r="E352" s="89">
        <v>40603</v>
      </c>
      <c r="F352" s="61">
        <v>40605</v>
      </c>
      <c r="G352" s="92">
        <v>5167</v>
      </c>
      <c r="H352" s="93">
        <v>1256</v>
      </c>
      <c r="I352" s="93" t="s">
        <v>93</v>
      </c>
      <c r="J352" s="94">
        <f t="shared" si="73"/>
        <v>0.23</v>
      </c>
      <c r="K352" s="95">
        <f t="shared" si="67"/>
        <v>51.31082423038729</v>
      </c>
      <c r="L352" s="95">
        <f t="shared" si="68"/>
        <v>1.3964864864864865</v>
      </c>
      <c r="M352" s="96">
        <f t="shared" si="69"/>
        <v>288.88</v>
      </c>
      <c r="N352" s="96">
        <f t="shared" si="70"/>
        <v>5455.88</v>
      </c>
      <c r="O352" s="97">
        <f t="shared" si="71"/>
        <v>54.179543197616681</v>
      </c>
      <c r="P352" s="97">
        <f t="shared" si="72"/>
        <v>1.4745621621621623</v>
      </c>
      <c r="R352" s="92"/>
      <c r="S352" s="95">
        <f t="shared" si="74"/>
        <v>55.72578616352201</v>
      </c>
      <c r="T352" s="104">
        <f t="shared" si="75"/>
        <v>1.4085966319938859E-2</v>
      </c>
    </row>
    <row r="353" spans="1:20" ht="13.15" x14ac:dyDescent="0.25">
      <c r="A353" s="60" t="s">
        <v>1</v>
      </c>
      <c r="B353" s="60" t="s">
        <v>10</v>
      </c>
      <c r="C353" s="60" t="s">
        <v>9</v>
      </c>
      <c r="D353" s="60" t="s">
        <v>90</v>
      </c>
      <c r="E353" s="89">
        <v>40603</v>
      </c>
      <c r="F353" s="61">
        <v>40605</v>
      </c>
      <c r="G353" s="92">
        <v>3651</v>
      </c>
      <c r="H353" s="93">
        <v>975</v>
      </c>
      <c r="I353" s="93" t="s">
        <v>92</v>
      </c>
      <c r="J353" s="94">
        <f t="shared" si="73"/>
        <v>0.26</v>
      </c>
      <c r="K353" s="95">
        <f t="shared" si="67"/>
        <v>36.25620655412115</v>
      </c>
      <c r="L353" s="95">
        <f t="shared" si="68"/>
        <v>0.98675675675675678</v>
      </c>
      <c r="M353" s="96">
        <f t="shared" si="69"/>
        <v>253.5</v>
      </c>
      <c r="N353" s="96">
        <f t="shared" si="70"/>
        <v>3904.5</v>
      </c>
      <c r="O353" s="97">
        <f t="shared" si="71"/>
        <v>38.773584905660378</v>
      </c>
      <c r="P353" s="97">
        <f t="shared" si="72"/>
        <v>1.0552702702702703</v>
      </c>
      <c r="R353" s="92"/>
      <c r="S353" s="95">
        <f t="shared" si="74"/>
        <v>38.157894736842103</v>
      </c>
      <c r="T353" s="104">
        <f t="shared" si="75"/>
        <v>3.2444414589910764E-2</v>
      </c>
    </row>
    <row r="354" spans="1:20" ht="13.15" x14ac:dyDescent="0.25">
      <c r="A354" s="60" t="s">
        <v>1</v>
      </c>
      <c r="B354" s="60" t="s">
        <v>11</v>
      </c>
      <c r="C354" s="60" t="s">
        <v>6</v>
      </c>
      <c r="D354" s="60" t="s">
        <v>90</v>
      </c>
      <c r="E354" s="89">
        <v>40603</v>
      </c>
      <c r="F354" s="61">
        <v>40605</v>
      </c>
      <c r="G354" s="92">
        <v>3850</v>
      </c>
      <c r="H354" s="93">
        <v>1357</v>
      </c>
      <c r="I354" s="93" t="s">
        <v>92</v>
      </c>
      <c r="J354" s="94">
        <f t="shared" si="73"/>
        <v>0.26</v>
      </c>
      <c r="K354" s="95">
        <f t="shared" si="67"/>
        <v>38.232373386295926</v>
      </c>
      <c r="L354" s="95">
        <f t="shared" si="68"/>
        <v>1.0405405405405406</v>
      </c>
      <c r="M354" s="96">
        <f t="shared" si="69"/>
        <v>352.82</v>
      </c>
      <c r="N354" s="96">
        <f t="shared" si="70"/>
        <v>4202.82</v>
      </c>
      <c r="O354" s="97">
        <f t="shared" si="71"/>
        <v>41.736047666335644</v>
      </c>
      <c r="P354" s="97">
        <f t="shared" si="72"/>
        <v>1.1358972972972972</v>
      </c>
      <c r="R354" s="92"/>
      <c r="S354" s="95">
        <f t="shared" si="74"/>
        <v>41.01919894074809</v>
      </c>
      <c r="T354" s="104">
        <f t="shared" si="75"/>
        <v>3.5043245478122209E-2</v>
      </c>
    </row>
    <row r="355" spans="1:20" ht="13.15" x14ac:dyDescent="0.25">
      <c r="A355" s="60" t="s">
        <v>134</v>
      </c>
      <c r="B355" s="60" t="s">
        <v>13</v>
      </c>
      <c r="C355" s="60" t="s">
        <v>7</v>
      </c>
      <c r="D355" s="60" t="s">
        <v>90</v>
      </c>
      <c r="E355" s="89">
        <v>40603</v>
      </c>
      <c r="F355" s="61">
        <v>40605</v>
      </c>
      <c r="G355" s="92">
        <v>2812</v>
      </c>
      <c r="H355" s="93">
        <v>1006</v>
      </c>
      <c r="I355" s="93" t="s">
        <v>92</v>
      </c>
      <c r="J355" s="94">
        <f t="shared" si="73"/>
        <v>0.26</v>
      </c>
      <c r="K355" s="95">
        <f t="shared" si="67"/>
        <v>27.924528301886792</v>
      </c>
      <c r="L355" s="95">
        <f t="shared" si="68"/>
        <v>0.70933333333333337</v>
      </c>
      <c r="M355" s="96">
        <f t="shared" si="69"/>
        <v>261.56</v>
      </c>
      <c r="N355" s="96">
        <f t="shared" si="70"/>
        <v>3073.56</v>
      </c>
      <c r="O355" s="97">
        <f t="shared" si="71"/>
        <v>30.521946375372391</v>
      </c>
      <c r="P355" s="97">
        <f t="shared" si="72"/>
        <v>0.77531243243243242</v>
      </c>
      <c r="R355" s="92"/>
      <c r="S355" s="95">
        <f t="shared" si="74"/>
        <v>30.255544521681561</v>
      </c>
      <c r="T355" s="104">
        <f t="shared" si="75"/>
        <v>1.6786624097538283E-2</v>
      </c>
    </row>
    <row r="356" spans="1:20" ht="13.15" x14ac:dyDescent="0.25">
      <c r="A356" s="60" t="s">
        <v>134</v>
      </c>
      <c r="B356" s="60" t="s">
        <v>14</v>
      </c>
      <c r="C356" s="60" t="s">
        <v>15</v>
      </c>
      <c r="D356" s="60" t="s">
        <v>90</v>
      </c>
      <c r="E356" s="89">
        <v>40603</v>
      </c>
      <c r="F356" s="61">
        <v>40605</v>
      </c>
      <c r="G356" s="92">
        <v>3760</v>
      </c>
      <c r="H356" s="93">
        <v>866</v>
      </c>
      <c r="I356" s="93" t="s">
        <v>94</v>
      </c>
      <c r="J356" s="94">
        <f t="shared" si="73"/>
        <v>0.35</v>
      </c>
      <c r="K356" s="95">
        <f t="shared" si="67"/>
        <v>37.338629592850047</v>
      </c>
      <c r="L356" s="95">
        <f t="shared" si="68"/>
        <v>0.94846846846846844</v>
      </c>
      <c r="M356" s="96">
        <f t="shared" si="69"/>
        <v>303.09999999999997</v>
      </c>
      <c r="N356" s="96">
        <f t="shared" si="70"/>
        <v>4063.1</v>
      </c>
      <c r="O356" s="97">
        <f t="shared" si="71"/>
        <v>40.348560079443892</v>
      </c>
      <c r="P356" s="97">
        <f t="shared" si="72"/>
        <v>1.0249261261261262</v>
      </c>
      <c r="R356" s="92"/>
      <c r="S356" s="95">
        <f t="shared" si="74"/>
        <v>40.090566037735847</v>
      </c>
      <c r="T356" s="104">
        <f t="shared" si="75"/>
        <v>1.5244561800578316E-2</v>
      </c>
    </row>
    <row r="357" spans="1:20" ht="13.15" x14ac:dyDescent="0.25">
      <c r="A357" s="60" t="s">
        <v>134</v>
      </c>
      <c r="B357" s="60" t="s">
        <v>16</v>
      </c>
      <c r="C357" s="60" t="s">
        <v>17</v>
      </c>
      <c r="D357" s="60" t="s">
        <v>90</v>
      </c>
      <c r="E357" s="89">
        <v>40603</v>
      </c>
      <c r="F357" s="61">
        <v>40605</v>
      </c>
      <c r="G357" s="92">
        <v>1843</v>
      </c>
      <c r="H357" s="93">
        <v>213</v>
      </c>
      <c r="I357" s="93" t="s">
        <v>92</v>
      </c>
      <c r="J357" s="94">
        <f t="shared" si="73"/>
        <v>0.26</v>
      </c>
      <c r="K357" s="95">
        <f t="shared" si="67"/>
        <v>18.30188679245283</v>
      </c>
      <c r="L357" s="95">
        <f t="shared" si="68"/>
        <v>0.46490090090090092</v>
      </c>
      <c r="M357" s="96">
        <f t="shared" si="69"/>
        <v>55.38</v>
      </c>
      <c r="N357" s="96">
        <f t="shared" si="70"/>
        <v>1898.38</v>
      </c>
      <c r="O357" s="97">
        <f t="shared" si="71"/>
        <v>18.85183714001986</v>
      </c>
      <c r="P357" s="97">
        <f t="shared" si="72"/>
        <v>0.47887063063063068</v>
      </c>
      <c r="R357" s="92"/>
      <c r="S357" s="95">
        <f t="shared" si="74"/>
        <v>18.795431976166832</v>
      </c>
      <c r="T357" s="104">
        <f t="shared" si="75"/>
        <v>5.6587232007649924E-3</v>
      </c>
    </row>
    <row r="358" spans="1:20" ht="13.15" x14ac:dyDescent="0.25">
      <c r="A358" s="60" t="s">
        <v>134</v>
      </c>
      <c r="B358" s="60" t="s">
        <v>18</v>
      </c>
      <c r="C358" s="60" t="s">
        <v>19</v>
      </c>
      <c r="D358" s="60" t="s">
        <v>90</v>
      </c>
      <c r="E358" s="89">
        <v>40603</v>
      </c>
      <c r="F358" s="61">
        <v>40605</v>
      </c>
      <c r="G358" s="92">
        <v>3196</v>
      </c>
      <c r="H358" s="93">
        <v>650</v>
      </c>
      <c r="I358" s="93" t="s">
        <v>94</v>
      </c>
      <c r="J358" s="94">
        <f t="shared" si="73"/>
        <v>0.35</v>
      </c>
      <c r="K358" s="95">
        <f t="shared" si="67"/>
        <v>31.737835153922543</v>
      </c>
      <c r="L358" s="95">
        <f t="shared" si="68"/>
        <v>0.80619819819819816</v>
      </c>
      <c r="M358" s="96">
        <f t="shared" si="69"/>
        <v>227.49999999999997</v>
      </c>
      <c r="N358" s="96">
        <f t="shared" si="70"/>
        <v>3423.5</v>
      </c>
      <c r="O358" s="97">
        <f t="shared" si="71"/>
        <v>33.997020854021848</v>
      </c>
      <c r="P358" s="97">
        <f t="shared" si="72"/>
        <v>0.86358558558558562</v>
      </c>
      <c r="R358" s="92"/>
      <c r="S358" s="95">
        <f t="shared" si="74"/>
        <v>33.803376365441913</v>
      </c>
      <c r="T358" s="104">
        <f t="shared" si="75"/>
        <v>1.3547714753610496E-2</v>
      </c>
    </row>
    <row r="359" spans="1:20" ht="13.15" x14ac:dyDescent="0.25">
      <c r="A359" s="60" t="s">
        <v>134</v>
      </c>
      <c r="B359" s="60" t="s">
        <v>18</v>
      </c>
      <c r="C359" s="60" t="s">
        <v>20</v>
      </c>
      <c r="D359" s="60" t="s">
        <v>90</v>
      </c>
      <c r="E359" s="89">
        <v>40603</v>
      </c>
      <c r="F359" s="61">
        <v>40605</v>
      </c>
      <c r="G359" s="92">
        <v>2760</v>
      </c>
      <c r="H359" s="93">
        <v>417</v>
      </c>
      <c r="I359" s="93" t="s">
        <v>94</v>
      </c>
      <c r="J359" s="94">
        <f t="shared" si="73"/>
        <v>0.35</v>
      </c>
      <c r="K359" s="95">
        <f t="shared" si="67"/>
        <v>27.408142999006952</v>
      </c>
      <c r="L359" s="95">
        <f t="shared" si="68"/>
        <v>0.69621621621621621</v>
      </c>
      <c r="M359" s="96">
        <f t="shared" si="69"/>
        <v>145.94999999999999</v>
      </c>
      <c r="N359" s="96">
        <f t="shared" si="70"/>
        <v>2905.95</v>
      </c>
      <c r="O359" s="97">
        <f t="shared" si="71"/>
        <v>28.857497517378349</v>
      </c>
      <c r="P359" s="97">
        <f t="shared" si="72"/>
        <v>0.73303243243243243</v>
      </c>
      <c r="R359" s="92"/>
      <c r="S359" s="95">
        <f t="shared" si="74"/>
        <v>28.733267130089374</v>
      </c>
      <c r="T359" s="104">
        <f t="shared" si="75"/>
        <v>1.0191149515579978E-2</v>
      </c>
    </row>
    <row r="360" spans="1:20" ht="13.15" x14ac:dyDescent="0.25">
      <c r="A360" s="60" t="s">
        <v>134</v>
      </c>
      <c r="B360" s="60" t="s">
        <v>16</v>
      </c>
      <c r="C360" s="60" t="s">
        <v>21</v>
      </c>
      <c r="D360" s="60" t="s">
        <v>90</v>
      </c>
      <c r="E360" s="89">
        <v>40603</v>
      </c>
      <c r="F360" s="61">
        <v>40605</v>
      </c>
      <c r="G360" s="92">
        <v>2938</v>
      </c>
      <c r="H360" s="93">
        <v>626</v>
      </c>
      <c r="I360" s="93" t="s">
        <v>92</v>
      </c>
      <c r="J360" s="94">
        <f t="shared" si="73"/>
        <v>0.26</v>
      </c>
      <c r="K360" s="95">
        <f t="shared" si="67"/>
        <v>29.175769612711022</v>
      </c>
      <c r="L360" s="95">
        <f t="shared" si="68"/>
        <v>0.74111711711711714</v>
      </c>
      <c r="M360" s="96">
        <f t="shared" si="69"/>
        <v>162.76000000000002</v>
      </c>
      <c r="N360" s="96">
        <f t="shared" si="70"/>
        <v>3100.76</v>
      </c>
      <c r="O360" s="97">
        <f t="shared" si="71"/>
        <v>30.792055610724926</v>
      </c>
      <c r="P360" s="97">
        <f t="shared" si="72"/>
        <v>0.78217369369369372</v>
      </c>
      <c r="R360" s="92"/>
      <c r="S360" s="95">
        <f t="shared" si="74"/>
        <v>30.626282687851702</v>
      </c>
      <c r="T360" s="104">
        <f t="shared" si="75"/>
        <v>1.0252994551390504E-2</v>
      </c>
    </row>
    <row r="361" spans="1:20" ht="13.15" x14ac:dyDescent="0.25">
      <c r="A361" s="60" t="s">
        <v>134</v>
      </c>
      <c r="B361" s="60" t="s">
        <v>16</v>
      </c>
      <c r="C361" s="60" t="s">
        <v>6</v>
      </c>
      <c r="D361" s="60" t="s">
        <v>90</v>
      </c>
      <c r="E361" s="89">
        <v>40603</v>
      </c>
      <c r="F361" s="61">
        <v>40605</v>
      </c>
      <c r="G361" s="92">
        <v>4372</v>
      </c>
      <c r="H361" s="93">
        <v>1823</v>
      </c>
      <c r="I361" s="93" t="s">
        <v>92</v>
      </c>
      <c r="J361" s="94">
        <f t="shared" si="73"/>
        <v>0.26</v>
      </c>
      <c r="K361" s="95">
        <f t="shared" si="67"/>
        <v>43.416087388282023</v>
      </c>
      <c r="L361" s="95">
        <f t="shared" si="68"/>
        <v>1.1028468468468469</v>
      </c>
      <c r="M361" s="96">
        <f t="shared" si="69"/>
        <v>473.98</v>
      </c>
      <c r="N361" s="96">
        <f t="shared" si="70"/>
        <v>4845.9799999999996</v>
      </c>
      <c r="O361" s="97">
        <f t="shared" si="71"/>
        <v>48.12293942403177</v>
      </c>
      <c r="P361" s="97">
        <f t="shared" si="72"/>
        <v>1.2224093693693692</v>
      </c>
      <c r="R361" s="92"/>
      <c r="S361" s="95">
        <f t="shared" si="74"/>
        <v>47.640185369083078</v>
      </c>
      <c r="T361" s="104">
        <f t="shared" si="75"/>
        <v>1.9367999065066366E-2</v>
      </c>
    </row>
    <row r="362" spans="1:20" ht="13.15" x14ac:dyDescent="0.25">
      <c r="A362" s="60" t="s">
        <v>22</v>
      </c>
      <c r="B362" s="60" t="s">
        <v>23</v>
      </c>
      <c r="C362" s="60" t="s">
        <v>7</v>
      </c>
      <c r="D362" s="60" t="s">
        <v>90</v>
      </c>
      <c r="E362" s="89">
        <v>40603</v>
      </c>
      <c r="F362" s="61">
        <v>40605</v>
      </c>
      <c r="G362" s="92">
        <v>3391</v>
      </c>
      <c r="H362" s="93">
        <v>1295</v>
      </c>
      <c r="I362" s="93" t="s">
        <v>95</v>
      </c>
      <c r="J362" s="94">
        <f t="shared" si="73"/>
        <v>0.21279999999999999</v>
      </c>
      <c r="K362" s="95">
        <f t="shared" si="67"/>
        <v>33.674280039721943</v>
      </c>
      <c r="L362" s="95">
        <f t="shared" si="68"/>
        <v>0.91648648648648645</v>
      </c>
      <c r="M362" s="96">
        <f t="shared" si="69"/>
        <v>275.57599999999996</v>
      </c>
      <c r="N362" s="96">
        <f t="shared" si="70"/>
        <v>3666.576</v>
      </c>
      <c r="O362" s="97">
        <f t="shared" si="71"/>
        <v>36.410883813306853</v>
      </c>
      <c r="P362" s="97">
        <f t="shared" si="72"/>
        <v>0.99096648648648644</v>
      </c>
      <c r="R362" s="92"/>
      <c r="S362" s="95">
        <f t="shared" si="74"/>
        <v>36.057140019860974</v>
      </c>
      <c r="T362" s="104">
        <f t="shared" si="75"/>
        <v>3.4043707482387831E-2</v>
      </c>
    </row>
    <row r="363" spans="1:20" ht="13.15" x14ac:dyDescent="0.25">
      <c r="A363" s="60" t="s">
        <v>22</v>
      </c>
      <c r="B363" s="60" t="s">
        <v>14</v>
      </c>
      <c r="C363" s="60" t="s">
        <v>24</v>
      </c>
      <c r="D363" s="60" t="s">
        <v>90</v>
      </c>
      <c r="E363" s="89">
        <v>40603</v>
      </c>
      <c r="F363" s="61">
        <v>40605</v>
      </c>
      <c r="G363" s="92">
        <v>2921</v>
      </c>
      <c r="H363" s="93">
        <v>615</v>
      </c>
      <c r="I363" s="93" t="s">
        <v>94</v>
      </c>
      <c r="J363" s="94">
        <f t="shared" si="73"/>
        <v>0.35</v>
      </c>
      <c r="K363" s="95">
        <f t="shared" si="67"/>
        <v>29.006951340615689</v>
      </c>
      <c r="L363" s="95">
        <f t="shared" si="68"/>
        <v>0.7894594594594595</v>
      </c>
      <c r="M363" s="96">
        <f t="shared" si="69"/>
        <v>215.25</v>
      </c>
      <c r="N363" s="96">
        <f t="shared" si="70"/>
        <v>3136.25</v>
      </c>
      <c r="O363" s="97">
        <f t="shared" si="71"/>
        <v>31.144488579940415</v>
      </c>
      <c r="P363" s="97">
        <f t="shared" si="72"/>
        <v>0.84763513513513511</v>
      </c>
      <c r="R363" s="92"/>
      <c r="S363" s="95">
        <f t="shared" si="74"/>
        <v>30.961271102284012</v>
      </c>
      <c r="T363" s="104">
        <f t="shared" si="75"/>
        <v>1.400113830392713E-2</v>
      </c>
    </row>
    <row r="364" spans="1:20" ht="13.15" x14ac:dyDescent="0.25">
      <c r="A364" s="60" t="s">
        <v>22</v>
      </c>
      <c r="B364" s="60" t="s">
        <v>18</v>
      </c>
      <c r="C364" s="60" t="s">
        <v>15</v>
      </c>
      <c r="D364" s="60" t="s">
        <v>90</v>
      </c>
      <c r="E364" s="89">
        <v>40603</v>
      </c>
      <c r="F364" s="61">
        <v>40605</v>
      </c>
      <c r="G364" s="92">
        <v>3830</v>
      </c>
      <c r="H364" s="93">
        <v>872</v>
      </c>
      <c r="I364" s="93" t="s">
        <v>94</v>
      </c>
      <c r="J364" s="94">
        <f t="shared" si="73"/>
        <v>0.35</v>
      </c>
      <c r="K364" s="95">
        <f t="shared" si="67"/>
        <v>38.033763654419069</v>
      </c>
      <c r="L364" s="95">
        <f t="shared" si="68"/>
        <v>1.0351351351351352</v>
      </c>
      <c r="M364" s="96">
        <f t="shared" si="69"/>
        <v>305.2</v>
      </c>
      <c r="N364" s="96">
        <f t="shared" si="70"/>
        <v>4135.2</v>
      </c>
      <c r="O364" s="97">
        <f t="shared" si="71"/>
        <v>41.064548162859978</v>
      </c>
      <c r="P364" s="97">
        <f t="shared" si="72"/>
        <v>1.1176216216216215</v>
      </c>
      <c r="R364" s="92"/>
      <c r="S364" s="95">
        <f t="shared" si="74"/>
        <v>40.804766633565045</v>
      </c>
      <c r="T364" s="104">
        <f t="shared" si="75"/>
        <v>1.5079051383399156E-2</v>
      </c>
    </row>
    <row r="365" spans="1:20" ht="13.15" x14ac:dyDescent="0.25">
      <c r="A365" s="60" t="s">
        <v>22</v>
      </c>
      <c r="B365" s="60" t="s">
        <v>18</v>
      </c>
      <c r="C365" s="60" t="s">
        <v>24</v>
      </c>
      <c r="D365" s="60" t="s">
        <v>90</v>
      </c>
      <c r="E365" s="89">
        <v>40603</v>
      </c>
      <c r="F365" s="61">
        <v>40605</v>
      </c>
      <c r="G365" s="92">
        <v>2613</v>
      </c>
      <c r="H365" s="93">
        <v>417</v>
      </c>
      <c r="I365" s="93" t="s">
        <v>94</v>
      </c>
      <c r="J365" s="94">
        <f t="shared" si="73"/>
        <v>0.35</v>
      </c>
      <c r="K365" s="95">
        <f t="shared" si="67"/>
        <v>25.948361469712015</v>
      </c>
      <c r="L365" s="95">
        <f t="shared" si="68"/>
        <v>0.70621621621621622</v>
      </c>
      <c r="M365" s="96">
        <f t="shared" si="69"/>
        <v>145.94999999999999</v>
      </c>
      <c r="N365" s="96">
        <f t="shared" si="70"/>
        <v>2758.95</v>
      </c>
      <c r="O365" s="97">
        <f t="shared" si="71"/>
        <v>27.397715988083412</v>
      </c>
      <c r="P365" s="97">
        <f t="shared" si="72"/>
        <v>0.74566216216216208</v>
      </c>
      <c r="R365" s="92"/>
      <c r="S365" s="95">
        <f t="shared" si="74"/>
        <v>27.273485600794441</v>
      </c>
      <c r="T365" s="104">
        <f t="shared" si="75"/>
        <v>1.0742478608887662E-2</v>
      </c>
    </row>
    <row r="366" spans="1:20" ht="13.15" x14ac:dyDescent="0.25">
      <c r="A366" s="60" t="s">
        <v>22</v>
      </c>
      <c r="B366" s="60" t="s">
        <v>13</v>
      </c>
      <c r="C366" s="60" t="s">
        <v>7</v>
      </c>
      <c r="D366" s="60" t="s">
        <v>90</v>
      </c>
      <c r="E366" s="89">
        <v>40603</v>
      </c>
      <c r="F366" s="61">
        <v>40605</v>
      </c>
      <c r="G366" s="92">
        <v>3156</v>
      </c>
      <c r="H366" s="93">
        <v>1006</v>
      </c>
      <c r="I366" s="93" t="s">
        <v>92</v>
      </c>
      <c r="J366" s="94">
        <f t="shared" si="73"/>
        <v>0.26</v>
      </c>
      <c r="K366" s="95">
        <f t="shared" si="67"/>
        <v>31.340615690168818</v>
      </c>
      <c r="L366" s="95">
        <f t="shared" si="68"/>
        <v>0.85297297297297292</v>
      </c>
      <c r="M366" s="96">
        <f t="shared" si="69"/>
        <v>261.56</v>
      </c>
      <c r="N366" s="96">
        <f t="shared" si="70"/>
        <v>3417.56</v>
      </c>
      <c r="O366" s="97">
        <f t="shared" si="71"/>
        <v>33.938033763654417</v>
      </c>
      <c r="P366" s="97">
        <f t="shared" si="72"/>
        <v>0.92366486486486488</v>
      </c>
      <c r="R366" s="92"/>
      <c r="S366" s="95">
        <f t="shared" si="74"/>
        <v>33.671631909963587</v>
      </c>
      <c r="T366" s="104">
        <f t="shared" si="75"/>
        <v>1.5057926616307116E-2</v>
      </c>
    </row>
    <row r="367" spans="1:20" ht="13.15" x14ac:dyDescent="0.25">
      <c r="A367" s="60" t="s">
        <v>1</v>
      </c>
      <c r="B367" s="60" t="s">
        <v>25</v>
      </c>
      <c r="C367" s="60" t="s">
        <v>26</v>
      </c>
      <c r="D367" s="60" t="s">
        <v>91</v>
      </c>
      <c r="E367" s="89">
        <v>40603</v>
      </c>
      <c r="F367" s="61">
        <v>40605</v>
      </c>
      <c r="G367" s="92">
        <v>2966</v>
      </c>
      <c r="H367" s="93">
        <v>880</v>
      </c>
      <c r="I367" s="93" t="s">
        <v>93</v>
      </c>
      <c r="J367" s="94">
        <f t="shared" si="73"/>
        <v>0.23</v>
      </c>
      <c r="K367" s="95">
        <f t="shared" si="67"/>
        <v>29.453823237338629</v>
      </c>
      <c r="L367" s="95">
        <f t="shared" si="68"/>
        <v>0.80162162162162165</v>
      </c>
      <c r="M367" s="96">
        <f t="shared" si="69"/>
        <v>202.4</v>
      </c>
      <c r="N367" s="96">
        <f t="shared" si="70"/>
        <v>3168.4</v>
      </c>
      <c r="O367" s="97">
        <f t="shared" si="71"/>
        <v>31.463753723932474</v>
      </c>
      <c r="P367" s="97">
        <f t="shared" si="72"/>
        <v>0.85632432432432437</v>
      </c>
      <c r="R367" s="92"/>
      <c r="S367" s="95">
        <f t="shared" si="74"/>
        <v>32.654088050314463</v>
      </c>
      <c r="T367" s="104">
        <f t="shared" si="75"/>
        <v>1.0158106004751088E-2</v>
      </c>
    </row>
    <row r="368" spans="1:20" ht="13.15" x14ac:dyDescent="0.25">
      <c r="A368" s="60" t="s">
        <v>1</v>
      </c>
      <c r="B368" s="60" t="s">
        <v>2</v>
      </c>
      <c r="C368" s="60" t="s">
        <v>9</v>
      </c>
      <c r="D368" s="60" t="s">
        <v>91</v>
      </c>
      <c r="E368" s="89">
        <v>40603</v>
      </c>
      <c r="F368" s="61">
        <v>40605</v>
      </c>
      <c r="G368" s="92">
        <v>2987</v>
      </c>
      <c r="H368" s="93">
        <v>685</v>
      </c>
      <c r="I368" s="93" t="s">
        <v>93</v>
      </c>
      <c r="J368" s="94">
        <f t="shared" si="73"/>
        <v>0.23</v>
      </c>
      <c r="K368" s="95">
        <f t="shared" si="67"/>
        <v>29.662363455809334</v>
      </c>
      <c r="L368" s="95">
        <f t="shared" si="68"/>
        <v>0.80729729729729727</v>
      </c>
      <c r="M368" s="96">
        <f t="shared" si="69"/>
        <v>157.55000000000001</v>
      </c>
      <c r="N368" s="96">
        <f t="shared" si="70"/>
        <v>3144.55</v>
      </c>
      <c r="O368" s="97">
        <f t="shared" si="71"/>
        <v>31.226911618669316</v>
      </c>
      <c r="P368" s="97">
        <f t="shared" si="72"/>
        <v>0.84987837837837843</v>
      </c>
      <c r="R368" s="92"/>
      <c r="S368" s="95">
        <f t="shared" si="74"/>
        <v>32.008771929824562</v>
      </c>
      <c r="T368" s="104">
        <f t="shared" si="75"/>
        <v>1.7322097378277057E-2</v>
      </c>
    </row>
    <row r="369" spans="1:20" ht="13.15" x14ac:dyDescent="0.25">
      <c r="A369" s="60" t="s">
        <v>1</v>
      </c>
      <c r="B369" s="60" t="s">
        <v>27</v>
      </c>
      <c r="C369" s="60" t="s">
        <v>28</v>
      </c>
      <c r="D369" s="60" t="s">
        <v>91</v>
      </c>
      <c r="E369" s="89">
        <v>40603</v>
      </c>
      <c r="F369" s="61">
        <v>40605</v>
      </c>
      <c r="G369" s="92">
        <v>3497</v>
      </c>
      <c r="H369" s="93">
        <v>812</v>
      </c>
      <c r="I369" s="93" t="s">
        <v>94</v>
      </c>
      <c r="J369" s="94">
        <f t="shared" si="73"/>
        <v>0.35</v>
      </c>
      <c r="K369" s="95">
        <f t="shared" si="67"/>
        <v>34.726911618669313</v>
      </c>
      <c r="L369" s="95">
        <f t="shared" si="68"/>
        <v>0.94513513513513514</v>
      </c>
      <c r="M369" s="96">
        <f t="shared" si="69"/>
        <v>284.2</v>
      </c>
      <c r="N369" s="96">
        <f t="shared" si="70"/>
        <v>3781.2</v>
      </c>
      <c r="O369" s="97">
        <f t="shared" si="71"/>
        <v>37.54915590863952</v>
      </c>
      <c r="P369" s="97">
        <f t="shared" si="72"/>
        <v>1.0219459459459459</v>
      </c>
      <c r="R369" s="92"/>
      <c r="S369" s="95">
        <f t="shared" si="74"/>
        <v>37.307249255213506</v>
      </c>
      <c r="T369" s="104">
        <f t="shared" si="75"/>
        <v>1.5362162162162241E-2</v>
      </c>
    </row>
    <row r="370" spans="1:20" ht="13.15" x14ac:dyDescent="0.25">
      <c r="A370" s="60" t="s">
        <v>1</v>
      </c>
      <c r="B370" s="60" t="s">
        <v>4</v>
      </c>
      <c r="C370" s="60" t="s">
        <v>26</v>
      </c>
      <c r="D370" s="60" t="s">
        <v>91</v>
      </c>
      <c r="E370" s="89">
        <v>40603</v>
      </c>
      <c r="F370" s="61">
        <v>40605</v>
      </c>
      <c r="G370" s="92">
        <v>4229</v>
      </c>
      <c r="H370" s="93">
        <v>1520</v>
      </c>
      <c r="I370" s="93" t="s">
        <v>93</v>
      </c>
      <c r="J370" s="94">
        <f t="shared" si="73"/>
        <v>0.23</v>
      </c>
      <c r="K370" s="95">
        <f t="shared" si="67"/>
        <v>41.996027805362459</v>
      </c>
      <c r="L370" s="95">
        <f t="shared" si="68"/>
        <v>1.142972972972973</v>
      </c>
      <c r="M370" s="96">
        <f t="shared" si="69"/>
        <v>349.6</v>
      </c>
      <c r="N370" s="96">
        <f t="shared" si="70"/>
        <v>4578.6000000000004</v>
      </c>
      <c r="O370" s="97">
        <f t="shared" si="71"/>
        <v>45.467725918570011</v>
      </c>
      <c r="P370" s="97">
        <f t="shared" si="72"/>
        <v>1.2374594594594595</v>
      </c>
      <c r="R370" s="92"/>
      <c r="S370" s="95">
        <f t="shared" si="74"/>
        <v>47.759682224428992</v>
      </c>
      <c r="T370" s="104">
        <f t="shared" si="75"/>
        <v>2.0000833368056803E-3</v>
      </c>
    </row>
    <row r="371" spans="1:20" ht="13.15" x14ac:dyDescent="0.25">
      <c r="A371" s="60" t="s">
        <v>1</v>
      </c>
      <c r="B371" s="60" t="s">
        <v>4</v>
      </c>
      <c r="C371" s="60" t="s">
        <v>9</v>
      </c>
      <c r="D371" s="60" t="s">
        <v>91</v>
      </c>
      <c r="E371" s="89">
        <v>40603</v>
      </c>
      <c r="F371" s="61">
        <v>40605</v>
      </c>
      <c r="G371" s="92">
        <v>5144</v>
      </c>
      <c r="H371" s="93">
        <v>1583</v>
      </c>
      <c r="I371" s="93" t="s">
        <v>93</v>
      </c>
      <c r="J371" s="94">
        <f t="shared" si="73"/>
        <v>0.23</v>
      </c>
      <c r="K371" s="95">
        <f t="shared" si="67"/>
        <v>51.082423038728898</v>
      </c>
      <c r="L371" s="95">
        <f t="shared" si="68"/>
        <v>1.3902702702702703</v>
      </c>
      <c r="M371" s="96">
        <f t="shared" si="69"/>
        <v>364.09000000000003</v>
      </c>
      <c r="N371" s="96">
        <f t="shared" si="70"/>
        <v>5508.09</v>
      </c>
      <c r="O371" s="97">
        <f t="shared" si="71"/>
        <v>54.698013902681232</v>
      </c>
      <c r="P371" s="97">
        <f t="shared" si="72"/>
        <v>1.4886729729729731</v>
      </c>
      <c r="R371" s="92"/>
      <c r="S371" s="95">
        <f t="shared" si="74"/>
        <v>57.098411122144988</v>
      </c>
      <c r="T371" s="104">
        <f t="shared" si="75"/>
        <v>1.2694775116153245E-3</v>
      </c>
    </row>
    <row r="372" spans="1:20" ht="13.15" x14ac:dyDescent="0.25">
      <c r="A372" s="60" t="s">
        <v>1</v>
      </c>
      <c r="B372" s="60" t="s">
        <v>10</v>
      </c>
      <c r="C372" s="60" t="s">
        <v>26</v>
      </c>
      <c r="D372" s="60" t="s">
        <v>91</v>
      </c>
      <c r="E372" s="89">
        <v>40603</v>
      </c>
      <c r="F372" s="61">
        <v>40605</v>
      </c>
      <c r="G372" s="92">
        <v>4619</v>
      </c>
      <c r="H372" s="93">
        <v>1599</v>
      </c>
      <c r="I372" s="93" t="s">
        <v>92</v>
      </c>
      <c r="J372" s="94">
        <f t="shared" si="73"/>
        <v>0.26</v>
      </c>
      <c r="K372" s="95">
        <f t="shared" si="67"/>
        <v>45.868917576961273</v>
      </c>
      <c r="L372" s="95">
        <f t="shared" si="68"/>
        <v>1.2483783783783784</v>
      </c>
      <c r="M372" s="96">
        <f t="shared" si="69"/>
        <v>415.74</v>
      </c>
      <c r="N372" s="96">
        <f t="shared" si="70"/>
        <v>5034.74</v>
      </c>
      <c r="O372" s="97">
        <f t="shared" si="71"/>
        <v>49.997418073485598</v>
      </c>
      <c r="P372" s="97">
        <f t="shared" si="72"/>
        <v>1.3607405405405404</v>
      </c>
      <c r="R372" s="92"/>
      <c r="S372" s="95">
        <f t="shared" si="74"/>
        <v>49.213174445547828</v>
      </c>
      <c r="T372" s="104">
        <f t="shared" si="75"/>
        <v>3.1774287013036417E-2</v>
      </c>
    </row>
    <row r="373" spans="1:20" ht="13.15" x14ac:dyDescent="0.25">
      <c r="A373" s="60" t="s">
        <v>134</v>
      </c>
      <c r="B373" s="60" t="s">
        <v>23</v>
      </c>
      <c r="C373" s="60" t="s">
        <v>26</v>
      </c>
      <c r="D373" s="60" t="s">
        <v>91</v>
      </c>
      <c r="E373" s="89">
        <v>40603</v>
      </c>
      <c r="F373" s="61">
        <v>40605</v>
      </c>
      <c r="G373" s="92">
        <v>4120</v>
      </c>
      <c r="H373" s="93">
        <v>1851</v>
      </c>
      <c r="I373" s="93" t="s">
        <v>93</v>
      </c>
      <c r="J373" s="94">
        <f t="shared" si="73"/>
        <v>0.23</v>
      </c>
      <c r="K373" s="95">
        <f t="shared" si="67"/>
        <v>40.913604766633561</v>
      </c>
      <c r="L373" s="95">
        <f t="shared" si="68"/>
        <v>1.0392792792792793</v>
      </c>
      <c r="M373" s="96">
        <f t="shared" si="69"/>
        <v>425.73</v>
      </c>
      <c r="N373" s="96">
        <f t="shared" si="70"/>
        <v>4545.7299999999996</v>
      </c>
      <c r="O373" s="97">
        <f t="shared" si="71"/>
        <v>45.141310824230381</v>
      </c>
      <c r="P373" s="97">
        <f t="shared" si="72"/>
        <v>1.1466706306306305</v>
      </c>
      <c r="R373" s="92"/>
      <c r="S373" s="95">
        <f t="shared" si="74"/>
        <v>48.327408142998998</v>
      </c>
      <c r="T373" s="104">
        <f t="shared" si="75"/>
        <v>8.0361408848246274E-3</v>
      </c>
    </row>
    <row r="374" spans="1:20" ht="13.15" x14ac:dyDescent="0.25">
      <c r="A374" s="60" t="s">
        <v>134</v>
      </c>
      <c r="B374" s="60" t="s">
        <v>8</v>
      </c>
      <c r="C374" s="60" t="s">
        <v>29</v>
      </c>
      <c r="D374" s="60" t="s">
        <v>91</v>
      </c>
      <c r="E374" s="89">
        <v>40603</v>
      </c>
      <c r="F374" s="61">
        <v>40605</v>
      </c>
      <c r="G374" s="92">
        <v>4120</v>
      </c>
      <c r="H374" s="93">
        <v>1695</v>
      </c>
      <c r="I374" s="93" t="s">
        <v>93</v>
      </c>
      <c r="J374" s="94">
        <f t="shared" si="73"/>
        <v>0.23</v>
      </c>
      <c r="K374" s="95">
        <f t="shared" si="67"/>
        <v>40.913604766633561</v>
      </c>
      <c r="L374" s="95">
        <f t="shared" si="68"/>
        <v>1.0392792792792793</v>
      </c>
      <c r="M374" s="96">
        <f t="shared" si="69"/>
        <v>389.85</v>
      </c>
      <c r="N374" s="96">
        <f t="shared" si="70"/>
        <v>4509.8500000000004</v>
      </c>
      <c r="O374" s="97">
        <f t="shared" si="71"/>
        <v>44.785004965243296</v>
      </c>
      <c r="P374" s="97">
        <f t="shared" si="72"/>
        <v>1.13761981981982</v>
      </c>
      <c r="R374" s="92"/>
      <c r="S374" s="95">
        <f t="shared" si="74"/>
        <v>47.702581926514398</v>
      </c>
      <c r="T374" s="104">
        <f t="shared" si="75"/>
        <v>9.3539439954053449E-3</v>
      </c>
    </row>
    <row r="375" spans="1:20" ht="13.15" x14ac:dyDescent="0.25">
      <c r="A375" s="60" t="s">
        <v>134</v>
      </c>
      <c r="B375" s="60" t="s">
        <v>13</v>
      </c>
      <c r="C375" s="60" t="s">
        <v>7</v>
      </c>
      <c r="D375" s="60" t="s">
        <v>91</v>
      </c>
      <c r="E375" s="89">
        <v>40603</v>
      </c>
      <c r="F375" s="61">
        <v>40605</v>
      </c>
      <c r="G375" s="92">
        <v>2677</v>
      </c>
      <c r="H375" s="93">
        <v>1006</v>
      </c>
      <c r="I375" s="93" t="s">
        <v>92</v>
      </c>
      <c r="J375" s="94">
        <f t="shared" si="73"/>
        <v>0.26</v>
      </c>
      <c r="K375" s="95">
        <f t="shared" si="67"/>
        <v>26.583912611717974</v>
      </c>
      <c r="L375" s="95">
        <f t="shared" si="68"/>
        <v>0.67527927927927933</v>
      </c>
      <c r="M375" s="96">
        <f t="shared" si="69"/>
        <v>261.56</v>
      </c>
      <c r="N375" s="96">
        <f t="shared" si="70"/>
        <v>2938.56</v>
      </c>
      <c r="O375" s="97">
        <f t="shared" si="71"/>
        <v>29.181330685203573</v>
      </c>
      <c r="P375" s="97">
        <f t="shared" si="72"/>
        <v>0.74125837837837838</v>
      </c>
      <c r="R375" s="92"/>
      <c r="S375" s="95">
        <f t="shared" si="74"/>
        <v>28.914928831512743</v>
      </c>
      <c r="T375" s="104">
        <f t="shared" si="75"/>
        <v>1.7578602798131504E-2</v>
      </c>
    </row>
    <row r="376" spans="1:20" ht="13.15" x14ac:dyDescent="0.25">
      <c r="A376" s="60" t="s">
        <v>134</v>
      </c>
      <c r="B376" s="60" t="s">
        <v>30</v>
      </c>
      <c r="C376" s="60" t="s">
        <v>9</v>
      </c>
      <c r="D376" s="60" t="s">
        <v>91</v>
      </c>
      <c r="E376" s="89">
        <v>40603</v>
      </c>
      <c r="F376" s="61">
        <v>40605</v>
      </c>
      <c r="G376" s="92">
        <v>2880</v>
      </c>
      <c r="H376" s="93">
        <v>988</v>
      </c>
      <c r="I376" s="93" t="s">
        <v>93</v>
      </c>
      <c r="J376" s="94">
        <f t="shared" si="73"/>
        <v>0.23</v>
      </c>
      <c r="K376" s="95">
        <f t="shared" si="67"/>
        <v>28.599801390268123</v>
      </c>
      <c r="L376" s="95">
        <f t="shared" si="68"/>
        <v>0.7264864864864865</v>
      </c>
      <c r="M376" s="96">
        <f t="shared" si="69"/>
        <v>227.24</v>
      </c>
      <c r="N376" s="96">
        <f t="shared" si="70"/>
        <v>3107.24</v>
      </c>
      <c r="O376" s="97">
        <f t="shared" si="71"/>
        <v>30.856405163853026</v>
      </c>
      <c r="P376" s="97">
        <f t="shared" si="72"/>
        <v>0.78380828828828819</v>
      </c>
      <c r="R376" s="92"/>
      <c r="S376" s="95">
        <f t="shared" si="74"/>
        <v>32.557034094670634</v>
      </c>
      <c r="T376" s="104">
        <f t="shared" si="75"/>
        <v>-2.9074954177549239E-3</v>
      </c>
    </row>
    <row r="377" spans="1:20" ht="13.15" x14ac:dyDescent="0.25">
      <c r="A377" s="60" t="s">
        <v>134</v>
      </c>
      <c r="B377" s="60" t="s">
        <v>16</v>
      </c>
      <c r="C377" s="60" t="s">
        <v>11</v>
      </c>
      <c r="D377" s="60" t="s">
        <v>91</v>
      </c>
      <c r="E377" s="89">
        <v>40603</v>
      </c>
      <c r="F377" s="61">
        <v>40605</v>
      </c>
      <c r="G377" s="92">
        <v>3330</v>
      </c>
      <c r="H377" s="93">
        <v>787</v>
      </c>
      <c r="I377" s="93" t="s">
        <v>92</v>
      </c>
      <c r="J377" s="94">
        <f t="shared" si="73"/>
        <v>0.26</v>
      </c>
      <c r="K377" s="95">
        <f t="shared" si="67"/>
        <v>33.068520357497519</v>
      </c>
      <c r="L377" s="95">
        <f t="shared" si="68"/>
        <v>0.84</v>
      </c>
      <c r="M377" s="96">
        <f t="shared" si="69"/>
        <v>204.62</v>
      </c>
      <c r="N377" s="96">
        <f t="shared" si="70"/>
        <v>3534.62</v>
      </c>
      <c r="O377" s="97">
        <f t="shared" si="71"/>
        <v>35.100496524329692</v>
      </c>
      <c r="P377" s="97">
        <f t="shared" si="72"/>
        <v>0.89161585585585579</v>
      </c>
      <c r="R377" s="92"/>
      <c r="S377" s="95">
        <f t="shared" si="74"/>
        <v>34.892088712346897</v>
      </c>
      <c r="T377" s="104">
        <f t="shared" si="75"/>
        <v>1.1326076840787014E-2</v>
      </c>
    </row>
    <row r="378" spans="1:20" ht="13.15" x14ac:dyDescent="0.25">
      <c r="A378" s="60" t="s">
        <v>134</v>
      </c>
      <c r="B378" s="60" t="s">
        <v>23</v>
      </c>
      <c r="C378" s="60" t="s">
        <v>29</v>
      </c>
      <c r="D378" s="60" t="s">
        <v>91</v>
      </c>
      <c r="E378" s="89">
        <v>40603</v>
      </c>
      <c r="F378" s="61">
        <v>40605</v>
      </c>
      <c r="G378" s="92">
        <v>4120</v>
      </c>
      <c r="H378" s="93">
        <v>1836</v>
      </c>
      <c r="I378" s="93" t="s">
        <v>93</v>
      </c>
      <c r="J378" s="94">
        <f t="shared" si="73"/>
        <v>0.23</v>
      </c>
      <c r="K378" s="95">
        <f t="shared" si="67"/>
        <v>40.913604766633561</v>
      </c>
      <c r="L378" s="95">
        <f t="shared" si="68"/>
        <v>1.0392792792792793</v>
      </c>
      <c r="M378" s="96">
        <f t="shared" si="69"/>
        <v>422.28000000000003</v>
      </c>
      <c r="N378" s="96">
        <f t="shared" si="70"/>
        <v>4542.28</v>
      </c>
      <c r="O378" s="97">
        <f t="shared" si="71"/>
        <v>45.107050645481628</v>
      </c>
      <c r="P378" s="97">
        <f t="shared" si="72"/>
        <v>1.1458003603603604</v>
      </c>
      <c r="R378" s="92"/>
      <c r="S378" s="95">
        <f t="shared" si="74"/>
        <v>48.267328699106251</v>
      </c>
      <c r="T378" s="104">
        <f t="shared" si="75"/>
        <v>8.1612221644522531E-3</v>
      </c>
    </row>
    <row r="379" spans="1:20" ht="13.15" x14ac:dyDescent="0.25">
      <c r="A379" s="60" t="s">
        <v>134</v>
      </c>
      <c r="B379" s="60" t="s">
        <v>31</v>
      </c>
      <c r="C379" s="60" t="s">
        <v>32</v>
      </c>
      <c r="D379" s="60" t="s">
        <v>91</v>
      </c>
      <c r="E379" s="89">
        <v>40603</v>
      </c>
      <c r="F379" s="61">
        <v>40605</v>
      </c>
      <c r="G379" s="92">
        <v>3480</v>
      </c>
      <c r="H379" s="93">
        <v>1899</v>
      </c>
      <c r="I379" s="93" t="s">
        <v>93</v>
      </c>
      <c r="J379" s="94">
        <f t="shared" si="73"/>
        <v>0.23</v>
      </c>
      <c r="K379" s="95">
        <f t="shared" si="67"/>
        <v>34.558093346573983</v>
      </c>
      <c r="L379" s="95">
        <f t="shared" si="68"/>
        <v>0.87783783783783786</v>
      </c>
      <c r="M379" s="96">
        <f t="shared" si="69"/>
        <v>436.77000000000004</v>
      </c>
      <c r="N379" s="96">
        <f t="shared" si="70"/>
        <v>3916.77</v>
      </c>
      <c r="O379" s="97">
        <f t="shared" si="71"/>
        <v>38.895431976166833</v>
      </c>
      <c r="P379" s="97">
        <f t="shared" si="72"/>
        <v>0.98801405405405407</v>
      </c>
      <c r="R379" s="92"/>
      <c r="S379" s="95">
        <f t="shared" si="74"/>
        <v>42.16415094339623</v>
      </c>
      <c r="T379" s="104">
        <f t="shared" si="75"/>
        <v>-1.0017347132282639E-2</v>
      </c>
    </row>
    <row r="380" spans="1:20" ht="13.15" x14ac:dyDescent="0.25">
      <c r="A380" s="60" t="s">
        <v>22</v>
      </c>
      <c r="B380" s="60" t="s">
        <v>8</v>
      </c>
      <c r="C380" s="60" t="s">
        <v>29</v>
      </c>
      <c r="D380" s="60" t="s">
        <v>91</v>
      </c>
      <c r="E380" s="89">
        <v>40603</v>
      </c>
      <c r="F380" s="61">
        <v>40605</v>
      </c>
      <c r="G380" s="92">
        <v>4320</v>
      </c>
      <c r="H380" s="93">
        <v>1695</v>
      </c>
      <c r="I380" s="93" t="s">
        <v>93</v>
      </c>
      <c r="J380" s="94">
        <f t="shared" si="73"/>
        <v>0.23</v>
      </c>
      <c r="K380" s="95">
        <f t="shared" si="67"/>
        <v>42.899702085402183</v>
      </c>
      <c r="L380" s="95">
        <f t="shared" si="68"/>
        <v>1.1675675675675676</v>
      </c>
      <c r="M380" s="96">
        <f t="shared" si="69"/>
        <v>389.85</v>
      </c>
      <c r="N380" s="96">
        <f t="shared" si="70"/>
        <v>4709.8500000000004</v>
      </c>
      <c r="O380" s="97">
        <f t="shared" si="71"/>
        <v>46.771102284011917</v>
      </c>
      <c r="P380" s="97">
        <f t="shared" si="72"/>
        <v>1.2729324324324325</v>
      </c>
      <c r="R380" s="92"/>
      <c r="S380" s="95">
        <f t="shared" si="74"/>
        <v>49.688679245283026</v>
      </c>
      <c r="T380" s="104">
        <f t="shared" si="75"/>
        <v>-1.2268545935488762E-2</v>
      </c>
    </row>
    <row r="381" spans="1:20" ht="13.15" x14ac:dyDescent="0.25">
      <c r="A381" s="60" t="s">
        <v>22</v>
      </c>
      <c r="B381" s="60" t="s">
        <v>23</v>
      </c>
      <c r="C381" s="60" t="s">
        <v>26</v>
      </c>
      <c r="D381" s="60" t="s">
        <v>91</v>
      </c>
      <c r="E381" s="89">
        <v>40603</v>
      </c>
      <c r="F381" s="61">
        <v>40605</v>
      </c>
      <c r="G381" s="92">
        <v>4270</v>
      </c>
      <c r="H381" s="93">
        <v>1851</v>
      </c>
      <c r="I381" s="93" t="s">
        <v>93</v>
      </c>
      <c r="J381" s="94">
        <f t="shared" si="73"/>
        <v>0.23</v>
      </c>
      <c r="K381" s="95">
        <f t="shared" si="67"/>
        <v>42.403177755710026</v>
      </c>
      <c r="L381" s="95">
        <f t="shared" si="68"/>
        <v>1.154054054054054</v>
      </c>
      <c r="M381" s="96">
        <f t="shared" si="69"/>
        <v>425.73</v>
      </c>
      <c r="N381" s="96">
        <f t="shared" si="70"/>
        <v>4695.7299999999996</v>
      </c>
      <c r="O381" s="97">
        <f t="shared" si="71"/>
        <v>46.630883813306845</v>
      </c>
      <c r="P381" s="97">
        <f t="shared" si="72"/>
        <v>1.2691162162162162</v>
      </c>
      <c r="R381" s="92"/>
      <c r="S381" s="95">
        <f t="shared" si="74"/>
        <v>49.816981132075462</v>
      </c>
      <c r="T381" s="104">
        <f t="shared" si="75"/>
        <v>-1.3348569360637774E-2</v>
      </c>
    </row>
    <row r="382" spans="1:20" ht="13.15" x14ac:dyDescent="0.25">
      <c r="A382" s="60" t="s">
        <v>22</v>
      </c>
      <c r="B382" s="60" t="s">
        <v>33</v>
      </c>
      <c r="C382" s="60" t="s">
        <v>29</v>
      </c>
      <c r="D382" s="60" t="s">
        <v>91</v>
      </c>
      <c r="E382" s="89">
        <v>40603</v>
      </c>
      <c r="F382" s="61">
        <v>40605</v>
      </c>
      <c r="G382" s="92">
        <v>4270</v>
      </c>
      <c r="H382" s="93">
        <v>1507</v>
      </c>
      <c r="I382" s="93" t="s">
        <v>93</v>
      </c>
      <c r="J382" s="94">
        <f t="shared" si="73"/>
        <v>0.23</v>
      </c>
      <c r="K382" s="95">
        <f t="shared" si="67"/>
        <v>42.403177755710026</v>
      </c>
      <c r="L382" s="95">
        <f t="shared" si="68"/>
        <v>1.154054054054054</v>
      </c>
      <c r="M382" s="96">
        <f t="shared" si="69"/>
        <v>346.61</v>
      </c>
      <c r="N382" s="96">
        <f t="shared" si="70"/>
        <v>4616.6099999999997</v>
      </c>
      <c r="O382" s="97">
        <f t="shared" si="71"/>
        <v>45.845183714001983</v>
      </c>
      <c r="P382" s="97">
        <f t="shared" si="72"/>
        <v>1.2477324324324324</v>
      </c>
      <c r="R382" s="92"/>
      <c r="S382" s="95">
        <f t="shared" si="74"/>
        <v>48.439159218801713</v>
      </c>
      <c r="T382" s="104">
        <f t="shared" si="75"/>
        <v>-1.1201250875045088E-2</v>
      </c>
    </row>
    <row r="383" spans="1:20" ht="13.15" x14ac:dyDescent="0.25">
      <c r="A383" s="60" t="s">
        <v>22</v>
      </c>
      <c r="B383" s="60" t="s">
        <v>31</v>
      </c>
      <c r="C383" s="60" t="s">
        <v>7</v>
      </c>
      <c r="D383" s="60" t="s">
        <v>91</v>
      </c>
      <c r="E383" s="89">
        <v>40603</v>
      </c>
      <c r="F383" s="61">
        <v>40605</v>
      </c>
      <c r="G383" s="92">
        <v>3510</v>
      </c>
      <c r="H383" s="93">
        <v>1160</v>
      </c>
      <c r="I383" s="93" t="s">
        <v>92</v>
      </c>
      <c r="J383" s="94">
        <f t="shared" si="73"/>
        <v>0.26</v>
      </c>
      <c r="K383" s="95">
        <f t="shared" si="67"/>
        <v>34.856007944389276</v>
      </c>
      <c r="L383" s="95">
        <f t="shared" si="68"/>
        <v>0.94864864864864862</v>
      </c>
      <c r="M383" s="96">
        <f t="shared" si="69"/>
        <v>301.60000000000002</v>
      </c>
      <c r="N383" s="96">
        <f t="shared" si="70"/>
        <v>3811.6</v>
      </c>
      <c r="O383" s="97">
        <f t="shared" si="71"/>
        <v>37.851042701092354</v>
      </c>
      <c r="P383" s="97">
        <f t="shared" si="72"/>
        <v>1.0301621621621622</v>
      </c>
      <c r="R383" s="92"/>
      <c r="S383" s="95">
        <f t="shared" si="74"/>
        <v>37.543859649122801</v>
      </c>
      <c r="T383" s="104">
        <f t="shared" si="75"/>
        <v>1.5580229226360931E-2</v>
      </c>
    </row>
    <row r="384" spans="1:20" ht="13.15" x14ac:dyDescent="0.25">
      <c r="A384" s="60" t="s">
        <v>22</v>
      </c>
      <c r="B384" s="60" t="s">
        <v>14</v>
      </c>
      <c r="C384" s="60" t="s">
        <v>24</v>
      </c>
      <c r="D384" s="60" t="s">
        <v>91</v>
      </c>
      <c r="E384" s="89">
        <v>40603</v>
      </c>
      <c r="F384" s="61">
        <v>40605</v>
      </c>
      <c r="G384" s="92">
        <v>2536</v>
      </c>
      <c r="H384" s="93">
        <v>615</v>
      </c>
      <c r="I384" s="93" t="s">
        <v>94</v>
      </c>
      <c r="J384" s="94">
        <f t="shared" si="73"/>
        <v>0.35</v>
      </c>
      <c r="K384" s="95">
        <f t="shared" si="67"/>
        <v>25.183714001986097</v>
      </c>
      <c r="L384" s="95">
        <f t="shared" si="68"/>
        <v>0.6854054054054054</v>
      </c>
      <c r="M384" s="96">
        <f t="shared" si="69"/>
        <v>215.25</v>
      </c>
      <c r="N384" s="96">
        <f t="shared" si="70"/>
        <v>2751.25</v>
      </c>
      <c r="O384" s="97">
        <f t="shared" si="71"/>
        <v>27.321251241310822</v>
      </c>
      <c r="P384" s="97">
        <f t="shared" si="72"/>
        <v>0.74358108108108112</v>
      </c>
      <c r="R384" s="92"/>
      <c r="S384" s="95">
        <f t="shared" si="74"/>
        <v>27.13803376365442</v>
      </c>
      <c r="T384" s="104">
        <f t="shared" si="75"/>
        <v>1.6005204944697704E-2</v>
      </c>
    </row>
    <row r="385" spans="1:20" ht="13.15" x14ac:dyDescent="0.25">
      <c r="A385" s="85" t="s">
        <v>22</v>
      </c>
      <c r="B385" s="85" t="s">
        <v>34</v>
      </c>
      <c r="C385" s="85" t="s">
        <v>26</v>
      </c>
      <c r="D385" s="85" t="s">
        <v>91</v>
      </c>
      <c r="E385" s="91">
        <v>40603</v>
      </c>
      <c r="F385" s="86">
        <v>40605</v>
      </c>
      <c r="G385" s="105">
        <v>4520</v>
      </c>
      <c r="H385" s="107">
        <v>1637</v>
      </c>
      <c r="I385" s="107" t="s">
        <v>92</v>
      </c>
      <c r="J385" s="117">
        <f t="shared" si="73"/>
        <v>0.26</v>
      </c>
      <c r="K385" s="108">
        <f t="shared" si="67"/>
        <v>44.885799404170804</v>
      </c>
      <c r="L385" s="108">
        <f t="shared" si="68"/>
        <v>1.2216216216216216</v>
      </c>
      <c r="M385" s="115">
        <f t="shared" si="69"/>
        <v>425.62</v>
      </c>
      <c r="N385" s="115">
        <f t="shared" si="70"/>
        <v>4945.62</v>
      </c>
      <c r="O385" s="116">
        <f t="shared" si="71"/>
        <v>49.112413108242301</v>
      </c>
      <c r="P385" s="116">
        <f t="shared" si="72"/>
        <v>1.3366540540540541</v>
      </c>
      <c r="R385" s="92"/>
      <c r="S385" s="95">
        <f t="shared" si="74"/>
        <v>48.678914266799069</v>
      </c>
      <c r="T385" s="104">
        <f t="shared" si="75"/>
        <v>3.124397367526055E-2</v>
      </c>
    </row>
    <row r="386" spans="1:20" ht="13.15" x14ac:dyDescent="0.25">
      <c r="A386" s="45" t="s">
        <v>1</v>
      </c>
      <c r="B386" s="45" t="s">
        <v>2</v>
      </c>
      <c r="C386" s="45" t="s">
        <v>3</v>
      </c>
      <c r="D386" s="45" t="s">
        <v>90</v>
      </c>
      <c r="E386" s="88">
        <v>40637</v>
      </c>
      <c r="F386" s="53">
        <v>40640</v>
      </c>
      <c r="G386" s="92">
        <v>2883</v>
      </c>
      <c r="H386" s="98">
        <v>506</v>
      </c>
      <c r="I386" s="98" t="s">
        <v>92</v>
      </c>
      <c r="J386" s="102">
        <f>IF(I386="BNSF",0.28,IF(I386="CN",0.2473,IF(I386="CSX",0.4,0.3)))</f>
        <v>0.3</v>
      </c>
      <c r="K386" s="103">
        <f t="shared" ref="K386" si="76">G386/100.7</f>
        <v>28.629592850049651</v>
      </c>
      <c r="L386" s="103">
        <f t="shared" ref="L386" si="77">IF(A386="corn",G386/(111*2000/56),G386/(111*2000/60))</f>
        <v>0.77918918918918922</v>
      </c>
      <c r="M386" s="96">
        <f t="shared" ref="M386:M449" si="78">H386*J386</f>
        <v>151.79999999999998</v>
      </c>
      <c r="N386" s="96">
        <f t="shared" ref="N386:N422" si="79">G386+M386</f>
        <v>3034.8</v>
      </c>
      <c r="O386" s="97">
        <f t="shared" ref="O386:O422" si="80">N386/100.7</f>
        <v>30.137040714995035</v>
      </c>
      <c r="P386" s="97">
        <f t="shared" ref="P386:P422" si="81">IF(A386="corn",N386/(111*2000/56),N386/(111*2000/60))</f>
        <v>0.82021621621621632</v>
      </c>
      <c r="R386" s="92"/>
    </row>
    <row r="387" spans="1:20" ht="13.15" x14ac:dyDescent="0.25">
      <c r="A387" s="45" t="s">
        <v>1</v>
      </c>
      <c r="B387" s="45" t="s">
        <v>4</v>
      </c>
      <c r="C387" s="45" t="s">
        <v>5</v>
      </c>
      <c r="D387" s="45" t="s">
        <v>90</v>
      </c>
      <c r="E387" s="88">
        <v>40637</v>
      </c>
      <c r="F387" s="53">
        <v>40640</v>
      </c>
      <c r="G387" s="92">
        <f>-839+3661</f>
        <v>2822</v>
      </c>
      <c r="H387" s="98">
        <v>298</v>
      </c>
      <c r="I387" s="98" t="s">
        <v>93</v>
      </c>
      <c r="J387" s="102">
        <f t="shared" ref="J387:J423" si="82">IF(I387="BNSF",0.28,IF(I387="CN",0.2473,IF(I387="CSX",0.4,0.3)))</f>
        <v>0.28000000000000003</v>
      </c>
      <c r="K387" s="103">
        <f t="shared" ref="K387:K422" si="83">G387/100.7</f>
        <v>28.023833167825224</v>
      </c>
      <c r="L387" s="103">
        <f t="shared" ref="L387:L450" si="84">IF(A387="corn",G387/(111*2000/56),G387/(111*2000/60))</f>
        <v>0.76270270270270268</v>
      </c>
      <c r="M387" s="96">
        <f t="shared" si="78"/>
        <v>83.440000000000012</v>
      </c>
      <c r="N387" s="96">
        <f t="shared" si="79"/>
        <v>2905.44</v>
      </c>
      <c r="O387" s="97">
        <f t="shared" si="80"/>
        <v>28.852432969215492</v>
      </c>
      <c r="P387" s="97">
        <f t="shared" si="81"/>
        <v>0.78525405405405402</v>
      </c>
      <c r="R387" s="92"/>
    </row>
    <row r="388" spans="1:20" ht="13.15" x14ac:dyDescent="0.25">
      <c r="A388" s="45" t="s">
        <v>1</v>
      </c>
      <c r="B388" s="45" t="s">
        <v>2</v>
      </c>
      <c r="C388" s="45" t="s">
        <v>6</v>
      </c>
      <c r="D388" s="45" t="s">
        <v>90</v>
      </c>
      <c r="E388" s="88">
        <v>40637</v>
      </c>
      <c r="F388" s="53">
        <v>40640</v>
      </c>
      <c r="G388" s="92">
        <v>5710</v>
      </c>
      <c r="H388" s="98">
        <v>1530</v>
      </c>
      <c r="I388" s="98" t="s">
        <v>93</v>
      </c>
      <c r="J388" s="102">
        <f t="shared" si="82"/>
        <v>0.28000000000000003</v>
      </c>
      <c r="K388" s="103">
        <f t="shared" si="83"/>
        <v>56.703078450844089</v>
      </c>
      <c r="L388" s="103">
        <f t="shared" si="84"/>
        <v>1.5432432432432432</v>
      </c>
      <c r="M388" s="96">
        <f t="shared" si="78"/>
        <v>428.40000000000003</v>
      </c>
      <c r="N388" s="96">
        <f t="shared" si="79"/>
        <v>6138.4</v>
      </c>
      <c r="O388" s="97">
        <f t="shared" si="80"/>
        <v>60.957298907646468</v>
      </c>
      <c r="P388" s="97">
        <f t="shared" si="81"/>
        <v>1.6590270270270269</v>
      </c>
      <c r="R388" s="92"/>
    </row>
    <row r="389" spans="1:20" ht="13.15" x14ac:dyDescent="0.25">
      <c r="A389" s="45" t="s">
        <v>1</v>
      </c>
      <c r="B389" s="45" t="s">
        <v>2</v>
      </c>
      <c r="C389" s="45" t="s">
        <v>7</v>
      </c>
      <c r="D389" s="45" t="s">
        <v>90</v>
      </c>
      <c r="E389" s="88">
        <v>40637</v>
      </c>
      <c r="F389" s="53">
        <v>40640</v>
      </c>
      <c r="G389" s="92">
        <v>3384</v>
      </c>
      <c r="H389" s="98">
        <v>890</v>
      </c>
      <c r="I389" s="98" t="s">
        <v>92</v>
      </c>
      <c r="J389" s="102">
        <f t="shared" si="82"/>
        <v>0.3</v>
      </c>
      <c r="K389" s="103">
        <f t="shared" si="83"/>
        <v>33.604766633565042</v>
      </c>
      <c r="L389" s="103">
        <f t="shared" si="84"/>
        <v>0.91459459459459458</v>
      </c>
      <c r="M389" s="96">
        <f t="shared" si="78"/>
        <v>267</v>
      </c>
      <c r="N389" s="96">
        <f t="shared" si="79"/>
        <v>3651</v>
      </c>
      <c r="O389" s="97">
        <f t="shared" si="80"/>
        <v>36.25620655412115</v>
      </c>
      <c r="P389" s="97">
        <f t="shared" si="81"/>
        <v>0.98675675675675678</v>
      </c>
      <c r="R389" s="92"/>
    </row>
    <row r="390" spans="1:20" ht="13.15" x14ac:dyDescent="0.25">
      <c r="A390" s="45" t="s">
        <v>1</v>
      </c>
      <c r="B390" s="45" t="s">
        <v>8</v>
      </c>
      <c r="C390" s="45" t="s">
        <v>9</v>
      </c>
      <c r="D390" s="45" t="s">
        <v>90</v>
      </c>
      <c r="E390" s="88">
        <v>40637</v>
      </c>
      <c r="F390" s="53">
        <v>40640</v>
      </c>
      <c r="G390" s="92">
        <f>109+5301</f>
        <v>5410</v>
      </c>
      <c r="H390" s="98">
        <v>1256</v>
      </c>
      <c r="I390" s="98" t="s">
        <v>93</v>
      </c>
      <c r="J390" s="102">
        <f t="shared" si="82"/>
        <v>0.28000000000000003</v>
      </c>
      <c r="K390" s="103">
        <f t="shared" si="83"/>
        <v>53.72393247269116</v>
      </c>
      <c r="L390" s="103">
        <f t="shared" si="84"/>
        <v>1.4621621621621621</v>
      </c>
      <c r="M390" s="96">
        <f t="shared" si="78"/>
        <v>351.68</v>
      </c>
      <c r="N390" s="96">
        <f t="shared" si="79"/>
        <v>5761.68</v>
      </c>
      <c r="O390" s="97">
        <f t="shared" si="80"/>
        <v>57.216285998013902</v>
      </c>
      <c r="P390" s="97">
        <f t="shared" si="81"/>
        <v>1.5572108108108109</v>
      </c>
      <c r="R390" s="92"/>
    </row>
    <row r="391" spans="1:20" ht="13.15" x14ac:dyDescent="0.25">
      <c r="A391" s="45" t="s">
        <v>1</v>
      </c>
      <c r="B391" s="45" t="s">
        <v>10</v>
      </c>
      <c r="C391" s="45" t="s">
        <v>9</v>
      </c>
      <c r="D391" s="45" t="s">
        <v>90</v>
      </c>
      <c r="E391" s="88">
        <v>40637</v>
      </c>
      <c r="F391" s="53">
        <v>40640</v>
      </c>
      <c r="G391" s="92">
        <v>3651</v>
      </c>
      <c r="H391" s="98">
        <v>975</v>
      </c>
      <c r="I391" s="98" t="s">
        <v>92</v>
      </c>
      <c r="J391" s="102">
        <f t="shared" si="82"/>
        <v>0.3</v>
      </c>
      <c r="K391" s="103">
        <f t="shared" si="83"/>
        <v>36.25620655412115</v>
      </c>
      <c r="L391" s="103">
        <f t="shared" si="84"/>
        <v>0.98675675675675678</v>
      </c>
      <c r="M391" s="96">
        <f t="shared" si="78"/>
        <v>292.5</v>
      </c>
      <c r="N391" s="96">
        <f t="shared" si="79"/>
        <v>3943.5</v>
      </c>
      <c r="O391" s="97">
        <f t="shared" si="80"/>
        <v>39.160873882820255</v>
      </c>
      <c r="P391" s="97">
        <f t="shared" si="81"/>
        <v>1.0658108108108109</v>
      </c>
      <c r="R391" s="92"/>
    </row>
    <row r="392" spans="1:20" ht="13.15" x14ac:dyDescent="0.25">
      <c r="A392" s="45" t="s">
        <v>1</v>
      </c>
      <c r="B392" s="45" t="s">
        <v>11</v>
      </c>
      <c r="C392" s="45" t="s">
        <v>6</v>
      </c>
      <c r="D392" s="45" t="s">
        <v>90</v>
      </c>
      <c r="E392" s="88">
        <v>40637</v>
      </c>
      <c r="F392" s="53">
        <v>40640</v>
      </c>
      <c r="G392" s="92">
        <v>3850</v>
      </c>
      <c r="H392" s="98">
        <v>1357</v>
      </c>
      <c r="I392" s="98" t="s">
        <v>92</v>
      </c>
      <c r="J392" s="102">
        <f t="shared" si="82"/>
        <v>0.3</v>
      </c>
      <c r="K392" s="103">
        <f t="shared" si="83"/>
        <v>38.232373386295926</v>
      </c>
      <c r="L392" s="103">
        <f t="shared" si="84"/>
        <v>1.0405405405405406</v>
      </c>
      <c r="M392" s="96">
        <f t="shared" si="78"/>
        <v>407.09999999999997</v>
      </c>
      <c r="N392" s="96">
        <f t="shared" si="79"/>
        <v>4257.1000000000004</v>
      </c>
      <c r="O392" s="97">
        <f t="shared" si="80"/>
        <v>42.275074478649458</v>
      </c>
      <c r="P392" s="97">
        <f t="shared" si="81"/>
        <v>1.1505675675675677</v>
      </c>
      <c r="R392" s="92"/>
    </row>
    <row r="393" spans="1:20" ht="13.15" x14ac:dyDescent="0.25">
      <c r="A393" s="45" t="s">
        <v>134</v>
      </c>
      <c r="B393" s="45" t="s">
        <v>13</v>
      </c>
      <c r="C393" s="45" t="s">
        <v>7</v>
      </c>
      <c r="D393" s="45" t="s">
        <v>90</v>
      </c>
      <c r="E393" s="88">
        <v>40637</v>
      </c>
      <c r="F393" s="53">
        <v>40640</v>
      </c>
      <c r="G393" s="92">
        <v>2812</v>
      </c>
      <c r="H393" s="98">
        <v>1006</v>
      </c>
      <c r="I393" s="98" t="s">
        <v>92</v>
      </c>
      <c r="J393" s="102">
        <f t="shared" si="82"/>
        <v>0.3</v>
      </c>
      <c r="K393" s="103">
        <f t="shared" si="83"/>
        <v>27.924528301886792</v>
      </c>
      <c r="L393" s="103">
        <f t="shared" si="84"/>
        <v>0.70933333333333337</v>
      </c>
      <c r="M393" s="96">
        <f t="shared" si="78"/>
        <v>301.8</v>
      </c>
      <c r="N393" s="96">
        <f t="shared" si="79"/>
        <v>3113.8</v>
      </c>
      <c r="O393" s="97">
        <f t="shared" si="80"/>
        <v>30.92154915590864</v>
      </c>
      <c r="P393" s="97">
        <f t="shared" si="81"/>
        <v>0.78546306306306313</v>
      </c>
      <c r="R393" s="92"/>
    </row>
    <row r="394" spans="1:20" ht="13.15" x14ac:dyDescent="0.25">
      <c r="A394" s="45" t="s">
        <v>134</v>
      </c>
      <c r="B394" s="45" t="s">
        <v>14</v>
      </c>
      <c r="C394" s="45" t="s">
        <v>15</v>
      </c>
      <c r="D394" s="45" t="s">
        <v>90</v>
      </c>
      <c r="E394" s="88">
        <v>40637</v>
      </c>
      <c r="F394" s="53">
        <v>40640</v>
      </c>
      <c r="G394" s="92">
        <v>3760</v>
      </c>
      <c r="H394" s="98">
        <v>866</v>
      </c>
      <c r="I394" s="98" t="s">
        <v>94</v>
      </c>
      <c r="J394" s="102">
        <f t="shared" si="82"/>
        <v>0.4</v>
      </c>
      <c r="K394" s="103">
        <f t="shared" si="83"/>
        <v>37.338629592850047</v>
      </c>
      <c r="L394" s="103">
        <f t="shared" si="84"/>
        <v>0.94846846846846844</v>
      </c>
      <c r="M394" s="96">
        <f t="shared" si="78"/>
        <v>346.40000000000003</v>
      </c>
      <c r="N394" s="96">
        <f t="shared" si="79"/>
        <v>4106.3999999999996</v>
      </c>
      <c r="O394" s="97">
        <f t="shared" si="80"/>
        <v>40.778550148957294</v>
      </c>
      <c r="P394" s="97">
        <f t="shared" si="81"/>
        <v>1.0358486486486487</v>
      </c>
      <c r="R394" s="92"/>
    </row>
    <row r="395" spans="1:20" ht="13.15" x14ac:dyDescent="0.25">
      <c r="A395" s="45" t="s">
        <v>134</v>
      </c>
      <c r="B395" s="45" t="s">
        <v>16</v>
      </c>
      <c r="C395" s="45" t="s">
        <v>17</v>
      </c>
      <c r="D395" s="45" t="s">
        <v>90</v>
      </c>
      <c r="E395" s="88">
        <v>40637</v>
      </c>
      <c r="F395" s="53">
        <v>40640</v>
      </c>
      <c r="G395" s="92">
        <v>1843</v>
      </c>
      <c r="H395" s="98">
        <v>213</v>
      </c>
      <c r="I395" s="98" t="s">
        <v>92</v>
      </c>
      <c r="J395" s="102">
        <f t="shared" si="82"/>
        <v>0.3</v>
      </c>
      <c r="K395" s="103">
        <f t="shared" si="83"/>
        <v>18.30188679245283</v>
      </c>
      <c r="L395" s="103">
        <f t="shared" si="84"/>
        <v>0.46490090090090092</v>
      </c>
      <c r="M395" s="96">
        <f t="shared" si="78"/>
        <v>63.9</v>
      </c>
      <c r="N395" s="96">
        <f t="shared" si="79"/>
        <v>1906.9</v>
      </c>
      <c r="O395" s="97">
        <f t="shared" si="80"/>
        <v>18.936444885799403</v>
      </c>
      <c r="P395" s="97">
        <f t="shared" si="81"/>
        <v>0.48101981981981984</v>
      </c>
      <c r="R395" s="92"/>
    </row>
    <row r="396" spans="1:20" ht="13.15" x14ac:dyDescent="0.25">
      <c r="A396" s="45" t="s">
        <v>134</v>
      </c>
      <c r="B396" s="45" t="s">
        <v>18</v>
      </c>
      <c r="C396" s="45" t="s">
        <v>19</v>
      </c>
      <c r="D396" s="45" t="s">
        <v>90</v>
      </c>
      <c r="E396" s="88">
        <v>40637</v>
      </c>
      <c r="F396" s="53">
        <v>40640</v>
      </c>
      <c r="G396" s="92">
        <v>3196</v>
      </c>
      <c r="H396" s="98">
        <v>650</v>
      </c>
      <c r="I396" s="98" t="s">
        <v>94</v>
      </c>
      <c r="J396" s="102">
        <f t="shared" si="82"/>
        <v>0.4</v>
      </c>
      <c r="K396" s="103">
        <f t="shared" si="83"/>
        <v>31.737835153922543</v>
      </c>
      <c r="L396" s="103">
        <f t="shared" si="84"/>
        <v>0.80619819819819816</v>
      </c>
      <c r="M396" s="96">
        <f t="shared" si="78"/>
        <v>260</v>
      </c>
      <c r="N396" s="96">
        <f t="shared" si="79"/>
        <v>3456</v>
      </c>
      <c r="O396" s="97">
        <f t="shared" si="80"/>
        <v>34.319761668321746</v>
      </c>
      <c r="P396" s="97">
        <f t="shared" si="81"/>
        <v>0.87178378378378385</v>
      </c>
      <c r="R396" s="92"/>
    </row>
    <row r="397" spans="1:20" ht="13.15" x14ac:dyDescent="0.25">
      <c r="A397" s="45" t="s">
        <v>134</v>
      </c>
      <c r="B397" s="45" t="s">
        <v>18</v>
      </c>
      <c r="C397" s="45" t="s">
        <v>20</v>
      </c>
      <c r="D397" s="45" t="s">
        <v>90</v>
      </c>
      <c r="E397" s="88">
        <v>40637</v>
      </c>
      <c r="F397" s="53">
        <v>40640</v>
      </c>
      <c r="G397" s="92">
        <v>2760</v>
      </c>
      <c r="H397" s="98">
        <v>417</v>
      </c>
      <c r="I397" s="98" t="s">
        <v>94</v>
      </c>
      <c r="J397" s="102">
        <f t="shared" si="82"/>
        <v>0.4</v>
      </c>
      <c r="K397" s="103">
        <f t="shared" si="83"/>
        <v>27.408142999006952</v>
      </c>
      <c r="L397" s="103">
        <f t="shared" si="84"/>
        <v>0.69621621621621621</v>
      </c>
      <c r="M397" s="96">
        <f t="shared" si="78"/>
        <v>166.8</v>
      </c>
      <c r="N397" s="96">
        <f t="shared" si="79"/>
        <v>2926.8</v>
      </c>
      <c r="O397" s="97">
        <f t="shared" si="80"/>
        <v>29.064548162859982</v>
      </c>
      <c r="P397" s="97">
        <f t="shared" si="81"/>
        <v>0.73829189189189193</v>
      </c>
      <c r="R397" s="92"/>
    </row>
    <row r="398" spans="1:20" ht="13.15" x14ac:dyDescent="0.25">
      <c r="A398" s="45" t="s">
        <v>134</v>
      </c>
      <c r="B398" s="45" t="s">
        <v>16</v>
      </c>
      <c r="C398" s="45" t="s">
        <v>21</v>
      </c>
      <c r="D398" s="45" t="s">
        <v>90</v>
      </c>
      <c r="E398" s="88">
        <v>40637</v>
      </c>
      <c r="F398" s="53">
        <v>40640</v>
      </c>
      <c r="G398" s="92">
        <v>2938</v>
      </c>
      <c r="H398" s="98">
        <v>626</v>
      </c>
      <c r="I398" s="98" t="s">
        <v>92</v>
      </c>
      <c r="J398" s="102">
        <f t="shared" si="82"/>
        <v>0.3</v>
      </c>
      <c r="K398" s="103">
        <f t="shared" si="83"/>
        <v>29.175769612711022</v>
      </c>
      <c r="L398" s="103">
        <f t="shared" si="84"/>
        <v>0.74111711711711714</v>
      </c>
      <c r="M398" s="96">
        <f t="shared" si="78"/>
        <v>187.79999999999998</v>
      </c>
      <c r="N398" s="96">
        <f t="shared" si="79"/>
        <v>3125.8</v>
      </c>
      <c r="O398" s="97">
        <f t="shared" si="80"/>
        <v>31.040714995034758</v>
      </c>
      <c r="P398" s="97">
        <f t="shared" si="81"/>
        <v>0.78849009009009019</v>
      </c>
      <c r="R398" s="92"/>
    </row>
    <row r="399" spans="1:20" ht="13.15" x14ac:dyDescent="0.25">
      <c r="A399" s="45" t="s">
        <v>134</v>
      </c>
      <c r="B399" s="45" t="s">
        <v>16</v>
      </c>
      <c r="C399" s="45" t="s">
        <v>6</v>
      </c>
      <c r="D399" s="45" t="s">
        <v>90</v>
      </c>
      <c r="E399" s="88">
        <v>40637</v>
      </c>
      <c r="F399" s="53">
        <v>40640</v>
      </c>
      <c r="G399" s="92">
        <v>4372</v>
      </c>
      <c r="H399" s="98">
        <v>1823</v>
      </c>
      <c r="I399" s="98" t="s">
        <v>92</v>
      </c>
      <c r="J399" s="102">
        <f t="shared" si="82"/>
        <v>0.3</v>
      </c>
      <c r="K399" s="103">
        <f t="shared" si="83"/>
        <v>43.416087388282023</v>
      </c>
      <c r="L399" s="103">
        <f t="shared" si="84"/>
        <v>1.1028468468468469</v>
      </c>
      <c r="M399" s="96">
        <f t="shared" si="78"/>
        <v>546.9</v>
      </c>
      <c r="N399" s="96">
        <f t="shared" si="79"/>
        <v>4918.8999999999996</v>
      </c>
      <c r="O399" s="97">
        <f t="shared" si="80"/>
        <v>48.847070506454813</v>
      </c>
      <c r="P399" s="97">
        <f t="shared" si="81"/>
        <v>1.2408036036036034</v>
      </c>
      <c r="R399" s="92"/>
    </row>
    <row r="400" spans="1:20" ht="13.15" x14ac:dyDescent="0.25">
      <c r="A400" s="45" t="s">
        <v>22</v>
      </c>
      <c r="B400" s="45" t="s">
        <v>23</v>
      </c>
      <c r="C400" s="45" t="s">
        <v>7</v>
      </c>
      <c r="D400" s="45" t="s">
        <v>90</v>
      </c>
      <c r="E400" s="88">
        <v>40637</v>
      </c>
      <c r="F400" s="53">
        <v>40640</v>
      </c>
      <c r="G400" s="92">
        <v>3311</v>
      </c>
      <c r="H400" s="99">
        <v>1295</v>
      </c>
      <c r="I400" s="98" t="s">
        <v>95</v>
      </c>
      <c r="J400" s="102">
        <f t="shared" si="82"/>
        <v>0.24729999999999999</v>
      </c>
      <c r="K400" s="103">
        <f t="shared" si="83"/>
        <v>32.8798411122145</v>
      </c>
      <c r="L400" s="103">
        <f t="shared" si="84"/>
        <v>0.89486486486486483</v>
      </c>
      <c r="M400" s="96">
        <f t="shared" si="78"/>
        <v>320.25349999999997</v>
      </c>
      <c r="N400" s="96">
        <f t="shared" si="79"/>
        <v>3631.2534999999998</v>
      </c>
      <c r="O400" s="97">
        <f t="shared" si="80"/>
        <v>36.060114200595827</v>
      </c>
      <c r="P400" s="97">
        <f t="shared" si="81"/>
        <v>0.98141986486486477</v>
      </c>
      <c r="R400" s="92"/>
    </row>
    <row r="401" spans="1:18" ht="13.15" x14ac:dyDescent="0.25">
      <c r="A401" s="45" t="s">
        <v>22</v>
      </c>
      <c r="B401" s="45" t="s">
        <v>14</v>
      </c>
      <c r="C401" s="45" t="s">
        <v>24</v>
      </c>
      <c r="D401" s="45" t="s">
        <v>90</v>
      </c>
      <c r="E401" s="88">
        <v>40637</v>
      </c>
      <c r="F401" s="53">
        <v>40640</v>
      </c>
      <c r="G401" s="92">
        <v>2921</v>
      </c>
      <c r="H401" s="98">
        <v>615</v>
      </c>
      <c r="I401" s="98" t="s">
        <v>94</v>
      </c>
      <c r="J401" s="102">
        <f t="shared" si="82"/>
        <v>0.4</v>
      </c>
      <c r="K401" s="103">
        <f t="shared" si="83"/>
        <v>29.006951340615689</v>
      </c>
      <c r="L401" s="103">
        <f t="shared" si="84"/>
        <v>0.7894594594594595</v>
      </c>
      <c r="M401" s="96">
        <f t="shared" si="78"/>
        <v>246</v>
      </c>
      <c r="N401" s="96">
        <f t="shared" si="79"/>
        <v>3167</v>
      </c>
      <c r="O401" s="97">
        <f t="shared" si="80"/>
        <v>31.449851042701091</v>
      </c>
      <c r="P401" s="97">
        <f t="shared" si="81"/>
        <v>0.85594594594594597</v>
      </c>
      <c r="R401" s="92"/>
    </row>
    <row r="402" spans="1:18" ht="13.15" x14ac:dyDescent="0.25">
      <c r="A402" s="45" t="s">
        <v>22</v>
      </c>
      <c r="B402" s="45" t="s">
        <v>18</v>
      </c>
      <c r="C402" s="45" t="s">
        <v>15</v>
      </c>
      <c r="D402" s="45" t="s">
        <v>90</v>
      </c>
      <c r="E402" s="88">
        <v>40637</v>
      </c>
      <c r="F402" s="53">
        <v>40640</v>
      </c>
      <c r="G402" s="92">
        <v>3830</v>
      </c>
      <c r="H402" s="98">
        <v>872</v>
      </c>
      <c r="I402" s="98" t="s">
        <v>94</v>
      </c>
      <c r="J402" s="102">
        <f t="shared" si="82"/>
        <v>0.4</v>
      </c>
      <c r="K402" s="103">
        <f t="shared" si="83"/>
        <v>38.033763654419069</v>
      </c>
      <c r="L402" s="103">
        <f t="shared" si="84"/>
        <v>1.0351351351351352</v>
      </c>
      <c r="M402" s="96">
        <f t="shared" si="78"/>
        <v>348.8</v>
      </c>
      <c r="N402" s="96">
        <f t="shared" si="79"/>
        <v>4178.8</v>
      </c>
      <c r="O402" s="97">
        <f t="shared" si="80"/>
        <v>41.497517378351539</v>
      </c>
      <c r="P402" s="97">
        <f t="shared" si="81"/>
        <v>1.1294054054054055</v>
      </c>
      <c r="R402" s="92"/>
    </row>
    <row r="403" spans="1:18" ht="13.15" x14ac:dyDescent="0.25">
      <c r="A403" s="45" t="s">
        <v>22</v>
      </c>
      <c r="B403" s="45" t="s">
        <v>18</v>
      </c>
      <c r="C403" s="45" t="s">
        <v>24</v>
      </c>
      <c r="D403" s="45" t="s">
        <v>90</v>
      </c>
      <c r="E403" s="88">
        <v>40637</v>
      </c>
      <c r="F403" s="53">
        <v>40640</v>
      </c>
      <c r="G403" s="92">
        <v>2613</v>
      </c>
      <c r="H403" s="98">
        <v>417</v>
      </c>
      <c r="I403" s="98" t="s">
        <v>94</v>
      </c>
      <c r="J403" s="102">
        <f t="shared" si="82"/>
        <v>0.4</v>
      </c>
      <c r="K403" s="103">
        <f t="shared" si="83"/>
        <v>25.948361469712015</v>
      </c>
      <c r="L403" s="103">
        <f t="shared" si="84"/>
        <v>0.70621621621621622</v>
      </c>
      <c r="M403" s="96">
        <f t="shared" si="78"/>
        <v>166.8</v>
      </c>
      <c r="N403" s="96">
        <f t="shared" si="79"/>
        <v>2779.8</v>
      </c>
      <c r="O403" s="97">
        <f t="shared" si="80"/>
        <v>27.604766633565045</v>
      </c>
      <c r="P403" s="97">
        <f t="shared" si="81"/>
        <v>0.75129729729729733</v>
      </c>
      <c r="R403" s="92"/>
    </row>
    <row r="404" spans="1:18" ht="13.15" x14ac:dyDescent="0.25">
      <c r="A404" s="45" t="s">
        <v>22</v>
      </c>
      <c r="B404" s="45" t="s">
        <v>13</v>
      </c>
      <c r="C404" s="45" t="s">
        <v>7</v>
      </c>
      <c r="D404" s="45" t="s">
        <v>90</v>
      </c>
      <c r="E404" s="88">
        <v>40637</v>
      </c>
      <c r="F404" s="53">
        <v>40640</v>
      </c>
      <c r="G404" s="92">
        <v>3156</v>
      </c>
      <c r="H404" s="98">
        <v>1006</v>
      </c>
      <c r="I404" s="98" t="s">
        <v>92</v>
      </c>
      <c r="J404" s="102">
        <f t="shared" si="82"/>
        <v>0.3</v>
      </c>
      <c r="K404" s="103">
        <f t="shared" si="83"/>
        <v>31.340615690168818</v>
      </c>
      <c r="L404" s="103">
        <f t="shared" si="84"/>
        <v>0.85297297297297292</v>
      </c>
      <c r="M404" s="96">
        <f t="shared" si="78"/>
        <v>301.8</v>
      </c>
      <c r="N404" s="96">
        <f t="shared" si="79"/>
        <v>3457.8</v>
      </c>
      <c r="O404" s="97">
        <f t="shared" si="80"/>
        <v>34.337636544190666</v>
      </c>
      <c r="P404" s="97">
        <f t="shared" si="81"/>
        <v>0.93454054054054059</v>
      </c>
      <c r="R404" s="92"/>
    </row>
    <row r="405" spans="1:18" ht="13.15" x14ac:dyDescent="0.25">
      <c r="A405" s="45" t="s">
        <v>1</v>
      </c>
      <c r="B405" s="45" t="s">
        <v>25</v>
      </c>
      <c r="C405" s="45" t="s">
        <v>26</v>
      </c>
      <c r="D405" s="45" t="s">
        <v>91</v>
      </c>
      <c r="E405" s="88">
        <v>40637</v>
      </c>
      <c r="F405" s="53">
        <v>40640</v>
      </c>
      <c r="G405" s="92">
        <v>3239</v>
      </c>
      <c r="H405" s="98">
        <v>880</v>
      </c>
      <c r="I405" s="98" t="s">
        <v>93</v>
      </c>
      <c r="J405" s="102">
        <f t="shared" si="82"/>
        <v>0.28000000000000003</v>
      </c>
      <c r="K405" s="103">
        <f t="shared" si="83"/>
        <v>32.164846077457796</v>
      </c>
      <c r="L405" s="103">
        <f t="shared" si="84"/>
        <v>0.87540540540540546</v>
      </c>
      <c r="M405" s="96">
        <f t="shared" si="78"/>
        <v>246.40000000000003</v>
      </c>
      <c r="N405" s="96">
        <f t="shared" si="79"/>
        <v>3485.4</v>
      </c>
      <c r="O405" s="97">
        <f t="shared" si="80"/>
        <v>34.611717974180735</v>
      </c>
      <c r="P405" s="97">
        <f t="shared" si="81"/>
        <v>0.94200000000000006</v>
      </c>
      <c r="R405" s="92"/>
    </row>
    <row r="406" spans="1:18" ht="13.15" x14ac:dyDescent="0.25">
      <c r="A406" s="45" t="s">
        <v>1</v>
      </c>
      <c r="B406" s="45" t="s">
        <v>2</v>
      </c>
      <c r="C406" s="45" t="s">
        <v>9</v>
      </c>
      <c r="D406" s="45" t="s">
        <v>91</v>
      </c>
      <c r="E406" s="88">
        <v>40637</v>
      </c>
      <c r="F406" s="53">
        <v>40640</v>
      </c>
      <c r="G406" s="92">
        <v>3144</v>
      </c>
      <c r="H406" s="98">
        <v>685</v>
      </c>
      <c r="I406" s="98" t="s">
        <v>93</v>
      </c>
      <c r="J406" s="102">
        <f t="shared" si="82"/>
        <v>0.28000000000000003</v>
      </c>
      <c r="K406" s="103">
        <f t="shared" si="83"/>
        <v>31.221449851042699</v>
      </c>
      <c r="L406" s="103">
        <f t="shared" si="84"/>
        <v>0.84972972972972971</v>
      </c>
      <c r="M406" s="96">
        <f t="shared" si="78"/>
        <v>191.8</v>
      </c>
      <c r="N406" s="96">
        <f t="shared" si="79"/>
        <v>3335.8</v>
      </c>
      <c r="O406" s="97">
        <f t="shared" si="80"/>
        <v>33.126117179741811</v>
      </c>
      <c r="P406" s="97">
        <f t="shared" si="81"/>
        <v>0.90156756756756762</v>
      </c>
      <c r="R406" s="92"/>
    </row>
    <row r="407" spans="1:18" ht="13.15" x14ac:dyDescent="0.25">
      <c r="A407" s="45" t="s">
        <v>1</v>
      </c>
      <c r="B407" s="45" t="s">
        <v>27</v>
      </c>
      <c r="C407" s="45" t="s">
        <v>28</v>
      </c>
      <c r="D407" s="45" t="s">
        <v>91</v>
      </c>
      <c r="E407" s="88">
        <v>40637</v>
      </c>
      <c r="F407" s="53">
        <v>40640</v>
      </c>
      <c r="G407" s="92">
        <v>3497</v>
      </c>
      <c r="H407" s="98">
        <v>812</v>
      </c>
      <c r="I407" s="98" t="s">
        <v>94</v>
      </c>
      <c r="J407" s="102">
        <f t="shared" si="82"/>
        <v>0.4</v>
      </c>
      <c r="K407" s="103">
        <f t="shared" si="83"/>
        <v>34.726911618669313</v>
      </c>
      <c r="L407" s="103">
        <f t="shared" si="84"/>
        <v>0.94513513513513514</v>
      </c>
      <c r="M407" s="96">
        <f t="shared" si="78"/>
        <v>324.8</v>
      </c>
      <c r="N407" s="96">
        <f t="shared" si="79"/>
        <v>3821.8</v>
      </c>
      <c r="O407" s="97">
        <f t="shared" si="80"/>
        <v>37.952333664349553</v>
      </c>
      <c r="P407" s="97">
        <f t="shared" si="81"/>
        <v>1.032918918918919</v>
      </c>
      <c r="R407" s="92"/>
    </row>
    <row r="408" spans="1:18" ht="13.15" x14ac:dyDescent="0.25">
      <c r="A408" s="45" t="s">
        <v>1</v>
      </c>
      <c r="B408" s="45" t="s">
        <v>4</v>
      </c>
      <c r="C408" s="45" t="s">
        <v>26</v>
      </c>
      <c r="D408" s="45" t="s">
        <v>91</v>
      </c>
      <c r="E408" s="88">
        <v>40637</v>
      </c>
      <c r="F408" s="53">
        <v>40640</v>
      </c>
      <c r="G408" s="92">
        <v>4702</v>
      </c>
      <c r="H408" s="98">
        <v>1520</v>
      </c>
      <c r="I408" s="98" t="s">
        <v>93</v>
      </c>
      <c r="J408" s="102">
        <f t="shared" si="82"/>
        <v>0.28000000000000003</v>
      </c>
      <c r="K408" s="103">
        <f t="shared" si="83"/>
        <v>46.693147964250244</v>
      </c>
      <c r="L408" s="103">
        <f t="shared" si="84"/>
        <v>1.2708108108108107</v>
      </c>
      <c r="M408" s="96">
        <f t="shared" si="78"/>
        <v>425.6</v>
      </c>
      <c r="N408" s="96">
        <f t="shared" si="79"/>
        <v>5127.6000000000004</v>
      </c>
      <c r="O408" s="97">
        <f t="shared" si="80"/>
        <v>50.919563058589873</v>
      </c>
      <c r="P408" s="97">
        <f t="shared" si="81"/>
        <v>1.385837837837838</v>
      </c>
      <c r="R408" s="92"/>
    </row>
    <row r="409" spans="1:18" ht="13.15" x14ac:dyDescent="0.25">
      <c r="A409" s="45" t="s">
        <v>1</v>
      </c>
      <c r="B409" s="45" t="s">
        <v>4</v>
      </c>
      <c r="C409" s="45" t="s">
        <v>9</v>
      </c>
      <c r="D409" s="45" t="s">
        <v>91</v>
      </c>
      <c r="E409" s="88">
        <v>40637</v>
      </c>
      <c r="F409" s="53">
        <v>40640</v>
      </c>
      <c r="G409" s="92">
        <f>2856+2792</f>
        <v>5648</v>
      </c>
      <c r="H409" s="98">
        <v>1583</v>
      </c>
      <c r="I409" s="98" t="s">
        <v>93</v>
      </c>
      <c r="J409" s="102">
        <f t="shared" si="82"/>
        <v>0.28000000000000003</v>
      </c>
      <c r="K409" s="103">
        <f t="shared" si="83"/>
        <v>56.08738828202582</v>
      </c>
      <c r="L409" s="103">
        <f t="shared" si="84"/>
        <v>1.5264864864864864</v>
      </c>
      <c r="M409" s="96">
        <f t="shared" si="78"/>
        <v>443.24000000000007</v>
      </c>
      <c r="N409" s="96">
        <f t="shared" si="79"/>
        <v>6091.24</v>
      </c>
      <c r="O409" s="97">
        <f t="shared" si="80"/>
        <v>60.488977159880832</v>
      </c>
      <c r="P409" s="97">
        <f t="shared" si="81"/>
        <v>1.6462810810810811</v>
      </c>
      <c r="R409" s="92"/>
    </row>
    <row r="410" spans="1:18" ht="13.15" x14ac:dyDescent="0.25">
      <c r="A410" s="45" t="s">
        <v>1</v>
      </c>
      <c r="B410" s="45" t="s">
        <v>10</v>
      </c>
      <c r="C410" s="45" t="s">
        <v>26</v>
      </c>
      <c r="D410" s="45" t="s">
        <v>91</v>
      </c>
      <c r="E410" s="88">
        <v>40637</v>
      </c>
      <c r="F410" s="53">
        <v>40640</v>
      </c>
      <c r="G410" s="92">
        <v>4619</v>
      </c>
      <c r="H410" s="98">
        <v>1599</v>
      </c>
      <c r="I410" s="98" t="s">
        <v>92</v>
      </c>
      <c r="J410" s="102">
        <f t="shared" si="82"/>
        <v>0.3</v>
      </c>
      <c r="K410" s="103">
        <f t="shared" si="83"/>
        <v>45.868917576961273</v>
      </c>
      <c r="L410" s="103">
        <f t="shared" si="84"/>
        <v>1.2483783783783784</v>
      </c>
      <c r="M410" s="96">
        <f t="shared" si="78"/>
        <v>479.7</v>
      </c>
      <c r="N410" s="96">
        <f t="shared" si="79"/>
        <v>5098.7</v>
      </c>
      <c r="O410" s="97">
        <f t="shared" si="80"/>
        <v>50.632571996027799</v>
      </c>
      <c r="P410" s="97">
        <f t="shared" si="81"/>
        <v>1.378027027027027</v>
      </c>
      <c r="R410" s="92"/>
    </row>
    <row r="411" spans="1:18" ht="13.15" x14ac:dyDescent="0.25">
      <c r="A411" s="45" t="s">
        <v>134</v>
      </c>
      <c r="B411" s="45" t="s">
        <v>23</v>
      </c>
      <c r="C411" s="45" t="s">
        <v>26</v>
      </c>
      <c r="D411" s="45" t="s">
        <v>91</v>
      </c>
      <c r="E411" s="88">
        <v>40637</v>
      </c>
      <c r="F411" s="53">
        <v>40640</v>
      </c>
      <c r="G411" s="92">
        <v>4680</v>
      </c>
      <c r="H411" s="98">
        <v>1851</v>
      </c>
      <c r="I411" s="98" t="s">
        <v>93</v>
      </c>
      <c r="J411" s="102">
        <f t="shared" si="82"/>
        <v>0.28000000000000003</v>
      </c>
      <c r="K411" s="103">
        <f t="shared" si="83"/>
        <v>46.474677259185697</v>
      </c>
      <c r="L411" s="103">
        <f t="shared" si="84"/>
        <v>1.1805405405405405</v>
      </c>
      <c r="M411" s="96">
        <f t="shared" si="78"/>
        <v>518.28000000000009</v>
      </c>
      <c r="N411" s="96">
        <f t="shared" si="79"/>
        <v>5198.28</v>
      </c>
      <c r="O411" s="97">
        <f t="shared" si="80"/>
        <v>51.621449851042698</v>
      </c>
      <c r="P411" s="97">
        <f t="shared" si="81"/>
        <v>1.3112778378378378</v>
      </c>
      <c r="R411" s="92"/>
    </row>
    <row r="412" spans="1:18" ht="13.15" x14ac:dyDescent="0.25">
      <c r="A412" s="45" t="s">
        <v>134</v>
      </c>
      <c r="B412" s="45" t="s">
        <v>8</v>
      </c>
      <c r="C412" s="45" t="s">
        <v>29</v>
      </c>
      <c r="D412" s="45" t="s">
        <v>91</v>
      </c>
      <c r="E412" s="88">
        <v>40637</v>
      </c>
      <c r="F412" s="53">
        <v>40640</v>
      </c>
      <c r="G412" s="92">
        <v>4640</v>
      </c>
      <c r="H412" s="98">
        <v>1695</v>
      </c>
      <c r="I412" s="98" t="s">
        <v>93</v>
      </c>
      <c r="J412" s="102">
        <f t="shared" si="82"/>
        <v>0.28000000000000003</v>
      </c>
      <c r="K412" s="103">
        <f t="shared" si="83"/>
        <v>46.077457795431975</v>
      </c>
      <c r="L412" s="103">
        <f t="shared" si="84"/>
        <v>1.1704504504504505</v>
      </c>
      <c r="M412" s="96">
        <f t="shared" si="78"/>
        <v>474.6</v>
      </c>
      <c r="N412" s="96">
        <f t="shared" si="79"/>
        <v>5114.6000000000004</v>
      </c>
      <c r="O412" s="97">
        <f t="shared" si="80"/>
        <v>50.790466732869916</v>
      </c>
      <c r="P412" s="97">
        <f t="shared" si="81"/>
        <v>1.2901693693693694</v>
      </c>
      <c r="R412" s="92"/>
    </row>
    <row r="413" spans="1:18" ht="13.15" x14ac:dyDescent="0.25">
      <c r="A413" s="45" t="s">
        <v>134</v>
      </c>
      <c r="B413" s="45" t="s">
        <v>13</v>
      </c>
      <c r="C413" s="45" t="s">
        <v>7</v>
      </c>
      <c r="D413" s="45" t="s">
        <v>91</v>
      </c>
      <c r="E413" s="88">
        <v>40637</v>
      </c>
      <c r="F413" s="53">
        <v>40640</v>
      </c>
      <c r="G413" s="92">
        <v>2677</v>
      </c>
      <c r="H413" s="98">
        <v>1006</v>
      </c>
      <c r="I413" s="98" t="s">
        <v>92</v>
      </c>
      <c r="J413" s="102">
        <f t="shared" si="82"/>
        <v>0.3</v>
      </c>
      <c r="K413" s="103">
        <f t="shared" si="83"/>
        <v>26.583912611717974</v>
      </c>
      <c r="L413" s="103">
        <f t="shared" si="84"/>
        <v>0.67527927927927933</v>
      </c>
      <c r="M413" s="96">
        <f t="shared" si="78"/>
        <v>301.8</v>
      </c>
      <c r="N413" s="96">
        <f t="shared" si="79"/>
        <v>2978.8</v>
      </c>
      <c r="O413" s="97">
        <f t="shared" si="80"/>
        <v>29.580933465739822</v>
      </c>
      <c r="P413" s="97">
        <f t="shared" si="81"/>
        <v>0.75140900900900909</v>
      </c>
      <c r="R413" s="92"/>
    </row>
    <row r="414" spans="1:18" ht="13.15" x14ac:dyDescent="0.25">
      <c r="A414" s="45" t="s">
        <v>134</v>
      </c>
      <c r="B414" s="45" t="s">
        <v>30</v>
      </c>
      <c r="C414" s="45" t="s">
        <v>9</v>
      </c>
      <c r="D414" s="45" t="s">
        <v>91</v>
      </c>
      <c r="E414" s="88">
        <v>40637</v>
      </c>
      <c r="F414" s="53">
        <v>40640</v>
      </c>
      <c r="G414" s="92">
        <v>3190</v>
      </c>
      <c r="H414" s="98">
        <v>988</v>
      </c>
      <c r="I414" s="98" t="s">
        <v>93</v>
      </c>
      <c r="J414" s="102">
        <f t="shared" si="82"/>
        <v>0.28000000000000003</v>
      </c>
      <c r="K414" s="103">
        <f t="shared" si="83"/>
        <v>31.678252234359483</v>
      </c>
      <c r="L414" s="103">
        <f t="shared" si="84"/>
        <v>0.80468468468468468</v>
      </c>
      <c r="M414" s="96">
        <f t="shared" si="78"/>
        <v>276.64000000000004</v>
      </c>
      <c r="N414" s="96">
        <f t="shared" si="79"/>
        <v>3466.64</v>
      </c>
      <c r="O414" s="97">
        <f t="shared" si="80"/>
        <v>34.425422045680236</v>
      </c>
      <c r="P414" s="97">
        <f t="shared" si="81"/>
        <v>0.87446774774774771</v>
      </c>
      <c r="R414" s="92"/>
    </row>
    <row r="415" spans="1:18" ht="13.15" x14ac:dyDescent="0.25">
      <c r="A415" s="45" t="s">
        <v>134</v>
      </c>
      <c r="B415" s="45" t="s">
        <v>16</v>
      </c>
      <c r="C415" s="45" t="s">
        <v>11</v>
      </c>
      <c r="D415" s="45" t="s">
        <v>91</v>
      </c>
      <c r="E415" s="88">
        <v>40637</v>
      </c>
      <c r="F415" s="53">
        <v>40640</v>
      </c>
      <c r="G415" s="92">
        <v>3330</v>
      </c>
      <c r="H415" s="99">
        <v>787</v>
      </c>
      <c r="I415" s="98" t="s">
        <v>92</v>
      </c>
      <c r="J415" s="102">
        <f t="shared" si="82"/>
        <v>0.3</v>
      </c>
      <c r="K415" s="103">
        <f t="shared" si="83"/>
        <v>33.068520357497519</v>
      </c>
      <c r="L415" s="103">
        <f t="shared" si="84"/>
        <v>0.84</v>
      </c>
      <c r="M415" s="96">
        <f t="shared" si="78"/>
        <v>236.1</v>
      </c>
      <c r="N415" s="96">
        <f t="shared" si="79"/>
        <v>3566.1</v>
      </c>
      <c r="O415" s="97">
        <f t="shared" si="80"/>
        <v>35.413108242303871</v>
      </c>
      <c r="P415" s="97">
        <f t="shared" si="81"/>
        <v>0.89955675675675673</v>
      </c>
      <c r="R415" s="92"/>
    </row>
    <row r="416" spans="1:18" ht="13.15" x14ac:dyDescent="0.25">
      <c r="A416" s="45" t="s">
        <v>134</v>
      </c>
      <c r="B416" s="45" t="s">
        <v>23</v>
      </c>
      <c r="C416" s="45" t="s">
        <v>29</v>
      </c>
      <c r="D416" s="45" t="s">
        <v>91</v>
      </c>
      <c r="E416" s="88">
        <v>40637</v>
      </c>
      <c r="F416" s="53">
        <v>40640</v>
      </c>
      <c r="G416" s="92">
        <v>4680</v>
      </c>
      <c r="H416" s="98">
        <v>1836</v>
      </c>
      <c r="I416" s="98" t="s">
        <v>93</v>
      </c>
      <c r="J416" s="102">
        <f t="shared" si="82"/>
        <v>0.28000000000000003</v>
      </c>
      <c r="K416" s="103">
        <f t="shared" si="83"/>
        <v>46.474677259185697</v>
      </c>
      <c r="L416" s="103">
        <f t="shared" si="84"/>
        <v>1.1805405405405405</v>
      </c>
      <c r="M416" s="96">
        <f t="shared" si="78"/>
        <v>514.08000000000004</v>
      </c>
      <c r="N416" s="96">
        <f t="shared" si="79"/>
        <v>5194.08</v>
      </c>
      <c r="O416" s="97">
        <f t="shared" si="80"/>
        <v>51.579741807348555</v>
      </c>
      <c r="P416" s="97">
        <f t="shared" si="81"/>
        <v>1.3102183783783783</v>
      </c>
      <c r="R416" s="92"/>
    </row>
    <row r="417" spans="1:18" ht="13.15" x14ac:dyDescent="0.25">
      <c r="A417" s="45" t="s">
        <v>134</v>
      </c>
      <c r="B417" s="45" t="s">
        <v>31</v>
      </c>
      <c r="C417" s="45" t="s">
        <v>32</v>
      </c>
      <c r="D417" s="45" t="s">
        <v>91</v>
      </c>
      <c r="E417" s="88">
        <v>40637</v>
      </c>
      <c r="F417" s="53">
        <v>40640</v>
      </c>
      <c r="G417" s="92">
        <v>4080</v>
      </c>
      <c r="H417" s="98">
        <v>1899</v>
      </c>
      <c r="I417" s="98" t="s">
        <v>93</v>
      </c>
      <c r="J417" s="102">
        <f t="shared" si="82"/>
        <v>0.28000000000000003</v>
      </c>
      <c r="K417" s="103">
        <f t="shared" si="83"/>
        <v>40.51638530287984</v>
      </c>
      <c r="L417" s="103">
        <f t="shared" si="84"/>
        <v>1.0291891891891891</v>
      </c>
      <c r="M417" s="96">
        <f t="shared" si="78"/>
        <v>531.72</v>
      </c>
      <c r="N417" s="96">
        <f t="shared" si="79"/>
        <v>4611.72</v>
      </c>
      <c r="O417" s="97">
        <f t="shared" si="80"/>
        <v>45.796623634558095</v>
      </c>
      <c r="P417" s="97">
        <f t="shared" si="81"/>
        <v>1.1633167567567568</v>
      </c>
      <c r="R417" s="92"/>
    </row>
    <row r="418" spans="1:18" ht="13.15" x14ac:dyDescent="0.25">
      <c r="A418" s="45" t="s">
        <v>22</v>
      </c>
      <c r="B418" s="45" t="s">
        <v>8</v>
      </c>
      <c r="C418" s="45" t="s">
        <v>29</v>
      </c>
      <c r="D418" s="45" t="s">
        <v>91</v>
      </c>
      <c r="E418" s="88">
        <v>40637</v>
      </c>
      <c r="F418" s="53">
        <v>40640</v>
      </c>
      <c r="G418" s="92">
        <v>4840</v>
      </c>
      <c r="H418" s="99">
        <v>1695</v>
      </c>
      <c r="I418" s="98" t="s">
        <v>93</v>
      </c>
      <c r="J418" s="102">
        <f t="shared" si="82"/>
        <v>0.28000000000000003</v>
      </c>
      <c r="K418" s="103">
        <f t="shared" si="83"/>
        <v>48.063555114200597</v>
      </c>
      <c r="L418" s="103">
        <f t="shared" si="84"/>
        <v>1.3081081081081081</v>
      </c>
      <c r="M418" s="96">
        <f t="shared" si="78"/>
        <v>474.6</v>
      </c>
      <c r="N418" s="96">
        <f t="shared" si="79"/>
        <v>5314.6</v>
      </c>
      <c r="O418" s="97">
        <f t="shared" si="80"/>
        <v>52.77656405163853</v>
      </c>
      <c r="P418" s="97">
        <f t="shared" si="81"/>
        <v>1.4363783783783786</v>
      </c>
      <c r="R418" s="92"/>
    </row>
    <row r="419" spans="1:18" ht="13.15" x14ac:dyDescent="0.25">
      <c r="A419" s="45" t="s">
        <v>22</v>
      </c>
      <c r="B419" s="45" t="s">
        <v>23</v>
      </c>
      <c r="C419" s="45" t="s">
        <v>26</v>
      </c>
      <c r="D419" s="45" t="s">
        <v>91</v>
      </c>
      <c r="E419" s="88">
        <v>40637</v>
      </c>
      <c r="F419" s="53">
        <v>40640</v>
      </c>
      <c r="G419" s="92">
        <v>4830</v>
      </c>
      <c r="H419" s="98">
        <v>1851</v>
      </c>
      <c r="I419" s="98" t="s">
        <v>93</v>
      </c>
      <c r="J419" s="102">
        <f t="shared" si="82"/>
        <v>0.28000000000000003</v>
      </c>
      <c r="K419" s="103">
        <f t="shared" si="83"/>
        <v>47.964250248262161</v>
      </c>
      <c r="L419" s="103">
        <f t="shared" si="84"/>
        <v>1.3054054054054054</v>
      </c>
      <c r="M419" s="96">
        <f t="shared" si="78"/>
        <v>518.28000000000009</v>
      </c>
      <c r="N419" s="96">
        <f t="shared" si="79"/>
        <v>5348.28</v>
      </c>
      <c r="O419" s="97">
        <f t="shared" si="80"/>
        <v>53.111022840119162</v>
      </c>
      <c r="P419" s="97">
        <f t="shared" si="81"/>
        <v>1.445481081081081</v>
      </c>
      <c r="R419" s="92"/>
    </row>
    <row r="420" spans="1:18" ht="13.15" x14ac:dyDescent="0.25">
      <c r="A420" s="45" t="s">
        <v>22</v>
      </c>
      <c r="B420" s="45" t="s">
        <v>33</v>
      </c>
      <c r="C420" s="45" t="s">
        <v>29</v>
      </c>
      <c r="D420" s="45" t="s">
        <v>91</v>
      </c>
      <c r="E420" s="88">
        <v>40637</v>
      </c>
      <c r="F420" s="53">
        <v>40640</v>
      </c>
      <c r="G420" s="92">
        <v>4730</v>
      </c>
      <c r="H420" s="98">
        <v>1507</v>
      </c>
      <c r="I420" s="98" t="s">
        <v>93</v>
      </c>
      <c r="J420" s="102">
        <f t="shared" si="82"/>
        <v>0.28000000000000003</v>
      </c>
      <c r="K420" s="103">
        <f t="shared" si="83"/>
        <v>46.971201588877854</v>
      </c>
      <c r="L420" s="103">
        <f t="shared" si="84"/>
        <v>1.2783783783783784</v>
      </c>
      <c r="M420" s="96">
        <f t="shared" si="78"/>
        <v>421.96000000000004</v>
      </c>
      <c r="N420" s="96">
        <f t="shared" si="79"/>
        <v>5151.96</v>
      </c>
      <c r="O420" s="97">
        <f t="shared" si="80"/>
        <v>51.161469712015887</v>
      </c>
      <c r="P420" s="97">
        <f t="shared" si="81"/>
        <v>1.3924216216216216</v>
      </c>
      <c r="R420" s="92"/>
    </row>
    <row r="421" spans="1:18" ht="13.15" x14ac:dyDescent="0.25">
      <c r="A421" s="45" t="s">
        <v>22</v>
      </c>
      <c r="B421" s="45" t="s">
        <v>31</v>
      </c>
      <c r="C421" s="45" t="s">
        <v>7</v>
      </c>
      <c r="D421" s="45" t="s">
        <v>91</v>
      </c>
      <c r="E421" s="88">
        <v>40637</v>
      </c>
      <c r="F421" s="53">
        <v>40640</v>
      </c>
      <c r="G421" s="92">
        <v>3510</v>
      </c>
      <c r="H421" s="98">
        <v>1160</v>
      </c>
      <c r="I421" s="98" t="s">
        <v>92</v>
      </c>
      <c r="J421" s="102">
        <f t="shared" si="82"/>
        <v>0.3</v>
      </c>
      <c r="K421" s="103">
        <f t="shared" si="83"/>
        <v>34.856007944389276</v>
      </c>
      <c r="L421" s="103">
        <f t="shared" si="84"/>
        <v>0.94864864864864862</v>
      </c>
      <c r="M421" s="96">
        <f>H421*J421</f>
        <v>348</v>
      </c>
      <c r="N421" s="96">
        <f t="shared" si="79"/>
        <v>3858</v>
      </c>
      <c r="O421" s="97">
        <f t="shared" si="80"/>
        <v>38.311817279046672</v>
      </c>
      <c r="P421" s="97">
        <f t="shared" si="81"/>
        <v>1.0427027027027027</v>
      </c>
      <c r="R421" s="92"/>
    </row>
    <row r="422" spans="1:18" ht="13.15" x14ac:dyDescent="0.25">
      <c r="A422" s="45" t="s">
        <v>22</v>
      </c>
      <c r="B422" s="45" t="s">
        <v>14</v>
      </c>
      <c r="C422" s="45" t="s">
        <v>24</v>
      </c>
      <c r="D422" s="45" t="s">
        <v>91</v>
      </c>
      <c r="E422" s="88">
        <v>40637</v>
      </c>
      <c r="F422" s="53">
        <v>40640</v>
      </c>
      <c r="G422" s="92">
        <v>2536</v>
      </c>
      <c r="H422" s="98">
        <v>615</v>
      </c>
      <c r="I422" s="98" t="s">
        <v>94</v>
      </c>
      <c r="J422" s="102">
        <f t="shared" si="82"/>
        <v>0.4</v>
      </c>
      <c r="K422" s="103">
        <f t="shared" si="83"/>
        <v>25.183714001986097</v>
      </c>
      <c r="L422" s="103">
        <f t="shared" si="84"/>
        <v>0.6854054054054054</v>
      </c>
      <c r="M422" s="96">
        <f t="shared" si="78"/>
        <v>246</v>
      </c>
      <c r="N422" s="96">
        <f t="shared" si="79"/>
        <v>2782</v>
      </c>
      <c r="O422" s="97">
        <f t="shared" si="80"/>
        <v>27.626613704071499</v>
      </c>
      <c r="P422" s="97">
        <f t="shared" si="81"/>
        <v>0.75189189189189187</v>
      </c>
      <c r="R422" s="92"/>
    </row>
    <row r="423" spans="1:18" ht="13.15" x14ac:dyDescent="0.25">
      <c r="A423" s="80" t="s">
        <v>22</v>
      </c>
      <c r="B423" s="80" t="s">
        <v>34</v>
      </c>
      <c r="C423" s="80" t="s">
        <v>26</v>
      </c>
      <c r="D423" s="80" t="s">
        <v>91</v>
      </c>
      <c r="E423" s="90">
        <v>40637</v>
      </c>
      <c r="F423" s="84">
        <v>40640</v>
      </c>
      <c r="G423" s="105">
        <v>4520</v>
      </c>
      <c r="H423" s="106">
        <v>1637</v>
      </c>
      <c r="I423" s="106" t="s">
        <v>92</v>
      </c>
      <c r="J423" s="113">
        <f t="shared" si="82"/>
        <v>0.3</v>
      </c>
      <c r="K423" s="114">
        <f>G423/100.7</f>
        <v>44.885799404170804</v>
      </c>
      <c r="L423" s="114">
        <f t="shared" si="84"/>
        <v>1.2216216216216216</v>
      </c>
      <c r="M423" s="115">
        <f t="shared" si="78"/>
        <v>491.09999999999997</v>
      </c>
      <c r="N423" s="115">
        <f>G423+M423</f>
        <v>5011.1000000000004</v>
      </c>
      <c r="O423" s="116">
        <f>N423/100.7</f>
        <v>49.762661370407152</v>
      </c>
      <c r="P423" s="116">
        <f>IF(A423="corn",N423/(111*2000/56),N423/(111*2000/60))</f>
        <v>1.3543513513513514</v>
      </c>
      <c r="R423" s="92"/>
    </row>
    <row r="424" spans="1:18" ht="14.45" x14ac:dyDescent="0.3">
      <c r="A424" s="45" t="s">
        <v>1</v>
      </c>
      <c r="B424" s="45" t="s">
        <v>2</v>
      </c>
      <c r="C424" s="45" t="s">
        <v>3</v>
      </c>
      <c r="D424" s="45" t="s">
        <v>90</v>
      </c>
      <c r="E424" s="124">
        <v>40665</v>
      </c>
      <c r="F424" s="135">
        <v>40668</v>
      </c>
      <c r="G424" s="133">
        <v>2883</v>
      </c>
      <c r="H424">
        <v>506</v>
      </c>
      <c r="I424" t="s">
        <v>92</v>
      </c>
      <c r="J424" s="127">
        <f>IF(I424="BNSF",0.36,IF(I424="CN",0.3105,IF(I424="CSX",0.48,0.37)))</f>
        <v>0.37</v>
      </c>
      <c r="K424" s="129">
        <f t="shared" ref="K424:K460" si="85">G424/100.7</f>
        <v>28.629592850049651</v>
      </c>
      <c r="L424" s="129">
        <f t="shared" si="84"/>
        <v>0.77918918918918922</v>
      </c>
      <c r="M424" s="130">
        <f>H424*J424</f>
        <v>187.22</v>
      </c>
      <c r="N424" s="130">
        <f>G424+M424</f>
        <v>3070.22</v>
      </c>
      <c r="O424" s="131">
        <f>N424/100.7</f>
        <v>30.488778550148954</v>
      </c>
      <c r="P424" s="131">
        <f t="shared" ref="P424:P461" si="86">IF(A424="corn",N424/(111*2000/56),N424/(111*2000/60))</f>
        <v>0.82978918918918909</v>
      </c>
      <c r="R424" s="92"/>
    </row>
    <row r="425" spans="1:18" ht="14.45" x14ac:dyDescent="0.3">
      <c r="A425" s="45" t="s">
        <v>1</v>
      </c>
      <c r="B425" s="45" t="s">
        <v>4</v>
      </c>
      <c r="C425" s="45" t="s">
        <v>5</v>
      </c>
      <c r="D425" s="45" t="s">
        <v>90</v>
      </c>
      <c r="E425" s="124">
        <v>40665</v>
      </c>
      <c r="F425" s="136">
        <v>40668</v>
      </c>
      <c r="G425" s="92">
        <f>-839+3661</f>
        <v>2822</v>
      </c>
      <c r="H425">
        <v>298</v>
      </c>
      <c r="I425" t="s">
        <v>93</v>
      </c>
      <c r="J425" s="128">
        <f t="shared" ref="J425:J461" si="87">IF(I425="BNSF",0.36,IF(I425="CN",0.3105,IF(I425="CSX",0.48,0.37)))</f>
        <v>0.36</v>
      </c>
      <c r="K425" s="132">
        <f t="shared" si="85"/>
        <v>28.023833167825224</v>
      </c>
      <c r="L425" s="132">
        <f t="shared" si="84"/>
        <v>0.76270270270270268</v>
      </c>
      <c r="M425" s="133">
        <f t="shared" si="78"/>
        <v>107.28</v>
      </c>
      <c r="N425" s="133">
        <f t="shared" ref="N425:N461" si="88">G425+M425</f>
        <v>2929.28</v>
      </c>
      <c r="O425" s="134">
        <f t="shared" ref="O425:O461" si="89">N425/100.7</f>
        <v>29.089175769612712</v>
      </c>
      <c r="P425" s="134">
        <f t="shared" si="86"/>
        <v>0.79169729729729732</v>
      </c>
      <c r="R425" s="92"/>
    </row>
    <row r="426" spans="1:18" ht="14.45" x14ac:dyDescent="0.3">
      <c r="A426" s="45" t="s">
        <v>1</v>
      </c>
      <c r="B426" s="45" t="s">
        <v>2</v>
      </c>
      <c r="C426" s="45" t="s">
        <v>6</v>
      </c>
      <c r="D426" s="45" t="s">
        <v>90</v>
      </c>
      <c r="E426" s="124">
        <v>40665</v>
      </c>
      <c r="F426" s="136">
        <v>40668</v>
      </c>
      <c r="G426" s="92">
        <v>5710</v>
      </c>
      <c r="H426">
        <v>1530</v>
      </c>
      <c r="I426" t="s">
        <v>93</v>
      </c>
      <c r="J426" s="128">
        <f t="shared" si="87"/>
        <v>0.36</v>
      </c>
      <c r="K426" s="132">
        <f t="shared" si="85"/>
        <v>56.703078450844089</v>
      </c>
      <c r="L426" s="132">
        <f t="shared" si="84"/>
        <v>1.5432432432432432</v>
      </c>
      <c r="M426" s="133">
        <f t="shared" si="78"/>
        <v>550.79999999999995</v>
      </c>
      <c r="N426" s="133">
        <f t="shared" si="88"/>
        <v>6260.8</v>
      </c>
      <c r="O426" s="134">
        <f t="shared" si="89"/>
        <v>62.17279046673287</v>
      </c>
      <c r="P426" s="134">
        <f t="shared" si="86"/>
        <v>1.6921081081081082</v>
      </c>
      <c r="R426" s="92"/>
    </row>
    <row r="427" spans="1:18" ht="14.45" x14ac:dyDescent="0.3">
      <c r="A427" s="45" t="s">
        <v>1</v>
      </c>
      <c r="B427" s="45" t="s">
        <v>2</v>
      </c>
      <c r="C427" s="45" t="s">
        <v>7</v>
      </c>
      <c r="D427" s="45" t="s">
        <v>90</v>
      </c>
      <c r="E427" s="124">
        <v>40665</v>
      </c>
      <c r="F427" s="136">
        <v>40668</v>
      </c>
      <c r="G427" s="92">
        <v>3384</v>
      </c>
      <c r="H427">
        <v>890</v>
      </c>
      <c r="I427" t="s">
        <v>92</v>
      </c>
      <c r="J427" s="128">
        <f t="shared" si="87"/>
        <v>0.37</v>
      </c>
      <c r="K427" s="132">
        <f t="shared" si="85"/>
        <v>33.604766633565042</v>
      </c>
      <c r="L427" s="132">
        <f t="shared" si="84"/>
        <v>0.91459459459459458</v>
      </c>
      <c r="M427" s="133">
        <f t="shared" si="78"/>
        <v>329.3</v>
      </c>
      <c r="N427" s="133">
        <f t="shared" si="88"/>
        <v>3713.3</v>
      </c>
      <c r="O427" s="134">
        <f t="shared" si="89"/>
        <v>36.874875868917577</v>
      </c>
      <c r="P427" s="134">
        <f t="shared" si="86"/>
        <v>1.0035945945945945</v>
      </c>
      <c r="R427" s="92"/>
    </row>
    <row r="428" spans="1:18" ht="14.45" x14ac:dyDescent="0.3">
      <c r="A428" s="45" t="s">
        <v>1</v>
      </c>
      <c r="B428" s="45" t="s">
        <v>8</v>
      </c>
      <c r="C428" s="45" t="s">
        <v>9</v>
      </c>
      <c r="D428" s="45" t="s">
        <v>90</v>
      </c>
      <c r="E428" s="124">
        <v>40665</v>
      </c>
      <c r="F428" s="136">
        <v>40668</v>
      </c>
      <c r="G428" s="92">
        <f>109+5301</f>
        <v>5410</v>
      </c>
      <c r="H428">
        <v>1256</v>
      </c>
      <c r="I428" t="s">
        <v>93</v>
      </c>
      <c r="J428" s="128">
        <f t="shared" si="87"/>
        <v>0.36</v>
      </c>
      <c r="K428" s="132">
        <f t="shared" si="85"/>
        <v>53.72393247269116</v>
      </c>
      <c r="L428" s="132">
        <f t="shared" si="84"/>
        <v>1.4621621621621621</v>
      </c>
      <c r="M428" s="133">
        <f t="shared" si="78"/>
        <v>452.15999999999997</v>
      </c>
      <c r="N428" s="133">
        <f t="shared" si="88"/>
        <v>5862.16</v>
      </c>
      <c r="O428" s="134">
        <f t="shared" si="89"/>
        <v>58.214101290963256</v>
      </c>
      <c r="P428" s="134">
        <f t="shared" si="86"/>
        <v>1.5843675675675675</v>
      </c>
      <c r="R428" s="92"/>
    </row>
    <row r="429" spans="1:18" ht="14.45" x14ac:dyDescent="0.3">
      <c r="A429" s="45" t="s">
        <v>1</v>
      </c>
      <c r="B429" s="45" t="s">
        <v>10</v>
      </c>
      <c r="C429" s="45" t="s">
        <v>9</v>
      </c>
      <c r="D429" s="45" t="s">
        <v>90</v>
      </c>
      <c r="E429" s="124">
        <v>40665</v>
      </c>
      <c r="F429" s="136">
        <v>40668</v>
      </c>
      <c r="G429" s="92">
        <v>3651</v>
      </c>
      <c r="H429">
        <v>975</v>
      </c>
      <c r="I429" t="s">
        <v>92</v>
      </c>
      <c r="J429" s="128">
        <f t="shared" si="87"/>
        <v>0.37</v>
      </c>
      <c r="K429" s="132">
        <f t="shared" si="85"/>
        <v>36.25620655412115</v>
      </c>
      <c r="L429" s="132">
        <f t="shared" si="84"/>
        <v>0.98675675675675678</v>
      </c>
      <c r="M429" s="133">
        <f t="shared" si="78"/>
        <v>360.75</v>
      </c>
      <c r="N429" s="133">
        <f t="shared" si="88"/>
        <v>4011.75</v>
      </c>
      <c r="O429" s="134">
        <f t="shared" si="89"/>
        <v>39.838629592850047</v>
      </c>
      <c r="P429" s="134">
        <f t="shared" si="86"/>
        <v>1.0842567567567567</v>
      </c>
      <c r="R429" s="92"/>
    </row>
    <row r="430" spans="1:18" ht="14.45" x14ac:dyDescent="0.3">
      <c r="A430" s="45" t="s">
        <v>1</v>
      </c>
      <c r="B430" s="45" t="s">
        <v>11</v>
      </c>
      <c r="C430" s="45" t="s">
        <v>6</v>
      </c>
      <c r="D430" s="45" t="s">
        <v>90</v>
      </c>
      <c r="E430" s="124">
        <v>40665</v>
      </c>
      <c r="F430" s="136">
        <v>40668</v>
      </c>
      <c r="G430" s="92">
        <v>3850</v>
      </c>
      <c r="H430">
        <v>1357</v>
      </c>
      <c r="I430" t="s">
        <v>92</v>
      </c>
      <c r="J430" s="128">
        <f t="shared" si="87"/>
        <v>0.37</v>
      </c>
      <c r="K430" s="132">
        <f t="shared" si="85"/>
        <v>38.232373386295926</v>
      </c>
      <c r="L430" s="132">
        <f t="shared" si="84"/>
        <v>1.0405405405405406</v>
      </c>
      <c r="M430" s="133">
        <f t="shared" si="78"/>
        <v>502.09</v>
      </c>
      <c r="N430" s="133">
        <f t="shared" si="88"/>
        <v>4352.09</v>
      </c>
      <c r="O430" s="134">
        <f t="shared" si="89"/>
        <v>43.218371400198613</v>
      </c>
      <c r="P430" s="134">
        <f t="shared" si="86"/>
        <v>1.1762405405405405</v>
      </c>
      <c r="R430" s="92"/>
    </row>
    <row r="431" spans="1:18" ht="14.45" x14ac:dyDescent="0.3">
      <c r="A431" s="45" t="s">
        <v>134</v>
      </c>
      <c r="B431" s="45" t="s">
        <v>13</v>
      </c>
      <c r="C431" s="45" t="s">
        <v>7</v>
      </c>
      <c r="D431" s="45" t="s">
        <v>90</v>
      </c>
      <c r="E431" s="124">
        <v>40665</v>
      </c>
      <c r="F431" s="136">
        <v>40668</v>
      </c>
      <c r="G431" s="92">
        <v>2812</v>
      </c>
      <c r="H431">
        <v>1006</v>
      </c>
      <c r="I431" t="s">
        <v>92</v>
      </c>
      <c r="J431" s="128">
        <f t="shared" si="87"/>
        <v>0.37</v>
      </c>
      <c r="K431" s="132">
        <f t="shared" si="85"/>
        <v>27.924528301886792</v>
      </c>
      <c r="L431" s="132">
        <f t="shared" si="84"/>
        <v>0.70933333333333337</v>
      </c>
      <c r="M431" s="133">
        <f t="shared" si="78"/>
        <v>372.21999999999997</v>
      </c>
      <c r="N431" s="133">
        <f t="shared" si="88"/>
        <v>3184.22</v>
      </c>
      <c r="O431" s="134">
        <f t="shared" si="89"/>
        <v>31.620854021847066</v>
      </c>
      <c r="P431" s="134">
        <f t="shared" si="86"/>
        <v>0.80322666666666664</v>
      </c>
      <c r="R431" s="92"/>
    </row>
    <row r="432" spans="1:18" ht="14.45" x14ac:dyDescent="0.3">
      <c r="A432" s="45" t="s">
        <v>134</v>
      </c>
      <c r="B432" s="45" t="s">
        <v>14</v>
      </c>
      <c r="C432" s="45" t="s">
        <v>15</v>
      </c>
      <c r="D432" s="45" t="s">
        <v>90</v>
      </c>
      <c r="E432" s="124">
        <v>40665</v>
      </c>
      <c r="F432" s="136">
        <v>40668</v>
      </c>
      <c r="G432" s="92">
        <v>3760</v>
      </c>
      <c r="H432">
        <v>866</v>
      </c>
      <c r="I432" t="s">
        <v>94</v>
      </c>
      <c r="J432" s="128">
        <f t="shared" si="87"/>
        <v>0.48</v>
      </c>
      <c r="K432" s="132">
        <f t="shared" si="85"/>
        <v>37.338629592850047</v>
      </c>
      <c r="L432" s="132">
        <f t="shared" si="84"/>
        <v>0.94846846846846844</v>
      </c>
      <c r="M432" s="133">
        <f t="shared" si="78"/>
        <v>415.68</v>
      </c>
      <c r="N432" s="133">
        <f t="shared" si="88"/>
        <v>4175.68</v>
      </c>
      <c r="O432" s="134">
        <f t="shared" si="89"/>
        <v>41.466534260178747</v>
      </c>
      <c r="P432" s="134">
        <f t="shared" si="86"/>
        <v>1.0533246846846849</v>
      </c>
      <c r="R432" s="92"/>
    </row>
    <row r="433" spans="1:18" ht="14.45" x14ac:dyDescent="0.3">
      <c r="A433" s="45" t="s">
        <v>134</v>
      </c>
      <c r="B433" s="45" t="s">
        <v>16</v>
      </c>
      <c r="C433" s="45" t="s">
        <v>17</v>
      </c>
      <c r="D433" s="45" t="s">
        <v>90</v>
      </c>
      <c r="E433" s="124">
        <v>40665</v>
      </c>
      <c r="F433" s="136">
        <v>40668</v>
      </c>
      <c r="G433" s="92">
        <v>1843</v>
      </c>
      <c r="H433">
        <v>213</v>
      </c>
      <c r="I433" t="s">
        <v>92</v>
      </c>
      <c r="J433" s="128">
        <f t="shared" si="87"/>
        <v>0.37</v>
      </c>
      <c r="K433" s="132">
        <f t="shared" si="85"/>
        <v>18.30188679245283</v>
      </c>
      <c r="L433" s="132">
        <f t="shared" si="84"/>
        <v>0.46490090090090092</v>
      </c>
      <c r="M433" s="133">
        <f t="shared" si="78"/>
        <v>78.81</v>
      </c>
      <c r="N433" s="133">
        <f t="shared" si="88"/>
        <v>1921.81</v>
      </c>
      <c r="O433" s="134">
        <f t="shared" si="89"/>
        <v>19.084508440913602</v>
      </c>
      <c r="P433" s="134">
        <f t="shared" si="86"/>
        <v>0.48478090090090087</v>
      </c>
      <c r="R433" s="92"/>
    </row>
    <row r="434" spans="1:18" ht="14.45" x14ac:dyDescent="0.3">
      <c r="A434" s="45" t="s">
        <v>134</v>
      </c>
      <c r="B434" s="45" t="s">
        <v>18</v>
      </c>
      <c r="C434" s="45" t="s">
        <v>19</v>
      </c>
      <c r="D434" s="45" t="s">
        <v>90</v>
      </c>
      <c r="E434" s="124">
        <v>40665</v>
      </c>
      <c r="F434" s="136">
        <v>40668</v>
      </c>
      <c r="G434" s="92">
        <v>3196</v>
      </c>
      <c r="H434">
        <v>650</v>
      </c>
      <c r="I434" t="s">
        <v>94</v>
      </c>
      <c r="J434" s="128">
        <f t="shared" si="87"/>
        <v>0.48</v>
      </c>
      <c r="K434" s="132">
        <f t="shared" si="85"/>
        <v>31.737835153922543</v>
      </c>
      <c r="L434" s="132">
        <f t="shared" si="84"/>
        <v>0.80619819819819816</v>
      </c>
      <c r="M434" s="133">
        <f t="shared" si="78"/>
        <v>312</v>
      </c>
      <c r="N434" s="133">
        <f t="shared" si="88"/>
        <v>3508</v>
      </c>
      <c r="O434" s="134">
        <f t="shared" si="89"/>
        <v>34.836146971201586</v>
      </c>
      <c r="P434" s="134">
        <f t="shared" si="86"/>
        <v>0.8849009009009009</v>
      </c>
      <c r="R434" s="92"/>
    </row>
    <row r="435" spans="1:18" ht="14.45" x14ac:dyDescent="0.3">
      <c r="A435" s="45" t="s">
        <v>134</v>
      </c>
      <c r="B435" s="45" t="s">
        <v>18</v>
      </c>
      <c r="C435" s="45" t="s">
        <v>20</v>
      </c>
      <c r="D435" s="45" t="s">
        <v>90</v>
      </c>
      <c r="E435" s="124">
        <v>40665</v>
      </c>
      <c r="F435" s="136">
        <v>40668</v>
      </c>
      <c r="G435" s="92">
        <v>2760</v>
      </c>
      <c r="H435">
        <v>417</v>
      </c>
      <c r="I435" t="s">
        <v>94</v>
      </c>
      <c r="J435" s="128">
        <f t="shared" si="87"/>
        <v>0.48</v>
      </c>
      <c r="K435" s="132">
        <f t="shared" si="85"/>
        <v>27.408142999006952</v>
      </c>
      <c r="L435" s="132">
        <f t="shared" si="84"/>
        <v>0.69621621621621621</v>
      </c>
      <c r="M435" s="133">
        <f t="shared" si="78"/>
        <v>200.16</v>
      </c>
      <c r="N435" s="133">
        <f t="shared" si="88"/>
        <v>2960.16</v>
      </c>
      <c r="O435" s="134">
        <f t="shared" si="89"/>
        <v>29.395829195630583</v>
      </c>
      <c r="P435" s="134">
        <f t="shared" si="86"/>
        <v>0.74670702702702696</v>
      </c>
      <c r="R435" s="92"/>
    </row>
    <row r="436" spans="1:18" ht="14.45" x14ac:dyDescent="0.3">
      <c r="A436" s="45" t="s">
        <v>134</v>
      </c>
      <c r="B436" s="45" t="s">
        <v>16</v>
      </c>
      <c r="C436" s="45" t="s">
        <v>21</v>
      </c>
      <c r="D436" s="45" t="s">
        <v>90</v>
      </c>
      <c r="E436" s="124">
        <v>40665</v>
      </c>
      <c r="F436" s="136">
        <v>40668</v>
      </c>
      <c r="G436" s="92">
        <v>2938</v>
      </c>
      <c r="H436">
        <v>626</v>
      </c>
      <c r="I436" t="s">
        <v>92</v>
      </c>
      <c r="J436" s="128">
        <f t="shared" si="87"/>
        <v>0.37</v>
      </c>
      <c r="K436" s="132">
        <f t="shared" si="85"/>
        <v>29.175769612711022</v>
      </c>
      <c r="L436" s="132">
        <f t="shared" si="84"/>
        <v>0.74111711711711714</v>
      </c>
      <c r="M436" s="133">
        <f t="shared" si="78"/>
        <v>231.62</v>
      </c>
      <c r="N436" s="133">
        <f t="shared" si="88"/>
        <v>3169.62</v>
      </c>
      <c r="O436" s="134">
        <f t="shared" si="89"/>
        <v>31.47586891757696</v>
      </c>
      <c r="P436" s="134">
        <f t="shared" si="86"/>
        <v>0.79954378378378377</v>
      </c>
      <c r="R436" s="92"/>
    </row>
    <row r="437" spans="1:18" ht="14.45" x14ac:dyDescent="0.3">
      <c r="A437" s="45" t="s">
        <v>134</v>
      </c>
      <c r="B437" s="45" t="s">
        <v>16</v>
      </c>
      <c r="C437" s="45" t="s">
        <v>6</v>
      </c>
      <c r="D437" s="45" t="s">
        <v>90</v>
      </c>
      <c r="E437" s="124">
        <v>40665</v>
      </c>
      <c r="F437" s="136">
        <v>40668</v>
      </c>
      <c r="G437" s="92">
        <v>4372</v>
      </c>
      <c r="H437">
        <v>1823</v>
      </c>
      <c r="I437" t="s">
        <v>92</v>
      </c>
      <c r="J437" s="128">
        <f t="shared" si="87"/>
        <v>0.37</v>
      </c>
      <c r="K437" s="132">
        <f t="shared" si="85"/>
        <v>43.416087388282023</v>
      </c>
      <c r="L437" s="132">
        <f t="shared" si="84"/>
        <v>1.1028468468468469</v>
      </c>
      <c r="M437" s="133">
        <f t="shared" si="78"/>
        <v>674.51</v>
      </c>
      <c r="N437" s="133">
        <f t="shared" si="88"/>
        <v>5046.51</v>
      </c>
      <c r="O437" s="134">
        <f t="shared" si="89"/>
        <v>50.114299900695137</v>
      </c>
      <c r="P437" s="134">
        <f t="shared" si="86"/>
        <v>1.2729935135135135</v>
      </c>
      <c r="R437" s="92"/>
    </row>
    <row r="438" spans="1:18" ht="14.45" x14ac:dyDescent="0.3">
      <c r="A438" s="45" t="s">
        <v>22</v>
      </c>
      <c r="B438" s="45" t="s">
        <v>23</v>
      </c>
      <c r="C438" s="45" t="s">
        <v>7</v>
      </c>
      <c r="D438" s="45" t="s">
        <v>90</v>
      </c>
      <c r="E438" s="124">
        <v>40665</v>
      </c>
      <c r="F438" s="136">
        <v>40668</v>
      </c>
      <c r="G438" s="92">
        <v>3206</v>
      </c>
      <c r="H438" s="52">
        <v>1295</v>
      </c>
      <c r="I438" t="s">
        <v>95</v>
      </c>
      <c r="J438" s="128">
        <f t="shared" si="87"/>
        <v>0.3105</v>
      </c>
      <c r="K438" s="132">
        <f t="shared" si="85"/>
        <v>31.837140019860971</v>
      </c>
      <c r="L438" s="132">
        <f t="shared" si="84"/>
        <v>0.86648648648648652</v>
      </c>
      <c r="M438" s="133">
        <f t="shared" si="78"/>
        <v>402.09750000000003</v>
      </c>
      <c r="N438" s="133">
        <f t="shared" si="88"/>
        <v>3608.0974999999999</v>
      </c>
      <c r="O438" s="134">
        <f t="shared" si="89"/>
        <v>35.830163853028793</v>
      </c>
      <c r="P438" s="134">
        <f t="shared" si="86"/>
        <v>0.97516148648648648</v>
      </c>
      <c r="R438" s="92"/>
    </row>
    <row r="439" spans="1:18" ht="14.45" x14ac:dyDescent="0.3">
      <c r="A439" s="45" t="s">
        <v>22</v>
      </c>
      <c r="B439" s="45" t="s">
        <v>14</v>
      </c>
      <c r="C439" s="45" t="s">
        <v>24</v>
      </c>
      <c r="D439" s="45" t="s">
        <v>90</v>
      </c>
      <c r="E439" s="124">
        <v>40665</v>
      </c>
      <c r="F439" s="136">
        <v>40668</v>
      </c>
      <c r="G439" s="92">
        <v>2921</v>
      </c>
      <c r="H439">
        <v>615</v>
      </c>
      <c r="I439" t="s">
        <v>94</v>
      </c>
      <c r="J439" s="128">
        <f t="shared" si="87"/>
        <v>0.48</v>
      </c>
      <c r="K439" s="132">
        <f t="shared" si="85"/>
        <v>29.006951340615689</v>
      </c>
      <c r="L439" s="132">
        <f t="shared" si="84"/>
        <v>0.7894594594594595</v>
      </c>
      <c r="M439" s="133">
        <f t="shared" si="78"/>
        <v>295.2</v>
      </c>
      <c r="N439" s="133">
        <f t="shared" si="88"/>
        <v>3216.2</v>
      </c>
      <c r="O439" s="134">
        <f t="shared" si="89"/>
        <v>31.93843098311817</v>
      </c>
      <c r="P439" s="134">
        <f t="shared" si="86"/>
        <v>0.8692432432432432</v>
      </c>
      <c r="R439" s="92"/>
    </row>
    <row r="440" spans="1:18" ht="14.45" x14ac:dyDescent="0.3">
      <c r="A440" s="45" t="s">
        <v>22</v>
      </c>
      <c r="B440" s="45" t="s">
        <v>18</v>
      </c>
      <c r="C440" s="45" t="s">
        <v>15</v>
      </c>
      <c r="D440" s="45" t="s">
        <v>90</v>
      </c>
      <c r="E440" s="124">
        <v>40665</v>
      </c>
      <c r="F440" s="136">
        <v>40668</v>
      </c>
      <c r="G440" s="92">
        <v>3830</v>
      </c>
      <c r="H440">
        <v>872</v>
      </c>
      <c r="I440" t="s">
        <v>94</v>
      </c>
      <c r="J440" s="128">
        <f t="shared" si="87"/>
        <v>0.48</v>
      </c>
      <c r="K440" s="132">
        <f t="shared" si="85"/>
        <v>38.033763654419069</v>
      </c>
      <c r="L440" s="132">
        <f t="shared" si="84"/>
        <v>1.0351351351351352</v>
      </c>
      <c r="M440" s="133">
        <f t="shared" si="78"/>
        <v>418.56</v>
      </c>
      <c r="N440" s="133">
        <f t="shared" si="88"/>
        <v>4248.5600000000004</v>
      </c>
      <c r="O440" s="134">
        <f t="shared" si="89"/>
        <v>42.19026812313804</v>
      </c>
      <c r="P440" s="134">
        <f t="shared" si="86"/>
        <v>1.1482594594594595</v>
      </c>
      <c r="R440" s="92"/>
    </row>
    <row r="441" spans="1:18" ht="14.45" x14ac:dyDescent="0.3">
      <c r="A441" s="45" t="s">
        <v>22</v>
      </c>
      <c r="B441" s="45" t="s">
        <v>18</v>
      </c>
      <c r="C441" s="45" t="s">
        <v>24</v>
      </c>
      <c r="D441" s="45" t="s">
        <v>90</v>
      </c>
      <c r="E441" s="124">
        <v>40665</v>
      </c>
      <c r="F441" s="136">
        <v>40668</v>
      </c>
      <c r="G441" s="92">
        <v>2613</v>
      </c>
      <c r="H441">
        <v>417</v>
      </c>
      <c r="I441" t="s">
        <v>94</v>
      </c>
      <c r="J441" s="128">
        <f t="shared" si="87"/>
        <v>0.48</v>
      </c>
      <c r="K441" s="132">
        <f t="shared" si="85"/>
        <v>25.948361469712015</v>
      </c>
      <c r="L441" s="132">
        <f t="shared" si="84"/>
        <v>0.70621621621621622</v>
      </c>
      <c r="M441" s="133">
        <f t="shared" si="78"/>
        <v>200.16</v>
      </c>
      <c r="N441" s="133">
        <f t="shared" si="88"/>
        <v>2813.16</v>
      </c>
      <c r="O441" s="134">
        <f t="shared" si="89"/>
        <v>27.936047666335647</v>
      </c>
      <c r="P441" s="134">
        <f t="shared" si="86"/>
        <v>0.76031351351351351</v>
      </c>
      <c r="R441" s="92"/>
    </row>
    <row r="442" spans="1:18" ht="14.45" x14ac:dyDescent="0.3">
      <c r="A442" s="45" t="s">
        <v>22</v>
      </c>
      <c r="B442" s="45" t="s">
        <v>13</v>
      </c>
      <c r="C442" s="45" t="s">
        <v>7</v>
      </c>
      <c r="D442" s="45" t="s">
        <v>90</v>
      </c>
      <c r="E442" s="124">
        <v>40665</v>
      </c>
      <c r="F442" s="136">
        <v>40668</v>
      </c>
      <c r="G442" s="92">
        <v>3156</v>
      </c>
      <c r="H442">
        <v>1006</v>
      </c>
      <c r="I442" t="s">
        <v>92</v>
      </c>
      <c r="J442" s="128">
        <f t="shared" si="87"/>
        <v>0.37</v>
      </c>
      <c r="K442" s="132">
        <f t="shared" si="85"/>
        <v>31.340615690168818</v>
      </c>
      <c r="L442" s="132">
        <f t="shared" si="84"/>
        <v>0.85297297297297292</v>
      </c>
      <c r="M442" s="133">
        <f t="shared" si="78"/>
        <v>372.21999999999997</v>
      </c>
      <c r="N442" s="133">
        <f t="shared" si="88"/>
        <v>3528.22</v>
      </c>
      <c r="O442" s="134">
        <f t="shared" si="89"/>
        <v>35.036941410129096</v>
      </c>
      <c r="P442" s="134">
        <f t="shared" si="86"/>
        <v>0.95357297297297294</v>
      </c>
      <c r="R442" s="92"/>
    </row>
    <row r="443" spans="1:18" ht="14.45" x14ac:dyDescent="0.3">
      <c r="A443" s="45" t="s">
        <v>1</v>
      </c>
      <c r="B443" s="45" t="s">
        <v>25</v>
      </c>
      <c r="C443" s="45" t="s">
        <v>26</v>
      </c>
      <c r="D443" s="45" t="s">
        <v>91</v>
      </c>
      <c r="E443" s="124">
        <v>40665</v>
      </c>
      <c r="F443" s="136">
        <v>40668</v>
      </c>
      <c r="G443" s="92">
        <v>3239</v>
      </c>
      <c r="H443">
        <v>880</v>
      </c>
      <c r="I443" t="s">
        <v>93</v>
      </c>
      <c r="J443" s="128">
        <f t="shared" si="87"/>
        <v>0.36</v>
      </c>
      <c r="K443" s="132">
        <f t="shared" si="85"/>
        <v>32.164846077457796</v>
      </c>
      <c r="L443" s="132">
        <f t="shared" si="84"/>
        <v>0.87540540540540546</v>
      </c>
      <c r="M443" s="133">
        <f t="shared" si="78"/>
        <v>316.8</v>
      </c>
      <c r="N443" s="133">
        <f t="shared" si="88"/>
        <v>3555.8</v>
      </c>
      <c r="O443" s="134">
        <f t="shared" si="89"/>
        <v>35.31082423038729</v>
      </c>
      <c r="P443" s="134">
        <f t="shared" si="86"/>
        <v>0.96102702702702703</v>
      </c>
      <c r="R443" s="92"/>
    </row>
    <row r="444" spans="1:18" ht="14.45" x14ac:dyDescent="0.3">
      <c r="A444" s="45" t="s">
        <v>1</v>
      </c>
      <c r="B444" s="45" t="s">
        <v>2</v>
      </c>
      <c r="C444" s="45" t="s">
        <v>9</v>
      </c>
      <c r="D444" s="45" t="s">
        <v>91</v>
      </c>
      <c r="E444" s="124">
        <v>40665</v>
      </c>
      <c r="F444" s="136">
        <v>40668</v>
      </c>
      <c r="G444" s="92">
        <v>3144</v>
      </c>
      <c r="H444">
        <v>685</v>
      </c>
      <c r="I444" t="s">
        <v>93</v>
      </c>
      <c r="J444" s="128">
        <f t="shared" si="87"/>
        <v>0.36</v>
      </c>
      <c r="K444" s="132">
        <f t="shared" si="85"/>
        <v>31.221449851042699</v>
      </c>
      <c r="L444" s="132">
        <f t="shared" si="84"/>
        <v>0.84972972972972971</v>
      </c>
      <c r="M444" s="133">
        <f t="shared" si="78"/>
        <v>246.6</v>
      </c>
      <c r="N444" s="133">
        <f t="shared" si="88"/>
        <v>3390.6</v>
      </c>
      <c r="O444" s="134">
        <f t="shared" si="89"/>
        <v>33.670307845084409</v>
      </c>
      <c r="P444" s="134">
        <f t="shared" si="86"/>
        <v>0.91637837837837832</v>
      </c>
      <c r="R444" s="92"/>
    </row>
    <row r="445" spans="1:18" ht="14.45" x14ac:dyDescent="0.3">
      <c r="A445" s="45" t="s">
        <v>1</v>
      </c>
      <c r="B445" s="45" t="s">
        <v>27</v>
      </c>
      <c r="C445" s="45" t="s">
        <v>28</v>
      </c>
      <c r="D445" s="45" t="s">
        <v>91</v>
      </c>
      <c r="E445" s="124">
        <v>40665</v>
      </c>
      <c r="F445" s="136">
        <v>40668</v>
      </c>
      <c r="G445" s="92">
        <v>3497</v>
      </c>
      <c r="H445">
        <v>812</v>
      </c>
      <c r="I445" t="s">
        <v>94</v>
      </c>
      <c r="J445" s="128">
        <f t="shared" si="87"/>
        <v>0.48</v>
      </c>
      <c r="K445" s="132">
        <f t="shared" si="85"/>
        <v>34.726911618669313</v>
      </c>
      <c r="L445" s="132">
        <f t="shared" si="84"/>
        <v>0.94513513513513514</v>
      </c>
      <c r="M445" s="133">
        <f t="shared" si="78"/>
        <v>389.76</v>
      </c>
      <c r="N445" s="133">
        <f t="shared" si="88"/>
        <v>3886.76</v>
      </c>
      <c r="O445" s="134">
        <f t="shared" si="89"/>
        <v>38.597418073485599</v>
      </c>
      <c r="P445" s="134">
        <f t="shared" si="86"/>
        <v>1.0504756756756757</v>
      </c>
      <c r="R445" s="92"/>
    </row>
    <row r="446" spans="1:18" ht="14.45" x14ac:dyDescent="0.3">
      <c r="A446" s="45" t="s">
        <v>1</v>
      </c>
      <c r="B446" s="45" t="s">
        <v>4</v>
      </c>
      <c r="C446" s="45" t="s">
        <v>26</v>
      </c>
      <c r="D446" s="45" t="s">
        <v>91</v>
      </c>
      <c r="E446" s="124">
        <v>40665</v>
      </c>
      <c r="F446" s="136">
        <v>40668</v>
      </c>
      <c r="G446" s="92">
        <v>4702</v>
      </c>
      <c r="H446">
        <v>1520</v>
      </c>
      <c r="I446" t="s">
        <v>93</v>
      </c>
      <c r="J446" s="128">
        <f t="shared" si="87"/>
        <v>0.36</v>
      </c>
      <c r="K446" s="132">
        <f t="shared" si="85"/>
        <v>46.693147964250244</v>
      </c>
      <c r="L446" s="132">
        <f t="shared" si="84"/>
        <v>1.2708108108108107</v>
      </c>
      <c r="M446" s="133">
        <f t="shared" si="78"/>
        <v>547.19999999999993</v>
      </c>
      <c r="N446" s="133">
        <f t="shared" si="88"/>
        <v>5249.2</v>
      </c>
      <c r="O446" s="134">
        <f t="shared" si="89"/>
        <v>52.127110228401186</v>
      </c>
      <c r="P446" s="134">
        <f t="shared" si="86"/>
        <v>1.4187027027027026</v>
      </c>
      <c r="R446" s="92"/>
    </row>
    <row r="447" spans="1:18" ht="14.45" x14ac:dyDescent="0.3">
      <c r="A447" s="45" t="s">
        <v>1</v>
      </c>
      <c r="B447" s="45" t="s">
        <v>4</v>
      </c>
      <c r="C447" s="45" t="s">
        <v>9</v>
      </c>
      <c r="D447" s="45" t="s">
        <v>91</v>
      </c>
      <c r="E447" s="124">
        <v>40665</v>
      </c>
      <c r="F447" s="136">
        <v>40668</v>
      </c>
      <c r="G447" s="92">
        <f>2856+2792</f>
        <v>5648</v>
      </c>
      <c r="H447">
        <v>1583</v>
      </c>
      <c r="I447" t="s">
        <v>93</v>
      </c>
      <c r="J447" s="128">
        <f t="shared" si="87"/>
        <v>0.36</v>
      </c>
      <c r="K447" s="132">
        <f t="shared" si="85"/>
        <v>56.08738828202582</v>
      </c>
      <c r="L447" s="132">
        <f t="shared" si="84"/>
        <v>1.5264864864864864</v>
      </c>
      <c r="M447" s="133">
        <f t="shared" si="78"/>
        <v>569.88</v>
      </c>
      <c r="N447" s="133">
        <f t="shared" si="88"/>
        <v>6217.88</v>
      </c>
      <c r="O447" s="134">
        <f t="shared" si="89"/>
        <v>61.74657398212512</v>
      </c>
      <c r="P447" s="134">
        <f t="shared" si="86"/>
        <v>1.6805081081081081</v>
      </c>
      <c r="R447" s="92"/>
    </row>
    <row r="448" spans="1:18" ht="14.45" x14ac:dyDescent="0.3">
      <c r="A448" s="45" t="s">
        <v>1</v>
      </c>
      <c r="B448" s="45" t="s">
        <v>10</v>
      </c>
      <c r="C448" s="45" t="s">
        <v>26</v>
      </c>
      <c r="D448" s="45" t="s">
        <v>91</v>
      </c>
      <c r="E448" s="124">
        <v>40665</v>
      </c>
      <c r="F448" s="136">
        <v>40668</v>
      </c>
      <c r="G448" s="92">
        <v>4619</v>
      </c>
      <c r="H448">
        <v>1599</v>
      </c>
      <c r="I448" t="s">
        <v>92</v>
      </c>
      <c r="J448" s="128">
        <f t="shared" si="87"/>
        <v>0.37</v>
      </c>
      <c r="K448" s="132">
        <f t="shared" si="85"/>
        <v>45.868917576961273</v>
      </c>
      <c r="L448" s="132">
        <f t="shared" si="84"/>
        <v>1.2483783783783784</v>
      </c>
      <c r="M448" s="133">
        <f t="shared" si="78"/>
        <v>591.63</v>
      </c>
      <c r="N448" s="133">
        <f t="shared" si="88"/>
        <v>5210.63</v>
      </c>
      <c r="O448" s="134">
        <f t="shared" si="89"/>
        <v>51.744091360476666</v>
      </c>
      <c r="P448" s="134">
        <f t="shared" si="86"/>
        <v>1.4082783783783783</v>
      </c>
      <c r="R448" s="92"/>
    </row>
    <row r="449" spans="1:20" ht="14.45" x14ac:dyDescent="0.3">
      <c r="A449" s="45" t="s">
        <v>134</v>
      </c>
      <c r="B449" s="45" t="s">
        <v>23</v>
      </c>
      <c r="C449" s="45" t="s">
        <v>26</v>
      </c>
      <c r="D449" s="45" t="s">
        <v>91</v>
      </c>
      <c r="E449" s="124">
        <v>40665</v>
      </c>
      <c r="F449" s="136">
        <v>40668</v>
      </c>
      <c r="G449" s="92">
        <v>4680</v>
      </c>
      <c r="H449">
        <v>1851</v>
      </c>
      <c r="I449" t="s">
        <v>93</v>
      </c>
      <c r="J449" s="128">
        <f t="shared" si="87"/>
        <v>0.36</v>
      </c>
      <c r="K449" s="132">
        <f t="shared" si="85"/>
        <v>46.474677259185697</v>
      </c>
      <c r="L449" s="132">
        <f t="shared" si="84"/>
        <v>1.1805405405405405</v>
      </c>
      <c r="M449" s="133">
        <f t="shared" si="78"/>
        <v>666.36</v>
      </c>
      <c r="N449" s="133">
        <f t="shared" si="88"/>
        <v>5346.36</v>
      </c>
      <c r="O449" s="134">
        <f t="shared" si="89"/>
        <v>53.091956305858986</v>
      </c>
      <c r="P449" s="134">
        <f t="shared" si="86"/>
        <v>1.3486313513513513</v>
      </c>
      <c r="R449" s="92"/>
    </row>
    <row r="450" spans="1:20" ht="14.45" x14ac:dyDescent="0.3">
      <c r="A450" s="45" t="s">
        <v>134</v>
      </c>
      <c r="B450" s="45" t="s">
        <v>8</v>
      </c>
      <c r="C450" s="45" t="s">
        <v>29</v>
      </c>
      <c r="D450" s="45" t="s">
        <v>91</v>
      </c>
      <c r="E450" s="124">
        <v>40665</v>
      </c>
      <c r="F450" s="136">
        <v>40668</v>
      </c>
      <c r="G450" s="92">
        <v>4640</v>
      </c>
      <c r="H450">
        <v>1695</v>
      </c>
      <c r="I450" t="s">
        <v>93</v>
      </c>
      <c r="J450" s="128">
        <f t="shared" si="87"/>
        <v>0.36</v>
      </c>
      <c r="K450" s="132">
        <f t="shared" si="85"/>
        <v>46.077457795431975</v>
      </c>
      <c r="L450" s="132">
        <f t="shared" si="84"/>
        <v>1.1704504504504505</v>
      </c>
      <c r="M450" s="133">
        <f t="shared" ref="M450:M499" si="90">H450*J450</f>
        <v>610.19999999999993</v>
      </c>
      <c r="N450" s="133">
        <f t="shared" si="88"/>
        <v>5250.2</v>
      </c>
      <c r="O450" s="134">
        <f t="shared" si="89"/>
        <v>52.137040714995031</v>
      </c>
      <c r="P450" s="134">
        <f t="shared" si="86"/>
        <v>1.3243747747747747</v>
      </c>
      <c r="R450" s="92"/>
    </row>
    <row r="451" spans="1:20" ht="14.45" x14ac:dyDescent="0.3">
      <c r="A451" s="45" t="s">
        <v>134</v>
      </c>
      <c r="B451" s="45" t="s">
        <v>13</v>
      </c>
      <c r="C451" s="45" t="s">
        <v>7</v>
      </c>
      <c r="D451" s="45" t="s">
        <v>91</v>
      </c>
      <c r="E451" s="124">
        <v>40665</v>
      </c>
      <c r="F451" s="136">
        <v>40668</v>
      </c>
      <c r="G451" s="92">
        <v>2677</v>
      </c>
      <c r="H451">
        <v>1006</v>
      </c>
      <c r="I451" t="s">
        <v>92</v>
      </c>
      <c r="J451" s="128">
        <f t="shared" si="87"/>
        <v>0.37</v>
      </c>
      <c r="K451" s="132">
        <f t="shared" si="85"/>
        <v>26.583912611717974</v>
      </c>
      <c r="L451" s="132">
        <f t="shared" ref="L451:L499" si="91">IF(A451="corn",G451/(111*2000/56),G451/(111*2000/60))</f>
        <v>0.67527927927927933</v>
      </c>
      <c r="M451" s="133">
        <f t="shared" si="90"/>
        <v>372.21999999999997</v>
      </c>
      <c r="N451" s="133">
        <f t="shared" si="88"/>
        <v>3049.22</v>
      </c>
      <c r="O451" s="134">
        <f t="shared" si="89"/>
        <v>30.280238331678248</v>
      </c>
      <c r="P451" s="134">
        <f t="shared" si="86"/>
        <v>0.76917261261261261</v>
      </c>
      <c r="R451" s="92"/>
    </row>
    <row r="452" spans="1:20" ht="14.45" x14ac:dyDescent="0.3">
      <c r="A452" s="45" t="s">
        <v>134</v>
      </c>
      <c r="B452" s="45" t="s">
        <v>30</v>
      </c>
      <c r="C452" s="45" t="s">
        <v>9</v>
      </c>
      <c r="D452" s="45" t="s">
        <v>91</v>
      </c>
      <c r="E452" s="124">
        <v>40665</v>
      </c>
      <c r="F452" s="136">
        <v>40668</v>
      </c>
      <c r="G452" s="92">
        <v>3190</v>
      </c>
      <c r="H452">
        <v>988</v>
      </c>
      <c r="I452" t="s">
        <v>93</v>
      </c>
      <c r="J452" s="128">
        <f t="shared" si="87"/>
        <v>0.36</v>
      </c>
      <c r="K452" s="132">
        <f t="shared" si="85"/>
        <v>31.678252234359483</v>
      </c>
      <c r="L452" s="132">
        <f t="shared" si="91"/>
        <v>0.80468468468468468</v>
      </c>
      <c r="M452" s="133">
        <f t="shared" si="90"/>
        <v>355.68</v>
      </c>
      <c r="N452" s="133">
        <f t="shared" si="88"/>
        <v>3545.68</v>
      </c>
      <c r="O452" s="134">
        <f t="shared" si="89"/>
        <v>35.210327706057598</v>
      </c>
      <c r="P452" s="134">
        <f t="shared" si="86"/>
        <v>0.89440576576576569</v>
      </c>
      <c r="R452" s="92"/>
    </row>
    <row r="453" spans="1:20" ht="14.45" x14ac:dyDescent="0.3">
      <c r="A453" s="45" t="s">
        <v>134</v>
      </c>
      <c r="B453" s="45" t="s">
        <v>16</v>
      </c>
      <c r="C453" s="45" t="s">
        <v>11</v>
      </c>
      <c r="D453" s="45" t="s">
        <v>91</v>
      </c>
      <c r="E453" s="124">
        <v>40665</v>
      </c>
      <c r="F453" s="136">
        <v>40668</v>
      </c>
      <c r="G453" s="92">
        <v>3330</v>
      </c>
      <c r="H453" s="52">
        <v>787</v>
      </c>
      <c r="I453" t="s">
        <v>92</v>
      </c>
      <c r="J453" s="128">
        <f t="shared" si="87"/>
        <v>0.37</v>
      </c>
      <c r="K453" s="132">
        <f t="shared" si="85"/>
        <v>33.068520357497519</v>
      </c>
      <c r="L453" s="132">
        <f t="shared" si="91"/>
        <v>0.84</v>
      </c>
      <c r="M453" s="133">
        <f t="shared" si="90"/>
        <v>291.19</v>
      </c>
      <c r="N453" s="133">
        <f t="shared" si="88"/>
        <v>3621.19</v>
      </c>
      <c r="O453" s="134">
        <f t="shared" si="89"/>
        <v>35.960178748758686</v>
      </c>
      <c r="P453" s="134">
        <f t="shared" si="86"/>
        <v>0.91345333333333334</v>
      </c>
      <c r="R453" s="92"/>
    </row>
    <row r="454" spans="1:20" ht="14.45" x14ac:dyDescent="0.3">
      <c r="A454" s="45" t="s">
        <v>134</v>
      </c>
      <c r="B454" s="45" t="s">
        <v>23</v>
      </c>
      <c r="C454" s="45" t="s">
        <v>29</v>
      </c>
      <c r="D454" s="45" t="s">
        <v>91</v>
      </c>
      <c r="E454" s="124">
        <v>40665</v>
      </c>
      <c r="F454" s="136">
        <v>40668</v>
      </c>
      <c r="G454" s="92">
        <v>4680</v>
      </c>
      <c r="H454">
        <v>1836</v>
      </c>
      <c r="I454" t="s">
        <v>93</v>
      </c>
      <c r="J454" s="128">
        <f t="shared" si="87"/>
        <v>0.36</v>
      </c>
      <c r="K454" s="132">
        <f t="shared" si="85"/>
        <v>46.474677259185697</v>
      </c>
      <c r="L454" s="132">
        <f t="shared" si="91"/>
        <v>1.1805405405405405</v>
      </c>
      <c r="M454" s="133">
        <f t="shared" si="90"/>
        <v>660.95999999999992</v>
      </c>
      <c r="N454" s="133">
        <f t="shared" si="88"/>
        <v>5340.96</v>
      </c>
      <c r="O454" s="134">
        <f t="shared" si="89"/>
        <v>53.038331678252234</v>
      </c>
      <c r="P454" s="134">
        <f t="shared" si="86"/>
        <v>1.3472691891891893</v>
      </c>
      <c r="R454" s="92"/>
    </row>
    <row r="455" spans="1:20" ht="14.45" x14ac:dyDescent="0.3">
      <c r="A455" s="45" t="s">
        <v>134</v>
      </c>
      <c r="B455" s="45" t="s">
        <v>31</v>
      </c>
      <c r="C455" s="45" t="s">
        <v>32</v>
      </c>
      <c r="D455" s="45" t="s">
        <v>91</v>
      </c>
      <c r="E455" s="124">
        <v>40665</v>
      </c>
      <c r="F455" s="136">
        <v>40668</v>
      </c>
      <c r="G455" s="92">
        <v>4080</v>
      </c>
      <c r="H455">
        <v>1899</v>
      </c>
      <c r="I455" t="s">
        <v>93</v>
      </c>
      <c r="J455" s="128">
        <f t="shared" si="87"/>
        <v>0.36</v>
      </c>
      <c r="K455" s="132">
        <f t="shared" si="85"/>
        <v>40.51638530287984</v>
      </c>
      <c r="L455" s="132">
        <f t="shared" si="91"/>
        <v>1.0291891891891891</v>
      </c>
      <c r="M455" s="133">
        <f t="shared" si="90"/>
        <v>683.64</v>
      </c>
      <c r="N455" s="133">
        <f t="shared" si="88"/>
        <v>4763.6400000000003</v>
      </c>
      <c r="O455" s="134">
        <f t="shared" si="89"/>
        <v>47.305263157894736</v>
      </c>
      <c r="P455" s="134">
        <f t="shared" si="86"/>
        <v>1.2016389189189189</v>
      </c>
      <c r="R455" s="92"/>
    </row>
    <row r="456" spans="1:20" ht="14.45" x14ac:dyDescent="0.3">
      <c r="A456" s="45" t="s">
        <v>22</v>
      </c>
      <c r="B456" s="45" t="s">
        <v>8</v>
      </c>
      <c r="C456" s="45" t="s">
        <v>29</v>
      </c>
      <c r="D456" s="45" t="s">
        <v>91</v>
      </c>
      <c r="E456" s="124">
        <v>40665</v>
      </c>
      <c r="F456" s="136">
        <v>40668</v>
      </c>
      <c r="G456" s="92">
        <v>4840</v>
      </c>
      <c r="H456" s="52">
        <v>1695</v>
      </c>
      <c r="I456" t="s">
        <v>93</v>
      </c>
      <c r="J456" s="128">
        <f t="shared" si="87"/>
        <v>0.36</v>
      </c>
      <c r="K456" s="132">
        <f t="shared" si="85"/>
        <v>48.063555114200597</v>
      </c>
      <c r="L456" s="132">
        <f t="shared" si="91"/>
        <v>1.3081081081081081</v>
      </c>
      <c r="M456" s="133">
        <f t="shared" si="90"/>
        <v>610.19999999999993</v>
      </c>
      <c r="N456" s="133">
        <f t="shared" si="88"/>
        <v>5450.2</v>
      </c>
      <c r="O456" s="134">
        <f t="shared" si="89"/>
        <v>54.123138033763652</v>
      </c>
      <c r="P456" s="134">
        <f t="shared" si="86"/>
        <v>1.4730270270270269</v>
      </c>
      <c r="R456" s="92"/>
    </row>
    <row r="457" spans="1:20" ht="14.45" x14ac:dyDescent="0.3">
      <c r="A457" s="45" t="s">
        <v>22</v>
      </c>
      <c r="B457" s="45" t="s">
        <v>23</v>
      </c>
      <c r="C457" s="45" t="s">
        <v>26</v>
      </c>
      <c r="D457" s="45" t="s">
        <v>91</v>
      </c>
      <c r="E457" s="124">
        <v>40665</v>
      </c>
      <c r="F457" s="136">
        <v>40668</v>
      </c>
      <c r="G457" s="92">
        <v>4830</v>
      </c>
      <c r="H457">
        <v>1851</v>
      </c>
      <c r="I457" t="s">
        <v>93</v>
      </c>
      <c r="J457" s="128">
        <f t="shared" si="87"/>
        <v>0.36</v>
      </c>
      <c r="K457" s="132">
        <f t="shared" si="85"/>
        <v>47.964250248262161</v>
      </c>
      <c r="L457" s="132">
        <f t="shared" si="91"/>
        <v>1.3054054054054054</v>
      </c>
      <c r="M457" s="133">
        <f t="shared" si="90"/>
        <v>666.36</v>
      </c>
      <c r="N457" s="133">
        <f t="shared" si="88"/>
        <v>5496.36</v>
      </c>
      <c r="O457" s="134">
        <f t="shared" si="89"/>
        <v>54.58152929493545</v>
      </c>
      <c r="P457" s="134">
        <f t="shared" si="86"/>
        <v>1.4855027027027026</v>
      </c>
      <c r="R457" s="92"/>
    </row>
    <row r="458" spans="1:20" ht="14.45" x14ac:dyDescent="0.3">
      <c r="A458" s="45" t="s">
        <v>22</v>
      </c>
      <c r="B458" s="45" t="s">
        <v>33</v>
      </c>
      <c r="C458" s="45" t="s">
        <v>29</v>
      </c>
      <c r="D458" s="45" t="s">
        <v>91</v>
      </c>
      <c r="E458" s="124">
        <v>40665</v>
      </c>
      <c r="F458" s="136">
        <v>40668</v>
      </c>
      <c r="G458" s="92">
        <v>4730</v>
      </c>
      <c r="H458">
        <v>1507</v>
      </c>
      <c r="I458" t="s">
        <v>93</v>
      </c>
      <c r="J458" s="128">
        <f t="shared" si="87"/>
        <v>0.36</v>
      </c>
      <c r="K458" s="132">
        <f t="shared" si="85"/>
        <v>46.971201588877854</v>
      </c>
      <c r="L458" s="132">
        <f t="shared" si="91"/>
        <v>1.2783783783783784</v>
      </c>
      <c r="M458" s="133">
        <f t="shared" si="90"/>
        <v>542.52</v>
      </c>
      <c r="N458" s="133">
        <f t="shared" si="88"/>
        <v>5272.52</v>
      </c>
      <c r="O458" s="134">
        <f t="shared" si="89"/>
        <v>52.358689175769612</v>
      </c>
      <c r="P458" s="134">
        <f t="shared" si="86"/>
        <v>1.4250054054054055</v>
      </c>
      <c r="R458" s="92"/>
    </row>
    <row r="459" spans="1:20" ht="14.45" x14ac:dyDescent="0.3">
      <c r="A459" s="45" t="s">
        <v>22</v>
      </c>
      <c r="B459" s="45" t="s">
        <v>31</v>
      </c>
      <c r="C459" s="45" t="s">
        <v>7</v>
      </c>
      <c r="D459" s="45" t="s">
        <v>91</v>
      </c>
      <c r="E459" s="124">
        <v>40665</v>
      </c>
      <c r="F459" s="136">
        <v>40668</v>
      </c>
      <c r="G459" s="92">
        <v>3510</v>
      </c>
      <c r="H459">
        <v>1160</v>
      </c>
      <c r="I459" t="s">
        <v>92</v>
      </c>
      <c r="J459" s="128">
        <f t="shared" si="87"/>
        <v>0.37</v>
      </c>
      <c r="K459" s="132">
        <f t="shared" si="85"/>
        <v>34.856007944389276</v>
      </c>
      <c r="L459" s="132">
        <f t="shared" si="91"/>
        <v>0.94864864864864862</v>
      </c>
      <c r="M459" s="133">
        <f t="shared" si="90"/>
        <v>429.2</v>
      </c>
      <c r="N459" s="133">
        <f t="shared" si="88"/>
        <v>3939.2</v>
      </c>
      <c r="O459" s="134">
        <f t="shared" si="89"/>
        <v>39.11817279046673</v>
      </c>
      <c r="P459" s="134">
        <f t="shared" si="86"/>
        <v>1.0646486486486486</v>
      </c>
      <c r="R459" s="92"/>
    </row>
    <row r="460" spans="1:20" ht="14.45" x14ac:dyDescent="0.3">
      <c r="A460" s="45" t="s">
        <v>22</v>
      </c>
      <c r="B460" s="45" t="s">
        <v>14</v>
      </c>
      <c r="C460" s="45" t="s">
        <v>24</v>
      </c>
      <c r="D460" s="45" t="s">
        <v>91</v>
      </c>
      <c r="E460" s="124">
        <v>40665</v>
      </c>
      <c r="F460" s="136">
        <v>40668</v>
      </c>
      <c r="G460" s="92">
        <v>2536</v>
      </c>
      <c r="H460">
        <v>615</v>
      </c>
      <c r="I460" t="s">
        <v>94</v>
      </c>
      <c r="J460" s="128">
        <f t="shared" si="87"/>
        <v>0.48</v>
      </c>
      <c r="K460" s="132">
        <f t="shared" si="85"/>
        <v>25.183714001986097</v>
      </c>
      <c r="L460" s="132">
        <f t="shared" si="91"/>
        <v>0.6854054054054054</v>
      </c>
      <c r="M460" s="133">
        <f t="shared" si="90"/>
        <v>295.2</v>
      </c>
      <c r="N460" s="133">
        <f t="shared" si="88"/>
        <v>2831.2</v>
      </c>
      <c r="O460" s="134">
        <f t="shared" si="89"/>
        <v>28.115193644488578</v>
      </c>
      <c r="P460" s="134">
        <f t="shared" si="86"/>
        <v>0.7651891891891891</v>
      </c>
      <c r="R460" s="92"/>
    </row>
    <row r="461" spans="1:20" ht="14.45" x14ac:dyDescent="0.3">
      <c r="A461" s="80" t="s">
        <v>22</v>
      </c>
      <c r="B461" s="80" t="s">
        <v>34</v>
      </c>
      <c r="C461" s="80" t="s">
        <v>26</v>
      </c>
      <c r="D461" s="80" t="s">
        <v>91</v>
      </c>
      <c r="E461" s="126">
        <v>40665</v>
      </c>
      <c r="F461" s="84">
        <v>40668</v>
      </c>
      <c r="G461" s="105">
        <v>4520</v>
      </c>
      <c r="H461" s="125">
        <v>1637</v>
      </c>
      <c r="I461" s="125" t="s">
        <v>92</v>
      </c>
      <c r="J461" s="113">
        <f t="shared" si="87"/>
        <v>0.37</v>
      </c>
      <c r="K461" s="114">
        <f>G461/100.7</f>
        <v>44.885799404170804</v>
      </c>
      <c r="L461" s="114">
        <f t="shared" si="91"/>
        <v>1.2216216216216216</v>
      </c>
      <c r="M461" s="115">
        <f t="shared" si="90"/>
        <v>605.68999999999994</v>
      </c>
      <c r="N461" s="115">
        <f t="shared" si="88"/>
        <v>5125.6899999999996</v>
      </c>
      <c r="O461" s="116">
        <f t="shared" si="89"/>
        <v>50.900595829195623</v>
      </c>
      <c r="P461" s="116">
        <f t="shared" si="86"/>
        <v>1.3853216216216215</v>
      </c>
      <c r="R461" s="92"/>
    </row>
    <row r="462" spans="1:20" ht="14.45" x14ac:dyDescent="0.3">
      <c r="A462" s="60" t="s">
        <v>1</v>
      </c>
      <c r="B462" s="60" t="s">
        <v>2</v>
      </c>
      <c r="C462" s="60" t="s">
        <v>3</v>
      </c>
      <c r="D462" s="60" t="s">
        <v>90</v>
      </c>
      <c r="E462" s="137">
        <v>40700</v>
      </c>
      <c r="F462" s="137">
        <v>40703</v>
      </c>
      <c r="G462" s="92">
        <v>2992</v>
      </c>
      <c r="H462" s="138">
        <v>506</v>
      </c>
      <c r="I462" s="138" t="s">
        <v>92</v>
      </c>
      <c r="J462" s="139">
        <f>IF(I462="BNSF",0.4,IF(I462="CN",0.3393,IF(I462="CSX",0.52,0.4)))</f>
        <v>0.4</v>
      </c>
      <c r="K462" s="140">
        <f>G462/100.7</f>
        <v>29.712015888778549</v>
      </c>
      <c r="L462" s="140">
        <f t="shared" si="91"/>
        <v>0.8086486486486486</v>
      </c>
      <c r="M462" s="133">
        <f t="shared" si="90"/>
        <v>202.4</v>
      </c>
      <c r="N462" s="133">
        <f t="shared" ref="N462" si="92">G462+M462</f>
        <v>3194.4</v>
      </c>
      <c r="O462" s="134">
        <f t="shared" ref="O462" si="93">N462/100.7</f>
        <v>31.721946375372394</v>
      </c>
      <c r="P462" s="134">
        <f t="shared" ref="P462:P499" si="94">IF(A462="corn",N462/(111*2000/56),N462/(111*2000/60))</f>
        <v>0.86335135135135133</v>
      </c>
      <c r="Q462" s="150"/>
      <c r="R462" s="149">
        <f>((N462/N6)-1)*100</f>
        <v>11.101836393989984</v>
      </c>
      <c r="S462" s="140">
        <f>AVERAGE(O386,O424,O462)</f>
        <v>30.782588546838795</v>
      </c>
      <c r="T462" s="151">
        <f>(S462/S348)-1</f>
        <v>4.5560027883339682E-2</v>
      </c>
    </row>
    <row r="463" spans="1:20" ht="14.45" x14ac:dyDescent="0.3">
      <c r="A463" s="60" t="s">
        <v>1</v>
      </c>
      <c r="B463" s="60" t="s">
        <v>4</v>
      </c>
      <c r="C463" s="60" t="s">
        <v>5</v>
      </c>
      <c r="D463" s="60" t="s">
        <v>90</v>
      </c>
      <c r="E463" s="137">
        <v>40700</v>
      </c>
      <c r="F463" s="137">
        <v>40703</v>
      </c>
      <c r="G463" s="92">
        <f>-839+3661</f>
        <v>2822</v>
      </c>
      <c r="H463" s="138">
        <v>298</v>
      </c>
      <c r="I463" s="138" t="s">
        <v>93</v>
      </c>
      <c r="J463" s="141">
        <f t="shared" ref="J463:J499" si="95">IF(I463="BNSF",0.4,IF(I463="CN",0.3393,IF(I463="CSX",0.52,0.4)))</f>
        <v>0.4</v>
      </c>
      <c r="K463" s="140">
        <f t="shared" ref="K463:K499" si="96">G463/100.7</f>
        <v>28.023833167825224</v>
      </c>
      <c r="L463" s="140">
        <f t="shared" si="91"/>
        <v>0.76270270270270268</v>
      </c>
      <c r="M463" s="133">
        <f t="shared" si="90"/>
        <v>119.2</v>
      </c>
      <c r="N463" s="133">
        <f t="shared" ref="N463:N499" si="97">G463+M463</f>
        <v>2941.2</v>
      </c>
      <c r="O463" s="134">
        <f t="shared" ref="O463:O499" si="98">N463/100.7</f>
        <v>29.207547169811317</v>
      </c>
      <c r="P463" s="134">
        <f t="shared" si="94"/>
        <v>0.79491891891891886</v>
      </c>
      <c r="R463" s="144">
        <f t="shared" ref="R463:R526" si="99">((N463/N7)-1)*100</f>
        <v>15.928547779336878</v>
      </c>
      <c r="S463" s="95">
        <f t="shared" ref="S463:S499" si="100">AVERAGE(O387,O425,O463)</f>
        <v>29.049718636213175</v>
      </c>
      <c r="T463" s="104">
        <f t="shared" ref="T463:T499" si="101">(S463/S349)-1</f>
        <v>4.7548337348017E-2</v>
      </c>
    </row>
    <row r="464" spans="1:20" ht="14.45" x14ac:dyDescent="0.3">
      <c r="A464" s="60" t="s">
        <v>1</v>
      </c>
      <c r="B464" s="60" t="s">
        <v>2</v>
      </c>
      <c r="C464" s="60" t="s">
        <v>6</v>
      </c>
      <c r="D464" s="60" t="s">
        <v>90</v>
      </c>
      <c r="E464" s="137">
        <v>40700</v>
      </c>
      <c r="F464" s="137">
        <v>40703</v>
      </c>
      <c r="G464" s="92">
        <v>5710</v>
      </c>
      <c r="H464" s="138">
        <v>1530</v>
      </c>
      <c r="I464" s="138" t="s">
        <v>93</v>
      </c>
      <c r="J464" s="141">
        <f t="shared" si="95"/>
        <v>0.4</v>
      </c>
      <c r="K464" s="140">
        <f t="shared" si="96"/>
        <v>56.703078450844089</v>
      </c>
      <c r="L464" s="140">
        <f t="shared" si="91"/>
        <v>1.5432432432432432</v>
      </c>
      <c r="M464" s="133">
        <f t="shared" si="90"/>
        <v>612</v>
      </c>
      <c r="N464" s="133">
        <f t="shared" si="97"/>
        <v>6322</v>
      </c>
      <c r="O464" s="134">
        <f t="shared" si="98"/>
        <v>62.780536246276064</v>
      </c>
      <c r="P464" s="134">
        <f t="shared" si="94"/>
        <v>1.7086486486486487</v>
      </c>
      <c r="R464" s="144">
        <f t="shared" si="99"/>
        <v>9.9325311261041946</v>
      </c>
      <c r="S464" s="95">
        <f t="shared" si="100"/>
        <v>61.970208540218465</v>
      </c>
      <c r="T464" s="104">
        <f t="shared" si="101"/>
        <v>7.8267280256647975E-2</v>
      </c>
    </row>
    <row r="465" spans="1:20" ht="14.45" x14ac:dyDescent="0.3">
      <c r="A465" s="60" t="s">
        <v>1</v>
      </c>
      <c r="B465" s="60" t="s">
        <v>2</v>
      </c>
      <c r="C465" s="60" t="s">
        <v>7</v>
      </c>
      <c r="D465" s="60" t="s">
        <v>90</v>
      </c>
      <c r="E465" s="137">
        <v>40700</v>
      </c>
      <c r="F465" s="137">
        <v>40703</v>
      </c>
      <c r="G465" s="92">
        <v>3492</v>
      </c>
      <c r="H465" s="138">
        <v>890</v>
      </c>
      <c r="I465" s="138" t="s">
        <v>92</v>
      </c>
      <c r="J465" s="141">
        <f t="shared" si="95"/>
        <v>0.4</v>
      </c>
      <c r="K465" s="140">
        <f t="shared" si="96"/>
        <v>34.677259185700102</v>
      </c>
      <c r="L465" s="140">
        <f t="shared" si="91"/>
        <v>0.9437837837837838</v>
      </c>
      <c r="M465" s="133">
        <f t="shared" si="90"/>
        <v>356</v>
      </c>
      <c r="N465" s="133">
        <f t="shared" si="97"/>
        <v>3848</v>
      </c>
      <c r="O465" s="134">
        <f t="shared" si="98"/>
        <v>38.212512413108243</v>
      </c>
      <c r="P465" s="134">
        <f t="shared" si="94"/>
        <v>1.04</v>
      </c>
      <c r="R465" s="144">
        <f t="shared" si="99"/>
        <v>11.439328120474945</v>
      </c>
      <c r="S465" s="95">
        <f t="shared" si="100"/>
        <v>37.114531612048985</v>
      </c>
      <c r="T465" s="104">
        <f t="shared" si="101"/>
        <v>5.1218826176635979E-2</v>
      </c>
    </row>
    <row r="466" spans="1:20" ht="14.45" x14ac:dyDescent="0.3">
      <c r="A466" s="60" t="s">
        <v>1</v>
      </c>
      <c r="B466" s="60" t="s">
        <v>8</v>
      </c>
      <c r="C466" s="60" t="s">
        <v>9</v>
      </c>
      <c r="D466" s="60" t="s">
        <v>90</v>
      </c>
      <c r="E466" s="137">
        <v>40700</v>
      </c>
      <c r="F466" s="137">
        <v>40703</v>
      </c>
      <c r="G466" s="92">
        <f>109+5301</f>
        <v>5410</v>
      </c>
      <c r="H466" s="138">
        <v>1256</v>
      </c>
      <c r="I466" s="138" t="s">
        <v>93</v>
      </c>
      <c r="J466" s="141">
        <f t="shared" si="95"/>
        <v>0.4</v>
      </c>
      <c r="K466" s="140">
        <f t="shared" si="96"/>
        <v>53.72393247269116</v>
      </c>
      <c r="L466" s="140">
        <f t="shared" si="91"/>
        <v>1.4621621621621621</v>
      </c>
      <c r="M466" s="133">
        <f t="shared" si="90"/>
        <v>502.40000000000003</v>
      </c>
      <c r="N466" s="133">
        <f t="shared" si="97"/>
        <v>5912.4</v>
      </c>
      <c r="O466" s="134">
        <f t="shared" si="98"/>
        <v>58.713008937437927</v>
      </c>
      <c r="P466" s="134">
        <f t="shared" si="94"/>
        <v>1.5979459459459457</v>
      </c>
      <c r="R466" s="144">
        <f t="shared" si="99"/>
        <v>6.3618504846404411</v>
      </c>
      <c r="S466" s="95">
        <f t="shared" si="100"/>
        <v>58.047798742138362</v>
      </c>
      <c r="T466" s="104">
        <f t="shared" si="101"/>
        <v>4.1668547695363545E-2</v>
      </c>
    </row>
    <row r="467" spans="1:20" ht="14.45" x14ac:dyDescent="0.3">
      <c r="A467" s="60" t="s">
        <v>1</v>
      </c>
      <c r="B467" s="60" t="s">
        <v>10</v>
      </c>
      <c r="C467" s="60" t="s">
        <v>9</v>
      </c>
      <c r="D467" s="60" t="s">
        <v>90</v>
      </c>
      <c r="E467" s="137">
        <v>40700</v>
      </c>
      <c r="F467" s="137">
        <v>40703</v>
      </c>
      <c r="G467" s="92">
        <v>3760</v>
      </c>
      <c r="H467" s="138">
        <v>975</v>
      </c>
      <c r="I467" s="138" t="s">
        <v>92</v>
      </c>
      <c r="J467" s="141">
        <f t="shared" si="95"/>
        <v>0.4</v>
      </c>
      <c r="K467" s="140">
        <f t="shared" si="96"/>
        <v>37.338629592850047</v>
      </c>
      <c r="L467" s="140">
        <f t="shared" si="91"/>
        <v>1.0162162162162163</v>
      </c>
      <c r="M467" s="133">
        <f t="shared" si="90"/>
        <v>390</v>
      </c>
      <c r="N467" s="133">
        <f t="shared" si="97"/>
        <v>4150</v>
      </c>
      <c r="O467" s="134">
        <f t="shared" si="98"/>
        <v>41.211519364448854</v>
      </c>
      <c r="P467" s="134">
        <f t="shared" si="94"/>
        <v>1.1216216216216217</v>
      </c>
      <c r="R467" s="144">
        <f t="shared" si="99"/>
        <v>11.021936864633485</v>
      </c>
      <c r="S467" s="95">
        <f t="shared" si="100"/>
        <v>40.070340946706388</v>
      </c>
      <c r="T467" s="104">
        <f t="shared" si="101"/>
        <v>5.01192799826502E-2</v>
      </c>
    </row>
    <row r="468" spans="1:20" ht="14.45" x14ac:dyDescent="0.3">
      <c r="A468" s="60" t="s">
        <v>1</v>
      </c>
      <c r="B468" s="60" t="s">
        <v>11</v>
      </c>
      <c r="C468" s="60" t="s">
        <v>6</v>
      </c>
      <c r="D468" s="60" t="s">
        <v>90</v>
      </c>
      <c r="E468" s="137">
        <v>40700</v>
      </c>
      <c r="F468" s="137">
        <v>40703</v>
      </c>
      <c r="G468" s="92">
        <v>3959</v>
      </c>
      <c r="H468" s="138">
        <v>1357</v>
      </c>
      <c r="I468" s="138" t="s">
        <v>92</v>
      </c>
      <c r="J468" s="141">
        <f t="shared" si="95"/>
        <v>0.4</v>
      </c>
      <c r="K468" s="140">
        <f t="shared" si="96"/>
        <v>39.314796425024824</v>
      </c>
      <c r="L468" s="140">
        <f t="shared" si="91"/>
        <v>1.07</v>
      </c>
      <c r="M468" s="133">
        <f t="shared" si="90"/>
        <v>542.80000000000007</v>
      </c>
      <c r="N468" s="133">
        <f t="shared" si="97"/>
        <v>4501.8</v>
      </c>
      <c r="O468" s="134">
        <f t="shared" si="98"/>
        <v>44.705064548162859</v>
      </c>
      <c r="P468" s="134">
        <f t="shared" si="94"/>
        <v>1.2167027027027026</v>
      </c>
      <c r="R468" s="144">
        <f t="shared" si="99"/>
        <v>12.169233069218111</v>
      </c>
      <c r="S468" s="95">
        <f t="shared" si="100"/>
        <v>43.399503475670308</v>
      </c>
      <c r="T468" s="104">
        <f t="shared" si="101"/>
        <v>5.8029035095506165E-2</v>
      </c>
    </row>
    <row r="469" spans="1:20" ht="14.45" x14ac:dyDescent="0.3">
      <c r="A469" s="60" t="s">
        <v>134</v>
      </c>
      <c r="B469" s="60" t="s">
        <v>13</v>
      </c>
      <c r="C469" s="60" t="s">
        <v>7</v>
      </c>
      <c r="D469" s="60" t="s">
        <v>90</v>
      </c>
      <c r="E469" s="137">
        <v>40700</v>
      </c>
      <c r="F469" s="137">
        <v>40703</v>
      </c>
      <c r="G469" s="92">
        <v>2812</v>
      </c>
      <c r="H469" s="138">
        <v>1006</v>
      </c>
      <c r="I469" s="138" t="s">
        <v>92</v>
      </c>
      <c r="J469" s="141">
        <f t="shared" si="95"/>
        <v>0.4</v>
      </c>
      <c r="K469" s="140">
        <f t="shared" si="96"/>
        <v>27.924528301886792</v>
      </c>
      <c r="L469" s="140">
        <f t="shared" si="91"/>
        <v>0.70933333333333337</v>
      </c>
      <c r="M469" s="133">
        <f t="shared" si="90"/>
        <v>402.40000000000003</v>
      </c>
      <c r="N469" s="133">
        <f t="shared" si="97"/>
        <v>3214.4</v>
      </c>
      <c r="O469" s="134">
        <f t="shared" si="98"/>
        <v>31.920556107249254</v>
      </c>
      <c r="P469" s="134">
        <f t="shared" si="94"/>
        <v>0.81083963963963968</v>
      </c>
      <c r="R469" s="144">
        <f t="shared" si="99"/>
        <v>7.6418190342241177</v>
      </c>
      <c r="S469" s="95">
        <f t="shared" si="100"/>
        <v>31.487653095001651</v>
      </c>
      <c r="T469" s="104">
        <f t="shared" si="101"/>
        <v>4.072339773746747E-2</v>
      </c>
    </row>
    <row r="470" spans="1:20" ht="14.45" x14ac:dyDescent="0.3">
      <c r="A470" s="60" t="s">
        <v>134</v>
      </c>
      <c r="B470" s="60" t="s">
        <v>14</v>
      </c>
      <c r="C470" s="60" t="s">
        <v>15</v>
      </c>
      <c r="D470" s="60" t="s">
        <v>90</v>
      </c>
      <c r="E470" s="137">
        <v>40700</v>
      </c>
      <c r="F470" s="137">
        <v>40703</v>
      </c>
      <c r="G470" s="92">
        <v>3760</v>
      </c>
      <c r="H470" s="138">
        <v>866</v>
      </c>
      <c r="I470" s="138" t="s">
        <v>94</v>
      </c>
      <c r="J470" s="141">
        <f t="shared" si="95"/>
        <v>0.52</v>
      </c>
      <c r="K470" s="140">
        <f t="shared" si="96"/>
        <v>37.338629592850047</v>
      </c>
      <c r="L470" s="140">
        <f t="shared" si="91"/>
        <v>0.94846846846846844</v>
      </c>
      <c r="M470" s="133">
        <f t="shared" si="90"/>
        <v>450.32</v>
      </c>
      <c r="N470" s="133">
        <f t="shared" si="97"/>
        <v>4210.32</v>
      </c>
      <c r="O470" s="134">
        <f t="shared" si="98"/>
        <v>41.810526315789467</v>
      </c>
      <c r="P470" s="134">
        <f t="shared" si="94"/>
        <v>1.0620627027027028</v>
      </c>
      <c r="R470" s="144">
        <f t="shared" si="99"/>
        <v>13.644387581582906</v>
      </c>
      <c r="S470" s="95">
        <f t="shared" si="100"/>
        <v>41.351870241641841</v>
      </c>
      <c r="T470" s="104">
        <f t="shared" si="101"/>
        <v>3.1461371803001459E-2</v>
      </c>
    </row>
    <row r="471" spans="1:20" ht="14.45" x14ac:dyDescent="0.3">
      <c r="A471" s="60" t="s">
        <v>134</v>
      </c>
      <c r="B471" s="60" t="s">
        <v>16</v>
      </c>
      <c r="C471" s="60" t="s">
        <v>17</v>
      </c>
      <c r="D471" s="60" t="s">
        <v>90</v>
      </c>
      <c r="E471" s="137">
        <v>40700</v>
      </c>
      <c r="F471" s="137">
        <v>40703</v>
      </c>
      <c r="G471" s="92">
        <v>1843</v>
      </c>
      <c r="H471" s="138">
        <v>213</v>
      </c>
      <c r="I471" s="138" t="s">
        <v>92</v>
      </c>
      <c r="J471" s="141">
        <f t="shared" si="95"/>
        <v>0.4</v>
      </c>
      <c r="K471" s="140">
        <f t="shared" si="96"/>
        <v>18.30188679245283</v>
      </c>
      <c r="L471" s="140">
        <f t="shared" si="91"/>
        <v>0.46490090090090092</v>
      </c>
      <c r="M471" s="133">
        <f t="shared" si="90"/>
        <v>85.2</v>
      </c>
      <c r="N471" s="133">
        <f t="shared" si="97"/>
        <v>1928.2</v>
      </c>
      <c r="O471" s="134">
        <f t="shared" si="98"/>
        <v>19.147964250248261</v>
      </c>
      <c r="P471" s="134">
        <f t="shared" si="94"/>
        <v>0.48639279279279279</v>
      </c>
      <c r="R471" s="144">
        <f t="shared" si="99"/>
        <v>-1.3506599815819031</v>
      </c>
      <c r="S471" s="95">
        <f t="shared" si="100"/>
        <v>19.056305858987088</v>
      </c>
      <c r="T471" s="104">
        <f t="shared" si="101"/>
        <v>1.3879642838273254E-2</v>
      </c>
    </row>
    <row r="472" spans="1:20" ht="14.45" x14ac:dyDescent="0.3">
      <c r="A472" s="60" t="s">
        <v>134</v>
      </c>
      <c r="B472" s="60" t="s">
        <v>18</v>
      </c>
      <c r="C472" s="60" t="s">
        <v>19</v>
      </c>
      <c r="D472" s="60" t="s">
        <v>90</v>
      </c>
      <c r="E472" s="137">
        <v>40700</v>
      </c>
      <c r="F472" s="137">
        <v>40703</v>
      </c>
      <c r="G472" s="92">
        <v>3196</v>
      </c>
      <c r="H472" s="138">
        <v>650</v>
      </c>
      <c r="I472" s="138" t="s">
        <v>94</v>
      </c>
      <c r="J472" s="141">
        <f t="shared" si="95"/>
        <v>0.52</v>
      </c>
      <c r="K472" s="140">
        <f t="shared" si="96"/>
        <v>31.737835153922543</v>
      </c>
      <c r="L472" s="140">
        <f t="shared" si="91"/>
        <v>0.80619819819819816</v>
      </c>
      <c r="M472" s="133">
        <f t="shared" si="90"/>
        <v>338</v>
      </c>
      <c r="N472" s="133">
        <f t="shared" si="97"/>
        <v>3534</v>
      </c>
      <c r="O472" s="134">
        <f t="shared" si="98"/>
        <v>35.094339622641506</v>
      </c>
      <c r="P472" s="134">
        <f t="shared" si="94"/>
        <v>0.89145945945945948</v>
      </c>
      <c r="R472" s="144">
        <f t="shared" si="99"/>
        <v>11.535426858134755</v>
      </c>
      <c r="S472" s="95">
        <f t="shared" si="100"/>
        <v>34.750082754054944</v>
      </c>
      <c r="T472" s="104">
        <f t="shared" si="101"/>
        <v>2.8006267136701624E-2</v>
      </c>
    </row>
    <row r="473" spans="1:20" ht="14.45" x14ac:dyDescent="0.3">
      <c r="A473" s="60" t="s">
        <v>134</v>
      </c>
      <c r="B473" s="60" t="s">
        <v>18</v>
      </c>
      <c r="C473" s="60" t="s">
        <v>20</v>
      </c>
      <c r="D473" s="60" t="s">
        <v>90</v>
      </c>
      <c r="E473" s="137">
        <v>40700</v>
      </c>
      <c r="F473" s="137">
        <v>40703</v>
      </c>
      <c r="G473" s="92">
        <v>2760</v>
      </c>
      <c r="H473" s="138">
        <v>417</v>
      </c>
      <c r="I473" s="138" t="s">
        <v>94</v>
      </c>
      <c r="J473" s="141">
        <f t="shared" si="95"/>
        <v>0.52</v>
      </c>
      <c r="K473" s="140">
        <f t="shared" si="96"/>
        <v>27.408142999006952</v>
      </c>
      <c r="L473" s="140">
        <f t="shared" si="91"/>
        <v>0.69621621621621621</v>
      </c>
      <c r="M473" s="133">
        <f t="shared" si="90"/>
        <v>216.84</v>
      </c>
      <c r="N473" s="133">
        <f t="shared" si="97"/>
        <v>2976.84</v>
      </c>
      <c r="O473" s="134">
        <f t="shared" si="98"/>
        <v>29.561469712015889</v>
      </c>
      <c r="P473" s="134">
        <f t="shared" si="94"/>
        <v>0.75091459459459464</v>
      </c>
      <c r="R473" s="144">
        <f t="shared" si="99"/>
        <v>11.509257975943864</v>
      </c>
      <c r="S473" s="95">
        <f t="shared" si="100"/>
        <v>29.340615690168818</v>
      </c>
      <c r="T473" s="104">
        <f t="shared" si="101"/>
        <v>2.1137469586374635E-2</v>
      </c>
    </row>
    <row r="474" spans="1:20" ht="14.45" x14ac:dyDescent="0.3">
      <c r="A474" s="60" t="s">
        <v>134</v>
      </c>
      <c r="B474" s="60" t="s">
        <v>16</v>
      </c>
      <c r="C474" s="60" t="s">
        <v>21</v>
      </c>
      <c r="D474" s="60" t="s">
        <v>90</v>
      </c>
      <c r="E474" s="137">
        <v>40700</v>
      </c>
      <c r="F474" s="137">
        <v>40703</v>
      </c>
      <c r="G474" s="92">
        <v>2938</v>
      </c>
      <c r="H474" s="138">
        <v>626</v>
      </c>
      <c r="I474" s="138" t="s">
        <v>92</v>
      </c>
      <c r="J474" s="141">
        <f t="shared" si="95"/>
        <v>0.4</v>
      </c>
      <c r="K474" s="140">
        <f t="shared" si="96"/>
        <v>29.175769612711022</v>
      </c>
      <c r="L474" s="140">
        <f t="shared" si="91"/>
        <v>0.74111711711711714</v>
      </c>
      <c r="M474" s="133">
        <f t="shared" si="90"/>
        <v>250.4</v>
      </c>
      <c r="N474" s="133">
        <f t="shared" si="97"/>
        <v>3188.4</v>
      </c>
      <c r="O474" s="134">
        <f t="shared" si="98"/>
        <v>31.662363455809334</v>
      </c>
      <c r="P474" s="134">
        <f t="shared" si="94"/>
        <v>0.8042810810810811</v>
      </c>
      <c r="R474" s="144">
        <f t="shared" si="99"/>
        <v>7.2379927351002404</v>
      </c>
      <c r="S474" s="95">
        <f t="shared" si="100"/>
        <v>31.392982456140356</v>
      </c>
      <c r="T474" s="104">
        <f t="shared" si="101"/>
        <v>2.5034045956637607E-2</v>
      </c>
    </row>
    <row r="475" spans="1:20" ht="14.45" x14ac:dyDescent="0.3">
      <c r="A475" s="60" t="s">
        <v>134</v>
      </c>
      <c r="B475" s="60" t="s">
        <v>16</v>
      </c>
      <c r="C475" s="60" t="s">
        <v>6</v>
      </c>
      <c r="D475" s="60" t="s">
        <v>90</v>
      </c>
      <c r="E475" s="137">
        <v>40700</v>
      </c>
      <c r="F475" s="137">
        <v>40703</v>
      </c>
      <c r="G475" s="92">
        <v>4835</v>
      </c>
      <c r="H475" s="138">
        <v>1823</v>
      </c>
      <c r="I475" s="138" t="s">
        <v>92</v>
      </c>
      <c r="J475" s="141">
        <f t="shared" si="95"/>
        <v>0.4</v>
      </c>
      <c r="K475" s="140">
        <f t="shared" si="96"/>
        <v>48.013902681231379</v>
      </c>
      <c r="L475" s="140">
        <f t="shared" si="91"/>
        <v>1.2196396396396396</v>
      </c>
      <c r="M475" s="133">
        <f t="shared" si="90"/>
        <v>729.2</v>
      </c>
      <c r="N475" s="133">
        <f t="shared" si="97"/>
        <v>5564.2</v>
      </c>
      <c r="O475" s="134">
        <f t="shared" si="98"/>
        <v>55.255213505461761</v>
      </c>
      <c r="P475" s="134">
        <f t="shared" si="94"/>
        <v>1.4035819819819819</v>
      </c>
      <c r="R475" s="144">
        <f t="shared" si="99"/>
        <v>20.239432967412906</v>
      </c>
      <c r="S475" s="95">
        <f t="shared" si="100"/>
        <v>51.405527970870573</v>
      </c>
      <c r="T475" s="104">
        <f t="shared" si="101"/>
        <v>7.9037110637085739E-2</v>
      </c>
    </row>
    <row r="476" spans="1:20" ht="14.45" x14ac:dyDescent="0.3">
      <c r="A476" s="60" t="s">
        <v>22</v>
      </c>
      <c r="B476" s="60" t="s">
        <v>23</v>
      </c>
      <c r="C476" s="60" t="s">
        <v>7</v>
      </c>
      <c r="D476" s="60" t="s">
        <v>90</v>
      </c>
      <c r="E476" s="137">
        <v>40700</v>
      </c>
      <c r="F476" s="137">
        <v>40703</v>
      </c>
      <c r="G476" s="92">
        <v>3089</v>
      </c>
      <c r="H476" s="138">
        <v>1295</v>
      </c>
      <c r="I476" s="138" t="s">
        <v>95</v>
      </c>
      <c r="J476" s="141">
        <f t="shared" si="95"/>
        <v>0.33929999999999999</v>
      </c>
      <c r="K476" s="140">
        <f t="shared" si="96"/>
        <v>30.675273088381331</v>
      </c>
      <c r="L476" s="140">
        <f t="shared" si="91"/>
        <v>0.83486486486486489</v>
      </c>
      <c r="M476" s="133">
        <f t="shared" si="90"/>
        <v>439.39349999999996</v>
      </c>
      <c r="N476" s="133">
        <f t="shared" si="97"/>
        <v>3528.3935000000001</v>
      </c>
      <c r="O476" s="134">
        <f t="shared" si="98"/>
        <v>35.03866434955313</v>
      </c>
      <c r="P476" s="134">
        <f t="shared" si="94"/>
        <v>0.95361986486486494</v>
      </c>
      <c r="R476" s="144">
        <f t="shared" si="99"/>
        <v>11.144418868189021</v>
      </c>
      <c r="S476" s="95">
        <f t="shared" si="100"/>
        <v>35.642980801059252</v>
      </c>
      <c r="T476" s="104">
        <f t="shared" si="101"/>
        <v>-1.1486191599599849E-2</v>
      </c>
    </row>
    <row r="477" spans="1:20" ht="14.45" x14ac:dyDescent="0.3">
      <c r="A477" s="60" t="s">
        <v>22</v>
      </c>
      <c r="B477" s="60" t="s">
        <v>14</v>
      </c>
      <c r="C477" s="60" t="s">
        <v>24</v>
      </c>
      <c r="D477" s="60" t="s">
        <v>90</v>
      </c>
      <c r="E477" s="137">
        <v>40700</v>
      </c>
      <c r="F477" s="137">
        <v>40703</v>
      </c>
      <c r="G477" s="92">
        <v>2921</v>
      </c>
      <c r="H477" s="138">
        <v>615</v>
      </c>
      <c r="I477" s="138" t="s">
        <v>94</v>
      </c>
      <c r="J477" s="141">
        <f t="shared" si="95"/>
        <v>0.52</v>
      </c>
      <c r="K477" s="140">
        <f t="shared" si="96"/>
        <v>29.006951340615689</v>
      </c>
      <c r="L477" s="140">
        <f t="shared" si="91"/>
        <v>0.7894594594594595</v>
      </c>
      <c r="M477" s="133">
        <f t="shared" si="90"/>
        <v>319.8</v>
      </c>
      <c r="N477" s="133">
        <f t="shared" si="97"/>
        <v>3240.8</v>
      </c>
      <c r="O477" s="134">
        <f t="shared" si="98"/>
        <v>32.182720953326715</v>
      </c>
      <c r="P477" s="134">
        <f t="shared" si="94"/>
        <v>0.87589189189189198</v>
      </c>
      <c r="R477" s="144">
        <f t="shared" si="99"/>
        <v>11.212916731010104</v>
      </c>
      <c r="S477" s="95">
        <f t="shared" si="100"/>
        <v>31.857000993048661</v>
      </c>
      <c r="T477" s="104">
        <f t="shared" si="101"/>
        <v>2.8930656231958451E-2</v>
      </c>
    </row>
    <row r="478" spans="1:20" ht="14.45" x14ac:dyDescent="0.3">
      <c r="A478" s="60" t="s">
        <v>22</v>
      </c>
      <c r="B478" s="60" t="s">
        <v>18</v>
      </c>
      <c r="C478" s="60" t="s">
        <v>15</v>
      </c>
      <c r="D478" s="60" t="s">
        <v>90</v>
      </c>
      <c r="E478" s="137">
        <v>40700</v>
      </c>
      <c r="F478" s="137">
        <v>40703</v>
      </c>
      <c r="G478" s="92">
        <v>3830</v>
      </c>
      <c r="H478" s="138">
        <v>872</v>
      </c>
      <c r="I478" s="138" t="s">
        <v>94</v>
      </c>
      <c r="J478" s="141">
        <f t="shared" si="95"/>
        <v>0.52</v>
      </c>
      <c r="K478" s="140">
        <f t="shared" si="96"/>
        <v>38.033763654419069</v>
      </c>
      <c r="L478" s="140">
        <f t="shared" si="91"/>
        <v>1.0351351351351352</v>
      </c>
      <c r="M478" s="133">
        <f t="shared" si="90"/>
        <v>453.44</v>
      </c>
      <c r="N478" s="133">
        <f t="shared" si="97"/>
        <v>4283.4399999999996</v>
      </c>
      <c r="O478" s="134">
        <f t="shared" si="98"/>
        <v>42.536643495531273</v>
      </c>
      <c r="P478" s="134">
        <f t="shared" si="94"/>
        <v>1.1576864864864864</v>
      </c>
      <c r="R478" s="144">
        <f t="shared" si="99"/>
        <v>13.45538533257049</v>
      </c>
      <c r="S478" s="95">
        <f t="shared" si="100"/>
        <v>42.074809665673619</v>
      </c>
      <c r="T478" s="104">
        <f t="shared" si="101"/>
        <v>3.1124869393662102E-2</v>
      </c>
    </row>
    <row r="479" spans="1:20" ht="14.45" x14ac:dyDescent="0.3">
      <c r="A479" s="60" t="s">
        <v>22</v>
      </c>
      <c r="B479" s="60" t="s">
        <v>18</v>
      </c>
      <c r="C479" s="60" t="s">
        <v>24</v>
      </c>
      <c r="D479" s="60" t="s">
        <v>90</v>
      </c>
      <c r="E479" s="137">
        <v>40700</v>
      </c>
      <c r="F479" s="137">
        <v>40703</v>
      </c>
      <c r="G479" s="92">
        <v>2613</v>
      </c>
      <c r="H479" s="138">
        <v>417</v>
      </c>
      <c r="I479" s="138" t="s">
        <v>94</v>
      </c>
      <c r="J479" s="141">
        <f t="shared" si="95"/>
        <v>0.52</v>
      </c>
      <c r="K479" s="140">
        <f t="shared" si="96"/>
        <v>25.948361469712015</v>
      </c>
      <c r="L479" s="140">
        <f t="shared" si="91"/>
        <v>0.70621621621621622</v>
      </c>
      <c r="M479" s="133">
        <f t="shared" si="90"/>
        <v>216.84</v>
      </c>
      <c r="N479" s="133">
        <f t="shared" si="97"/>
        <v>2829.84</v>
      </c>
      <c r="O479" s="134">
        <f t="shared" si="98"/>
        <v>28.101688182720952</v>
      </c>
      <c r="P479" s="134">
        <f t="shared" si="94"/>
        <v>0.76482162162162171</v>
      </c>
      <c r="R479" s="144">
        <f t="shared" si="99"/>
        <v>10.731377098830407</v>
      </c>
      <c r="S479" s="95">
        <f t="shared" si="100"/>
        <v>27.880834160873878</v>
      </c>
      <c r="T479" s="104">
        <f t="shared" si="101"/>
        <v>2.2268828010078234E-2</v>
      </c>
    </row>
    <row r="480" spans="1:20" ht="14.45" x14ac:dyDescent="0.3">
      <c r="A480" s="60" t="s">
        <v>22</v>
      </c>
      <c r="B480" s="60" t="s">
        <v>13</v>
      </c>
      <c r="C480" s="60" t="s">
        <v>7</v>
      </c>
      <c r="D480" s="60" t="s">
        <v>90</v>
      </c>
      <c r="E480" s="137">
        <v>40700</v>
      </c>
      <c r="F480" s="137">
        <v>40703</v>
      </c>
      <c r="G480" s="92">
        <v>3156</v>
      </c>
      <c r="H480" s="138">
        <v>1006</v>
      </c>
      <c r="I480" s="138" t="s">
        <v>92</v>
      </c>
      <c r="J480" s="141">
        <f t="shared" si="95"/>
        <v>0.4</v>
      </c>
      <c r="K480" s="140">
        <f t="shared" si="96"/>
        <v>31.340615690168818</v>
      </c>
      <c r="L480" s="140">
        <f t="shared" si="91"/>
        <v>0.85297297297297292</v>
      </c>
      <c r="M480" s="133">
        <f>H480*J480</f>
        <v>402.40000000000003</v>
      </c>
      <c r="N480" s="133">
        <f>G480+M480</f>
        <v>3558.4</v>
      </c>
      <c r="O480" s="134">
        <f>N480/100.7</f>
        <v>35.336643495531284</v>
      </c>
      <c r="P480" s="134">
        <f>IF(A480="corn",N480/(111*2000/56),N480/(111*2000/60))</f>
        <v>0.96172972972972981</v>
      </c>
      <c r="R480" s="144">
        <f t="shared" si="99"/>
        <v>9.8542850086441156</v>
      </c>
      <c r="S480" s="95">
        <f t="shared" si="100"/>
        <v>34.903740483283684</v>
      </c>
      <c r="T480" s="104">
        <f t="shared" si="101"/>
        <v>3.6591887693911085E-2</v>
      </c>
    </row>
    <row r="481" spans="1:20" ht="14.45" x14ac:dyDescent="0.3">
      <c r="A481" s="60" t="s">
        <v>1</v>
      </c>
      <c r="B481" s="60" t="s">
        <v>25</v>
      </c>
      <c r="C481" s="60" t="s">
        <v>26</v>
      </c>
      <c r="D481" s="60" t="s">
        <v>91</v>
      </c>
      <c r="E481" s="137">
        <v>40700</v>
      </c>
      <c r="F481" s="137">
        <v>40703</v>
      </c>
      <c r="G481" s="92">
        <v>3239</v>
      </c>
      <c r="H481" s="138">
        <v>880</v>
      </c>
      <c r="I481" s="138" t="s">
        <v>93</v>
      </c>
      <c r="J481" s="141">
        <f t="shared" si="95"/>
        <v>0.4</v>
      </c>
      <c r="K481" s="140">
        <f t="shared" si="96"/>
        <v>32.164846077457796</v>
      </c>
      <c r="L481" s="140">
        <f t="shared" si="91"/>
        <v>0.87540540540540546</v>
      </c>
      <c r="M481" s="133">
        <f t="shared" si="90"/>
        <v>352</v>
      </c>
      <c r="N481" s="133">
        <f t="shared" si="97"/>
        <v>3591</v>
      </c>
      <c r="O481" s="134">
        <f t="shared" si="98"/>
        <v>35.660377358490564</v>
      </c>
      <c r="P481" s="134">
        <f t="shared" si="94"/>
        <v>0.97054054054054051</v>
      </c>
      <c r="R481" s="144">
        <f t="shared" si="99"/>
        <v>13.109487211792858</v>
      </c>
      <c r="S481" s="95">
        <f t="shared" si="100"/>
        <v>35.194306521019534</v>
      </c>
      <c r="T481" s="104">
        <f t="shared" si="101"/>
        <v>7.779174438407277E-2</v>
      </c>
    </row>
    <row r="482" spans="1:20" ht="14.45" x14ac:dyDescent="0.3">
      <c r="A482" s="60" t="s">
        <v>1</v>
      </c>
      <c r="B482" s="60" t="s">
        <v>2</v>
      </c>
      <c r="C482" s="60" t="s">
        <v>9</v>
      </c>
      <c r="D482" s="60" t="s">
        <v>91</v>
      </c>
      <c r="E482" s="137">
        <v>40700</v>
      </c>
      <c r="F482" s="137">
        <v>40703</v>
      </c>
      <c r="G482" s="92">
        <v>3144</v>
      </c>
      <c r="H482" s="138">
        <v>685</v>
      </c>
      <c r="I482" s="138" t="s">
        <v>93</v>
      </c>
      <c r="J482" s="141">
        <f t="shared" si="95"/>
        <v>0.4</v>
      </c>
      <c r="K482" s="140">
        <f t="shared" si="96"/>
        <v>31.221449851042699</v>
      </c>
      <c r="L482" s="140">
        <f t="shared" si="91"/>
        <v>0.84972972972972971</v>
      </c>
      <c r="M482" s="133">
        <f t="shared" si="90"/>
        <v>274</v>
      </c>
      <c r="N482" s="133">
        <f t="shared" si="97"/>
        <v>3418</v>
      </c>
      <c r="O482" s="134">
        <f t="shared" si="98"/>
        <v>33.942403177755708</v>
      </c>
      <c r="P482" s="134">
        <f t="shared" si="94"/>
        <v>0.92378378378378379</v>
      </c>
      <c r="R482" s="144">
        <f t="shared" si="99"/>
        <v>7.4133433895855028</v>
      </c>
      <c r="S482" s="95">
        <f t="shared" si="100"/>
        <v>33.57960940086064</v>
      </c>
      <c r="T482" s="104">
        <f t="shared" si="101"/>
        <v>4.9075218333272996E-2</v>
      </c>
    </row>
    <row r="483" spans="1:20" ht="14.45" x14ac:dyDescent="0.3">
      <c r="A483" s="60" t="s">
        <v>1</v>
      </c>
      <c r="B483" s="60" t="s">
        <v>27</v>
      </c>
      <c r="C483" s="60" t="s">
        <v>28</v>
      </c>
      <c r="D483" s="60" t="s">
        <v>91</v>
      </c>
      <c r="E483" s="137">
        <v>40700</v>
      </c>
      <c r="F483" s="137">
        <v>40703</v>
      </c>
      <c r="G483" s="92">
        <v>3497</v>
      </c>
      <c r="H483" s="138">
        <v>812</v>
      </c>
      <c r="I483" s="138" t="s">
        <v>94</v>
      </c>
      <c r="J483" s="141">
        <f t="shared" si="95"/>
        <v>0.52</v>
      </c>
      <c r="K483" s="140">
        <f t="shared" si="96"/>
        <v>34.726911618669313</v>
      </c>
      <c r="L483" s="140">
        <f t="shared" si="91"/>
        <v>0.94513513513513514</v>
      </c>
      <c r="M483" s="133">
        <f t="shared" si="90"/>
        <v>422.24</v>
      </c>
      <c r="N483" s="133">
        <f t="shared" si="97"/>
        <v>3919.24</v>
      </c>
      <c r="O483" s="134">
        <f t="shared" si="98"/>
        <v>38.919960278053622</v>
      </c>
      <c r="P483" s="134">
        <f t="shared" si="94"/>
        <v>1.059254054054054</v>
      </c>
      <c r="R483" s="144">
        <f t="shared" si="99"/>
        <v>-2.7541784112112389</v>
      </c>
      <c r="S483" s="95">
        <f t="shared" si="100"/>
        <v>38.48990400529626</v>
      </c>
      <c r="T483" s="104">
        <f t="shared" si="101"/>
        <v>3.1700400691361263E-2</v>
      </c>
    </row>
    <row r="484" spans="1:20" ht="14.45" x14ac:dyDescent="0.3">
      <c r="A484" s="60" t="s">
        <v>1</v>
      </c>
      <c r="B484" s="60" t="s">
        <v>4</v>
      </c>
      <c r="C484" s="60" t="s">
        <v>26</v>
      </c>
      <c r="D484" s="60" t="s">
        <v>91</v>
      </c>
      <c r="E484" s="137">
        <v>40700</v>
      </c>
      <c r="F484" s="137">
        <v>40703</v>
      </c>
      <c r="G484" s="92">
        <v>4702</v>
      </c>
      <c r="H484" s="138">
        <v>1520</v>
      </c>
      <c r="I484" s="138" t="s">
        <v>93</v>
      </c>
      <c r="J484" s="141">
        <f t="shared" si="95"/>
        <v>0.4</v>
      </c>
      <c r="K484" s="140">
        <f t="shared" si="96"/>
        <v>46.693147964250244</v>
      </c>
      <c r="L484" s="140">
        <f t="shared" si="91"/>
        <v>1.2708108108108107</v>
      </c>
      <c r="M484" s="133">
        <f t="shared" si="90"/>
        <v>608</v>
      </c>
      <c r="N484" s="133">
        <f t="shared" si="97"/>
        <v>5310</v>
      </c>
      <c r="O484" s="134">
        <f t="shared" si="98"/>
        <v>52.730883813306853</v>
      </c>
      <c r="P484" s="134">
        <f t="shared" si="94"/>
        <v>1.4351351351351351</v>
      </c>
      <c r="R484" s="144">
        <f t="shared" si="99"/>
        <v>12.209965766451125</v>
      </c>
      <c r="S484" s="95">
        <f t="shared" si="100"/>
        <v>51.925852366765973</v>
      </c>
      <c r="T484" s="104">
        <f t="shared" si="101"/>
        <v>8.7231948545210214E-2</v>
      </c>
    </row>
    <row r="485" spans="1:20" ht="14.45" x14ac:dyDescent="0.3">
      <c r="A485" s="60" t="s">
        <v>1</v>
      </c>
      <c r="B485" s="60" t="s">
        <v>4</v>
      </c>
      <c r="C485" s="60" t="s">
        <v>9</v>
      </c>
      <c r="D485" s="60" t="s">
        <v>91</v>
      </c>
      <c r="E485" s="137">
        <v>40700</v>
      </c>
      <c r="F485" s="137">
        <v>40703</v>
      </c>
      <c r="G485" s="92">
        <f>2856+2792</f>
        <v>5648</v>
      </c>
      <c r="H485" s="138">
        <v>1583</v>
      </c>
      <c r="I485" s="138" t="s">
        <v>93</v>
      </c>
      <c r="J485" s="141">
        <f t="shared" si="95"/>
        <v>0.4</v>
      </c>
      <c r="K485" s="140">
        <f t="shared" si="96"/>
        <v>56.08738828202582</v>
      </c>
      <c r="L485" s="140">
        <f t="shared" si="91"/>
        <v>1.5264864864864864</v>
      </c>
      <c r="M485" s="133">
        <f t="shared" si="90"/>
        <v>633.20000000000005</v>
      </c>
      <c r="N485" s="133">
        <f t="shared" si="97"/>
        <v>6281.2</v>
      </c>
      <c r="O485" s="134">
        <f t="shared" si="98"/>
        <v>62.375372393247268</v>
      </c>
      <c r="P485" s="134">
        <f t="shared" si="94"/>
        <v>1.6976216216216216</v>
      </c>
      <c r="R485" s="144">
        <f t="shared" si="99"/>
        <v>10.65892906849324</v>
      </c>
      <c r="S485" s="95">
        <f t="shared" si="100"/>
        <v>61.536974511751076</v>
      </c>
      <c r="T485" s="104">
        <f t="shared" si="101"/>
        <v>7.77353222686199E-2</v>
      </c>
    </row>
    <row r="486" spans="1:20" ht="14.45" x14ac:dyDescent="0.3">
      <c r="A486" s="60" t="s">
        <v>1</v>
      </c>
      <c r="B486" s="60" t="s">
        <v>10</v>
      </c>
      <c r="C486" s="60" t="s">
        <v>26</v>
      </c>
      <c r="D486" s="60" t="s">
        <v>91</v>
      </c>
      <c r="E486" s="137">
        <v>40700</v>
      </c>
      <c r="F486" s="137">
        <v>40703</v>
      </c>
      <c r="G486" s="92">
        <v>4727</v>
      </c>
      <c r="H486" s="138">
        <v>1599</v>
      </c>
      <c r="I486" s="138" t="s">
        <v>92</v>
      </c>
      <c r="J486" s="141">
        <f t="shared" si="95"/>
        <v>0.4</v>
      </c>
      <c r="K486" s="140">
        <f t="shared" si="96"/>
        <v>46.941410129096326</v>
      </c>
      <c r="L486" s="140">
        <f t="shared" si="91"/>
        <v>1.2775675675675675</v>
      </c>
      <c r="M486" s="133">
        <f t="shared" si="90"/>
        <v>639.6</v>
      </c>
      <c r="N486" s="133">
        <f t="shared" si="97"/>
        <v>5366.6</v>
      </c>
      <c r="O486" s="134">
        <f t="shared" si="98"/>
        <v>53.29294935451837</v>
      </c>
      <c r="P486" s="134">
        <f t="shared" si="94"/>
        <v>1.4504324324324325</v>
      </c>
      <c r="R486" s="144">
        <f t="shared" si="99"/>
        <v>11.114331856391569</v>
      </c>
      <c r="S486" s="95">
        <f t="shared" si="100"/>
        <v>51.889870903674279</v>
      </c>
      <c r="T486" s="104">
        <f t="shared" si="101"/>
        <v>5.4389835410599163E-2</v>
      </c>
    </row>
    <row r="487" spans="1:20" ht="14.45" x14ac:dyDescent="0.3">
      <c r="A487" s="60" t="s">
        <v>134</v>
      </c>
      <c r="B487" s="60" t="s">
        <v>23</v>
      </c>
      <c r="C487" s="60" t="s">
        <v>26</v>
      </c>
      <c r="D487" s="60" t="s">
        <v>91</v>
      </c>
      <c r="E487" s="137">
        <v>40700</v>
      </c>
      <c r="F487" s="137">
        <v>40703</v>
      </c>
      <c r="G487" s="92">
        <v>4680</v>
      </c>
      <c r="H487" s="138">
        <v>1851</v>
      </c>
      <c r="I487" s="138" t="s">
        <v>93</v>
      </c>
      <c r="J487" s="141">
        <f t="shared" si="95"/>
        <v>0.4</v>
      </c>
      <c r="K487" s="140">
        <f t="shared" si="96"/>
        <v>46.474677259185697</v>
      </c>
      <c r="L487" s="140">
        <f t="shared" si="91"/>
        <v>1.1805405405405405</v>
      </c>
      <c r="M487" s="133">
        <f t="shared" si="90"/>
        <v>740.40000000000009</v>
      </c>
      <c r="N487" s="133">
        <f t="shared" si="97"/>
        <v>5420.4</v>
      </c>
      <c r="O487" s="134">
        <f t="shared" si="98"/>
        <v>53.827209533267123</v>
      </c>
      <c r="P487" s="134">
        <f t="shared" si="94"/>
        <v>1.367308108108108</v>
      </c>
      <c r="R487" s="144">
        <f t="shared" si="99"/>
        <v>13.600449338357645</v>
      </c>
      <c r="S487" s="95">
        <f t="shared" si="100"/>
        <v>52.846871896722938</v>
      </c>
      <c r="T487" s="104">
        <f t="shared" si="101"/>
        <v>9.3517610966245446E-2</v>
      </c>
    </row>
    <row r="488" spans="1:20" ht="14.45" x14ac:dyDescent="0.3">
      <c r="A488" s="60" t="s">
        <v>134</v>
      </c>
      <c r="B488" s="60" t="s">
        <v>8</v>
      </c>
      <c r="C488" s="60" t="s">
        <v>29</v>
      </c>
      <c r="D488" s="60" t="s">
        <v>91</v>
      </c>
      <c r="E488" s="137">
        <v>40700</v>
      </c>
      <c r="F488" s="137">
        <v>40703</v>
      </c>
      <c r="G488" s="92">
        <v>4640</v>
      </c>
      <c r="H488" s="138">
        <v>1695</v>
      </c>
      <c r="I488" s="138" t="s">
        <v>93</v>
      </c>
      <c r="J488" s="141">
        <f t="shared" si="95"/>
        <v>0.4</v>
      </c>
      <c r="K488" s="140">
        <f t="shared" si="96"/>
        <v>46.077457795431975</v>
      </c>
      <c r="L488" s="140">
        <f t="shared" si="91"/>
        <v>1.1704504504504505</v>
      </c>
      <c r="M488" s="133">
        <f t="shared" si="90"/>
        <v>678</v>
      </c>
      <c r="N488" s="133">
        <f t="shared" si="97"/>
        <v>5318</v>
      </c>
      <c r="O488" s="134">
        <f t="shared" si="98"/>
        <v>52.810327706057592</v>
      </c>
      <c r="P488" s="134">
        <f t="shared" si="94"/>
        <v>1.3414774774774776</v>
      </c>
      <c r="R488" s="144">
        <f t="shared" si="99"/>
        <v>13.156158903759829</v>
      </c>
      <c r="S488" s="95">
        <f t="shared" si="100"/>
        <v>51.91261171797418</v>
      </c>
      <c r="T488" s="104">
        <f t="shared" si="101"/>
        <v>8.8255805481248562E-2</v>
      </c>
    </row>
    <row r="489" spans="1:20" ht="14.45" x14ac:dyDescent="0.3">
      <c r="A489" s="60" t="s">
        <v>134</v>
      </c>
      <c r="B489" s="60" t="s">
        <v>13</v>
      </c>
      <c r="C489" s="60" t="s">
        <v>7</v>
      </c>
      <c r="D489" s="60" t="s">
        <v>91</v>
      </c>
      <c r="E489" s="137">
        <v>40700</v>
      </c>
      <c r="F489" s="137">
        <v>40703</v>
      </c>
      <c r="G489" s="92">
        <v>2677</v>
      </c>
      <c r="H489" s="138">
        <v>1006</v>
      </c>
      <c r="I489" s="138" t="s">
        <v>92</v>
      </c>
      <c r="J489" s="141">
        <f t="shared" si="95"/>
        <v>0.4</v>
      </c>
      <c r="K489" s="140">
        <f t="shared" si="96"/>
        <v>26.583912611717974</v>
      </c>
      <c r="L489" s="140">
        <f t="shared" si="91"/>
        <v>0.67527927927927933</v>
      </c>
      <c r="M489" s="133">
        <f t="shared" si="90"/>
        <v>402.40000000000003</v>
      </c>
      <c r="N489" s="133">
        <f t="shared" si="97"/>
        <v>3079.4</v>
      </c>
      <c r="O489" s="134">
        <f t="shared" si="98"/>
        <v>30.579940417080437</v>
      </c>
      <c r="P489" s="134">
        <f t="shared" si="94"/>
        <v>0.77678558558558564</v>
      </c>
      <c r="R489" s="144">
        <f t="shared" si="99"/>
        <v>6.9904801612118872</v>
      </c>
      <c r="S489" s="95">
        <f t="shared" si="100"/>
        <v>30.147037404832833</v>
      </c>
      <c r="T489" s="104">
        <f t="shared" si="101"/>
        <v>4.2611502884879471E-2</v>
      </c>
    </row>
    <row r="490" spans="1:20" ht="14.45" x14ac:dyDescent="0.3">
      <c r="A490" s="60" t="s">
        <v>134</v>
      </c>
      <c r="B490" s="60" t="s">
        <v>30</v>
      </c>
      <c r="C490" s="60" t="s">
        <v>9</v>
      </c>
      <c r="D490" s="60" t="s">
        <v>91</v>
      </c>
      <c r="E490" s="137">
        <v>40700</v>
      </c>
      <c r="F490" s="137">
        <v>40703</v>
      </c>
      <c r="G490" s="92">
        <v>3190</v>
      </c>
      <c r="H490" s="138">
        <v>988</v>
      </c>
      <c r="I490" s="138" t="s">
        <v>93</v>
      </c>
      <c r="J490" s="141">
        <f t="shared" si="95"/>
        <v>0.4</v>
      </c>
      <c r="K490" s="140">
        <f t="shared" si="96"/>
        <v>31.678252234359483</v>
      </c>
      <c r="L490" s="140">
        <f t="shared" si="91"/>
        <v>0.80468468468468468</v>
      </c>
      <c r="M490" s="133">
        <f t="shared" si="90"/>
        <v>395.20000000000005</v>
      </c>
      <c r="N490" s="133">
        <f t="shared" si="97"/>
        <v>3585.2</v>
      </c>
      <c r="O490" s="134">
        <f t="shared" si="98"/>
        <v>35.602780536246271</v>
      </c>
      <c r="P490" s="134">
        <f t="shared" si="94"/>
        <v>0.90437477477477479</v>
      </c>
      <c r="R490" s="144">
        <f t="shared" si="99"/>
        <v>10.16199208475701</v>
      </c>
      <c r="S490" s="95">
        <f t="shared" si="100"/>
        <v>35.079510095994699</v>
      </c>
      <c r="T490" s="104">
        <f t="shared" si="101"/>
        <v>7.7478679230703618E-2</v>
      </c>
    </row>
    <row r="491" spans="1:20" ht="14.45" x14ac:dyDescent="0.3">
      <c r="A491" s="60" t="s">
        <v>134</v>
      </c>
      <c r="B491" s="60" t="s">
        <v>16</v>
      </c>
      <c r="C491" s="60" t="s">
        <v>11</v>
      </c>
      <c r="D491" s="60" t="s">
        <v>91</v>
      </c>
      <c r="E491" s="137">
        <v>40700</v>
      </c>
      <c r="F491" s="137">
        <v>40703</v>
      </c>
      <c r="G491" s="92">
        <v>3330</v>
      </c>
      <c r="H491" s="138">
        <v>787</v>
      </c>
      <c r="I491" s="138" t="s">
        <v>92</v>
      </c>
      <c r="J491" s="141">
        <f t="shared" si="95"/>
        <v>0.4</v>
      </c>
      <c r="K491" s="140">
        <f t="shared" si="96"/>
        <v>33.068520357497519</v>
      </c>
      <c r="L491" s="140">
        <f t="shared" si="91"/>
        <v>0.84</v>
      </c>
      <c r="M491" s="133">
        <f t="shared" si="90"/>
        <v>314.8</v>
      </c>
      <c r="N491" s="133">
        <f t="shared" si="97"/>
        <v>3644.8</v>
      </c>
      <c r="O491" s="134">
        <f t="shared" si="98"/>
        <v>36.194637537239323</v>
      </c>
      <c r="P491" s="134">
        <f t="shared" si="94"/>
        <v>0.91940900900900902</v>
      </c>
      <c r="R491" s="144">
        <f t="shared" si="99"/>
        <v>7.5987483025329094</v>
      </c>
      <c r="S491" s="95">
        <f t="shared" si="100"/>
        <v>35.855974842767296</v>
      </c>
      <c r="T491" s="104">
        <f t="shared" si="101"/>
        <v>2.762477587302814E-2</v>
      </c>
    </row>
    <row r="492" spans="1:20" ht="14.45" x14ac:dyDescent="0.3">
      <c r="A492" s="60" t="s">
        <v>134</v>
      </c>
      <c r="B492" s="60" t="s">
        <v>23</v>
      </c>
      <c r="C492" s="60" t="s">
        <v>29</v>
      </c>
      <c r="D492" s="60" t="s">
        <v>91</v>
      </c>
      <c r="E492" s="137">
        <v>40700</v>
      </c>
      <c r="F492" s="137">
        <v>40703</v>
      </c>
      <c r="G492" s="92">
        <v>4680</v>
      </c>
      <c r="H492" s="138">
        <v>1836</v>
      </c>
      <c r="I492" s="138" t="s">
        <v>93</v>
      </c>
      <c r="J492" s="141">
        <f t="shared" si="95"/>
        <v>0.4</v>
      </c>
      <c r="K492" s="140">
        <f t="shared" si="96"/>
        <v>46.474677259185697</v>
      </c>
      <c r="L492" s="140">
        <f t="shared" si="91"/>
        <v>1.1805405405405405</v>
      </c>
      <c r="M492" s="133">
        <f t="shared" si="90"/>
        <v>734.40000000000009</v>
      </c>
      <c r="N492" s="133">
        <f t="shared" si="97"/>
        <v>5414.4</v>
      </c>
      <c r="O492" s="134">
        <f t="shared" si="98"/>
        <v>53.767626613704067</v>
      </c>
      <c r="P492" s="134">
        <f t="shared" si="94"/>
        <v>1.3657945945945946</v>
      </c>
      <c r="R492" s="144">
        <f t="shared" si="99"/>
        <v>13.639034874154143</v>
      </c>
      <c r="S492" s="95">
        <f t="shared" si="100"/>
        <v>52.795233366434957</v>
      </c>
      <c r="T492" s="104">
        <f t="shared" si="101"/>
        <v>9.3808892875659522E-2</v>
      </c>
    </row>
    <row r="493" spans="1:20" ht="14.45" x14ac:dyDescent="0.3">
      <c r="A493" s="60" t="s">
        <v>134</v>
      </c>
      <c r="B493" s="60" t="s">
        <v>31</v>
      </c>
      <c r="C493" s="60" t="s">
        <v>32</v>
      </c>
      <c r="D493" s="60" t="s">
        <v>91</v>
      </c>
      <c r="E493" s="137">
        <v>40700</v>
      </c>
      <c r="F493" s="137">
        <v>40703</v>
      </c>
      <c r="G493" s="92">
        <v>4080</v>
      </c>
      <c r="H493" s="138">
        <v>1899</v>
      </c>
      <c r="I493" s="138" t="s">
        <v>93</v>
      </c>
      <c r="J493" s="141">
        <f t="shared" si="95"/>
        <v>0.4</v>
      </c>
      <c r="K493" s="140">
        <f t="shared" si="96"/>
        <v>40.51638530287984</v>
      </c>
      <c r="L493" s="140">
        <f t="shared" si="91"/>
        <v>1.0291891891891891</v>
      </c>
      <c r="M493" s="133">
        <f t="shared" si="90"/>
        <v>759.6</v>
      </c>
      <c r="N493" s="133">
        <f t="shared" si="97"/>
        <v>4839.6000000000004</v>
      </c>
      <c r="O493" s="134">
        <f t="shared" si="98"/>
        <v>48.059582919563063</v>
      </c>
      <c r="P493" s="134">
        <f t="shared" si="94"/>
        <v>1.2208000000000001</v>
      </c>
      <c r="R493" s="144">
        <f t="shared" si="99"/>
        <v>13.245693266004309</v>
      </c>
      <c r="S493" s="95">
        <f t="shared" si="100"/>
        <v>47.053823237338634</v>
      </c>
      <c r="T493" s="104">
        <f t="shared" si="101"/>
        <v>0.11596752654895393</v>
      </c>
    </row>
    <row r="494" spans="1:20" ht="14.45" x14ac:dyDescent="0.3">
      <c r="A494" s="60" t="s">
        <v>22</v>
      </c>
      <c r="B494" s="60" t="s">
        <v>8</v>
      </c>
      <c r="C494" s="60" t="s">
        <v>29</v>
      </c>
      <c r="D494" s="60" t="s">
        <v>91</v>
      </c>
      <c r="E494" s="137">
        <v>40700</v>
      </c>
      <c r="F494" s="137">
        <v>40703</v>
      </c>
      <c r="G494" s="92">
        <v>4840</v>
      </c>
      <c r="H494" s="138">
        <v>1695</v>
      </c>
      <c r="I494" s="138" t="s">
        <v>93</v>
      </c>
      <c r="J494" s="141">
        <f t="shared" si="95"/>
        <v>0.4</v>
      </c>
      <c r="K494" s="140">
        <f t="shared" si="96"/>
        <v>48.063555114200597</v>
      </c>
      <c r="L494" s="140">
        <f t="shared" si="91"/>
        <v>1.3081081081081081</v>
      </c>
      <c r="M494" s="133">
        <f t="shared" si="90"/>
        <v>678</v>
      </c>
      <c r="N494" s="133">
        <f t="shared" si="97"/>
        <v>5518</v>
      </c>
      <c r="O494" s="134">
        <f t="shared" si="98"/>
        <v>54.796425024826213</v>
      </c>
      <c r="P494" s="134">
        <f t="shared" si="94"/>
        <v>1.4913513513513514</v>
      </c>
      <c r="R494" s="144">
        <f t="shared" si="99"/>
        <v>10.366621997319836</v>
      </c>
      <c r="S494" s="95">
        <f t="shared" si="100"/>
        <v>53.898709036742794</v>
      </c>
      <c r="T494" s="104">
        <f t="shared" si="101"/>
        <v>8.4728148451630014E-2</v>
      </c>
    </row>
    <row r="495" spans="1:20" ht="14.45" x14ac:dyDescent="0.3">
      <c r="A495" s="60" t="s">
        <v>22</v>
      </c>
      <c r="B495" s="60" t="s">
        <v>23</v>
      </c>
      <c r="C495" s="60" t="s">
        <v>26</v>
      </c>
      <c r="D495" s="60" t="s">
        <v>91</v>
      </c>
      <c r="E495" s="137">
        <v>40700</v>
      </c>
      <c r="F495" s="137">
        <v>40703</v>
      </c>
      <c r="G495" s="92">
        <v>4830</v>
      </c>
      <c r="H495" s="138">
        <v>1851</v>
      </c>
      <c r="I495" s="138" t="s">
        <v>93</v>
      </c>
      <c r="J495" s="141">
        <f t="shared" si="95"/>
        <v>0.4</v>
      </c>
      <c r="K495" s="140">
        <f t="shared" si="96"/>
        <v>47.964250248262161</v>
      </c>
      <c r="L495" s="140">
        <f t="shared" si="91"/>
        <v>1.3054054054054054</v>
      </c>
      <c r="M495" s="133">
        <f t="shared" si="90"/>
        <v>740.40000000000009</v>
      </c>
      <c r="N495" s="133">
        <f t="shared" si="97"/>
        <v>5570.4</v>
      </c>
      <c r="O495" s="134">
        <f t="shared" si="98"/>
        <v>55.316782522343587</v>
      </c>
      <c r="P495" s="134">
        <f t="shared" si="94"/>
        <v>1.5055135135135134</v>
      </c>
      <c r="R495" s="144">
        <f t="shared" si="99"/>
        <v>10.931880369454294</v>
      </c>
      <c r="S495" s="95">
        <f t="shared" si="100"/>
        <v>54.336444885799402</v>
      </c>
      <c r="T495" s="104">
        <f t="shared" si="101"/>
        <v>9.0721349447929756E-2</v>
      </c>
    </row>
    <row r="496" spans="1:20" ht="14.45" x14ac:dyDescent="0.3">
      <c r="A496" s="60" t="s">
        <v>22</v>
      </c>
      <c r="B496" s="60" t="s">
        <v>33</v>
      </c>
      <c r="C496" s="60" t="s">
        <v>29</v>
      </c>
      <c r="D496" s="60" t="s">
        <v>91</v>
      </c>
      <c r="E496" s="137">
        <v>40700</v>
      </c>
      <c r="F496" s="137">
        <v>40703</v>
      </c>
      <c r="G496" s="92">
        <v>4730</v>
      </c>
      <c r="H496" s="138">
        <v>1507</v>
      </c>
      <c r="I496" s="138" t="s">
        <v>93</v>
      </c>
      <c r="J496" s="141">
        <f t="shared" si="95"/>
        <v>0.4</v>
      </c>
      <c r="K496" s="140">
        <f t="shared" si="96"/>
        <v>46.971201588877854</v>
      </c>
      <c r="L496" s="140">
        <f t="shared" si="91"/>
        <v>1.2783783783783784</v>
      </c>
      <c r="M496" s="133">
        <f t="shared" si="90"/>
        <v>602.80000000000007</v>
      </c>
      <c r="N496" s="133">
        <f t="shared" si="97"/>
        <v>5332.8</v>
      </c>
      <c r="O496" s="134">
        <f t="shared" si="98"/>
        <v>52.957298907646475</v>
      </c>
      <c r="P496" s="134">
        <f t="shared" si="94"/>
        <v>1.4412972972972973</v>
      </c>
      <c r="R496" s="144">
        <f t="shared" si="99"/>
        <v>9.6557424916002166</v>
      </c>
      <c r="S496" s="95">
        <f t="shared" si="100"/>
        <v>52.159152598477327</v>
      </c>
      <c r="T496" s="104">
        <f t="shared" si="101"/>
        <v>7.6797232645435587E-2</v>
      </c>
    </row>
    <row r="497" spans="1:20" ht="14.45" x14ac:dyDescent="0.3">
      <c r="A497" s="60" t="s">
        <v>22</v>
      </c>
      <c r="B497" s="60" t="s">
        <v>31</v>
      </c>
      <c r="C497" s="60" t="s">
        <v>7</v>
      </c>
      <c r="D497" s="60" t="s">
        <v>91</v>
      </c>
      <c r="E497" s="137">
        <v>40700</v>
      </c>
      <c r="F497" s="137">
        <v>40703</v>
      </c>
      <c r="G497" s="92">
        <v>3510</v>
      </c>
      <c r="H497" s="138">
        <v>1160</v>
      </c>
      <c r="I497" s="138" t="s">
        <v>92</v>
      </c>
      <c r="J497" s="141">
        <f t="shared" si="95"/>
        <v>0.4</v>
      </c>
      <c r="K497" s="140">
        <f t="shared" si="96"/>
        <v>34.856007944389276</v>
      </c>
      <c r="L497" s="140">
        <f t="shared" si="91"/>
        <v>0.94864864864864862</v>
      </c>
      <c r="M497" s="133">
        <f t="shared" si="90"/>
        <v>464</v>
      </c>
      <c r="N497" s="133">
        <f t="shared" si="97"/>
        <v>3974</v>
      </c>
      <c r="O497" s="134">
        <f t="shared" si="98"/>
        <v>39.46375372393247</v>
      </c>
      <c r="P497" s="134">
        <f t="shared" si="94"/>
        <v>1.074054054054054</v>
      </c>
      <c r="R497" s="144">
        <f t="shared" si="99"/>
        <v>9.1158704008786451</v>
      </c>
      <c r="S497" s="95">
        <f t="shared" si="100"/>
        <v>38.964581264481957</v>
      </c>
      <c r="T497" s="104">
        <f t="shared" si="101"/>
        <v>3.7841650502556945E-2</v>
      </c>
    </row>
    <row r="498" spans="1:20" ht="14.45" x14ac:dyDescent="0.3">
      <c r="A498" s="60" t="s">
        <v>22</v>
      </c>
      <c r="B498" s="60" t="s">
        <v>14</v>
      </c>
      <c r="C498" s="60" t="s">
        <v>24</v>
      </c>
      <c r="D498" s="60" t="s">
        <v>91</v>
      </c>
      <c r="E498" s="137">
        <v>40700</v>
      </c>
      <c r="F498" s="137">
        <v>40703</v>
      </c>
      <c r="G498" s="92">
        <v>2536</v>
      </c>
      <c r="H498" s="138">
        <v>615</v>
      </c>
      <c r="I498" s="138" t="s">
        <v>94</v>
      </c>
      <c r="J498" s="141">
        <f t="shared" si="95"/>
        <v>0.52</v>
      </c>
      <c r="K498" s="140">
        <f t="shared" si="96"/>
        <v>25.183714001986097</v>
      </c>
      <c r="L498" s="140">
        <f t="shared" si="91"/>
        <v>0.6854054054054054</v>
      </c>
      <c r="M498" s="133">
        <f t="shared" si="90"/>
        <v>319.8</v>
      </c>
      <c r="N498" s="133">
        <f t="shared" si="97"/>
        <v>2855.8</v>
      </c>
      <c r="O498" s="134">
        <f t="shared" si="98"/>
        <v>28.359483614697123</v>
      </c>
      <c r="P498" s="134">
        <f t="shared" si="94"/>
        <v>0.77183783783783788</v>
      </c>
      <c r="R498" s="144">
        <f t="shared" si="99"/>
        <v>12.786082423332878</v>
      </c>
      <c r="S498" s="95">
        <f t="shared" si="100"/>
        <v>28.033763654419065</v>
      </c>
      <c r="T498" s="104">
        <f t="shared" si="101"/>
        <v>3.3006440281030391E-2</v>
      </c>
    </row>
    <row r="499" spans="1:20" ht="14.45" x14ac:dyDescent="0.3">
      <c r="A499" s="85" t="s">
        <v>22</v>
      </c>
      <c r="B499" s="85" t="s">
        <v>34</v>
      </c>
      <c r="C499" s="85" t="s">
        <v>26</v>
      </c>
      <c r="D499" s="85" t="s">
        <v>91</v>
      </c>
      <c r="E499" s="142">
        <v>40700</v>
      </c>
      <c r="F499" s="142">
        <v>40703</v>
      </c>
      <c r="G499" s="105">
        <v>4520</v>
      </c>
      <c r="H499" s="143">
        <v>1637</v>
      </c>
      <c r="I499" s="143" t="s">
        <v>92</v>
      </c>
      <c r="J499" s="117">
        <f t="shared" si="95"/>
        <v>0.4</v>
      </c>
      <c r="K499" s="108">
        <f t="shared" si="96"/>
        <v>44.885799404170804</v>
      </c>
      <c r="L499" s="108">
        <f t="shared" si="91"/>
        <v>1.2216216216216216</v>
      </c>
      <c r="M499" s="115">
        <f t="shared" si="90"/>
        <v>654.80000000000007</v>
      </c>
      <c r="N499" s="115">
        <f t="shared" si="97"/>
        <v>5174.8</v>
      </c>
      <c r="O499" s="116">
        <f t="shared" si="98"/>
        <v>51.388282025819265</v>
      </c>
      <c r="P499" s="116">
        <f t="shared" si="94"/>
        <v>1.3985945945945946</v>
      </c>
      <c r="Q499" s="150"/>
      <c r="R499" s="149">
        <f t="shared" si="99"/>
        <v>11.348280759134145</v>
      </c>
      <c r="S499" s="140">
        <f t="shared" si="100"/>
        <v>50.683846408474018</v>
      </c>
      <c r="T499" s="151">
        <f t="shared" si="101"/>
        <v>4.118687057575543E-2</v>
      </c>
    </row>
    <row r="500" spans="1:20" ht="14.45" x14ac:dyDescent="0.3">
      <c r="A500" s="45" t="s">
        <v>1</v>
      </c>
      <c r="B500" s="45" t="s">
        <v>2</v>
      </c>
      <c r="C500" s="45" t="s">
        <v>3</v>
      </c>
      <c r="D500" s="45" t="s">
        <v>90</v>
      </c>
      <c r="E500" s="124">
        <v>40729</v>
      </c>
      <c r="G500" s="92">
        <v>2992</v>
      </c>
      <c r="H500">
        <v>506</v>
      </c>
      <c r="I500" t="s">
        <v>92</v>
      </c>
      <c r="J500" s="127">
        <f>IF(I500="BNSF",0.39,IF(I500="CN",0.3393,IF(I500="CSX",0.52,0.39)))</f>
        <v>0.39</v>
      </c>
      <c r="K500" s="103">
        <f>G500/100.7</f>
        <v>29.712015888778549</v>
      </c>
      <c r="L500" s="103">
        <f>IF(A500="corn",G500/(111*2000/56),G500/(111*2000/60))</f>
        <v>0.8086486486486486</v>
      </c>
      <c r="M500" s="133">
        <f>H500*J500</f>
        <v>197.34</v>
      </c>
      <c r="N500" s="133">
        <f>G500+M500</f>
        <v>3189.34</v>
      </c>
      <c r="O500" s="134">
        <f>N500/100.7</f>
        <v>31.671698113207547</v>
      </c>
      <c r="P500" s="134">
        <f t="shared" ref="P500:P537" si="102">IF(A500="corn",N500/(111*2000/56),N500/(111*2000/60))</f>
        <v>0.86198378378378382</v>
      </c>
      <c r="Q500" s="150"/>
      <c r="R500" s="149">
        <f>((N500/N44)-1)*100</f>
        <v>10.925848636616585</v>
      </c>
      <c r="S500" s="150"/>
      <c r="T500" s="150"/>
    </row>
    <row r="501" spans="1:20" ht="14.45" x14ac:dyDescent="0.3">
      <c r="A501" s="45" t="s">
        <v>1</v>
      </c>
      <c r="B501" s="45" t="s">
        <v>4</v>
      </c>
      <c r="C501" s="45" t="s">
        <v>5</v>
      </c>
      <c r="D501" s="45" t="s">
        <v>90</v>
      </c>
      <c r="E501" s="124">
        <v>40729</v>
      </c>
      <c r="G501" s="92">
        <f>-839+3661</f>
        <v>2822</v>
      </c>
      <c r="H501">
        <v>298</v>
      </c>
      <c r="I501" t="s">
        <v>93</v>
      </c>
      <c r="J501" s="128">
        <f t="shared" ref="J501:J537" si="103">IF(I501="BNSF",0.39,IF(I501="CN",0.3393,IF(I501="CSX",0.52,0.39)))</f>
        <v>0.39</v>
      </c>
      <c r="K501" s="103">
        <f t="shared" ref="K501:K536" si="104">G501/100.7</f>
        <v>28.023833167825224</v>
      </c>
      <c r="L501" s="103">
        <f t="shared" ref="L501:L537" si="105">IF(A501="corn",G501/(111*2000/56),G501/(111*2000/60))</f>
        <v>0.76270270270270268</v>
      </c>
      <c r="M501" s="133">
        <f t="shared" ref="M501:M537" si="106">H501*J501</f>
        <v>116.22</v>
      </c>
      <c r="N501" s="133">
        <f t="shared" ref="N501:N537" si="107">G501+M501</f>
        <v>2938.22</v>
      </c>
      <c r="O501" s="134">
        <f t="shared" ref="O501:O537" si="108">N501/100.7</f>
        <v>29.177954319761664</v>
      </c>
      <c r="P501" s="134">
        <f t="shared" si="102"/>
        <v>0.79411351351351345</v>
      </c>
      <c r="R501" s="149">
        <f t="shared" si="99"/>
        <v>15.811089914389775</v>
      </c>
    </row>
    <row r="502" spans="1:20" ht="14.45" x14ac:dyDescent="0.3">
      <c r="A502" s="45" t="s">
        <v>1</v>
      </c>
      <c r="B502" s="45" t="s">
        <v>2</v>
      </c>
      <c r="C502" s="45" t="s">
        <v>6</v>
      </c>
      <c r="D502" s="45" t="s">
        <v>90</v>
      </c>
      <c r="E502" s="124">
        <v>40729</v>
      </c>
      <c r="G502" s="92">
        <v>5710</v>
      </c>
      <c r="H502">
        <v>1530</v>
      </c>
      <c r="I502" t="s">
        <v>93</v>
      </c>
      <c r="J502" s="128">
        <f t="shared" si="103"/>
        <v>0.39</v>
      </c>
      <c r="K502" s="103">
        <f t="shared" si="104"/>
        <v>56.703078450844089</v>
      </c>
      <c r="L502" s="103">
        <f t="shared" si="105"/>
        <v>1.5432432432432432</v>
      </c>
      <c r="M502" s="133">
        <f t="shared" si="106"/>
        <v>596.70000000000005</v>
      </c>
      <c r="N502" s="133">
        <f t="shared" si="107"/>
        <v>6306.7</v>
      </c>
      <c r="O502" s="134">
        <f t="shared" si="108"/>
        <v>62.628599801390266</v>
      </c>
      <c r="P502" s="134">
        <f t="shared" si="102"/>
        <v>1.7045135135135134</v>
      </c>
      <c r="R502" s="149">
        <f t="shared" si="99"/>
        <v>9.6664811852263952</v>
      </c>
    </row>
    <row r="503" spans="1:20" ht="14.45" x14ac:dyDescent="0.3">
      <c r="A503" s="45" t="s">
        <v>1</v>
      </c>
      <c r="B503" s="45" t="s">
        <v>2</v>
      </c>
      <c r="C503" s="45" t="s">
        <v>7</v>
      </c>
      <c r="D503" s="45" t="s">
        <v>90</v>
      </c>
      <c r="E503" s="124">
        <v>40729</v>
      </c>
      <c r="G503" s="92">
        <v>3492</v>
      </c>
      <c r="H503">
        <v>890</v>
      </c>
      <c r="I503" t="s">
        <v>92</v>
      </c>
      <c r="J503" s="128">
        <f t="shared" si="103"/>
        <v>0.39</v>
      </c>
      <c r="K503" s="103">
        <f t="shared" si="104"/>
        <v>34.677259185700102</v>
      </c>
      <c r="L503" s="103">
        <f t="shared" si="105"/>
        <v>0.9437837837837838</v>
      </c>
      <c r="M503" s="133">
        <f t="shared" si="106"/>
        <v>347.1</v>
      </c>
      <c r="N503" s="133">
        <f t="shared" si="107"/>
        <v>3839.1</v>
      </c>
      <c r="O503" s="134">
        <f t="shared" si="108"/>
        <v>38.124131082423034</v>
      </c>
      <c r="P503" s="134">
        <f t="shared" si="102"/>
        <v>1.0375945945945946</v>
      </c>
      <c r="R503" s="149">
        <f t="shared" si="99"/>
        <v>11.181581233709824</v>
      </c>
    </row>
    <row r="504" spans="1:20" ht="14.45" x14ac:dyDescent="0.3">
      <c r="A504" s="45" t="s">
        <v>1</v>
      </c>
      <c r="B504" s="45" t="s">
        <v>8</v>
      </c>
      <c r="C504" s="45" t="s">
        <v>9</v>
      </c>
      <c r="D504" s="45" t="s">
        <v>90</v>
      </c>
      <c r="E504" s="124">
        <v>40729</v>
      </c>
      <c r="G504" s="92">
        <f>109+5301</f>
        <v>5410</v>
      </c>
      <c r="H504">
        <v>1256</v>
      </c>
      <c r="I504" t="s">
        <v>93</v>
      </c>
      <c r="J504" s="128">
        <f t="shared" si="103"/>
        <v>0.39</v>
      </c>
      <c r="K504" s="103">
        <f t="shared" si="104"/>
        <v>53.72393247269116</v>
      </c>
      <c r="L504" s="103">
        <f t="shared" si="105"/>
        <v>1.4621621621621621</v>
      </c>
      <c r="M504" s="133">
        <f t="shared" si="106"/>
        <v>489.84000000000003</v>
      </c>
      <c r="N504" s="133">
        <f t="shared" si="107"/>
        <v>5899.84</v>
      </c>
      <c r="O504" s="134">
        <f t="shared" si="108"/>
        <v>58.588282025819268</v>
      </c>
      <c r="P504" s="134">
        <f t="shared" si="102"/>
        <v>1.5945513513513514</v>
      </c>
      <c r="R504" s="149">
        <f t="shared" si="99"/>
        <v>6.135900812411399</v>
      </c>
    </row>
    <row r="505" spans="1:20" ht="14.45" x14ac:dyDescent="0.3">
      <c r="A505" s="45" t="s">
        <v>1</v>
      </c>
      <c r="B505" s="45" t="s">
        <v>10</v>
      </c>
      <c r="C505" s="45" t="s">
        <v>9</v>
      </c>
      <c r="D505" s="45" t="s">
        <v>90</v>
      </c>
      <c r="E505" s="124">
        <v>40729</v>
      </c>
      <c r="G505" s="92">
        <v>3760</v>
      </c>
      <c r="H505">
        <v>975</v>
      </c>
      <c r="I505" t="s">
        <v>92</v>
      </c>
      <c r="J505" s="128">
        <f t="shared" si="103"/>
        <v>0.39</v>
      </c>
      <c r="K505" s="103">
        <f t="shared" si="104"/>
        <v>37.338629592850047</v>
      </c>
      <c r="L505" s="103">
        <f t="shared" si="105"/>
        <v>1.0162162162162163</v>
      </c>
      <c r="M505" s="133">
        <f t="shared" si="106"/>
        <v>380.25</v>
      </c>
      <c r="N505" s="133">
        <f t="shared" si="107"/>
        <v>4140.25</v>
      </c>
      <c r="O505" s="134">
        <f t="shared" si="108"/>
        <v>41.114697120158887</v>
      </c>
      <c r="P505" s="134">
        <f t="shared" si="102"/>
        <v>1.1189864864864865</v>
      </c>
      <c r="R505" s="149">
        <f t="shared" si="99"/>
        <v>10.761102193686467</v>
      </c>
    </row>
    <row r="506" spans="1:20" ht="14.45" x14ac:dyDescent="0.3">
      <c r="A506" s="45" t="s">
        <v>1</v>
      </c>
      <c r="B506" s="45" t="s">
        <v>11</v>
      </c>
      <c r="C506" s="45" t="s">
        <v>6</v>
      </c>
      <c r="D506" s="45" t="s">
        <v>90</v>
      </c>
      <c r="E506" s="124">
        <v>40729</v>
      </c>
      <c r="G506" s="92">
        <v>3959</v>
      </c>
      <c r="H506">
        <v>1357</v>
      </c>
      <c r="I506" t="s">
        <v>92</v>
      </c>
      <c r="J506" s="128">
        <f t="shared" si="103"/>
        <v>0.39</v>
      </c>
      <c r="K506" s="103">
        <f t="shared" si="104"/>
        <v>39.314796425024824</v>
      </c>
      <c r="L506" s="103">
        <f t="shared" si="105"/>
        <v>1.07</v>
      </c>
      <c r="M506" s="133">
        <f t="shared" si="106"/>
        <v>529.23</v>
      </c>
      <c r="N506" s="133">
        <f t="shared" si="107"/>
        <v>4488.2299999999996</v>
      </c>
      <c r="O506" s="134">
        <f t="shared" si="108"/>
        <v>44.5703078450844</v>
      </c>
      <c r="P506" s="134">
        <f t="shared" si="102"/>
        <v>1.2130351351351349</v>
      </c>
      <c r="R506" s="149">
        <f t="shared" si="99"/>
        <v>11.831115762196621</v>
      </c>
    </row>
    <row r="507" spans="1:20" ht="14.45" x14ac:dyDescent="0.3">
      <c r="A507" s="45" t="s">
        <v>134</v>
      </c>
      <c r="B507" s="45" t="s">
        <v>13</v>
      </c>
      <c r="C507" s="45" t="s">
        <v>7</v>
      </c>
      <c r="D507" s="45" t="s">
        <v>90</v>
      </c>
      <c r="E507" s="124">
        <v>40729</v>
      </c>
      <c r="G507" s="92">
        <v>2812</v>
      </c>
      <c r="H507">
        <v>1006</v>
      </c>
      <c r="I507" t="s">
        <v>92</v>
      </c>
      <c r="J507" s="128">
        <f t="shared" si="103"/>
        <v>0.39</v>
      </c>
      <c r="K507" s="103">
        <f t="shared" si="104"/>
        <v>27.924528301886792</v>
      </c>
      <c r="L507" s="103">
        <f t="shared" si="105"/>
        <v>0.70933333333333337</v>
      </c>
      <c r="M507" s="133">
        <f t="shared" si="106"/>
        <v>392.34000000000003</v>
      </c>
      <c r="N507" s="133">
        <f t="shared" si="107"/>
        <v>3204.34</v>
      </c>
      <c r="O507" s="134">
        <f t="shared" si="108"/>
        <v>31.820655412115194</v>
      </c>
      <c r="P507" s="134">
        <f t="shared" si="102"/>
        <v>0.808301981981982</v>
      </c>
      <c r="R507" s="149">
        <f t="shared" si="99"/>
        <v>7.3049360391132634</v>
      </c>
    </row>
    <row r="508" spans="1:20" ht="14.45" x14ac:dyDescent="0.3">
      <c r="A508" s="45" t="s">
        <v>134</v>
      </c>
      <c r="B508" s="45" t="s">
        <v>14</v>
      </c>
      <c r="C508" s="45" t="s">
        <v>15</v>
      </c>
      <c r="D508" s="45" t="s">
        <v>90</v>
      </c>
      <c r="E508" s="124">
        <v>40729</v>
      </c>
      <c r="G508" s="92">
        <v>3760</v>
      </c>
      <c r="H508">
        <v>866</v>
      </c>
      <c r="I508" t="s">
        <v>94</v>
      </c>
      <c r="J508" s="128">
        <f t="shared" si="103"/>
        <v>0.52</v>
      </c>
      <c r="K508" s="103">
        <f t="shared" si="104"/>
        <v>37.338629592850047</v>
      </c>
      <c r="L508" s="103">
        <f t="shared" si="105"/>
        <v>0.94846846846846844</v>
      </c>
      <c r="M508" s="133">
        <f t="shared" si="106"/>
        <v>450.32</v>
      </c>
      <c r="N508" s="133">
        <f t="shared" si="107"/>
        <v>4210.32</v>
      </c>
      <c r="O508" s="134">
        <f t="shared" si="108"/>
        <v>41.810526315789467</v>
      </c>
      <c r="P508" s="134">
        <f t="shared" si="102"/>
        <v>1.0620627027027028</v>
      </c>
      <c r="R508" s="149">
        <f t="shared" si="99"/>
        <v>13.644387581582906</v>
      </c>
    </row>
    <row r="509" spans="1:20" ht="14.45" x14ac:dyDescent="0.3">
      <c r="A509" s="45" t="s">
        <v>134</v>
      </c>
      <c r="B509" s="45" t="s">
        <v>16</v>
      </c>
      <c r="C509" s="45" t="s">
        <v>17</v>
      </c>
      <c r="D509" s="45" t="s">
        <v>90</v>
      </c>
      <c r="E509" s="124">
        <v>40729</v>
      </c>
      <c r="G509" s="92">
        <v>1843</v>
      </c>
      <c r="H509">
        <v>213</v>
      </c>
      <c r="I509" t="s">
        <v>92</v>
      </c>
      <c r="J509" s="128">
        <f t="shared" si="103"/>
        <v>0.39</v>
      </c>
      <c r="K509" s="103">
        <f t="shared" si="104"/>
        <v>18.30188679245283</v>
      </c>
      <c r="L509" s="103">
        <f t="shared" si="105"/>
        <v>0.46490090090090092</v>
      </c>
      <c r="M509" s="133">
        <f t="shared" si="106"/>
        <v>83.070000000000007</v>
      </c>
      <c r="N509" s="133">
        <f t="shared" si="107"/>
        <v>1926.07</v>
      </c>
      <c r="O509" s="134">
        <f t="shared" si="108"/>
        <v>19.126812313803374</v>
      </c>
      <c r="P509" s="134">
        <f t="shared" si="102"/>
        <v>0.4858554954954955</v>
      </c>
      <c r="R509" s="149">
        <f t="shared" si="99"/>
        <v>-1.4596336846413593</v>
      </c>
    </row>
    <row r="510" spans="1:20" ht="14.45" x14ac:dyDescent="0.3">
      <c r="A510" s="45" t="s">
        <v>134</v>
      </c>
      <c r="B510" s="45" t="s">
        <v>18</v>
      </c>
      <c r="C510" s="45" t="s">
        <v>19</v>
      </c>
      <c r="D510" s="45" t="s">
        <v>90</v>
      </c>
      <c r="E510" s="124">
        <v>40729</v>
      </c>
      <c r="G510" s="92">
        <v>3196</v>
      </c>
      <c r="H510">
        <v>650</v>
      </c>
      <c r="I510" t="s">
        <v>94</v>
      </c>
      <c r="J510" s="128">
        <f t="shared" si="103"/>
        <v>0.52</v>
      </c>
      <c r="K510" s="103">
        <f t="shared" si="104"/>
        <v>31.737835153922543</v>
      </c>
      <c r="L510" s="103">
        <f t="shared" si="105"/>
        <v>0.80619819819819816</v>
      </c>
      <c r="M510" s="133">
        <f t="shared" si="106"/>
        <v>338</v>
      </c>
      <c r="N510" s="133">
        <f t="shared" si="107"/>
        <v>3534</v>
      </c>
      <c r="O510" s="134">
        <f t="shared" si="108"/>
        <v>35.094339622641506</v>
      </c>
      <c r="P510" s="134">
        <f t="shared" si="102"/>
        <v>0.89145945945945948</v>
      </c>
      <c r="R510" s="149">
        <f t="shared" si="99"/>
        <v>11.535426858134755</v>
      </c>
    </row>
    <row r="511" spans="1:20" ht="14.45" x14ac:dyDescent="0.3">
      <c r="A511" s="45" t="s">
        <v>134</v>
      </c>
      <c r="B511" s="45" t="s">
        <v>18</v>
      </c>
      <c r="C511" s="45" t="s">
        <v>20</v>
      </c>
      <c r="D511" s="45" t="s">
        <v>90</v>
      </c>
      <c r="E511" s="124">
        <v>40729</v>
      </c>
      <c r="G511" s="92">
        <v>2760</v>
      </c>
      <c r="H511">
        <v>417</v>
      </c>
      <c r="I511" t="s">
        <v>94</v>
      </c>
      <c r="J511" s="128">
        <f t="shared" si="103"/>
        <v>0.52</v>
      </c>
      <c r="K511" s="103">
        <f t="shared" si="104"/>
        <v>27.408142999006952</v>
      </c>
      <c r="L511" s="103">
        <f t="shared" si="105"/>
        <v>0.69621621621621621</v>
      </c>
      <c r="M511" s="133">
        <f t="shared" si="106"/>
        <v>216.84</v>
      </c>
      <c r="N511" s="133">
        <f t="shared" si="107"/>
        <v>2976.84</v>
      </c>
      <c r="O511" s="134">
        <f t="shared" si="108"/>
        <v>29.561469712015889</v>
      </c>
      <c r="P511" s="134">
        <f t="shared" si="102"/>
        <v>0.75091459459459464</v>
      </c>
      <c r="R511" s="149">
        <f t="shared" si="99"/>
        <v>11.509257975943864</v>
      </c>
    </row>
    <row r="512" spans="1:20" ht="14.45" x14ac:dyDescent="0.3">
      <c r="A512" s="45" t="s">
        <v>134</v>
      </c>
      <c r="B512" s="45" t="s">
        <v>16</v>
      </c>
      <c r="C512" s="45" t="s">
        <v>21</v>
      </c>
      <c r="D512" s="45" t="s">
        <v>90</v>
      </c>
      <c r="E512" s="124">
        <v>40729</v>
      </c>
      <c r="G512" s="92">
        <v>2938</v>
      </c>
      <c r="H512">
        <v>626</v>
      </c>
      <c r="I512" t="s">
        <v>92</v>
      </c>
      <c r="J512" s="128">
        <f t="shared" si="103"/>
        <v>0.39</v>
      </c>
      <c r="K512" s="103">
        <f t="shared" si="104"/>
        <v>29.175769612711022</v>
      </c>
      <c r="L512" s="103">
        <f t="shared" si="105"/>
        <v>0.74111711711711714</v>
      </c>
      <c r="M512" s="133">
        <f t="shared" si="106"/>
        <v>244.14000000000001</v>
      </c>
      <c r="N512" s="133">
        <f t="shared" si="107"/>
        <v>3182.14</v>
      </c>
      <c r="O512" s="134">
        <f t="shared" si="108"/>
        <v>31.600198609731876</v>
      </c>
      <c r="P512" s="134">
        <f t="shared" si="102"/>
        <v>0.80270198198198195</v>
      </c>
      <c r="R512" s="149">
        <f t="shared" si="99"/>
        <v>7.0274451769137602</v>
      </c>
    </row>
    <row r="513" spans="1:18" ht="14.45" x14ac:dyDescent="0.3">
      <c r="A513" s="45" t="s">
        <v>134</v>
      </c>
      <c r="B513" s="45" t="s">
        <v>16</v>
      </c>
      <c r="C513" s="45" t="s">
        <v>6</v>
      </c>
      <c r="D513" s="45" t="s">
        <v>90</v>
      </c>
      <c r="E513" s="124">
        <v>40729</v>
      </c>
      <c r="G513" s="92">
        <v>4835</v>
      </c>
      <c r="H513">
        <v>1823</v>
      </c>
      <c r="I513" t="s">
        <v>92</v>
      </c>
      <c r="J513" s="128">
        <f t="shared" si="103"/>
        <v>0.39</v>
      </c>
      <c r="K513" s="103">
        <f t="shared" si="104"/>
        <v>48.013902681231379</v>
      </c>
      <c r="L513" s="103">
        <f t="shared" si="105"/>
        <v>1.2196396396396396</v>
      </c>
      <c r="M513" s="133">
        <f t="shared" si="106"/>
        <v>710.97</v>
      </c>
      <c r="N513" s="133">
        <f t="shared" si="107"/>
        <v>5545.97</v>
      </c>
      <c r="O513" s="134">
        <f t="shared" si="108"/>
        <v>55.074180734856007</v>
      </c>
      <c r="P513" s="134">
        <f t="shared" si="102"/>
        <v>1.3989834234234235</v>
      </c>
      <c r="R513" s="149">
        <f t="shared" si="99"/>
        <v>19.845492263808453</v>
      </c>
    </row>
    <row r="514" spans="1:18" ht="14.45" x14ac:dyDescent="0.3">
      <c r="A514" s="45" t="s">
        <v>22</v>
      </c>
      <c r="B514" s="45" t="s">
        <v>23</v>
      </c>
      <c r="C514" s="45" t="s">
        <v>7</v>
      </c>
      <c r="D514" s="45" t="s">
        <v>90</v>
      </c>
      <c r="E514" s="124">
        <v>40729</v>
      </c>
      <c r="G514" s="92">
        <v>3109</v>
      </c>
      <c r="H514" s="52">
        <v>1295</v>
      </c>
      <c r="I514" t="s">
        <v>95</v>
      </c>
      <c r="J514" s="128">
        <f t="shared" si="103"/>
        <v>0.33929999999999999</v>
      </c>
      <c r="K514" s="103">
        <f t="shared" si="104"/>
        <v>30.873882820258192</v>
      </c>
      <c r="L514" s="103">
        <f t="shared" si="105"/>
        <v>0.84027027027027024</v>
      </c>
      <c r="M514" s="133">
        <f t="shared" si="106"/>
        <v>439.39349999999996</v>
      </c>
      <c r="N514" s="133">
        <f t="shared" si="107"/>
        <v>3548.3935000000001</v>
      </c>
      <c r="O514" s="134">
        <f t="shared" si="108"/>
        <v>35.237274081429987</v>
      </c>
      <c r="P514" s="134">
        <f t="shared" si="102"/>
        <v>0.95902527027027029</v>
      </c>
      <c r="R514" s="149">
        <f t="shared" si="99"/>
        <v>16.547020505960973</v>
      </c>
    </row>
    <row r="515" spans="1:18" ht="14.45" x14ac:dyDescent="0.3">
      <c r="A515" s="45" t="s">
        <v>22</v>
      </c>
      <c r="B515" s="45" t="s">
        <v>14</v>
      </c>
      <c r="C515" s="45" t="s">
        <v>24</v>
      </c>
      <c r="D515" s="45" t="s">
        <v>90</v>
      </c>
      <c r="E515" s="124">
        <v>40729</v>
      </c>
      <c r="G515" s="92">
        <v>2921</v>
      </c>
      <c r="H515">
        <v>615</v>
      </c>
      <c r="I515" t="s">
        <v>94</v>
      </c>
      <c r="J515" s="128">
        <f t="shared" si="103"/>
        <v>0.52</v>
      </c>
      <c r="K515" s="103">
        <f t="shared" si="104"/>
        <v>29.006951340615689</v>
      </c>
      <c r="L515" s="103">
        <f t="shared" si="105"/>
        <v>0.7894594594594595</v>
      </c>
      <c r="M515" s="133">
        <f t="shared" si="106"/>
        <v>319.8</v>
      </c>
      <c r="N515" s="133">
        <f t="shared" si="107"/>
        <v>3240.8</v>
      </c>
      <c r="O515" s="134">
        <f t="shared" si="108"/>
        <v>32.182720953326715</v>
      </c>
      <c r="P515" s="134">
        <f t="shared" si="102"/>
        <v>0.87589189189189198</v>
      </c>
      <c r="R515" s="149">
        <f t="shared" si="99"/>
        <v>11.212916731010104</v>
      </c>
    </row>
    <row r="516" spans="1:18" ht="14.45" x14ac:dyDescent="0.3">
      <c r="A516" s="45" t="s">
        <v>22</v>
      </c>
      <c r="B516" s="45" t="s">
        <v>18</v>
      </c>
      <c r="C516" s="45" t="s">
        <v>15</v>
      </c>
      <c r="D516" s="45" t="s">
        <v>90</v>
      </c>
      <c r="E516" s="124">
        <v>40729</v>
      </c>
      <c r="G516" s="92">
        <v>3830</v>
      </c>
      <c r="H516">
        <v>872</v>
      </c>
      <c r="I516" t="s">
        <v>94</v>
      </c>
      <c r="J516" s="128">
        <f t="shared" si="103"/>
        <v>0.52</v>
      </c>
      <c r="K516" s="103">
        <f t="shared" si="104"/>
        <v>38.033763654419069</v>
      </c>
      <c r="L516" s="103">
        <f t="shared" si="105"/>
        <v>1.0351351351351352</v>
      </c>
      <c r="M516" s="133">
        <f t="shared" si="106"/>
        <v>453.44</v>
      </c>
      <c r="N516" s="133">
        <f t="shared" si="107"/>
        <v>4283.4399999999996</v>
      </c>
      <c r="O516" s="134">
        <f t="shared" si="108"/>
        <v>42.536643495531273</v>
      </c>
      <c r="P516" s="134">
        <f t="shared" si="102"/>
        <v>1.1576864864864864</v>
      </c>
      <c r="R516" s="149">
        <f t="shared" si="99"/>
        <v>13.45538533257049</v>
      </c>
    </row>
    <row r="517" spans="1:18" ht="14.45" x14ac:dyDescent="0.3">
      <c r="A517" s="45" t="s">
        <v>22</v>
      </c>
      <c r="B517" s="45" t="s">
        <v>18</v>
      </c>
      <c r="C517" s="45" t="s">
        <v>24</v>
      </c>
      <c r="D517" s="45" t="s">
        <v>90</v>
      </c>
      <c r="E517" s="124">
        <v>40729</v>
      </c>
      <c r="G517" s="92">
        <v>2613</v>
      </c>
      <c r="H517">
        <v>417</v>
      </c>
      <c r="I517" t="s">
        <v>94</v>
      </c>
      <c r="J517" s="128">
        <f t="shared" si="103"/>
        <v>0.52</v>
      </c>
      <c r="K517" s="103">
        <f t="shared" si="104"/>
        <v>25.948361469712015</v>
      </c>
      <c r="L517" s="103">
        <f t="shared" si="105"/>
        <v>0.70621621621621622</v>
      </c>
      <c r="M517" s="133">
        <f t="shared" si="106"/>
        <v>216.84</v>
      </c>
      <c r="N517" s="133">
        <f t="shared" si="107"/>
        <v>2829.84</v>
      </c>
      <c r="O517" s="134">
        <f t="shared" si="108"/>
        <v>28.101688182720952</v>
      </c>
      <c r="P517" s="134">
        <f t="shared" si="102"/>
        <v>0.76482162162162171</v>
      </c>
      <c r="R517" s="149">
        <f t="shared" si="99"/>
        <v>10.731377098830407</v>
      </c>
    </row>
    <row r="518" spans="1:18" ht="14.45" x14ac:dyDescent="0.3">
      <c r="A518" s="45" t="s">
        <v>22</v>
      </c>
      <c r="B518" s="45" t="s">
        <v>13</v>
      </c>
      <c r="C518" s="45" t="s">
        <v>7</v>
      </c>
      <c r="D518" s="45" t="s">
        <v>90</v>
      </c>
      <c r="E518" s="124">
        <v>40729</v>
      </c>
      <c r="G518" s="92">
        <v>3156</v>
      </c>
      <c r="H518">
        <v>1006</v>
      </c>
      <c r="I518" t="s">
        <v>92</v>
      </c>
      <c r="J518" s="128">
        <f t="shared" si="103"/>
        <v>0.39</v>
      </c>
      <c r="K518" s="103">
        <f t="shared" si="104"/>
        <v>31.340615690168818</v>
      </c>
      <c r="L518" s="103">
        <f t="shared" si="105"/>
        <v>0.85297297297297292</v>
      </c>
      <c r="M518" s="133">
        <f t="shared" si="106"/>
        <v>392.34000000000003</v>
      </c>
      <c r="N518" s="133">
        <f t="shared" si="107"/>
        <v>3548.34</v>
      </c>
      <c r="O518" s="134">
        <f t="shared" si="108"/>
        <v>35.236742800397217</v>
      </c>
      <c r="P518" s="134">
        <f t="shared" si="102"/>
        <v>0.95901081081081085</v>
      </c>
      <c r="R518" s="149">
        <f t="shared" si="99"/>
        <v>9.5437144974067856</v>
      </c>
    </row>
    <row r="519" spans="1:18" ht="14.45" x14ac:dyDescent="0.3">
      <c r="A519" s="45" t="s">
        <v>1</v>
      </c>
      <c r="B519" s="45" t="s">
        <v>25</v>
      </c>
      <c r="C519" s="45" t="s">
        <v>26</v>
      </c>
      <c r="D519" s="45" t="s">
        <v>91</v>
      </c>
      <c r="E519" s="124">
        <v>40729</v>
      </c>
      <c r="G519" s="92">
        <v>3239</v>
      </c>
      <c r="H519">
        <v>880</v>
      </c>
      <c r="I519" t="s">
        <v>93</v>
      </c>
      <c r="J519" s="128">
        <f t="shared" si="103"/>
        <v>0.39</v>
      </c>
      <c r="K519" s="103">
        <f t="shared" si="104"/>
        <v>32.164846077457796</v>
      </c>
      <c r="L519" s="103">
        <f t="shared" si="105"/>
        <v>0.87540540540540546</v>
      </c>
      <c r="M519" s="133">
        <f t="shared" si="106"/>
        <v>343.2</v>
      </c>
      <c r="N519" s="133">
        <f t="shared" si="107"/>
        <v>3582.2</v>
      </c>
      <c r="O519" s="134">
        <f t="shared" si="108"/>
        <v>35.572989076464744</v>
      </c>
      <c r="P519" s="134">
        <f t="shared" si="102"/>
        <v>0.96816216216216211</v>
      </c>
      <c r="R519" s="149">
        <f t="shared" si="99"/>
        <v>12.83230439712737</v>
      </c>
    </row>
    <row r="520" spans="1:18" ht="14.45" x14ac:dyDescent="0.3">
      <c r="A520" s="45" t="s">
        <v>1</v>
      </c>
      <c r="B520" s="45" t="s">
        <v>2</v>
      </c>
      <c r="C520" s="45" t="s">
        <v>9</v>
      </c>
      <c r="D520" s="45" t="s">
        <v>91</v>
      </c>
      <c r="E520" s="124">
        <v>40729</v>
      </c>
      <c r="G520" s="92">
        <v>3144</v>
      </c>
      <c r="H520">
        <v>685</v>
      </c>
      <c r="I520" t="s">
        <v>93</v>
      </c>
      <c r="J520" s="128">
        <f t="shared" si="103"/>
        <v>0.39</v>
      </c>
      <c r="K520" s="103">
        <f t="shared" si="104"/>
        <v>31.221449851042699</v>
      </c>
      <c r="L520" s="103">
        <f t="shared" si="105"/>
        <v>0.84972972972972971</v>
      </c>
      <c r="M520" s="133">
        <f t="shared" si="106"/>
        <v>267.15000000000003</v>
      </c>
      <c r="N520" s="133">
        <f t="shared" si="107"/>
        <v>3411.15</v>
      </c>
      <c r="O520" s="134">
        <f t="shared" si="108"/>
        <v>33.874379344587886</v>
      </c>
      <c r="P520" s="134">
        <f t="shared" si="102"/>
        <v>0.9219324324324325</v>
      </c>
      <c r="R520" s="149">
        <f t="shared" si="99"/>
        <v>7.1980767417743063</v>
      </c>
    </row>
    <row r="521" spans="1:18" ht="14.45" x14ac:dyDescent="0.3">
      <c r="A521" s="45" t="s">
        <v>1</v>
      </c>
      <c r="B521" s="45" t="s">
        <v>27</v>
      </c>
      <c r="C521" s="45" t="s">
        <v>28</v>
      </c>
      <c r="D521" s="45" t="s">
        <v>91</v>
      </c>
      <c r="E521" s="124">
        <v>40729</v>
      </c>
      <c r="G521" s="92">
        <v>3497</v>
      </c>
      <c r="H521">
        <v>812</v>
      </c>
      <c r="I521" t="s">
        <v>94</v>
      </c>
      <c r="J521" s="128">
        <f t="shared" si="103"/>
        <v>0.52</v>
      </c>
      <c r="K521" s="103">
        <f t="shared" si="104"/>
        <v>34.726911618669313</v>
      </c>
      <c r="L521" s="103">
        <f t="shared" si="105"/>
        <v>0.94513513513513514</v>
      </c>
      <c r="M521" s="133">
        <f t="shared" si="106"/>
        <v>422.24</v>
      </c>
      <c r="N521" s="133">
        <f t="shared" si="107"/>
        <v>3919.24</v>
      </c>
      <c r="O521" s="134">
        <f t="shared" si="108"/>
        <v>38.919960278053622</v>
      </c>
      <c r="P521" s="134">
        <f t="shared" si="102"/>
        <v>1.059254054054054</v>
      </c>
      <c r="R521" s="149">
        <f t="shared" si="99"/>
        <v>-2.7541784112112389</v>
      </c>
    </row>
    <row r="522" spans="1:18" ht="14.45" x14ac:dyDescent="0.3">
      <c r="A522" s="45" t="s">
        <v>1</v>
      </c>
      <c r="B522" s="45" t="s">
        <v>4</v>
      </c>
      <c r="C522" s="45" t="s">
        <v>26</v>
      </c>
      <c r="D522" s="45" t="s">
        <v>91</v>
      </c>
      <c r="E522" s="124">
        <v>40729</v>
      </c>
      <c r="G522" s="92">
        <v>4702</v>
      </c>
      <c r="H522">
        <v>1520</v>
      </c>
      <c r="I522" t="s">
        <v>93</v>
      </c>
      <c r="J522" s="128">
        <f t="shared" si="103"/>
        <v>0.39</v>
      </c>
      <c r="K522" s="103">
        <f t="shared" si="104"/>
        <v>46.693147964250244</v>
      </c>
      <c r="L522" s="103">
        <f t="shared" si="105"/>
        <v>1.2708108108108107</v>
      </c>
      <c r="M522" s="133">
        <f t="shared" si="106"/>
        <v>592.80000000000007</v>
      </c>
      <c r="N522" s="133">
        <f t="shared" si="107"/>
        <v>5294.8</v>
      </c>
      <c r="O522" s="134">
        <f t="shared" si="108"/>
        <v>52.579940417080437</v>
      </c>
      <c r="P522" s="134">
        <f t="shared" si="102"/>
        <v>1.4310270270270271</v>
      </c>
      <c r="R522" s="149">
        <f t="shared" si="99"/>
        <v>11.88876209796712</v>
      </c>
    </row>
    <row r="523" spans="1:18" ht="14.45" x14ac:dyDescent="0.3">
      <c r="A523" s="45" t="s">
        <v>1</v>
      </c>
      <c r="B523" s="45" t="s">
        <v>4</v>
      </c>
      <c r="C523" s="45" t="s">
        <v>9</v>
      </c>
      <c r="D523" s="45" t="s">
        <v>91</v>
      </c>
      <c r="E523" s="124">
        <v>40729</v>
      </c>
      <c r="G523" s="92">
        <f>2856+2792</f>
        <v>5648</v>
      </c>
      <c r="H523">
        <v>1583</v>
      </c>
      <c r="I523" t="s">
        <v>93</v>
      </c>
      <c r="J523" s="128">
        <f t="shared" si="103"/>
        <v>0.39</v>
      </c>
      <c r="K523" s="103">
        <f t="shared" si="104"/>
        <v>56.08738828202582</v>
      </c>
      <c r="L523" s="103">
        <f t="shared" si="105"/>
        <v>1.5264864864864864</v>
      </c>
      <c r="M523" s="133">
        <f t="shared" si="106"/>
        <v>617.37</v>
      </c>
      <c r="N523" s="133">
        <f t="shared" si="107"/>
        <v>6265.37</v>
      </c>
      <c r="O523" s="134">
        <f t="shared" si="108"/>
        <v>62.218172790466731</v>
      </c>
      <c r="P523" s="134">
        <f t="shared" si="102"/>
        <v>1.6933432432432431</v>
      </c>
      <c r="R523" s="149">
        <f t="shared" si="99"/>
        <v>10.380044325585146</v>
      </c>
    </row>
    <row r="524" spans="1:18" ht="14.45" x14ac:dyDescent="0.3">
      <c r="A524" s="45" t="s">
        <v>1</v>
      </c>
      <c r="B524" s="45" t="s">
        <v>10</v>
      </c>
      <c r="C524" s="45" t="s">
        <v>26</v>
      </c>
      <c r="D524" s="45" t="s">
        <v>91</v>
      </c>
      <c r="E524" s="124">
        <v>40729</v>
      </c>
      <c r="G524" s="92">
        <v>4727</v>
      </c>
      <c r="H524">
        <v>1599</v>
      </c>
      <c r="I524" t="s">
        <v>92</v>
      </c>
      <c r="J524" s="128">
        <f t="shared" si="103"/>
        <v>0.39</v>
      </c>
      <c r="K524" s="103">
        <f t="shared" si="104"/>
        <v>46.941410129096326</v>
      </c>
      <c r="L524" s="103">
        <f t="shared" si="105"/>
        <v>1.2775675675675675</v>
      </c>
      <c r="M524" s="133">
        <f t="shared" si="106"/>
        <v>623.61</v>
      </c>
      <c r="N524" s="133">
        <f t="shared" si="107"/>
        <v>5350.61</v>
      </c>
      <c r="O524" s="134">
        <f t="shared" si="108"/>
        <v>53.134160873882813</v>
      </c>
      <c r="P524" s="134">
        <f t="shared" si="102"/>
        <v>1.4461108108108107</v>
      </c>
      <c r="R524" s="149">
        <f t="shared" si="99"/>
        <v>10.783262246883929</v>
      </c>
    </row>
    <row r="525" spans="1:18" ht="14.45" x14ac:dyDescent="0.3">
      <c r="A525" s="45" t="s">
        <v>134</v>
      </c>
      <c r="B525" s="45" t="s">
        <v>23</v>
      </c>
      <c r="C525" s="45" t="s">
        <v>26</v>
      </c>
      <c r="D525" s="45" t="s">
        <v>91</v>
      </c>
      <c r="E525" s="124">
        <v>40729</v>
      </c>
      <c r="G525" s="92">
        <v>4680</v>
      </c>
      <c r="H525">
        <v>1851</v>
      </c>
      <c r="I525" t="s">
        <v>93</v>
      </c>
      <c r="J525" s="128">
        <f t="shared" si="103"/>
        <v>0.39</v>
      </c>
      <c r="K525" s="103">
        <f t="shared" si="104"/>
        <v>46.474677259185697</v>
      </c>
      <c r="L525" s="103">
        <f t="shared" si="105"/>
        <v>1.1805405405405405</v>
      </c>
      <c r="M525" s="133">
        <f t="shared" si="106"/>
        <v>721.89</v>
      </c>
      <c r="N525" s="133">
        <f t="shared" si="107"/>
        <v>5401.89</v>
      </c>
      <c r="O525" s="134">
        <f t="shared" si="108"/>
        <v>53.643396226415099</v>
      </c>
      <c r="P525" s="134">
        <f t="shared" si="102"/>
        <v>1.362638918918919</v>
      </c>
      <c r="R525" s="149">
        <f t="shared" si="99"/>
        <v>13.212517761859054</v>
      </c>
    </row>
    <row r="526" spans="1:18" ht="14.45" x14ac:dyDescent="0.3">
      <c r="A526" s="45" t="s">
        <v>134</v>
      </c>
      <c r="B526" s="45" t="s">
        <v>8</v>
      </c>
      <c r="C526" s="45" t="s">
        <v>29</v>
      </c>
      <c r="D526" s="45" t="s">
        <v>91</v>
      </c>
      <c r="E526" s="124">
        <v>40729</v>
      </c>
      <c r="G526" s="92">
        <v>4640</v>
      </c>
      <c r="H526">
        <v>1695</v>
      </c>
      <c r="I526" t="s">
        <v>93</v>
      </c>
      <c r="J526" s="128">
        <f t="shared" si="103"/>
        <v>0.39</v>
      </c>
      <c r="K526" s="103">
        <f t="shared" si="104"/>
        <v>46.077457795431975</v>
      </c>
      <c r="L526" s="103">
        <f t="shared" si="105"/>
        <v>1.1704504504504505</v>
      </c>
      <c r="M526" s="133">
        <f t="shared" si="106"/>
        <v>661.05000000000007</v>
      </c>
      <c r="N526" s="133">
        <f t="shared" si="107"/>
        <v>5301.05</v>
      </c>
      <c r="O526" s="134">
        <f t="shared" si="108"/>
        <v>52.642005958291954</v>
      </c>
      <c r="P526" s="134">
        <f t="shared" si="102"/>
        <v>1.3372018018018019</v>
      </c>
      <c r="R526" s="149">
        <f t="shared" si="99"/>
        <v>12.795497584952242</v>
      </c>
    </row>
    <row r="527" spans="1:18" ht="14.45" x14ac:dyDescent="0.3">
      <c r="A527" s="45" t="s">
        <v>134</v>
      </c>
      <c r="B527" s="45" t="s">
        <v>13</v>
      </c>
      <c r="C527" s="45" t="s">
        <v>7</v>
      </c>
      <c r="D527" s="45" t="s">
        <v>91</v>
      </c>
      <c r="E527" s="124">
        <v>40729</v>
      </c>
      <c r="G527" s="92">
        <v>2677</v>
      </c>
      <c r="H527">
        <v>1006</v>
      </c>
      <c r="I527" t="s">
        <v>92</v>
      </c>
      <c r="J527" s="128">
        <f t="shared" si="103"/>
        <v>0.39</v>
      </c>
      <c r="K527" s="103">
        <f t="shared" si="104"/>
        <v>26.583912611717974</v>
      </c>
      <c r="L527" s="103">
        <f t="shared" si="105"/>
        <v>0.67527927927927933</v>
      </c>
      <c r="M527" s="133">
        <f t="shared" si="106"/>
        <v>392.34000000000003</v>
      </c>
      <c r="N527" s="133">
        <f t="shared" si="107"/>
        <v>3069.34</v>
      </c>
      <c r="O527" s="134">
        <f t="shared" si="108"/>
        <v>30.480039721946376</v>
      </c>
      <c r="P527" s="134">
        <f t="shared" si="102"/>
        <v>0.77424792792792796</v>
      </c>
      <c r="R527" s="149">
        <f t="shared" ref="R527:R537" si="109">((N527/N71)-1)*100</f>
        <v>6.6409561531512784</v>
      </c>
    </row>
    <row r="528" spans="1:18" ht="14.45" x14ac:dyDescent="0.3">
      <c r="A528" s="45" t="s">
        <v>134</v>
      </c>
      <c r="B528" s="45" t="s">
        <v>30</v>
      </c>
      <c r="C528" s="45" t="s">
        <v>9</v>
      </c>
      <c r="D528" s="45" t="s">
        <v>91</v>
      </c>
      <c r="E528" s="124">
        <v>40729</v>
      </c>
      <c r="G528" s="92">
        <v>3190</v>
      </c>
      <c r="H528">
        <v>988</v>
      </c>
      <c r="I528" t="s">
        <v>93</v>
      </c>
      <c r="J528" s="128">
        <f t="shared" si="103"/>
        <v>0.39</v>
      </c>
      <c r="K528" s="103">
        <f t="shared" si="104"/>
        <v>31.678252234359483</v>
      </c>
      <c r="L528" s="103">
        <f t="shared" si="105"/>
        <v>0.80468468468468468</v>
      </c>
      <c r="M528" s="133">
        <f t="shared" si="106"/>
        <v>385.32</v>
      </c>
      <c r="N528" s="133">
        <f t="shared" si="107"/>
        <v>3575.32</v>
      </c>
      <c r="O528" s="134">
        <f t="shared" si="108"/>
        <v>35.504667328699107</v>
      </c>
      <c r="P528" s="134">
        <f t="shared" si="102"/>
        <v>0.90188252252252255</v>
      </c>
      <c r="R528" s="149">
        <f t="shared" si="109"/>
        <v>9.8584105602123948</v>
      </c>
    </row>
    <row r="529" spans="1:20" ht="14.45" x14ac:dyDescent="0.3">
      <c r="A529" s="45" t="s">
        <v>134</v>
      </c>
      <c r="B529" s="45" t="s">
        <v>16</v>
      </c>
      <c r="C529" s="45" t="s">
        <v>11</v>
      </c>
      <c r="D529" s="45" t="s">
        <v>91</v>
      </c>
      <c r="E529" s="124">
        <v>40729</v>
      </c>
      <c r="G529" s="92">
        <v>3330</v>
      </c>
      <c r="H529" s="52">
        <v>787</v>
      </c>
      <c r="I529" t="s">
        <v>92</v>
      </c>
      <c r="J529" s="128">
        <f t="shared" si="103"/>
        <v>0.39</v>
      </c>
      <c r="K529" s="103">
        <f t="shared" si="104"/>
        <v>33.068520357497519</v>
      </c>
      <c r="L529" s="103">
        <f t="shared" si="105"/>
        <v>0.84</v>
      </c>
      <c r="M529" s="133">
        <f t="shared" si="106"/>
        <v>306.93</v>
      </c>
      <c r="N529" s="133">
        <f t="shared" si="107"/>
        <v>3636.93</v>
      </c>
      <c r="O529" s="134">
        <f t="shared" si="108"/>
        <v>36.116484607745775</v>
      </c>
      <c r="P529" s="134">
        <f t="shared" si="102"/>
        <v>0.91742378378378375</v>
      </c>
      <c r="R529" s="149">
        <f t="shared" si="109"/>
        <v>7.3664167207887932</v>
      </c>
    </row>
    <row r="530" spans="1:20" ht="14.45" x14ac:dyDescent="0.3">
      <c r="A530" s="45" t="s">
        <v>134</v>
      </c>
      <c r="B530" s="45" t="s">
        <v>23</v>
      </c>
      <c r="C530" s="45" t="s">
        <v>29</v>
      </c>
      <c r="D530" s="45" t="s">
        <v>91</v>
      </c>
      <c r="E530" s="124">
        <v>40729</v>
      </c>
      <c r="G530" s="92">
        <v>4680</v>
      </c>
      <c r="H530">
        <v>1836</v>
      </c>
      <c r="I530" t="s">
        <v>93</v>
      </c>
      <c r="J530" s="128">
        <f t="shared" si="103"/>
        <v>0.39</v>
      </c>
      <c r="K530" s="103">
        <f t="shared" si="104"/>
        <v>46.474677259185697</v>
      </c>
      <c r="L530" s="103">
        <f t="shared" si="105"/>
        <v>1.1805405405405405</v>
      </c>
      <c r="M530" s="133">
        <f t="shared" si="106"/>
        <v>716.04000000000008</v>
      </c>
      <c r="N530" s="133">
        <f t="shared" si="107"/>
        <v>5396.04</v>
      </c>
      <c r="O530" s="134">
        <f t="shared" si="108"/>
        <v>53.585302879841109</v>
      </c>
      <c r="P530" s="134">
        <f t="shared" si="102"/>
        <v>1.3611632432432432</v>
      </c>
      <c r="R530" s="149">
        <f t="shared" si="109"/>
        <v>13.253689742599505</v>
      </c>
    </row>
    <row r="531" spans="1:20" ht="14.45" x14ac:dyDescent="0.3">
      <c r="A531" s="45" t="s">
        <v>134</v>
      </c>
      <c r="B531" s="45" t="s">
        <v>31</v>
      </c>
      <c r="C531" s="45" t="s">
        <v>32</v>
      </c>
      <c r="D531" s="45" t="s">
        <v>91</v>
      </c>
      <c r="E531" s="124">
        <v>40729</v>
      </c>
      <c r="G531" s="92">
        <v>4080</v>
      </c>
      <c r="H531">
        <v>1899</v>
      </c>
      <c r="I531" t="s">
        <v>93</v>
      </c>
      <c r="J531" s="128">
        <f t="shared" si="103"/>
        <v>0.39</v>
      </c>
      <c r="K531" s="103">
        <f t="shared" si="104"/>
        <v>40.51638530287984</v>
      </c>
      <c r="L531" s="103">
        <f t="shared" si="105"/>
        <v>1.0291891891891891</v>
      </c>
      <c r="M531" s="133">
        <f t="shared" si="106"/>
        <v>740.61</v>
      </c>
      <c r="N531" s="133">
        <f t="shared" si="107"/>
        <v>4820.6099999999997</v>
      </c>
      <c r="O531" s="134">
        <f t="shared" si="108"/>
        <v>47.87100297914597</v>
      </c>
      <c r="P531" s="134">
        <f t="shared" si="102"/>
        <v>1.2160097297297296</v>
      </c>
      <c r="R531" s="149">
        <f t="shared" si="109"/>
        <v>12.801330980872994</v>
      </c>
    </row>
    <row r="532" spans="1:20" ht="14.45" x14ac:dyDescent="0.3">
      <c r="A532" s="45" t="s">
        <v>22</v>
      </c>
      <c r="B532" s="45" t="s">
        <v>8</v>
      </c>
      <c r="C532" s="45" t="s">
        <v>29</v>
      </c>
      <c r="D532" s="45" t="s">
        <v>91</v>
      </c>
      <c r="E532" s="124">
        <v>40729</v>
      </c>
      <c r="G532" s="92">
        <v>4840</v>
      </c>
      <c r="H532" s="52">
        <v>1695</v>
      </c>
      <c r="I532" t="s">
        <v>93</v>
      </c>
      <c r="J532" s="128">
        <f t="shared" si="103"/>
        <v>0.39</v>
      </c>
      <c r="K532" s="103">
        <f t="shared" si="104"/>
        <v>48.063555114200597</v>
      </c>
      <c r="L532" s="103">
        <f t="shared" si="105"/>
        <v>1.3081081081081081</v>
      </c>
      <c r="M532" s="133">
        <f t="shared" si="106"/>
        <v>661.05000000000007</v>
      </c>
      <c r="N532" s="133">
        <f t="shared" si="107"/>
        <v>5501.05</v>
      </c>
      <c r="O532" s="134">
        <f t="shared" si="108"/>
        <v>54.628103277060575</v>
      </c>
      <c r="P532" s="134">
        <f t="shared" si="102"/>
        <v>1.4867702702702703</v>
      </c>
      <c r="R532" s="149">
        <f t="shared" si="109"/>
        <v>10.027601656099371</v>
      </c>
    </row>
    <row r="533" spans="1:20" ht="14.45" x14ac:dyDescent="0.3">
      <c r="A533" s="45" t="s">
        <v>22</v>
      </c>
      <c r="B533" s="45" t="s">
        <v>23</v>
      </c>
      <c r="C533" s="45" t="s">
        <v>26</v>
      </c>
      <c r="D533" s="45" t="s">
        <v>91</v>
      </c>
      <c r="E533" s="124">
        <v>40729</v>
      </c>
      <c r="G533" s="92">
        <v>4830</v>
      </c>
      <c r="H533">
        <v>1851</v>
      </c>
      <c r="I533" t="s">
        <v>93</v>
      </c>
      <c r="J533" s="128">
        <f t="shared" si="103"/>
        <v>0.39</v>
      </c>
      <c r="K533" s="103">
        <f t="shared" si="104"/>
        <v>47.964250248262161</v>
      </c>
      <c r="L533" s="103">
        <f t="shared" si="105"/>
        <v>1.3054054054054054</v>
      </c>
      <c r="M533" s="133">
        <f t="shared" si="106"/>
        <v>721.89</v>
      </c>
      <c r="N533" s="133">
        <f t="shared" si="107"/>
        <v>5551.89</v>
      </c>
      <c r="O533" s="134">
        <f t="shared" si="108"/>
        <v>55.132969215491563</v>
      </c>
      <c r="P533" s="134">
        <f t="shared" si="102"/>
        <v>1.5005108108108109</v>
      </c>
      <c r="R533" s="149">
        <f t="shared" si="109"/>
        <v>10.563262477446811</v>
      </c>
    </row>
    <row r="534" spans="1:20" ht="14.45" x14ac:dyDescent="0.3">
      <c r="A534" s="45" t="s">
        <v>22</v>
      </c>
      <c r="B534" s="45" t="s">
        <v>33</v>
      </c>
      <c r="C534" s="45" t="s">
        <v>29</v>
      </c>
      <c r="D534" s="45" t="s">
        <v>91</v>
      </c>
      <c r="E534" s="124">
        <v>40729</v>
      </c>
      <c r="G534" s="92">
        <v>4730</v>
      </c>
      <c r="H534">
        <v>1507</v>
      </c>
      <c r="I534" t="s">
        <v>93</v>
      </c>
      <c r="J534" s="128">
        <f t="shared" si="103"/>
        <v>0.39</v>
      </c>
      <c r="K534" s="103">
        <f t="shared" si="104"/>
        <v>46.971201588877854</v>
      </c>
      <c r="L534" s="103">
        <f t="shared" si="105"/>
        <v>1.2783783783783784</v>
      </c>
      <c r="M534" s="133">
        <f t="shared" si="106"/>
        <v>587.73</v>
      </c>
      <c r="N534" s="133">
        <f t="shared" si="107"/>
        <v>5317.73</v>
      </c>
      <c r="O534" s="134">
        <f t="shared" si="108"/>
        <v>52.807646474677256</v>
      </c>
      <c r="P534" s="134">
        <f t="shared" si="102"/>
        <v>1.4372243243243241</v>
      </c>
      <c r="R534" s="149">
        <f t="shared" si="109"/>
        <v>9.345865496522876</v>
      </c>
    </row>
    <row r="535" spans="1:20" ht="14.45" x14ac:dyDescent="0.3">
      <c r="A535" s="45" t="s">
        <v>22</v>
      </c>
      <c r="B535" s="45" t="s">
        <v>31</v>
      </c>
      <c r="C535" s="45" t="s">
        <v>7</v>
      </c>
      <c r="D535" s="45" t="s">
        <v>91</v>
      </c>
      <c r="E535" s="124">
        <v>40729</v>
      </c>
      <c r="G535" s="92">
        <v>3510</v>
      </c>
      <c r="H535">
        <v>1160</v>
      </c>
      <c r="I535" t="s">
        <v>92</v>
      </c>
      <c r="J535" s="128">
        <f t="shared" si="103"/>
        <v>0.39</v>
      </c>
      <c r="K535" s="103">
        <f t="shared" si="104"/>
        <v>34.856007944389276</v>
      </c>
      <c r="L535" s="103">
        <f t="shared" si="105"/>
        <v>0.94864864864864862</v>
      </c>
      <c r="M535" s="133">
        <f t="shared" si="106"/>
        <v>452.40000000000003</v>
      </c>
      <c r="N535" s="133">
        <f t="shared" si="107"/>
        <v>3962.4</v>
      </c>
      <c r="O535" s="134">
        <f t="shared" si="108"/>
        <v>39.348560079443892</v>
      </c>
      <c r="P535" s="134">
        <f t="shared" si="102"/>
        <v>1.070918918918919</v>
      </c>
      <c r="R535" s="149">
        <f t="shared" si="109"/>
        <v>8.7973640856672262</v>
      </c>
    </row>
    <row r="536" spans="1:20" ht="14.45" x14ac:dyDescent="0.3">
      <c r="A536" s="45" t="s">
        <v>22</v>
      </c>
      <c r="B536" s="45" t="s">
        <v>14</v>
      </c>
      <c r="C536" s="45" t="s">
        <v>24</v>
      </c>
      <c r="D536" s="45" t="s">
        <v>91</v>
      </c>
      <c r="E536" s="124">
        <v>40729</v>
      </c>
      <c r="G536" s="92">
        <v>2536</v>
      </c>
      <c r="H536">
        <v>615</v>
      </c>
      <c r="I536" t="s">
        <v>94</v>
      </c>
      <c r="J536" s="128">
        <f t="shared" si="103"/>
        <v>0.52</v>
      </c>
      <c r="K536" s="103">
        <f t="shared" si="104"/>
        <v>25.183714001986097</v>
      </c>
      <c r="L536" s="103">
        <f t="shared" si="105"/>
        <v>0.6854054054054054</v>
      </c>
      <c r="M536" s="133">
        <f t="shared" si="106"/>
        <v>319.8</v>
      </c>
      <c r="N536" s="133">
        <f t="shared" si="107"/>
        <v>2855.8</v>
      </c>
      <c r="O536" s="134">
        <f t="shared" si="108"/>
        <v>28.359483614697123</v>
      </c>
      <c r="P536" s="134">
        <f t="shared" si="102"/>
        <v>0.77183783783783788</v>
      </c>
      <c r="R536" s="149">
        <f t="shared" si="109"/>
        <v>12.786082423332878</v>
      </c>
    </row>
    <row r="537" spans="1:20" ht="14.45" x14ac:dyDescent="0.3">
      <c r="A537" s="80" t="s">
        <v>22</v>
      </c>
      <c r="B537" s="80" t="s">
        <v>34</v>
      </c>
      <c r="C537" s="80" t="s">
        <v>26</v>
      </c>
      <c r="D537" s="80" t="s">
        <v>91</v>
      </c>
      <c r="E537" s="126">
        <v>40729</v>
      </c>
      <c r="F537" s="84"/>
      <c r="G537" s="105">
        <v>4520</v>
      </c>
      <c r="H537" s="125">
        <v>1637</v>
      </c>
      <c r="I537" s="125" t="s">
        <v>92</v>
      </c>
      <c r="J537" s="113">
        <f t="shared" si="103"/>
        <v>0.39</v>
      </c>
      <c r="K537" s="114">
        <f>G537/100.7</f>
        <v>44.885799404170804</v>
      </c>
      <c r="L537" s="114">
        <f t="shared" si="105"/>
        <v>1.2216216216216216</v>
      </c>
      <c r="M537" s="115">
        <f t="shared" si="106"/>
        <v>638.43000000000006</v>
      </c>
      <c r="N537" s="115">
        <f t="shared" si="107"/>
        <v>5158.43</v>
      </c>
      <c r="O537" s="116">
        <f t="shared" si="108"/>
        <v>51.225719960278056</v>
      </c>
      <c r="P537" s="116">
        <f t="shared" si="102"/>
        <v>1.3941702702702703</v>
      </c>
      <c r="Q537" s="150"/>
      <c r="R537" s="149">
        <f t="shared" si="109"/>
        <v>10.996040797004802</v>
      </c>
      <c r="S537" s="150"/>
      <c r="T537" s="150"/>
    </row>
    <row r="538" spans="1:20" ht="14.45" x14ac:dyDescent="0.3">
      <c r="A538" s="45" t="s">
        <v>1</v>
      </c>
      <c r="B538" s="45" t="s">
        <v>2</v>
      </c>
      <c r="C538" s="45" t="s">
        <v>3</v>
      </c>
      <c r="D538" s="45" t="s">
        <v>90</v>
      </c>
      <c r="E538" s="124">
        <v>40756</v>
      </c>
      <c r="G538" s="92">
        <v>2992</v>
      </c>
      <c r="H538">
        <v>506</v>
      </c>
      <c r="I538" t="s">
        <v>92</v>
      </c>
      <c r="J538" s="127">
        <f>IF(I538="BNSF",0.36,IF(I538="CN",0.3163,IF(I538="CSX",0.49,0.37)))</f>
        <v>0.37</v>
      </c>
      <c r="K538" s="103">
        <f>G538/100.7</f>
        <v>29.712015888778549</v>
      </c>
      <c r="L538" s="103">
        <f>IF(A538="corn",G538/(111*2000/56),G538/(111*2000/60))</f>
        <v>0.8086486486486486</v>
      </c>
      <c r="M538" s="133">
        <f>H538*J538</f>
        <v>187.22</v>
      </c>
      <c r="N538" s="133">
        <f>G538+M538</f>
        <v>3179.22</v>
      </c>
      <c r="O538" s="134">
        <f>N538/100.7</f>
        <v>31.571201588877852</v>
      </c>
      <c r="P538" s="134">
        <f t="shared" ref="P538:P575" si="110">IF(A538="corn",N538/(111*2000/56),N538/(111*2000/60))</f>
        <v>0.85924864864864858</v>
      </c>
      <c r="R538" s="149">
        <f>((N538/N82)-1)*100</f>
        <v>11.160761113558637</v>
      </c>
    </row>
    <row r="539" spans="1:20" ht="14.45" x14ac:dyDescent="0.3">
      <c r="A539" s="45" t="s">
        <v>1</v>
      </c>
      <c r="B539" s="45" t="s">
        <v>4</v>
      </c>
      <c r="C539" s="45" t="s">
        <v>5</v>
      </c>
      <c r="D539" s="45" t="s">
        <v>90</v>
      </c>
      <c r="E539" s="124">
        <v>40756</v>
      </c>
      <c r="G539" s="92">
        <f>-839+3661</f>
        <v>2822</v>
      </c>
      <c r="H539">
        <v>298</v>
      </c>
      <c r="I539" t="s">
        <v>93</v>
      </c>
      <c r="J539" s="128">
        <f t="shared" ref="J539:J575" si="111">IF(I539="BNSF",0.36,IF(I539="CN",0.3163,IF(I539="CSX",0.49,0.37)))</f>
        <v>0.36</v>
      </c>
      <c r="K539" s="103">
        <f t="shared" ref="K539:K602" si="112">G539/100.7</f>
        <v>28.023833167825224</v>
      </c>
      <c r="L539" s="103">
        <f t="shared" ref="L539:L575" si="113">IF(A539="corn",G539/(111*2000/56),G539/(111*2000/60))</f>
        <v>0.76270270270270268</v>
      </c>
      <c r="M539" s="133">
        <f t="shared" ref="M539:M575" si="114">H539*J539</f>
        <v>107.28</v>
      </c>
      <c r="N539" s="133">
        <f t="shared" ref="N539:N575" si="115">G539+M539</f>
        <v>2929.28</v>
      </c>
      <c r="O539" s="134">
        <f t="shared" ref="O539:O575" si="116">N539/100.7</f>
        <v>29.089175769612712</v>
      </c>
      <c r="P539" s="134">
        <f t="shared" si="110"/>
        <v>0.79169729729729732</v>
      </c>
      <c r="R539" s="149">
        <f t="shared" ref="R539:R602" si="117">((N539/N83)-1)*100</f>
        <v>8.849037954175575</v>
      </c>
    </row>
    <row r="540" spans="1:20" ht="14.45" x14ac:dyDescent="0.3">
      <c r="A540" s="45" t="s">
        <v>1</v>
      </c>
      <c r="B540" s="45" t="s">
        <v>2</v>
      </c>
      <c r="C540" s="45" t="s">
        <v>6</v>
      </c>
      <c r="D540" s="45" t="s">
        <v>90</v>
      </c>
      <c r="E540" s="124">
        <v>40756</v>
      </c>
      <c r="G540" s="92">
        <v>5710</v>
      </c>
      <c r="H540">
        <v>1530</v>
      </c>
      <c r="I540" t="s">
        <v>93</v>
      </c>
      <c r="J540" s="128">
        <f t="shared" si="111"/>
        <v>0.36</v>
      </c>
      <c r="K540" s="103">
        <f t="shared" si="112"/>
        <v>56.703078450844089</v>
      </c>
      <c r="L540" s="103">
        <f t="shared" si="113"/>
        <v>1.5432432432432432</v>
      </c>
      <c r="M540" s="133">
        <f t="shared" si="114"/>
        <v>550.79999999999995</v>
      </c>
      <c r="N540" s="133">
        <f t="shared" si="115"/>
        <v>6260.8</v>
      </c>
      <c r="O540" s="134">
        <f t="shared" si="116"/>
        <v>62.17279046673287</v>
      </c>
      <c r="P540" s="134">
        <f t="shared" si="110"/>
        <v>1.6921081081081082</v>
      </c>
      <c r="R540" s="149">
        <f t="shared" si="117"/>
        <v>9.744254938736896</v>
      </c>
    </row>
    <row r="541" spans="1:20" ht="14.45" x14ac:dyDescent="0.3">
      <c r="A541" s="45" t="s">
        <v>1</v>
      </c>
      <c r="B541" s="45" t="s">
        <v>2</v>
      </c>
      <c r="C541" s="45" t="s">
        <v>7</v>
      </c>
      <c r="D541" s="45" t="s">
        <v>90</v>
      </c>
      <c r="E541" s="124">
        <v>40756</v>
      </c>
      <c r="G541" s="92">
        <v>3492</v>
      </c>
      <c r="H541">
        <v>890</v>
      </c>
      <c r="I541" t="s">
        <v>92</v>
      </c>
      <c r="J541" s="128">
        <f t="shared" si="111"/>
        <v>0.37</v>
      </c>
      <c r="K541" s="103">
        <f t="shared" si="112"/>
        <v>34.677259185700102</v>
      </c>
      <c r="L541" s="103">
        <f t="shared" si="113"/>
        <v>0.9437837837837838</v>
      </c>
      <c r="M541" s="133">
        <f t="shared" si="114"/>
        <v>329.3</v>
      </c>
      <c r="N541" s="133">
        <f t="shared" si="115"/>
        <v>3821.3</v>
      </c>
      <c r="O541" s="134">
        <f t="shared" si="116"/>
        <v>37.94736842105263</v>
      </c>
      <c r="P541" s="134">
        <f t="shared" si="110"/>
        <v>1.0327837837837839</v>
      </c>
      <c r="R541" s="149">
        <f t="shared" si="117"/>
        <v>11.528470945334623</v>
      </c>
    </row>
    <row r="542" spans="1:20" ht="14.45" x14ac:dyDescent="0.3">
      <c r="A542" s="45" t="s">
        <v>1</v>
      </c>
      <c r="B542" s="45" t="s">
        <v>8</v>
      </c>
      <c r="C542" s="45" t="s">
        <v>9</v>
      </c>
      <c r="D542" s="45" t="s">
        <v>90</v>
      </c>
      <c r="E542" s="124">
        <v>40756</v>
      </c>
      <c r="G542" s="92">
        <f>109+5301</f>
        <v>5410</v>
      </c>
      <c r="H542">
        <v>1256</v>
      </c>
      <c r="I542" t="s">
        <v>93</v>
      </c>
      <c r="J542" s="128">
        <f t="shared" si="111"/>
        <v>0.36</v>
      </c>
      <c r="K542" s="103">
        <f t="shared" si="112"/>
        <v>53.72393247269116</v>
      </c>
      <c r="L542" s="103">
        <f t="shared" si="113"/>
        <v>1.4621621621621621</v>
      </c>
      <c r="M542" s="133">
        <f t="shared" si="114"/>
        <v>452.15999999999997</v>
      </c>
      <c r="N542" s="133">
        <f t="shared" si="115"/>
        <v>5862.16</v>
      </c>
      <c r="O542" s="134">
        <f t="shared" si="116"/>
        <v>58.214101290963256</v>
      </c>
      <c r="P542" s="134">
        <f t="shared" si="110"/>
        <v>1.5843675675675675</v>
      </c>
      <c r="R542" s="149">
        <f t="shared" si="117"/>
        <v>6.1777768117831977</v>
      </c>
    </row>
    <row r="543" spans="1:20" ht="14.45" x14ac:dyDescent="0.3">
      <c r="A543" s="45" t="s">
        <v>1</v>
      </c>
      <c r="B543" s="45" t="s">
        <v>10</v>
      </c>
      <c r="C543" s="45" t="s">
        <v>9</v>
      </c>
      <c r="D543" s="45" t="s">
        <v>90</v>
      </c>
      <c r="E543" s="124">
        <v>40756</v>
      </c>
      <c r="G543" s="92">
        <v>3760</v>
      </c>
      <c r="H543">
        <v>975</v>
      </c>
      <c r="I543" t="s">
        <v>92</v>
      </c>
      <c r="J543" s="128">
        <f t="shared" si="111"/>
        <v>0.37</v>
      </c>
      <c r="K543" s="103">
        <f t="shared" si="112"/>
        <v>37.338629592850047</v>
      </c>
      <c r="L543" s="103">
        <f t="shared" si="113"/>
        <v>1.0162162162162163</v>
      </c>
      <c r="M543" s="133">
        <f t="shared" si="114"/>
        <v>360.75</v>
      </c>
      <c r="N543" s="133">
        <f t="shared" si="115"/>
        <v>4120.75</v>
      </c>
      <c r="O543" s="134">
        <f t="shared" si="116"/>
        <v>40.921052631578945</v>
      </c>
      <c r="P543" s="134">
        <f t="shared" si="110"/>
        <v>1.1137162162162162</v>
      </c>
      <c r="R543" s="149">
        <f t="shared" si="117"/>
        <v>11.10886417256487</v>
      </c>
    </row>
    <row r="544" spans="1:20" ht="14.45" x14ac:dyDescent="0.3">
      <c r="A544" s="45" t="s">
        <v>1</v>
      </c>
      <c r="B544" s="45" t="s">
        <v>11</v>
      </c>
      <c r="C544" s="45" t="s">
        <v>6</v>
      </c>
      <c r="D544" s="45" t="s">
        <v>90</v>
      </c>
      <c r="E544" s="124">
        <v>40756</v>
      </c>
      <c r="G544" s="92">
        <v>3959</v>
      </c>
      <c r="H544">
        <v>1357</v>
      </c>
      <c r="I544" t="s">
        <v>92</v>
      </c>
      <c r="J544" s="128">
        <f t="shared" si="111"/>
        <v>0.37</v>
      </c>
      <c r="K544" s="103">
        <f t="shared" si="112"/>
        <v>39.314796425024824</v>
      </c>
      <c r="L544" s="103">
        <f t="shared" si="113"/>
        <v>1.07</v>
      </c>
      <c r="M544" s="133">
        <f t="shared" si="114"/>
        <v>502.09</v>
      </c>
      <c r="N544" s="133">
        <f t="shared" si="115"/>
        <v>4461.09</v>
      </c>
      <c r="O544" s="134">
        <f t="shared" si="116"/>
        <v>44.300794438927511</v>
      </c>
      <c r="P544" s="134">
        <f t="shared" si="110"/>
        <v>1.2057</v>
      </c>
      <c r="R544" s="149">
        <f t="shared" si="117"/>
        <v>12.293936853869791</v>
      </c>
    </row>
    <row r="545" spans="1:18" ht="14.45" x14ac:dyDescent="0.3">
      <c r="A545" s="45" t="s">
        <v>134</v>
      </c>
      <c r="B545" s="45" t="s">
        <v>13</v>
      </c>
      <c r="C545" s="45" t="s">
        <v>7</v>
      </c>
      <c r="D545" s="45" t="s">
        <v>90</v>
      </c>
      <c r="E545" s="124">
        <v>40756</v>
      </c>
      <c r="G545" s="92">
        <v>2812</v>
      </c>
      <c r="H545">
        <v>1006</v>
      </c>
      <c r="I545" t="s">
        <v>92</v>
      </c>
      <c r="J545" s="128">
        <f t="shared" si="111"/>
        <v>0.37</v>
      </c>
      <c r="K545" s="103">
        <f t="shared" si="112"/>
        <v>27.924528301886792</v>
      </c>
      <c r="L545" s="103">
        <f t="shared" si="113"/>
        <v>0.70933333333333337</v>
      </c>
      <c r="M545" s="133">
        <f t="shared" si="114"/>
        <v>372.21999999999997</v>
      </c>
      <c r="N545" s="133">
        <f t="shared" si="115"/>
        <v>3184.22</v>
      </c>
      <c r="O545" s="134">
        <f t="shared" si="116"/>
        <v>31.620854021847066</v>
      </c>
      <c r="P545" s="134">
        <f t="shared" si="110"/>
        <v>0.80322666666666664</v>
      </c>
      <c r="R545" s="149">
        <f t="shared" si="117"/>
        <v>7.7198395139410403</v>
      </c>
    </row>
    <row r="546" spans="1:18" ht="14.45" x14ac:dyDescent="0.3">
      <c r="A546" s="45" t="s">
        <v>134</v>
      </c>
      <c r="B546" s="45" t="s">
        <v>14</v>
      </c>
      <c r="C546" s="45" t="s">
        <v>15</v>
      </c>
      <c r="D546" s="45" t="s">
        <v>90</v>
      </c>
      <c r="E546" s="124">
        <v>40756</v>
      </c>
      <c r="G546" s="92">
        <v>3760</v>
      </c>
      <c r="H546">
        <v>866</v>
      </c>
      <c r="I546" t="s">
        <v>94</v>
      </c>
      <c r="J546" s="128">
        <f t="shared" si="111"/>
        <v>0.49</v>
      </c>
      <c r="K546" s="103">
        <f t="shared" si="112"/>
        <v>37.338629592850047</v>
      </c>
      <c r="L546" s="103">
        <f t="shared" si="113"/>
        <v>0.94846846846846844</v>
      </c>
      <c r="M546" s="133">
        <f t="shared" si="114"/>
        <v>424.34</v>
      </c>
      <c r="N546" s="133">
        <f t="shared" si="115"/>
        <v>4184.34</v>
      </c>
      <c r="O546" s="134">
        <f t="shared" si="116"/>
        <v>41.552532274081429</v>
      </c>
      <c r="P546" s="134">
        <f t="shared" si="110"/>
        <v>1.0555091891891892</v>
      </c>
      <c r="R546" s="149">
        <f t="shared" si="117"/>
        <v>13.740744365071599</v>
      </c>
    </row>
    <row r="547" spans="1:18" ht="14.45" x14ac:dyDescent="0.3">
      <c r="A547" s="45" t="s">
        <v>134</v>
      </c>
      <c r="B547" s="45" t="s">
        <v>16</v>
      </c>
      <c r="C547" s="45" t="s">
        <v>17</v>
      </c>
      <c r="D547" s="45" t="s">
        <v>90</v>
      </c>
      <c r="E547" s="124">
        <v>40756</v>
      </c>
      <c r="G547" s="92">
        <v>1843</v>
      </c>
      <c r="H547">
        <v>213</v>
      </c>
      <c r="I547" t="s">
        <v>92</v>
      </c>
      <c r="J547" s="128">
        <f t="shared" si="111"/>
        <v>0.37</v>
      </c>
      <c r="K547" s="103">
        <f t="shared" si="112"/>
        <v>18.30188679245283</v>
      </c>
      <c r="L547" s="103">
        <f t="shared" si="113"/>
        <v>0.46490090090090092</v>
      </c>
      <c r="M547" s="133">
        <f t="shared" si="114"/>
        <v>78.81</v>
      </c>
      <c r="N547" s="133">
        <f t="shared" si="115"/>
        <v>1921.81</v>
      </c>
      <c r="O547" s="134">
        <f t="shared" si="116"/>
        <v>19.084508440913602</v>
      </c>
      <c r="P547" s="134">
        <f t="shared" si="110"/>
        <v>0.48478090090090087</v>
      </c>
      <c r="R547" s="149">
        <f t="shared" si="117"/>
        <v>-1.3550900570267088</v>
      </c>
    </row>
    <row r="548" spans="1:18" ht="14.45" x14ac:dyDescent="0.3">
      <c r="A548" s="45" t="s">
        <v>134</v>
      </c>
      <c r="B548" s="45" t="s">
        <v>18</v>
      </c>
      <c r="C548" s="45" t="s">
        <v>19</v>
      </c>
      <c r="D548" s="45" t="s">
        <v>90</v>
      </c>
      <c r="E548" s="124">
        <v>40756</v>
      </c>
      <c r="G548" s="92">
        <v>3196</v>
      </c>
      <c r="H548">
        <v>650</v>
      </c>
      <c r="I548" t="s">
        <v>94</v>
      </c>
      <c r="J548" s="128">
        <f t="shared" si="111"/>
        <v>0.49</v>
      </c>
      <c r="K548" s="103">
        <f t="shared" si="112"/>
        <v>31.737835153922543</v>
      </c>
      <c r="L548" s="103">
        <f t="shared" si="113"/>
        <v>0.80619819819819816</v>
      </c>
      <c r="M548" s="133">
        <f t="shared" si="114"/>
        <v>318.5</v>
      </c>
      <c r="N548" s="133">
        <f t="shared" si="115"/>
        <v>3514.5</v>
      </c>
      <c r="O548" s="134">
        <f t="shared" si="116"/>
        <v>34.900695134061571</v>
      </c>
      <c r="P548" s="134">
        <f t="shared" si="110"/>
        <v>0.88654054054054054</v>
      </c>
      <c r="R548" s="149">
        <f t="shared" si="117"/>
        <v>11.606859320419183</v>
      </c>
    </row>
    <row r="549" spans="1:18" ht="14.45" x14ac:dyDescent="0.3">
      <c r="A549" s="45" t="s">
        <v>134</v>
      </c>
      <c r="B549" s="45" t="s">
        <v>18</v>
      </c>
      <c r="C549" s="45" t="s">
        <v>20</v>
      </c>
      <c r="D549" s="45" t="s">
        <v>90</v>
      </c>
      <c r="E549" s="124">
        <v>40756</v>
      </c>
      <c r="G549" s="92">
        <v>2760</v>
      </c>
      <c r="H549">
        <v>417</v>
      </c>
      <c r="I549" t="s">
        <v>94</v>
      </c>
      <c r="J549" s="128">
        <f t="shared" si="111"/>
        <v>0.49</v>
      </c>
      <c r="K549" s="103">
        <f t="shared" si="112"/>
        <v>27.408142999006952</v>
      </c>
      <c r="L549" s="103">
        <f t="shared" si="113"/>
        <v>0.69621621621621621</v>
      </c>
      <c r="M549" s="133">
        <f t="shared" si="114"/>
        <v>204.32999999999998</v>
      </c>
      <c r="N549" s="133">
        <f t="shared" si="115"/>
        <v>2964.33</v>
      </c>
      <c r="O549" s="134">
        <f t="shared" si="116"/>
        <v>29.43723932472691</v>
      </c>
      <c r="P549" s="134">
        <f t="shared" si="110"/>
        <v>0.74775891891891888</v>
      </c>
      <c r="R549" s="149">
        <f t="shared" si="117"/>
        <v>11.563445586884846</v>
      </c>
    </row>
    <row r="550" spans="1:18" ht="14.45" x14ac:dyDescent="0.3">
      <c r="A550" s="45" t="s">
        <v>134</v>
      </c>
      <c r="B550" s="45" t="s">
        <v>16</v>
      </c>
      <c r="C550" s="45" t="s">
        <v>21</v>
      </c>
      <c r="D550" s="45" t="s">
        <v>90</v>
      </c>
      <c r="E550" s="124">
        <v>40756</v>
      </c>
      <c r="G550" s="92">
        <v>2938</v>
      </c>
      <c r="H550">
        <v>626</v>
      </c>
      <c r="I550" t="s">
        <v>92</v>
      </c>
      <c r="J550" s="128">
        <f t="shared" si="111"/>
        <v>0.37</v>
      </c>
      <c r="K550" s="103">
        <f t="shared" si="112"/>
        <v>29.175769612711022</v>
      </c>
      <c r="L550" s="103">
        <f t="shared" si="113"/>
        <v>0.74111711711711714</v>
      </c>
      <c r="M550" s="133">
        <f t="shared" si="114"/>
        <v>231.62</v>
      </c>
      <c r="N550" s="133">
        <f t="shared" si="115"/>
        <v>3169.62</v>
      </c>
      <c r="O550" s="134">
        <f t="shared" si="116"/>
        <v>31.47586891757696</v>
      </c>
      <c r="P550" s="134">
        <f t="shared" si="110"/>
        <v>0.79954378378378377</v>
      </c>
      <c r="R550" s="149">
        <f t="shared" si="117"/>
        <v>7.2840015976062933</v>
      </c>
    </row>
    <row r="551" spans="1:18" ht="14.45" x14ac:dyDescent="0.3">
      <c r="A551" s="45" t="s">
        <v>134</v>
      </c>
      <c r="B551" s="45" t="s">
        <v>16</v>
      </c>
      <c r="C551" s="45" t="s">
        <v>6</v>
      </c>
      <c r="D551" s="45" t="s">
        <v>90</v>
      </c>
      <c r="E551" s="124">
        <v>40756</v>
      </c>
      <c r="G551" s="92">
        <v>4835</v>
      </c>
      <c r="H551">
        <v>1823</v>
      </c>
      <c r="I551" t="s">
        <v>92</v>
      </c>
      <c r="J551" s="128">
        <f t="shared" si="111"/>
        <v>0.37</v>
      </c>
      <c r="K551" s="103">
        <f t="shared" si="112"/>
        <v>48.013902681231379</v>
      </c>
      <c r="L551" s="103">
        <f t="shared" si="113"/>
        <v>1.2196396396396396</v>
      </c>
      <c r="M551" s="133">
        <f t="shared" si="114"/>
        <v>674.51</v>
      </c>
      <c r="N551" s="133">
        <f t="shared" si="115"/>
        <v>5509.51</v>
      </c>
      <c r="O551" s="134">
        <f t="shared" si="116"/>
        <v>54.712115193644486</v>
      </c>
      <c r="P551" s="134">
        <f t="shared" si="110"/>
        <v>1.3897863063063063</v>
      </c>
      <c r="R551" s="149">
        <f t="shared" si="117"/>
        <v>20.481487717886427</v>
      </c>
    </row>
    <row r="552" spans="1:18" ht="14.45" x14ac:dyDescent="0.3">
      <c r="A552" s="45" t="s">
        <v>22</v>
      </c>
      <c r="B552" s="45" t="s">
        <v>23</v>
      </c>
      <c r="C552" s="45" t="s">
        <v>7</v>
      </c>
      <c r="D552" s="45" t="s">
        <v>90</v>
      </c>
      <c r="E552" s="124">
        <v>40756</v>
      </c>
      <c r="G552" s="92">
        <v>3289</v>
      </c>
      <c r="H552" s="52">
        <v>1295</v>
      </c>
      <c r="I552" t="s">
        <v>95</v>
      </c>
      <c r="J552" s="128">
        <f t="shared" si="111"/>
        <v>0.31630000000000003</v>
      </c>
      <c r="K552" s="103">
        <f t="shared" si="112"/>
        <v>32.661370407149953</v>
      </c>
      <c r="L552" s="103">
        <f t="shared" si="113"/>
        <v>0.88891891891891894</v>
      </c>
      <c r="M552" s="133">
        <f t="shared" si="114"/>
        <v>409.60850000000005</v>
      </c>
      <c r="N552" s="133">
        <f t="shared" si="115"/>
        <v>3698.6085000000003</v>
      </c>
      <c r="O552" s="134">
        <f t="shared" si="116"/>
        <v>36.728982125124134</v>
      </c>
      <c r="P552" s="134">
        <f t="shared" si="110"/>
        <v>0.999623918918919</v>
      </c>
      <c r="R552" s="149">
        <f t="shared" si="117"/>
        <v>10.577288596463031</v>
      </c>
    </row>
    <row r="553" spans="1:18" ht="14.45" x14ac:dyDescent="0.3">
      <c r="A553" s="45" t="s">
        <v>22</v>
      </c>
      <c r="B553" s="45" t="s">
        <v>14</v>
      </c>
      <c r="C553" s="45" t="s">
        <v>24</v>
      </c>
      <c r="D553" s="45" t="s">
        <v>90</v>
      </c>
      <c r="E553" s="124">
        <v>40756</v>
      </c>
      <c r="G553" s="92">
        <v>2921</v>
      </c>
      <c r="H553">
        <v>615</v>
      </c>
      <c r="I553" t="s">
        <v>94</v>
      </c>
      <c r="J553" s="128">
        <f t="shared" si="111"/>
        <v>0.49</v>
      </c>
      <c r="K553" s="103">
        <f t="shared" si="112"/>
        <v>29.006951340615689</v>
      </c>
      <c r="L553" s="103">
        <f t="shared" si="113"/>
        <v>0.7894594594594595</v>
      </c>
      <c r="M553" s="133">
        <f t="shared" si="114"/>
        <v>301.35000000000002</v>
      </c>
      <c r="N553" s="133">
        <f t="shared" si="115"/>
        <v>3222.35</v>
      </c>
      <c r="O553" s="134">
        <f t="shared" si="116"/>
        <v>31.999503475670306</v>
      </c>
      <c r="P553" s="134">
        <f t="shared" si="110"/>
        <v>0.8709054054054054</v>
      </c>
      <c r="R553" s="149">
        <f t="shared" si="117"/>
        <v>11.284362481005662</v>
      </c>
    </row>
    <row r="554" spans="1:18" ht="14.45" x14ac:dyDescent="0.3">
      <c r="A554" s="45" t="s">
        <v>22</v>
      </c>
      <c r="B554" s="45" t="s">
        <v>18</v>
      </c>
      <c r="C554" s="45" t="s">
        <v>15</v>
      </c>
      <c r="D554" s="45" t="s">
        <v>90</v>
      </c>
      <c r="E554" s="124">
        <v>40756</v>
      </c>
      <c r="G554" s="92">
        <v>3830</v>
      </c>
      <c r="H554">
        <v>872</v>
      </c>
      <c r="I554" t="s">
        <v>94</v>
      </c>
      <c r="J554" s="128">
        <f t="shared" si="111"/>
        <v>0.49</v>
      </c>
      <c r="K554" s="103">
        <f t="shared" si="112"/>
        <v>38.033763654419069</v>
      </c>
      <c r="L554" s="103">
        <f t="shared" si="113"/>
        <v>1.0351351351351352</v>
      </c>
      <c r="M554" s="133">
        <f t="shared" si="114"/>
        <v>427.28</v>
      </c>
      <c r="N554" s="133">
        <f t="shared" si="115"/>
        <v>4257.28</v>
      </c>
      <c r="O554" s="134">
        <f t="shared" si="116"/>
        <v>42.276861966236339</v>
      </c>
      <c r="P554" s="134">
        <f t="shared" si="110"/>
        <v>1.1506162162162161</v>
      </c>
      <c r="R554" s="149">
        <f t="shared" si="117"/>
        <v>13.549268126146874</v>
      </c>
    </row>
    <row r="555" spans="1:18" ht="14.45" x14ac:dyDescent="0.3">
      <c r="A555" s="45" t="s">
        <v>22</v>
      </c>
      <c r="B555" s="45" t="s">
        <v>18</v>
      </c>
      <c r="C555" s="45" t="s">
        <v>24</v>
      </c>
      <c r="D555" s="45" t="s">
        <v>90</v>
      </c>
      <c r="E555" s="124">
        <v>40756</v>
      </c>
      <c r="G555" s="92">
        <v>2613</v>
      </c>
      <c r="H555">
        <v>417</v>
      </c>
      <c r="I555" t="s">
        <v>94</v>
      </c>
      <c r="J555" s="128">
        <f t="shared" si="111"/>
        <v>0.49</v>
      </c>
      <c r="K555" s="103">
        <f t="shared" si="112"/>
        <v>25.948361469712015</v>
      </c>
      <c r="L555" s="103">
        <f t="shared" si="113"/>
        <v>0.70621621621621622</v>
      </c>
      <c r="M555" s="133">
        <f t="shared" si="114"/>
        <v>204.32999999999998</v>
      </c>
      <c r="N555" s="133">
        <f t="shared" si="115"/>
        <v>2817.33</v>
      </c>
      <c r="O555" s="134">
        <f t="shared" si="116"/>
        <v>27.977457795431974</v>
      </c>
      <c r="P555" s="134">
        <f t="shared" si="110"/>
        <v>0.76144054054054056</v>
      </c>
      <c r="R555" s="149">
        <f t="shared" si="117"/>
        <v>10.784167230287679</v>
      </c>
    </row>
    <row r="556" spans="1:18" ht="14.45" x14ac:dyDescent="0.3">
      <c r="A556" s="45" t="s">
        <v>22</v>
      </c>
      <c r="B556" s="45" t="s">
        <v>13</v>
      </c>
      <c r="C556" s="45" t="s">
        <v>7</v>
      </c>
      <c r="D556" s="45" t="s">
        <v>90</v>
      </c>
      <c r="E556" s="124">
        <v>40756</v>
      </c>
      <c r="G556" s="92">
        <v>3156</v>
      </c>
      <c r="H556">
        <v>1006</v>
      </c>
      <c r="I556" t="s">
        <v>92</v>
      </c>
      <c r="J556" s="128">
        <f t="shared" si="111"/>
        <v>0.37</v>
      </c>
      <c r="K556" s="103">
        <f t="shared" si="112"/>
        <v>31.340615690168818</v>
      </c>
      <c r="L556" s="103">
        <f t="shared" si="113"/>
        <v>0.85297297297297292</v>
      </c>
      <c r="M556" s="133">
        <f t="shared" si="114"/>
        <v>372.21999999999997</v>
      </c>
      <c r="N556" s="133">
        <f t="shared" si="115"/>
        <v>3528.22</v>
      </c>
      <c r="O556" s="134">
        <f t="shared" si="116"/>
        <v>35.036941410129096</v>
      </c>
      <c r="P556" s="134">
        <f t="shared" si="110"/>
        <v>0.95357297297297294</v>
      </c>
      <c r="R556" s="149">
        <f t="shared" si="117"/>
        <v>9.9469620008600721</v>
      </c>
    </row>
    <row r="557" spans="1:18" ht="14.45" x14ac:dyDescent="0.3">
      <c r="A557" s="45" t="s">
        <v>1</v>
      </c>
      <c r="B557" s="45" t="s">
        <v>25</v>
      </c>
      <c r="C557" s="45" t="s">
        <v>26</v>
      </c>
      <c r="D557" s="45" t="s">
        <v>91</v>
      </c>
      <c r="E557" s="124">
        <v>40756</v>
      </c>
      <c r="G557" s="92">
        <v>3239</v>
      </c>
      <c r="H557">
        <v>880</v>
      </c>
      <c r="I557" t="s">
        <v>93</v>
      </c>
      <c r="J557" s="128">
        <f t="shared" si="111"/>
        <v>0.36</v>
      </c>
      <c r="K557" s="103">
        <f t="shared" si="112"/>
        <v>32.164846077457796</v>
      </c>
      <c r="L557" s="103">
        <f t="shared" si="113"/>
        <v>0.87540540540540546</v>
      </c>
      <c r="M557" s="133">
        <f t="shared" si="114"/>
        <v>316.8</v>
      </c>
      <c r="N557" s="133">
        <f t="shared" si="115"/>
        <v>3555.8</v>
      </c>
      <c r="O557" s="134">
        <f t="shared" si="116"/>
        <v>35.31082423038729</v>
      </c>
      <c r="P557" s="134">
        <f t="shared" si="110"/>
        <v>0.96102702702702703</v>
      </c>
      <c r="R557" s="149">
        <f t="shared" si="117"/>
        <v>9.530556924593391</v>
      </c>
    </row>
    <row r="558" spans="1:18" ht="14.45" x14ac:dyDescent="0.3">
      <c r="A558" s="45" t="s">
        <v>1</v>
      </c>
      <c r="B558" s="45" t="s">
        <v>2</v>
      </c>
      <c r="C558" s="45" t="s">
        <v>9</v>
      </c>
      <c r="D558" s="45" t="s">
        <v>91</v>
      </c>
      <c r="E558" s="124">
        <v>40756</v>
      </c>
      <c r="G558" s="92">
        <v>3144</v>
      </c>
      <c r="H558">
        <v>685</v>
      </c>
      <c r="I558" t="s">
        <v>93</v>
      </c>
      <c r="J558" s="128">
        <f t="shared" si="111"/>
        <v>0.36</v>
      </c>
      <c r="K558" s="103">
        <f t="shared" si="112"/>
        <v>31.221449851042699</v>
      </c>
      <c r="L558" s="103">
        <f t="shared" si="113"/>
        <v>0.84972972972972971</v>
      </c>
      <c r="M558" s="133">
        <f t="shared" si="114"/>
        <v>246.6</v>
      </c>
      <c r="N558" s="133">
        <f t="shared" si="115"/>
        <v>3390.6</v>
      </c>
      <c r="O558" s="134">
        <f t="shared" si="116"/>
        <v>33.670307845084409</v>
      </c>
      <c r="P558" s="134">
        <f t="shared" si="110"/>
        <v>0.91637837837837832</v>
      </c>
      <c r="R558" s="149">
        <f t="shared" si="117"/>
        <v>7.244864069839152</v>
      </c>
    </row>
    <row r="559" spans="1:18" ht="14.45" x14ac:dyDescent="0.3">
      <c r="A559" s="45" t="s">
        <v>1</v>
      </c>
      <c r="B559" s="45" t="s">
        <v>27</v>
      </c>
      <c r="C559" s="45" t="s">
        <v>28</v>
      </c>
      <c r="D559" s="45" t="s">
        <v>91</v>
      </c>
      <c r="E559" s="124">
        <v>40756</v>
      </c>
      <c r="G559" s="92">
        <v>3497</v>
      </c>
      <c r="H559">
        <v>812</v>
      </c>
      <c r="I559" t="s">
        <v>94</v>
      </c>
      <c r="J559" s="128">
        <f t="shared" si="111"/>
        <v>0.49</v>
      </c>
      <c r="K559" s="103">
        <f t="shared" si="112"/>
        <v>34.726911618669313</v>
      </c>
      <c r="L559" s="103">
        <f t="shared" si="113"/>
        <v>0.94513513513513514</v>
      </c>
      <c r="M559" s="133">
        <f t="shared" si="114"/>
        <v>397.88</v>
      </c>
      <c r="N559" s="133">
        <f t="shared" si="115"/>
        <v>3894.88</v>
      </c>
      <c r="O559" s="134">
        <f t="shared" si="116"/>
        <v>38.678053624627609</v>
      </c>
      <c r="P559" s="134">
        <f t="shared" si="110"/>
        <v>1.0526702702702704</v>
      </c>
      <c r="R559" s="149">
        <f t="shared" si="117"/>
        <v>-2.7709267376955893</v>
      </c>
    </row>
    <row r="560" spans="1:18" ht="14.45" x14ac:dyDescent="0.3">
      <c r="A560" s="45" t="s">
        <v>1</v>
      </c>
      <c r="B560" s="45" t="s">
        <v>4</v>
      </c>
      <c r="C560" s="45" t="s">
        <v>26</v>
      </c>
      <c r="D560" s="45" t="s">
        <v>91</v>
      </c>
      <c r="E560" s="124">
        <v>40756</v>
      </c>
      <c r="G560" s="92">
        <v>4702</v>
      </c>
      <c r="H560">
        <v>1520</v>
      </c>
      <c r="I560" t="s">
        <v>93</v>
      </c>
      <c r="J560" s="128">
        <f t="shared" si="111"/>
        <v>0.36</v>
      </c>
      <c r="K560" s="103">
        <f t="shared" si="112"/>
        <v>46.693147964250244</v>
      </c>
      <c r="L560" s="103">
        <f t="shared" si="113"/>
        <v>1.2708108108108107</v>
      </c>
      <c r="M560" s="133">
        <f t="shared" si="114"/>
        <v>547.19999999999993</v>
      </c>
      <c r="N560" s="133">
        <f t="shared" si="115"/>
        <v>5249.2</v>
      </c>
      <c r="O560" s="134">
        <f t="shared" si="116"/>
        <v>52.127110228401186</v>
      </c>
      <c r="P560" s="134">
        <f t="shared" si="110"/>
        <v>1.4187027027027026</v>
      </c>
      <c r="R560" s="149">
        <f t="shared" si="117"/>
        <v>9.7103206119633754</v>
      </c>
    </row>
    <row r="561" spans="1:20" ht="14.45" x14ac:dyDescent="0.3">
      <c r="A561" s="45" t="s">
        <v>1</v>
      </c>
      <c r="B561" s="45" t="s">
        <v>4</v>
      </c>
      <c r="C561" s="45" t="s">
        <v>9</v>
      </c>
      <c r="D561" s="45" t="s">
        <v>91</v>
      </c>
      <c r="E561" s="124">
        <v>40756</v>
      </c>
      <c r="G561" s="92">
        <f>2856+2792</f>
        <v>5648</v>
      </c>
      <c r="H561">
        <v>1583</v>
      </c>
      <c r="I561" t="s">
        <v>93</v>
      </c>
      <c r="J561" s="128">
        <f t="shared" si="111"/>
        <v>0.36</v>
      </c>
      <c r="K561" s="103">
        <f t="shared" si="112"/>
        <v>56.08738828202582</v>
      </c>
      <c r="L561" s="103">
        <f t="shared" si="113"/>
        <v>1.5264864864864864</v>
      </c>
      <c r="M561" s="133">
        <f t="shared" si="114"/>
        <v>569.88</v>
      </c>
      <c r="N561" s="133">
        <f t="shared" si="115"/>
        <v>6217.88</v>
      </c>
      <c r="O561" s="134">
        <f t="shared" si="116"/>
        <v>61.74657398212512</v>
      </c>
      <c r="P561" s="134">
        <f t="shared" si="110"/>
        <v>1.6805081081081081</v>
      </c>
      <c r="R561" s="149">
        <f t="shared" si="117"/>
        <v>8.5772060300103536</v>
      </c>
    </row>
    <row r="562" spans="1:20" ht="14.45" x14ac:dyDescent="0.3">
      <c r="A562" s="45" t="s">
        <v>1</v>
      </c>
      <c r="B562" s="45" t="s">
        <v>10</v>
      </c>
      <c r="C562" s="45" t="s">
        <v>26</v>
      </c>
      <c r="D562" s="45" t="s">
        <v>91</v>
      </c>
      <c r="E562" s="124">
        <v>40756</v>
      </c>
      <c r="G562" s="92">
        <v>4727</v>
      </c>
      <c r="H562">
        <v>1599</v>
      </c>
      <c r="I562" t="s">
        <v>92</v>
      </c>
      <c r="J562" s="128">
        <f t="shared" si="111"/>
        <v>0.37</v>
      </c>
      <c r="K562" s="103">
        <f t="shared" si="112"/>
        <v>46.941410129096326</v>
      </c>
      <c r="L562" s="103">
        <f t="shared" si="113"/>
        <v>1.2775675675675675</v>
      </c>
      <c r="M562" s="133">
        <f t="shared" si="114"/>
        <v>591.63</v>
      </c>
      <c r="N562" s="133">
        <f t="shared" si="115"/>
        <v>5318.63</v>
      </c>
      <c r="O562" s="134">
        <f t="shared" si="116"/>
        <v>52.816583912611719</v>
      </c>
      <c r="P562" s="134">
        <f t="shared" si="110"/>
        <v>1.4374675675675677</v>
      </c>
      <c r="R562" s="149">
        <f t="shared" si="117"/>
        <v>11.225827768866736</v>
      </c>
    </row>
    <row r="563" spans="1:20" ht="14.45" x14ac:dyDescent="0.3">
      <c r="A563" s="45" t="s">
        <v>134</v>
      </c>
      <c r="B563" s="45" t="s">
        <v>23</v>
      </c>
      <c r="C563" s="45" t="s">
        <v>26</v>
      </c>
      <c r="D563" s="45" t="s">
        <v>91</v>
      </c>
      <c r="E563" s="124">
        <v>40756</v>
      </c>
      <c r="G563" s="92">
        <v>4680</v>
      </c>
      <c r="H563">
        <v>1851</v>
      </c>
      <c r="I563" t="s">
        <v>93</v>
      </c>
      <c r="J563" s="128">
        <f t="shared" si="111"/>
        <v>0.36</v>
      </c>
      <c r="K563" s="103">
        <f t="shared" si="112"/>
        <v>46.474677259185697</v>
      </c>
      <c r="L563" s="103">
        <f t="shared" si="113"/>
        <v>1.1805405405405405</v>
      </c>
      <c r="M563" s="133">
        <f t="shared" si="114"/>
        <v>666.36</v>
      </c>
      <c r="N563" s="133">
        <f t="shared" si="115"/>
        <v>5346.36</v>
      </c>
      <c r="O563" s="134">
        <f t="shared" si="116"/>
        <v>53.091956305858986</v>
      </c>
      <c r="P563" s="134">
        <f t="shared" si="110"/>
        <v>1.3486313513513513</v>
      </c>
      <c r="R563" s="149">
        <f t="shared" si="117"/>
        <v>13.36809494627782</v>
      </c>
    </row>
    <row r="564" spans="1:20" ht="14.45" x14ac:dyDescent="0.3">
      <c r="A564" s="45" t="s">
        <v>134</v>
      </c>
      <c r="B564" s="45" t="s">
        <v>8</v>
      </c>
      <c r="C564" s="45" t="s">
        <v>29</v>
      </c>
      <c r="D564" s="45" t="s">
        <v>91</v>
      </c>
      <c r="E564" s="124">
        <v>40756</v>
      </c>
      <c r="G564" s="92">
        <v>4640</v>
      </c>
      <c r="H564">
        <v>1695</v>
      </c>
      <c r="I564" t="s">
        <v>93</v>
      </c>
      <c r="J564" s="128">
        <f t="shared" si="111"/>
        <v>0.36</v>
      </c>
      <c r="K564" s="103">
        <f t="shared" si="112"/>
        <v>46.077457795431975</v>
      </c>
      <c r="L564" s="103">
        <f t="shared" si="113"/>
        <v>1.1704504504504505</v>
      </c>
      <c r="M564" s="133">
        <f t="shared" si="114"/>
        <v>610.19999999999993</v>
      </c>
      <c r="N564" s="133">
        <f t="shared" si="115"/>
        <v>5250.2</v>
      </c>
      <c r="O564" s="134">
        <f t="shared" si="116"/>
        <v>52.137040714995031</v>
      </c>
      <c r="P564" s="134">
        <f t="shared" si="110"/>
        <v>1.3243747747747747</v>
      </c>
      <c r="R564" s="149">
        <f t="shared" si="117"/>
        <v>12.93545715607085</v>
      </c>
    </row>
    <row r="565" spans="1:20" ht="14.45" x14ac:dyDescent="0.3">
      <c r="A565" s="45" t="s">
        <v>134</v>
      </c>
      <c r="B565" s="45" t="s">
        <v>13</v>
      </c>
      <c r="C565" s="45" t="s">
        <v>7</v>
      </c>
      <c r="D565" s="45" t="s">
        <v>91</v>
      </c>
      <c r="E565" s="124">
        <v>40756</v>
      </c>
      <c r="G565" s="92">
        <v>2677</v>
      </c>
      <c r="H565">
        <v>1006</v>
      </c>
      <c r="I565" t="s">
        <v>92</v>
      </c>
      <c r="J565" s="128">
        <f t="shared" si="111"/>
        <v>0.37</v>
      </c>
      <c r="K565" s="103">
        <f t="shared" si="112"/>
        <v>26.583912611717974</v>
      </c>
      <c r="L565" s="103">
        <f t="shared" si="113"/>
        <v>0.67527927927927933</v>
      </c>
      <c r="M565" s="133">
        <f t="shared" si="114"/>
        <v>372.21999999999997</v>
      </c>
      <c r="N565" s="133">
        <f t="shared" si="115"/>
        <v>3049.22</v>
      </c>
      <c r="O565" s="134">
        <f t="shared" si="116"/>
        <v>30.280238331678248</v>
      </c>
      <c r="P565" s="134">
        <f t="shared" si="110"/>
        <v>0.76917261261261261</v>
      </c>
      <c r="R565" s="149">
        <f t="shared" si="117"/>
        <v>7.0645571309190247</v>
      </c>
    </row>
    <row r="566" spans="1:20" ht="14.45" x14ac:dyDescent="0.3">
      <c r="A566" s="45" t="s">
        <v>134</v>
      </c>
      <c r="B566" s="45" t="s">
        <v>30</v>
      </c>
      <c r="C566" s="45" t="s">
        <v>9</v>
      </c>
      <c r="D566" s="45" t="s">
        <v>91</v>
      </c>
      <c r="E566" s="124">
        <v>40756</v>
      </c>
      <c r="G566" s="92">
        <v>3190</v>
      </c>
      <c r="H566">
        <v>988</v>
      </c>
      <c r="I566" t="s">
        <v>93</v>
      </c>
      <c r="J566" s="128">
        <f t="shared" si="111"/>
        <v>0.36</v>
      </c>
      <c r="K566" s="103">
        <f t="shared" si="112"/>
        <v>31.678252234359483</v>
      </c>
      <c r="L566" s="103">
        <f t="shared" si="113"/>
        <v>0.80468468468468468</v>
      </c>
      <c r="M566" s="133">
        <f t="shared" si="114"/>
        <v>355.68</v>
      </c>
      <c r="N566" s="133">
        <f t="shared" si="115"/>
        <v>3545.68</v>
      </c>
      <c r="O566" s="134">
        <f t="shared" si="116"/>
        <v>35.210327706057598</v>
      </c>
      <c r="P566" s="134">
        <f t="shared" si="110"/>
        <v>0.89440576576576569</v>
      </c>
      <c r="R566" s="149">
        <f t="shared" si="117"/>
        <v>9.9490207266096817</v>
      </c>
    </row>
    <row r="567" spans="1:20" ht="14.45" x14ac:dyDescent="0.3">
      <c r="A567" s="45" t="s">
        <v>134</v>
      </c>
      <c r="B567" s="45" t="s">
        <v>16</v>
      </c>
      <c r="C567" s="45" t="s">
        <v>11</v>
      </c>
      <c r="D567" s="45" t="s">
        <v>91</v>
      </c>
      <c r="E567" s="124">
        <v>40756</v>
      </c>
      <c r="G567" s="92">
        <v>3330</v>
      </c>
      <c r="H567" s="52">
        <v>787</v>
      </c>
      <c r="I567" t="s">
        <v>92</v>
      </c>
      <c r="J567" s="128">
        <f t="shared" si="111"/>
        <v>0.37</v>
      </c>
      <c r="K567" s="103">
        <f t="shared" si="112"/>
        <v>33.068520357497519</v>
      </c>
      <c r="L567" s="103">
        <f t="shared" si="113"/>
        <v>0.84</v>
      </c>
      <c r="M567" s="133">
        <f t="shared" si="114"/>
        <v>291.19</v>
      </c>
      <c r="N567" s="133">
        <f t="shared" si="115"/>
        <v>3621.19</v>
      </c>
      <c r="O567" s="134">
        <f t="shared" si="116"/>
        <v>35.960178748758686</v>
      </c>
      <c r="P567" s="134">
        <f t="shared" si="110"/>
        <v>0.91345333333333334</v>
      </c>
      <c r="R567" s="149">
        <f t="shared" si="117"/>
        <v>7.6520829183748029</v>
      </c>
    </row>
    <row r="568" spans="1:20" ht="14.45" x14ac:dyDescent="0.3">
      <c r="A568" s="45" t="s">
        <v>134</v>
      </c>
      <c r="B568" s="45" t="s">
        <v>23</v>
      </c>
      <c r="C568" s="45" t="s">
        <v>29</v>
      </c>
      <c r="D568" s="45" t="s">
        <v>91</v>
      </c>
      <c r="E568" s="124">
        <v>40756</v>
      </c>
      <c r="G568" s="92">
        <v>4680</v>
      </c>
      <c r="H568">
        <v>1836</v>
      </c>
      <c r="I568" t="s">
        <v>93</v>
      </c>
      <c r="J568" s="128">
        <f t="shared" si="111"/>
        <v>0.36</v>
      </c>
      <c r="K568" s="103">
        <f t="shared" si="112"/>
        <v>46.474677259185697</v>
      </c>
      <c r="L568" s="103">
        <f t="shared" si="113"/>
        <v>1.1805405405405405</v>
      </c>
      <c r="M568" s="133">
        <f t="shared" si="114"/>
        <v>660.95999999999992</v>
      </c>
      <c r="N568" s="133">
        <f t="shared" si="115"/>
        <v>5340.96</v>
      </c>
      <c r="O568" s="134">
        <f t="shared" si="116"/>
        <v>53.038331678252234</v>
      </c>
      <c r="P568" s="134">
        <f t="shared" si="110"/>
        <v>1.3472691891891893</v>
      </c>
      <c r="R568" s="149">
        <f t="shared" si="117"/>
        <v>13.408699049576601</v>
      </c>
    </row>
    <row r="569" spans="1:20" ht="14.45" x14ac:dyDescent="0.3">
      <c r="A569" s="45" t="s">
        <v>134</v>
      </c>
      <c r="B569" s="45" t="s">
        <v>31</v>
      </c>
      <c r="C569" s="45" t="s">
        <v>32</v>
      </c>
      <c r="D569" s="45" t="s">
        <v>91</v>
      </c>
      <c r="E569" s="124">
        <v>40756</v>
      </c>
      <c r="G569" s="92">
        <v>4080</v>
      </c>
      <c r="H569">
        <v>1899</v>
      </c>
      <c r="I569" t="s">
        <v>93</v>
      </c>
      <c r="J569" s="128">
        <f t="shared" si="111"/>
        <v>0.36</v>
      </c>
      <c r="K569" s="103">
        <f t="shared" si="112"/>
        <v>40.51638530287984</v>
      </c>
      <c r="L569" s="103">
        <f t="shared" si="113"/>
        <v>1.0291891891891891</v>
      </c>
      <c r="M569" s="133">
        <f t="shared" si="114"/>
        <v>683.64</v>
      </c>
      <c r="N569" s="133">
        <f t="shared" si="115"/>
        <v>4763.6400000000003</v>
      </c>
      <c r="O569" s="134">
        <f t="shared" si="116"/>
        <v>47.305263157894736</v>
      </c>
      <c r="P569" s="134">
        <f t="shared" si="110"/>
        <v>1.2016389189189189</v>
      </c>
      <c r="R569" s="149">
        <f t="shared" si="117"/>
        <v>12.974289529167082</v>
      </c>
    </row>
    <row r="570" spans="1:20" ht="14.45" x14ac:dyDescent="0.3">
      <c r="A570" s="45" t="s">
        <v>22</v>
      </c>
      <c r="B570" s="45" t="s">
        <v>8</v>
      </c>
      <c r="C570" s="45" t="s">
        <v>29</v>
      </c>
      <c r="D570" s="45" t="s">
        <v>91</v>
      </c>
      <c r="E570" s="124">
        <v>40756</v>
      </c>
      <c r="G570" s="92">
        <v>4840</v>
      </c>
      <c r="H570" s="52">
        <v>1695</v>
      </c>
      <c r="I570" t="s">
        <v>93</v>
      </c>
      <c r="J570" s="128">
        <f t="shared" si="111"/>
        <v>0.36</v>
      </c>
      <c r="K570" s="103">
        <f t="shared" si="112"/>
        <v>48.063555114200597</v>
      </c>
      <c r="L570" s="103">
        <f t="shared" si="113"/>
        <v>1.3081081081081081</v>
      </c>
      <c r="M570" s="133">
        <f>H570*J570</f>
        <v>610.19999999999993</v>
      </c>
      <c r="N570" s="133">
        <f t="shared" si="115"/>
        <v>5450.2</v>
      </c>
      <c r="O570" s="134">
        <f t="shared" si="116"/>
        <v>54.123138033763652</v>
      </c>
      <c r="P570" s="134">
        <f t="shared" si="110"/>
        <v>1.4730270270270269</v>
      </c>
      <c r="R570" s="149">
        <f t="shared" si="117"/>
        <v>10.130636410479198</v>
      </c>
    </row>
    <row r="571" spans="1:20" ht="14.45" x14ac:dyDescent="0.3">
      <c r="A571" s="45" t="s">
        <v>22</v>
      </c>
      <c r="B571" s="45" t="s">
        <v>23</v>
      </c>
      <c r="C571" s="45" t="s">
        <v>26</v>
      </c>
      <c r="D571" s="45" t="s">
        <v>91</v>
      </c>
      <c r="E571" s="124">
        <v>40756</v>
      </c>
      <c r="G571" s="92">
        <v>4830</v>
      </c>
      <c r="H571">
        <v>1851</v>
      </c>
      <c r="I571" t="s">
        <v>93</v>
      </c>
      <c r="J571" s="128">
        <f t="shared" si="111"/>
        <v>0.36</v>
      </c>
      <c r="K571" s="103">
        <f t="shared" si="112"/>
        <v>47.964250248262161</v>
      </c>
      <c r="L571" s="103">
        <f>IF(A571="corn",G571/(111*2000/56),G571/(111*2000/60))</f>
        <v>1.3054054054054054</v>
      </c>
      <c r="M571" s="133">
        <f t="shared" si="114"/>
        <v>666.36</v>
      </c>
      <c r="N571" s="133">
        <f t="shared" si="115"/>
        <v>5496.36</v>
      </c>
      <c r="O571" s="134">
        <f t="shared" si="116"/>
        <v>54.58152929493545</v>
      </c>
      <c r="P571" s="134">
        <f t="shared" si="110"/>
        <v>1.4855027027027026</v>
      </c>
      <c r="R571" s="149">
        <f t="shared" si="117"/>
        <v>10.68138294337615</v>
      </c>
    </row>
    <row r="572" spans="1:20" ht="14.45" x14ac:dyDescent="0.3">
      <c r="A572" s="45" t="s">
        <v>22</v>
      </c>
      <c r="B572" s="45" t="s">
        <v>33</v>
      </c>
      <c r="C572" s="45" t="s">
        <v>29</v>
      </c>
      <c r="D572" s="45" t="s">
        <v>91</v>
      </c>
      <c r="E572" s="124">
        <v>40756</v>
      </c>
      <c r="G572" s="92">
        <v>4730</v>
      </c>
      <c r="H572">
        <v>1507</v>
      </c>
      <c r="I572" t="s">
        <v>93</v>
      </c>
      <c r="J572" s="128">
        <f t="shared" si="111"/>
        <v>0.36</v>
      </c>
      <c r="K572" s="103">
        <f t="shared" si="112"/>
        <v>46.971201588877854</v>
      </c>
      <c r="L572" s="103">
        <f t="shared" si="113"/>
        <v>1.2783783783783784</v>
      </c>
      <c r="M572" s="133">
        <f t="shared" si="114"/>
        <v>542.52</v>
      </c>
      <c r="N572" s="133">
        <f t="shared" si="115"/>
        <v>5272.52</v>
      </c>
      <c r="O572" s="134">
        <f t="shared" si="116"/>
        <v>52.358689175769612</v>
      </c>
      <c r="P572" s="134">
        <f t="shared" si="110"/>
        <v>1.4250054054054055</v>
      </c>
      <c r="R572" s="149">
        <f t="shared" si="117"/>
        <v>9.4335628195043153</v>
      </c>
    </row>
    <row r="573" spans="1:20" ht="14.45" x14ac:dyDescent="0.3">
      <c r="A573" s="45" t="s">
        <v>22</v>
      </c>
      <c r="B573" s="45" t="s">
        <v>31</v>
      </c>
      <c r="C573" s="45" t="s">
        <v>7</v>
      </c>
      <c r="D573" s="45" t="s">
        <v>91</v>
      </c>
      <c r="E573" s="124">
        <v>40756</v>
      </c>
      <c r="G573" s="92">
        <v>3510</v>
      </c>
      <c r="H573">
        <v>1160</v>
      </c>
      <c r="I573" t="s">
        <v>92</v>
      </c>
      <c r="J573" s="128">
        <f t="shared" si="111"/>
        <v>0.37</v>
      </c>
      <c r="K573" s="103">
        <f t="shared" si="112"/>
        <v>34.856007944389276</v>
      </c>
      <c r="L573" s="103">
        <f t="shared" si="113"/>
        <v>0.94864864864864862</v>
      </c>
      <c r="M573" s="133">
        <f t="shared" si="114"/>
        <v>429.2</v>
      </c>
      <c r="N573" s="133">
        <f t="shared" si="115"/>
        <v>3939.2</v>
      </c>
      <c r="O573" s="134">
        <f t="shared" si="116"/>
        <v>39.11817279046673</v>
      </c>
      <c r="P573" s="134">
        <f t="shared" si="110"/>
        <v>1.0646486486486486</v>
      </c>
      <c r="R573" s="149">
        <f t="shared" si="117"/>
        <v>9.2038145930361424</v>
      </c>
    </row>
    <row r="574" spans="1:20" ht="14.45" x14ac:dyDescent="0.3">
      <c r="A574" s="45" t="s">
        <v>22</v>
      </c>
      <c r="B574" s="45" t="s">
        <v>14</v>
      </c>
      <c r="C574" s="45" t="s">
        <v>24</v>
      </c>
      <c r="D574" s="45" t="s">
        <v>91</v>
      </c>
      <c r="E574" s="124">
        <v>40756</v>
      </c>
      <c r="G574" s="92">
        <v>2536</v>
      </c>
      <c r="H574">
        <v>615</v>
      </c>
      <c r="I574" t="s">
        <v>94</v>
      </c>
      <c r="J574" s="128">
        <f t="shared" si="111"/>
        <v>0.49</v>
      </c>
      <c r="K574" s="103">
        <f t="shared" si="112"/>
        <v>25.183714001986097</v>
      </c>
      <c r="L574" s="103">
        <f t="shared" si="113"/>
        <v>0.6854054054054054</v>
      </c>
      <c r="M574" s="133">
        <f t="shared" si="114"/>
        <v>301.35000000000002</v>
      </c>
      <c r="N574" s="133">
        <f>G574+M574</f>
        <v>2837.35</v>
      </c>
      <c r="O574" s="134">
        <f t="shared" si="116"/>
        <v>28.176266137040713</v>
      </c>
      <c r="P574" s="134">
        <f>IF(A574="corn",N574/(111*2000/56),N574/(111*2000/60))</f>
        <v>0.7668513513513513</v>
      </c>
      <c r="R574" s="149">
        <f t="shared" si="117"/>
        <v>12.879933163590064</v>
      </c>
    </row>
    <row r="575" spans="1:20" ht="14.45" x14ac:dyDescent="0.3">
      <c r="A575" s="80" t="s">
        <v>22</v>
      </c>
      <c r="B575" s="80" t="s">
        <v>34</v>
      </c>
      <c r="C575" s="80" t="s">
        <v>26</v>
      </c>
      <c r="D575" s="80" t="s">
        <v>91</v>
      </c>
      <c r="E575" s="126">
        <v>40756</v>
      </c>
      <c r="F575" s="84"/>
      <c r="G575" s="105">
        <v>4520</v>
      </c>
      <c r="H575" s="125">
        <v>1637</v>
      </c>
      <c r="I575" s="125" t="s">
        <v>92</v>
      </c>
      <c r="J575" s="113">
        <f t="shared" si="111"/>
        <v>0.37</v>
      </c>
      <c r="K575" s="114">
        <f>G575/100.7</f>
        <v>44.885799404170804</v>
      </c>
      <c r="L575" s="114">
        <f t="shared" si="113"/>
        <v>1.2216216216216216</v>
      </c>
      <c r="M575" s="115">
        <f t="shared" si="114"/>
        <v>605.68999999999994</v>
      </c>
      <c r="N575" s="115">
        <f t="shared" si="115"/>
        <v>5125.6899999999996</v>
      </c>
      <c r="O575" s="116">
        <f t="shared" si="116"/>
        <v>50.900595829195623</v>
      </c>
      <c r="P575" s="116">
        <f t="shared" si="110"/>
        <v>1.3853216216216215</v>
      </c>
      <c r="R575" s="149">
        <f t="shared" si="117"/>
        <v>11.469481046214991</v>
      </c>
    </row>
    <row r="576" spans="1:20" ht="14.45" x14ac:dyDescent="0.3">
      <c r="A576" s="60" t="s">
        <v>1</v>
      </c>
      <c r="B576" s="60" t="s">
        <v>2</v>
      </c>
      <c r="C576" s="60" t="s">
        <v>3</v>
      </c>
      <c r="D576" s="60" t="s">
        <v>90</v>
      </c>
      <c r="E576" s="137">
        <v>40792</v>
      </c>
      <c r="F576" s="137"/>
      <c r="G576" s="92">
        <v>2992</v>
      </c>
      <c r="H576" s="138">
        <v>506</v>
      </c>
      <c r="I576" s="138" t="s">
        <v>92</v>
      </c>
      <c r="J576" s="141">
        <f>IF(I576="BNSF",0.36,IF(I576="CN",0.3105,IF(I576="CSX",0.48,0.37)))</f>
        <v>0.37</v>
      </c>
      <c r="K576" s="140">
        <f t="shared" si="112"/>
        <v>29.712015888778549</v>
      </c>
      <c r="L576" s="140">
        <f>IF(A576="corn",G576/(111*2000/56),G576/(111*2000/60))</f>
        <v>0.8086486486486486</v>
      </c>
      <c r="M576" s="133">
        <f t="shared" ref="M576" si="118">H576*J576</f>
        <v>187.22</v>
      </c>
      <c r="N576" s="133">
        <f>G576+M576</f>
        <v>3179.22</v>
      </c>
      <c r="O576" s="134">
        <f t="shared" ref="O576" si="119">N576/100.7</f>
        <v>31.571201588877852</v>
      </c>
      <c r="P576" s="134">
        <f>IF(A576="corn",N576/(111*2000/56),N576/(111*2000/60))</f>
        <v>0.85924864864864858</v>
      </c>
      <c r="R576" s="149">
        <f t="shared" si="117"/>
        <v>11.160761113558637</v>
      </c>
      <c r="S576" s="140">
        <f>AVERAGE(O500,O538,O576)</f>
        <v>31.604700430321085</v>
      </c>
      <c r="T576" s="151">
        <f>(S576/S462)-1</f>
        <v>2.6707041944551424E-2</v>
      </c>
    </row>
    <row r="577" spans="1:20" ht="14.45" x14ac:dyDescent="0.3">
      <c r="A577" s="60" t="s">
        <v>1</v>
      </c>
      <c r="B577" s="60" t="s">
        <v>4</v>
      </c>
      <c r="C577" s="60" t="s">
        <v>5</v>
      </c>
      <c r="D577" s="60" t="s">
        <v>90</v>
      </c>
      <c r="E577" s="137">
        <v>40792</v>
      </c>
      <c r="F577" s="137"/>
      <c r="G577" s="92">
        <f>-675+3772</f>
        <v>3097</v>
      </c>
      <c r="H577" s="138">
        <v>298</v>
      </c>
      <c r="I577" s="138" t="s">
        <v>93</v>
      </c>
      <c r="J577" s="141">
        <f t="shared" ref="J577:J613" si="120">IF(I577="BNSF",0.36,IF(I577="CN",0.3105,IF(I577="CSX",0.48,0.37)))</f>
        <v>0.36</v>
      </c>
      <c r="K577" s="140">
        <f t="shared" si="112"/>
        <v>30.754716981132074</v>
      </c>
      <c r="L577" s="140">
        <f t="shared" ref="L577:L614" si="121">IF(A577="corn",G577/(111*2000/56),G577/(111*2000/60))</f>
        <v>0.83702702702702703</v>
      </c>
      <c r="M577" s="133">
        <f t="shared" ref="M577:M614" si="122">H577*J577</f>
        <v>107.28</v>
      </c>
      <c r="N577" s="133">
        <f t="shared" ref="N577:N614" si="123">G577+M577</f>
        <v>3204.28</v>
      </c>
      <c r="O577" s="134">
        <f t="shared" ref="O577:O614" si="124">N577/100.7</f>
        <v>31.820059582919566</v>
      </c>
      <c r="P577" s="134">
        <f t="shared" ref="P577:P614" si="125">IF(A577="corn",N577/(111*2000/56),N577/(111*2000/60))</f>
        <v>0.86602162162162166</v>
      </c>
      <c r="R577" s="149">
        <f t="shared" si="117"/>
        <v>19.199750014880081</v>
      </c>
      <c r="S577" s="95">
        <f t="shared" ref="S577:S613" si="126">AVERAGE(O501,O539,O577)</f>
        <v>30.029063224097982</v>
      </c>
      <c r="T577" s="104">
        <f t="shared" ref="T577:T613" si="127">(S577/S463)-1</f>
        <v>3.371270476485666E-2</v>
      </c>
    </row>
    <row r="578" spans="1:20" ht="14.45" x14ac:dyDescent="0.3">
      <c r="A578" s="60" t="s">
        <v>1</v>
      </c>
      <c r="B578" s="60" t="s">
        <v>2</v>
      </c>
      <c r="C578" s="60" t="s">
        <v>6</v>
      </c>
      <c r="D578" s="60" t="s">
        <v>90</v>
      </c>
      <c r="E578" s="137">
        <v>40792</v>
      </c>
      <c r="F578" s="137"/>
      <c r="G578" s="92">
        <v>5710</v>
      </c>
      <c r="H578" s="138">
        <v>1530</v>
      </c>
      <c r="I578" s="138" t="s">
        <v>93</v>
      </c>
      <c r="J578" s="141">
        <f t="shared" si="120"/>
        <v>0.36</v>
      </c>
      <c r="K578" s="140">
        <f t="shared" si="112"/>
        <v>56.703078450844089</v>
      </c>
      <c r="L578" s="140">
        <f t="shared" si="121"/>
        <v>1.5432432432432432</v>
      </c>
      <c r="M578" s="133">
        <f t="shared" si="122"/>
        <v>550.79999999999995</v>
      </c>
      <c r="N578" s="133">
        <f t="shared" si="123"/>
        <v>6260.8</v>
      </c>
      <c r="O578" s="134">
        <f t="shared" si="124"/>
        <v>62.17279046673287</v>
      </c>
      <c r="P578" s="134">
        <f t="shared" si="125"/>
        <v>1.6921081081081082</v>
      </c>
      <c r="R578" s="149">
        <f t="shared" si="117"/>
        <v>10.039370078740163</v>
      </c>
      <c r="S578" s="95">
        <f t="shared" si="126"/>
        <v>62.324726911618662</v>
      </c>
      <c r="T578" s="104">
        <f t="shared" si="127"/>
        <v>5.7207871290301249E-3</v>
      </c>
    </row>
    <row r="579" spans="1:20" ht="14.45" x14ac:dyDescent="0.3">
      <c r="A579" s="60" t="s">
        <v>1</v>
      </c>
      <c r="B579" s="60" t="s">
        <v>2</v>
      </c>
      <c r="C579" s="60" t="s">
        <v>7</v>
      </c>
      <c r="D579" s="60" t="s">
        <v>90</v>
      </c>
      <c r="E579" s="137">
        <v>40792</v>
      </c>
      <c r="F579" s="137"/>
      <c r="G579" s="92">
        <v>3492</v>
      </c>
      <c r="H579" s="138">
        <v>890</v>
      </c>
      <c r="I579" s="138" t="s">
        <v>92</v>
      </c>
      <c r="J579" s="141">
        <f t="shared" si="120"/>
        <v>0.37</v>
      </c>
      <c r="K579" s="140">
        <f t="shared" si="112"/>
        <v>34.677259185700102</v>
      </c>
      <c r="L579" s="140">
        <f t="shared" si="121"/>
        <v>0.9437837837837838</v>
      </c>
      <c r="M579" s="133">
        <f t="shared" si="122"/>
        <v>329.3</v>
      </c>
      <c r="N579" s="133">
        <f t="shared" si="123"/>
        <v>3821.3</v>
      </c>
      <c r="O579" s="134">
        <f t="shared" si="124"/>
        <v>37.94736842105263</v>
      </c>
      <c r="P579" s="134">
        <f t="shared" si="125"/>
        <v>1.0327837837837839</v>
      </c>
      <c r="R579" s="149">
        <f t="shared" si="117"/>
        <v>11.528470945334623</v>
      </c>
      <c r="S579" s="95">
        <f t="shared" si="126"/>
        <v>38.0062893081761</v>
      </c>
      <c r="T579" s="104">
        <f t="shared" si="127"/>
        <v>2.4027184431383519E-2</v>
      </c>
    </row>
    <row r="580" spans="1:20" ht="14.45" x14ac:dyDescent="0.3">
      <c r="A580" s="60" t="s">
        <v>1</v>
      </c>
      <c r="B580" s="60" t="s">
        <v>8</v>
      </c>
      <c r="C580" s="60" t="s">
        <v>9</v>
      </c>
      <c r="D580" s="60" t="s">
        <v>90</v>
      </c>
      <c r="E580" s="137">
        <v>40792</v>
      </c>
      <c r="F580" s="137"/>
      <c r="G580" s="92">
        <f>109+5301</f>
        <v>5410</v>
      </c>
      <c r="H580" s="138">
        <v>1256</v>
      </c>
      <c r="I580" s="138" t="s">
        <v>93</v>
      </c>
      <c r="J580" s="141">
        <f t="shared" si="120"/>
        <v>0.36</v>
      </c>
      <c r="K580" s="140">
        <f t="shared" si="112"/>
        <v>53.72393247269116</v>
      </c>
      <c r="L580" s="140">
        <f t="shared" si="121"/>
        <v>1.4621621621621621</v>
      </c>
      <c r="M580" s="133">
        <f t="shared" si="122"/>
        <v>452.15999999999997</v>
      </c>
      <c r="N580" s="133">
        <f t="shared" si="123"/>
        <v>5862.16</v>
      </c>
      <c r="O580" s="134">
        <f t="shared" si="124"/>
        <v>58.214101290963256</v>
      </c>
      <c r="P580" s="134">
        <f t="shared" si="125"/>
        <v>1.5843675675675675</v>
      </c>
      <c r="R580" s="149">
        <f t="shared" si="117"/>
        <v>6.4198732145839488</v>
      </c>
      <c r="S580" s="95">
        <f t="shared" si="126"/>
        <v>58.338828202581929</v>
      </c>
      <c r="T580" s="104">
        <f t="shared" si="127"/>
        <v>5.0136175143589146E-3</v>
      </c>
    </row>
    <row r="581" spans="1:20" ht="14.45" x14ac:dyDescent="0.3">
      <c r="A581" s="60" t="s">
        <v>1</v>
      </c>
      <c r="B581" s="60" t="s">
        <v>10</v>
      </c>
      <c r="C581" s="60" t="s">
        <v>9</v>
      </c>
      <c r="D581" s="60" t="s">
        <v>90</v>
      </c>
      <c r="E581" s="137">
        <v>40792</v>
      </c>
      <c r="F581" s="137"/>
      <c r="G581" s="92">
        <v>3760</v>
      </c>
      <c r="H581" s="138">
        <v>975</v>
      </c>
      <c r="I581" s="138" t="s">
        <v>92</v>
      </c>
      <c r="J581" s="141">
        <f t="shared" si="120"/>
        <v>0.37</v>
      </c>
      <c r="K581" s="140">
        <f t="shared" si="112"/>
        <v>37.338629592850047</v>
      </c>
      <c r="L581" s="140">
        <f t="shared" si="121"/>
        <v>1.0162162162162163</v>
      </c>
      <c r="M581" s="133">
        <f t="shared" si="122"/>
        <v>360.75</v>
      </c>
      <c r="N581" s="133">
        <f t="shared" si="123"/>
        <v>4120.75</v>
      </c>
      <c r="O581" s="134">
        <f t="shared" si="124"/>
        <v>40.921052631578945</v>
      </c>
      <c r="P581" s="134">
        <f t="shared" si="125"/>
        <v>1.1137162162162162</v>
      </c>
      <c r="R581" s="149">
        <f t="shared" si="117"/>
        <v>11.10886417256487</v>
      </c>
      <c r="S581" s="95">
        <f t="shared" si="126"/>
        <v>40.985600794438923</v>
      </c>
      <c r="T581" s="104">
        <f t="shared" si="127"/>
        <v>2.284132917535775E-2</v>
      </c>
    </row>
    <row r="582" spans="1:20" ht="14.45" x14ac:dyDescent="0.3">
      <c r="A582" s="60" t="s">
        <v>1</v>
      </c>
      <c r="B582" s="60" t="s">
        <v>11</v>
      </c>
      <c r="C582" s="60" t="s">
        <v>6</v>
      </c>
      <c r="D582" s="60" t="s">
        <v>90</v>
      </c>
      <c r="E582" s="137">
        <v>40792</v>
      </c>
      <c r="F582" s="137"/>
      <c r="G582" s="92">
        <v>3959</v>
      </c>
      <c r="H582" s="138">
        <v>1357</v>
      </c>
      <c r="I582" s="138" t="s">
        <v>92</v>
      </c>
      <c r="J582" s="141">
        <f t="shared" si="120"/>
        <v>0.37</v>
      </c>
      <c r="K582" s="140">
        <f t="shared" si="112"/>
        <v>39.314796425024824</v>
      </c>
      <c r="L582" s="140">
        <f t="shared" si="121"/>
        <v>1.07</v>
      </c>
      <c r="M582" s="133">
        <f t="shared" si="122"/>
        <v>502.09</v>
      </c>
      <c r="N582" s="133">
        <f t="shared" si="123"/>
        <v>4461.09</v>
      </c>
      <c r="O582" s="134">
        <f t="shared" si="124"/>
        <v>44.300794438927511</v>
      </c>
      <c r="P582" s="134">
        <f t="shared" si="125"/>
        <v>1.2057</v>
      </c>
      <c r="R582" s="149">
        <f t="shared" si="117"/>
        <v>12.293936853869791</v>
      </c>
      <c r="S582" s="95">
        <f t="shared" si="126"/>
        <v>44.390632240979812</v>
      </c>
      <c r="T582" s="104">
        <f t="shared" si="127"/>
        <v>2.2837329599061595E-2</v>
      </c>
    </row>
    <row r="583" spans="1:20" ht="14.45" x14ac:dyDescent="0.3">
      <c r="A583" s="60" t="s">
        <v>134</v>
      </c>
      <c r="B583" s="60" t="s">
        <v>13</v>
      </c>
      <c r="C583" s="60" t="s">
        <v>7</v>
      </c>
      <c r="D583" s="60" t="s">
        <v>90</v>
      </c>
      <c r="E583" s="137">
        <v>40792</v>
      </c>
      <c r="F583" s="137"/>
      <c r="G583" s="92">
        <v>2812</v>
      </c>
      <c r="H583" s="138">
        <v>1006</v>
      </c>
      <c r="I583" s="138" t="s">
        <v>92</v>
      </c>
      <c r="J583" s="141">
        <f t="shared" si="120"/>
        <v>0.37</v>
      </c>
      <c r="K583" s="140">
        <f t="shared" si="112"/>
        <v>27.924528301886792</v>
      </c>
      <c r="L583" s="140">
        <f t="shared" si="121"/>
        <v>0.70933333333333337</v>
      </c>
      <c r="M583" s="133">
        <f t="shared" si="122"/>
        <v>372.21999999999997</v>
      </c>
      <c r="N583" s="133">
        <f t="shared" si="123"/>
        <v>3184.22</v>
      </c>
      <c r="O583" s="134">
        <f t="shared" si="124"/>
        <v>31.620854021847066</v>
      </c>
      <c r="P583" s="134">
        <f t="shared" si="125"/>
        <v>0.80322666666666664</v>
      </c>
      <c r="R583" s="149">
        <f t="shared" si="117"/>
        <v>7.7198395139410403</v>
      </c>
      <c r="S583" s="95">
        <f t="shared" si="126"/>
        <v>31.687454485269779</v>
      </c>
      <c r="T583" s="104">
        <f t="shared" si="127"/>
        <v>6.3453884500475066E-3</v>
      </c>
    </row>
    <row r="584" spans="1:20" ht="14.45" x14ac:dyDescent="0.3">
      <c r="A584" s="60" t="s">
        <v>134</v>
      </c>
      <c r="B584" s="60" t="s">
        <v>14</v>
      </c>
      <c r="C584" s="60" t="s">
        <v>15</v>
      </c>
      <c r="D584" s="60" t="s">
        <v>90</v>
      </c>
      <c r="E584" s="137">
        <v>40792</v>
      </c>
      <c r="F584" s="137"/>
      <c r="G584" s="92">
        <v>3760</v>
      </c>
      <c r="H584" s="138">
        <v>866</v>
      </c>
      <c r="I584" s="138" t="s">
        <v>94</v>
      </c>
      <c r="J584" s="141">
        <f t="shared" si="120"/>
        <v>0.48</v>
      </c>
      <c r="K584" s="140">
        <f t="shared" si="112"/>
        <v>37.338629592850047</v>
      </c>
      <c r="L584" s="140">
        <f t="shared" si="121"/>
        <v>0.94846846846846844</v>
      </c>
      <c r="M584" s="133">
        <f t="shared" si="122"/>
        <v>415.68</v>
      </c>
      <c r="N584" s="133">
        <f t="shared" si="123"/>
        <v>4175.68</v>
      </c>
      <c r="O584" s="134">
        <f t="shared" si="124"/>
        <v>41.466534260178747</v>
      </c>
      <c r="P584" s="134">
        <f t="shared" si="125"/>
        <v>1.0533246846846849</v>
      </c>
      <c r="R584" s="149">
        <f t="shared" si="117"/>
        <v>13.773166438703299</v>
      </c>
      <c r="S584" s="95">
        <f t="shared" si="126"/>
        <v>41.609864283349879</v>
      </c>
      <c r="T584" s="104">
        <f t="shared" si="127"/>
        <v>6.2389933079309845E-3</v>
      </c>
    </row>
    <row r="585" spans="1:20" ht="14.45" x14ac:dyDescent="0.3">
      <c r="A585" s="60" t="s">
        <v>134</v>
      </c>
      <c r="B585" s="60" t="s">
        <v>16</v>
      </c>
      <c r="C585" s="60" t="s">
        <v>17</v>
      </c>
      <c r="D585" s="60" t="s">
        <v>90</v>
      </c>
      <c r="E585" s="137">
        <v>40792</v>
      </c>
      <c r="F585" s="137"/>
      <c r="G585" s="92">
        <v>1843</v>
      </c>
      <c r="H585" s="138">
        <v>213</v>
      </c>
      <c r="I585" s="138" t="s">
        <v>92</v>
      </c>
      <c r="J585" s="141">
        <f t="shared" si="120"/>
        <v>0.37</v>
      </c>
      <c r="K585" s="140">
        <f t="shared" si="112"/>
        <v>18.30188679245283</v>
      </c>
      <c r="L585" s="140">
        <f t="shared" si="121"/>
        <v>0.46490090090090092</v>
      </c>
      <c r="M585" s="133">
        <f t="shared" si="122"/>
        <v>78.81</v>
      </c>
      <c r="N585" s="133">
        <f t="shared" si="123"/>
        <v>1921.81</v>
      </c>
      <c r="O585" s="134">
        <f t="shared" si="124"/>
        <v>19.084508440913602</v>
      </c>
      <c r="P585" s="134">
        <f t="shared" si="125"/>
        <v>0.48478090090090087</v>
      </c>
      <c r="R585" s="149">
        <f t="shared" si="117"/>
        <v>-1.3550900570267088</v>
      </c>
      <c r="S585" s="95">
        <f t="shared" si="126"/>
        <v>19.098609731876859</v>
      </c>
      <c r="T585" s="104">
        <f t="shared" si="127"/>
        <v>2.2199409057983566E-3</v>
      </c>
    </row>
    <row r="586" spans="1:20" ht="14.45" x14ac:dyDescent="0.3">
      <c r="A586" s="60" t="s">
        <v>134</v>
      </c>
      <c r="B586" s="60" t="s">
        <v>18</v>
      </c>
      <c r="C586" s="60" t="s">
        <v>19</v>
      </c>
      <c r="D586" s="60" t="s">
        <v>90</v>
      </c>
      <c r="E586" s="137">
        <v>40792</v>
      </c>
      <c r="F586" s="137"/>
      <c r="G586" s="92">
        <v>3196</v>
      </c>
      <c r="H586" s="138">
        <v>650</v>
      </c>
      <c r="I586" s="138" t="s">
        <v>94</v>
      </c>
      <c r="J586" s="141">
        <f t="shared" si="120"/>
        <v>0.48</v>
      </c>
      <c r="K586" s="140">
        <f t="shared" si="112"/>
        <v>31.737835153922543</v>
      </c>
      <c r="L586" s="140">
        <f t="shared" si="121"/>
        <v>0.80619819819819816</v>
      </c>
      <c r="M586" s="133">
        <f t="shared" si="122"/>
        <v>312</v>
      </c>
      <c r="N586" s="133">
        <f t="shared" si="123"/>
        <v>3508</v>
      </c>
      <c r="O586" s="134">
        <f t="shared" si="124"/>
        <v>34.836146971201586</v>
      </c>
      <c r="P586" s="134">
        <f t="shared" si="125"/>
        <v>0.8849009009009009</v>
      </c>
      <c r="R586" s="149">
        <f t="shared" si="117"/>
        <v>11.63086714399364</v>
      </c>
      <c r="S586" s="95">
        <f t="shared" si="126"/>
        <v>34.943727242634885</v>
      </c>
      <c r="T586" s="104">
        <f t="shared" si="127"/>
        <v>5.5724899980948983E-3</v>
      </c>
    </row>
    <row r="587" spans="1:20" ht="14.45" x14ac:dyDescent="0.3">
      <c r="A587" s="60" t="s">
        <v>134</v>
      </c>
      <c r="B587" s="60" t="s">
        <v>18</v>
      </c>
      <c r="C587" s="60" t="s">
        <v>20</v>
      </c>
      <c r="D587" s="60" t="s">
        <v>90</v>
      </c>
      <c r="E587" s="137">
        <v>40792</v>
      </c>
      <c r="F587" s="137"/>
      <c r="G587" s="92">
        <v>2760</v>
      </c>
      <c r="H587" s="138">
        <v>417</v>
      </c>
      <c r="I587" s="138" t="s">
        <v>94</v>
      </c>
      <c r="J587" s="141">
        <f t="shared" si="120"/>
        <v>0.48</v>
      </c>
      <c r="K587" s="140">
        <f t="shared" si="112"/>
        <v>27.408142999006952</v>
      </c>
      <c r="L587" s="140">
        <f t="shared" si="121"/>
        <v>0.69621621621621621</v>
      </c>
      <c r="M587" s="133">
        <f t="shared" si="122"/>
        <v>200.16</v>
      </c>
      <c r="N587" s="133">
        <f t="shared" si="123"/>
        <v>2960.16</v>
      </c>
      <c r="O587" s="134">
        <f t="shared" si="124"/>
        <v>29.395829195630583</v>
      </c>
      <c r="P587" s="134">
        <f t="shared" si="125"/>
        <v>0.74670702702702696</v>
      </c>
      <c r="R587" s="149">
        <f t="shared" si="117"/>
        <v>11.581621690897915</v>
      </c>
      <c r="S587" s="95">
        <f t="shared" si="126"/>
        <v>29.464846077457793</v>
      </c>
      <c r="T587" s="104">
        <f t="shared" si="127"/>
        <v>4.2340756786027889E-3</v>
      </c>
    </row>
    <row r="588" spans="1:20" ht="14.45" x14ac:dyDescent="0.3">
      <c r="A588" s="60" t="s">
        <v>134</v>
      </c>
      <c r="B588" s="60" t="s">
        <v>16</v>
      </c>
      <c r="C588" s="60" t="s">
        <v>21</v>
      </c>
      <c r="D588" s="60" t="s">
        <v>90</v>
      </c>
      <c r="E588" s="137">
        <v>40792</v>
      </c>
      <c r="F588" s="137"/>
      <c r="G588" s="92">
        <v>2938</v>
      </c>
      <c r="H588" s="138">
        <v>626</v>
      </c>
      <c r="I588" s="138" t="s">
        <v>92</v>
      </c>
      <c r="J588" s="141">
        <f t="shared" si="120"/>
        <v>0.37</v>
      </c>
      <c r="K588" s="140">
        <f t="shared" si="112"/>
        <v>29.175769612711022</v>
      </c>
      <c r="L588" s="140">
        <f t="shared" si="121"/>
        <v>0.74111711711711714</v>
      </c>
      <c r="M588" s="133">
        <f t="shared" si="122"/>
        <v>231.62</v>
      </c>
      <c r="N588" s="133">
        <f t="shared" si="123"/>
        <v>3169.62</v>
      </c>
      <c r="O588" s="134">
        <f t="shared" si="124"/>
        <v>31.47586891757696</v>
      </c>
      <c r="P588" s="134">
        <f t="shared" si="125"/>
        <v>0.79954378378378377</v>
      </c>
      <c r="R588" s="149">
        <f t="shared" si="117"/>
        <v>7.2840015976062933</v>
      </c>
      <c r="S588" s="95">
        <f t="shared" si="126"/>
        <v>31.517312148295265</v>
      </c>
      <c r="T588" s="104">
        <f t="shared" si="127"/>
        <v>3.96042944720576E-3</v>
      </c>
    </row>
    <row r="589" spans="1:20" ht="14.45" x14ac:dyDescent="0.3">
      <c r="A589" s="60" t="s">
        <v>134</v>
      </c>
      <c r="B589" s="60" t="s">
        <v>16</v>
      </c>
      <c r="C589" s="60" t="s">
        <v>6</v>
      </c>
      <c r="D589" s="60" t="s">
        <v>90</v>
      </c>
      <c r="E589" s="137">
        <v>40792</v>
      </c>
      <c r="F589" s="137"/>
      <c r="G589" s="92">
        <v>4835</v>
      </c>
      <c r="H589" s="138">
        <v>1823</v>
      </c>
      <c r="I589" s="138" t="s">
        <v>92</v>
      </c>
      <c r="J589" s="141">
        <f t="shared" si="120"/>
        <v>0.37</v>
      </c>
      <c r="K589" s="140">
        <f t="shared" si="112"/>
        <v>48.013902681231379</v>
      </c>
      <c r="L589" s="140">
        <f t="shared" si="121"/>
        <v>1.2196396396396396</v>
      </c>
      <c r="M589" s="133">
        <f t="shared" si="122"/>
        <v>674.51</v>
      </c>
      <c r="N589" s="133">
        <f t="shared" si="123"/>
        <v>5509.51</v>
      </c>
      <c r="O589" s="134">
        <f t="shared" si="124"/>
        <v>54.712115193644486</v>
      </c>
      <c r="P589" s="134">
        <f t="shared" si="125"/>
        <v>1.3897863063063063</v>
      </c>
      <c r="R589" s="149">
        <f t="shared" si="117"/>
        <v>20.481487717886427</v>
      </c>
      <c r="S589" s="95">
        <f t="shared" si="126"/>
        <v>54.832803707381657</v>
      </c>
      <c r="T589" s="104">
        <f t="shared" si="127"/>
        <v>6.6671345899864676E-2</v>
      </c>
    </row>
    <row r="590" spans="1:20" ht="14.45" x14ac:dyDescent="0.3">
      <c r="A590" s="60" t="s">
        <v>22</v>
      </c>
      <c r="B590" s="60" t="s">
        <v>23</v>
      </c>
      <c r="C590" s="60" t="s">
        <v>7</v>
      </c>
      <c r="D590" s="60" t="s">
        <v>90</v>
      </c>
      <c r="E590" s="137">
        <v>40792</v>
      </c>
      <c r="F590" s="137"/>
      <c r="G590" s="92">
        <v>3289</v>
      </c>
      <c r="H590" s="138">
        <v>1295</v>
      </c>
      <c r="I590" s="138" t="s">
        <v>95</v>
      </c>
      <c r="J590" s="141">
        <f t="shared" si="120"/>
        <v>0.3105</v>
      </c>
      <c r="K590" s="140">
        <f t="shared" si="112"/>
        <v>32.661370407149953</v>
      </c>
      <c r="L590" s="140">
        <f t="shared" si="121"/>
        <v>0.88891891891891894</v>
      </c>
      <c r="M590" s="133">
        <f t="shared" si="122"/>
        <v>402.09750000000003</v>
      </c>
      <c r="N590" s="133">
        <f t="shared" si="123"/>
        <v>3691.0974999999999</v>
      </c>
      <c r="O590" s="134">
        <f t="shared" si="124"/>
        <v>36.654394240317771</v>
      </c>
      <c r="P590" s="134">
        <f t="shared" si="125"/>
        <v>0.99759391891891891</v>
      </c>
      <c r="R590" s="149">
        <f t="shared" si="117"/>
        <v>10.596802455537713</v>
      </c>
      <c r="S590" s="95">
        <f t="shared" si="126"/>
        <v>36.206883482290628</v>
      </c>
      <c r="T590" s="104">
        <f t="shared" si="127"/>
        <v>1.582086201989652E-2</v>
      </c>
    </row>
    <row r="591" spans="1:20" ht="14.45" x14ac:dyDescent="0.3">
      <c r="A591" s="60" t="s">
        <v>22</v>
      </c>
      <c r="B591" s="60" t="s">
        <v>14</v>
      </c>
      <c r="C591" s="60" t="s">
        <v>24</v>
      </c>
      <c r="D591" s="60" t="s">
        <v>90</v>
      </c>
      <c r="E591" s="137">
        <v>40792</v>
      </c>
      <c r="F591" s="137"/>
      <c r="G591" s="92">
        <v>2921</v>
      </c>
      <c r="H591" s="138">
        <v>615</v>
      </c>
      <c r="I591" s="138" t="s">
        <v>94</v>
      </c>
      <c r="J591" s="141">
        <f t="shared" si="120"/>
        <v>0.48</v>
      </c>
      <c r="K591" s="140">
        <f t="shared" si="112"/>
        <v>29.006951340615689</v>
      </c>
      <c r="L591" s="140">
        <f t="shared" si="121"/>
        <v>0.7894594594594595</v>
      </c>
      <c r="M591" s="133">
        <f t="shared" si="122"/>
        <v>295.2</v>
      </c>
      <c r="N591" s="133">
        <f t="shared" si="123"/>
        <v>3216.2</v>
      </c>
      <c r="O591" s="134">
        <f t="shared" si="124"/>
        <v>31.93843098311817</v>
      </c>
      <c r="P591" s="134">
        <f t="shared" si="125"/>
        <v>0.8692432432432432</v>
      </c>
      <c r="R591" s="149">
        <f t="shared" si="117"/>
        <v>11.30838048763605</v>
      </c>
      <c r="S591" s="95">
        <f t="shared" si="126"/>
        <v>32.040218470705064</v>
      </c>
      <c r="T591" s="104">
        <f t="shared" si="127"/>
        <v>5.7512468827929375E-3</v>
      </c>
    </row>
    <row r="592" spans="1:20" ht="14.45" x14ac:dyDescent="0.3">
      <c r="A592" s="60" t="s">
        <v>22</v>
      </c>
      <c r="B592" s="60" t="s">
        <v>18</v>
      </c>
      <c r="C592" s="60" t="s">
        <v>15</v>
      </c>
      <c r="D592" s="60" t="s">
        <v>90</v>
      </c>
      <c r="E592" s="137">
        <v>40792</v>
      </c>
      <c r="F592" s="137"/>
      <c r="G592" s="92">
        <v>3830</v>
      </c>
      <c r="H592" s="138">
        <v>872</v>
      </c>
      <c r="I592" s="138" t="s">
        <v>94</v>
      </c>
      <c r="J592" s="141">
        <f t="shared" si="120"/>
        <v>0.48</v>
      </c>
      <c r="K592" s="140">
        <f t="shared" si="112"/>
        <v>38.033763654419069</v>
      </c>
      <c r="L592" s="140">
        <f t="shared" si="121"/>
        <v>1.0351351351351352</v>
      </c>
      <c r="M592" s="133">
        <f t="shared" si="122"/>
        <v>418.56</v>
      </c>
      <c r="N592" s="133">
        <f t="shared" si="123"/>
        <v>4248.5600000000004</v>
      </c>
      <c r="O592" s="134">
        <f t="shared" si="124"/>
        <v>42.19026812313804</v>
      </c>
      <c r="P592" s="134">
        <f t="shared" si="125"/>
        <v>1.1482594594594595</v>
      </c>
      <c r="R592" s="149">
        <f t="shared" si="117"/>
        <v>13.580854203648673</v>
      </c>
      <c r="S592" s="95">
        <f t="shared" si="126"/>
        <v>42.334591194968553</v>
      </c>
      <c r="T592" s="104">
        <f t="shared" si="127"/>
        <v>6.1742769927934926E-3</v>
      </c>
    </row>
    <row r="593" spans="1:20" ht="14.45" x14ac:dyDescent="0.3">
      <c r="A593" s="60" t="s">
        <v>22</v>
      </c>
      <c r="B593" s="60" t="s">
        <v>18</v>
      </c>
      <c r="C593" s="60" t="s">
        <v>24</v>
      </c>
      <c r="D593" s="60" t="s">
        <v>90</v>
      </c>
      <c r="E593" s="137">
        <v>40792</v>
      </c>
      <c r="F593" s="137"/>
      <c r="G593" s="92">
        <v>2613</v>
      </c>
      <c r="H593" s="138">
        <v>417</v>
      </c>
      <c r="I593" s="138" t="s">
        <v>94</v>
      </c>
      <c r="J593" s="141">
        <f t="shared" si="120"/>
        <v>0.48</v>
      </c>
      <c r="K593" s="140">
        <f t="shared" si="112"/>
        <v>25.948361469712015</v>
      </c>
      <c r="L593" s="140">
        <f t="shared" si="121"/>
        <v>0.70621621621621622</v>
      </c>
      <c r="M593" s="133">
        <f t="shared" si="122"/>
        <v>200.16</v>
      </c>
      <c r="N593" s="133">
        <f t="shared" si="123"/>
        <v>2813.16</v>
      </c>
      <c r="O593" s="134">
        <f t="shared" si="124"/>
        <v>27.936047666335647</v>
      </c>
      <c r="P593" s="134">
        <f t="shared" si="125"/>
        <v>0.76031351351351351</v>
      </c>
      <c r="R593" s="149">
        <f t="shared" si="117"/>
        <v>10.801879546734616</v>
      </c>
      <c r="S593" s="95">
        <f t="shared" si="126"/>
        <v>28.005064548162853</v>
      </c>
      <c r="T593" s="104">
        <f t="shared" si="127"/>
        <v>4.4557629291921419E-3</v>
      </c>
    </row>
    <row r="594" spans="1:20" ht="14.45" x14ac:dyDescent="0.3">
      <c r="A594" s="60" t="s">
        <v>22</v>
      </c>
      <c r="B594" s="60" t="s">
        <v>13</v>
      </c>
      <c r="C594" s="60" t="s">
        <v>7</v>
      </c>
      <c r="D594" s="60" t="s">
        <v>90</v>
      </c>
      <c r="E594" s="137">
        <v>40792</v>
      </c>
      <c r="F594" s="137"/>
      <c r="G594" s="92">
        <v>3406</v>
      </c>
      <c r="H594" s="138">
        <v>1006</v>
      </c>
      <c r="I594" s="138" t="s">
        <v>92</v>
      </c>
      <c r="J594" s="141">
        <f t="shared" si="120"/>
        <v>0.37</v>
      </c>
      <c r="K594" s="140">
        <f t="shared" si="112"/>
        <v>33.823237338629589</v>
      </c>
      <c r="L594" s="140">
        <f t="shared" si="121"/>
        <v>0.92054054054054057</v>
      </c>
      <c r="M594" s="133">
        <f t="shared" si="122"/>
        <v>372.21999999999997</v>
      </c>
      <c r="N594" s="133">
        <f t="shared" si="123"/>
        <v>3778.22</v>
      </c>
      <c r="O594" s="134">
        <f t="shared" si="124"/>
        <v>37.519563058589867</v>
      </c>
      <c r="P594" s="134">
        <f t="shared" si="125"/>
        <v>1.0211405405405405</v>
      </c>
      <c r="R594" s="149">
        <f t="shared" si="117"/>
        <v>17.737502415067532</v>
      </c>
      <c r="S594" s="95">
        <f t="shared" si="126"/>
        <v>35.931082423038724</v>
      </c>
      <c r="T594" s="104">
        <f t="shared" si="127"/>
        <v>2.9433577190589588E-2</v>
      </c>
    </row>
    <row r="595" spans="1:20" ht="14.45" x14ac:dyDescent="0.3">
      <c r="A595" s="60" t="s">
        <v>1</v>
      </c>
      <c r="B595" s="60" t="s">
        <v>25</v>
      </c>
      <c r="C595" s="60" t="s">
        <v>26</v>
      </c>
      <c r="D595" s="60" t="s">
        <v>91</v>
      </c>
      <c r="E595" s="137">
        <v>40792</v>
      </c>
      <c r="F595" s="137"/>
      <c r="G595" s="92">
        <v>3239</v>
      </c>
      <c r="H595" s="138">
        <v>880</v>
      </c>
      <c r="I595" s="138" t="s">
        <v>93</v>
      </c>
      <c r="J595" s="141">
        <f t="shared" si="120"/>
        <v>0.36</v>
      </c>
      <c r="K595" s="140">
        <f t="shared" si="112"/>
        <v>32.164846077457796</v>
      </c>
      <c r="L595" s="140">
        <f t="shared" si="121"/>
        <v>0.87540540540540546</v>
      </c>
      <c r="M595" s="133">
        <f t="shared" si="122"/>
        <v>316.8</v>
      </c>
      <c r="N595" s="133">
        <f t="shared" si="123"/>
        <v>3555.8</v>
      </c>
      <c r="O595" s="134">
        <f t="shared" si="124"/>
        <v>35.31082423038729</v>
      </c>
      <c r="P595" s="134">
        <f t="shared" si="125"/>
        <v>0.96102702702702703</v>
      </c>
      <c r="R595" s="149">
        <f t="shared" si="117"/>
        <v>9.8282678527304324</v>
      </c>
      <c r="S595" s="95">
        <f t="shared" si="126"/>
        <v>35.398212512413103</v>
      </c>
      <c r="T595" s="104">
        <f t="shared" si="127"/>
        <v>5.7937209608545093E-3</v>
      </c>
    </row>
    <row r="596" spans="1:20" ht="14.45" x14ac:dyDescent="0.3">
      <c r="A596" s="60" t="s">
        <v>1</v>
      </c>
      <c r="B596" s="60" t="s">
        <v>2</v>
      </c>
      <c r="C596" s="60" t="s">
        <v>9</v>
      </c>
      <c r="D596" s="60" t="s">
        <v>91</v>
      </c>
      <c r="E596" s="137">
        <v>40792</v>
      </c>
      <c r="F596" s="137"/>
      <c r="G596" s="92">
        <v>3144</v>
      </c>
      <c r="H596" s="138">
        <v>685</v>
      </c>
      <c r="I596" s="138" t="s">
        <v>93</v>
      </c>
      <c r="J596" s="141">
        <f t="shared" si="120"/>
        <v>0.36</v>
      </c>
      <c r="K596" s="140">
        <f t="shared" si="112"/>
        <v>31.221449851042699</v>
      </c>
      <c r="L596" s="140">
        <f t="shared" si="121"/>
        <v>0.84972972972972971</v>
      </c>
      <c r="M596" s="133">
        <f t="shared" si="122"/>
        <v>246.6</v>
      </c>
      <c r="N596" s="133">
        <f t="shared" si="123"/>
        <v>3390.6</v>
      </c>
      <c r="O596" s="134">
        <f t="shared" si="124"/>
        <v>33.670307845084409</v>
      </c>
      <c r="P596" s="134">
        <f t="shared" si="125"/>
        <v>0.91637837837837832</v>
      </c>
      <c r="R596" s="149">
        <f t="shared" si="117"/>
        <v>7.4777316385076231</v>
      </c>
      <c r="S596" s="95">
        <f t="shared" si="126"/>
        <v>33.73833167825223</v>
      </c>
      <c r="T596" s="104">
        <f t="shared" si="127"/>
        <v>4.7267457907811394E-3</v>
      </c>
    </row>
    <row r="597" spans="1:20" ht="14.45" x14ac:dyDescent="0.3">
      <c r="A597" s="60" t="s">
        <v>1</v>
      </c>
      <c r="B597" s="60" t="s">
        <v>27</v>
      </c>
      <c r="C597" s="60" t="s">
        <v>28</v>
      </c>
      <c r="D597" s="60" t="s">
        <v>91</v>
      </c>
      <c r="E597" s="137">
        <v>40792</v>
      </c>
      <c r="F597" s="137"/>
      <c r="G597" s="92">
        <v>3497</v>
      </c>
      <c r="H597" s="138">
        <v>812</v>
      </c>
      <c r="I597" s="138" t="s">
        <v>94</v>
      </c>
      <c r="J597" s="141">
        <f t="shared" si="120"/>
        <v>0.48</v>
      </c>
      <c r="K597" s="140">
        <f t="shared" si="112"/>
        <v>34.726911618669313</v>
      </c>
      <c r="L597" s="140">
        <f t="shared" si="121"/>
        <v>0.94513513513513514</v>
      </c>
      <c r="M597" s="133">
        <f t="shared" si="122"/>
        <v>389.76</v>
      </c>
      <c r="N597" s="133">
        <f t="shared" si="123"/>
        <v>3886.76</v>
      </c>
      <c r="O597" s="134">
        <f t="shared" si="124"/>
        <v>38.597418073485599</v>
      </c>
      <c r="P597" s="134">
        <f t="shared" si="125"/>
        <v>1.0504756756756757</v>
      </c>
      <c r="R597" s="149">
        <f t="shared" si="117"/>
        <v>-2.77655487072761</v>
      </c>
      <c r="S597" s="95">
        <f t="shared" si="126"/>
        <v>38.731810658722274</v>
      </c>
      <c r="T597" s="104">
        <f t="shared" si="127"/>
        <v>6.2849378214278051E-3</v>
      </c>
    </row>
    <row r="598" spans="1:20" ht="14.45" x14ac:dyDescent="0.3">
      <c r="A598" s="60" t="s">
        <v>1</v>
      </c>
      <c r="B598" s="60" t="s">
        <v>4</v>
      </c>
      <c r="C598" s="60" t="s">
        <v>26</v>
      </c>
      <c r="D598" s="60" t="s">
        <v>91</v>
      </c>
      <c r="E598" s="137">
        <v>40792</v>
      </c>
      <c r="F598" s="137"/>
      <c r="G598" s="92">
        <v>4702</v>
      </c>
      <c r="H598" s="138">
        <v>1520</v>
      </c>
      <c r="I598" s="138" t="s">
        <v>93</v>
      </c>
      <c r="J598" s="141">
        <f t="shared" si="120"/>
        <v>0.36</v>
      </c>
      <c r="K598" s="140">
        <f t="shared" si="112"/>
        <v>46.693147964250244</v>
      </c>
      <c r="L598" s="140">
        <f t="shared" si="121"/>
        <v>1.2708108108108107</v>
      </c>
      <c r="M598" s="133">
        <f t="shared" si="122"/>
        <v>547.19999999999993</v>
      </c>
      <c r="N598" s="133">
        <f t="shared" si="123"/>
        <v>5249.2</v>
      </c>
      <c r="O598" s="134">
        <f t="shared" si="124"/>
        <v>52.127110228401186</v>
      </c>
      <c r="P598" s="134">
        <f t="shared" si="125"/>
        <v>1.4187027027027026</v>
      </c>
      <c r="R598" s="149">
        <f t="shared" si="117"/>
        <v>10.059965614123367</v>
      </c>
      <c r="S598" s="95">
        <f t="shared" si="126"/>
        <v>52.278053624627603</v>
      </c>
      <c r="T598" s="104">
        <f t="shared" si="127"/>
        <v>6.7827727771119228E-3</v>
      </c>
    </row>
    <row r="599" spans="1:20" ht="14.45" x14ac:dyDescent="0.3">
      <c r="A599" s="60" t="s">
        <v>1</v>
      </c>
      <c r="B599" s="60" t="s">
        <v>4</v>
      </c>
      <c r="C599" s="60" t="s">
        <v>9</v>
      </c>
      <c r="D599" s="60" t="s">
        <v>91</v>
      </c>
      <c r="E599" s="137">
        <v>40792</v>
      </c>
      <c r="F599" s="137"/>
      <c r="G599" s="92">
        <f>2856+2889</f>
        <v>5745</v>
      </c>
      <c r="H599" s="138">
        <v>1583</v>
      </c>
      <c r="I599" s="138" t="s">
        <v>93</v>
      </c>
      <c r="J599" s="141">
        <f t="shared" si="120"/>
        <v>0.36</v>
      </c>
      <c r="K599" s="140">
        <f t="shared" si="112"/>
        <v>57.050645481628599</v>
      </c>
      <c r="L599" s="140">
        <f t="shared" si="121"/>
        <v>1.5527027027027027</v>
      </c>
      <c r="M599" s="133">
        <f t="shared" si="122"/>
        <v>569.88</v>
      </c>
      <c r="N599" s="133">
        <f t="shared" si="123"/>
        <v>6314.88</v>
      </c>
      <c r="O599" s="134">
        <f t="shared" si="124"/>
        <v>62.709831181727907</v>
      </c>
      <c r="P599" s="134">
        <f t="shared" si="125"/>
        <v>1.7067243243243244</v>
      </c>
      <c r="R599" s="149">
        <f t="shared" si="117"/>
        <v>10.576690726090309</v>
      </c>
      <c r="S599" s="95">
        <f t="shared" si="126"/>
        <v>62.224859318106589</v>
      </c>
      <c r="T599" s="104">
        <f t="shared" si="127"/>
        <v>1.1178398220148988E-2</v>
      </c>
    </row>
    <row r="600" spans="1:20" ht="14.45" x14ac:dyDescent="0.3">
      <c r="A600" s="60" t="s">
        <v>1</v>
      </c>
      <c r="B600" s="60" t="s">
        <v>10</v>
      </c>
      <c r="C600" s="60" t="s">
        <v>26</v>
      </c>
      <c r="D600" s="60" t="s">
        <v>91</v>
      </c>
      <c r="E600" s="137">
        <v>40792</v>
      </c>
      <c r="F600" s="137"/>
      <c r="G600" s="92">
        <v>4727</v>
      </c>
      <c r="H600" s="138">
        <v>1599</v>
      </c>
      <c r="I600" s="138" t="s">
        <v>92</v>
      </c>
      <c r="J600" s="141">
        <f t="shared" si="120"/>
        <v>0.37</v>
      </c>
      <c r="K600" s="140">
        <f t="shared" si="112"/>
        <v>46.941410129096326</v>
      </c>
      <c r="L600" s="140">
        <f t="shared" si="121"/>
        <v>1.2775675675675675</v>
      </c>
      <c r="M600" s="133">
        <f t="shared" si="122"/>
        <v>591.63</v>
      </c>
      <c r="N600" s="133">
        <f t="shared" si="123"/>
        <v>5318.63</v>
      </c>
      <c r="O600" s="134">
        <f t="shared" si="124"/>
        <v>52.816583912611719</v>
      </c>
      <c r="P600" s="134">
        <f t="shared" si="125"/>
        <v>1.4374675675675677</v>
      </c>
      <c r="R600" s="149">
        <f t="shared" si="117"/>
        <v>11.225827768866736</v>
      </c>
      <c r="S600" s="95">
        <f t="shared" si="126"/>
        <v>52.922442899702084</v>
      </c>
      <c r="T600" s="104">
        <f t="shared" si="127"/>
        <v>1.9899297840702213E-2</v>
      </c>
    </row>
    <row r="601" spans="1:20" ht="14.45" x14ac:dyDescent="0.3">
      <c r="A601" s="60" t="s">
        <v>134</v>
      </c>
      <c r="B601" s="60" t="s">
        <v>23</v>
      </c>
      <c r="C601" s="60" t="s">
        <v>26</v>
      </c>
      <c r="D601" s="60" t="s">
        <v>91</v>
      </c>
      <c r="E601" s="137">
        <v>40792</v>
      </c>
      <c r="F601" s="137"/>
      <c r="G601" s="92">
        <v>4680</v>
      </c>
      <c r="H601" s="138">
        <v>1851</v>
      </c>
      <c r="I601" s="138" t="s">
        <v>93</v>
      </c>
      <c r="J601" s="141">
        <f t="shared" si="120"/>
        <v>0.36</v>
      </c>
      <c r="K601" s="140">
        <f t="shared" si="112"/>
        <v>46.474677259185697</v>
      </c>
      <c r="L601" s="140">
        <f t="shared" si="121"/>
        <v>1.1805405405405405</v>
      </c>
      <c r="M601" s="133">
        <f t="shared" si="122"/>
        <v>666.36</v>
      </c>
      <c r="N601" s="133">
        <f t="shared" si="123"/>
        <v>5346.36</v>
      </c>
      <c r="O601" s="134">
        <f t="shared" si="124"/>
        <v>53.091956305858986</v>
      </c>
      <c r="P601" s="134">
        <f t="shared" si="125"/>
        <v>1.3486313513513513</v>
      </c>
      <c r="R601" s="149">
        <f t="shared" si="117"/>
        <v>13.814817495561392</v>
      </c>
      <c r="S601" s="95">
        <f t="shared" si="126"/>
        <v>53.275769612711024</v>
      </c>
      <c r="T601" s="104">
        <f t="shared" si="127"/>
        <v>8.1158581500579974E-3</v>
      </c>
    </row>
    <row r="602" spans="1:20" ht="14.45" x14ac:dyDescent="0.3">
      <c r="A602" s="60" t="s">
        <v>134</v>
      </c>
      <c r="B602" s="60" t="s">
        <v>8</v>
      </c>
      <c r="C602" s="60" t="s">
        <v>29</v>
      </c>
      <c r="D602" s="60" t="s">
        <v>91</v>
      </c>
      <c r="E602" s="137">
        <v>40792</v>
      </c>
      <c r="F602" s="137"/>
      <c r="G602" s="92">
        <v>4640</v>
      </c>
      <c r="H602" s="138">
        <v>1695</v>
      </c>
      <c r="I602" s="138" t="s">
        <v>93</v>
      </c>
      <c r="J602" s="141">
        <f t="shared" si="120"/>
        <v>0.36</v>
      </c>
      <c r="K602" s="140">
        <f t="shared" si="112"/>
        <v>46.077457795431975</v>
      </c>
      <c r="L602" s="140">
        <f t="shared" si="121"/>
        <v>1.1704504504504505</v>
      </c>
      <c r="M602" s="133">
        <f t="shared" si="122"/>
        <v>610.19999999999993</v>
      </c>
      <c r="N602" s="133">
        <f t="shared" si="123"/>
        <v>5250.2</v>
      </c>
      <c r="O602" s="134">
        <f t="shared" si="124"/>
        <v>52.137040714995031</v>
      </c>
      <c r="P602" s="134">
        <f t="shared" si="125"/>
        <v>1.3243747747747747</v>
      </c>
      <c r="R602" s="149">
        <f t="shared" si="117"/>
        <v>13.348733780953825</v>
      </c>
      <c r="S602" s="95">
        <f t="shared" si="126"/>
        <v>52.305362462760677</v>
      </c>
      <c r="T602" s="104">
        <f t="shared" si="127"/>
        <v>7.5656132833423761E-3</v>
      </c>
    </row>
    <row r="603" spans="1:20" ht="14.45" x14ac:dyDescent="0.3">
      <c r="A603" s="60" t="s">
        <v>134</v>
      </c>
      <c r="B603" s="60" t="s">
        <v>13</v>
      </c>
      <c r="C603" s="60" t="s">
        <v>7</v>
      </c>
      <c r="D603" s="60" t="s">
        <v>91</v>
      </c>
      <c r="E603" s="137">
        <v>40792</v>
      </c>
      <c r="F603" s="137"/>
      <c r="G603" s="92">
        <v>2677</v>
      </c>
      <c r="H603" s="138">
        <v>1006</v>
      </c>
      <c r="I603" s="138" t="s">
        <v>92</v>
      </c>
      <c r="J603" s="141">
        <f t="shared" si="120"/>
        <v>0.37</v>
      </c>
      <c r="K603" s="140">
        <f t="shared" ref="K603:K614" si="128">G603/100.7</f>
        <v>26.583912611717974</v>
      </c>
      <c r="L603" s="140">
        <f t="shared" si="121"/>
        <v>0.67527927927927933</v>
      </c>
      <c r="M603" s="133">
        <f t="shared" si="122"/>
        <v>372.21999999999997</v>
      </c>
      <c r="N603" s="133">
        <f t="shared" si="123"/>
        <v>3049.22</v>
      </c>
      <c r="O603" s="134">
        <f t="shared" si="124"/>
        <v>30.280238331678248</v>
      </c>
      <c r="P603" s="134">
        <f t="shared" si="125"/>
        <v>0.76917261261261261</v>
      </c>
      <c r="R603" s="149">
        <f t="shared" ref="R603:R666" si="129">((N603/N147)-1)*100</f>
        <v>7.0645571309190247</v>
      </c>
      <c r="S603" s="95">
        <f t="shared" si="126"/>
        <v>30.346838795100961</v>
      </c>
      <c r="T603" s="104">
        <f t="shared" si="127"/>
        <v>6.6275630200431923E-3</v>
      </c>
    </row>
    <row r="604" spans="1:20" ht="14.45" x14ac:dyDescent="0.3">
      <c r="A604" s="60" t="s">
        <v>134</v>
      </c>
      <c r="B604" s="60" t="s">
        <v>30</v>
      </c>
      <c r="C604" s="60" t="s">
        <v>9</v>
      </c>
      <c r="D604" s="60" t="s">
        <v>91</v>
      </c>
      <c r="E604" s="137">
        <v>40792</v>
      </c>
      <c r="F604" s="137"/>
      <c r="G604" s="92">
        <v>3190</v>
      </c>
      <c r="H604" s="138">
        <v>988</v>
      </c>
      <c r="I604" s="138" t="s">
        <v>93</v>
      </c>
      <c r="J604" s="141">
        <f t="shared" si="120"/>
        <v>0.36</v>
      </c>
      <c r="K604" s="140">
        <f t="shared" si="128"/>
        <v>31.678252234359483</v>
      </c>
      <c r="L604" s="140">
        <f t="shared" si="121"/>
        <v>0.80468468468468468</v>
      </c>
      <c r="M604" s="133">
        <f t="shared" si="122"/>
        <v>355.68</v>
      </c>
      <c r="N604" s="133">
        <f t="shared" si="123"/>
        <v>3545.68</v>
      </c>
      <c r="O604" s="134">
        <f t="shared" si="124"/>
        <v>35.210327706057598</v>
      </c>
      <c r="P604" s="134">
        <f t="shared" si="125"/>
        <v>0.89440576576576569</v>
      </c>
      <c r="R604" s="149">
        <f t="shared" si="129"/>
        <v>10.286908701818987</v>
      </c>
      <c r="S604" s="95">
        <f t="shared" si="126"/>
        <v>35.308440913604763</v>
      </c>
      <c r="T604" s="104">
        <f t="shared" si="127"/>
        <v>6.5260551525263555E-3</v>
      </c>
    </row>
    <row r="605" spans="1:20" ht="14.45" x14ac:dyDescent="0.3">
      <c r="A605" s="60" t="s">
        <v>134</v>
      </c>
      <c r="B605" s="60" t="s">
        <v>16</v>
      </c>
      <c r="C605" s="60" t="s">
        <v>11</v>
      </c>
      <c r="D605" s="60" t="s">
        <v>91</v>
      </c>
      <c r="E605" s="137">
        <v>40792</v>
      </c>
      <c r="F605" s="137"/>
      <c r="G605" s="92">
        <v>3330</v>
      </c>
      <c r="H605" s="138">
        <v>787</v>
      </c>
      <c r="I605" s="138" t="s">
        <v>92</v>
      </c>
      <c r="J605" s="141">
        <f t="shared" si="120"/>
        <v>0.37</v>
      </c>
      <c r="K605" s="140">
        <f t="shared" si="128"/>
        <v>33.068520357497519</v>
      </c>
      <c r="L605" s="140">
        <f t="shared" si="121"/>
        <v>0.84</v>
      </c>
      <c r="M605" s="133">
        <f t="shared" si="122"/>
        <v>291.19</v>
      </c>
      <c r="N605" s="133">
        <f t="shared" si="123"/>
        <v>3621.19</v>
      </c>
      <c r="O605" s="134">
        <f t="shared" si="124"/>
        <v>35.960178748758686</v>
      </c>
      <c r="P605" s="134">
        <f t="shared" si="125"/>
        <v>0.91345333333333334</v>
      </c>
      <c r="R605" s="149">
        <f t="shared" si="129"/>
        <v>7.6520829183748029</v>
      </c>
      <c r="S605" s="95">
        <f t="shared" si="126"/>
        <v>36.012280701754385</v>
      </c>
      <c r="T605" s="104">
        <f t="shared" si="127"/>
        <v>4.35926954078103E-3</v>
      </c>
    </row>
    <row r="606" spans="1:20" ht="14.45" x14ac:dyDescent="0.3">
      <c r="A606" s="60" t="s">
        <v>134</v>
      </c>
      <c r="B606" s="60" t="s">
        <v>23</v>
      </c>
      <c r="C606" s="60" t="s">
        <v>29</v>
      </c>
      <c r="D606" s="60" t="s">
        <v>91</v>
      </c>
      <c r="E606" s="137">
        <v>40792</v>
      </c>
      <c r="F606" s="137"/>
      <c r="G606" s="92">
        <v>4680</v>
      </c>
      <c r="H606" s="138">
        <v>1836</v>
      </c>
      <c r="I606" s="138" t="s">
        <v>93</v>
      </c>
      <c r="J606" s="141">
        <f t="shared" si="120"/>
        <v>0.36</v>
      </c>
      <c r="K606" s="140">
        <f t="shared" si="128"/>
        <v>46.474677259185697</v>
      </c>
      <c r="L606" s="140">
        <f t="shared" si="121"/>
        <v>1.1805405405405405</v>
      </c>
      <c r="M606" s="133">
        <f t="shared" si="122"/>
        <v>660.95999999999992</v>
      </c>
      <c r="N606" s="133">
        <f t="shared" si="123"/>
        <v>5340.96</v>
      </c>
      <c r="O606" s="134">
        <f t="shared" si="124"/>
        <v>53.038331678252234</v>
      </c>
      <c r="P606" s="134">
        <f t="shared" si="125"/>
        <v>1.3472691891891893</v>
      </c>
      <c r="R606" s="149">
        <f t="shared" si="129"/>
        <v>13.852555466498417</v>
      </c>
      <c r="S606" s="95">
        <f t="shared" si="126"/>
        <v>53.220655412115185</v>
      </c>
      <c r="T606" s="104">
        <f t="shared" si="127"/>
        <v>8.0579631635968596E-3</v>
      </c>
    </row>
    <row r="607" spans="1:20" ht="14.45" x14ac:dyDescent="0.3">
      <c r="A607" s="60" t="s">
        <v>134</v>
      </c>
      <c r="B607" s="60" t="s">
        <v>31</v>
      </c>
      <c r="C607" s="60" t="s">
        <v>32</v>
      </c>
      <c r="D607" s="60" t="s">
        <v>91</v>
      </c>
      <c r="E607" s="137">
        <v>40792</v>
      </c>
      <c r="F607" s="137"/>
      <c r="G607" s="92">
        <v>4080</v>
      </c>
      <c r="H607" s="138">
        <v>1899</v>
      </c>
      <c r="I607" s="138" t="s">
        <v>93</v>
      </c>
      <c r="J607" s="141">
        <f t="shared" si="120"/>
        <v>0.36</v>
      </c>
      <c r="K607" s="140">
        <f t="shared" si="128"/>
        <v>40.51638530287984</v>
      </c>
      <c r="L607" s="140">
        <f t="shared" si="121"/>
        <v>1.0291891891891891</v>
      </c>
      <c r="M607" s="133">
        <f t="shared" si="122"/>
        <v>683.64</v>
      </c>
      <c r="N607" s="133">
        <f t="shared" si="123"/>
        <v>4763.6400000000003</v>
      </c>
      <c r="O607" s="134">
        <f t="shared" si="124"/>
        <v>47.305263157894736</v>
      </c>
      <c r="P607" s="134">
        <f t="shared" si="125"/>
        <v>1.2016389189189189</v>
      </c>
      <c r="R607" s="149">
        <f t="shared" si="129"/>
        <v>13.485389200444065</v>
      </c>
      <c r="S607" s="95">
        <f t="shared" si="126"/>
        <v>47.493843098311807</v>
      </c>
      <c r="T607" s="104">
        <f t="shared" si="127"/>
        <v>9.3514156916372215E-3</v>
      </c>
    </row>
    <row r="608" spans="1:20" ht="14.45" x14ac:dyDescent="0.3">
      <c r="A608" s="60" t="s">
        <v>22</v>
      </c>
      <c r="B608" s="60" t="s">
        <v>8</v>
      </c>
      <c r="C608" s="60" t="s">
        <v>29</v>
      </c>
      <c r="D608" s="60" t="s">
        <v>91</v>
      </c>
      <c r="E608" s="137">
        <v>40792</v>
      </c>
      <c r="F608" s="137"/>
      <c r="G608" s="92">
        <v>4840</v>
      </c>
      <c r="H608" s="138">
        <v>1695</v>
      </c>
      <c r="I608" s="138" t="s">
        <v>93</v>
      </c>
      <c r="J608" s="141">
        <f t="shared" si="120"/>
        <v>0.36</v>
      </c>
      <c r="K608" s="140">
        <f t="shared" si="128"/>
        <v>48.063555114200597</v>
      </c>
      <c r="L608" s="140">
        <f t="shared" si="121"/>
        <v>1.3081081081081081</v>
      </c>
      <c r="M608" s="133">
        <f t="shared" si="122"/>
        <v>610.19999999999993</v>
      </c>
      <c r="N608" s="133">
        <f t="shared" si="123"/>
        <v>5450.2</v>
      </c>
      <c r="O608" s="134">
        <f t="shared" si="124"/>
        <v>54.123138033763652</v>
      </c>
      <c r="P608" s="134">
        <f t="shared" si="125"/>
        <v>1.4730270270270269</v>
      </c>
      <c r="R608" s="149">
        <f t="shared" si="129"/>
        <v>8.3129632941831169</v>
      </c>
      <c r="S608" s="95">
        <f t="shared" si="126"/>
        <v>54.291459781529291</v>
      </c>
      <c r="T608" s="104">
        <f t="shared" si="127"/>
        <v>7.2868302748914093E-3</v>
      </c>
    </row>
    <row r="609" spans="1:22" ht="14.45" x14ac:dyDescent="0.3">
      <c r="A609" s="60" t="s">
        <v>22</v>
      </c>
      <c r="B609" s="60" t="s">
        <v>23</v>
      </c>
      <c r="C609" s="60" t="s">
        <v>26</v>
      </c>
      <c r="D609" s="60" t="s">
        <v>91</v>
      </c>
      <c r="E609" s="137">
        <v>40792</v>
      </c>
      <c r="F609" s="137"/>
      <c r="G609" s="92">
        <v>4830</v>
      </c>
      <c r="H609" s="138">
        <v>1851</v>
      </c>
      <c r="I609" s="138" t="s">
        <v>93</v>
      </c>
      <c r="J609" s="141">
        <f t="shared" si="120"/>
        <v>0.36</v>
      </c>
      <c r="K609" s="140">
        <f t="shared" si="128"/>
        <v>47.964250248262161</v>
      </c>
      <c r="L609" s="140">
        <f t="shared" si="121"/>
        <v>1.3054054054054054</v>
      </c>
      <c r="M609" s="133">
        <f t="shared" si="122"/>
        <v>666.36</v>
      </c>
      <c r="N609" s="133">
        <f t="shared" si="123"/>
        <v>5496.36</v>
      </c>
      <c r="O609" s="134">
        <f t="shared" si="124"/>
        <v>54.58152929493545</v>
      </c>
      <c r="P609" s="134">
        <f t="shared" si="125"/>
        <v>1.4855027027027026</v>
      </c>
      <c r="R609" s="149">
        <f t="shared" si="129"/>
        <v>8.8944450828343911</v>
      </c>
      <c r="S609" s="95">
        <f t="shared" si="126"/>
        <v>54.765342601787488</v>
      </c>
      <c r="T609" s="104">
        <f t="shared" si="127"/>
        <v>7.8933709573658639E-3</v>
      </c>
    </row>
    <row r="610" spans="1:22" ht="14.45" x14ac:dyDescent="0.3">
      <c r="A610" s="60" t="s">
        <v>22</v>
      </c>
      <c r="B610" s="60" t="s">
        <v>33</v>
      </c>
      <c r="C610" s="60" t="s">
        <v>29</v>
      </c>
      <c r="D610" s="60" t="s">
        <v>91</v>
      </c>
      <c r="E610" s="137">
        <v>40792</v>
      </c>
      <c r="F610" s="137"/>
      <c r="G610" s="92">
        <v>4730</v>
      </c>
      <c r="H610" s="138">
        <v>1507</v>
      </c>
      <c r="I610" s="138" t="s">
        <v>93</v>
      </c>
      <c r="J610" s="141">
        <f t="shared" si="120"/>
        <v>0.36</v>
      </c>
      <c r="K610" s="140">
        <f t="shared" si="128"/>
        <v>46.971201588877854</v>
      </c>
      <c r="L610" s="140">
        <f t="shared" si="121"/>
        <v>1.2783783783783784</v>
      </c>
      <c r="M610" s="133">
        <f t="shared" si="122"/>
        <v>542.52</v>
      </c>
      <c r="N610" s="133">
        <f t="shared" si="123"/>
        <v>5272.52</v>
      </c>
      <c r="O610" s="134">
        <f t="shared" si="124"/>
        <v>52.358689175769612</v>
      </c>
      <c r="P610" s="134">
        <f t="shared" si="125"/>
        <v>1.4250054054054055</v>
      </c>
      <c r="R610" s="149">
        <f t="shared" si="129"/>
        <v>7.5379262238575384</v>
      </c>
      <c r="S610" s="95">
        <f t="shared" si="126"/>
        <v>52.508341608738824</v>
      </c>
      <c r="T610" s="104">
        <f t="shared" si="127"/>
        <v>6.6946833463641386E-3</v>
      </c>
    </row>
    <row r="611" spans="1:22" ht="14.45" x14ac:dyDescent="0.3">
      <c r="A611" s="60" t="s">
        <v>22</v>
      </c>
      <c r="B611" s="60" t="s">
        <v>31</v>
      </c>
      <c r="C611" s="60" t="s">
        <v>7</v>
      </c>
      <c r="D611" s="60" t="s">
        <v>91</v>
      </c>
      <c r="E611" s="137">
        <v>40792</v>
      </c>
      <c r="F611" s="137"/>
      <c r="G611" s="92">
        <v>3710</v>
      </c>
      <c r="H611" s="138">
        <v>1160</v>
      </c>
      <c r="I611" s="138" t="s">
        <v>92</v>
      </c>
      <c r="J611" s="141">
        <f t="shared" si="120"/>
        <v>0.37</v>
      </c>
      <c r="K611" s="140">
        <f t="shared" si="128"/>
        <v>36.84210526315789</v>
      </c>
      <c r="L611" s="140">
        <f t="shared" si="121"/>
        <v>1.0027027027027027</v>
      </c>
      <c r="M611" s="133">
        <f t="shared" si="122"/>
        <v>429.2</v>
      </c>
      <c r="N611" s="133">
        <f t="shared" si="123"/>
        <v>4139.2</v>
      </c>
      <c r="O611" s="134">
        <f t="shared" si="124"/>
        <v>41.104270109235351</v>
      </c>
      <c r="P611" s="134">
        <f t="shared" si="125"/>
        <v>1.1187027027027026</v>
      </c>
      <c r="R611" s="149">
        <f t="shared" si="129"/>
        <v>14.748281215347081</v>
      </c>
      <c r="S611" s="95">
        <f t="shared" si="126"/>
        <v>39.857000993048665</v>
      </c>
      <c r="T611" s="104">
        <f t="shared" si="127"/>
        <v>2.2903357346744757E-2</v>
      </c>
    </row>
    <row r="612" spans="1:22" ht="14.45" x14ac:dyDescent="0.3">
      <c r="A612" s="60" t="s">
        <v>22</v>
      </c>
      <c r="B612" s="60" t="s">
        <v>14</v>
      </c>
      <c r="C612" s="60" t="s">
        <v>24</v>
      </c>
      <c r="D612" s="60" t="s">
        <v>91</v>
      </c>
      <c r="E612" s="137">
        <v>40792</v>
      </c>
      <c r="F612" s="137"/>
      <c r="G612" s="92">
        <v>2536</v>
      </c>
      <c r="H612" s="138">
        <v>615</v>
      </c>
      <c r="I612" s="138" t="s">
        <v>94</v>
      </c>
      <c r="J612" s="141">
        <f t="shared" si="120"/>
        <v>0.48</v>
      </c>
      <c r="K612" s="140">
        <f t="shared" si="128"/>
        <v>25.183714001986097</v>
      </c>
      <c r="L612" s="140">
        <f t="shared" si="121"/>
        <v>0.6854054054054054</v>
      </c>
      <c r="M612" s="133">
        <f t="shared" si="122"/>
        <v>295.2</v>
      </c>
      <c r="N612" s="133">
        <f t="shared" si="123"/>
        <v>2831.2</v>
      </c>
      <c r="O612" s="134">
        <f t="shared" si="124"/>
        <v>28.115193644488578</v>
      </c>
      <c r="P612" s="134">
        <f t="shared" si="125"/>
        <v>0.7651891891891891</v>
      </c>
      <c r="R612" s="149">
        <f t="shared" si="129"/>
        <v>12.911523659494705</v>
      </c>
      <c r="S612" s="95">
        <f t="shared" si="126"/>
        <v>28.216981132075471</v>
      </c>
      <c r="T612" s="104">
        <f t="shared" si="127"/>
        <v>6.535600425079835E-3</v>
      </c>
    </row>
    <row r="613" spans="1:22" ht="14.45" x14ac:dyDescent="0.3">
      <c r="A613" s="85" t="s">
        <v>22</v>
      </c>
      <c r="B613" s="85" t="s">
        <v>34</v>
      </c>
      <c r="C613" s="85" t="s">
        <v>26</v>
      </c>
      <c r="D613" s="85" t="s">
        <v>91</v>
      </c>
      <c r="E613" s="142">
        <v>40792</v>
      </c>
      <c r="F613" s="142"/>
      <c r="G613" s="105">
        <v>4520</v>
      </c>
      <c r="H613" s="143">
        <v>1637</v>
      </c>
      <c r="I613" s="143" t="s">
        <v>92</v>
      </c>
      <c r="J613" s="117">
        <f t="shared" si="120"/>
        <v>0.37</v>
      </c>
      <c r="K613" s="108">
        <f t="shared" si="128"/>
        <v>44.885799404170804</v>
      </c>
      <c r="L613" s="108">
        <f t="shared" si="121"/>
        <v>1.2216216216216216</v>
      </c>
      <c r="M613" s="115">
        <f t="shared" si="122"/>
        <v>605.68999999999994</v>
      </c>
      <c r="N613" s="115">
        <f t="shared" si="123"/>
        <v>5125.6899999999996</v>
      </c>
      <c r="O613" s="116">
        <f t="shared" si="124"/>
        <v>50.900595829195623</v>
      </c>
      <c r="P613" s="116">
        <f t="shared" si="125"/>
        <v>1.3853216216216215</v>
      </c>
      <c r="Q613" s="106"/>
      <c r="R613" s="152">
        <f t="shared" si="129"/>
        <v>9.0969267542020624</v>
      </c>
      <c r="S613" s="108">
        <f t="shared" si="126"/>
        <v>51.008970539556437</v>
      </c>
      <c r="T613" s="153">
        <f t="shared" si="127"/>
        <v>6.4147485662819914E-3</v>
      </c>
      <c r="U613" s="106"/>
      <c r="V613" s="106"/>
    </row>
    <row r="614" spans="1:22" ht="14.45" x14ac:dyDescent="0.3">
      <c r="A614" s="45" t="s">
        <v>1</v>
      </c>
      <c r="B614" s="45" t="s">
        <v>2</v>
      </c>
      <c r="C614" s="45" t="s">
        <v>3</v>
      </c>
      <c r="D614" s="45" t="s">
        <v>90</v>
      </c>
      <c r="E614" s="124">
        <v>40819</v>
      </c>
      <c r="G614" s="92">
        <v>2992</v>
      </c>
      <c r="H614">
        <v>506</v>
      </c>
      <c r="I614" t="s">
        <v>92</v>
      </c>
      <c r="J614" s="128">
        <f>IF(I614="BNSF",0.35,IF(I614="CN",0.3048,IF(I614="CSX",0.47,0.36)))</f>
        <v>0.36</v>
      </c>
      <c r="K614" s="103">
        <f t="shared" si="128"/>
        <v>29.712015888778549</v>
      </c>
      <c r="L614" s="103">
        <f t="shared" si="121"/>
        <v>0.8086486486486486</v>
      </c>
      <c r="M614" s="133">
        <f t="shared" si="122"/>
        <v>182.16</v>
      </c>
      <c r="N614" s="133">
        <f t="shared" si="123"/>
        <v>3174.16</v>
      </c>
      <c r="O614" s="134">
        <f t="shared" si="124"/>
        <v>31.520953326713006</v>
      </c>
      <c r="P614" s="134">
        <f t="shared" si="125"/>
        <v>0.85788108108108108</v>
      </c>
      <c r="R614" s="149">
        <f t="shared" si="129"/>
        <v>10.787831404358684</v>
      </c>
    </row>
    <row r="615" spans="1:22" ht="14.45" x14ac:dyDescent="0.3">
      <c r="A615" s="45" t="s">
        <v>1</v>
      </c>
      <c r="B615" s="45" t="s">
        <v>4</v>
      </c>
      <c r="C615" s="45" t="s">
        <v>5</v>
      </c>
      <c r="D615" s="45" t="s">
        <v>90</v>
      </c>
      <c r="E615" s="124">
        <v>40819</v>
      </c>
      <c r="G615" s="92">
        <f>-675+3772</f>
        <v>3097</v>
      </c>
      <c r="H615">
        <v>298</v>
      </c>
      <c r="I615" t="s">
        <v>93</v>
      </c>
      <c r="J615" s="128">
        <f t="shared" ref="J615:J651" si="130">IF(I615="BNSF",0.35,IF(I615="CN",0.3048,IF(I615="CSX",0.47,0.36)))</f>
        <v>0.35</v>
      </c>
      <c r="K615" s="103">
        <f t="shared" ref="K615:K652" si="131">G615/100.7</f>
        <v>30.754716981132074</v>
      </c>
      <c r="L615" s="103">
        <f t="shared" ref="L615:L652" si="132">IF(A615="corn",G615/(111*2000/56),G615/(111*2000/60))</f>
        <v>0.83702702702702703</v>
      </c>
      <c r="M615" s="133">
        <f t="shared" ref="M615:M651" si="133">H615*J615</f>
        <v>104.3</v>
      </c>
      <c r="N615" s="133">
        <f t="shared" ref="N615:N651" si="134">G615+M615</f>
        <v>3201.3</v>
      </c>
      <c r="O615" s="134">
        <f t="shared" ref="O615:O651" si="135">N615/100.7</f>
        <v>31.790466732869913</v>
      </c>
      <c r="P615" s="134">
        <f t="shared" ref="P615:P651" si="136">IF(A615="corn",N615/(111*2000/56),N615/(111*2000/60))</f>
        <v>0.86521621621621625</v>
      </c>
      <c r="R615" s="149">
        <f t="shared" si="129"/>
        <v>18.957021931226194</v>
      </c>
    </row>
    <row r="616" spans="1:22" ht="14.45" x14ac:dyDescent="0.3">
      <c r="A616" s="45" t="s">
        <v>1</v>
      </c>
      <c r="B616" s="45" t="s">
        <v>2</v>
      </c>
      <c r="C616" s="45" t="s">
        <v>6</v>
      </c>
      <c r="D616" s="45" t="s">
        <v>90</v>
      </c>
      <c r="E616" s="124">
        <v>40819</v>
      </c>
      <c r="G616" s="92">
        <v>5710</v>
      </c>
      <c r="H616">
        <v>1530</v>
      </c>
      <c r="I616" t="s">
        <v>93</v>
      </c>
      <c r="J616" s="128">
        <f t="shared" si="130"/>
        <v>0.35</v>
      </c>
      <c r="K616" s="103">
        <f t="shared" si="131"/>
        <v>56.703078450844089</v>
      </c>
      <c r="L616" s="103">
        <f t="shared" si="132"/>
        <v>1.5432432432432432</v>
      </c>
      <c r="M616" s="133">
        <f t="shared" si="133"/>
        <v>535.5</v>
      </c>
      <c r="N616" s="133">
        <f t="shared" si="134"/>
        <v>6245.5</v>
      </c>
      <c r="O616" s="134">
        <f t="shared" si="135"/>
        <v>62.020854021847072</v>
      </c>
      <c r="P616" s="134">
        <f t="shared" si="136"/>
        <v>1.6879729729729729</v>
      </c>
      <c r="R616" s="149">
        <f t="shared" si="129"/>
        <v>9.4760644358358626</v>
      </c>
    </row>
    <row r="617" spans="1:22" ht="14.45" x14ac:dyDescent="0.3">
      <c r="A617" s="45" t="s">
        <v>1</v>
      </c>
      <c r="B617" s="45" t="s">
        <v>2</v>
      </c>
      <c r="C617" s="45" t="s">
        <v>7</v>
      </c>
      <c r="D617" s="45" t="s">
        <v>90</v>
      </c>
      <c r="E617" s="124">
        <v>40819</v>
      </c>
      <c r="G617" s="92">
        <v>3492</v>
      </c>
      <c r="H617">
        <v>890</v>
      </c>
      <c r="I617" t="s">
        <v>92</v>
      </c>
      <c r="J617" s="128">
        <f t="shared" si="130"/>
        <v>0.36</v>
      </c>
      <c r="K617" s="103">
        <f t="shared" si="131"/>
        <v>34.677259185700102</v>
      </c>
      <c r="L617" s="103">
        <f t="shared" si="132"/>
        <v>0.9437837837837838</v>
      </c>
      <c r="M617" s="133">
        <f t="shared" si="133"/>
        <v>320.39999999999998</v>
      </c>
      <c r="N617" s="133">
        <f t="shared" si="134"/>
        <v>3812.4</v>
      </c>
      <c r="O617" s="134">
        <f t="shared" si="135"/>
        <v>37.858987090367428</v>
      </c>
      <c r="P617" s="134">
        <f t="shared" si="136"/>
        <v>1.0303783783783784</v>
      </c>
      <c r="R617" s="149">
        <f t="shared" si="129"/>
        <v>10.980437820214251</v>
      </c>
    </row>
    <row r="618" spans="1:22" ht="14.45" x14ac:dyDescent="0.3">
      <c r="A618" s="45" t="s">
        <v>1</v>
      </c>
      <c r="B618" s="45" t="s">
        <v>8</v>
      </c>
      <c r="C618" s="45" t="s">
        <v>9</v>
      </c>
      <c r="D618" s="45" t="s">
        <v>90</v>
      </c>
      <c r="E618" s="124">
        <v>40819</v>
      </c>
      <c r="G618" s="92">
        <f>109+5301</f>
        <v>5410</v>
      </c>
      <c r="H618">
        <v>1256</v>
      </c>
      <c r="I618" t="s">
        <v>93</v>
      </c>
      <c r="J618" s="128">
        <f t="shared" si="130"/>
        <v>0.35</v>
      </c>
      <c r="K618" s="103">
        <f t="shared" si="131"/>
        <v>53.72393247269116</v>
      </c>
      <c r="L618" s="103">
        <f t="shared" si="132"/>
        <v>1.4621621621621621</v>
      </c>
      <c r="M618" s="133">
        <f t="shared" si="133"/>
        <v>439.59999999999997</v>
      </c>
      <c r="N618" s="133">
        <f t="shared" si="134"/>
        <v>5849.6</v>
      </c>
      <c r="O618" s="134">
        <f t="shared" si="135"/>
        <v>58.089374379344591</v>
      </c>
      <c r="P618" s="134">
        <f t="shared" si="136"/>
        <v>1.5809729729729731</v>
      </c>
      <c r="R618" s="149">
        <f t="shared" si="129"/>
        <v>5.950285089149232</v>
      </c>
    </row>
    <row r="619" spans="1:22" ht="14.45" x14ac:dyDescent="0.3">
      <c r="A619" s="45" t="s">
        <v>1</v>
      </c>
      <c r="B619" s="45" t="s">
        <v>10</v>
      </c>
      <c r="C619" s="45" t="s">
        <v>9</v>
      </c>
      <c r="D619" s="45" t="s">
        <v>90</v>
      </c>
      <c r="E619" s="124">
        <v>40819</v>
      </c>
      <c r="G619" s="92">
        <v>3760</v>
      </c>
      <c r="H619">
        <v>975</v>
      </c>
      <c r="I619" t="s">
        <v>92</v>
      </c>
      <c r="J619" s="128">
        <f t="shared" si="130"/>
        <v>0.36</v>
      </c>
      <c r="K619" s="103">
        <f t="shared" si="131"/>
        <v>37.338629592850047</v>
      </c>
      <c r="L619" s="103">
        <f t="shared" si="132"/>
        <v>1.0162162162162163</v>
      </c>
      <c r="M619" s="133">
        <f t="shared" si="133"/>
        <v>351</v>
      </c>
      <c r="N619" s="133">
        <f t="shared" si="134"/>
        <v>4111</v>
      </c>
      <c r="O619" s="134">
        <f t="shared" si="135"/>
        <v>40.824230387288978</v>
      </c>
      <c r="P619" s="134">
        <f t="shared" si="136"/>
        <v>1.1110810810810812</v>
      </c>
      <c r="R619" s="149">
        <f t="shared" si="129"/>
        <v>10.555331450853833</v>
      </c>
    </row>
    <row r="620" spans="1:22" ht="14.45" x14ac:dyDescent="0.3">
      <c r="A620" s="45" t="s">
        <v>1</v>
      </c>
      <c r="B620" s="45" t="s">
        <v>11</v>
      </c>
      <c r="C620" s="45" t="s">
        <v>6</v>
      </c>
      <c r="D620" s="45" t="s">
        <v>90</v>
      </c>
      <c r="E620" s="124">
        <v>40819</v>
      </c>
      <c r="G620" s="92">
        <v>3959</v>
      </c>
      <c r="H620">
        <v>1357</v>
      </c>
      <c r="I620" t="s">
        <v>92</v>
      </c>
      <c r="J620" s="128">
        <f t="shared" si="130"/>
        <v>0.36</v>
      </c>
      <c r="K620" s="103">
        <f t="shared" si="131"/>
        <v>39.314796425024824</v>
      </c>
      <c r="L620" s="103">
        <f t="shared" si="132"/>
        <v>1.07</v>
      </c>
      <c r="M620" s="133">
        <f t="shared" si="133"/>
        <v>488.52</v>
      </c>
      <c r="N620" s="133">
        <f t="shared" si="134"/>
        <v>4447.5200000000004</v>
      </c>
      <c r="O620" s="134">
        <f t="shared" si="135"/>
        <v>44.166037735849059</v>
      </c>
      <c r="P620" s="134">
        <f t="shared" si="136"/>
        <v>1.2020324324324325</v>
      </c>
      <c r="R620" s="149">
        <f t="shared" si="129"/>
        <v>11.571247234249649</v>
      </c>
    </row>
    <row r="621" spans="1:22" ht="14.45" x14ac:dyDescent="0.3">
      <c r="A621" s="45" t="s">
        <v>134</v>
      </c>
      <c r="B621" s="45" t="s">
        <v>13</v>
      </c>
      <c r="C621" s="45" t="s">
        <v>7</v>
      </c>
      <c r="D621" s="45" t="s">
        <v>90</v>
      </c>
      <c r="E621" s="124">
        <v>40819</v>
      </c>
      <c r="G621" s="92">
        <v>3062</v>
      </c>
      <c r="H621">
        <v>1006</v>
      </c>
      <c r="I621" t="s">
        <v>92</v>
      </c>
      <c r="J621" s="128">
        <f t="shared" si="130"/>
        <v>0.36</v>
      </c>
      <c r="K621" s="103">
        <f t="shared" si="131"/>
        <v>30.407149950347566</v>
      </c>
      <c r="L621" s="103">
        <f t="shared" si="132"/>
        <v>0.77239639639639646</v>
      </c>
      <c r="M621" s="133">
        <f t="shared" si="133"/>
        <v>362.15999999999997</v>
      </c>
      <c r="N621" s="133">
        <f t="shared" si="134"/>
        <v>3424.16</v>
      </c>
      <c r="O621" s="134">
        <f t="shared" si="135"/>
        <v>34.003574975173784</v>
      </c>
      <c r="P621" s="134">
        <f t="shared" si="136"/>
        <v>0.86375207207207205</v>
      </c>
      <c r="R621" s="149">
        <f t="shared" si="129"/>
        <v>14.402555227391179</v>
      </c>
    </row>
    <row r="622" spans="1:22" ht="14.45" x14ac:dyDescent="0.3">
      <c r="A622" s="45" t="s">
        <v>134</v>
      </c>
      <c r="B622" s="45" t="s">
        <v>14</v>
      </c>
      <c r="C622" s="45" t="s">
        <v>15</v>
      </c>
      <c r="D622" s="45" t="s">
        <v>90</v>
      </c>
      <c r="E622" s="124">
        <v>40819</v>
      </c>
      <c r="G622" s="92">
        <v>3942</v>
      </c>
      <c r="H622">
        <v>866</v>
      </c>
      <c r="I622" t="s">
        <v>94</v>
      </c>
      <c r="J622" s="128">
        <f t="shared" si="130"/>
        <v>0.47</v>
      </c>
      <c r="K622" s="103">
        <f t="shared" si="131"/>
        <v>39.145978152929494</v>
      </c>
      <c r="L622" s="103">
        <f t="shared" si="132"/>
        <v>0.99437837837837839</v>
      </c>
      <c r="M622" s="133">
        <f t="shared" si="133"/>
        <v>407.02</v>
      </c>
      <c r="N622" s="133">
        <f t="shared" si="134"/>
        <v>4349.0200000000004</v>
      </c>
      <c r="O622" s="134">
        <f t="shared" si="135"/>
        <v>43.187884806355513</v>
      </c>
      <c r="P622" s="134">
        <f t="shared" si="136"/>
        <v>1.0970500900900901</v>
      </c>
      <c r="R622" s="149">
        <f t="shared" si="129"/>
        <v>9.6067381749264094</v>
      </c>
    </row>
    <row r="623" spans="1:22" ht="14.45" x14ac:dyDescent="0.3">
      <c r="A623" s="45" t="s">
        <v>134</v>
      </c>
      <c r="B623" s="45" t="s">
        <v>16</v>
      </c>
      <c r="C623" s="45" t="s">
        <v>17</v>
      </c>
      <c r="D623" s="45" t="s">
        <v>90</v>
      </c>
      <c r="E623" s="124">
        <v>40819</v>
      </c>
      <c r="G623" s="92">
        <v>1934</v>
      </c>
      <c r="H623">
        <v>213</v>
      </c>
      <c r="I623" t="s">
        <v>92</v>
      </c>
      <c r="J623" s="128">
        <f t="shared" si="130"/>
        <v>0.36</v>
      </c>
      <c r="K623" s="103">
        <f t="shared" si="131"/>
        <v>19.20556107249255</v>
      </c>
      <c r="L623" s="103">
        <f t="shared" si="132"/>
        <v>0.48785585585585589</v>
      </c>
      <c r="M623" s="133">
        <f t="shared" si="133"/>
        <v>76.679999999999993</v>
      </c>
      <c r="N623" s="133">
        <f t="shared" si="134"/>
        <v>2010.68</v>
      </c>
      <c r="O623" s="134">
        <f t="shared" si="135"/>
        <v>19.967030784508442</v>
      </c>
      <c r="P623" s="134">
        <f t="shared" si="136"/>
        <v>0.50719855855855855</v>
      </c>
      <c r="R623" s="149">
        <f t="shared" si="129"/>
        <v>6.8748870485930258</v>
      </c>
    </row>
    <row r="624" spans="1:22" ht="14.45" x14ac:dyDescent="0.3">
      <c r="A624" s="45" t="s">
        <v>134</v>
      </c>
      <c r="B624" s="45" t="s">
        <v>18</v>
      </c>
      <c r="C624" s="45" t="s">
        <v>19</v>
      </c>
      <c r="D624" s="45" t="s">
        <v>90</v>
      </c>
      <c r="E624" s="124">
        <v>40819</v>
      </c>
      <c r="G624" s="92">
        <v>3381</v>
      </c>
      <c r="H624">
        <v>650</v>
      </c>
      <c r="I624" t="s">
        <v>94</v>
      </c>
      <c r="J624" s="128">
        <f t="shared" si="130"/>
        <v>0.47</v>
      </c>
      <c r="K624" s="103">
        <f t="shared" si="131"/>
        <v>33.574975173783514</v>
      </c>
      <c r="L624" s="103">
        <f t="shared" si="132"/>
        <v>0.8528648648648649</v>
      </c>
      <c r="M624" s="133">
        <f t="shared" si="133"/>
        <v>305.5</v>
      </c>
      <c r="N624" s="133">
        <f t="shared" si="134"/>
        <v>3686.5</v>
      </c>
      <c r="O624" s="134">
        <f t="shared" si="135"/>
        <v>36.608738828202583</v>
      </c>
      <c r="P624" s="134">
        <f t="shared" si="136"/>
        <v>0.92992792792792789</v>
      </c>
      <c r="R624" s="149">
        <f t="shared" si="129"/>
        <v>9.9791169451074033</v>
      </c>
    </row>
    <row r="625" spans="1:18" ht="14.45" x14ac:dyDescent="0.3">
      <c r="A625" s="45" t="s">
        <v>134</v>
      </c>
      <c r="B625" s="45" t="s">
        <v>18</v>
      </c>
      <c r="C625" s="45" t="s">
        <v>20</v>
      </c>
      <c r="D625" s="45" t="s">
        <v>90</v>
      </c>
      <c r="E625" s="124">
        <v>40819</v>
      </c>
      <c r="G625" s="92">
        <v>2833</v>
      </c>
      <c r="H625">
        <v>417</v>
      </c>
      <c r="I625" t="s">
        <v>94</v>
      </c>
      <c r="J625" s="128">
        <f t="shared" si="130"/>
        <v>0.47</v>
      </c>
      <c r="K625" s="103">
        <f t="shared" si="131"/>
        <v>28.133068520357497</v>
      </c>
      <c r="L625" s="103">
        <f t="shared" si="132"/>
        <v>0.71463063063063059</v>
      </c>
      <c r="M625" s="133">
        <f t="shared" si="133"/>
        <v>195.98999999999998</v>
      </c>
      <c r="N625" s="133">
        <f t="shared" si="134"/>
        <v>3028.99</v>
      </c>
      <c r="O625" s="134">
        <f t="shared" si="135"/>
        <v>30.079344587884805</v>
      </c>
      <c r="P625" s="134">
        <f t="shared" si="136"/>
        <v>0.76406954954954953</v>
      </c>
      <c r="R625" s="149">
        <f t="shared" si="129"/>
        <v>5.905778859332611</v>
      </c>
    </row>
    <row r="626" spans="1:18" ht="14.45" x14ac:dyDescent="0.3">
      <c r="A626" s="45" t="s">
        <v>134</v>
      </c>
      <c r="B626" s="45" t="s">
        <v>16</v>
      </c>
      <c r="C626" s="45" t="s">
        <v>21</v>
      </c>
      <c r="D626" s="45" t="s">
        <v>90</v>
      </c>
      <c r="E626" s="124">
        <v>40819</v>
      </c>
      <c r="G626" s="92">
        <v>3074</v>
      </c>
      <c r="H626">
        <v>626</v>
      </c>
      <c r="I626" t="s">
        <v>92</v>
      </c>
      <c r="J626" s="128">
        <f t="shared" si="130"/>
        <v>0.36</v>
      </c>
      <c r="K626" s="103">
        <f t="shared" si="131"/>
        <v>30.526315789473685</v>
      </c>
      <c r="L626" s="103">
        <f t="shared" si="132"/>
        <v>0.77542342342342341</v>
      </c>
      <c r="M626" s="133">
        <f t="shared" si="133"/>
        <v>225.35999999999999</v>
      </c>
      <c r="N626" s="133">
        <f t="shared" si="134"/>
        <v>3299.36</v>
      </c>
      <c r="O626" s="134">
        <f t="shared" si="135"/>
        <v>32.764250248262165</v>
      </c>
      <c r="P626" s="134">
        <f t="shared" si="136"/>
        <v>0.832270990990991</v>
      </c>
      <c r="R626" s="149">
        <f t="shared" si="129"/>
        <v>8.1516252114282928</v>
      </c>
    </row>
    <row r="627" spans="1:18" ht="14.45" x14ac:dyDescent="0.3">
      <c r="A627" s="45" t="s">
        <v>134</v>
      </c>
      <c r="B627" s="45" t="s">
        <v>16</v>
      </c>
      <c r="C627" s="45" t="s">
        <v>6</v>
      </c>
      <c r="D627" s="45" t="s">
        <v>90</v>
      </c>
      <c r="E627" s="124">
        <v>40819</v>
      </c>
      <c r="G627" s="92">
        <v>4985</v>
      </c>
      <c r="H627">
        <v>1823</v>
      </c>
      <c r="I627" t="s">
        <v>92</v>
      </c>
      <c r="J627" s="128">
        <f t="shared" si="130"/>
        <v>0.36</v>
      </c>
      <c r="K627" s="103">
        <f t="shared" si="131"/>
        <v>49.503475670307843</v>
      </c>
      <c r="L627" s="103">
        <f t="shared" si="132"/>
        <v>1.2574774774774775</v>
      </c>
      <c r="M627" s="133">
        <f t="shared" si="133"/>
        <v>656.28</v>
      </c>
      <c r="N627" s="133">
        <f t="shared" si="134"/>
        <v>5641.28</v>
      </c>
      <c r="O627" s="134">
        <f t="shared" si="135"/>
        <v>56.02065541211519</v>
      </c>
      <c r="P627" s="134">
        <f t="shared" si="136"/>
        <v>1.4230255855855856</v>
      </c>
      <c r="R627" s="149">
        <f t="shared" si="129"/>
        <v>20.023658869735783</v>
      </c>
    </row>
    <row r="628" spans="1:18" ht="14.45" x14ac:dyDescent="0.3">
      <c r="A628" s="45" t="s">
        <v>22</v>
      </c>
      <c r="B628" s="45" t="s">
        <v>23</v>
      </c>
      <c r="C628" s="45" t="s">
        <v>7</v>
      </c>
      <c r="D628" s="45" t="s">
        <v>90</v>
      </c>
      <c r="E628" s="124">
        <v>40819</v>
      </c>
      <c r="G628" s="92">
        <v>3424</v>
      </c>
      <c r="H628" s="52">
        <v>1295</v>
      </c>
      <c r="I628" t="s">
        <v>95</v>
      </c>
      <c r="J628" s="128">
        <f t="shared" si="130"/>
        <v>0.30480000000000002</v>
      </c>
      <c r="K628" s="103">
        <f t="shared" si="131"/>
        <v>34.00198609731877</v>
      </c>
      <c r="L628" s="103">
        <f t="shared" si="132"/>
        <v>0.92540540540540539</v>
      </c>
      <c r="M628" s="133">
        <f t="shared" si="133"/>
        <v>394.71600000000001</v>
      </c>
      <c r="N628" s="133">
        <f t="shared" si="134"/>
        <v>3818.7159999999999</v>
      </c>
      <c r="O628" s="134">
        <f t="shared" si="135"/>
        <v>37.921708043694139</v>
      </c>
      <c r="P628" s="134">
        <f t="shared" si="136"/>
        <v>1.0320854054054054</v>
      </c>
      <c r="R628" s="149">
        <f t="shared" si="129"/>
        <v>9.7389733800695044</v>
      </c>
    </row>
    <row r="629" spans="1:18" ht="14.45" x14ac:dyDescent="0.3">
      <c r="A629" s="45" t="s">
        <v>22</v>
      </c>
      <c r="B629" s="45" t="s">
        <v>14</v>
      </c>
      <c r="C629" s="45" t="s">
        <v>24</v>
      </c>
      <c r="D629" s="45" t="s">
        <v>90</v>
      </c>
      <c r="E629" s="124">
        <v>40819</v>
      </c>
      <c r="G629" s="92">
        <v>3497</v>
      </c>
      <c r="H629">
        <v>615</v>
      </c>
      <c r="I629" t="s">
        <v>94</v>
      </c>
      <c r="J629" s="128">
        <f t="shared" si="130"/>
        <v>0.47</v>
      </c>
      <c r="K629" s="103">
        <f t="shared" si="131"/>
        <v>34.726911618669313</v>
      </c>
      <c r="L629" s="103">
        <f t="shared" si="132"/>
        <v>0.94513513513513514</v>
      </c>
      <c r="M629" s="133">
        <f t="shared" si="133"/>
        <v>289.05</v>
      </c>
      <c r="N629" s="133">
        <f t="shared" si="134"/>
        <v>3786.05</v>
      </c>
      <c r="O629" s="134">
        <f t="shared" si="135"/>
        <v>37.597318768619665</v>
      </c>
      <c r="P629" s="134">
        <f t="shared" si="136"/>
        <v>1.0232567567567568</v>
      </c>
      <c r="R629" s="149">
        <f t="shared" si="129"/>
        <v>23.380368897868742</v>
      </c>
    </row>
    <row r="630" spans="1:18" ht="14.45" x14ac:dyDescent="0.3">
      <c r="A630" s="45" t="s">
        <v>22</v>
      </c>
      <c r="B630" s="45" t="s">
        <v>18</v>
      </c>
      <c r="C630" s="45" t="s">
        <v>15</v>
      </c>
      <c r="D630" s="45" t="s">
        <v>90</v>
      </c>
      <c r="E630" s="124">
        <v>40819</v>
      </c>
      <c r="G630" s="92">
        <v>4453</v>
      </c>
      <c r="H630">
        <v>872</v>
      </c>
      <c r="I630" t="s">
        <v>94</v>
      </c>
      <c r="J630" s="128">
        <f t="shared" si="130"/>
        <v>0.47</v>
      </c>
      <c r="K630" s="103">
        <f t="shared" si="131"/>
        <v>44.220456802383318</v>
      </c>
      <c r="L630" s="103">
        <f t="shared" si="132"/>
        <v>1.2035135135135135</v>
      </c>
      <c r="M630" s="133">
        <f t="shared" si="133"/>
        <v>409.84</v>
      </c>
      <c r="N630" s="133">
        <f t="shared" si="134"/>
        <v>4862.84</v>
      </c>
      <c r="O630" s="134">
        <f t="shared" si="135"/>
        <v>48.290367428003975</v>
      </c>
      <c r="P630" s="134">
        <f t="shared" si="136"/>
        <v>1.3142810810810812</v>
      </c>
      <c r="R630" s="149">
        <f t="shared" si="129"/>
        <v>20.388782159196683</v>
      </c>
    </row>
    <row r="631" spans="1:18" ht="14.45" x14ac:dyDescent="0.3">
      <c r="A631" s="45" t="s">
        <v>22</v>
      </c>
      <c r="B631" s="45" t="s">
        <v>18</v>
      </c>
      <c r="C631" s="45" t="s">
        <v>24</v>
      </c>
      <c r="D631" s="45" t="s">
        <v>90</v>
      </c>
      <c r="E631" s="124">
        <v>40819</v>
      </c>
      <c r="G631" s="92">
        <v>3189</v>
      </c>
      <c r="H631">
        <v>417</v>
      </c>
      <c r="I631" t="s">
        <v>94</v>
      </c>
      <c r="J631" s="128">
        <f t="shared" si="130"/>
        <v>0.47</v>
      </c>
      <c r="K631" s="103">
        <f t="shared" si="131"/>
        <v>31.668321747765638</v>
      </c>
      <c r="L631" s="103">
        <f t="shared" si="132"/>
        <v>0.86189189189189186</v>
      </c>
      <c r="M631" s="133">
        <f t="shared" si="133"/>
        <v>195.98999999999998</v>
      </c>
      <c r="N631" s="133">
        <f t="shared" si="134"/>
        <v>3384.99</v>
      </c>
      <c r="O631" s="134">
        <f t="shared" si="135"/>
        <v>33.614597815292946</v>
      </c>
      <c r="P631" s="134">
        <f t="shared" si="136"/>
        <v>0.9148621621621621</v>
      </c>
      <c r="R631" s="149">
        <f t="shared" si="129"/>
        <v>24.765580078729709</v>
      </c>
    </row>
    <row r="632" spans="1:18" ht="14.45" x14ac:dyDescent="0.3">
      <c r="A632" s="45" t="s">
        <v>22</v>
      </c>
      <c r="B632" s="45" t="s">
        <v>13</v>
      </c>
      <c r="C632" s="45" t="s">
        <v>7</v>
      </c>
      <c r="D632" s="45" t="s">
        <v>90</v>
      </c>
      <c r="E632" s="124">
        <v>40819</v>
      </c>
      <c r="G632" s="92">
        <v>3406</v>
      </c>
      <c r="H632">
        <v>1006</v>
      </c>
      <c r="I632" t="s">
        <v>92</v>
      </c>
      <c r="J632" s="128">
        <f t="shared" si="130"/>
        <v>0.36</v>
      </c>
      <c r="K632" s="103">
        <f t="shared" si="131"/>
        <v>33.823237338629589</v>
      </c>
      <c r="L632" s="103">
        <f t="shared" si="132"/>
        <v>0.92054054054054057</v>
      </c>
      <c r="M632" s="133">
        <f t="shared" si="133"/>
        <v>362.15999999999997</v>
      </c>
      <c r="N632" s="133">
        <f t="shared" si="134"/>
        <v>3768.16</v>
      </c>
      <c r="O632" s="134">
        <f t="shared" si="135"/>
        <v>37.419662363455807</v>
      </c>
      <c r="P632" s="134">
        <f t="shared" si="136"/>
        <v>1.0184216216216215</v>
      </c>
      <c r="R632" s="149">
        <f t="shared" si="129"/>
        <v>12.917880302539952</v>
      </c>
    </row>
    <row r="633" spans="1:18" ht="14.45" x14ac:dyDescent="0.3">
      <c r="A633" s="45" t="s">
        <v>1</v>
      </c>
      <c r="B633" s="45" t="s">
        <v>25</v>
      </c>
      <c r="C633" s="45" t="s">
        <v>26</v>
      </c>
      <c r="D633" s="45" t="s">
        <v>91</v>
      </c>
      <c r="E633" s="124">
        <v>40819</v>
      </c>
      <c r="G633" s="92">
        <v>3239</v>
      </c>
      <c r="H633">
        <v>880</v>
      </c>
      <c r="I633" t="s">
        <v>93</v>
      </c>
      <c r="J633" s="128">
        <f t="shared" si="130"/>
        <v>0.35</v>
      </c>
      <c r="K633" s="103">
        <f t="shared" si="131"/>
        <v>32.164846077457796</v>
      </c>
      <c r="L633" s="103">
        <f t="shared" si="132"/>
        <v>0.87540540540540546</v>
      </c>
      <c r="M633" s="133">
        <f t="shared" si="133"/>
        <v>308</v>
      </c>
      <c r="N633" s="133">
        <f t="shared" si="134"/>
        <v>3547</v>
      </c>
      <c r="O633" s="134">
        <f t="shared" si="135"/>
        <v>35.22343594836147</v>
      </c>
      <c r="P633" s="134">
        <f t="shared" si="136"/>
        <v>0.95864864864864863</v>
      </c>
      <c r="R633" s="149">
        <f t="shared" si="129"/>
        <v>9.2594874322326159</v>
      </c>
    </row>
    <row r="634" spans="1:18" ht="14.45" x14ac:dyDescent="0.3">
      <c r="A634" s="45" t="s">
        <v>1</v>
      </c>
      <c r="B634" s="45" t="s">
        <v>2</v>
      </c>
      <c r="C634" s="45" t="s">
        <v>9</v>
      </c>
      <c r="D634" s="45" t="s">
        <v>91</v>
      </c>
      <c r="E634" s="124">
        <v>40819</v>
      </c>
      <c r="G634" s="92">
        <v>3144</v>
      </c>
      <c r="H634">
        <v>685</v>
      </c>
      <c r="I634" t="s">
        <v>93</v>
      </c>
      <c r="J634" s="128">
        <f t="shared" si="130"/>
        <v>0.35</v>
      </c>
      <c r="K634" s="103">
        <f t="shared" si="131"/>
        <v>31.221449851042699</v>
      </c>
      <c r="L634" s="103">
        <f t="shared" si="132"/>
        <v>0.84972972972972971</v>
      </c>
      <c r="M634" s="133">
        <f t="shared" si="133"/>
        <v>239.74999999999997</v>
      </c>
      <c r="N634" s="133">
        <f t="shared" si="134"/>
        <v>3383.75</v>
      </c>
      <c r="O634" s="134">
        <f t="shared" si="135"/>
        <v>33.602284011916581</v>
      </c>
      <c r="P634" s="134">
        <f t="shared" si="136"/>
        <v>0.91452702702702704</v>
      </c>
      <c r="R634" s="149">
        <f t="shared" si="129"/>
        <v>7.0281981939238625</v>
      </c>
    </row>
    <row r="635" spans="1:18" ht="14.45" x14ac:dyDescent="0.3">
      <c r="A635" s="45" t="s">
        <v>1</v>
      </c>
      <c r="B635" s="45" t="s">
        <v>27</v>
      </c>
      <c r="C635" s="45" t="s">
        <v>28</v>
      </c>
      <c r="D635" s="45" t="s">
        <v>91</v>
      </c>
      <c r="E635" s="124">
        <v>40819</v>
      </c>
      <c r="G635" s="92">
        <v>3645</v>
      </c>
      <c r="H635">
        <v>812</v>
      </c>
      <c r="I635" t="s">
        <v>94</v>
      </c>
      <c r="J635" s="128">
        <f t="shared" si="130"/>
        <v>0.47</v>
      </c>
      <c r="K635" s="103">
        <f t="shared" si="131"/>
        <v>36.196623634558094</v>
      </c>
      <c r="L635" s="103">
        <f t="shared" si="132"/>
        <v>0.98513513513513518</v>
      </c>
      <c r="M635" s="133">
        <f t="shared" si="133"/>
        <v>381.64</v>
      </c>
      <c r="N635" s="133">
        <f t="shared" si="134"/>
        <v>4026.64</v>
      </c>
      <c r="O635" s="134">
        <f t="shared" si="135"/>
        <v>39.986494538232371</v>
      </c>
      <c r="P635" s="134">
        <f t="shared" si="136"/>
        <v>1.088281081081081</v>
      </c>
      <c r="R635" s="149">
        <f t="shared" si="129"/>
        <v>9.0674669815920197</v>
      </c>
    </row>
    <row r="636" spans="1:18" ht="14.45" x14ac:dyDescent="0.3">
      <c r="A636" s="45" t="s">
        <v>1</v>
      </c>
      <c r="B636" s="45" t="s">
        <v>4</v>
      </c>
      <c r="C636" s="45" t="s">
        <v>26</v>
      </c>
      <c r="D636" s="45" t="s">
        <v>91</v>
      </c>
      <c r="E636" s="124">
        <v>40819</v>
      </c>
      <c r="G636" s="92">
        <v>4702</v>
      </c>
      <c r="H636">
        <v>1520</v>
      </c>
      <c r="I636" t="s">
        <v>93</v>
      </c>
      <c r="J636" s="128">
        <f t="shared" si="130"/>
        <v>0.35</v>
      </c>
      <c r="K636" s="103">
        <f t="shared" si="131"/>
        <v>46.693147964250244</v>
      </c>
      <c r="L636" s="103">
        <f t="shared" si="132"/>
        <v>1.2708108108108107</v>
      </c>
      <c r="M636" s="133">
        <f t="shared" si="133"/>
        <v>532</v>
      </c>
      <c r="N636" s="133">
        <f t="shared" si="134"/>
        <v>5234</v>
      </c>
      <c r="O636" s="134">
        <f t="shared" si="135"/>
        <v>51.976166832174776</v>
      </c>
      <c r="P636" s="134">
        <f t="shared" si="136"/>
        <v>1.4145945945945946</v>
      </c>
      <c r="R636" s="149">
        <f t="shared" si="129"/>
        <v>9.3926347030054647</v>
      </c>
    </row>
    <row r="637" spans="1:18" ht="14.45" x14ac:dyDescent="0.3">
      <c r="A637" s="45" t="s">
        <v>1</v>
      </c>
      <c r="B637" s="45" t="s">
        <v>4</v>
      </c>
      <c r="C637" s="45" t="s">
        <v>9</v>
      </c>
      <c r="D637" s="45" t="s">
        <v>91</v>
      </c>
      <c r="E637" s="124">
        <v>40819</v>
      </c>
      <c r="G637" s="92">
        <f>2856+2889</f>
        <v>5745</v>
      </c>
      <c r="H637">
        <v>1583</v>
      </c>
      <c r="I637" t="s">
        <v>93</v>
      </c>
      <c r="J637" s="128">
        <f t="shared" si="130"/>
        <v>0.35</v>
      </c>
      <c r="K637" s="103">
        <f t="shared" si="131"/>
        <v>57.050645481628599</v>
      </c>
      <c r="L637" s="103">
        <f t="shared" si="132"/>
        <v>1.5527027027027027</v>
      </c>
      <c r="M637" s="133">
        <f t="shared" si="133"/>
        <v>554.04999999999995</v>
      </c>
      <c r="N637" s="133">
        <f t="shared" si="134"/>
        <v>6299.05</v>
      </c>
      <c r="O637" s="134">
        <f t="shared" si="135"/>
        <v>62.55263157894737</v>
      </c>
      <c r="P637" s="134">
        <f t="shared" si="136"/>
        <v>1.702445945945946</v>
      </c>
      <c r="R637" s="149">
        <f t="shared" si="129"/>
        <v>9.9946042129048571</v>
      </c>
    </row>
    <row r="638" spans="1:18" ht="14.45" x14ac:dyDescent="0.3">
      <c r="A638" s="45" t="s">
        <v>1</v>
      </c>
      <c r="B638" s="45" t="s">
        <v>10</v>
      </c>
      <c r="C638" s="45" t="s">
        <v>26</v>
      </c>
      <c r="D638" s="45" t="s">
        <v>91</v>
      </c>
      <c r="E638" s="124">
        <v>40819</v>
      </c>
      <c r="G638" s="92">
        <v>4727</v>
      </c>
      <c r="H638">
        <v>1599</v>
      </c>
      <c r="I638" t="s">
        <v>92</v>
      </c>
      <c r="J638" s="128">
        <f t="shared" si="130"/>
        <v>0.36</v>
      </c>
      <c r="K638" s="103">
        <f t="shared" si="131"/>
        <v>46.941410129096326</v>
      </c>
      <c r="L638" s="103">
        <f t="shared" si="132"/>
        <v>1.2775675675675675</v>
      </c>
      <c r="M638" s="133">
        <f t="shared" si="133"/>
        <v>575.64</v>
      </c>
      <c r="N638" s="133">
        <f t="shared" si="134"/>
        <v>5302.64</v>
      </c>
      <c r="O638" s="134">
        <f t="shared" si="135"/>
        <v>52.657795431976169</v>
      </c>
      <c r="P638" s="134">
        <f t="shared" si="136"/>
        <v>1.4331459459459461</v>
      </c>
      <c r="R638" s="149">
        <f t="shared" si="129"/>
        <v>10.521862012330608</v>
      </c>
    </row>
    <row r="639" spans="1:18" ht="14.45" x14ac:dyDescent="0.3">
      <c r="A639" s="45" t="s">
        <v>134</v>
      </c>
      <c r="B639" s="45" t="s">
        <v>23</v>
      </c>
      <c r="C639" s="45" t="s">
        <v>26</v>
      </c>
      <c r="D639" s="45" t="s">
        <v>91</v>
      </c>
      <c r="E639" s="124">
        <v>40819</v>
      </c>
      <c r="G639" s="92">
        <v>4800</v>
      </c>
      <c r="H639">
        <v>1851</v>
      </c>
      <c r="I639" t="s">
        <v>93</v>
      </c>
      <c r="J639" s="128">
        <f t="shared" si="130"/>
        <v>0.35</v>
      </c>
      <c r="K639" s="103">
        <f t="shared" si="131"/>
        <v>47.666335650446868</v>
      </c>
      <c r="L639" s="103">
        <f t="shared" si="132"/>
        <v>1.2108108108108109</v>
      </c>
      <c r="M639" s="133">
        <f t="shared" si="133"/>
        <v>647.84999999999991</v>
      </c>
      <c r="N639" s="133">
        <f t="shared" si="134"/>
        <v>5447.85</v>
      </c>
      <c r="O639" s="134">
        <f t="shared" si="135"/>
        <v>54.099801390268127</v>
      </c>
      <c r="P639" s="134">
        <f t="shared" si="136"/>
        <v>1.3742324324324326</v>
      </c>
      <c r="R639" s="149">
        <f t="shared" si="129"/>
        <v>15.520162513014402</v>
      </c>
    </row>
    <row r="640" spans="1:18" ht="14.45" x14ac:dyDescent="0.3">
      <c r="A640" s="45" t="s">
        <v>134</v>
      </c>
      <c r="B640" s="45" t="s">
        <v>8</v>
      </c>
      <c r="C640" s="45" t="s">
        <v>29</v>
      </c>
      <c r="D640" s="45" t="s">
        <v>91</v>
      </c>
      <c r="E640" s="124">
        <v>40819</v>
      </c>
      <c r="G640" s="92">
        <v>4760</v>
      </c>
      <c r="H640">
        <v>1695</v>
      </c>
      <c r="I640" t="s">
        <v>93</v>
      </c>
      <c r="J640" s="128">
        <f t="shared" si="130"/>
        <v>0.35</v>
      </c>
      <c r="K640" s="103">
        <f t="shared" si="131"/>
        <v>47.269116186693147</v>
      </c>
      <c r="L640" s="103">
        <f t="shared" si="132"/>
        <v>1.2007207207207207</v>
      </c>
      <c r="M640" s="133">
        <f t="shared" si="133"/>
        <v>593.25</v>
      </c>
      <c r="N640" s="133">
        <f t="shared" si="134"/>
        <v>5353.25</v>
      </c>
      <c r="O640" s="134">
        <f t="shared" si="135"/>
        <v>53.160377358490564</v>
      </c>
      <c r="P640" s="134">
        <f t="shared" si="136"/>
        <v>1.3503693693693695</v>
      </c>
      <c r="R640" s="149">
        <f t="shared" si="129"/>
        <v>15.152134398829809</v>
      </c>
    </row>
    <row r="641" spans="1:18" ht="14.45" x14ac:dyDescent="0.3">
      <c r="A641" s="45" t="s">
        <v>134</v>
      </c>
      <c r="B641" s="45" t="s">
        <v>13</v>
      </c>
      <c r="C641" s="45" t="s">
        <v>7</v>
      </c>
      <c r="D641" s="45" t="s">
        <v>91</v>
      </c>
      <c r="E641" s="124">
        <v>40819</v>
      </c>
      <c r="G641" s="92">
        <v>2877</v>
      </c>
      <c r="H641">
        <v>1006</v>
      </c>
      <c r="I641" t="s">
        <v>92</v>
      </c>
      <c r="J641" s="128">
        <f t="shared" si="130"/>
        <v>0.36</v>
      </c>
      <c r="K641" s="103">
        <f t="shared" si="131"/>
        <v>28.570009930486592</v>
      </c>
      <c r="L641" s="103">
        <f t="shared" si="132"/>
        <v>0.72572972972972971</v>
      </c>
      <c r="M641" s="133">
        <f t="shared" si="133"/>
        <v>362.15999999999997</v>
      </c>
      <c r="N641" s="133">
        <f t="shared" si="134"/>
        <v>3239.16</v>
      </c>
      <c r="O641" s="134">
        <f t="shared" si="135"/>
        <v>32.166434955312809</v>
      </c>
      <c r="P641" s="134">
        <f t="shared" si="136"/>
        <v>0.81708540540540542</v>
      </c>
      <c r="R641" s="149">
        <f t="shared" si="129"/>
        <v>13.333426636063361</v>
      </c>
    </row>
    <row r="642" spans="1:18" ht="14.45" x14ac:dyDescent="0.3">
      <c r="A642" s="45" t="s">
        <v>134</v>
      </c>
      <c r="B642" s="45" t="s">
        <v>30</v>
      </c>
      <c r="C642" s="45" t="s">
        <v>9</v>
      </c>
      <c r="D642" s="45" t="s">
        <v>91</v>
      </c>
      <c r="E642" s="124">
        <v>40819</v>
      </c>
      <c r="G642" s="92">
        <v>3310</v>
      </c>
      <c r="H642">
        <v>988</v>
      </c>
      <c r="I642" t="s">
        <v>93</v>
      </c>
      <c r="J642" s="128">
        <f t="shared" si="130"/>
        <v>0.35</v>
      </c>
      <c r="K642" s="103">
        <f t="shared" si="131"/>
        <v>32.869910625620655</v>
      </c>
      <c r="L642" s="103">
        <f t="shared" si="132"/>
        <v>0.83495495495495498</v>
      </c>
      <c r="M642" s="133">
        <f t="shared" si="133"/>
        <v>345.79999999999995</v>
      </c>
      <c r="N642" s="133">
        <f t="shared" si="134"/>
        <v>3655.8</v>
      </c>
      <c r="O642" s="134">
        <f t="shared" si="135"/>
        <v>36.303872889771597</v>
      </c>
      <c r="P642" s="134">
        <f t="shared" si="136"/>
        <v>0.92218378378378385</v>
      </c>
      <c r="R642" s="149">
        <f t="shared" si="129"/>
        <v>13.36376378362958</v>
      </c>
    </row>
    <row r="643" spans="1:18" ht="14.45" x14ac:dyDescent="0.3">
      <c r="A643" s="45" t="s">
        <v>134</v>
      </c>
      <c r="B643" s="45" t="s">
        <v>16</v>
      </c>
      <c r="C643" s="45" t="s">
        <v>11</v>
      </c>
      <c r="D643" s="45" t="s">
        <v>91</v>
      </c>
      <c r="E643" s="124">
        <v>40819</v>
      </c>
      <c r="G643" s="92">
        <v>3430</v>
      </c>
      <c r="H643" s="52">
        <v>787</v>
      </c>
      <c r="I643" t="s">
        <v>92</v>
      </c>
      <c r="J643" s="128">
        <f t="shared" si="130"/>
        <v>0.36</v>
      </c>
      <c r="K643" s="103">
        <f t="shared" si="131"/>
        <v>34.061569016881826</v>
      </c>
      <c r="L643" s="103">
        <f t="shared" si="132"/>
        <v>0.86522522522522527</v>
      </c>
      <c r="M643" s="133">
        <f t="shared" si="133"/>
        <v>283.32</v>
      </c>
      <c r="N643" s="133">
        <f t="shared" si="134"/>
        <v>3713.32</v>
      </c>
      <c r="O643" s="134">
        <f t="shared" si="135"/>
        <v>36.875074478649452</v>
      </c>
      <c r="P643" s="134">
        <f t="shared" si="136"/>
        <v>0.93669333333333338</v>
      </c>
      <c r="R643" s="149">
        <f t="shared" si="129"/>
        <v>6.9609351146137755</v>
      </c>
    </row>
    <row r="644" spans="1:18" ht="14.45" x14ac:dyDescent="0.3">
      <c r="A644" s="45" t="s">
        <v>134</v>
      </c>
      <c r="B644" s="45" t="s">
        <v>23</v>
      </c>
      <c r="C644" s="45" t="s">
        <v>29</v>
      </c>
      <c r="D644" s="45" t="s">
        <v>91</v>
      </c>
      <c r="E644" s="124">
        <v>40819</v>
      </c>
      <c r="G644" s="92">
        <v>4800</v>
      </c>
      <c r="H644">
        <v>1836</v>
      </c>
      <c r="I644" t="s">
        <v>93</v>
      </c>
      <c r="J644" s="128">
        <f t="shared" si="130"/>
        <v>0.35</v>
      </c>
      <c r="K644" s="103">
        <f t="shared" si="131"/>
        <v>47.666335650446868</v>
      </c>
      <c r="L644" s="103">
        <f t="shared" si="132"/>
        <v>1.2108108108108109</v>
      </c>
      <c r="M644" s="133">
        <f t="shared" si="133"/>
        <v>642.59999999999991</v>
      </c>
      <c r="N644" s="133">
        <f t="shared" si="134"/>
        <v>5442.6</v>
      </c>
      <c r="O644" s="134">
        <f t="shared" si="135"/>
        <v>54.047666335650447</v>
      </c>
      <c r="P644" s="134">
        <f t="shared" si="136"/>
        <v>1.3729081081081083</v>
      </c>
      <c r="R644" s="149">
        <f t="shared" si="129"/>
        <v>15.566899105633759</v>
      </c>
    </row>
    <row r="645" spans="1:18" ht="14.45" x14ac:dyDescent="0.3">
      <c r="A645" s="45" t="s">
        <v>134</v>
      </c>
      <c r="B645" s="45" t="s">
        <v>31</v>
      </c>
      <c r="C645" s="45" t="s">
        <v>32</v>
      </c>
      <c r="D645" s="45" t="s">
        <v>91</v>
      </c>
      <c r="E645" s="124">
        <v>40819</v>
      </c>
      <c r="G645" s="92">
        <v>4200</v>
      </c>
      <c r="H645">
        <v>1899</v>
      </c>
      <c r="I645" t="s">
        <v>93</v>
      </c>
      <c r="J645" s="128">
        <f t="shared" si="130"/>
        <v>0.35</v>
      </c>
      <c r="K645" s="103">
        <f t="shared" si="131"/>
        <v>41.708043694141011</v>
      </c>
      <c r="L645" s="103">
        <f t="shared" si="132"/>
        <v>1.0594594594594595</v>
      </c>
      <c r="M645" s="133">
        <f t="shared" si="133"/>
        <v>664.65</v>
      </c>
      <c r="N645" s="133">
        <f t="shared" si="134"/>
        <v>4864.6499999999996</v>
      </c>
      <c r="O645" s="134">
        <f t="shared" si="135"/>
        <v>48.308341608738822</v>
      </c>
      <c r="P645" s="134">
        <f t="shared" si="136"/>
        <v>1.2271189189189189</v>
      </c>
      <c r="R645" s="149">
        <f t="shared" si="129"/>
        <v>15.36983851803717</v>
      </c>
    </row>
    <row r="646" spans="1:18" ht="14.45" x14ac:dyDescent="0.3">
      <c r="A646" s="45" t="s">
        <v>22</v>
      </c>
      <c r="B646" s="45" t="s">
        <v>8</v>
      </c>
      <c r="C646" s="45" t="s">
        <v>29</v>
      </c>
      <c r="D646" s="45" t="s">
        <v>91</v>
      </c>
      <c r="E646" s="124">
        <v>40819</v>
      </c>
      <c r="G646" s="92">
        <v>5040</v>
      </c>
      <c r="H646" s="52">
        <v>1695</v>
      </c>
      <c r="I646" t="s">
        <v>93</v>
      </c>
      <c r="J646" s="128">
        <f t="shared" si="130"/>
        <v>0.35</v>
      </c>
      <c r="K646" s="103">
        <f t="shared" si="131"/>
        <v>50.049652432969211</v>
      </c>
      <c r="L646" s="103">
        <f t="shared" si="132"/>
        <v>1.3621621621621622</v>
      </c>
      <c r="M646" s="133">
        <f t="shared" si="133"/>
        <v>593.25</v>
      </c>
      <c r="N646" s="133">
        <f t="shared" si="134"/>
        <v>5633.25</v>
      </c>
      <c r="O646" s="134">
        <f t="shared" si="135"/>
        <v>55.940913604766635</v>
      </c>
      <c r="P646" s="134">
        <f t="shared" si="136"/>
        <v>1.5225</v>
      </c>
      <c r="R646" s="149">
        <f t="shared" si="129"/>
        <v>11.574913099022544</v>
      </c>
    </row>
    <row r="647" spans="1:18" ht="14.45" x14ac:dyDescent="0.3">
      <c r="A647" s="45" t="s">
        <v>22</v>
      </c>
      <c r="B647" s="45" t="s">
        <v>23</v>
      </c>
      <c r="C647" s="45" t="s">
        <v>26</v>
      </c>
      <c r="D647" s="45" t="s">
        <v>91</v>
      </c>
      <c r="E647" s="124">
        <v>40819</v>
      </c>
      <c r="G647" s="92">
        <v>5030</v>
      </c>
      <c r="H647">
        <v>1851</v>
      </c>
      <c r="I647" t="s">
        <v>93</v>
      </c>
      <c r="J647" s="128">
        <f t="shared" si="130"/>
        <v>0.35</v>
      </c>
      <c r="K647" s="103">
        <f t="shared" si="131"/>
        <v>49.950347567030782</v>
      </c>
      <c r="L647" s="103">
        <f t="shared" si="132"/>
        <v>1.3594594594594596</v>
      </c>
      <c r="M647" s="133">
        <f>H647*J647</f>
        <v>647.84999999999991</v>
      </c>
      <c r="N647" s="133">
        <f t="shared" si="134"/>
        <v>5677.85</v>
      </c>
      <c r="O647" s="134">
        <f t="shared" si="135"/>
        <v>56.383813306852041</v>
      </c>
      <c r="P647" s="134">
        <f t="shared" si="136"/>
        <v>1.5345540540540541</v>
      </c>
      <c r="R647" s="149">
        <f t="shared" si="129"/>
        <v>12.079124662204176</v>
      </c>
    </row>
    <row r="648" spans="1:18" ht="14.45" x14ac:dyDescent="0.3">
      <c r="A648" s="45" t="s">
        <v>22</v>
      </c>
      <c r="B648" s="45" t="s">
        <v>33</v>
      </c>
      <c r="C648" s="45" t="s">
        <v>29</v>
      </c>
      <c r="D648" s="45" t="s">
        <v>91</v>
      </c>
      <c r="E648" s="124">
        <v>40819</v>
      </c>
      <c r="G648" s="92">
        <v>4930</v>
      </c>
      <c r="H648">
        <v>1507</v>
      </c>
      <c r="I648" t="s">
        <v>93</v>
      </c>
      <c r="J648" s="128">
        <f t="shared" si="130"/>
        <v>0.35</v>
      </c>
      <c r="K648" s="103">
        <f t="shared" si="131"/>
        <v>48.957298907646475</v>
      </c>
      <c r="L648" s="103">
        <f t="shared" si="132"/>
        <v>1.3324324324324324</v>
      </c>
      <c r="M648" s="133">
        <f t="shared" si="133"/>
        <v>527.44999999999993</v>
      </c>
      <c r="N648" s="133">
        <f t="shared" si="134"/>
        <v>5457.45</v>
      </c>
      <c r="O648" s="134">
        <f t="shared" si="135"/>
        <v>54.195134061569014</v>
      </c>
      <c r="P648" s="134">
        <f t="shared" si="136"/>
        <v>1.4749864864864863</v>
      </c>
      <c r="R648" s="149">
        <f t="shared" si="129"/>
        <v>10.96866415481057</v>
      </c>
    </row>
    <row r="649" spans="1:18" ht="14.45" x14ac:dyDescent="0.3">
      <c r="A649" s="45" t="s">
        <v>22</v>
      </c>
      <c r="B649" s="45" t="s">
        <v>31</v>
      </c>
      <c r="C649" s="45" t="s">
        <v>7</v>
      </c>
      <c r="D649" s="45" t="s">
        <v>91</v>
      </c>
      <c r="E649" s="124">
        <v>40819</v>
      </c>
      <c r="G649" s="92">
        <v>3710</v>
      </c>
      <c r="H649">
        <v>1160</v>
      </c>
      <c r="I649" t="s">
        <v>92</v>
      </c>
      <c r="J649" s="128">
        <f t="shared" si="130"/>
        <v>0.36</v>
      </c>
      <c r="K649" s="103">
        <f t="shared" si="131"/>
        <v>36.84210526315789</v>
      </c>
      <c r="L649" s="103">
        <f t="shared" si="132"/>
        <v>1.0027027027027027</v>
      </c>
      <c r="M649" s="133">
        <f t="shared" si="133"/>
        <v>417.59999999999997</v>
      </c>
      <c r="N649" s="133">
        <f t="shared" si="134"/>
        <v>4127.6000000000004</v>
      </c>
      <c r="O649" s="134">
        <f t="shared" si="135"/>
        <v>40.989076464746773</v>
      </c>
      <c r="P649" s="134">
        <f t="shared" si="136"/>
        <v>1.1155675675675676</v>
      </c>
      <c r="R649" s="149">
        <f t="shared" si="129"/>
        <v>10.992793374206734</v>
      </c>
    </row>
    <row r="650" spans="1:18" ht="14.45" x14ac:dyDescent="0.3">
      <c r="A650" s="45" t="s">
        <v>22</v>
      </c>
      <c r="B650" s="45" t="s">
        <v>14</v>
      </c>
      <c r="C650" s="45" t="s">
        <v>24</v>
      </c>
      <c r="D650" s="45" t="s">
        <v>91</v>
      </c>
      <c r="E650" s="124">
        <v>40819</v>
      </c>
      <c r="G650" s="92">
        <v>2672</v>
      </c>
      <c r="H650">
        <v>615</v>
      </c>
      <c r="I650" t="s">
        <v>94</v>
      </c>
      <c r="J650" s="128">
        <f t="shared" si="130"/>
        <v>0.47</v>
      </c>
      <c r="K650" s="103">
        <f t="shared" si="131"/>
        <v>26.53426017874876</v>
      </c>
      <c r="L650" s="103">
        <f t="shared" si="132"/>
        <v>0.72216216216216211</v>
      </c>
      <c r="M650" s="133">
        <f t="shared" si="133"/>
        <v>289.05</v>
      </c>
      <c r="N650" s="133">
        <f t="shared" si="134"/>
        <v>2961.05</v>
      </c>
      <c r="O650" s="134">
        <f t="shared" si="135"/>
        <v>29.404667328699109</v>
      </c>
      <c r="P650" s="134">
        <f t="shared" si="136"/>
        <v>0.80028378378378384</v>
      </c>
      <c r="R650" s="149">
        <f t="shared" si="129"/>
        <v>10.3387241019526</v>
      </c>
    </row>
    <row r="651" spans="1:18" ht="14.45" x14ac:dyDescent="0.3">
      <c r="A651" s="80" t="s">
        <v>22</v>
      </c>
      <c r="B651" s="80" t="s">
        <v>34</v>
      </c>
      <c r="C651" s="80" t="s">
        <v>26</v>
      </c>
      <c r="D651" s="80" t="s">
        <v>91</v>
      </c>
      <c r="E651" s="126">
        <v>40819</v>
      </c>
      <c r="F651" s="84"/>
      <c r="G651" s="105">
        <v>4520</v>
      </c>
      <c r="H651" s="125">
        <v>1637</v>
      </c>
      <c r="I651" s="125" t="s">
        <v>92</v>
      </c>
      <c r="J651" s="113">
        <f t="shared" si="130"/>
        <v>0.36</v>
      </c>
      <c r="K651" s="114">
        <f t="shared" si="131"/>
        <v>44.885799404170804</v>
      </c>
      <c r="L651" s="114">
        <f t="shared" si="132"/>
        <v>1.2216216216216216</v>
      </c>
      <c r="M651" s="115">
        <f t="shared" si="133"/>
        <v>589.31999999999994</v>
      </c>
      <c r="N651" s="115">
        <f t="shared" si="134"/>
        <v>5109.32</v>
      </c>
      <c r="O651" s="116">
        <f t="shared" si="135"/>
        <v>50.738033763654414</v>
      </c>
      <c r="P651" s="116">
        <f t="shared" si="136"/>
        <v>1.3808972972972973</v>
      </c>
      <c r="Q651" s="106"/>
      <c r="R651" s="152">
        <f t="shared" si="129"/>
        <v>8.3709111579626025</v>
      </c>
    </row>
    <row r="652" spans="1:18" ht="14.45" x14ac:dyDescent="0.3">
      <c r="A652" s="45" t="s">
        <v>1</v>
      </c>
      <c r="B652" s="45" t="s">
        <v>2</v>
      </c>
      <c r="C652" s="45" t="s">
        <v>3</v>
      </c>
      <c r="D652" s="45" t="s">
        <v>90</v>
      </c>
      <c r="E652" s="124">
        <v>40854</v>
      </c>
      <c r="G652" s="92">
        <v>2992</v>
      </c>
      <c r="H652">
        <v>506</v>
      </c>
      <c r="I652" t="s">
        <v>92</v>
      </c>
      <c r="J652" s="128">
        <f>IF(I652="BNSF",0.34,IF(I652="CN",0.299,IF(I652="CSX",0.46,0.35)))</f>
        <v>0.35</v>
      </c>
      <c r="K652" s="103">
        <f t="shared" si="131"/>
        <v>29.712015888778549</v>
      </c>
      <c r="L652" s="103">
        <f t="shared" si="132"/>
        <v>0.8086486486486486</v>
      </c>
      <c r="M652" s="133">
        <f>H652*J652</f>
        <v>177.1</v>
      </c>
      <c r="N652" s="133">
        <f t="shared" ref="N652" si="137">G652+M652</f>
        <v>3169.1</v>
      </c>
      <c r="O652" s="134">
        <f t="shared" ref="O652" si="138">N652/100.7</f>
        <v>31.470705064548159</v>
      </c>
      <c r="P652" s="134">
        <f t="shared" ref="P652" si="139">IF(A652="corn",N652/(111*2000/56),N652/(111*2000/60))</f>
        <v>0.85651351351351346</v>
      </c>
      <c r="R652" s="149">
        <f t="shared" si="129"/>
        <v>10.806917434143815</v>
      </c>
    </row>
    <row r="653" spans="1:18" ht="14.45" x14ac:dyDescent="0.3">
      <c r="A653" s="45" t="s">
        <v>1</v>
      </c>
      <c r="B653" s="45" t="s">
        <v>4</v>
      </c>
      <c r="C653" s="45" t="s">
        <v>5</v>
      </c>
      <c r="D653" s="45" t="s">
        <v>90</v>
      </c>
      <c r="E653" s="124">
        <v>40854</v>
      </c>
      <c r="G653" s="92">
        <f>-675+3772</f>
        <v>3097</v>
      </c>
      <c r="H653">
        <v>298</v>
      </c>
      <c r="I653" t="s">
        <v>93</v>
      </c>
      <c r="J653" s="128">
        <f t="shared" ref="J653:J689" si="140">IF(I653="BNSF",0.34,IF(I653="CN",0.299,IF(I653="CSX",0.46,0.35)))</f>
        <v>0.34</v>
      </c>
      <c r="K653" s="103">
        <f t="shared" ref="K653:K689" si="141">G653/100.7</f>
        <v>30.754716981132074</v>
      </c>
      <c r="L653" s="103">
        <f t="shared" ref="L653:L689" si="142">IF(A653="corn",G653/(111*2000/56),G653/(111*2000/60))</f>
        <v>0.83702702702702703</v>
      </c>
      <c r="M653" s="133">
        <f t="shared" ref="M653:M689" si="143">H653*J653</f>
        <v>101.32000000000001</v>
      </c>
      <c r="N653" s="133">
        <f t="shared" ref="N653:N689" si="144">G653+M653</f>
        <v>3198.32</v>
      </c>
      <c r="O653" s="134">
        <f t="shared" ref="O653:O689" si="145">N653/100.7</f>
        <v>31.76087388282026</v>
      </c>
      <c r="P653" s="134">
        <f t="shared" ref="P653:P689" si="146">IF(A653="corn",N653/(111*2000/56),N653/(111*2000/60))</f>
        <v>0.86441081081081084</v>
      </c>
      <c r="R653" s="149">
        <f t="shared" si="129"/>
        <v>18.846288190135052</v>
      </c>
    </row>
    <row r="654" spans="1:18" ht="14.45" x14ac:dyDescent="0.3">
      <c r="A654" s="45" t="s">
        <v>1</v>
      </c>
      <c r="B654" s="45" t="s">
        <v>2</v>
      </c>
      <c r="C654" s="45" t="s">
        <v>6</v>
      </c>
      <c r="D654" s="45" t="s">
        <v>90</v>
      </c>
      <c r="E654" s="124">
        <v>40854</v>
      </c>
      <c r="G654" s="92">
        <v>5710</v>
      </c>
      <c r="H654">
        <v>1530</v>
      </c>
      <c r="I654" t="s">
        <v>93</v>
      </c>
      <c r="J654" s="128">
        <f t="shared" si="140"/>
        <v>0.34</v>
      </c>
      <c r="K654" s="103">
        <f t="shared" si="141"/>
        <v>56.703078450844089</v>
      </c>
      <c r="L654" s="103">
        <f t="shared" si="142"/>
        <v>1.5432432432432432</v>
      </c>
      <c r="M654" s="133">
        <f t="shared" si="143"/>
        <v>520.20000000000005</v>
      </c>
      <c r="N654" s="133">
        <f t="shared" si="144"/>
        <v>6230.2</v>
      </c>
      <c r="O654" s="134">
        <f t="shared" si="145"/>
        <v>61.868917576961266</v>
      </c>
      <c r="P654" s="134">
        <f t="shared" si="146"/>
        <v>1.6838378378378378</v>
      </c>
      <c r="R654" s="149">
        <f t="shared" si="129"/>
        <v>9.2078739329348522</v>
      </c>
    </row>
    <row r="655" spans="1:18" ht="14.45" x14ac:dyDescent="0.3">
      <c r="A655" s="45" t="s">
        <v>1</v>
      </c>
      <c r="B655" s="45" t="s">
        <v>2</v>
      </c>
      <c r="C655" s="45" t="s">
        <v>7</v>
      </c>
      <c r="D655" s="45" t="s">
        <v>90</v>
      </c>
      <c r="E655" s="124">
        <v>40854</v>
      </c>
      <c r="G655" s="92">
        <v>3492</v>
      </c>
      <c r="H655">
        <v>890</v>
      </c>
      <c r="I655" t="s">
        <v>92</v>
      </c>
      <c r="J655" s="128">
        <f t="shared" si="140"/>
        <v>0.35</v>
      </c>
      <c r="K655" s="103">
        <f t="shared" si="141"/>
        <v>34.677259185700102</v>
      </c>
      <c r="L655" s="103">
        <f t="shared" si="142"/>
        <v>0.9437837837837838</v>
      </c>
      <c r="M655" s="133">
        <f t="shared" si="143"/>
        <v>311.5</v>
      </c>
      <c r="N655" s="133">
        <f t="shared" si="144"/>
        <v>3803.5</v>
      </c>
      <c r="O655" s="134">
        <f t="shared" si="145"/>
        <v>37.770605759682226</v>
      </c>
      <c r="P655" s="134">
        <f t="shared" si="146"/>
        <v>1.027972972972973</v>
      </c>
      <c r="R655" s="149">
        <f t="shared" si="129"/>
        <v>11.008960102734733</v>
      </c>
    </row>
    <row r="656" spans="1:18" ht="14.45" x14ac:dyDescent="0.3">
      <c r="A656" s="45" t="s">
        <v>1</v>
      </c>
      <c r="B656" s="45" t="s">
        <v>8</v>
      </c>
      <c r="C656" s="45" t="s">
        <v>9</v>
      </c>
      <c r="D656" s="45" t="s">
        <v>90</v>
      </c>
      <c r="E656" s="124">
        <v>40854</v>
      </c>
      <c r="G656" s="92">
        <f>109+5301</f>
        <v>5410</v>
      </c>
      <c r="H656">
        <v>1256</v>
      </c>
      <c r="I656" t="s">
        <v>93</v>
      </c>
      <c r="J656" s="128">
        <f t="shared" si="140"/>
        <v>0.34</v>
      </c>
      <c r="K656" s="103">
        <f t="shared" si="141"/>
        <v>53.72393247269116</v>
      </c>
      <c r="L656" s="103">
        <f t="shared" si="142"/>
        <v>1.4621621621621621</v>
      </c>
      <c r="M656" s="133">
        <f t="shared" si="143"/>
        <v>427.04</v>
      </c>
      <c r="N656" s="133">
        <f t="shared" si="144"/>
        <v>5837.04</v>
      </c>
      <c r="O656" s="134">
        <f t="shared" si="145"/>
        <v>57.964647467725918</v>
      </c>
      <c r="P656" s="134">
        <f t="shared" si="146"/>
        <v>1.5775783783783783</v>
      </c>
      <c r="R656" s="149">
        <f t="shared" si="129"/>
        <v>5.7227933665152442</v>
      </c>
    </row>
    <row r="657" spans="1:18" ht="14.45" x14ac:dyDescent="0.3">
      <c r="A657" s="45" t="s">
        <v>1</v>
      </c>
      <c r="B657" s="45" t="s">
        <v>10</v>
      </c>
      <c r="C657" s="45" t="s">
        <v>9</v>
      </c>
      <c r="D657" s="45" t="s">
        <v>90</v>
      </c>
      <c r="E657" s="124">
        <v>40854</v>
      </c>
      <c r="G657" s="92">
        <v>3760</v>
      </c>
      <c r="H657">
        <v>975</v>
      </c>
      <c r="I657" t="s">
        <v>92</v>
      </c>
      <c r="J657" s="128">
        <f t="shared" si="140"/>
        <v>0.35</v>
      </c>
      <c r="K657" s="103">
        <f t="shared" si="141"/>
        <v>37.338629592850047</v>
      </c>
      <c r="L657" s="103">
        <f t="shared" si="142"/>
        <v>1.0162162162162163</v>
      </c>
      <c r="M657" s="133">
        <f t="shared" si="143"/>
        <v>341.25</v>
      </c>
      <c r="N657" s="133">
        <f t="shared" si="144"/>
        <v>4101.25</v>
      </c>
      <c r="O657" s="134">
        <f t="shared" si="145"/>
        <v>40.727408142999003</v>
      </c>
      <c r="P657" s="134">
        <f t="shared" si="146"/>
        <v>1.1084459459459459</v>
      </c>
      <c r="R657" s="149">
        <f t="shared" si="129"/>
        <v>10.583080552746882</v>
      </c>
    </row>
    <row r="658" spans="1:18" ht="14.45" x14ac:dyDescent="0.3">
      <c r="A658" s="45" t="s">
        <v>1</v>
      </c>
      <c r="B658" s="45" t="s">
        <v>11</v>
      </c>
      <c r="C658" s="45" t="s">
        <v>6</v>
      </c>
      <c r="D658" s="45" t="s">
        <v>90</v>
      </c>
      <c r="E658" s="124">
        <v>40854</v>
      </c>
      <c r="G658" s="92">
        <v>3959</v>
      </c>
      <c r="H658">
        <v>1357</v>
      </c>
      <c r="I658" t="s">
        <v>92</v>
      </c>
      <c r="J658" s="128">
        <f t="shared" si="140"/>
        <v>0.35</v>
      </c>
      <c r="K658" s="103">
        <f t="shared" si="141"/>
        <v>39.314796425024824</v>
      </c>
      <c r="L658" s="103">
        <f t="shared" si="142"/>
        <v>1.07</v>
      </c>
      <c r="M658" s="133">
        <f t="shared" si="143"/>
        <v>474.95</v>
      </c>
      <c r="N658" s="133">
        <f t="shared" si="144"/>
        <v>4433.95</v>
      </c>
      <c r="O658" s="134">
        <f t="shared" si="145"/>
        <v>44.0312810327706</v>
      </c>
      <c r="P658" s="134">
        <f t="shared" si="146"/>
        <v>1.1983648648648648</v>
      </c>
      <c r="R658" s="149">
        <f t="shared" si="129"/>
        <v>11.610772549582272</v>
      </c>
    </row>
    <row r="659" spans="1:18" ht="14.45" x14ac:dyDescent="0.3">
      <c r="A659" s="45" t="s">
        <v>134</v>
      </c>
      <c r="B659" s="45" t="s">
        <v>13</v>
      </c>
      <c r="C659" s="45" t="s">
        <v>7</v>
      </c>
      <c r="D659" s="45" t="s">
        <v>90</v>
      </c>
      <c r="E659" s="124">
        <v>40854</v>
      </c>
      <c r="G659" s="92">
        <v>3062</v>
      </c>
      <c r="H659">
        <v>1006</v>
      </c>
      <c r="I659" t="s">
        <v>92</v>
      </c>
      <c r="J659" s="128">
        <f t="shared" si="140"/>
        <v>0.35</v>
      </c>
      <c r="K659" s="103">
        <f t="shared" si="141"/>
        <v>30.407149950347566</v>
      </c>
      <c r="L659" s="103">
        <f t="shared" si="142"/>
        <v>0.77239639639639646</v>
      </c>
      <c r="M659" s="133">
        <f t="shared" si="143"/>
        <v>352.09999999999997</v>
      </c>
      <c r="N659" s="133">
        <f t="shared" si="144"/>
        <v>3414.1</v>
      </c>
      <c r="O659" s="134">
        <f t="shared" si="145"/>
        <v>33.903674280039723</v>
      </c>
      <c r="P659" s="134">
        <f t="shared" si="146"/>
        <v>0.86121441441441438</v>
      </c>
      <c r="R659" s="149">
        <f t="shared" si="129"/>
        <v>14.451126710514849</v>
      </c>
    </row>
    <row r="660" spans="1:18" ht="14.45" x14ac:dyDescent="0.3">
      <c r="A660" s="45" t="s">
        <v>134</v>
      </c>
      <c r="B660" s="45" t="s">
        <v>14</v>
      </c>
      <c r="C660" s="45" t="s">
        <v>15</v>
      </c>
      <c r="D660" s="45" t="s">
        <v>90</v>
      </c>
      <c r="E660" s="124">
        <v>40854</v>
      </c>
      <c r="G660" s="92">
        <v>3942</v>
      </c>
      <c r="H660">
        <v>866</v>
      </c>
      <c r="I660" t="s">
        <v>94</v>
      </c>
      <c r="J660" s="128">
        <f t="shared" si="140"/>
        <v>0.46</v>
      </c>
      <c r="K660" s="103">
        <f t="shared" si="141"/>
        <v>39.145978152929494</v>
      </c>
      <c r="L660" s="103">
        <f t="shared" si="142"/>
        <v>0.99437837837837839</v>
      </c>
      <c r="M660" s="133">
        <f t="shared" si="143"/>
        <v>398.36</v>
      </c>
      <c r="N660" s="133">
        <f t="shared" si="144"/>
        <v>4340.3599999999997</v>
      </c>
      <c r="O660" s="134">
        <f t="shared" si="145"/>
        <v>43.101886792452824</v>
      </c>
      <c r="P660" s="134">
        <f t="shared" si="146"/>
        <v>1.0948655855855856</v>
      </c>
      <c r="R660" s="149">
        <f t="shared" si="129"/>
        <v>9.3884834065889535</v>
      </c>
    </row>
    <row r="661" spans="1:18" ht="14.45" x14ac:dyDescent="0.3">
      <c r="A661" s="45" t="s">
        <v>134</v>
      </c>
      <c r="B661" s="45" t="s">
        <v>16</v>
      </c>
      <c r="C661" s="45" t="s">
        <v>17</v>
      </c>
      <c r="D661" s="45" t="s">
        <v>90</v>
      </c>
      <c r="E661" s="124">
        <v>40854</v>
      </c>
      <c r="G661" s="92">
        <v>1934</v>
      </c>
      <c r="H661">
        <v>213</v>
      </c>
      <c r="I661" t="s">
        <v>92</v>
      </c>
      <c r="J661" s="128">
        <f t="shared" si="140"/>
        <v>0.35</v>
      </c>
      <c r="K661" s="103">
        <f t="shared" si="141"/>
        <v>19.20556107249255</v>
      </c>
      <c r="L661" s="103">
        <f t="shared" si="142"/>
        <v>0.48785585585585589</v>
      </c>
      <c r="M661" s="133">
        <f t="shared" si="143"/>
        <v>74.55</v>
      </c>
      <c r="N661" s="133">
        <f t="shared" si="144"/>
        <v>2008.55</v>
      </c>
      <c r="O661" s="134">
        <f t="shared" si="145"/>
        <v>19.945878848063554</v>
      </c>
      <c r="P661" s="134">
        <f t="shared" si="146"/>
        <v>0.50666126126126121</v>
      </c>
      <c r="R661" s="149">
        <f t="shared" si="129"/>
        <v>6.8826794238004307</v>
      </c>
    </row>
    <row r="662" spans="1:18" ht="14.45" x14ac:dyDescent="0.3">
      <c r="A662" s="45" t="s">
        <v>134</v>
      </c>
      <c r="B662" s="45" t="s">
        <v>18</v>
      </c>
      <c r="C662" s="45" t="s">
        <v>19</v>
      </c>
      <c r="D662" s="45" t="s">
        <v>90</v>
      </c>
      <c r="E662" s="124">
        <v>40854</v>
      </c>
      <c r="G662" s="92">
        <v>3381</v>
      </c>
      <c r="H662">
        <v>650</v>
      </c>
      <c r="I662" t="s">
        <v>94</v>
      </c>
      <c r="J662" s="128">
        <f t="shared" si="140"/>
        <v>0.46</v>
      </c>
      <c r="K662" s="103">
        <f t="shared" si="141"/>
        <v>33.574975173783514</v>
      </c>
      <c r="L662" s="103">
        <f t="shared" si="142"/>
        <v>0.8528648648648649</v>
      </c>
      <c r="M662" s="133">
        <f t="shared" si="143"/>
        <v>299</v>
      </c>
      <c r="N662" s="133">
        <f t="shared" si="144"/>
        <v>3680</v>
      </c>
      <c r="O662" s="134">
        <f t="shared" si="145"/>
        <v>36.544190665342597</v>
      </c>
      <c r="P662" s="134">
        <f t="shared" si="146"/>
        <v>0.92828828828828835</v>
      </c>
      <c r="R662" s="149">
        <f t="shared" si="129"/>
        <v>9.7852028639618069</v>
      </c>
    </row>
    <row r="663" spans="1:18" ht="14.45" x14ac:dyDescent="0.3">
      <c r="A663" s="45" t="s">
        <v>134</v>
      </c>
      <c r="B663" s="45" t="s">
        <v>18</v>
      </c>
      <c r="C663" s="45" t="s">
        <v>20</v>
      </c>
      <c r="D663" s="45" t="s">
        <v>90</v>
      </c>
      <c r="E663" s="124">
        <v>40854</v>
      </c>
      <c r="G663" s="92">
        <v>2833</v>
      </c>
      <c r="H663">
        <v>417</v>
      </c>
      <c r="I663" t="s">
        <v>94</v>
      </c>
      <c r="J663" s="128">
        <f t="shared" si="140"/>
        <v>0.46</v>
      </c>
      <c r="K663" s="103">
        <f t="shared" si="141"/>
        <v>28.133068520357497</v>
      </c>
      <c r="L663" s="103">
        <f t="shared" si="142"/>
        <v>0.71463063063063059</v>
      </c>
      <c r="M663" s="133">
        <f t="shared" si="143"/>
        <v>191.82000000000002</v>
      </c>
      <c r="N663" s="133">
        <f t="shared" si="144"/>
        <v>3024.82</v>
      </c>
      <c r="O663" s="134">
        <f t="shared" si="145"/>
        <v>30.037934458788481</v>
      </c>
      <c r="P663" s="134">
        <f t="shared" si="146"/>
        <v>0.76301765765765772</v>
      </c>
      <c r="R663" s="149">
        <f t="shared" si="129"/>
        <v>5.7599787418533888</v>
      </c>
    </row>
    <row r="664" spans="1:18" ht="14.45" x14ac:dyDescent="0.3">
      <c r="A664" s="45" t="s">
        <v>134</v>
      </c>
      <c r="B664" s="45" t="s">
        <v>16</v>
      </c>
      <c r="C664" s="45" t="s">
        <v>21</v>
      </c>
      <c r="D664" s="45" t="s">
        <v>90</v>
      </c>
      <c r="E664" s="124">
        <v>40854</v>
      </c>
      <c r="G664" s="92">
        <v>3074</v>
      </c>
      <c r="H664">
        <v>626</v>
      </c>
      <c r="I664" t="s">
        <v>92</v>
      </c>
      <c r="J664" s="128">
        <f t="shared" si="140"/>
        <v>0.35</v>
      </c>
      <c r="K664" s="103">
        <f t="shared" si="141"/>
        <v>30.526315789473685</v>
      </c>
      <c r="L664" s="103">
        <f t="shared" si="142"/>
        <v>0.77542342342342341</v>
      </c>
      <c r="M664" s="133">
        <f t="shared" si="143"/>
        <v>219.1</v>
      </c>
      <c r="N664" s="133">
        <f t="shared" si="144"/>
        <v>3293.1</v>
      </c>
      <c r="O664" s="134">
        <f t="shared" si="145"/>
        <v>32.702085402184707</v>
      </c>
      <c r="P664" s="134">
        <f t="shared" si="146"/>
        <v>0.83069189189189185</v>
      </c>
      <c r="R664" s="149">
        <f t="shared" si="129"/>
        <v>8.1683867534702692</v>
      </c>
    </row>
    <row r="665" spans="1:18" ht="14.45" x14ac:dyDescent="0.3">
      <c r="A665" s="45" t="s">
        <v>134</v>
      </c>
      <c r="B665" s="45" t="s">
        <v>16</v>
      </c>
      <c r="C665" s="45" t="s">
        <v>6</v>
      </c>
      <c r="D665" s="45" t="s">
        <v>90</v>
      </c>
      <c r="E665" s="124">
        <v>40854</v>
      </c>
      <c r="G665" s="92">
        <v>4985</v>
      </c>
      <c r="H665">
        <v>1823</v>
      </c>
      <c r="I665" t="s">
        <v>92</v>
      </c>
      <c r="J665" s="128">
        <f t="shared" si="140"/>
        <v>0.35</v>
      </c>
      <c r="K665" s="103">
        <f t="shared" si="141"/>
        <v>49.503475670307843</v>
      </c>
      <c r="L665" s="103">
        <f t="shared" si="142"/>
        <v>1.2574774774774775</v>
      </c>
      <c r="M665" s="133">
        <f t="shared" si="143"/>
        <v>638.04999999999995</v>
      </c>
      <c r="N665" s="133">
        <f t="shared" si="144"/>
        <v>5623.05</v>
      </c>
      <c r="O665" s="134">
        <f t="shared" si="145"/>
        <v>55.839622641509436</v>
      </c>
      <c r="P665" s="134">
        <f t="shared" si="146"/>
        <v>1.4184270270270272</v>
      </c>
      <c r="R665" s="149">
        <f t="shared" si="129"/>
        <v>20.101625191428283</v>
      </c>
    </row>
    <row r="666" spans="1:18" ht="14.45" x14ac:dyDescent="0.3">
      <c r="A666" s="45" t="s">
        <v>22</v>
      </c>
      <c r="B666" s="45" t="s">
        <v>23</v>
      </c>
      <c r="C666" s="45" t="s">
        <v>7</v>
      </c>
      <c r="D666" s="45" t="s">
        <v>90</v>
      </c>
      <c r="E666" s="124">
        <v>40854</v>
      </c>
      <c r="G666" s="92">
        <v>3349</v>
      </c>
      <c r="H666" s="52">
        <v>1295</v>
      </c>
      <c r="I666" t="s">
        <v>95</v>
      </c>
      <c r="J666" s="128">
        <f t="shared" si="140"/>
        <v>0.29899999999999999</v>
      </c>
      <c r="K666" s="103">
        <f t="shared" si="141"/>
        <v>33.257199602780538</v>
      </c>
      <c r="L666" s="103">
        <f t="shared" si="142"/>
        <v>0.9051351351351351</v>
      </c>
      <c r="M666" s="133">
        <f t="shared" si="143"/>
        <v>387.20499999999998</v>
      </c>
      <c r="N666" s="133">
        <f t="shared" si="144"/>
        <v>3736.2049999999999</v>
      </c>
      <c r="O666" s="134">
        <f t="shared" si="145"/>
        <v>37.102333664349551</v>
      </c>
      <c r="P666" s="134">
        <f t="shared" si="146"/>
        <v>1.009785135135135</v>
      </c>
      <c r="R666" s="149">
        <f t="shared" si="129"/>
        <v>7.3678432848849118</v>
      </c>
    </row>
    <row r="667" spans="1:18" ht="14.45" x14ac:dyDescent="0.3">
      <c r="A667" s="45" t="s">
        <v>22</v>
      </c>
      <c r="B667" s="45" t="s">
        <v>14</v>
      </c>
      <c r="C667" s="45" t="s">
        <v>24</v>
      </c>
      <c r="D667" s="45" t="s">
        <v>90</v>
      </c>
      <c r="E667" s="124">
        <v>40854</v>
      </c>
      <c r="G667" s="92">
        <v>3497</v>
      </c>
      <c r="H667">
        <v>615</v>
      </c>
      <c r="I667" t="s">
        <v>94</v>
      </c>
      <c r="J667" s="128">
        <f t="shared" si="140"/>
        <v>0.46</v>
      </c>
      <c r="K667" s="103">
        <f t="shared" si="141"/>
        <v>34.726911618669313</v>
      </c>
      <c r="L667" s="103">
        <f t="shared" si="142"/>
        <v>0.94513513513513514</v>
      </c>
      <c r="M667" s="133">
        <f t="shared" si="143"/>
        <v>282.90000000000003</v>
      </c>
      <c r="N667" s="133">
        <f t="shared" si="144"/>
        <v>3779.9</v>
      </c>
      <c r="O667" s="134">
        <f t="shared" si="145"/>
        <v>37.53624627606753</v>
      </c>
      <c r="P667" s="134">
        <f t="shared" si="146"/>
        <v>1.0215945945945946</v>
      </c>
      <c r="R667" s="149">
        <f t="shared" ref="R667:R690" si="147">((N667/N211)-1)*100</f>
        <v>23.179951769536601</v>
      </c>
    </row>
    <row r="668" spans="1:18" ht="14.45" x14ac:dyDescent="0.3">
      <c r="A668" s="45" t="s">
        <v>22</v>
      </c>
      <c r="B668" s="45" t="s">
        <v>18</v>
      </c>
      <c r="C668" s="45" t="s">
        <v>15</v>
      </c>
      <c r="D668" s="45" t="s">
        <v>90</v>
      </c>
      <c r="E668" s="124">
        <v>40854</v>
      </c>
      <c r="G668" s="92">
        <v>4453</v>
      </c>
      <c r="H668">
        <v>872</v>
      </c>
      <c r="I668" t="s">
        <v>94</v>
      </c>
      <c r="J668" s="128">
        <f t="shared" si="140"/>
        <v>0.46</v>
      </c>
      <c r="K668" s="103">
        <f t="shared" si="141"/>
        <v>44.220456802383318</v>
      </c>
      <c r="L668" s="103">
        <f t="shared" si="142"/>
        <v>1.2035135135135135</v>
      </c>
      <c r="M668" s="133">
        <f t="shared" si="143"/>
        <v>401.12</v>
      </c>
      <c r="N668" s="133">
        <f t="shared" si="144"/>
        <v>4854.12</v>
      </c>
      <c r="O668" s="134">
        <f t="shared" si="145"/>
        <v>48.203773584905655</v>
      </c>
      <c r="P668" s="134">
        <f t="shared" si="146"/>
        <v>1.3119243243243244</v>
      </c>
      <c r="R668" s="149">
        <f t="shared" si="147"/>
        <v>20.172902101364599</v>
      </c>
    </row>
    <row r="669" spans="1:18" ht="14.45" x14ac:dyDescent="0.3">
      <c r="A669" s="45" t="s">
        <v>22</v>
      </c>
      <c r="B669" s="45" t="s">
        <v>18</v>
      </c>
      <c r="C669" s="45" t="s">
        <v>24</v>
      </c>
      <c r="D669" s="45" t="s">
        <v>90</v>
      </c>
      <c r="E669" s="124">
        <v>40854</v>
      </c>
      <c r="G669" s="92">
        <v>3189</v>
      </c>
      <c r="H669">
        <v>417</v>
      </c>
      <c r="I669" t="s">
        <v>94</v>
      </c>
      <c r="J669" s="128">
        <f t="shared" si="140"/>
        <v>0.46</v>
      </c>
      <c r="K669" s="103">
        <f t="shared" si="141"/>
        <v>31.668321747765638</v>
      </c>
      <c r="L669" s="103">
        <f t="shared" si="142"/>
        <v>0.86189189189189186</v>
      </c>
      <c r="M669" s="133">
        <f t="shared" si="143"/>
        <v>191.82000000000002</v>
      </c>
      <c r="N669" s="133">
        <f t="shared" si="144"/>
        <v>3380.82</v>
      </c>
      <c r="O669" s="134">
        <f t="shared" si="145"/>
        <v>33.573187686196626</v>
      </c>
      <c r="P669" s="134">
        <f t="shared" si="146"/>
        <v>0.91373513513513516</v>
      </c>
      <c r="R669" s="149">
        <f t="shared" si="147"/>
        <v>24.611880224689298</v>
      </c>
    </row>
    <row r="670" spans="1:18" ht="14.45" x14ac:dyDescent="0.3">
      <c r="A670" s="45" t="s">
        <v>22</v>
      </c>
      <c r="B670" s="45" t="s">
        <v>13</v>
      </c>
      <c r="C670" s="45" t="s">
        <v>7</v>
      </c>
      <c r="D670" s="45" t="s">
        <v>90</v>
      </c>
      <c r="E670" s="124">
        <v>40854</v>
      </c>
      <c r="G670" s="92">
        <v>3406</v>
      </c>
      <c r="H670">
        <v>1006</v>
      </c>
      <c r="I670" t="s">
        <v>92</v>
      </c>
      <c r="J670" s="128">
        <f t="shared" si="140"/>
        <v>0.35</v>
      </c>
      <c r="K670" s="103">
        <f t="shared" si="141"/>
        <v>33.823237338629589</v>
      </c>
      <c r="L670" s="103">
        <f t="shared" si="142"/>
        <v>0.92054054054054057</v>
      </c>
      <c r="M670" s="133">
        <f t="shared" si="143"/>
        <v>352.09999999999997</v>
      </c>
      <c r="N670" s="133">
        <f t="shared" si="144"/>
        <v>3758.1</v>
      </c>
      <c r="O670" s="134">
        <f t="shared" si="145"/>
        <v>37.319761668321746</v>
      </c>
      <c r="P670" s="134">
        <f t="shared" si="146"/>
        <v>1.0157027027027026</v>
      </c>
      <c r="R670" s="149">
        <f t="shared" si="147"/>
        <v>12.956940445203212</v>
      </c>
    </row>
    <row r="671" spans="1:18" ht="14.45" x14ac:dyDescent="0.3">
      <c r="A671" s="45" t="s">
        <v>1</v>
      </c>
      <c r="B671" s="45" t="s">
        <v>25</v>
      </c>
      <c r="C671" s="45" t="s">
        <v>26</v>
      </c>
      <c r="D671" s="45" t="s">
        <v>91</v>
      </c>
      <c r="E671" s="124">
        <v>40854</v>
      </c>
      <c r="G671" s="92">
        <v>3239</v>
      </c>
      <c r="H671">
        <v>880</v>
      </c>
      <c r="I671" t="s">
        <v>93</v>
      </c>
      <c r="J671" s="128">
        <f t="shared" si="140"/>
        <v>0.34</v>
      </c>
      <c r="K671" s="103">
        <f t="shared" si="141"/>
        <v>32.164846077457796</v>
      </c>
      <c r="L671" s="103">
        <f t="shared" si="142"/>
        <v>0.87540540540540546</v>
      </c>
      <c r="M671" s="133">
        <f t="shared" si="143"/>
        <v>299.20000000000005</v>
      </c>
      <c r="N671" s="133">
        <f t="shared" si="144"/>
        <v>3538.2</v>
      </c>
      <c r="O671" s="134">
        <f t="shared" si="145"/>
        <v>35.136047666335649</v>
      </c>
      <c r="P671" s="134">
        <f t="shared" si="146"/>
        <v>0.95627027027027023</v>
      </c>
      <c r="R671" s="149">
        <f t="shared" si="147"/>
        <v>8.9884179398718409</v>
      </c>
    </row>
    <row r="672" spans="1:18" ht="14.45" x14ac:dyDescent="0.3">
      <c r="A672" s="45" t="s">
        <v>1</v>
      </c>
      <c r="B672" s="45" t="s">
        <v>2</v>
      </c>
      <c r="C672" s="45" t="s">
        <v>9</v>
      </c>
      <c r="D672" s="45" t="s">
        <v>91</v>
      </c>
      <c r="E672" s="124">
        <v>40854</v>
      </c>
      <c r="G672" s="92">
        <v>3144</v>
      </c>
      <c r="H672">
        <v>685</v>
      </c>
      <c r="I672" t="s">
        <v>93</v>
      </c>
      <c r="J672" s="128">
        <f t="shared" si="140"/>
        <v>0.34</v>
      </c>
      <c r="K672" s="103">
        <f t="shared" si="141"/>
        <v>31.221449851042699</v>
      </c>
      <c r="L672" s="103">
        <f t="shared" si="142"/>
        <v>0.84972972972972971</v>
      </c>
      <c r="M672" s="133">
        <f t="shared" si="143"/>
        <v>232.9</v>
      </c>
      <c r="N672" s="133">
        <f t="shared" si="144"/>
        <v>3376.9</v>
      </c>
      <c r="O672" s="134">
        <f t="shared" si="145"/>
        <v>33.53426017874876</v>
      </c>
      <c r="P672" s="134">
        <f t="shared" si="146"/>
        <v>0.91267567567567565</v>
      </c>
      <c r="R672" s="149">
        <f t="shared" si="147"/>
        <v>6.811532318008573</v>
      </c>
    </row>
    <row r="673" spans="1:18" ht="14.45" x14ac:dyDescent="0.3">
      <c r="A673" s="45" t="s">
        <v>1</v>
      </c>
      <c r="B673" s="45" t="s">
        <v>27</v>
      </c>
      <c r="C673" s="45" t="s">
        <v>28</v>
      </c>
      <c r="D673" s="45" t="s">
        <v>91</v>
      </c>
      <c r="E673" s="124">
        <v>40854</v>
      </c>
      <c r="G673" s="92">
        <v>3645</v>
      </c>
      <c r="H673">
        <v>812</v>
      </c>
      <c r="I673" t="s">
        <v>94</v>
      </c>
      <c r="J673" s="128">
        <f t="shared" si="140"/>
        <v>0.46</v>
      </c>
      <c r="K673" s="103">
        <f t="shared" si="141"/>
        <v>36.196623634558094</v>
      </c>
      <c r="L673" s="103">
        <f t="shared" si="142"/>
        <v>0.98513513513513518</v>
      </c>
      <c r="M673" s="133">
        <f t="shared" si="143"/>
        <v>373.52000000000004</v>
      </c>
      <c r="N673" s="133">
        <f t="shared" si="144"/>
        <v>4018.52</v>
      </c>
      <c r="O673" s="134">
        <f t="shared" si="145"/>
        <v>39.905858987090369</v>
      </c>
      <c r="P673" s="134">
        <f t="shared" si="146"/>
        <v>1.0860864864864865</v>
      </c>
      <c r="R673" s="149">
        <f t="shared" si="147"/>
        <v>8.8475248382937632</v>
      </c>
    </row>
    <row r="674" spans="1:18" ht="14.45" x14ac:dyDescent="0.3">
      <c r="A674" s="45" t="s">
        <v>1</v>
      </c>
      <c r="B674" s="45" t="s">
        <v>4</v>
      </c>
      <c r="C674" s="45" t="s">
        <v>26</v>
      </c>
      <c r="D674" s="45" t="s">
        <v>91</v>
      </c>
      <c r="E674" s="124">
        <v>40854</v>
      </c>
      <c r="G674" s="92">
        <v>4702</v>
      </c>
      <c r="H674">
        <v>1520</v>
      </c>
      <c r="I674" t="s">
        <v>93</v>
      </c>
      <c r="J674" s="128">
        <f t="shared" si="140"/>
        <v>0.34</v>
      </c>
      <c r="K674" s="103">
        <f t="shared" si="141"/>
        <v>46.693147964250244</v>
      </c>
      <c r="L674" s="103">
        <f t="shared" si="142"/>
        <v>1.2708108108108107</v>
      </c>
      <c r="M674" s="133">
        <f t="shared" si="143"/>
        <v>516.80000000000007</v>
      </c>
      <c r="N674" s="133">
        <f t="shared" si="144"/>
        <v>5218.8</v>
      </c>
      <c r="O674" s="134">
        <f t="shared" si="145"/>
        <v>51.825223435948359</v>
      </c>
      <c r="P674" s="134">
        <f t="shared" si="146"/>
        <v>1.4104864864864866</v>
      </c>
      <c r="R674" s="149">
        <f t="shared" si="147"/>
        <v>9.0749487940475539</v>
      </c>
    </row>
    <row r="675" spans="1:18" ht="14.45" x14ac:dyDescent="0.3">
      <c r="A675" s="45" t="s">
        <v>1</v>
      </c>
      <c r="B675" s="45" t="s">
        <v>4</v>
      </c>
      <c r="C675" s="45" t="s">
        <v>9</v>
      </c>
      <c r="D675" s="45" t="s">
        <v>91</v>
      </c>
      <c r="E675" s="124">
        <v>40854</v>
      </c>
      <c r="G675" s="92">
        <f>2856+2889</f>
        <v>5745</v>
      </c>
      <c r="H675">
        <v>1583</v>
      </c>
      <c r="I675" t="s">
        <v>93</v>
      </c>
      <c r="J675" s="128">
        <f t="shared" si="140"/>
        <v>0.34</v>
      </c>
      <c r="K675" s="103">
        <f t="shared" si="141"/>
        <v>57.050645481628599</v>
      </c>
      <c r="L675" s="103">
        <f t="shared" si="142"/>
        <v>1.5527027027027027</v>
      </c>
      <c r="M675" s="133">
        <f t="shared" si="143"/>
        <v>538.22</v>
      </c>
      <c r="N675" s="133">
        <f t="shared" si="144"/>
        <v>6283.22</v>
      </c>
      <c r="O675" s="134">
        <f t="shared" si="145"/>
        <v>62.395431976166833</v>
      </c>
      <c r="P675" s="134">
        <f t="shared" si="146"/>
        <v>1.6981675675675676</v>
      </c>
      <c r="R675" s="149">
        <f t="shared" si="147"/>
        <v>9.7181792623662222</v>
      </c>
    </row>
    <row r="676" spans="1:18" ht="14.45" x14ac:dyDescent="0.3">
      <c r="A676" s="45" t="s">
        <v>1</v>
      </c>
      <c r="B676" s="45" t="s">
        <v>10</v>
      </c>
      <c r="C676" s="45" t="s">
        <v>26</v>
      </c>
      <c r="D676" s="45" t="s">
        <v>91</v>
      </c>
      <c r="E676" s="124">
        <v>40854</v>
      </c>
      <c r="G676" s="92">
        <v>4727</v>
      </c>
      <c r="H676">
        <v>1599</v>
      </c>
      <c r="I676" t="s">
        <v>92</v>
      </c>
      <c r="J676" s="128">
        <f t="shared" si="140"/>
        <v>0.35</v>
      </c>
      <c r="K676" s="103">
        <f t="shared" si="141"/>
        <v>46.941410129096326</v>
      </c>
      <c r="L676" s="103">
        <f t="shared" si="142"/>
        <v>1.2775675675675675</v>
      </c>
      <c r="M676" s="133">
        <f t="shared" si="143"/>
        <v>559.65</v>
      </c>
      <c r="N676" s="133">
        <f t="shared" si="144"/>
        <v>5286.65</v>
      </c>
      <c r="O676" s="134">
        <f t="shared" si="145"/>
        <v>52.499006951340611</v>
      </c>
      <c r="P676" s="134">
        <f t="shared" si="146"/>
        <v>1.4288243243243242</v>
      </c>
      <c r="R676" s="149">
        <f t="shared" si="147"/>
        <v>10.557046151787075</v>
      </c>
    </row>
    <row r="677" spans="1:18" ht="14.45" x14ac:dyDescent="0.3">
      <c r="A677" s="45" t="s">
        <v>134</v>
      </c>
      <c r="B677" s="45" t="s">
        <v>23</v>
      </c>
      <c r="C677" s="45" t="s">
        <v>26</v>
      </c>
      <c r="D677" s="45" t="s">
        <v>91</v>
      </c>
      <c r="E677" s="124">
        <v>40854</v>
      </c>
      <c r="G677" s="92">
        <v>4800</v>
      </c>
      <c r="H677">
        <v>1851</v>
      </c>
      <c r="I677" t="s">
        <v>93</v>
      </c>
      <c r="J677" s="128">
        <f t="shared" si="140"/>
        <v>0.34</v>
      </c>
      <c r="K677" s="103">
        <f t="shared" si="141"/>
        <v>47.666335650446868</v>
      </c>
      <c r="L677" s="103">
        <f t="shared" si="142"/>
        <v>1.2108108108108109</v>
      </c>
      <c r="M677" s="133">
        <f t="shared" si="143"/>
        <v>629.34</v>
      </c>
      <c r="N677" s="133">
        <f t="shared" si="144"/>
        <v>5429.34</v>
      </c>
      <c r="O677" s="134">
        <f t="shared" si="145"/>
        <v>53.915988083416089</v>
      </c>
      <c r="P677" s="134">
        <f t="shared" si="146"/>
        <v>1.3695632432432434</v>
      </c>
      <c r="R677" s="149">
        <f t="shared" si="147"/>
        <v>13.20724030584266</v>
      </c>
    </row>
    <row r="678" spans="1:18" ht="14.45" x14ac:dyDescent="0.3">
      <c r="A678" s="45" t="s">
        <v>134</v>
      </c>
      <c r="B678" s="45" t="s">
        <v>8</v>
      </c>
      <c r="C678" s="45" t="s">
        <v>29</v>
      </c>
      <c r="D678" s="45" t="s">
        <v>91</v>
      </c>
      <c r="E678" s="124">
        <v>40854</v>
      </c>
      <c r="G678" s="92">
        <v>4760</v>
      </c>
      <c r="H678">
        <v>1695</v>
      </c>
      <c r="I678" t="s">
        <v>93</v>
      </c>
      <c r="J678" s="128">
        <f t="shared" si="140"/>
        <v>0.34</v>
      </c>
      <c r="K678" s="103">
        <f t="shared" si="141"/>
        <v>47.269116186693147</v>
      </c>
      <c r="L678" s="103">
        <f t="shared" si="142"/>
        <v>1.2007207207207207</v>
      </c>
      <c r="M678" s="133">
        <f t="shared" si="143"/>
        <v>576.30000000000007</v>
      </c>
      <c r="N678" s="133">
        <f t="shared" si="144"/>
        <v>5336.3</v>
      </c>
      <c r="O678" s="134">
        <f t="shared" si="145"/>
        <v>52.992055610724925</v>
      </c>
      <c r="P678" s="134">
        <f t="shared" si="146"/>
        <v>1.3460936936936938</v>
      </c>
      <c r="R678" s="149">
        <f t="shared" si="147"/>
        <v>12.845617856349856</v>
      </c>
    </row>
    <row r="679" spans="1:18" ht="14.45" x14ac:dyDescent="0.3">
      <c r="A679" s="45" t="s">
        <v>134</v>
      </c>
      <c r="B679" s="45" t="s">
        <v>13</v>
      </c>
      <c r="C679" s="45" t="s">
        <v>7</v>
      </c>
      <c r="D679" s="45" t="s">
        <v>91</v>
      </c>
      <c r="E679" s="124">
        <v>40854</v>
      </c>
      <c r="G679" s="92">
        <v>2877</v>
      </c>
      <c r="H679">
        <v>1006</v>
      </c>
      <c r="I679" t="s">
        <v>92</v>
      </c>
      <c r="J679" s="128">
        <f t="shared" si="140"/>
        <v>0.35</v>
      </c>
      <c r="K679" s="103">
        <f t="shared" si="141"/>
        <v>28.570009930486592</v>
      </c>
      <c r="L679" s="103">
        <f t="shared" si="142"/>
        <v>0.72572972972972971</v>
      </c>
      <c r="M679" s="133">
        <f t="shared" si="143"/>
        <v>352.09999999999997</v>
      </c>
      <c r="N679" s="133">
        <f t="shared" si="144"/>
        <v>3229.1</v>
      </c>
      <c r="O679" s="134">
        <f t="shared" si="145"/>
        <v>32.066534260178749</v>
      </c>
      <c r="P679" s="134">
        <f t="shared" si="146"/>
        <v>0.81454774774774774</v>
      </c>
      <c r="R679" s="149">
        <f t="shared" si="147"/>
        <v>13.380524013174067</v>
      </c>
    </row>
    <row r="680" spans="1:18" ht="14.45" x14ac:dyDescent="0.3">
      <c r="A680" s="45" t="s">
        <v>134</v>
      </c>
      <c r="B680" s="45" t="s">
        <v>30</v>
      </c>
      <c r="C680" s="45" t="s">
        <v>9</v>
      </c>
      <c r="D680" s="45" t="s">
        <v>91</v>
      </c>
      <c r="E680" s="124">
        <v>40854</v>
      </c>
      <c r="G680" s="92">
        <v>3310</v>
      </c>
      <c r="H680">
        <v>988</v>
      </c>
      <c r="I680" t="s">
        <v>93</v>
      </c>
      <c r="J680" s="128">
        <f t="shared" si="140"/>
        <v>0.34</v>
      </c>
      <c r="K680" s="103">
        <f t="shared" si="141"/>
        <v>32.869910625620655</v>
      </c>
      <c r="L680" s="103">
        <f t="shared" si="142"/>
        <v>0.83495495495495498</v>
      </c>
      <c r="M680" s="133">
        <f t="shared" si="143"/>
        <v>335.92</v>
      </c>
      <c r="N680" s="133">
        <f t="shared" si="144"/>
        <v>3645.92</v>
      </c>
      <c r="O680" s="134">
        <f t="shared" si="145"/>
        <v>36.205759682224432</v>
      </c>
      <c r="P680" s="134">
        <f t="shared" si="146"/>
        <v>0.9196915315315316</v>
      </c>
      <c r="R680" s="149">
        <f t="shared" si="147"/>
        <v>10.320620665448255</v>
      </c>
    </row>
    <row r="681" spans="1:18" ht="14.45" x14ac:dyDescent="0.3">
      <c r="A681" s="45" t="s">
        <v>134</v>
      </c>
      <c r="B681" s="45" t="s">
        <v>16</v>
      </c>
      <c r="C681" s="45" t="s">
        <v>11</v>
      </c>
      <c r="D681" s="45" t="s">
        <v>91</v>
      </c>
      <c r="E681" s="124">
        <v>40854</v>
      </c>
      <c r="G681" s="92">
        <v>3430</v>
      </c>
      <c r="H681" s="52">
        <v>787</v>
      </c>
      <c r="I681" t="s">
        <v>92</v>
      </c>
      <c r="J681" s="128">
        <f t="shared" si="140"/>
        <v>0.35</v>
      </c>
      <c r="K681" s="103">
        <f t="shared" si="141"/>
        <v>34.061569016881826</v>
      </c>
      <c r="L681" s="103">
        <f t="shared" si="142"/>
        <v>0.86522522522522527</v>
      </c>
      <c r="M681" s="133">
        <f t="shared" si="143"/>
        <v>275.45</v>
      </c>
      <c r="N681" s="133">
        <f t="shared" si="144"/>
        <v>3705.45</v>
      </c>
      <c r="O681" s="134">
        <f t="shared" si="145"/>
        <v>36.796921549155904</v>
      </c>
      <c r="P681" s="134">
        <f t="shared" si="146"/>
        <v>0.93470810810810812</v>
      </c>
      <c r="R681" s="149">
        <f t="shared" si="147"/>
        <v>6.9767509000256966</v>
      </c>
    </row>
    <row r="682" spans="1:18" ht="14.45" x14ac:dyDescent="0.3">
      <c r="A682" s="45" t="s">
        <v>134</v>
      </c>
      <c r="B682" s="45" t="s">
        <v>23</v>
      </c>
      <c r="C682" s="45" t="s">
        <v>29</v>
      </c>
      <c r="D682" s="45" t="s">
        <v>91</v>
      </c>
      <c r="E682" s="124">
        <v>40854</v>
      </c>
      <c r="G682" s="92">
        <v>4800</v>
      </c>
      <c r="H682">
        <v>1836</v>
      </c>
      <c r="I682" t="s">
        <v>93</v>
      </c>
      <c r="J682" s="128">
        <f t="shared" si="140"/>
        <v>0.34</v>
      </c>
      <c r="K682" s="103">
        <f t="shared" si="141"/>
        <v>47.666335650446868</v>
      </c>
      <c r="L682" s="103">
        <f t="shared" si="142"/>
        <v>1.2108108108108109</v>
      </c>
      <c r="M682" s="133">
        <f t="shared" si="143"/>
        <v>624.24</v>
      </c>
      <c r="N682" s="133">
        <f t="shared" si="144"/>
        <v>5424.24</v>
      </c>
      <c r="O682" s="134">
        <f t="shared" si="145"/>
        <v>53.865342601787482</v>
      </c>
      <c r="P682" s="134">
        <f t="shared" si="146"/>
        <v>1.3682767567567566</v>
      </c>
      <c r="R682" s="149">
        <f t="shared" si="147"/>
        <v>13.253213292466004</v>
      </c>
    </row>
    <row r="683" spans="1:18" ht="14.45" x14ac:dyDescent="0.3">
      <c r="A683" s="45" t="s">
        <v>134</v>
      </c>
      <c r="B683" s="45" t="s">
        <v>31</v>
      </c>
      <c r="C683" s="45" t="s">
        <v>32</v>
      </c>
      <c r="D683" s="45" t="s">
        <v>91</v>
      </c>
      <c r="E683" s="124">
        <v>40854</v>
      </c>
      <c r="G683" s="92">
        <v>4200</v>
      </c>
      <c r="H683">
        <v>1899</v>
      </c>
      <c r="I683" t="s">
        <v>93</v>
      </c>
      <c r="J683" s="128">
        <f t="shared" si="140"/>
        <v>0.34</v>
      </c>
      <c r="K683" s="103">
        <f t="shared" si="141"/>
        <v>41.708043694141011</v>
      </c>
      <c r="L683" s="103">
        <f t="shared" si="142"/>
        <v>1.0594594594594595</v>
      </c>
      <c r="M683" s="133">
        <f t="shared" si="143"/>
        <v>645.66000000000008</v>
      </c>
      <c r="N683" s="133">
        <f t="shared" si="144"/>
        <v>4845.66</v>
      </c>
      <c r="O683" s="134">
        <f t="shared" si="145"/>
        <v>48.119761668321743</v>
      </c>
      <c r="P683" s="134">
        <f t="shared" si="146"/>
        <v>1.2223286486486487</v>
      </c>
      <c r="R683" s="149">
        <f t="shared" si="147"/>
        <v>12.779728946578327</v>
      </c>
    </row>
    <row r="684" spans="1:18" ht="14.45" x14ac:dyDescent="0.3">
      <c r="A684" s="45" t="s">
        <v>22</v>
      </c>
      <c r="B684" s="45" t="s">
        <v>8</v>
      </c>
      <c r="C684" s="45" t="s">
        <v>29</v>
      </c>
      <c r="D684" s="45" t="s">
        <v>91</v>
      </c>
      <c r="E684" s="124">
        <v>40854</v>
      </c>
      <c r="G684" s="92">
        <v>5040</v>
      </c>
      <c r="H684" s="52">
        <v>1695</v>
      </c>
      <c r="I684" t="s">
        <v>93</v>
      </c>
      <c r="J684" s="128">
        <f t="shared" si="140"/>
        <v>0.34</v>
      </c>
      <c r="K684" s="103">
        <f t="shared" si="141"/>
        <v>50.049652432969211</v>
      </c>
      <c r="L684" s="103">
        <f t="shared" si="142"/>
        <v>1.3621621621621622</v>
      </c>
      <c r="M684" s="133">
        <f t="shared" si="143"/>
        <v>576.30000000000007</v>
      </c>
      <c r="N684" s="133">
        <f t="shared" si="144"/>
        <v>5616.3</v>
      </c>
      <c r="O684" s="134">
        <f t="shared" si="145"/>
        <v>55.772591857000997</v>
      </c>
      <c r="P684" s="134">
        <f t="shared" si="146"/>
        <v>1.5179189189189191</v>
      </c>
      <c r="R684" s="149">
        <f t="shared" si="147"/>
        <v>11.239193083573484</v>
      </c>
    </row>
    <row r="685" spans="1:18" ht="14.45" x14ac:dyDescent="0.3">
      <c r="A685" s="45" t="s">
        <v>22</v>
      </c>
      <c r="B685" s="45" t="s">
        <v>23</v>
      </c>
      <c r="C685" s="45" t="s">
        <v>26</v>
      </c>
      <c r="D685" s="45" t="s">
        <v>91</v>
      </c>
      <c r="E685" s="124">
        <v>40854</v>
      </c>
      <c r="G685" s="92">
        <v>5030</v>
      </c>
      <c r="H685">
        <v>1851</v>
      </c>
      <c r="I685" t="s">
        <v>93</v>
      </c>
      <c r="J685" s="128">
        <f t="shared" si="140"/>
        <v>0.34</v>
      </c>
      <c r="K685" s="103">
        <f t="shared" si="141"/>
        <v>49.950347567030782</v>
      </c>
      <c r="L685" s="103">
        <f t="shared" si="142"/>
        <v>1.3594594594594596</v>
      </c>
      <c r="M685" s="133">
        <f t="shared" si="143"/>
        <v>629.34</v>
      </c>
      <c r="N685" s="133">
        <f t="shared" si="144"/>
        <v>5659.34</v>
      </c>
      <c r="O685" s="134">
        <f t="shared" si="145"/>
        <v>56.2</v>
      </c>
      <c r="P685" s="134">
        <f t="shared" si="146"/>
        <v>1.5295513513513515</v>
      </c>
      <c r="R685" s="149">
        <f t="shared" si="147"/>
        <v>11.713742590205545</v>
      </c>
    </row>
    <row r="686" spans="1:18" ht="14.45" x14ac:dyDescent="0.3">
      <c r="A686" s="45" t="s">
        <v>22</v>
      </c>
      <c r="B686" s="45" t="s">
        <v>33</v>
      </c>
      <c r="C686" s="45" t="s">
        <v>29</v>
      </c>
      <c r="D686" s="45" t="s">
        <v>91</v>
      </c>
      <c r="E686" s="124">
        <v>40854</v>
      </c>
      <c r="G686" s="92">
        <v>4930</v>
      </c>
      <c r="H686">
        <v>1507</v>
      </c>
      <c r="I686" t="s">
        <v>93</v>
      </c>
      <c r="J686" s="128">
        <f t="shared" si="140"/>
        <v>0.34</v>
      </c>
      <c r="K686" s="103">
        <f t="shared" si="141"/>
        <v>48.957298907646475</v>
      </c>
      <c r="L686" s="103">
        <f t="shared" si="142"/>
        <v>1.3324324324324324</v>
      </c>
      <c r="M686" s="133">
        <f t="shared" si="143"/>
        <v>512.38</v>
      </c>
      <c r="N686" s="133">
        <f t="shared" si="144"/>
        <v>5442.38</v>
      </c>
      <c r="O686" s="134">
        <f t="shared" si="145"/>
        <v>54.045481628599802</v>
      </c>
      <c r="P686" s="134">
        <f t="shared" si="146"/>
        <v>1.4709135135135136</v>
      </c>
      <c r="R686" s="149">
        <f t="shared" si="147"/>
        <v>10.662239401709229</v>
      </c>
    </row>
    <row r="687" spans="1:18" ht="14.45" x14ac:dyDescent="0.3">
      <c r="A687" s="45" t="s">
        <v>22</v>
      </c>
      <c r="B687" s="45" t="s">
        <v>31</v>
      </c>
      <c r="C687" s="45" t="s">
        <v>7</v>
      </c>
      <c r="D687" s="45" t="s">
        <v>91</v>
      </c>
      <c r="E687" s="124">
        <v>40854</v>
      </c>
      <c r="G687" s="92">
        <v>3710</v>
      </c>
      <c r="H687">
        <v>1160</v>
      </c>
      <c r="I687" t="s">
        <v>92</v>
      </c>
      <c r="J687" s="128">
        <f t="shared" si="140"/>
        <v>0.35</v>
      </c>
      <c r="K687" s="103">
        <f t="shared" si="141"/>
        <v>36.84210526315789</v>
      </c>
      <c r="L687" s="103">
        <f t="shared" si="142"/>
        <v>1.0027027027027027</v>
      </c>
      <c r="M687" s="133">
        <f t="shared" si="143"/>
        <v>406</v>
      </c>
      <c r="N687" s="133">
        <f t="shared" si="144"/>
        <v>4116</v>
      </c>
      <c r="O687" s="134">
        <f t="shared" si="145"/>
        <v>40.873882820258189</v>
      </c>
      <c r="P687" s="134">
        <f t="shared" si="146"/>
        <v>1.1124324324324324</v>
      </c>
      <c r="R687" s="149">
        <f t="shared" si="147"/>
        <v>11.027190332326287</v>
      </c>
    </row>
    <row r="688" spans="1:18" ht="14.65" x14ac:dyDescent="0.35">
      <c r="A688" s="45" t="s">
        <v>22</v>
      </c>
      <c r="B688" s="45" t="s">
        <v>14</v>
      </c>
      <c r="C688" s="45" t="s">
        <v>24</v>
      </c>
      <c r="D688" s="45" t="s">
        <v>91</v>
      </c>
      <c r="E688" s="124">
        <v>40854</v>
      </c>
      <c r="G688" s="92">
        <v>2672</v>
      </c>
      <c r="H688">
        <v>615</v>
      </c>
      <c r="I688" t="s">
        <v>94</v>
      </c>
      <c r="J688" s="128">
        <f t="shared" si="140"/>
        <v>0.46</v>
      </c>
      <c r="K688" s="103">
        <f t="shared" si="141"/>
        <v>26.53426017874876</v>
      </c>
      <c r="L688" s="103">
        <f t="shared" si="142"/>
        <v>0.72216216216216211</v>
      </c>
      <c r="M688" s="133">
        <f t="shared" si="143"/>
        <v>282.90000000000003</v>
      </c>
      <c r="N688" s="133">
        <f t="shared" si="144"/>
        <v>2954.9</v>
      </c>
      <c r="O688" s="134">
        <f t="shared" si="145"/>
        <v>29.34359483614697</v>
      </c>
      <c r="P688" s="134">
        <f t="shared" si="146"/>
        <v>0.79862162162162165</v>
      </c>
      <c r="R688" s="149">
        <f t="shared" si="147"/>
        <v>10.109554330004489</v>
      </c>
    </row>
    <row r="689" spans="1:20" ht="14.65" x14ac:dyDescent="0.35">
      <c r="A689" s="80" t="s">
        <v>22</v>
      </c>
      <c r="B689" s="80" t="s">
        <v>34</v>
      </c>
      <c r="C689" s="80" t="s">
        <v>26</v>
      </c>
      <c r="D689" s="80" t="s">
        <v>91</v>
      </c>
      <c r="E689" s="126">
        <v>40854</v>
      </c>
      <c r="F689" s="84"/>
      <c r="G689" s="105">
        <v>4520</v>
      </c>
      <c r="H689" s="125">
        <v>1637</v>
      </c>
      <c r="I689" s="125" t="s">
        <v>92</v>
      </c>
      <c r="J689" s="113">
        <f t="shared" si="140"/>
        <v>0.35</v>
      </c>
      <c r="K689" s="114">
        <f t="shared" si="141"/>
        <v>44.885799404170804</v>
      </c>
      <c r="L689" s="114">
        <f t="shared" si="142"/>
        <v>1.2216216216216216</v>
      </c>
      <c r="M689" s="115">
        <f t="shared" si="143"/>
        <v>572.94999999999993</v>
      </c>
      <c r="N689" s="115">
        <f t="shared" si="144"/>
        <v>5092.95</v>
      </c>
      <c r="O689" s="116">
        <f t="shared" si="145"/>
        <v>50.575471698113205</v>
      </c>
      <c r="P689" s="116">
        <f t="shared" si="146"/>
        <v>1.376472972972973</v>
      </c>
      <c r="Q689" s="106"/>
      <c r="R689" s="152">
        <f t="shared" si="147"/>
        <v>8.4000774749962268</v>
      </c>
    </row>
    <row r="690" spans="1:20" ht="14.45" x14ac:dyDescent="0.3">
      <c r="A690" s="60" t="s">
        <v>1</v>
      </c>
      <c r="B690" s="60" t="s">
        <v>2</v>
      </c>
      <c r="C690" s="60" t="s">
        <v>3</v>
      </c>
      <c r="D690" s="60" t="s">
        <v>90</v>
      </c>
      <c r="E690" s="137">
        <v>40882</v>
      </c>
      <c r="F690" s="137"/>
      <c r="G690" s="92">
        <v>2992</v>
      </c>
      <c r="H690" s="138">
        <v>506</v>
      </c>
      <c r="I690" s="138" t="s">
        <v>92</v>
      </c>
      <c r="J690" s="141">
        <f>IF(I690="BNSF",0.33,IF(I690="CN",0.2875,IF(I690="CSX",0.45,0.34)))</f>
        <v>0.34</v>
      </c>
      <c r="K690" s="140">
        <f t="shared" ref="K690" si="148">G690/100.7</f>
        <v>29.712015888778549</v>
      </c>
      <c r="L690" s="140">
        <f t="shared" ref="L690" si="149">IF(A690="corn",G690/(111*2000/56),G690/(111*2000/60))</f>
        <v>0.8086486486486486</v>
      </c>
      <c r="M690" s="133">
        <f t="shared" ref="M690" si="150">H690*J690</f>
        <v>172.04000000000002</v>
      </c>
      <c r="N690" s="133">
        <f t="shared" ref="N690" si="151">G690+M690</f>
        <v>3164.04</v>
      </c>
      <c r="O690" s="134">
        <f t="shared" ref="O690" si="152">N690/100.7</f>
        <v>31.420456802383317</v>
      </c>
      <c r="P690" s="134">
        <f t="shared" ref="P690" si="153">IF(A690="corn",N690/(111*2000/56),N690/(111*2000/60))</f>
        <v>0.85514594594594595</v>
      </c>
      <c r="R690" s="149">
        <f t="shared" si="147"/>
        <v>10.045909849749579</v>
      </c>
      <c r="S690" s="140">
        <f>AVERAGE(O614,O652,O690)</f>
        <v>31.470705064548159</v>
      </c>
      <c r="T690" s="151">
        <f>(S690/S576)-1</f>
        <v>-4.2397290260145493E-3</v>
      </c>
    </row>
    <row r="691" spans="1:20" ht="14.45" x14ac:dyDescent="0.3">
      <c r="A691" s="60" t="s">
        <v>1</v>
      </c>
      <c r="B691" s="60" t="s">
        <v>4</v>
      </c>
      <c r="C691" s="60" t="s">
        <v>5</v>
      </c>
      <c r="D691" s="60" t="s">
        <v>90</v>
      </c>
      <c r="E691" s="137">
        <v>40882</v>
      </c>
      <c r="F691" s="137"/>
      <c r="G691" s="92">
        <f>-675+3772</f>
        <v>3097</v>
      </c>
      <c r="H691" s="138">
        <v>298</v>
      </c>
      <c r="I691" s="138" t="s">
        <v>93</v>
      </c>
      <c r="J691" s="141">
        <f t="shared" ref="J691:J727" si="154">IF(I691="BNSF",0.33,IF(I691="CN",0.2875,IF(I691="CSX",0.45,0.34)))</f>
        <v>0.33</v>
      </c>
      <c r="K691" s="140">
        <f t="shared" ref="K691:K726" si="155">G691/100.7</f>
        <v>30.754716981132074</v>
      </c>
      <c r="L691" s="140">
        <f t="shared" ref="L691:L728" si="156">IF(A691="corn",G691/(111*2000/56),G691/(111*2000/60))</f>
        <v>0.83702702702702703</v>
      </c>
      <c r="M691" s="133">
        <f t="shared" ref="M691:M728" si="157">H691*J691</f>
        <v>98.34</v>
      </c>
      <c r="N691" s="133">
        <f t="shared" ref="N691:N728" si="158">G691+M691</f>
        <v>3195.34</v>
      </c>
      <c r="O691" s="134">
        <f t="shared" ref="O691:O728" si="159">N691/100.7</f>
        <v>31.731281032770607</v>
      </c>
      <c r="P691" s="134">
        <f t="shared" ref="P691:P728" si="160">IF(A691="corn",N691/(111*2000/56),N691/(111*2000/60))</f>
        <v>0.86360540540540542</v>
      </c>
      <c r="R691" s="149">
        <f t="shared" ref="R691:R726" si="161">((N691/N235)-1)*100</f>
        <v>18.342419483867147</v>
      </c>
      <c r="S691" s="140">
        <f t="shared" ref="S691:S726" si="162">AVERAGE(O615,O653,O691)</f>
        <v>31.76087388282026</v>
      </c>
      <c r="T691" s="151">
        <f t="shared" ref="T691:T725" si="163">(S691/S577)-1</f>
        <v>5.7671151637275209E-2</v>
      </c>
    </row>
    <row r="692" spans="1:20" ht="14.45" x14ac:dyDescent="0.3">
      <c r="A692" s="60" t="s">
        <v>1</v>
      </c>
      <c r="B692" s="60" t="s">
        <v>2</v>
      </c>
      <c r="C692" s="60" t="s">
        <v>6</v>
      </c>
      <c r="D692" s="60" t="s">
        <v>90</v>
      </c>
      <c r="E692" s="137">
        <v>40882</v>
      </c>
      <c r="F692" s="137"/>
      <c r="G692" s="92">
        <v>5710</v>
      </c>
      <c r="H692" s="138">
        <v>1530</v>
      </c>
      <c r="I692" s="138" t="s">
        <v>93</v>
      </c>
      <c r="J692" s="141">
        <f t="shared" si="154"/>
        <v>0.33</v>
      </c>
      <c r="K692" s="140">
        <f t="shared" si="155"/>
        <v>56.703078450844089</v>
      </c>
      <c r="L692" s="140">
        <f t="shared" si="156"/>
        <v>1.5432432432432432</v>
      </c>
      <c r="M692" s="133">
        <f t="shared" si="157"/>
        <v>504.90000000000003</v>
      </c>
      <c r="N692" s="133">
        <f t="shared" si="158"/>
        <v>6214.9</v>
      </c>
      <c r="O692" s="134">
        <f t="shared" si="159"/>
        <v>61.716981132075468</v>
      </c>
      <c r="P692" s="134">
        <f t="shared" si="160"/>
        <v>1.6797027027027025</v>
      </c>
      <c r="R692" s="149">
        <f t="shared" si="161"/>
        <v>8.0701815399596413</v>
      </c>
      <c r="S692" s="140">
        <f t="shared" si="162"/>
        <v>61.868917576961273</v>
      </c>
      <c r="T692" s="151">
        <f t="shared" si="163"/>
        <v>-7.3134589952357221E-3</v>
      </c>
    </row>
    <row r="693" spans="1:20" ht="14.45" x14ac:dyDescent="0.3">
      <c r="A693" s="60" t="s">
        <v>1</v>
      </c>
      <c r="B693" s="60" t="s">
        <v>2</v>
      </c>
      <c r="C693" s="60" t="s">
        <v>7</v>
      </c>
      <c r="D693" s="60" t="s">
        <v>90</v>
      </c>
      <c r="E693" s="137">
        <v>40882</v>
      </c>
      <c r="F693" s="137"/>
      <c r="G693" s="92">
        <v>3492</v>
      </c>
      <c r="H693" s="138">
        <v>890</v>
      </c>
      <c r="I693" s="138" t="s">
        <v>92</v>
      </c>
      <c r="J693" s="141">
        <f t="shared" si="154"/>
        <v>0.34</v>
      </c>
      <c r="K693" s="140">
        <f t="shared" si="155"/>
        <v>34.677259185700102</v>
      </c>
      <c r="L693" s="140">
        <f t="shared" si="156"/>
        <v>0.9437837837837838</v>
      </c>
      <c r="M693" s="133">
        <f t="shared" si="157"/>
        <v>302.60000000000002</v>
      </c>
      <c r="N693" s="133">
        <f t="shared" si="158"/>
        <v>3794.6</v>
      </c>
      <c r="O693" s="134">
        <f t="shared" si="159"/>
        <v>37.682224428997017</v>
      </c>
      <c r="P693" s="134">
        <f t="shared" si="160"/>
        <v>1.0255675675675675</v>
      </c>
      <c r="R693" s="149">
        <f t="shared" si="161"/>
        <v>9.8928467998841576</v>
      </c>
      <c r="S693" s="140">
        <f t="shared" si="162"/>
        <v>37.770605759682219</v>
      </c>
      <c r="T693" s="151">
        <f t="shared" si="163"/>
        <v>-6.2011723002692865E-3</v>
      </c>
    </row>
    <row r="694" spans="1:20" ht="14.45" x14ac:dyDescent="0.3">
      <c r="A694" s="60" t="s">
        <v>1</v>
      </c>
      <c r="B694" s="60" t="s">
        <v>8</v>
      </c>
      <c r="C694" s="60" t="s">
        <v>9</v>
      </c>
      <c r="D694" s="60" t="s">
        <v>90</v>
      </c>
      <c r="E694" s="137">
        <v>40882</v>
      </c>
      <c r="F694" s="137"/>
      <c r="G694" s="92">
        <f>109+5301</f>
        <v>5410</v>
      </c>
      <c r="H694" s="138">
        <v>1256</v>
      </c>
      <c r="I694" s="138" t="s">
        <v>93</v>
      </c>
      <c r="J694" s="141">
        <f t="shared" si="154"/>
        <v>0.33</v>
      </c>
      <c r="K694" s="140">
        <f t="shared" si="155"/>
        <v>53.72393247269116</v>
      </c>
      <c r="L694" s="140">
        <f t="shared" si="156"/>
        <v>1.4621621621621621</v>
      </c>
      <c r="M694" s="133">
        <f t="shared" si="157"/>
        <v>414.48</v>
      </c>
      <c r="N694" s="133">
        <f t="shared" si="158"/>
        <v>5824.48</v>
      </c>
      <c r="O694" s="134">
        <f t="shared" si="159"/>
        <v>57.839920556107245</v>
      </c>
      <c r="P694" s="134">
        <f t="shared" si="160"/>
        <v>1.5741837837837838</v>
      </c>
      <c r="R694" s="149">
        <f t="shared" si="161"/>
        <v>4.7802027790370349</v>
      </c>
      <c r="S694" s="140">
        <f t="shared" si="162"/>
        <v>57.964647467725918</v>
      </c>
      <c r="T694" s="151">
        <f t="shared" si="163"/>
        <v>-6.4139227061035253E-3</v>
      </c>
    </row>
    <row r="695" spans="1:20" ht="14.45" x14ac:dyDescent="0.3">
      <c r="A695" s="60" t="s">
        <v>1</v>
      </c>
      <c r="B695" s="60" t="s">
        <v>10</v>
      </c>
      <c r="C695" s="60" t="s">
        <v>9</v>
      </c>
      <c r="D695" s="60" t="s">
        <v>90</v>
      </c>
      <c r="E695" s="137">
        <v>40882</v>
      </c>
      <c r="F695" s="137"/>
      <c r="G695" s="92">
        <v>3760</v>
      </c>
      <c r="H695" s="138">
        <v>975</v>
      </c>
      <c r="I695" s="138" t="s">
        <v>92</v>
      </c>
      <c r="J695" s="141">
        <f t="shared" si="154"/>
        <v>0.34</v>
      </c>
      <c r="K695" s="140">
        <f t="shared" si="155"/>
        <v>37.338629592850047</v>
      </c>
      <c r="L695" s="140">
        <f t="shared" si="156"/>
        <v>1.0162162162162163</v>
      </c>
      <c r="M695" s="133">
        <f t="shared" si="157"/>
        <v>331.5</v>
      </c>
      <c r="N695" s="133">
        <f t="shared" si="158"/>
        <v>4091.5</v>
      </c>
      <c r="O695" s="134">
        <f t="shared" si="159"/>
        <v>40.630585898709036</v>
      </c>
      <c r="P695" s="134">
        <f t="shared" si="160"/>
        <v>1.1058108108108109</v>
      </c>
      <c r="R695" s="149">
        <f t="shared" si="161"/>
        <v>9.4569288389513062</v>
      </c>
      <c r="S695" s="140">
        <f t="shared" si="162"/>
        <v>40.727408142999003</v>
      </c>
      <c r="T695" s="151">
        <f t="shared" si="163"/>
        <v>-6.2995941607607575E-3</v>
      </c>
    </row>
    <row r="696" spans="1:20" ht="14.45" x14ac:dyDescent="0.3">
      <c r="A696" s="60" t="s">
        <v>1</v>
      </c>
      <c r="B696" s="60" t="s">
        <v>11</v>
      </c>
      <c r="C696" s="60" t="s">
        <v>6</v>
      </c>
      <c r="D696" s="60" t="s">
        <v>90</v>
      </c>
      <c r="E696" s="137">
        <v>40882</v>
      </c>
      <c r="F696" s="137"/>
      <c r="G696" s="92">
        <v>3959</v>
      </c>
      <c r="H696" s="138">
        <v>1357</v>
      </c>
      <c r="I696" s="138" t="s">
        <v>92</v>
      </c>
      <c r="J696" s="141">
        <f t="shared" si="154"/>
        <v>0.34</v>
      </c>
      <c r="K696" s="140">
        <f t="shared" si="155"/>
        <v>39.314796425024824</v>
      </c>
      <c r="L696" s="140">
        <f t="shared" si="156"/>
        <v>1.07</v>
      </c>
      <c r="M696" s="133">
        <f t="shared" si="157"/>
        <v>461.38000000000005</v>
      </c>
      <c r="N696" s="133">
        <f t="shared" si="158"/>
        <v>4420.38</v>
      </c>
      <c r="O696" s="134">
        <f t="shared" si="159"/>
        <v>43.896524329692156</v>
      </c>
      <c r="P696" s="134">
        <f t="shared" si="160"/>
        <v>1.1946972972972973</v>
      </c>
      <c r="R696" s="149">
        <f t="shared" si="161"/>
        <v>10.140529227089257</v>
      </c>
      <c r="S696" s="140">
        <f t="shared" si="162"/>
        <v>44.031281032770607</v>
      </c>
      <c r="T696" s="151">
        <f t="shared" si="163"/>
        <v>-8.0952036514917447E-3</v>
      </c>
    </row>
    <row r="697" spans="1:20" ht="14.45" x14ac:dyDescent="0.3">
      <c r="A697" s="60" t="s">
        <v>134</v>
      </c>
      <c r="B697" s="60" t="s">
        <v>13</v>
      </c>
      <c r="C697" s="60" t="s">
        <v>7</v>
      </c>
      <c r="D697" s="60" t="s">
        <v>90</v>
      </c>
      <c r="E697" s="137">
        <v>40882</v>
      </c>
      <c r="F697" s="137"/>
      <c r="G697" s="92">
        <v>3062</v>
      </c>
      <c r="H697" s="138">
        <v>1006</v>
      </c>
      <c r="I697" s="138" t="s">
        <v>92</v>
      </c>
      <c r="J697" s="141">
        <f t="shared" si="154"/>
        <v>0.34</v>
      </c>
      <c r="K697" s="140">
        <f t="shared" si="155"/>
        <v>30.407149950347566</v>
      </c>
      <c r="L697" s="140">
        <f t="shared" si="156"/>
        <v>0.77239639639639646</v>
      </c>
      <c r="M697" s="133">
        <f t="shared" si="157"/>
        <v>342.04</v>
      </c>
      <c r="N697" s="133">
        <f t="shared" si="158"/>
        <v>3404.04</v>
      </c>
      <c r="O697" s="134">
        <f t="shared" si="159"/>
        <v>33.803773584905656</v>
      </c>
      <c r="P697" s="134">
        <f t="shared" si="160"/>
        <v>0.85867675675675681</v>
      </c>
      <c r="R697" s="149">
        <f t="shared" si="161"/>
        <v>12.970927917164477</v>
      </c>
      <c r="S697" s="140">
        <f t="shared" si="162"/>
        <v>33.903674280039723</v>
      </c>
      <c r="T697" s="151">
        <f t="shared" si="163"/>
        <v>6.9939975639260465E-2</v>
      </c>
    </row>
    <row r="698" spans="1:20" ht="14.45" x14ac:dyDescent="0.3">
      <c r="A698" s="60" t="s">
        <v>134</v>
      </c>
      <c r="B698" s="60" t="s">
        <v>14</v>
      </c>
      <c r="C698" s="60" t="s">
        <v>15</v>
      </c>
      <c r="D698" s="60" t="s">
        <v>90</v>
      </c>
      <c r="E698" s="137">
        <v>40882</v>
      </c>
      <c r="F698" s="137"/>
      <c r="G698" s="92">
        <v>3942</v>
      </c>
      <c r="H698" s="138">
        <v>866</v>
      </c>
      <c r="I698" s="138" t="s">
        <v>94</v>
      </c>
      <c r="J698" s="141">
        <f t="shared" si="154"/>
        <v>0.45</v>
      </c>
      <c r="K698" s="140">
        <f t="shared" si="155"/>
        <v>39.145978152929494</v>
      </c>
      <c r="L698" s="140">
        <f t="shared" si="156"/>
        <v>0.99437837837837839</v>
      </c>
      <c r="M698" s="133">
        <f t="shared" si="157"/>
        <v>389.7</v>
      </c>
      <c r="N698" s="133">
        <f t="shared" si="158"/>
        <v>4331.7</v>
      </c>
      <c r="O698" s="134">
        <f t="shared" si="159"/>
        <v>43.015888778550149</v>
      </c>
      <c r="P698" s="134">
        <f t="shared" si="160"/>
        <v>1.092681081081081</v>
      </c>
      <c r="R698" s="149">
        <f t="shared" si="161"/>
        <v>8.4600708094005217</v>
      </c>
      <c r="S698" s="140">
        <f t="shared" si="162"/>
        <v>43.101886792452831</v>
      </c>
      <c r="T698" s="151">
        <f t="shared" si="163"/>
        <v>3.5857423108683006E-2</v>
      </c>
    </row>
    <row r="699" spans="1:20" ht="14.45" x14ac:dyDescent="0.3">
      <c r="A699" s="60" t="s">
        <v>134</v>
      </c>
      <c r="B699" s="60" t="s">
        <v>16</v>
      </c>
      <c r="C699" s="60" t="s">
        <v>17</v>
      </c>
      <c r="D699" s="60" t="s">
        <v>90</v>
      </c>
      <c r="E699" s="137">
        <v>40882</v>
      </c>
      <c r="F699" s="137"/>
      <c r="G699" s="92">
        <v>1934</v>
      </c>
      <c r="H699" s="138">
        <v>213</v>
      </c>
      <c r="I699" s="138" t="s">
        <v>92</v>
      </c>
      <c r="J699" s="141">
        <f t="shared" si="154"/>
        <v>0.34</v>
      </c>
      <c r="K699" s="140">
        <f t="shared" si="155"/>
        <v>19.20556107249255</v>
      </c>
      <c r="L699" s="140">
        <f t="shared" si="156"/>
        <v>0.48785585585585589</v>
      </c>
      <c r="M699" s="133">
        <f t="shared" si="157"/>
        <v>72.42</v>
      </c>
      <c r="N699" s="133">
        <f t="shared" si="158"/>
        <v>2006.42</v>
      </c>
      <c r="O699" s="134">
        <f t="shared" si="159"/>
        <v>19.92472691161867</v>
      </c>
      <c r="P699" s="134">
        <f t="shared" si="160"/>
        <v>0.50612396396396397</v>
      </c>
      <c r="R699" s="149">
        <f t="shared" si="161"/>
        <v>6.4075095460331077</v>
      </c>
      <c r="S699" s="140">
        <f t="shared" si="162"/>
        <v>19.945878848063554</v>
      </c>
      <c r="T699" s="151">
        <f t="shared" si="163"/>
        <v>4.4362868715650317E-2</v>
      </c>
    </row>
    <row r="700" spans="1:20" ht="14.45" x14ac:dyDescent="0.3">
      <c r="A700" s="60" t="s">
        <v>134</v>
      </c>
      <c r="B700" s="60" t="s">
        <v>18</v>
      </c>
      <c r="C700" s="60" t="s">
        <v>19</v>
      </c>
      <c r="D700" s="60" t="s">
        <v>90</v>
      </c>
      <c r="E700" s="137">
        <v>40882</v>
      </c>
      <c r="F700" s="137"/>
      <c r="G700" s="92">
        <v>3381</v>
      </c>
      <c r="H700" s="138">
        <v>650</v>
      </c>
      <c r="I700" s="138" t="s">
        <v>94</v>
      </c>
      <c r="J700" s="141">
        <f t="shared" si="154"/>
        <v>0.45</v>
      </c>
      <c r="K700" s="140">
        <f t="shared" si="155"/>
        <v>33.574975173783514</v>
      </c>
      <c r="L700" s="140">
        <f t="shared" si="156"/>
        <v>0.8528648648648649</v>
      </c>
      <c r="M700" s="133">
        <f t="shared" si="157"/>
        <v>292.5</v>
      </c>
      <c r="N700" s="133">
        <f t="shared" si="158"/>
        <v>3673.5</v>
      </c>
      <c r="O700" s="134">
        <f t="shared" si="159"/>
        <v>36.479642502482619</v>
      </c>
      <c r="P700" s="134">
        <f t="shared" si="160"/>
        <v>0.92664864864864871</v>
      </c>
      <c r="R700" s="149">
        <f t="shared" si="161"/>
        <v>8.9574373424291753</v>
      </c>
      <c r="S700" s="140">
        <f t="shared" si="162"/>
        <v>36.544190665342597</v>
      </c>
      <c r="T700" s="151">
        <f t="shared" si="163"/>
        <v>4.5801165158906754E-2</v>
      </c>
    </row>
    <row r="701" spans="1:20" ht="14.45" x14ac:dyDescent="0.3">
      <c r="A701" s="60" t="s">
        <v>134</v>
      </c>
      <c r="B701" s="60" t="s">
        <v>18</v>
      </c>
      <c r="C701" s="60" t="s">
        <v>20</v>
      </c>
      <c r="D701" s="60" t="s">
        <v>90</v>
      </c>
      <c r="E701" s="137">
        <v>40882</v>
      </c>
      <c r="F701" s="137"/>
      <c r="G701" s="92">
        <v>2833</v>
      </c>
      <c r="H701" s="138">
        <v>417</v>
      </c>
      <c r="I701" s="138" t="s">
        <v>94</v>
      </c>
      <c r="J701" s="141">
        <f t="shared" si="154"/>
        <v>0.45</v>
      </c>
      <c r="K701" s="140">
        <f t="shared" si="155"/>
        <v>28.133068520357497</v>
      </c>
      <c r="L701" s="140">
        <f t="shared" si="156"/>
        <v>0.71463063063063059</v>
      </c>
      <c r="M701" s="133">
        <f t="shared" si="157"/>
        <v>187.65</v>
      </c>
      <c r="N701" s="133">
        <f t="shared" si="158"/>
        <v>3020.65</v>
      </c>
      <c r="O701" s="134">
        <f t="shared" si="159"/>
        <v>29.996524329692154</v>
      </c>
      <c r="P701" s="134">
        <f t="shared" si="160"/>
        <v>0.7619657657657658</v>
      </c>
      <c r="R701" s="149">
        <f t="shared" si="161"/>
        <v>5.1542336358477936</v>
      </c>
      <c r="S701" s="140">
        <f t="shared" si="162"/>
        <v>30.037934458788481</v>
      </c>
      <c r="T701" s="151">
        <f t="shared" si="163"/>
        <v>1.9449902430310972E-2</v>
      </c>
    </row>
    <row r="702" spans="1:20" ht="14.45" x14ac:dyDescent="0.3">
      <c r="A702" s="60" t="s">
        <v>134</v>
      </c>
      <c r="B702" s="60" t="s">
        <v>16</v>
      </c>
      <c r="C702" s="60" t="s">
        <v>21</v>
      </c>
      <c r="D702" s="60" t="s">
        <v>90</v>
      </c>
      <c r="E702" s="137">
        <v>40882</v>
      </c>
      <c r="F702" s="137"/>
      <c r="G702" s="92">
        <v>3074</v>
      </c>
      <c r="H702" s="138">
        <v>626</v>
      </c>
      <c r="I702" s="138" t="s">
        <v>92</v>
      </c>
      <c r="J702" s="141">
        <f t="shared" si="154"/>
        <v>0.34</v>
      </c>
      <c r="K702" s="140">
        <f t="shared" si="155"/>
        <v>30.526315789473685</v>
      </c>
      <c r="L702" s="140">
        <f t="shared" si="156"/>
        <v>0.77542342342342341</v>
      </c>
      <c r="M702" s="133">
        <f t="shared" si="157"/>
        <v>212.84</v>
      </c>
      <c r="N702" s="133">
        <f t="shared" si="158"/>
        <v>3286.84</v>
      </c>
      <c r="O702" s="134">
        <f t="shared" si="159"/>
        <v>32.639920556107249</v>
      </c>
      <c r="P702" s="134">
        <f t="shared" si="160"/>
        <v>0.82911279279279282</v>
      </c>
      <c r="R702" s="149">
        <f t="shared" si="161"/>
        <v>7.3008618438234585</v>
      </c>
      <c r="S702" s="140">
        <f t="shared" si="162"/>
        <v>32.702085402184707</v>
      </c>
      <c r="T702" s="151">
        <f t="shared" si="163"/>
        <v>3.7591189512444778E-2</v>
      </c>
    </row>
    <row r="703" spans="1:20" ht="14.45" x14ac:dyDescent="0.3">
      <c r="A703" s="60" t="s">
        <v>134</v>
      </c>
      <c r="B703" s="60" t="s">
        <v>16</v>
      </c>
      <c r="C703" s="60" t="s">
        <v>6</v>
      </c>
      <c r="D703" s="60" t="s">
        <v>90</v>
      </c>
      <c r="E703" s="137">
        <v>40882</v>
      </c>
      <c r="F703" s="137"/>
      <c r="G703" s="92">
        <v>4985</v>
      </c>
      <c r="H703" s="138">
        <v>1823</v>
      </c>
      <c r="I703" s="138" t="s">
        <v>92</v>
      </c>
      <c r="J703" s="141">
        <f t="shared" si="154"/>
        <v>0.34</v>
      </c>
      <c r="K703" s="140">
        <f t="shared" si="155"/>
        <v>49.503475670307843</v>
      </c>
      <c r="L703" s="140">
        <f t="shared" si="156"/>
        <v>1.2574774774774775</v>
      </c>
      <c r="M703" s="133">
        <f t="shared" si="157"/>
        <v>619.82000000000005</v>
      </c>
      <c r="N703" s="133">
        <f t="shared" si="158"/>
        <v>5604.82</v>
      </c>
      <c r="O703" s="134">
        <f t="shared" si="159"/>
        <v>55.658589870903668</v>
      </c>
      <c r="P703" s="134">
        <f t="shared" si="160"/>
        <v>1.4138284684684683</v>
      </c>
      <c r="R703" s="149">
        <f t="shared" si="161"/>
        <v>18.330025756871994</v>
      </c>
      <c r="S703" s="140">
        <f t="shared" si="162"/>
        <v>55.839622641509436</v>
      </c>
      <c r="T703" s="151">
        <f t="shared" si="163"/>
        <v>1.836161687993787E-2</v>
      </c>
    </row>
    <row r="704" spans="1:20" ht="14.45" x14ac:dyDescent="0.3">
      <c r="A704" s="60" t="s">
        <v>22</v>
      </c>
      <c r="B704" s="60" t="s">
        <v>23</v>
      </c>
      <c r="C704" s="60" t="s">
        <v>7</v>
      </c>
      <c r="D704" s="60" t="s">
        <v>90</v>
      </c>
      <c r="E704" s="137">
        <v>40882</v>
      </c>
      <c r="F704" s="137"/>
      <c r="G704" s="92">
        <v>3489</v>
      </c>
      <c r="H704" s="138">
        <v>1295</v>
      </c>
      <c r="I704" s="138" t="s">
        <v>95</v>
      </c>
      <c r="J704" s="141">
        <f t="shared" si="154"/>
        <v>0.28749999999999998</v>
      </c>
      <c r="K704" s="140">
        <f t="shared" si="155"/>
        <v>34.647467725918567</v>
      </c>
      <c r="L704" s="140">
        <f t="shared" si="156"/>
        <v>0.942972972972973</v>
      </c>
      <c r="M704" s="133">
        <f t="shared" si="157"/>
        <v>372.31249999999994</v>
      </c>
      <c r="N704" s="133">
        <f t="shared" si="158"/>
        <v>3861.3125</v>
      </c>
      <c r="O704" s="134">
        <f t="shared" si="159"/>
        <v>38.344712015888774</v>
      </c>
      <c r="P704" s="134">
        <f t="shared" si="160"/>
        <v>1.043597972972973</v>
      </c>
      <c r="R704" s="149">
        <f t="shared" si="161"/>
        <v>8.0207519577351718</v>
      </c>
      <c r="S704" s="140">
        <f t="shared" si="162"/>
        <v>37.789584574644152</v>
      </c>
      <c r="T704" s="151">
        <f t="shared" si="163"/>
        <v>4.3712712615203264E-2</v>
      </c>
    </row>
    <row r="705" spans="1:20" ht="14.45" x14ac:dyDescent="0.3">
      <c r="A705" s="60" t="s">
        <v>22</v>
      </c>
      <c r="B705" s="60" t="s">
        <v>14</v>
      </c>
      <c r="C705" s="60" t="s">
        <v>24</v>
      </c>
      <c r="D705" s="60" t="s">
        <v>90</v>
      </c>
      <c r="E705" s="137">
        <v>40882</v>
      </c>
      <c r="F705" s="137"/>
      <c r="G705" s="92">
        <v>3497</v>
      </c>
      <c r="H705" s="138">
        <v>615</v>
      </c>
      <c r="I705" s="138" t="s">
        <v>94</v>
      </c>
      <c r="J705" s="141">
        <f t="shared" si="154"/>
        <v>0.45</v>
      </c>
      <c r="K705" s="140">
        <f t="shared" si="155"/>
        <v>34.726911618669313</v>
      </c>
      <c r="L705" s="140">
        <f t="shared" si="156"/>
        <v>0.94513513513513514</v>
      </c>
      <c r="M705" s="133">
        <f t="shared" si="157"/>
        <v>276.75</v>
      </c>
      <c r="N705" s="133">
        <f t="shared" si="158"/>
        <v>3773.75</v>
      </c>
      <c r="O705" s="134">
        <f t="shared" si="159"/>
        <v>37.475173783515395</v>
      </c>
      <c r="P705" s="134">
        <f t="shared" si="160"/>
        <v>1.0199324324324324</v>
      </c>
      <c r="R705" s="149">
        <f t="shared" si="161"/>
        <v>22.244537665408725</v>
      </c>
      <c r="S705" s="140">
        <f t="shared" si="162"/>
        <v>37.536246276067537</v>
      </c>
      <c r="T705" s="151">
        <f t="shared" si="163"/>
        <v>0.17153527871189733</v>
      </c>
    </row>
    <row r="706" spans="1:20" ht="14.65" x14ac:dyDescent="0.35">
      <c r="A706" s="60" t="s">
        <v>22</v>
      </c>
      <c r="B706" s="60" t="s">
        <v>18</v>
      </c>
      <c r="C706" s="60" t="s">
        <v>15</v>
      </c>
      <c r="D706" s="60" t="s">
        <v>90</v>
      </c>
      <c r="E706" s="137">
        <v>40882</v>
      </c>
      <c r="F706" s="137"/>
      <c r="G706" s="92">
        <v>4453</v>
      </c>
      <c r="H706" s="138">
        <v>872</v>
      </c>
      <c r="I706" s="138" t="s">
        <v>94</v>
      </c>
      <c r="J706" s="141">
        <f t="shared" si="154"/>
        <v>0.45</v>
      </c>
      <c r="K706" s="140">
        <f t="shared" si="155"/>
        <v>44.220456802383318</v>
      </c>
      <c r="L706" s="140">
        <f t="shared" si="156"/>
        <v>1.2035135135135135</v>
      </c>
      <c r="M706" s="133">
        <f t="shared" si="157"/>
        <v>392.40000000000003</v>
      </c>
      <c r="N706" s="133">
        <f t="shared" si="158"/>
        <v>4845.3999999999996</v>
      </c>
      <c r="O706" s="134">
        <f t="shared" si="159"/>
        <v>48.117179741807341</v>
      </c>
      <c r="P706" s="134">
        <f t="shared" si="160"/>
        <v>1.3095675675675675</v>
      </c>
      <c r="R706" s="149">
        <f t="shared" si="161"/>
        <v>19.185131252705734</v>
      </c>
      <c r="S706" s="140">
        <f t="shared" si="162"/>
        <v>48.203773584905662</v>
      </c>
      <c r="T706" s="151">
        <f t="shared" si="163"/>
        <v>0.13863798431186125</v>
      </c>
    </row>
    <row r="707" spans="1:20" ht="14.65" x14ac:dyDescent="0.35">
      <c r="A707" s="60" t="s">
        <v>22</v>
      </c>
      <c r="B707" s="60" t="s">
        <v>18</v>
      </c>
      <c r="C707" s="60" t="s">
        <v>24</v>
      </c>
      <c r="D707" s="60" t="s">
        <v>90</v>
      </c>
      <c r="E707" s="137">
        <v>40882</v>
      </c>
      <c r="F707" s="137"/>
      <c r="G707" s="92">
        <v>3189</v>
      </c>
      <c r="H707" s="138">
        <v>417</v>
      </c>
      <c r="I707" s="138" t="s">
        <v>94</v>
      </c>
      <c r="J707" s="141">
        <f t="shared" si="154"/>
        <v>0.45</v>
      </c>
      <c r="K707" s="140">
        <f t="shared" si="155"/>
        <v>31.668321747765638</v>
      </c>
      <c r="L707" s="140">
        <f t="shared" si="156"/>
        <v>0.86189189189189186</v>
      </c>
      <c r="M707" s="133">
        <f t="shared" si="157"/>
        <v>187.65</v>
      </c>
      <c r="N707" s="133">
        <f t="shared" si="158"/>
        <v>3376.65</v>
      </c>
      <c r="O707" s="134">
        <f t="shared" si="159"/>
        <v>33.531777557100298</v>
      </c>
      <c r="P707" s="134">
        <f t="shared" si="160"/>
        <v>0.91260810810810811</v>
      </c>
      <c r="R707" s="149">
        <f t="shared" si="161"/>
        <v>23.886938240894629</v>
      </c>
      <c r="S707" s="140">
        <f t="shared" si="162"/>
        <v>33.573187686196626</v>
      </c>
      <c r="T707" s="151">
        <f t="shared" si="163"/>
        <v>0.19882557772569198</v>
      </c>
    </row>
    <row r="708" spans="1:20" ht="14.65" x14ac:dyDescent="0.35">
      <c r="A708" s="60" t="s">
        <v>22</v>
      </c>
      <c r="B708" s="60" t="s">
        <v>13</v>
      </c>
      <c r="C708" s="60" t="s">
        <v>7</v>
      </c>
      <c r="D708" s="60" t="s">
        <v>90</v>
      </c>
      <c r="E708" s="137">
        <v>40882</v>
      </c>
      <c r="F708" s="137"/>
      <c r="G708" s="92">
        <v>3406</v>
      </c>
      <c r="H708" s="138">
        <v>1006</v>
      </c>
      <c r="I708" s="138" t="s">
        <v>92</v>
      </c>
      <c r="J708" s="141">
        <f t="shared" si="154"/>
        <v>0.34</v>
      </c>
      <c r="K708" s="140">
        <f t="shared" si="155"/>
        <v>33.823237338629589</v>
      </c>
      <c r="L708" s="140">
        <f t="shared" si="156"/>
        <v>0.92054054054054057</v>
      </c>
      <c r="M708" s="133">
        <f t="shared" si="157"/>
        <v>342.04</v>
      </c>
      <c r="N708" s="133">
        <f t="shared" si="158"/>
        <v>3748.04</v>
      </c>
      <c r="O708" s="134">
        <f t="shared" si="159"/>
        <v>37.219860973187686</v>
      </c>
      <c r="P708" s="134">
        <f t="shared" si="160"/>
        <v>1.0129837837837838</v>
      </c>
      <c r="R708" s="149">
        <f t="shared" si="161"/>
        <v>11.64184439413798</v>
      </c>
      <c r="S708" s="140">
        <f t="shared" si="162"/>
        <v>37.319761668321746</v>
      </c>
      <c r="T708" s="151">
        <f t="shared" si="163"/>
        <v>3.8648411114734715E-2</v>
      </c>
    </row>
    <row r="709" spans="1:20" ht="14.65" x14ac:dyDescent="0.35">
      <c r="A709" s="60" t="s">
        <v>1</v>
      </c>
      <c r="B709" s="60" t="s">
        <v>25</v>
      </c>
      <c r="C709" s="60" t="s">
        <v>26</v>
      </c>
      <c r="D709" s="60" t="s">
        <v>91</v>
      </c>
      <c r="E709" s="137">
        <v>40882</v>
      </c>
      <c r="F709" s="137"/>
      <c r="G709" s="92">
        <v>3239</v>
      </c>
      <c r="H709" s="138">
        <v>880</v>
      </c>
      <c r="I709" s="138" t="s">
        <v>93</v>
      </c>
      <c r="J709" s="141">
        <f t="shared" si="154"/>
        <v>0.33</v>
      </c>
      <c r="K709" s="140">
        <f t="shared" si="155"/>
        <v>32.164846077457796</v>
      </c>
      <c r="L709" s="140">
        <f t="shared" si="156"/>
        <v>0.87540540540540546</v>
      </c>
      <c r="M709" s="133">
        <f t="shared" si="157"/>
        <v>290.40000000000003</v>
      </c>
      <c r="N709" s="133">
        <f t="shared" si="158"/>
        <v>3529.4</v>
      </c>
      <c r="O709" s="134">
        <f t="shared" si="159"/>
        <v>35.048659384309829</v>
      </c>
      <c r="P709" s="134">
        <f t="shared" si="160"/>
        <v>0.95389189189189194</v>
      </c>
      <c r="R709" s="149">
        <f t="shared" si="161"/>
        <v>7.8403813248594467</v>
      </c>
      <c r="S709" s="140">
        <f t="shared" si="162"/>
        <v>35.136047666335649</v>
      </c>
      <c r="T709" s="151">
        <f t="shared" si="163"/>
        <v>-7.406160579026988E-3</v>
      </c>
    </row>
    <row r="710" spans="1:20" ht="14.65" x14ac:dyDescent="0.35">
      <c r="A710" s="60" t="s">
        <v>1</v>
      </c>
      <c r="B710" s="60" t="s">
        <v>2</v>
      </c>
      <c r="C710" s="60" t="s">
        <v>9</v>
      </c>
      <c r="D710" s="60" t="s">
        <v>91</v>
      </c>
      <c r="E710" s="137">
        <v>40882</v>
      </c>
      <c r="F710" s="137"/>
      <c r="G710" s="92">
        <v>3144</v>
      </c>
      <c r="H710" s="138">
        <v>685</v>
      </c>
      <c r="I710" s="138" t="s">
        <v>93</v>
      </c>
      <c r="J710" s="141">
        <f t="shared" si="154"/>
        <v>0.33</v>
      </c>
      <c r="K710" s="140">
        <f t="shared" si="155"/>
        <v>31.221449851042699</v>
      </c>
      <c r="L710" s="140">
        <f t="shared" si="156"/>
        <v>0.84972972972972971</v>
      </c>
      <c r="M710" s="133">
        <f t="shared" si="157"/>
        <v>226.05</v>
      </c>
      <c r="N710" s="133">
        <f t="shared" si="158"/>
        <v>3370.05</v>
      </c>
      <c r="O710" s="134">
        <f t="shared" si="159"/>
        <v>33.466236345580931</v>
      </c>
      <c r="P710" s="134">
        <f t="shared" si="160"/>
        <v>0.91082432432432436</v>
      </c>
      <c r="R710" s="149">
        <f t="shared" si="161"/>
        <v>5.90647685490715</v>
      </c>
      <c r="S710" s="140">
        <f t="shared" si="162"/>
        <v>33.53426017874876</v>
      </c>
      <c r="T710" s="151">
        <f t="shared" si="163"/>
        <v>-6.0486541376618685E-3</v>
      </c>
    </row>
    <row r="711" spans="1:20" ht="14.65" x14ac:dyDescent="0.35">
      <c r="A711" s="60" t="s">
        <v>1</v>
      </c>
      <c r="B711" s="60" t="s">
        <v>27</v>
      </c>
      <c r="C711" s="60" t="s">
        <v>28</v>
      </c>
      <c r="D711" s="60" t="s">
        <v>91</v>
      </c>
      <c r="E711" s="137">
        <v>40882</v>
      </c>
      <c r="F711" s="137"/>
      <c r="G711" s="92">
        <v>3645</v>
      </c>
      <c r="H711" s="138">
        <v>812</v>
      </c>
      <c r="I711" s="138" t="s">
        <v>94</v>
      </c>
      <c r="J711" s="141">
        <f t="shared" si="154"/>
        <v>0.45</v>
      </c>
      <c r="K711" s="140">
        <f t="shared" si="155"/>
        <v>36.196623634558094</v>
      </c>
      <c r="L711" s="140">
        <f t="shared" si="156"/>
        <v>0.98513513513513518</v>
      </c>
      <c r="M711" s="133">
        <f t="shared" si="157"/>
        <v>365.40000000000003</v>
      </c>
      <c r="N711" s="133">
        <f t="shared" si="158"/>
        <v>4010.4</v>
      </c>
      <c r="O711" s="134">
        <f t="shared" si="159"/>
        <v>39.825223435948359</v>
      </c>
      <c r="P711" s="134">
        <f t="shared" si="160"/>
        <v>1.0838918918918918</v>
      </c>
      <c r="R711" s="149">
        <f t="shared" si="161"/>
        <v>7.9155275224420452</v>
      </c>
      <c r="S711" s="140">
        <f t="shared" si="162"/>
        <v>39.905858987090362</v>
      </c>
      <c r="T711" s="151">
        <f t="shared" si="163"/>
        <v>3.0312250018802001E-2</v>
      </c>
    </row>
    <row r="712" spans="1:20" ht="14.65" x14ac:dyDescent="0.35">
      <c r="A712" s="60" t="s">
        <v>1</v>
      </c>
      <c r="B712" s="60" t="s">
        <v>4</v>
      </c>
      <c r="C712" s="60" t="s">
        <v>26</v>
      </c>
      <c r="D712" s="60" t="s">
        <v>91</v>
      </c>
      <c r="E712" s="137">
        <v>40882</v>
      </c>
      <c r="F712" s="137"/>
      <c r="G712" s="92">
        <v>4702</v>
      </c>
      <c r="H712" s="138">
        <v>1520</v>
      </c>
      <c r="I712" s="138" t="s">
        <v>93</v>
      </c>
      <c r="J712" s="141">
        <f t="shared" si="154"/>
        <v>0.33</v>
      </c>
      <c r="K712" s="140">
        <f t="shared" si="155"/>
        <v>46.693147964250244</v>
      </c>
      <c r="L712" s="140">
        <f t="shared" si="156"/>
        <v>1.2708108108108107</v>
      </c>
      <c r="M712" s="133">
        <f t="shared" si="157"/>
        <v>501.6</v>
      </c>
      <c r="N712" s="133">
        <f t="shared" si="158"/>
        <v>5203.6000000000004</v>
      </c>
      <c r="O712" s="134">
        <f t="shared" si="159"/>
        <v>51.67428003972195</v>
      </c>
      <c r="P712" s="134">
        <f t="shared" si="160"/>
        <v>1.4063783783783785</v>
      </c>
      <c r="R712" s="149">
        <f t="shared" si="161"/>
        <v>7.7305287565732295</v>
      </c>
      <c r="S712" s="140">
        <f t="shared" si="162"/>
        <v>51.825223435948352</v>
      </c>
      <c r="T712" s="151">
        <f t="shared" si="163"/>
        <v>-8.6619557784364254E-3</v>
      </c>
    </row>
    <row r="713" spans="1:20" ht="14.65" x14ac:dyDescent="0.35">
      <c r="A713" s="60" t="s">
        <v>1</v>
      </c>
      <c r="B713" s="60" t="s">
        <v>4</v>
      </c>
      <c r="C713" s="60" t="s">
        <v>9</v>
      </c>
      <c r="D713" s="60" t="s">
        <v>91</v>
      </c>
      <c r="E713" s="137">
        <v>40882</v>
      </c>
      <c r="F713" s="137"/>
      <c r="G713" s="92">
        <f>2856+2889</f>
        <v>5745</v>
      </c>
      <c r="H713" s="138">
        <v>1583</v>
      </c>
      <c r="I713" s="138" t="s">
        <v>93</v>
      </c>
      <c r="J713" s="141">
        <f t="shared" si="154"/>
        <v>0.33</v>
      </c>
      <c r="K713" s="140">
        <f t="shared" si="155"/>
        <v>57.050645481628599</v>
      </c>
      <c r="L713" s="140">
        <f t="shared" si="156"/>
        <v>1.5527027027027027</v>
      </c>
      <c r="M713" s="133">
        <f t="shared" si="157"/>
        <v>522.39</v>
      </c>
      <c r="N713" s="133">
        <f t="shared" si="158"/>
        <v>6267.39</v>
      </c>
      <c r="O713" s="134">
        <f t="shared" si="159"/>
        <v>62.238232373386296</v>
      </c>
      <c r="P713" s="134">
        <f t="shared" si="160"/>
        <v>1.6938891891891892</v>
      </c>
      <c r="R713" s="149">
        <f t="shared" si="161"/>
        <v>8.5416457401743529</v>
      </c>
      <c r="S713" s="140">
        <f t="shared" si="162"/>
        <v>62.395431976166833</v>
      </c>
      <c r="T713" s="151">
        <f t="shared" si="163"/>
        <v>2.7412301117184512E-3</v>
      </c>
    </row>
    <row r="714" spans="1:20" ht="14.65" x14ac:dyDescent="0.35">
      <c r="A714" s="60" t="s">
        <v>1</v>
      </c>
      <c r="B714" s="60" t="s">
        <v>10</v>
      </c>
      <c r="C714" s="60" t="s">
        <v>26</v>
      </c>
      <c r="D714" s="60" t="s">
        <v>91</v>
      </c>
      <c r="E714" s="137">
        <v>40882</v>
      </c>
      <c r="F714" s="137"/>
      <c r="G714" s="92">
        <v>4727</v>
      </c>
      <c r="H714" s="138">
        <v>1599</v>
      </c>
      <c r="I714" s="138" t="s">
        <v>92</v>
      </c>
      <c r="J714" s="141">
        <f t="shared" si="154"/>
        <v>0.34</v>
      </c>
      <c r="K714" s="140">
        <f t="shared" si="155"/>
        <v>46.941410129096326</v>
      </c>
      <c r="L714" s="140">
        <f t="shared" si="156"/>
        <v>1.2775675675675675</v>
      </c>
      <c r="M714" s="133">
        <f t="shared" si="157"/>
        <v>543.66000000000008</v>
      </c>
      <c r="N714" s="133">
        <f t="shared" si="158"/>
        <v>5270.66</v>
      </c>
      <c r="O714" s="134">
        <f t="shared" si="159"/>
        <v>52.340218470705061</v>
      </c>
      <c r="P714" s="134">
        <f t="shared" si="160"/>
        <v>1.4245027027027026</v>
      </c>
      <c r="R714" s="149">
        <f t="shared" si="161"/>
        <v>9.1279141993457316</v>
      </c>
      <c r="S714" s="140">
        <f t="shared" si="162"/>
        <v>52.499006951340611</v>
      </c>
      <c r="T714" s="151">
        <f t="shared" si="163"/>
        <v>-8.0010658080157393E-3</v>
      </c>
    </row>
    <row r="715" spans="1:20" ht="14.65" x14ac:dyDescent="0.35">
      <c r="A715" s="60" t="s">
        <v>134</v>
      </c>
      <c r="B715" s="60" t="s">
        <v>23</v>
      </c>
      <c r="C715" s="60" t="s">
        <v>26</v>
      </c>
      <c r="D715" s="60" t="s">
        <v>91</v>
      </c>
      <c r="E715" s="137">
        <v>40882</v>
      </c>
      <c r="F715" s="137"/>
      <c r="G715" s="92">
        <v>4800</v>
      </c>
      <c r="H715" s="138">
        <v>1851</v>
      </c>
      <c r="I715" s="138" t="s">
        <v>93</v>
      </c>
      <c r="J715" s="141">
        <f t="shared" si="154"/>
        <v>0.33</v>
      </c>
      <c r="K715" s="140">
        <f t="shared" si="155"/>
        <v>47.666335650446868</v>
      </c>
      <c r="L715" s="140">
        <f t="shared" si="156"/>
        <v>1.2108108108108109</v>
      </c>
      <c r="M715" s="133">
        <f t="shared" si="157"/>
        <v>610.83000000000004</v>
      </c>
      <c r="N715" s="133">
        <f t="shared" si="158"/>
        <v>5410.83</v>
      </c>
      <c r="O715" s="134">
        <f t="shared" si="159"/>
        <v>53.732174776564051</v>
      </c>
      <c r="P715" s="134">
        <f t="shared" si="160"/>
        <v>1.364894054054054</v>
      </c>
      <c r="R715" s="149">
        <f t="shared" si="161"/>
        <v>8.8378464274076372</v>
      </c>
      <c r="S715" s="140">
        <f t="shared" si="162"/>
        <v>53.915988083416089</v>
      </c>
      <c r="T715" s="151">
        <f t="shared" si="163"/>
        <v>1.2017066583160485E-2</v>
      </c>
    </row>
    <row r="716" spans="1:20" ht="14.65" x14ac:dyDescent="0.35">
      <c r="A716" s="60" t="s">
        <v>134</v>
      </c>
      <c r="B716" s="60" t="s">
        <v>8</v>
      </c>
      <c r="C716" s="60" t="s">
        <v>29</v>
      </c>
      <c r="D716" s="60" t="s">
        <v>91</v>
      </c>
      <c r="E716" s="137">
        <v>40882</v>
      </c>
      <c r="F716" s="137"/>
      <c r="G716" s="92">
        <v>4760</v>
      </c>
      <c r="H716" s="138">
        <v>1695</v>
      </c>
      <c r="I716" s="138" t="s">
        <v>93</v>
      </c>
      <c r="J716" s="141">
        <f t="shared" si="154"/>
        <v>0.33</v>
      </c>
      <c r="K716" s="140">
        <f t="shared" si="155"/>
        <v>47.269116186693147</v>
      </c>
      <c r="L716" s="140">
        <f t="shared" si="156"/>
        <v>1.2007207207207207</v>
      </c>
      <c r="M716" s="133">
        <f t="shared" si="157"/>
        <v>559.35</v>
      </c>
      <c r="N716" s="133">
        <f t="shared" si="158"/>
        <v>5319.35</v>
      </c>
      <c r="O716" s="134">
        <f t="shared" si="159"/>
        <v>52.823733862959287</v>
      </c>
      <c r="P716" s="134">
        <f t="shared" si="160"/>
        <v>1.3418180180180181</v>
      </c>
      <c r="R716" s="149">
        <f t="shared" si="161"/>
        <v>8.5648100904136992</v>
      </c>
      <c r="S716" s="140">
        <f t="shared" si="162"/>
        <v>52.992055610724925</v>
      </c>
      <c r="T716" s="151">
        <f t="shared" si="163"/>
        <v>1.3128542000892196E-2</v>
      </c>
    </row>
    <row r="717" spans="1:20" ht="14.65" x14ac:dyDescent="0.35">
      <c r="A717" s="60" t="s">
        <v>134</v>
      </c>
      <c r="B717" s="60" t="s">
        <v>13</v>
      </c>
      <c r="C717" s="60" t="s">
        <v>7</v>
      </c>
      <c r="D717" s="60" t="s">
        <v>91</v>
      </c>
      <c r="E717" s="137">
        <v>40882</v>
      </c>
      <c r="F717" s="137"/>
      <c r="G717" s="92">
        <v>2877</v>
      </c>
      <c r="H717" s="138">
        <v>1006</v>
      </c>
      <c r="I717" s="138" t="s">
        <v>92</v>
      </c>
      <c r="J717" s="141">
        <f t="shared" si="154"/>
        <v>0.34</v>
      </c>
      <c r="K717" s="140">
        <f t="shared" si="155"/>
        <v>28.570009930486592</v>
      </c>
      <c r="L717" s="140">
        <f t="shared" si="156"/>
        <v>0.72572972972972971</v>
      </c>
      <c r="M717" s="133">
        <f t="shared" si="157"/>
        <v>342.04</v>
      </c>
      <c r="N717" s="133">
        <f t="shared" si="158"/>
        <v>3219.04</v>
      </c>
      <c r="O717" s="134">
        <f t="shared" si="159"/>
        <v>31.966633565044685</v>
      </c>
      <c r="P717" s="134">
        <f t="shared" si="160"/>
        <v>0.81201009009009006</v>
      </c>
      <c r="R717" s="149">
        <f t="shared" si="161"/>
        <v>11.842123549440631</v>
      </c>
      <c r="S717" s="140">
        <f t="shared" si="162"/>
        <v>32.066534260178749</v>
      </c>
      <c r="T717" s="151">
        <f t="shared" si="163"/>
        <v>5.6668026501508484E-2</v>
      </c>
    </row>
    <row r="718" spans="1:20" ht="14.65" x14ac:dyDescent="0.35">
      <c r="A718" s="60" t="s">
        <v>134</v>
      </c>
      <c r="B718" s="60" t="s">
        <v>30</v>
      </c>
      <c r="C718" s="60" t="s">
        <v>9</v>
      </c>
      <c r="D718" s="60" t="s">
        <v>91</v>
      </c>
      <c r="E718" s="137">
        <v>40882</v>
      </c>
      <c r="F718" s="137"/>
      <c r="G718" s="92">
        <v>3310</v>
      </c>
      <c r="H718" s="138">
        <v>988</v>
      </c>
      <c r="I718" s="138" t="s">
        <v>93</v>
      </c>
      <c r="J718" s="141">
        <f t="shared" si="154"/>
        <v>0.33</v>
      </c>
      <c r="K718" s="140">
        <f t="shared" si="155"/>
        <v>32.869910625620655</v>
      </c>
      <c r="L718" s="140">
        <f t="shared" si="156"/>
        <v>0.83495495495495498</v>
      </c>
      <c r="M718" s="133">
        <f t="shared" si="157"/>
        <v>326.04000000000002</v>
      </c>
      <c r="N718" s="133">
        <f t="shared" si="158"/>
        <v>3636.04</v>
      </c>
      <c r="O718" s="134">
        <f t="shared" si="159"/>
        <v>36.10764647467726</v>
      </c>
      <c r="P718" s="134">
        <f t="shared" si="160"/>
        <v>0.91719927927927924</v>
      </c>
      <c r="R718" s="149">
        <f t="shared" si="161"/>
        <v>9.0436889709939692</v>
      </c>
      <c r="S718" s="140">
        <f t="shared" si="162"/>
        <v>36.205759682224432</v>
      </c>
      <c r="T718" s="151">
        <f t="shared" si="163"/>
        <v>2.5413718232852434E-2</v>
      </c>
    </row>
    <row r="719" spans="1:20" ht="14.65" x14ac:dyDescent="0.35">
      <c r="A719" s="60" t="s">
        <v>134</v>
      </c>
      <c r="B719" s="60" t="s">
        <v>16</v>
      </c>
      <c r="C719" s="60" t="s">
        <v>11</v>
      </c>
      <c r="D719" s="60" t="s">
        <v>91</v>
      </c>
      <c r="E719" s="137">
        <v>40882</v>
      </c>
      <c r="F719" s="137"/>
      <c r="G719" s="92">
        <v>3430</v>
      </c>
      <c r="H719" s="138">
        <v>787</v>
      </c>
      <c r="I719" s="138" t="s">
        <v>92</v>
      </c>
      <c r="J719" s="141">
        <f t="shared" si="154"/>
        <v>0.34</v>
      </c>
      <c r="K719" s="140">
        <f t="shared" si="155"/>
        <v>34.061569016881826</v>
      </c>
      <c r="L719" s="140">
        <f t="shared" si="156"/>
        <v>0.86522522522522527</v>
      </c>
      <c r="M719" s="133">
        <f t="shared" si="157"/>
        <v>267.58000000000004</v>
      </c>
      <c r="N719" s="133">
        <f t="shared" si="158"/>
        <v>3697.58</v>
      </c>
      <c r="O719" s="134">
        <f t="shared" si="159"/>
        <v>36.718768619662363</v>
      </c>
      <c r="P719" s="134">
        <f t="shared" si="160"/>
        <v>0.93272288288288285</v>
      </c>
      <c r="R719" s="149">
        <f t="shared" si="161"/>
        <v>6.026839479268209</v>
      </c>
      <c r="S719" s="140">
        <f t="shared" si="162"/>
        <v>36.796921549155911</v>
      </c>
      <c r="T719" s="151">
        <f t="shared" si="163"/>
        <v>2.1788146490907989E-2</v>
      </c>
    </row>
    <row r="720" spans="1:20" ht="14.65" x14ac:dyDescent="0.35">
      <c r="A720" s="60" t="s">
        <v>134</v>
      </c>
      <c r="B720" s="60" t="s">
        <v>23</v>
      </c>
      <c r="C720" s="60" t="s">
        <v>29</v>
      </c>
      <c r="D720" s="60" t="s">
        <v>91</v>
      </c>
      <c r="E720" s="137">
        <v>40882</v>
      </c>
      <c r="F720" s="137"/>
      <c r="G720" s="92">
        <v>4800</v>
      </c>
      <c r="H720" s="138">
        <v>1836</v>
      </c>
      <c r="I720" s="138" t="s">
        <v>93</v>
      </c>
      <c r="J720" s="141">
        <f t="shared" si="154"/>
        <v>0.33</v>
      </c>
      <c r="K720" s="140">
        <f t="shared" si="155"/>
        <v>47.666335650446868</v>
      </c>
      <c r="L720" s="140">
        <f t="shared" si="156"/>
        <v>1.2108108108108109</v>
      </c>
      <c r="M720" s="133">
        <f t="shared" si="157"/>
        <v>605.88</v>
      </c>
      <c r="N720" s="133">
        <f t="shared" si="158"/>
        <v>5405.88</v>
      </c>
      <c r="O720" s="134">
        <f t="shared" si="159"/>
        <v>53.683018867924531</v>
      </c>
      <c r="P720" s="134">
        <f t="shared" si="160"/>
        <v>1.3636454054054055</v>
      </c>
      <c r="R720" s="149">
        <f t="shared" si="161"/>
        <v>8.8894081247884884</v>
      </c>
      <c r="S720" s="140">
        <f t="shared" si="162"/>
        <v>53.865342601787482</v>
      </c>
      <c r="T720" s="151">
        <f t="shared" si="163"/>
        <v>1.211347708291366E-2</v>
      </c>
    </row>
    <row r="721" spans="1:20" ht="14.65" x14ac:dyDescent="0.35">
      <c r="A721" s="60" t="s">
        <v>134</v>
      </c>
      <c r="B721" s="60" t="s">
        <v>31</v>
      </c>
      <c r="C721" s="60" t="s">
        <v>32</v>
      </c>
      <c r="D721" s="60" t="s">
        <v>91</v>
      </c>
      <c r="E721" s="137">
        <v>40882</v>
      </c>
      <c r="F721" s="137"/>
      <c r="G721" s="92">
        <v>4200</v>
      </c>
      <c r="H721" s="138">
        <v>1899</v>
      </c>
      <c r="I721" s="138" t="s">
        <v>93</v>
      </c>
      <c r="J721" s="141">
        <f t="shared" si="154"/>
        <v>0.33</v>
      </c>
      <c r="K721" s="140">
        <f t="shared" si="155"/>
        <v>41.708043694141011</v>
      </c>
      <c r="L721" s="140">
        <f t="shared" si="156"/>
        <v>1.0594594594594595</v>
      </c>
      <c r="M721" s="133">
        <f t="shared" si="157"/>
        <v>626.67000000000007</v>
      </c>
      <c r="N721" s="133">
        <f t="shared" si="158"/>
        <v>4826.67</v>
      </c>
      <c r="O721" s="134">
        <f t="shared" si="159"/>
        <v>47.931181727904665</v>
      </c>
      <c r="P721" s="134">
        <f t="shared" si="160"/>
        <v>1.2175383783783784</v>
      </c>
      <c r="R721" s="149">
        <f t="shared" si="161"/>
        <v>10.867707658595084</v>
      </c>
      <c r="S721" s="140">
        <f t="shared" si="162"/>
        <v>48.119761668321736</v>
      </c>
      <c r="T721" s="151">
        <f t="shared" si="163"/>
        <v>1.3178941293807034E-2</v>
      </c>
    </row>
    <row r="722" spans="1:20" ht="14.65" x14ac:dyDescent="0.35">
      <c r="A722" s="60" t="s">
        <v>22</v>
      </c>
      <c r="B722" s="60" t="s">
        <v>8</v>
      </c>
      <c r="C722" s="60" t="s">
        <v>29</v>
      </c>
      <c r="D722" s="60" t="s">
        <v>91</v>
      </c>
      <c r="E722" s="137">
        <v>40882</v>
      </c>
      <c r="F722" s="137"/>
      <c r="G722" s="92">
        <v>5040</v>
      </c>
      <c r="H722" s="138">
        <v>1695</v>
      </c>
      <c r="I722" s="138" t="s">
        <v>93</v>
      </c>
      <c r="J722" s="141">
        <f t="shared" si="154"/>
        <v>0.33</v>
      </c>
      <c r="K722" s="140">
        <f t="shared" si="155"/>
        <v>50.049652432969211</v>
      </c>
      <c r="L722" s="140">
        <f t="shared" si="156"/>
        <v>1.3621621621621622</v>
      </c>
      <c r="M722" s="133">
        <f t="shared" si="157"/>
        <v>559.35</v>
      </c>
      <c r="N722" s="133">
        <f t="shared" si="158"/>
        <v>5599.35</v>
      </c>
      <c r="O722" s="134">
        <f t="shared" si="159"/>
        <v>55.604270109235351</v>
      </c>
      <c r="P722" s="134">
        <f t="shared" si="160"/>
        <v>1.5133378378378379</v>
      </c>
      <c r="R722" s="149">
        <f t="shared" si="161"/>
        <v>9.7976351550091323</v>
      </c>
      <c r="S722" s="140">
        <f t="shared" si="162"/>
        <v>55.772591857000997</v>
      </c>
      <c r="T722" s="151">
        <f t="shared" si="163"/>
        <v>2.7281124534721091E-2</v>
      </c>
    </row>
    <row r="723" spans="1:20" ht="14.65" x14ac:dyDescent="0.35">
      <c r="A723" s="60" t="s">
        <v>22</v>
      </c>
      <c r="B723" s="60" t="s">
        <v>23</v>
      </c>
      <c r="C723" s="60" t="s">
        <v>26</v>
      </c>
      <c r="D723" s="60" t="s">
        <v>91</v>
      </c>
      <c r="E723" s="137">
        <v>40882</v>
      </c>
      <c r="F723" s="137"/>
      <c r="G723" s="92">
        <v>5030</v>
      </c>
      <c r="H723" s="138">
        <v>1851</v>
      </c>
      <c r="I723" s="138" t="s">
        <v>93</v>
      </c>
      <c r="J723" s="141">
        <f t="shared" si="154"/>
        <v>0.33</v>
      </c>
      <c r="K723" s="140">
        <f t="shared" si="155"/>
        <v>49.950347567030782</v>
      </c>
      <c r="L723" s="140">
        <f t="shared" si="156"/>
        <v>1.3594594594594596</v>
      </c>
      <c r="M723" s="133">
        <f t="shared" si="157"/>
        <v>610.83000000000004</v>
      </c>
      <c r="N723" s="133">
        <f t="shared" si="158"/>
        <v>5640.83</v>
      </c>
      <c r="O723" s="134">
        <f t="shared" si="159"/>
        <v>56.016186693147965</v>
      </c>
      <c r="P723" s="134">
        <f t="shared" si="160"/>
        <v>1.5245486486486486</v>
      </c>
      <c r="R723" s="149">
        <f t="shared" si="161"/>
        <v>10.14105352770498</v>
      </c>
      <c r="S723" s="140">
        <f t="shared" si="162"/>
        <v>56.20000000000001</v>
      </c>
      <c r="T723" s="151">
        <f t="shared" si="163"/>
        <v>2.6196447060402361E-2</v>
      </c>
    </row>
    <row r="724" spans="1:20" ht="14.65" x14ac:dyDescent="0.35">
      <c r="A724" s="60" t="s">
        <v>22</v>
      </c>
      <c r="B724" s="60" t="s">
        <v>33</v>
      </c>
      <c r="C724" s="60" t="s">
        <v>29</v>
      </c>
      <c r="D724" s="60" t="s">
        <v>91</v>
      </c>
      <c r="E724" s="137">
        <v>40882</v>
      </c>
      <c r="F724" s="137"/>
      <c r="G724" s="92">
        <v>4930</v>
      </c>
      <c r="H724" s="138">
        <v>1507</v>
      </c>
      <c r="I724" s="138" t="s">
        <v>93</v>
      </c>
      <c r="J724" s="141">
        <f t="shared" si="154"/>
        <v>0.33</v>
      </c>
      <c r="K724" s="140">
        <f t="shared" si="155"/>
        <v>48.957298907646475</v>
      </c>
      <c r="L724" s="140">
        <f t="shared" si="156"/>
        <v>1.3324324324324324</v>
      </c>
      <c r="M724" s="133">
        <f t="shared" si="157"/>
        <v>497.31</v>
      </c>
      <c r="N724" s="133">
        <f t="shared" si="158"/>
        <v>5427.31</v>
      </c>
      <c r="O724" s="134">
        <f t="shared" si="159"/>
        <v>53.89582919563059</v>
      </c>
      <c r="P724" s="134">
        <f t="shared" si="160"/>
        <v>1.4668405405405407</v>
      </c>
      <c r="R724" s="149">
        <f t="shared" si="161"/>
        <v>9.35058288772208</v>
      </c>
      <c r="S724" s="140">
        <f t="shared" si="162"/>
        <v>54.045481628599809</v>
      </c>
      <c r="T724" s="151">
        <f t="shared" si="163"/>
        <v>2.9274206207364983E-2</v>
      </c>
    </row>
    <row r="725" spans="1:20" ht="14.65" x14ac:dyDescent="0.35">
      <c r="A725" s="60" t="s">
        <v>22</v>
      </c>
      <c r="B725" s="60" t="s">
        <v>31</v>
      </c>
      <c r="C725" s="60" t="s">
        <v>7</v>
      </c>
      <c r="D725" s="60" t="s">
        <v>91</v>
      </c>
      <c r="E725" s="137">
        <v>40882</v>
      </c>
      <c r="F725" s="137"/>
      <c r="G725" s="92">
        <v>3710</v>
      </c>
      <c r="H725" s="138">
        <v>1160</v>
      </c>
      <c r="I725" s="138" t="s">
        <v>92</v>
      </c>
      <c r="J725" s="141">
        <f t="shared" si="154"/>
        <v>0.34</v>
      </c>
      <c r="K725" s="140">
        <f t="shared" si="155"/>
        <v>36.84210526315789</v>
      </c>
      <c r="L725" s="140">
        <f t="shared" si="156"/>
        <v>1.0027027027027027</v>
      </c>
      <c r="M725" s="133">
        <f t="shared" si="157"/>
        <v>394.40000000000003</v>
      </c>
      <c r="N725" s="133">
        <f t="shared" si="158"/>
        <v>4104.3999999999996</v>
      </c>
      <c r="O725" s="134">
        <f t="shared" si="159"/>
        <v>40.758689175769611</v>
      </c>
      <c r="P725" s="134">
        <f t="shared" si="160"/>
        <v>1.1092972972972972</v>
      </c>
      <c r="R725" s="149">
        <f t="shared" si="161"/>
        <v>9.6846606092998222</v>
      </c>
      <c r="S725" s="140">
        <f t="shared" si="162"/>
        <v>40.873882820258189</v>
      </c>
      <c r="T725" s="151">
        <f t="shared" si="163"/>
        <v>2.551325493322687E-2</v>
      </c>
    </row>
    <row r="726" spans="1:20" ht="14.65" x14ac:dyDescent="0.35">
      <c r="A726" s="60" t="s">
        <v>22</v>
      </c>
      <c r="B726" s="60" t="s">
        <v>14</v>
      </c>
      <c r="C726" s="60" t="s">
        <v>24</v>
      </c>
      <c r="D726" s="60" t="s">
        <v>91</v>
      </c>
      <c r="E726" s="137">
        <v>40882</v>
      </c>
      <c r="F726" s="137"/>
      <c r="G726" s="92">
        <v>2672</v>
      </c>
      <c r="H726" s="138">
        <v>615</v>
      </c>
      <c r="I726" s="138" t="s">
        <v>94</v>
      </c>
      <c r="J726" s="141">
        <f t="shared" si="154"/>
        <v>0.45</v>
      </c>
      <c r="K726" s="140">
        <f t="shared" si="155"/>
        <v>26.53426017874876</v>
      </c>
      <c r="L726" s="140">
        <f t="shared" si="156"/>
        <v>0.72216216216216211</v>
      </c>
      <c r="M726" s="133">
        <f t="shared" si="157"/>
        <v>276.75</v>
      </c>
      <c r="N726" s="133">
        <f t="shared" si="158"/>
        <v>2948.75</v>
      </c>
      <c r="O726" s="134">
        <f t="shared" si="159"/>
        <v>29.282522343594835</v>
      </c>
      <c r="P726" s="134">
        <f t="shared" si="160"/>
        <v>0.79695945945945945</v>
      </c>
      <c r="R726" s="149">
        <f t="shared" si="161"/>
        <v>9.1301049203382547</v>
      </c>
      <c r="S726" s="140">
        <f t="shared" si="162"/>
        <v>29.343594836146973</v>
      </c>
      <c r="T726" s="151">
        <f>(S726/S612)-1</f>
        <v>3.9926797937672731E-2</v>
      </c>
    </row>
    <row r="727" spans="1:20" ht="14.65" x14ac:dyDescent="0.35">
      <c r="A727" s="85" t="s">
        <v>22</v>
      </c>
      <c r="B727" s="85" t="s">
        <v>34</v>
      </c>
      <c r="C727" s="85" t="s">
        <v>26</v>
      </c>
      <c r="D727" s="85" t="s">
        <v>91</v>
      </c>
      <c r="E727" s="142">
        <v>40882</v>
      </c>
      <c r="F727" s="142"/>
      <c r="G727" s="105">
        <v>4520</v>
      </c>
      <c r="H727" s="143">
        <v>1637</v>
      </c>
      <c r="I727" s="143" t="s">
        <v>92</v>
      </c>
      <c r="J727" s="117">
        <f t="shared" si="154"/>
        <v>0.34</v>
      </c>
      <c r="K727" s="108">
        <f>G727/100.7</f>
        <v>44.885799404170804</v>
      </c>
      <c r="L727" s="108">
        <f t="shared" si="156"/>
        <v>1.2216216216216216</v>
      </c>
      <c r="M727" s="115">
        <f t="shared" si="157"/>
        <v>556.58000000000004</v>
      </c>
      <c r="N727" s="115">
        <f t="shared" si="158"/>
        <v>5076.58</v>
      </c>
      <c r="O727" s="116">
        <f t="shared" si="159"/>
        <v>50.412909632571996</v>
      </c>
      <c r="P727" s="116">
        <f t="shared" si="160"/>
        <v>1.3720486486486487</v>
      </c>
      <c r="Q727" s="106"/>
      <c r="R727" s="152">
        <f>((N727/N271)-1)*100</f>
        <v>4.7278953665882861</v>
      </c>
      <c r="S727" s="108">
        <f>AVERAGE(O651,O689,O727)</f>
        <v>50.575471698113205</v>
      </c>
      <c r="T727" s="153">
        <f>(S727/S613)-1</f>
        <v>-8.4984824601990194E-3</v>
      </c>
    </row>
    <row r="728" spans="1:20" ht="14.65" x14ac:dyDescent="0.35">
      <c r="A728" s="45" t="s">
        <v>1</v>
      </c>
      <c r="B728" s="45" t="s">
        <v>2</v>
      </c>
      <c r="C728" s="45" t="s">
        <v>3</v>
      </c>
      <c r="D728" s="45" t="s">
        <v>90</v>
      </c>
      <c r="E728" s="124">
        <v>40910</v>
      </c>
      <c r="G728" s="92">
        <v>2992</v>
      </c>
      <c r="H728">
        <v>506</v>
      </c>
      <c r="I728" t="s">
        <v>92</v>
      </c>
      <c r="J728" s="128">
        <f>IF(I728="BNSF",0.37,IF(I728="CN",0.322,IF(I728="CSX",0.5,0.38)))</f>
        <v>0.38</v>
      </c>
      <c r="K728" s="103">
        <f t="shared" ref="K728:K764" si="164">G728/100.7</f>
        <v>29.712015888778549</v>
      </c>
      <c r="L728" s="103">
        <f t="shared" si="156"/>
        <v>0.8086486486486486</v>
      </c>
      <c r="M728" s="133">
        <f t="shared" si="157"/>
        <v>192.28</v>
      </c>
      <c r="N728" s="133">
        <f t="shared" si="158"/>
        <v>3184.28</v>
      </c>
      <c r="O728" s="134">
        <f t="shared" si="159"/>
        <v>31.621449851042701</v>
      </c>
      <c r="P728" s="134">
        <f t="shared" si="160"/>
        <v>0.86061621621621631</v>
      </c>
      <c r="R728" s="149">
        <f t="shared" ref="R728:R791" si="165">((N728/N272)-1)*100</f>
        <v>10.555297091234817</v>
      </c>
      <c r="T728" s="151"/>
    </row>
    <row r="729" spans="1:20" ht="14.65" x14ac:dyDescent="0.35">
      <c r="A729" s="45" t="s">
        <v>1</v>
      </c>
      <c r="B729" s="45" t="s">
        <v>4</v>
      </c>
      <c r="C729" s="45" t="s">
        <v>5</v>
      </c>
      <c r="D729" s="45" t="s">
        <v>90</v>
      </c>
      <c r="E729" s="124">
        <v>40910</v>
      </c>
      <c r="G729" s="92">
        <f>-675+3772</f>
        <v>3097</v>
      </c>
      <c r="H729">
        <v>298</v>
      </c>
      <c r="I729" t="s">
        <v>93</v>
      </c>
      <c r="J729" s="128">
        <f>IF(I729="BNSF",0.37,IF(I729="CN",0.322,IF(I729="CSX",0.5,0.38)))</f>
        <v>0.37</v>
      </c>
      <c r="K729" s="103">
        <f t="shared" si="164"/>
        <v>30.754716981132074</v>
      </c>
      <c r="L729" s="103">
        <f t="shared" ref="L729:L766" si="166">IF(A729="corn",G729/(111*2000/56),G729/(111*2000/60))</f>
        <v>0.83702702702702703</v>
      </c>
      <c r="M729" s="133">
        <f t="shared" ref="M729:M766" si="167">H729*J729</f>
        <v>110.26</v>
      </c>
      <c r="N729" s="133">
        <f t="shared" ref="N729:N766" si="168">G729+M729</f>
        <v>3207.26</v>
      </c>
      <c r="O729" s="134">
        <f t="shared" ref="O729:O766" si="169">N729/100.7</f>
        <v>31.849652432969215</v>
      </c>
      <c r="P729" s="134">
        <f t="shared" ref="P729:P766" si="170">IF(A729="corn",N729/(111*2000/56),N729/(111*2000/60))</f>
        <v>0.86682702702702707</v>
      </c>
      <c r="R729" s="149">
        <f t="shared" si="165"/>
        <v>18.522268702606027</v>
      </c>
      <c r="T729" s="151"/>
    </row>
    <row r="730" spans="1:20" ht="14.65" x14ac:dyDescent="0.35">
      <c r="A730" s="45" t="s">
        <v>1</v>
      </c>
      <c r="B730" s="45" t="s">
        <v>2</v>
      </c>
      <c r="C730" s="45" t="s">
        <v>6</v>
      </c>
      <c r="D730" s="45" t="s">
        <v>90</v>
      </c>
      <c r="E730" s="124">
        <v>40910</v>
      </c>
      <c r="G730" s="92">
        <v>5710</v>
      </c>
      <c r="H730">
        <v>1530</v>
      </c>
      <c r="I730" t="s">
        <v>93</v>
      </c>
      <c r="J730" s="128">
        <f t="shared" ref="J730:J765" si="171">IF(I730="BNSF",0.37,IF(I730="CN",0.322,IF(I730="CSX",0.5,0.38)))</f>
        <v>0.37</v>
      </c>
      <c r="K730" s="103">
        <f t="shared" si="164"/>
        <v>56.703078450844089</v>
      </c>
      <c r="L730" s="103">
        <f t="shared" si="166"/>
        <v>1.5432432432432432</v>
      </c>
      <c r="M730" s="133">
        <f t="shared" si="167"/>
        <v>566.1</v>
      </c>
      <c r="N730" s="133">
        <f t="shared" si="168"/>
        <v>6276.1</v>
      </c>
      <c r="O730" s="134">
        <f t="shared" si="169"/>
        <v>62.324726911618669</v>
      </c>
      <c r="P730" s="134">
        <f t="shared" si="170"/>
        <v>1.6962432432432433</v>
      </c>
      <c r="R730" s="149">
        <f t="shared" si="165"/>
        <v>8.5567509599751013</v>
      </c>
      <c r="T730" s="151"/>
    </row>
    <row r="731" spans="1:20" ht="14.65" x14ac:dyDescent="0.35">
      <c r="A731" s="45" t="s">
        <v>1</v>
      </c>
      <c r="B731" s="45" t="s">
        <v>2</v>
      </c>
      <c r="C731" s="45" t="s">
        <v>7</v>
      </c>
      <c r="D731" s="45" t="s">
        <v>90</v>
      </c>
      <c r="E731" s="124">
        <v>40910</v>
      </c>
      <c r="G731" s="92">
        <v>3492</v>
      </c>
      <c r="H731">
        <v>890</v>
      </c>
      <c r="I731" t="s">
        <v>92</v>
      </c>
      <c r="J731" s="128">
        <f t="shared" si="171"/>
        <v>0.38</v>
      </c>
      <c r="K731" s="103">
        <f t="shared" si="164"/>
        <v>34.677259185700102</v>
      </c>
      <c r="L731" s="103">
        <f t="shared" si="166"/>
        <v>0.9437837837837838</v>
      </c>
      <c r="M731" s="133">
        <f t="shared" si="167"/>
        <v>338.2</v>
      </c>
      <c r="N731" s="133">
        <f t="shared" si="168"/>
        <v>3830.2</v>
      </c>
      <c r="O731" s="134">
        <f t="shared" si="169"/>
        <v>38.035749751737832</v>
      </c>
      <c r="P731" s="134">
        <f t="shared" si="170"/>
        <v>1.0351891891891891</v>
      </c>
      <c r="R731" s="149">
        <f t="shared" si="165"/>
        <v>10.63866662815216</v>
      </c>
      <c r="T731" s="151"/>
    </row>
    <row r="732" spans="1:20" ht="14.65" x14ac:dyDescent="0.35">
      <c r="A732" s="45" t="s">
        <v>1</v>
      </c>
      <c r="B732" s="45" t="s">
        <v>8</v>
      </c>
      <c r="C732" s="45" t="s">
        <v>9</v>
      </c>
      <c r="D732" s="45" t="s">
        <v>90</v>
      </c>
      <c r="E732" s="124">
        <v>40910</v>
      </c>
      <c r="G732" s="92">
        <f>109+5301</f>
        <v>5410</v>
      </c>
      <c r="H732">
        <v>1256</v>
      </c>
      <c r="I732" t="s">
        <v>93</v>
      </c>
      <c r="J732" s="128">
        <f t="shared" si="171"/>
        <v>0.37</v>
      </c>
      <c r="K732" s="103">
        <f t="shared" si="164"/>
        <v>53.72393247269116</v>
      </c>
      <c r="L732" s="103">
        <f t="shared" si="166"/>
        <v>1.4621621621621621</v>
      </c>
      <c r="M732" s="133">
        <f t="shared" si="167"/>
        <v>464.71999999999997</v>
      </c>
      <c r="N732" s="133">
        <f t="shared" si="168"/>
        <v>5874.72</v>
      </c>
      <c r="O732" s="134">
        <f t="shared" si="169"/>
        <v>58.338828202581929</v>
      </c>
      <c r="P732" s="134">
        <f t="shared" si="170"/>
        <v>1.5877621621621623</v>
      </c>
      <c r="R732" s="149">
        <f t="shared" si="165"/>
        <v>5.2085646539682173</v>
      </c>
      <c r="T732" s="151"/>
    </row>
    <row r="733" spans="1:20" ht="14.65" x14ac:dyDescent="0.35">
      <c r="A733" s="45" t="s">
        <v>1</v>
      </c>
      <c r="B733" s="45" t="s">
        <v>10</v>
      </c>
      <c r="C733" s="45" t="s">
        <v>9</v>
      </c>
      <c r="D733" s="45" t="s">
        <v>90</v>
      </c>
      <c r="E733" s="124">
        <v>40910</v>
      </c>
      <c r="G733" s="92">
        <v>3760</v>
      </c>
      <c r="H733">
        <v>975</v>
      </c>
      <c r="I733" t="s">
        <v>92</v>
      </c>
      <c r="J733" s="128">
        <f t="shared" si="171"/>
        <v>0.38</v>
      </c>
      <c r="K733" s="103">
        <f t="shared" si="164"/>
        <v>37.338629592850047</v>
      </c>
      <c r="L733" s="103">
        <f t="shared" si="166"/>
        <v>1.0162162162162163</v>
      </c>
      <c r="M733" s="133">
        <f t="shared" si="167"/>
        <v>370.5</v>
      </c>
      <c r="N733" s="133">
        <f t="shared" si="168"/>
        <v>4130.5</v>
      </c>
      <c r="O733" s="134">
        <f t="shared" si="169"/>
        <v>41.01787487586892</v>
      </c>
      <c r="P733" s="134">
        <f t="shared" si="170"/>
        <v>1.1163513513513514</v>
      </c>
      <c r="R733" s="149">
        <f t="shared" si="165"/>
        <v>10.212794343272623</v>
      </c>
      <c r="T733" s="151"/>
    </row>
    <row r="734" spans="1:20" ht="14.65" x14ac:dyDescent="0.35">
      <c r="A734" s="45" t="s">
        <v>1</v>
      </c>
      <c r="B734" s="45" t="s">
        <v>11</v>
      </c>
      <c r="C734" s="45" t="s">
        <v>6</v>
      </c>
      <c r="D734" s="45" t="s">
        <v>90</v>
      </c>
      <c r="E734" s="124">
        <v>40910</v>
      </c>
      <c r="G734" s="92">
        <v>3959</v>
      </c>
      <c r="H734">
        <v>1357</v>
      </c>
      <c r="I734" t="s">
        <v>92</v>
      </c>
      <c r="J734" s="128">
        <f t="shared" si="171"/>
        <v>0.38</v>
      </c>
      <c r="K734" s="103">
        <f t="shared" si="164"/>
        <v>39.314796425024824</v>
      </c>
      <c r="L734" s="103">
        <f t="shared" si="166"/>
        <v>1.07</v>
      </c>
      <c r="M734" s="133">
        <f t="shared" si="167"/>
        <v>515.66</v>
      </c>
      <c r="N734" s="133">
        <f t="shared" si="168"/>
        <v>4474.66</v>
      </c>
      <c r="O734" s="134">
        <f t="shared" si="169"/>
        <v>44.435551142005956</v>
      </c>
      <c r="P734" s="134">
        <f t="shared" si="170"/>
        <v>1.2093675675675675</v>
      </c>
      <c r="R734" s="149">
        <f t="shared" si="165"/>
        <v>11.11729166097588</v>
      </c>
      <c r="T734" s="151"/>
    </row>
    <row r="735" spans="1:20" ht="14.65" x14ac:dyDescent="0.35">
      <c r="A735" s="45" t="s">
        <v>134</v>
      </c>
      <c r="B735" s="45" t="s">
        <v>13</v>
      </c>
      <c r="C735" s="45" t="s">
        <v>7</v>
      </c>
      <c r="D735" s="45" t="s">
        <v>90</v>
      </c>
      <c r="E735" s="124">
        <v>40910</v>
      </c>
      <c r="G735" s="92">
        <v>3062</v>
      </c>
      <c r="H735">
        <v>1006</v>
      </c>
      <c r="I735" t="s">
        <v>92</v>
      </c>
      <c r="J735" s="128">
        <f t="shared" si="171"/>
        <v>0.38</v>
      </c>
      <c r="K735" s="103">
        <f t="shared" si="164"/>
        <v>30.407149950347566</v>
      </c>
      <c r="L735" s="103">
        <f t="shared" si="166"/>
        <v>0.77239639639639646</v>
      </c>
      <c r="M735" s="133">
        <f t="shared" si="167"/>
        <v>382.28000000000003</v>
      </c>
      <c r="N735" s="133">
        <f t="shared" si="168"/>
        <v>3444.28</v>
      </c>
      <c r="O735" s="134">
        <f t="shared" si="169"/>
        <v>34.203376365441905</v>
      </c>
      <c r="P735" s="134">
        <f t="shared" si="170"/>
        <v>0.86882738738738741</v>
      </c>
      <c r="R735" s="149">
        <f t="shared" si="165"/>
        <v>13.926026871655095</v>
      </c>
      <c r="T735" s="151"/>
    </row>
    <row r="736" spans="1:20" ht="14.65" x14ac:dyDescent="0.35">
      <c r="A736" s="45" t="s">
        <v>134</v>
      </c>
      <c r="B736" s="45" t="s">
        <v>14</v>
      </c>
      <c r="C736" s="45" t="s">
        <v>15</v>
      </c>
      <c r="D736" s="45" t="s">
        <v>90</v>
      </c>
      <c r="E736" s="124">
        <v>40910</v>
      </c>
      <c r="G736" s="92">
        <v>3942</v>
      </c>
      <c r="H736">
        <v>866</v>
      </c>
      <c r="I736" t="s">
        <v>94</v>
      </c>
      <c r="J736" s="128">
        <f t="shared" si="171"/>
        <v>0.5</v>
      </c>
      <c r="K736" s="103">
        <f t="shared" si="164"/>
        <v>39.145978152929494</v>
      </c>
      <c r="L736" s="103">
        <f t="shared" si="166"/>
        <v>0.99437837837837839</v>
      </c>
      <c r="M736" s="133">
        <f t="shared" si="167"/>
        <v>433</v>
      </c>
      <c r="N736" s="133">
        <f t="shared" si="168"/>
        <v>4375</v>
      </c>
      <c r="O736" s="134">
        <f t="shared" si="169"/>
        <v>43.44587884806355</v>
      </c>
      <c r="P736" s="134">
        <f t="shared" si="170"/>
        <v>1.1036036036036037</v>
      </c>
      <c r="R736" s="149">
        <f t="shared" si="165"/>
        <v>9.0712366060521568</v>
      </c>
      <c r="T736" s="151"/>
    </row>
    <row r="737" spans="1:20" ht="14.65" x14ac:dyDescent="0.35">
      <c r="A737" s="45" t="s">
        <v>134</v>
      </c>
      <c r="B737" s="45" t="s">
        <v>16</v>
      </c>
      <c r="C737" s="45" t="s">
        <v>17</v>
      </c>
      <c r="D737" s="45" t="s">
        <v>90</v>
      </c>
      <c r="E737" s="124">
        <v>40910</v>
      </c>
      <c r="G737" s="92">
        <v>1934</v>
      </c>
      <c r="H737">
        <v>213</v>
      </c>
      <c r="I737" t="s">
        <v>92</v>
      </c>
      <c r="J737" s="128">
        <f t="shared" si="171"/>
        <v>0.38</v>
      </c>
      <c r="K737" s="103">
        <f t="shared" si="164"/>
        <v>19.20556107249255</v>
      </c>
      <c r="L737" s="103">
        <f t="shared" si="166"/>
        <v>0.48785585585585589</v>
      </c>
      <c r="M737" s="133">
        <f t="shared" si="167"/>
        <v>80.94</v>
      </c>
      <c r="N737" s="133">
        <f t="shared" si="168"/>
        <v>2014.94</v>
      </c>
      <c r="O737" s="134">
        <f t="shared" si="169"/>
        <v>20.009334657398213</v>
      </c>
      <c r="P737" s="134">
        <f t="shared" si="170"/>
        <v>0.50827315315315313</v>
      </c>
      <c r="R737" s="149">
        <f t="shared" si="165"/>
        <v>6.7387814994729123</v>
      </c>
      <c r="T737" s="151"/>
    </row>
    <row r="738" spans="1:20" ht="14.65" x14ac:dyDescent="0.35">
      <c r="A738" s="45" t="s">
        <v>134</v>
      </c>
      <c r="B738" s="45" t="s">
        <v>18</v>
      </c>
      <c r="C738" s="45" t="s">
        <v>19</v>
      </c>
      <c r="D738" s="45" t="s">
        <v>90</v>
      </c>
      <c r="E738" s="124">
        <v>40910</v>
      </c>
      <c r="G738" s="92">
        <v>3381</v>
      </c>
      <c r="H738">
        <v>650</v>
      </c>
      <c r="I738" t="s">
        <v>94</v>
      </c>
      <c r="J738" s="128">
        <f t="shared" si="171"/>
        <v>0.5</v>
      </c>
      <c r="K738" s="103">
        <f t="shared" si="164"/>
        <v>33.574975173783514</v>
      </c>
      <c r="L738" s="103">
        <f t="shared" si="166"/>
        <v>0.8528648648648649</v>
      </c>
      <c r="M738" s="133">
        <f t="shared" si="167"/>
        <v>325</v>
      </c>
      <c r="N738" s="133">
        <f t="shared" si="168"/>
        <v>3706</v>
      </c>
      <c r="O738" s="134">
        <f t="shared" si="169"/>
        <v>36.802383316782525</v>
      </c>
      <c r="P738" s="134">
        <f t="shared" si="170"/>
        <v>0.93484684684684682</v>
      </c>
      <c r="R738" s="149">
        <f t="shared" si="165"/>
        <v>9.4991874723001857</v>
      </c>
      <c r="T738" s="151"/>
    </row>
    <row r="739" spans="1:20" ht="14.65" x14ac:dyDescent="0.35">
      <c r="A739" s="45" t="s">
        <v>134</v>
      </c>
      <c r="B739" s="45" t="s">
        <v>18</v>
      </c>
      <c r="C739" s="45" t="s">
        <v>20</v>
      </c>
      <c r="D739" s="45" t="s">
        <v>90</v>
      </c>
      <c r="E739" s="124">
        <v>40910</v>
      </c>
      <c r="G739" s="92">
        <v>2833</v>
      </c>
      <c r="H739">
        <v>417</v>
      </c>
      <c r="I739" t="s">
        <v>94</v>
      </c>
      <c r="J739" s="128">
        <f t="shared" si="171"/>
        <v>0.5</v>
      </c>
      <c r="K739" s="103">
        <f t="shared" si="164"/>
        <v>28.133068520357497</v>
      </c>
      <c r="L739" s="103">
        <f t="shared" si="166"/>
        <v>0.71463063063063059</v>
      </c>
      <c r="M739" s="133">
        <f t="shared" si="167"/>
        <v>208.5</v>
      </c>
      <c r="N739" s="133">
        <f t="shared" si="168"/>
        <v>3041.5</v>
      </c>
      <c r="O739" s="134">
        <f t="shared" si="169"/>
        <v>30.203574975173783</v>
      </c>
      <c r="P739" s="134">
        <f t="shared" si="170"/>
        <v>0.76722522522522518</v>
      </c>
      <c r="R739" s="149">
        <f t="shared" si="165"/>
        <v>5.573547430864334</v>
      </c>
      <c r="T739" s="151"/>
    </row>
    <row r="740" spans="1:20" ht="14.65" x14ac:dyDescent="0.35">
      <c r="A740" s="45" t="s">
        <v>134</v>
      </c>
      <c r="B740" s="45" t="s">
        <v>16</v>
      </c>
      <c r="C740" s="45" t="s">
        <v>21</v>
      </c>
      <c r="D740" s="45" t="s">
        <v>90</v>
      </c>
      <c r="E740" s="124">
        <v>40910</v>
      </c>
      <c r="G740" s="92">
        <v>3074</v>
      </c>
      <c r="H740">
        <v>626</v>
      </c>
      <c r="I740" t="s">
        <v>92</v>
      </c>
      <c r="J740" s="128">
        <f t="shared" si="171"/>
        <v>0.38</v>
      </c>
      <c r="K740" s="103">
        <f t="shared" si="164"/>
        <v>30.526315789473685</v>
      </c>
      <c r="L740" s="103">
        <f t="shared" si="166"/>
        <v>0.77542342342342341</v>
      </c>
      <c r="M740" s="133">
        <f t="shared" si="167"/>
        <v>237.88</v>
      </c>
      <c r="N740" s="133">
        <f t="shared" si="168"/>
        <v>3311.88</v>
      </c>
      <c r="O740" s="134">
        <f t="shared" si="169"/>
        <v>32.888579940417081</v>
      </c>
      <c r="P740" s="134">
        <f t="shared" si="170"/>
        <v>0.83542918918918918</v>
      </c>
      <c r="R740" s="149">
        <f t="shared" si="165"/>
        <v>7.8978061287653167</v>
      </c>
      <c r="T740" s="151"/>
    </row>
    <row r="741" spans="1:20" ht="14.65" x14ac:dyDescent="0.35">
      <c r="A741" s="45" t="s">
        <v>134</v>
      </c>
      <c r="B741" s="45" t="s">
        <v>16</v>
      </c>
      <c r="C741" s="45" t="s">
        <v>6</v>
      </c>
      <c r="D741" s="45" t="s">
        <v>90</v>
      </c>
      <c r="E741" s="124">
        <v>40910</v>
      </c>
      <c r="G741" s="92">
        <v>4985</v>
      </c>
      <c r="H741">
        <v>1823</v>
      </c>
      <c r="I741" t="s">
        <v>92</v>
      </c>
      <c r="J741" s="128">
        <f t="shared" si="171"/>
        <v>0.38</v>
      </c>
      <c r="K741" s="103">
        <f t="shared" si="164"/>
        <v>49.503475670307843</v>
      </c>
      <c r="L741" s="103">
        <f t="shared" si="166"/>
        <v>1.2574774774774775</v>
      </c>
      <c r="M741" s="133">
        <f t="shared" si="167"/>
        <v>692.74</v>
      </c>
      <c r="N741" s="133">
        <f t="shared" si="168"/>
        <v>5677.74</v>
      </c>
      <c r="O741" s="134">
        <f t="shared" si="169"/>
        <v>56.382720953326711</v>
      </c>
      <c r="P741" s="134">
        <f t="shared" si="170"/>
        <v>1.4322227027027026</v>
      </c>
      <c r="R741" s="149">
        <f t="shared" si="165"/>
        <v>19.409947358790959</v>
      </c>
      <c r="T741" s="151"/>
    </row>
    <row r="742" spans="1:20" ht="14.45" x14ac:dyDescent="0.3">
      <c r="A742" s="45" t="s">
        <v>22</v>
      </c>
      <c r="B742" s="45" t="s">
        <v>23</v>
      </c>
      <c r="C742" s="45" t="s">
        <v>7</v>
      </c>
      <c r="D742" s="45" t="s">
        <v>90</v>
      </c>
      <c r="E742" s="124">
        <v>40910</v>
      </c>
      <c r="G742" s="92">
        <v>3489</v>
      </c>
      <c r="H742" s="52">
        <v>1295</v>
      </c>
      <c r="I742" t="s">
        <v>95</v>
      </c>
      <c r="J742" s="128">
        <f t="shared" si="171"/>
        <v>0.32200000000000001</v>
      </c>
      <c r="K742" s="103">
        <f t="shared" si="164"/>
        <v>34.647467725918567</v>
      </c>
      <c r="L742" s="103">
        <f t="shared" si="166"/>
        <v>0.942972972972973</v>
      </c>
      <c r="M742" s="133">
        <f t="shared" si="167"/>
        <v>416.99</v>
      </c>
      <c r="N742" s="133">
        <f t="shared" si="168"/>
        <v>3905.99</v>
      </c>
      <c r="O742" s="134">
        <f t="shared" si="169"/>
        <v>38.788381330685198</v>
      </c>
      <c r="P742" s="134">
        <f t="shared" si="170"/>
        <v>1.055672972972973</v>
      </c>
      <c r="R742" s="149">
        <f t="shared" si="165"/>
        <v>8.59003293294478</v>
      </c>
      <c r="T742" s="151"/>
    </row>
    <row r="743" spans="1:20" ht="14.45" x14ac:dyDescent="0.3">
      <c r="A743" s="45" t="s">
        <v>22</v>
      </c>
      <c r="B743" s="45" t="s">
        <v>14</v>
      </c>
      <c r="C743" s="45" t="s">
        <v>24</v>
      </c>
      <c r="D743" s="45" t="s">
        <v>90</v>
      </c>
      <c r="E743" s="124">
        <v>40910</v>
      </c>
      <c r="G743" s="92">
        <v>3497</v>
      </c>
      <c r="H743">
        <v>615</v>
      </c>
      <c r="I743" t="s">
        <v>94</v>
      </c>
      <c r="J743" s="128">
        <f t="shared" si="171"/>
        <v>0.5</v>
      </c>
      <c r="K743" s="103">
        <f t="shared" si="164"/>
        <v>34.726911618669313</v>
      </c>
      <c r="L743" s="103">
        <f t="shared" si="166"/>
        <v>0.94513513513513514</v>
      </c>
      <c r="M743" s="133">
        <f t="shared" si="167"/>
        <v>307.5</v>
      </c>
      <c r="N743" s="133">
        <f t="shared" si="168"/>
        <v>3804.5</v>
      </c>
      <c r="O743" s="134">
        <f t="shared" si="169"/>
        <v>37.780536246276064</v>
      </c>
      <c r="P743" s="134">
        <f t="shared" si="170"/>
        <v>1.0282432432432433</v>
      </c>
      <c r="R743" s="149">
        <f t="shared" si="165"/>
        <v>22.751544678722958</v>
      </c>
      <c r="T743" s="151"/>
    </row>
    <row r="744" spans="1:20" ht="14.45" x14ac:dyDescent="0.3">
      <c r="A744" s="45" t="s">
        <v>22</v>
      </c>
      <c r="B744" s="45" t="s">
        <v>18</v>
      </c>
      <c r="C744" s="45" t="s">
        <v>15</v>
      </c>
      <c r="D744" s="45" t="s">
        <v>90</v>
      </c>
      <c r="E744" s="124">
        <v>40910</v>
      </c>
      <c r="G744" s="92">
        <v>4453</v>
      </c>
      <c r="H744">
        <v>872</v>
      </c>
      <c r="I744" t="s">
        <v>94</v>
      </c>
      <c r="J744" s="128">
        <f t="shared" si="171"/>
        <v>0.5</v>
      </c>
      <c r="K744" s="103">
        <f t="shared" si="164"/>
        <v>44.220456802383318</v>
      </c>
      <c r="L744" s="103">
        <f t="shared" si="166"/>
        <v>1.2035135135135135</v>
      </c>
      <c r="M744" s="133">
        <f t="shared" si="167"/>
        <v>436</v>
      </c>
      <c r="N744" s="133">
        <f t="shared" si="168"/>
        <v>4889</v>
      </c>
      <c r="O744" s="134">
        <f t="shared" si="169"/>
        <v>48.550148957298909</v>
      </c>
      <c r="P744" s="134">
        <f t="shared" si="170"/>
        <v>1.3213513513513513</v>
      </c>
      <c r="R744" s="149">
        <f t="shared" si="165"/>
        <v>19.743906262246249</v>
      </c>
      <c r="T744" s="151"/>
    </row>
    <row r="745" spans="1:20" ht="14.45" x14ac:dyDescent="0.3">
      <c r="A745" s="45" t="s">
        <v>22</v>
      </c>
      <c r="B745" s="45" t="s">
        <v>18</v>
      </c>
      <c r="C745" s="45" t="s">
        <v>24</v>
      </c>
      <c r="D745" s="45" t="s">
        <v>90</v>
      </c>
      <c r="E745" s="124">
        <v>40910</v>
      </c>
      <c r="G745" s="92">
        <v>3189</v>
      </c>
      <c r="H745">
        <v>417</v>
      </c>
      <c r="I745" t="s">
        <v>94</v>
      </c>
      <c r="J745" s="128">
        <f t="shared" si="171"/>
        <v>0.5</v>
      </c>
      <c r="K745" s="103">
        <f t="shared" si="164"/>
        <v>31.668321747765638</v>
      </c>
      <c r="L745" s="103">
        <f t="shared" si="166"/>
        <v>0.86189189189189186</v>
      </c>
      <c r="M745" s="133">
        <f t="shared" si="167"/>
        <v>208.5</v>
      </c>
      <c r="N745" s="133">
        <f t="shared" si="168"/>
        <v>3397.5</v>
      </c>
      <c r="O745" s="134">
        <f t="shared" si="169"/>
        <v>33.738828202581928</v>
      </c>
      <c r="P745" s="134">
        <f t="shared" si="170"/>
        <v>0.91824324324324325</v>
      </c>
      <c r="R745" s="149">
        <f t="shared" si="165"/>
        <v>24.271652895282614</v>
      </c>
      <c r="T745" s="151"/>
    </row>
    <row r="746" spans="1:20" ht="14.45" x14ac:dyDescent="0.3">
      <c r="A746" s="45" t="s">
        <v>22</v>
      </c>
      <c r="B746" s="45" t="s">
        <v>13</v>
      </c>
      <c r="C746" s="45" t="s">
        <v>7</v>
      </c>
      <c r="D746" s="45" t="s">
        <v>90</v>
      </c>
      <c r="E746" s="124">
        <v>40910</v>
      </c>
      <c r="G746" s="92">
        <v>3406</v>
      </c>
      <c r="H746">
        <v>1006</v>
      </c>
      <c r="I746" t="s">
        <v>92</v>
      </c>
      <c r="J746" s="128">
        <f t="shared" si="171"/>
        <v>0.38</v>
      </c>
      <c r="K746" s="103">
        <f t="shared" si="164"/>
        <v>33.823237338629589</v>
      </c>
      <c r="L746" s="103">
        <f t="shared" si="166"/>
        <v>0.92054054054054057</v>
      </c>
      <c r="M746" s="133">
        <f t="shared" si="167"/>
        <v>382.28000000000003</v>
      </c>
      <c r="N746" s="133">
        <f t="shared" si="168"/>
        <v>3788.28</v>
      </c>
      <c r="O746" s="134">
        <f t="shared" si="169"/>
        <v>37.619463753723934</v>
      </c>
      <c r="P746" s="134">
        <f t="shared" si="170"/>
        <v>1.0238594594594594</v>
      </c>
      <c r="R746" s="149">
        <f t="shared" si="165"/>
        <v>12.503340995349333</v>
      </c>
      <c r="T746" s="151"/>
    </row>
    <row r="747" spans="1:20" ht="14.45" x14ac:dyDescent="0.3">
      <c r="A747" s="45" t="s">
        <v>1</v>
      </c>
      <c r="B747" s="45" t="s">
        <v>25</v>
      </c>
      <c r="C747" s="45" t="s">
        <v>26</v>
      </c>
      <c r="D747" s="45" t="s">
        <v>91</v>
      </c>
      <c r="E747" s="124">
        <v>40910</v>
      </c>
      <c r="G747" s="92">
        <v>3239</v>
      </c>
      <c r="H747">
        <v>880</v>
      </c>
      <c r="I747" t="s">
        <v>93</v>
      </c>
      <c r="J747" s="128">
        <f t="shared" si="171"/>
        <v>0.37</v>
      </c>
      <c r="K747" s="103">
        <f t="shared" si="164"/>
        <v>32.164846077457796</v>
      </c>
      <c r="L747" s="103">
        <f t="shared" si="166"/>
        <v>0.87540540540540546</v>
      </c>
      <c r="M747" s="133">
        <f t="shared" si="167"/>
        <v>325.60000000000002</v>
      </c>
      <c r="N747" s="133">
        <f t="shared" si="168"/>
        <v>3564.6</v>
      </c>
      <c r="O747" s="134">
        <f t="shared" si="169"/>
        <v>35.398212512413103</v>
      </c>
      <c r="P747" s="134">
        <f t="shared" si="170"/>
        <v>0.96340540540540542</v>
      </c>
      <c r="R747" s="149">
        <f t="shared" si="165"/>
        <v>8.333333333333325</v>
      </c>
      <c r="T747" s="151"/>
    </row>
    <row r="748" spans="1:20" ht="14.45" x14ac:dyDescent="0.3">
      <c r="A748" s="45" t="s">
        <v>1</v>
      </c>
      <c r="B748" s="45" t="s">
        <v>2</v>
      </c>
      <c r="C748" s="45" t="s">
        <v>9</v>
      </c>
      <c r="D748" s="45" t="s">
        <v>91</v>
      </c>
      <c r="E748" s="124">
        <v>40910</v>
      </c>
      <c r="G748" s="92">
        <v>3144</v>
      </c>
      <c r="H748">
        <v>685</v>
      </c>
      <c r="I748" t="s">
        <v>93</v>
      </c>
      <c r="J748" s="128">
        <f t="shared" si="171"/>
        <v>0.37</v>
      </c>
      <c r="K748" s="103">
        <f t="shared" si="164"/>
        <v>31.221449851042699</v>
      </c>
      <c r="L748" s="103">
        <f t="shared" si="166"/>
        <v>0.84972972972972971</v>
      </c>
      <c r="M748" s="133">
        <f t="shared" si="167"/>
        <v>253.45</v>
      </c>
      <c r="N748" s="133">
        <f t="shared" si="168"/>
        <v>3397.45</v>
      </c>
      <c r="O748" s="134">
        <f t="shared" si="169"/>
        <v>33.73833167825223</v>
      </c>
      <c r="P748" s="134">
        <f t="shared" si="170"/>
        <v>0.91822972972972972</v>
      </c>
      <c r="R748" s="149">
        <f t="shared" si="165"/>
        <v>6.3098441704737329</v>
      </c>
      <c r="T748" s="151"/>
    </row>
    <row r="749" spans="1:20" ht="14.45" x14ac:dyDescent="0.3">
      <c r="A749" s="45" t="s">
        <v>1</v>
      </c>
      <c r="B749" s="45" t="s">
        <v>27</v>
      </c>
      <c r="C749" s="45" t="s">
        <v>28</v>
      </c>
      <c r="D749" s="45" t="s">
        <v>91</v>
      </c>
      <c r="E749" s="124">
        <v>40910</v>
      </c>
      <c r="G749" s="92">
        <v>3645</v>
      </c>
      <c r="H749">
        <v>812</v>
      </c>
      <c r="I749" t="s">
        <v>94</v>
      </c>
      <c r="J749" s="128">
        <f t="shared" si="171"/>
        <v>0.5</v>
      </c>
      <c r="K749" s="103">
        <f t="shared" si="164"/>
        <v>36.196623634558094</v>
      </c>
      <c r="L749" s="103">
        <f t="shared" si="166"/>
        <v>0.98513513513513518</v>
      </c>
      <c r="M749" s="133">
        <f t="shared" si="167"/>
        <v>406</v>
      </c>
      <c r="N749" s="133">
        <f t="shared" si="168"/>
        <v>4051</v>
      </c>
      <c r="O749" s="134">
        <f t="shared" si="169"/>
        <v>40.228401191658392</v>
      </c>
      <c r="P749" s="134">
        <f t="shared" si="170"/>
        <v>1.0948648648648649</v>
      </c>
      <c r="R749" s="149">
        <f t="shared" si="165"/>
        <v>8.5337362825788752</v>
      </c>
      <c r="T749" s="151"/>
    </row>
    <row r="750" spans="1:20" ht="14.45" x14ac:dyDescent="0.3">
      <c r="A750" s="45" t="s">
        <v>1</v>
      </c>
      <c r="B750" s="45" t="s">
        <v>4</v>
      </c>
      <c r="C750" s="45" t="s">
        <v>26</v>
      </c>
      <c r="D750" s="45" t="s">
        <v>91</v>
      </c>
      <c r="E750" s="124">
        <v>40910</v>
      </c>
      <c r="G750" s="92">
        <v>4702</v>
      </c>
      <c r="H750">
        <v>1520</v>
      </c>
      <c r="I750" t="s">
        <v>93</v>
      </c>
      <c r="J750" s="128">
        <f t="shared" si="171"/>
        <v>0.37</v>
      </c>
      <c r="K750" s="103">
        <f t="shared" si="164"/>
        <v>46.693147964250244</v>
      </c>
      <c r="L750" s="103">
        <f t="shared" si="166"/>
        <v>1.2708108108108107</v>
      </c>
      <c r="M750" s="133">
        <f t="shared" si="167"/>
        <v>562.4</v>
      </c>
      <c r="N750" s="133">
        <f t="shared" si="168"/>
        <v>5264.4</v>
      </c>
      <c r="O750" s="134">
        <f t="shared" si="169"/>
        <v>52.278053624627603</v>
      </c>
      <c r="P750" s="134">
        <f t="shared" si="170"/>
        <v>1.4228108108108106</v>
      </c>
      <c r="R750" s="149">
        <f t="shared" si="165"/>
        <v>8.3076163436612624</v>
      </c>
      <c r="T750" s="151"/>
    </row>
    <row r="751" spans="1:20" ht="14.45" x14ac:dyDescent="0.3">
      <c r="A751" s="45" t="s">
        <v>1</v>
      </c>
      <c r="B751" s="45" t="s">
        <v>4</v>
      </c>
      <c r="C751" s="45" t="s">
        <v>9</v>
      </c>
      <c r="D751" s="45" t="s">
        <v>91</v>
      </c>
      <c r="E751" s="124">
        <v>40910</v>
      </c>
      <c r="G751" s="92">
        <f>2856+2889</f>
        <v>5745</v>
      </c>
      <c r="H751">
        <v>1583</v>
      </c>
      <c r="I751" t="s">
        <v>93</v>
      </c>
      <c r="J751" s="128">
        <f t="shared" si="171"/>
        <v>0.37</v>
      </c>
      <c r="K751" s="103">
        <f t="shared" si="164"/>
        <v>57.050645481628599</v>
      </c>
      <c r="L751" s="103">
        <f t="shared" si="166"/>
        <v>1.5527027027027027</v>
      </c>
      <c r="M751" s="133">
        <f t="shared" si="167"/>
        <v>585.71</v>
      </c>
      <c r="N751" s="133">
        <f t="shared" si="168"/>
        <v>6330.71</v>
      </c>
      <c r="O751" s="134">
        <f t="shared" si="169"/>
        <v>62.867030784508437</v>
      </c>
      <c r="P751" s="134">
        <f t="shared" si="170"/>
        <v>1.7110027027027026</v>
      </c>
      <c r="R751" s="149">
        <f t="shared" si="165"/>
        <v>9.0403800311410478</v>
      </c>
      <c r="T751" s="151"/>
    </row>
    <row r="752" spans="1:20" ht="14.45" x14ac:dyDescent="0.3">
      <c r="A752" s="45" t="s">
        <v>1</v>
      </c>
      <c r="B752" s="45" t="s">
        <v>10</v>
      </c>
      <c r="C752" s="45" t="s">
        <v>26</v>
      </c>
      <c r="D752" s="45" t="s">
        <v>91</v>
      </c>
      <c r="E752" s="124">
        <v>40910</v>
      </c>
      <c r="G752" s="92">
        <v>4727</v>
      </c>
      <c r="H752">
        <v>1599</v>
      </c>
      <c r="I752" t="s">
        <v>92</v>
      </c>
      <c r="J752" s="128">
        <f t="shared" si="171"/>
        <v>0.38</v>
      </c>
      <c r="K752" s="103">
        <f t="shared" si="164"/>
        <v>46.941410129096326</v>
      </c>
      <c r="L752" s="103">
        <f t="shared" si="166"/>
        <v>1.2775675675675675</v>
      </c>
      <c r="M752" s="133">
        <f t="shared" si="167"/>
        <v>607.62</v>
      </c>
      <c r="N752" s="133">
        <f t="shared" si="168"/>
        <v>5334.62</v>
      </c>
      <c r="O752" s="134">
        <f t="shared" si="169"/>
        <v>52.97537239324727</v>
      </c>
      <c r="P752" s="134">
        <f t="shared" si="170"/>
        <v>1.4417891891891892</v>
      </c>
      <c r="R752" s="149">
        <f t="shared" si="165"/>
        <v>10.087725634003952</v>
      </c>
      <c r="T752" s="151"/>
    </row>
    <row r="753" spans="1:20" ht="14.45" x14ac:dyDescent="0.3">
      <c r="A753" s="45" t="s">
        <v>134</v>
      </c>
      <c r="B753" s="45" t="s">
        <v>23</v>
      </c>
      <c r="C753" s="45" t="s">
        <v>26</v>
      </c>
      <c r="D753" s="45" t="s">
        <v>91</v>
      </c>
      <c r="E753" s="124">
        <v>40910</v>
      </c>
      <c r="G753" s="92">
        <v>4800</v>
      </c>
      <c r="H753">
        <v>1851</v>
      </c>
      <c r="I753" t="s">
        <v>93</v>
      </c>
      <c r="J753" s="128">
        <f t="shared" si="171"/>
        <v>0.37</v>
      </c>
      <c r="K753" s="103">
        <f t="shared" si="164"/>
        <v>47.666335650446868</v>
      </c>
      <c r="L753" s="103">
        <f t="shared" si="166"/>
        <v>1.2108108108108109</v>
      </c>
      <c r="M753" s="133">
        <f t="shared" si="167"/>
        <v>684.87</v>
      </c>
      <c r="N753" s="133">
        <f t="shared" si="168"/>
        <v>5484.87</v>
      </c>
      <c r="O753" s="134">
        <f t="shared" si="169"/>
        <v>54.467428003972195</v>
      </c>
      <c r="P753" s="134">
        <f t="shared" si="170"/>
        <v>1.3835708108108109</v>
      </c>
      <c r="R753" s="149">
        <f t="shared" si="165"/>
        <v>9.51166821071463</v>
      </c>
      <c r="T753" s="151"/>
    </row>
    <row r="754" spans="1:20" ht="14.45" x14ac:dyDescent="0.3">
      <c r="A754" s="45" t="s">
        <v>134</v>
      </c>
      <c r="B754" s="45" t="s">
        <v>8</v>
      </c>
      <c r="C754" s="45" t="s">
        <v>29</v>
      </c>
      <c r="D754" s="45" t="s">
        <v>91</v>
      </c>
      <c r="E754" s="124">
        <v>40910</v>
      </c>
      <c r="G754" s="92">
        <v>4760</v>
      </c>
      <c r="H754">
        <v>1695</v>
      </c>
      <c r="I754" t="s">
        <v>93</v>
      </c>
      <c r="J754" s="128">
        <f t="shared" si="171"/>
        <v>0.37</v>
      </c>
      <c r="K754" s="103">
        <f t="shared" si="164"/>
        <v>47.269116186693147</v>
      </c>
      <c r="L754" s="103">
        <f t="shared" si="166"/>
        <v>1.2007207207207207</v>
      </c>
      <c r="M754" s="133">
        <f t="shared" si="167"/>
        <v>627.15</v>
      </c>
      <c r="N754" s="133">
        <f t="shared" si="168"/>
        <v>5387.15</v>
      </c>
      <c r="O754" s="134">
        <f t="shared" si="169"/>
        <v>53.497020854021841</v>
      </c>
      <c r="P754" s="134">
        <f t="shared" si="170"/>
        <v>1.3589207207207206</v>
      </c>
      <c r="R754" s="149">
        <f t="shared" si="165"/>
        <v>9.1930841576130859</v>
      </c>
      <c r="T754" s="151"/>
    </row>
    <row r="755" spans="1:20" ht="14.45" x14ac:dyDescent="0.3">
      <c r="A755" s="45" t="s">
        <v>134</v>
      </c>
      <c r="B755" s="45" t="s">
        <v>13</v>
      </c>
      <c r="C755" s="45" t="s">
        <v>7</v>
      </c>
      <c r="D755" s="45" t="s">
        <v>91</v>
      </c>
      <c r="E755" s="124">
        <v>40910</v>
      </c>
      <c r="G755" s="92">
        <v>2877</v>
      </c>
      <c r="H755">
        <v>1006</v>
      </c>
      <c r="I755" t="s">
        <v>92</v>
      </c>
      <c r="J755" s="128">
        <f t="shared" si="171"/>
        <v>0.38</v>
      </c>
      <c r="K755" s="103">
        <f t="shared" si="164"/>
        <v>28.570009930486592</v>
      </c>
      <c r="L755" s="103">
        <f t="shared" si="166"/>
        <v>0.72572972972972971</v>
      </c>
      <c r="M755" s="133">
        <f t="shared" si="167"/>
        <v>382.28000000000003</v>
      </c>
      <c r="N755" s="133">
        <f t="shared" si="168"/>
        <v>3259.28</v>
      </c>
      <c r="O755" s="134">
        <f t="shared" si="169"/>
        <v>32.366236345580937</v>
      </c>
      <c r="P755" s="134">
        <f t="shared" si="170"/>
        <v>0.82216072072072077</v>
      </c>
      <c r="R755" s="149">
        <f t="shared" si="165"/>
        <v>12.845796431069223</v>
      </c>
      <c r="T755" s="151"/>
    </row>
    <row r="756" spans="1:20" ht="14.45" x14ac:dyDescent="0.3">
      <c r="A756" s="45" t="s">
        <v>134</v>
      </c>
      <c r="B756" s="45" t="s">
        <v>30</v>
      </c>
      <c r="C756" s="45" t="s">
        <v>9</v>
      </c>
      <c r="D756" s="45" t="s">
        <v>91</v>
      </c>
      <c r="E756" s="124">
        <v>40910</v>
      </c>
      <c r="G756" s="92">
        <v>3310</v>
      </c>
      <c r="H756">
        <v>988</v>
      </c>
      <c r="I756" t="s">
        <v>93</v>
      </c>
      <c r="J756" s="128">
        <f t="shared" si="171"/>
        <v>0.37</v>
      </c>
      <c r="K756" s="103">
        <f t="shared" si="164"/>
        <v>32.869910625620655</v>
      </c>
      <c r="L756" s="103">
        <f t="shared" si="166"/>
        <v>0.83495495495495498</v>
      </c>
      <c r="M756" s="133">
        <f t="shared" si="167"/>
        <v>365.56</v>
      </c>
      <c r="N756" s="133">
        <f t="shared" si="168"/>
        <v>3675.56</v>
      </c>
      <c r="O756" s="134">
        <f t="shared" si="169"/>
        <v>36.500099304865934</v>
      </c>
      <c r="P756" s="134">
        <f t="shared" si="170"/>
        <v>0.92716828828828834</v>
      </c>
      <c r="R756" s="149">
        <f t="shared" si="165"/>
        <v>9.5795172676970139</v>
      </c>
      <c r="T756" s="151"/>
    </row>
    <row r="757" spans="1:20" ht="14.45" x14ac:dyDescent="0.3">
      <c r="A757" s="45" t="s">
        <v>134</v>
      </c>
      <c r="B757" s="45" t="s">
        <v>16</v>
      </c>
      <c r="C757" s="45" t="s">
        <v>11</v>
      </c>
      <c r="D757" s="45" t="s">
        <v>91</v>
      </c>
      <c r="E757" s="124">
        <v>40910</v>
      </c>
      <c r="G757" s="92">
        <v>3430</v>
      </c>
      <c r="H757" s="52">
        <v>787</v>
      </c>
      <c r="I757" t="s">
        <v>92</v>
      </c>
      <c r="J757" s="128">
        <f t="shared" si="171"/>
        <v>0.38</v>
      </c>
      <c r="K757" s="103">
        <f t="shared" si="164"/>
        <v>34.061569016881826</v>
      </c>
      <c r="L757" s="103">
        <f t="shared" si="166"/>
        <v>0.86522522522522527</v>
      </c>
      <c r="M757" s="133">
        <f t="shared" si="167"/>
        <v>299.06</v>
      </c>
      <c r="N757" s="133">
        <f t="shared" si="168"/>
        <v>3729.06</v>
      </c>
      <c r="O757" s="134">
        <f t="shared" si="169"/>
        <v>37.031380337636541</v>
      </c>
      <c r="P757" s="134">
        <f t="shared" si="170"/>
        <v>0.94066378378378379</v>
      </c>
      <c r="R757" s="149">
        <f t="shared" si="165"/>
        <v>6.6887536585156449</v>
      </c>
      <c r="T757" s="151"/>
    </row>
    <row r="758" spans="1:20" ht="14.45" x14ac:dyDescent="0.3">
      <c r="A758" s="45" t="s">
        <v>134</v>
      </c>
      <c r="B758" s="45" t="s">
        <v>23</v>
      </c>
      <c r="C758" s="45" t="s">
        <v>29</v>
      </c>
      <c r="D758" s="45" t="s">
        <v>91</v>
      </c>
      <c r="E758" s="124">
        <v>40910</v>
      </c>
      <c r="G758" s="92">
        <v>4800</v>
      </c>
      <c r="H758">
        <v>1836</v>
      </c>
      <c r="I758" t="s">
        <v>93</v>
      </c>
      <c r="J758" s="128">
        <f t="shared" si="171"/>
        <v>0.37</v>
      </c>
      <c r="K758" s="103">
        <f t="shared" si="164"/>
        <v>47.666335650446868</v>
      </c>
      <c r="L758" s="103">
        <f t="shared" si="166"/>
        <v>1.2108108108108109</v>
      </c>
      <c r="M758" s="133">
        <f t="shared" si="167"/>
        <v>679.31999999999994</v>
      </c>
      <c r="N758" s="133">
        <f t="shared" si="168"/>
        <v>5479.32</v>
      </c>
      <c r="O758" s="134">
        <f t="shared" si="169"/>
        <v>54.412313803376364</v>
      </c>
      <c r="P758" s="134">
        <f t="shared" si="170"/>
        <v>1.3821708108108108</v>
      </c>
      <c r="R758" s="149">
        <f t="shared" si="165"/>
        <v>9.5583530616162307</v>
      </c>
      <c r="T758" s="151"/>
    </row>
    <row r="759" spans="1:20" ht="14.45" x14ac:dyDescent="0.3">
      <c r="A759" s="45" t="s">
        <v>134</v>
      </c>
      <c r="B759" s="45" t="s">
        <v>31</v>
      </c>
      <c r="C759" s="45" t="s">
        <v>32</v>
      </c>
      <c r="D759" s="45" t="s">
        <v>91</v>
      </c>
      <c r="E759" s="124">
        <v>40910</v>
      </c>
      <c r="G759" s="92">
        <v>4200</v>
      </c>
      <c r="H759">
        <v>1899</v>
      </c>
      <c r="I759" t="s">
        <v>93</v>
      </c>
      <c r="J759" s="128">
        <f t="shared" si="171"/>
        <v>0.37</v>
      </c>
      <c r="K759" s="103">
        <f t="shared" si="164"/>
        <v>41.708043694141011</v>
      </c>
      <c r="L759" s="103">
        <f t="shared" si="166"/>
        <v>1.0594594594594595</v>
      </c>
      <c r="M759" s="133">
        <f t="shared" si="167"/>
        <v>702.63</v>
      </c>
      <c r="N759" s="133">
        <f t="shared" si="168"/>
        <v>4902.63</v>
      </c>
      <c r="O759" s="134">
        <f t="shared" si="169"/>
        <v>48.685501489572992</v>
      </c>
      <c r="P759" s="134">
        <f t="shared" si="170"/>
        <v>1.2366994594594596</v>
      </c>
      <c r="R759" s="149">
        <f t="shared" si="165"/>
        <v>11.638567056508897</v>
      </c>
      <c r="T759" s="151"/>
    </row>
    <row r="760" spans="1:20" ht="14.45" x14ac:dyDescent="0.3">
      <c r="A760" s="45" t="s">
        <v>22</v>
      </c>
      <c r="B760" s="45" t="s">
        <v>8</v>
      </c>
      <c r="C760" s="45" t="s">
        <v>29</v>
      </c>
      <c r="D760" s="45" t="s">
        <v>91</v>
      </c>
      <c r="E760" s="124">
        <v>40910</v>
      </c>
      <c r="G760" s="92">
        <v>5040</v>
      </c>
      <c r="H760" s="52">
        <v>1695</v>
      </c>
      <c r="I760" t="s">
        <v>93</v>
      </c>
      <c r="J760" s="128">
        <f t="shared" si="171"/>
        <v>0.37</v>
      </c>
      <c r="K760" s="103">
        <f t="shared" si="164"/>
        <v>50.049652432969211</v>
      </c>
      <c r="L760" s="103">
        <f t="shared" si="166"/>
        <v>1.3621621621621622</v>
      </c>
      <c r="M760" s="133">
        <f t="shared" si="167"/>
        <v>627.15</v>
      </c>
      <c r="N760" s="133">
        <f t="shared" si="168"/>
        <v>5667.15</v>
      </c>
      <c r="O760" s="134">
        <f t="shared" si="169"/>
        <v>56.277557100297912</v>
      </c>
      <c r="P760" s="134">
        <f t="shared" si="170"/>
        <v>1.531662162162162</v>
      </c>
      <c r="R760" s="149">
        <f t="shared" si="165"/>
        <v>10.393291257597003</v>
      </c>
      <c r="T760" s="151"/>
    </row>
    <row r="761" spans="1:20" ht="14.45" x14ac:dyDescent="0.3">
      <c r="A761" s="45" t="s">
        <v>22</v>
      </c>
      <c r="B761" s="45" t="s">
        <v>23</v>
      </c>
      <c r="C761" s="45" t="s">
        <v>26</v>
      </c>
      <c r="D761" s="45" t="s">
        <v>91</v>
      </c>
      <c r="E761" s="124">
        <v>40910</v>
      </c>
      <c r="G761" s="92">
        <v>5030</v>
      </c>
      <c r="H761">
        <v>1851</v>
      </c>
      <c r="I761" t="s">
        <v>93</v>
      </c>
      <c r="J761" s="128">
        <f t="shared" si="171"/>
        <v>0.37</v>
      </c>
      <c r="K761" s="103">
        <f t="shared" si="164"/>
        <v>49.950347567030782</v>
      </c>
      <c r="L761" s="103">
        <f t="shared" si="166"/>
        <v>1.3594594594594596</v>
      </c>
      <c r="M761" s="133">
        <f t="shared" si="167"/>
        <v>684.87</v>
      </c>
      <c r="N761" s="133">
        <f t="shared" si="168"/>
        <v>5714.87</v>
      </c>
      <c r="O761" s="134">
        <f t="shared" si="169"/>
        <v>56.751439920556102</v>
      </c>
      <c r="P761" s="134">
        <f t="shared" si="170"/>
        <v>1.5445594594594594</v>
      </c>
      <c r="R761" s="149">
        <f t="shared" si="165"/>
        <v>10.785929188443122</v>
      </c>
      <c r="T761" s="151"/>
    </row>
    <row r="762" spans="1:20" ht="14.45" x14ac:dyDescent="0.3">
      <c r="A762" s="45" t="s">
        <v>22</v>
      </c>
      <c r="B762" s="45" t="s">
        <v>33</v>
      </c>
      <c r="C762" s="45" t="s">
        <v>29</v>
      </c>
      <c r="D762" s="45" t="s">
        <v>91</v>
      </c>
      <c r="E762" s="124">
        <v>40910</v>
      </c>
      <c r="G762" s="92">
        <v>4930</v>
      </c>
      <c r="H762">
        <v>1507</v>
      </c>
      <c r="I762" t="s">
        <v>93</v>
      </c>
      <c r="J762" s="128">
        <f t="shared" si="171"/>
        <v>0.37</v>
      </c>
      <c r="K762" s="103">
        <f t="shared" si="164"/>
        <v>48.957298907646475</v>
      </c>
      <c r="L762" s="103">
        <f t="shared" si="166"/>
        <v>1.3324324324324324</v>
      </c>
      <c r="M762" s="133">
        <f t="shared" si="167"/>
        <v>557.59</v>
      </c>
      <c r="N762" s="133">
        <f t="shared" si="168"/>
        <v>5487.59</v>
      </c>
      <c r="O762" s="134">
        <f t="shared" si="169"/>
        <v>54.494438927507446</v>
      </c>
      <c r="P762" s="134">
        <f t="shared" si="170"/>
        <v>1.4831324324324324</v>
      </c>
      <c r="R762" s="149">
        <f t="shared" si="165"/>
        <v>9.897744204303315</v>
      </c>
      <c r="T762" s="151"/>
    </row>
    <row r="763" spans="1:20" ht="14.45" x14ac:dyDescent="0.3">
      <c r="A763" s="45" t="s">
        <v>22</v>
      </c>
      <c r="B763" s="45" t="s">
        <v>31</v>
      </c>
      <c r="C763" s="45" t="s">
        <v>7</v>
      </c>
      <c r="D763" s="45" t="s">
        <v>91</v>
      </c>
      <c r="E763" s="124">
        <v>40910</v>
      </c>
      <c r="G763" s="92">
        <v>3710</v>
      </c>
      <c r="H763">
        <v>1160</v>
      </c>
      <c r="I763" t="s">
        <v>92</v>
      </c>
      <c r="J763" s="128">
        <f t="shared" si="171"/>
        <v>0.38</v>
      </c>
      <c r="K763" s="103">
        <f t="shared" si="164"/>
        <v>36.84210526315789</v>
      </c>
      <c r="L763" s="103">
        <f t="shared" si="166"/>
        <v>1.0027027027027027</v>
      </c>
      <c r="M763" s="133">
        <f t="shared" si="167"/>
        <v>440.8</v>
      </c>
      <c r="N763" s="133">
        <f t="shared" si="168"/>
        <v>4150.8</v>
      </c>
      <c r="O763" s="134">
        <f t="shared" si="169"/>
        <v>41.219463753723936</v>
      </c>
      <c r="P763" s="134">
        <f t="shared" si="170"/>
        <v>1.121837837837838</v>
      </c>
      <c r="R763" s="149">
        <f t="shared" si="165"/>
        <v>10.581841432225069</v>
      </c>
      <c r="T763" s="151"/>
    </row>
    <row r="764" spans="1:20" ht="14.45" x14ac:dyDescent="0.3">
      <c r="A764" s="45" t="s">
        <v>22</v>
      </c>
      <c r="B764" s="45" t="s">
        <v>14</v>
      </c>
      <c r="C764" s="45" t="s">
        <v>24</v>
      </c>
      <c r="D764" s="45" t="s">
        <v>91</v>
      </c>
      <c r="E764" s="124">
        <v>40910</v>
      </c>
      <c r="G764" s="92">
        <v>2672</v>
      </c>
      <c r="H764">
        <v>615</v>
      </c>
      <c r="I764" t="s">
        <v>94</v>
      </c>
      <c r="J764" s="128">
        <f t="shared" si="171"/>
        <v>0.5</v>
      </c>
      <c r="K764" s="103">
        <f t="shared" si="164"/>
        <v>26.53426017874876</v>
      </c>
      <c r="L764" s="103">
        <f t="shared" si="166"/>
        <v>0.72216216216216211</v>
      </c>
      <c r="M764" s="133">
        <f t="shared" si="167"/>
        <v>307.5</v>
      </c>
      <c r="N764" s="133">
        <f t="shared" si="168"/>
        <v>2979.5</v>
      </c>
      <c r="O764" s="134">
        <f t="shared" si="169"/>
        <v>29.587884806355511</v>
      </c>
      <c r="P764" s="134">
        <f t="shared" si="170"/>
        <v>0.80527027027027032</v>
      </c>
      <c r="R764" s="149">
        <f t="shared" si="165"/>
        <v>9.768452852432441</v>
      </c>
      <c r="T764" s="151"/>
    </row>
    <row r="765" spans="1:20" ht="14.45" x14ac:dyDescent="0.3">
      <c r="A765" s="80" t="s">
        <v>22</v>
      </c>
      <c r="B765" s="80" t="s">
        <v>34</v>
      </c>
      <c r="C765" s="80" t="s">
        <v>26</v>
      </c>
      <c r="D765" s="80" t="s">
        <v>91</v>
      </c>
      <c r="E765" s="126">
        <v>40910</v>
      </c>
      <c r="F765" s="84"/>
      <c r="G765" s="105">
        <v>4520</v>
      </c>
      <c r="H765" s="125">
        <v>1637</v>
      </c>
      <c r="I765" s="125" t="s">
        <v>92</v>
      </c>
      <c r="J765" s="113">
        <f t="shared" si="171"/>
        <v>0.38</v>
      </c>
      <c r="K765" s="114">
        <f>G765/100.7</f>
        <v>44.885799404170804</v>
      </c>
      <c r="L765" s="114">
        <f t="shared" si="166"/>
        <v>1.2216216216216216</v>
      </c>
      <c r="M765" s="115">
        <f t="shared" si="167"/>
        <v>622.06000000000006</v>
      </c>
      <c r="N765" s="115">
        <f t="shared" si="168"/>
        <v>5142.0600000000004</v>
      </c>
      <c r="O765" s="116">
        <f t="shared" si="169"/>
        <v>51.063157894736847</v>
      </c>
      <c r="P765" s="116">
        <f t="shared" si="170"/>
        <v>1.389745945945946</v>
      </c>
      <c r="Q765" s="106"/>
      <c r="R765" s="152">
        <f>((N765/N309)-1)*100</f>
        <v>5.7216932544096544</v>
      </c>
      <c r="S765" s="153"/>
      <c r="T765" s="153"/>
    </row>
    <row r="766" spans="1:20" ht="14.45" x14ac:dyDescent="0.3">
      <c r="A766" s="45" t="s">
        <v>1</v>
      </c>
      <c r="B766" s="45" t="s">
        <v>2</v>
      </c>
      <c r="C766" s="45" t="s">
        <v>3</v>
      </c>
      <c r="D766" s="45" t="s">
        <v>90</v>
      </c>
      <c r="E766" s="124">
        <v>40948</v>
      </c>
      <c r="G766" s="92">
        <v>2992</v>
      </c>
      <c r="H766">
        <v>506</v>
      </c>
      <c r="I766" t="s">
        <v>92</v>
      </c>
      <c r="J766" s="128">
        <f>IF(I766="BNSF",0.35,IF(I766="CN",0.3048,IF(I766="CSX",0.47,0.36)))</f>
        <v>0.36</v>
      </c>
      <c r="K766" s="103">
        <f t="shared" ref="K766" si="172">G766/100.7</f>
        <v>29.712015888778549</v>
      </c>
      <c r="L766" s="103">
        <f t="shared" si="166"/>
        <v>0.8086486486486486</v>
      </c>
      <c r="M766" s="133">
        <f t="shared" si="167"/>
        <v>182.16</v>
      </c>
      <c r="N766" s="133">
        <f t="shared" si="168"/>
        <v>3174.16</v>
      </c>
      <c r="O766" s="134">
        <f t="shared" si="169"/>
        <v>31.520953326713006</v>
      </c>
      <c r="P766" s="134">
        <f t="shared" si="170"/>
        <v>0.85788108108108108</v>
      </c>
      <c r="R766" s="149">
        <f t="shared" si="165"/>
        <v>5.8272042888863673</v>
      </c>
    </row>
    <row r="767" spans="1:20" ht="14.45" x14ac:dyDescent="0.3">
      <c r="A767" s="45" t="s">
        <v>1</v>
      </c>
      <c r="B767" s="45" t="s">
        <v>4</v>
      </c>
      <c r="C767" s="45" t="s">
        <v>5</v>
      </c>
      <c r="D767" s="45" t="s">
        <v>90</v>
      </c>
      <c r="E767" s="124">
        <v>40948</v>
      </c>
      <c r="G767" s="92">
        <v>3260</v>
      </c>
      <c r="H767">
        <v>298</v>
      </c>
      <c r="I767" t="s">
        <v>93</v>
      </c>
      <c r="J767" s="128">
        <f t="shared" ref="J767:J803" si="173">IF(I767="BNSF",0.35,IF(I767="CN",0.3048,IF(I767="CSX",0.47,0.36)))</f>
        <v>0.35</v>
      </c>
      <c r="K767" s="103">
        <f t="shared" ref="K767:K804" si="174">G767/100.7</f>
        <v>32.373386295928498</v>
      </c>
      <c r="L767" s="103">
        <f t="shared" ref="L767:L804" si="175">IF(A767="corn",G767/(111*2000/56),G767/(111*2000/60))</f>
        <v>0.88108108108108107</v>
      </c>
      <c r="M767" s="133">
        <f t="shared" ref="M767:M830" si="176">H767*J767</f>
        <v>104.3</v>
      </c>
      <c r="N767" s="133">
        <f t="shared" ref="N767:N830" si="177">G767+M767</f>
        <v>3364.3</v>
      </c>
      <c r="O767" s="134">
        <f t="shared" ref="O767:O830" si="178">N767/100.7</f>
        <v>33.409136047666337</v>
      </c>
      <c r="P767" s="134">
        <f t="shared" ref="P767:P830" si="179">IF(A767="corn",N767/(111*2000/56),N767/(111*2000/60))</f>
        <v>0.9092702702702703</v>
      </c>
      <c r="R767" s="149">
        <f t="shared" si="165"/>
        <v>16.97844228094576</v>
      </c>
    </row>
    <row r="768" spans="1:20" ht="14.45" x14ac:dyDescent="0.3">
      <c r="A768" s="45" t="s">
        <v>1</v>
      </c>
      <c r="B768" s="45" t="s">
        <v>2</v>
      </c>
      <c r="C768" s="45" t="s">
        <v>6</v>
      </c>
      <c r="D768" s="45" t="s">
        <v>90</v>
      </c>
      <c r="E768" s="124">
        <v>40948</v>
      </c>
      <c r="G768" s="92">
        <v>5895</v>
      </c>
      <c r="H768">
        <v>1530</v>
      </c>
      <c r="I768" t="s">
        <v>93</v>
      </c>
      <c r="J768" s="128">
        <f t="shared" si="173"/>
        <v>0.35</v>
      </c>
      <c r="K768" s="103">
        <f t="shared" si="174"/>
        <v>58.540218470705064</v>
      </c>
      <c r="L768" s="103">
        <f t="shared" si="175"/>
        <v>1.5932432432432433</v>
      </c>
      <c r="M768" s="133">
        <f t="shared" si="176"/>
        <v>535.5</v>
      </c>
      <c r="N768" s="133">
        <f t="shared" si="177"/>
        <v>6430.5</v>
      </c>
      <c r="O768" s="134">
        <f t="shared" si="178"/>
        <v>63.857994041708039</v>
      </c>
      <c r="P768" s="134">
        <f t="shared" si="179"/>
        <v>1.7379729729729729</v>
      </c>
      <c r="R768" s="149">
        <f t="shared" si="165"/>
        <v>7.2286143071535802</v>
      </c>
    </row>
    <row r="769" spans="1:18" ht="14.45" x14ac:dyDescent="0.3">
      <c r="A769" s="45" t="s">
        <v>1</v>
      </c>
      <c r="B769" s="45" t="s">
        <v>2</v>
      </c>
      <c r="C769" s="45" t="s">
        <v>7</v>
      </c>
      <c r="D769" s="45" t="s">
        <v>90</v>
      </c>
      <c r="E769" s="124">
        <v>40948</v>
      </c>
      <c r="G769" s="92">
        <v>3492</v>
      </c>
      <c r="H769">
        <v>890</v>
      </c>
      <c r="I769" t="s">
        <v>92</v>
      </c>
      <c r="J769" s="128">
        <f t="shared" si="173"/>
        <v>0.36</v>
      </c>
      <c r="K769" s="103">
        <f t="shared" si="174"/>
        <v>34.677259185700102</v>
      </c>
      <c r="L769" s="103">
        <f t="shared" si="175"/>
        <v>0.9437837837837838</v>
      </c>
      <c r="M769" s="133">
        <f t="shared" si="176"/>
        <v>320.39999999999998</v>
      </c>
      <c r="N769" s="133">
        <f t="shared" si="177"/>
        <v>3812.4</v>
      </c>
      <c r="O769" s="134">
        <f t="shared" si="178"/>
        <v>37.858987090367428</v>
      </c>
      <c r="P769" s="134">
        <f t="shared" si="179"/>
        <v>1.0303783783783784</v>
      </c>
      <c r="R769" s="149">
        <f t="shared" si="165"/>
        <v>6.233455011564093</v>
      </c>
    </row>
    <row r="770" spans="1:18" ht="14.45" x14ac:dyDescent="0.3">
      <c r="A770" s="45" t="s">
        <v>1</v>
      </c>
      <c r="B770" s="45" t="s">
        <v>8</v>
      </c>
      <c r="C770" s="45" t="s">
        <v>9</v>
      </c>
      <c r="D770" s="45" t="s">
        <v>90</v>
      </c>
      <c r="E770" s="124">
        <v>40948</v>
      </c>
      <c r="G770" s="92">
        <v>5573</v>
      </c>
      <c r="H770">
        <v>1256</v>
      </c>
      <c r="I770" t="s">
        <v>93</v>
      </c>
      <c r="J770" s="128">
        <f t="shared" si="173"/>
        <v>0.35</v>
      </c>
      <c r="K770" s="103">
        <f t="shared" si="174"/>
        <v>55.342601787487588</v>
      </c>
      <c r="L770" s="103">
        <f t="shared" si="175"/>
        <v>1.5062162162162163</v>
      </c>
      <c r="M770" s="133">
        <f t="shared" si="176"/>
        <v>439.59999999999997</v>
      </c>
      <c r="N770" s="133">
        <f t="shared" si="177"/>
        <v>6012.6</v>
      </c>
      <c r="O770" s="134">
        <f t="shared" si="178"/>
        <v>59.708043694141011</v>
      </c>
      <c r="P770" s="134">
        <f t="shared" si="179"/>
        <v>1.6250270270270271</v>
      </c>
      <c r="R770" s="149">
        <f t="shared" si="165"/>
        <v>3.7549611734253752</v>
      </c>
    </row>
    <row r="771" spans="1:18" ht="14.45" x14ac:dyDescent="0.3">
      <c r="A771" s="45" t="s">
        <v>1</v>
      </c>
      <c r="B771" s="45" t="s">
        <v>10</v>
      </c>
      <c r="C771" s="45" t="s">
        <v>9</v>
      </c>
      <c r="D771" s="45" t="s">
        <v>90</v>
      </c>
      <c r="E771" s="124">
        <v>40948</v>
      </c>
      <c r="G771" s="92">
        <v>3760</v>
      </c>
      <c r="H771">
        <v>975</v>
      </c>
      <c r="I771" t="s">
        <v>92</v>
      </c>
      <c r="J771" s="128">
        <f t="shared" si="173"/>
        <v>0.36</v>
      </c>
      <c r="K771" s="103">
        <f t="shared" si="174"/>
        <v>37.338629592850047</v>
      </c>
      <c r="L771" s="103">
        <f t="shared" si="175"/>
        <v>1.0162162162162163</v>
      </c>
      <c r="M771" s="133">
        <f t="shared" si="176"/>
        <v>351</v>
      </c>
      <c r="N771" s="133">
        <f t="shared" si="177"/>
        <v>4111</v>
      </c>
      <c r="O771" s="134">
        <f t="shared" si="178"/>
        <v>40.824230387288978</v>
      </c>
      <c r="P771" s="134">
        <f t="shared" si="179"/>
        <v>1.1110810810810812</v>
      </c>
      <c r="R771" s="149">
        <f t="shared" si="165"/>
        <v>6.0834784852590085</v>
      </c>
    </row>
    <row r="772" spans="1:18" ht="14.45" x14ac:dyDescent="0.3">
      <c r="A772" s="45" t="s">
        <v>1</v>
      </c>
      <c r="B772" s="45" t="s">
        <v>11</v>
      </c>
      <c r="C772" s="45" t="s">
        <v>6</v>
      </c>
      <c r="D772" s="45" t="s">
        <v>90</v>
      </c>
      <c r="E772" s="124">
        <v>40948</v>
      </c>
      <c r="G772" s="92">
        <v>3959</v>
      </c>
      <c r="H772">
        <v>1357</v>
      </c>
      <c r="I772" t="s">
        <v>92</v>
      </c>
      <c r="J772" s="128">
        <f t="shared" si="173"/>
        <v>0.36</v>
      </c>
      <c r="K772" s="103">
        <f t="shared" si="174"/>
        <v>39.314796425024824</v>
      </c>
      <c r="L772" s="103">
        <f t="shared" si="175"/>
        <v>1.07</v>
      </c>
      <c r="M772" s="133">
        <f t="shared" si="176"/>
        <v>488.52</v>
      </c>
      <c r="N772" s="133">
        <f t="shared" si="177"/>
        <v>4447.5200000000004</v>
      </c>
      <c r="O772" s="134">
        <f t="shared" si="178"/>
        <v>44.166037735849059</v>
      </c>
      <c r="P772" s="134">
        <f t="shared" si="179"/>
        <v>1.2020324324324325</v>
      </c>
      <c r="R772" s="149">
        <f t="shared" si="165"/>
        <v>6.8573391861339816</v>
      </c>
    </row>
    <row r="773" spans="1:18" ht="14.45" x14ac:dyDescent="0.3">
      <c r="A773" s="45" t="s">
        <v>134</v>
      </c>
      <c r="B773" s="45" t="s">
        <v>13</v>
      </c>
      <c r="C773" s="45" t="s">
        <v>7</v>
      </c>
      <c r="D773" s="45" t="s">
        <v>90</v>
      </c>
      <c r="E773" s="124">
        <v>40948</v>
      </c>
      <c r="G773" s="92">
        <v>3038</v>
      </c>
      <c r="H773">
        <v>1006</v>
      </c>
      <c r="I773" t="s">
        <v>92</v>
      </c>
      <c r="J773" s="128">
        <f t="shared" si="173"/>
        <v>0.36</v>
      </c>
      <c r="K773" s="103">
        <f t="shared" si="174"/>
        <v>30.168818272095333</v>
      </c>
      <c r="L773" s="103">
        <f t="shared" si="175"/>
        <v>0.76634234234234233</v>
      </c>
      <c r="M773" s="133">
        <f t="shared" si="176"/>
        <v>362.15999999999997</v>
      </c>
      <c r="N773" s="133">
        <f t="shared" si="177"/>
        <v>3400.16</v>
      </c>
      <c r="O773" s="134">
        <f t="shared" si="178"/>
        <v>33.765243296921547</v>
      </c>
      <c r="P773" s="134">
        <f t="shared" si="179"/>
        <v>0.85769801801801804</v>
      </c>
      <c r="R773" s="149">
        <f t="shared" si="165"/>
        <v>11.723149918840225</v>
      </c>
    </row>
    <row r="774" spans="1:18" ht="14.45" x14ac:dyDescent="0.3">
      <c r="A774" s="45" t="s">
        <v>134</v>
      </c>
      <c r="B774" s="45" t="s">
        <v>14</v>
      </c>
      <c r="C774" s="45" t="s">
        <v>15</v>
      </c>
      <c r="D774" s="45" t="s">
        <v>90</v>
      </c>
      <c r="E774" s="124">
        <v>40948</v>
      </c>
      <c r="G774" s="92">
        <v>4382</v>
      </c>
      <c r="H774">
        <v>866</v>
      </c>
      <c r="I774" t="s">
        <v>94</v>
      </c>
      <c r="J774" s="128">
        <f t="shared" si="173"/>
        <v>0.47</v>
      </c>
      <c r="K774" s="103">
        <f t="shared" si="174"/>
        <v>43.515392254220458</v>
      </c>
      <c r="L774" s="103">
        <f t="shared" si="175"/>
        <v>1.1053693693693694</v>
      </c>
      <c r="M774" s="133">
        <f t="shared" si="176"/>
        <v>407.02</v>
      </c>
      <c r="N774" s="133">
        <f t="shared" si="177"/>
        <v>4789.0200000000004</v>
      </c>
      <c r="O774" s="134">
        <f t="shared" si="178"/>
        <v>47.557298907646476</v>
      </c>
      <c r="P774" s="134">
        <f t="shared" si="179"/>
        <v>1.2080410810810811</v>
      </c>
      <c r="R774" s="149">
        <f t="shared" si="165"/>
        <v>18.624663126188977</v>
      </c>
    </row>
    <row r="775" spans="1:18" ht="14.45" x14ac:dyDescent="0.3">
      <c r="A775" s="45" t="s">
        <v>134</v>
      </c>
      <c r="B775" s="45" t="s">
        <v>16</v>
      </c>
      <c r="C775" s="45" t="s">
        <v>17</v>
      </c>
      <c r="D775" s="45" t="s">
        <v>90</v>
      </c>
      <c r="E775" s="124">
        <v>40948</v>
      </c>
      <c r="G775" s="92">
        <v>1934</v>
      </c>
      <c r="H775">
        <v>213</v>
      </c>
      <c r="I775" t="s">
        <v>92</v>
      </c>
      <c r="J775" s="128">
        <f t="shared" si="173"/>
        <v>0.36</v>
      </c>
      <c r="K775" s="103">
        <f t="shared" si="174"/>
        <v>19.20556107249255</v>
      </c>
      <c r="L775" s="103">
        <f t="shared" si="175"/>
        <v>0.48785585585585589</v>
      </c>
      <c r="M775" s="133">
        <f t="shared" si="176"/>
        <v>76.679999999999993</v>
      </c>
      <c r="N775" s="133">
        <f t="shared" si="177"/>
        <v>2010.68</v>
      </c>
      <c r="O775" s="134">
        <f t="shared" si="178"/>
        <v>19.967030784508442</v>
      </c>
      <c r="P775" s="134">
        <f t="shared" si="179"/>
        <v>0.50719855855855855</v>
      </c>
      <c r="R775" s="149">
        <f t="shared" si="165"/>
        <v>6.2732889708719375</v>
      </c>
    </row>
    <row r="776" spans="1:18" ht="14.45" x14ac:dyDescent="0.3">
      <c r="A776" s="45" t="s">
        <v>134</v>
      </c>
      <c r="B776" s="45" t="s">
        <v>18</v>
      </c>
      <c r="C776" s="45" t="s">
        <v>19</v>
      </c>
      <c r="D776" s="45" t="s">
        <v>90</v>
      </c>
      <c r="E776" s="124">
        <v>40948</v>
      </c>
      <c r="G776" s="92">
        <v>3821</v>
      </c>
      <c r="H776">
        <v>650</v>
      </c>
      <c r="I776" t="s">
        <v>94</v>
      </c>
      <c r="J776" s="128">
        <f t="shared" si="173"/>
        <v>0.47</v>
      </c>
      <c r="K776" s="103">
        <f t="shared" si="174"/>
        <v>37.944389275074478</v>
      </c>
      <c r="L776" s="103">
        <f t="shared" si="175"/>
        <v>0.96385585585585587</v>
      </c>
      <c r="M776" s="133">
        <f t="shared" si="176"/>
        <v>305.5</v>
      </c>
      <c r="N776" s="133">
        <f t="shared" si="177"/>
        <v>4126.5</v>
      </c>
      <c r="O776" s="134">
        <f t="shared" si="178"/>
        <v>40.978152929493547</v>
      </c>
      <c r="P776" s="134">
        <f t="shared" si="179"/>
        <v>1.040918918918919</v>
      </c>
      <c r="R776" s="149">
        <f t="shared" si="165"/>
        <v>21.225029377203299</v>
      </c>
    </row>
    <row r="777" spans="1:18" ht="14.45" x14ac:dyDescent="0.3">
      <c r="A777" s="45" t="s">
        <v>134</v>
      </c>
      <c r="B777" s="45" t="s">
        <v>18</v>
      </c>
      <c r="C777" s="45" t="s">
        <v>20</v>
      </c>
      <c r="D777" s="45" t="s">
        <v>90</v>
      </c>
      <c r="E777" s="124">
        <v>40948</v>
      </c>
      <c r="G777" s="92">
        <v>3273</v>
      </c>
      <c r="H777">
        <v>417</v>
      </c>
      <c r="I777" t="s">
        <v>94</v>
      </c>
      <c r="J777" s="128">
        <f t="shared" si="173"/>
        <v>0.47</v>
      </c>
      <c r="K777" s="103">
        <f t="shared" si="174"/>
        <v>32.502482621648461</v>
      </c>
      <c r="L777" s="103">
        <f t="shared" si="175"/>
        <v>0.82562162162162167</v>
      </c>
      <c r="M777" s="133">
        <f t="shared" si="176"/>
        <v>195.98999999999998</v>
      </c>
      <c r="N777" s="133">
        <f t="shared" si="177"/>
        <v>3468.99</v>
      </c>
      <c r="O777" s="134">
        <f t="shared" si="178"/>
        <v>34.448758689175769</v>
      </c>
      <c r="P777" s="134">
        <f t="shared" si="179"/>
        <v>0.8750605405405405</v>
      </c>
      <c r="R777" s="149">
        <f t="shared" si="165"/>
        <v>19.891547777040476</v>
      </c>
    </row>
    <row r="778" spans="1:18" ht="14.45" x14ac:dyDescent="0.3">
      <c r="A778" s="45" t="s">
        <v>134</v>
      </c>
      <c r="B778" s="45" t="s">
        <v>16</v>
      </c>
      <c r="C778" s="45" t="s">
        <v>21</v>
      </c>
      <c r="D778" s="45" t="s">
        <v>90</v>
      </c>
      <c r="E778" s="124">
        <v>40948</v>
      </c>
      <c r="G778" s="92">
        <v>3074</v>
      </c>
      <c r="H778">
        <v>626</v>
      </c>
      <c r="I778" t="s">
        <v>92</v>
      </c>
      <c r="J778" s="128">
        <f t="shared" si="173"/>
        <v>0.36</v>
      </c>
      <c r="K778" s="103">
        <f t="shared" si="174"/>
        <v>30.526315789473685</v>
      </c>
      <c r="L778" s="103">
        <f t="shared" si="175"/>
        <v>0.77542342342342341</v>
      </c>
      <c r="M778" s="133">
        <f t="shared" si="176"/>
        <v>225.35999999999999</v>
      </c>
      <c r="N778" s="133">
        <f t="shared" si="177"/>
        <v>3299.36</v>
      </c>
      <c r="O778" s="134">
        <f t="shared" si="178"/>
        <v>32.764250248262165</v>
      </c>
      <c r="P778" s="134">
        <f t="shared" si="179"/>
        <v>0.832270990990991</v>
      </c>
      <c r="R778" s="149">
        <f t="shared" si="165"/>
        <v>7.0532579705254506</v>
      </c>
    </row>
    <row r="779" spans="1:18" ht="14.45" x14ac:dyDescent="0.3">
      <c r="A779" s="45" t="s">
        <v>134</v>
      </c>
      <c r="B779" s="45" t="s">
        <v>16</v>
      </c>
      <c r="C779" s="45" t="s">
        <v>6</v>
      </c>
      <c r="D779" s="45" t="s">
        <v>90</v>
      </c>
      <c r="E779" s="124">
        <v>40948</v>
      </c>
      <c r="G779" s="92">
        <v>4985</v>
      </c>
      <c r="H779">
        <v>1823</v>
      </c>
      <c r="I779" t="s">
        <v>92</v>
      </c>
      <c r="J779" s="128">
        <f t="shared" si="173"/>
        <v>0.36</v>
      </c>
      <c r="K779" s="103">
        <f t="shared" si="174"/>
        <v>49.503475670307843</v>
      </c>
      <c r="L779" s="103">
        <f t="shared" si="175"/>
        <v>1.2574774774774775</v>
      </c>
      <c r="M779" s="133">
        <f t="shared" si="176"/>
        <v>656.28</v>
      </c>
      <c r="N779" s="133">
        <f t="shared" si="177"/>
        <v>5641.28</v>
      </c>
      <c r="O779" s="134">
        <f t="shared" si="178"/>
        <v>56.02065541211519</v>
      </c>
      <c r="P779" s="134">
        <f t="shared" si="179"/>
        <v>1.4230255855855856</v>
      </c>
      <c r="R779" s="149">
        <f t="shared" si="165"/>
        <v>17.740316282253833</v>
      </c>
    </row>
    <row r="780" spans="1:18" ht="14.45" x14ac:dyDescent="0.3">
      <c r="A780" s="45" t="s">
        <v>22</v>
      </c>
      <c r="B780" s="45" t="s">
        <v>23</v>
      </c>
      <c r="C780" s="45" t="s">
        <v>7</v>
      </c>
      <c r="D780" s="45" t="s">
        <v>90</v>
      </c>
      <c r="E780" s="124">
        <v>40948</v>
      </c>
      <c r="G780" s="92">
        <v>3499</v>
      </c>
      <c r="H780" s="52">
        <v>1295</v>
      </c>
      <c r="I780" t="s">
        <v>95</v>
      </c>
      <c r="J780" s="128">
        <f t="shared" si="173"/>
        <v>0.30480000000000002</v>
      </c>
      <c r="K780" s="103">
        <f t="shared" si="174"/>
        <v>34.746772591857003</v>
      </c>
      <c r="L780" s="103">
        <f t="shared" si="175"/>
        <v>0.94567567567567568</v>
      </c>
      <c r="M780" s="133">
        <f t="shared" si="176"/>
        <v>394.71600000000001</v>
      </c>
      <c r="N780" s="133">
        <f t="shared" si="177"/>
        <v>3893.7159999999999</v>
      </c>
      <c r="O780" s="134">
        <f t="shared" si="178"/>
        <v>38.666494538232371</v>
      </c>
      <c r="P780" s="134">
        <f t="shared" si="179"/>
        <v>1.0523556756756756</v>
      </c>
      <c r="R780" s="149">
        <f t="shared" si="165"/>
        <v>7.2861834854295982</v>
      </c>
    </row>
    <row r="781" spans="1:18" ht="14.45" x14ac:dyDescent="0.3">
      <c r="A781" s="45" t="s">
        <v>22</v>
      </c>
      <c r="B781" s="45" t="s">
        <v>14</v>
      </c>
      <c r="C781" s="45" t="s">
        <v>24</v>
      </c>
      <c r="D781" s="45" t="s">
        <v>90</v>
      </c>
      <c r="E781" s="124">
        <v>40948</v>
      </c>
      <c r="G781" s="92">
        <v>3497</v>
      </c>
      <c r="H781">
        <v>615</v>
      </c>
      <c r="I781" t="s">
        <v>94</v>
      </c>
      <c r="J781" s="128">
        <f t="shared" si="173"/>
        <v>0.47</v>
      </c>
      <c r="K781" s="103">
        <f t="shared" si="174"/>
        <v>34.726911618669313</v>
      </c>
      <c r="L781" s="103">
        <f t="shared" si="175"/>
        <v>0.94513513513513514</v>
      </c>
      <c r="M781" s="133">
        <f t="shared" si="176"/>
        <v>289.05</v>
      </c>
      <c r="N781" s="133">
        <f t="shared" si="177"/>
        <v>3786.05</v>
      </c>
      <c r="O781" s="134">
        <f t="shared" si="178"/>
        <v>37.597318768619665</v>
      </c>
      <c r="P781" s="134">
        <f t="shared" si="179"/>
        <v>1.0232567567567568</v>
      </c>
      <c r="R781" s="149">
        <f t="shared" si="165"/>
        <v>21.433382513310661</v>
      </c>
    </row>
    <row r="782" spans="1:18" ht="14.45" x14ac:dyDescent="0.3">
      <c r="A782" s="45" t="s">
        <v>22</v>
      </c>
      <c r="B782" s="45" t="s">
        <v>18</v>
      </c>
      <c r="C782" s="45" t="s">
        <v>15</v>
      </c>
      <c r="D782" s="45" t="s">
        <v>90</v>
      </c>
      <c r="E782" s="124">
        <v>40948</v>
      </c>
      <c r="G782" s="92">
        <v>4453</v>
      </c>
      <c r="H782">
        <v>872</v>
      </c>
      <c r="I782" t="s">
        <v>94</v>
      </c>
      <c r="J782" s="128">
        <f t="shared" si="173"/>
        <v>0.47</v>
      </c>
      <c r="K782" s="103">
        <f t="shared" si="174"/>
        <v>44.220456802383318</v>
      </c>
      <c r="L782" s="103">
        <f t="shared" si="175"/>
        <v>1.2035135135135135</v>
      </c>
      <c r="M782" s="133">
        <f t="shared" si="176"/>
        <v>409.84</v>
      </c>
      <c r="N782" s="133">
        <f t="shared" si="177"/>
        <v>4862.84</v>
      </c>
      <c r="O782" s="134">
        <f t="shared" si="178"/>
        <v>48.290367428003975</v>
      </c>
      <c r="P782" s="134">
        <f t="shared" si="179"/>
        <v>1.3142810810810812</v>
      </c>
      <c r="R782" s="149">
        <f t="shared" si="165"/>
        <v>18.34491754765104</v>
      </c>
    </row>
    <row r="783" spans="1:18" ht="14.45" x14ac:dyDescent="0.3">
      <c r="A783" s="45" t="s">
        <v>22</v>
      </c>
      <c r="B783" s="45" t="s">
        <v>18</v>
      </c>
      <c r="C783" s="45" t="s">
        <v>24</v>
      </c>
      <c r="D783" s="45" t="s">
        <v>90</v>
      </c>
      <c r="E783" s="124">
        <v>40948</v>
      </c>
      <c r="G783" s="92">
        <v>3189</v>
      </c>
      <c r="H783">
        <v>417</v>
      </c>
      <c r="I783" t="s">
        <v>94</v>
      </c>
      <c r="J783" s="128">
        <f t="shared" si="173"/>
        <v>0.47</v>
      </c>
      <c r="K783" s="103">
        <f t="shared" si="174"/>
        <v>31.668321747765638</v>
      </c>
      <c r="L783" s="103">
        <f t="shared" si="175"/>
        <v>0.86189189189189186</v>
      </c>
      <c r="M783" s="133">
        <f t="shared" si="176"/>
        <v>195.98999999999998</v>
      </c>
      <c r="N783" s="133">
        <f t="shared" si="177"/>
        <v>3384.99</v>
      </c>
      <c r="O783" s="134">
        <f t="shared" si="178"/>
        <v>33.614597815292946</v>
      </c>
      <c r="P783" s="134">
        <f t="shared" si="179"/>
        <v>0.9148621621621621</v>
      </c>
      <c r="R783" s="149">
        <f t="shared" si="165"/>
        <v>23.250098309083754</v>
      </c>
    </row>
    <row r="784" spans="1:18" ht="14.45" x14ac:dyDescent="0.3">
      <c r="A784" s="45" t="s">
        <v>22</v>
      </c>
      <c r="B784" s="45" t="s">
        <v>13</v>
      </c>
      <c r="C784" s="45" t="s">
        <v>7</v>
      </c>
      <c r="D784" s="45" t="s">
        <v>90</v>
      </c>
      <c r="E784" s="124">
        <v>40948</v>
      </c>
      <c r="G784" s="92">
        <v>3382</v>
      </c>
      <c r="H784">
        <v>1006</v>
      </c>
      <c r="I784" t="s">
        <v>92</v>
      </c>
      <c r="J784" s="128">
        <f t="shared" si="173"/>
        <v>0.36</v>
      </c>
      <c r="K784" s="103">
        <f t="shared" si="174"/>
        <v>33.584905660377359</v>
      </c>
      <c r="L784" s="103">
        <f t="shared" si="175"/>
        <v>0.91405405405405404</v>
      </c>
      <c r="M784" s="133">
        <f t="shared" si="176"/>
        <v>362.15999999999997</v>
      </c>
      <c r="N784" s="133">
        <f t="shared" si="177"/>
        <v>3744.16</v>
      </c>
      <c r="O784" s="134">
        <f t="shared" si="178"/>
        <v>37.181330685203569</v>
      </c>
      <c r="P784" s="134">
        <f t="shared" si="179"/>
        <v>1.0119351351351351</v>
      </c>
      <c r="R784" s="149">
        <f t="shared" si="165"/>
        <v>10.532624033914107</v>
      </c>
    </row>
    <row r="785" spans="1:18" ht="14.45" x14ac:dyDescent="0.3">
      <c r="A785" s="45" t="s">
        <v>1</v>
      </c>
      <c r="B785" s="45" t="s">
        <v>25</v>
      </c>
      <c r="C785" s="45" t="s">
        <v>26</v>
      </c>
      <c r="D785" s="45" t="s">
        <v>91</v>
      </c>
      <c r="E785" s="124">
        <v>40948</v>
      </c>
      <c r="G785" s="92">
        <v>3351</v>
      </c>
      <c r="H785">
        <v>880</v>
      </c>
      <c r="I785" t="s">
        <v>93</v>
      </c>
      <c r="J785" s="128">
        <f t="shared" si="173"/>
        <v>0.35</v>
      </c>
      <c r="K785" s="103">
        <f t="shared" si="174"/>
        <v>33.277060575968221</v>
      </c>
      <c r="L785" s="103">
        <f t="shared" si="175"/>
        <v>0.90567567567567564</v>
      </c>
      <c r="M785" s="133">
        <f t="shared" si="176"/>
        <v>308</v>
      </c>
      <c r="N785" s="133">
        <f t="shared" si="177"/>
        <v>3659</v>
      </c>
      <c r="O785" s="134">
        <f t="shared" si="178"/>
        <v>36.335650446871895</v>
      </c>
      <c r="P785" s="134">
        <f t="shared" si="179"/>
        <v>0.98891891891891892</v>
      </c>
      <c r="R785" s="149">
        <f t="shared" si="165"/>
        <v>7.4280681150910244</v>
      </c>
    </row>
    <row r="786" spans="1:18" ht="14.45" x14ac:dyDescent="0.3">
      <c r="A786" s="45" t="s">
        <v>1</v>
      </c>
      <c r="B786" s="45" t="s">
        <v>2</v>
      </c>
      <c r="C786" s="45" t="s">
        <v>9</v>
      </c>
      <c r="D786" s="45" t="s">
        <v>91</v>
      </c>
      <c r="E786" s="124">
        <v>40948</v>
      </c>
      <c r="G786" s="92">
        <v>3247</v>
      </c>
      <c r="H786">
        <v>685</v>
      </c>
      <c r="I786" t="s">
        <v>93</v>
      </c>
      <c r="J786" s="128">
        <f t="shared" si="173"/>
        <v>0.35</v>
      </c>
      <c r="K786" s="103">
        <f t="shared" si="174"/>
        <v>32.244289970208541</v>
      </c>
      <c r="L786" s="103">
        <f t="shared" si="175"/>
        <v>0.8775675675675676</v>
      </c>
      <c r="M786" s="133">
        <f t="shared" si="176"/>
        <v>239.74999999999997</v>
      </c>
      <c r="N786" s="133">
        <f t="shared" si="177"/>
        <v>3486.75</v>
      </c>
      <c r="O786" s="134">
        <f t="shared" si="178"/>
        <v>34.625124131082423</v>
      </c>
      <c r="P786" s="134">
        <f t="shared" si="179"/>
        <v>0.94236486486486482</v>
      </c>
      <c r="R786" s="149">
        <f t="shared" si="165"/>
        <v>4.7229313710767329</v>
      </c>
    </row>
    <row r="787" spans="1:18" ht="14.45" x14ac:dyDescent="0.3">
      <c r="A787" s="45" t="s">
        <v>1</v>
      </c>
      <c r="B787" s="45" t="s">
        <v>27</v>
      </c>
      <c r="C787" s="45" t="s">
        <v>28</v>
      </c>
      <c r="D787" s="45" t="s">
        <v>91</v>
      </c>
      <c r="E787" s="124">
        <v>40948</v>
      </c>
      <c r="G787" s="92">
        <v>3645</v>
      </c>
      <c r="H787">
        <v>812</v>
      </c>
      <c r="I787" t="s">
        <v>94</v>
      </c>
      <c r="J787" s="128">
        <f t="shared" si="173"/>
        <v>0.47</v>
      </c>
      <c r="K787" s="103">
        <f t="shared" si="174"/>
        <v>36.196623634558094</v>
      </c>
      <c r="L787" s="103">
        <f t="shared" si="175"/>
        <v>0.98513513513513518</v>
      </c>
      <c r="M787" s="133">
        <f t="shared" si="176"/>
        <v>381.64</v>
      </c>
      <c r="N787" s="133">
        <f t="shared" si="177"/>
        <v>4026.64</v>
      </c>
      <c r="O787" s="134">
        <f t="shared" si="178"/>
        <v>39.986494538232371</v>
      </c>
      <c r="P787" s="134">
        <f t="shared" si="179"/>
        <v>1.088281081081081</v>
      </c>
      <c r="R787" s="149">
        <f t="shared" si="165"/>
        <v>7.1815674875693292</v>
      </c>
    </row>
    <row r="788" spans="1:18" ht="14.45" x14ac:dyDescent="0.3">
      <c r="A788" s="45" t="s">
        <v>1</v>
      </c>
      <c r="B788" s="45" t="s">
        <v>4</v>
      </c>
      <c r="C788" s="45" t="s">
        <v>26</v>
      </c>
      <c r="D788" s="45" t="s">
        <v>91</v>
      </c>
      <c r="E788" s="124">
        <v>40948</v>
      </c>
      <c r="G788" s="92">
        <v>4832</v>
      </c>
      <c r="H788">
        <v>1520</v>
      </c>
      <c r="I788" t="s">
        <v>93</v>
      </c>
      <c r="J788" s="128">
        <f t="shared" si="173"/>
        <v>0.35</v>
      </c>
      <c r="K788" s="103">
        <f t="shared" si="174"/>
        <v>47.984111221449851</v>
      </c>
      <c r="L788" s="103">
        <f t="shared" si="175"/>
        <v>1.3059459459459459</v>
      </c>
      <c r="M788" s="133">
        <f t="shared" si="176"/>
        <v>532</v>
      </c>
      <c r="N788" s="133">
        <f t="shared" si="177"/>
        <v>5364</v>
      </c>
      <c r="O788" s="134">
        <f t="shared" si="178"/>
        <v>53.267130089374376</v>
      </c>
      <c r="P788" s="134">
        <f t="shared" si="179"/>
        <v>1.4497297297297298</v>
      </c>
      <c r="R788" s="149">
        <f t="shared" si="165"/>
        <v>7.5165363800360874</v>
      </c>
    </row>
    <row r="789" spans="1:18" ht="14.45" x14ac:dyDescent="0.3">
      <c r="A789" s="45" t="s">
        <v>1</v>
      </c>
      <c r="B789" s="45" t="s">
        <v>4</v>
      </c>
      <c r="C789" s="45" t="s">
        <v>9</v>
      </c>
      <c r="D789" s="45" t="s">
        <v>91</v>
      </c>
      <c r="E789" s="124">
        <v>40948</v>
      </c>
      <c r="G789" s="92">
        <v>5854</v>
      </c>
      <c r="H789">
        <v>1583</v>
      </c>
      <c r="I789" t="s">
        <v>93</v>
      </c>
      <c r="J789" s="128">
        <f t="shared" si="173"/>
        <v>0.35</v>
      </c>
      <c r="K789" s="103">
        <f t="shared" si="174"/>
        <v>58.133068520357497</v>
      </c>
      <c r="L789" s="103">
        <f t="shared" si="175"/>
        <v>1.5821621621621622</v>
      </c>
      <c r="M789" s="133">
        <f t="shared" si="176"/>
        <v>554.04999999999995</v>
      </c>
      <c r="N789" s="133">
        <f t="shared" si="177"/>
        <v>6408.05</v>
      </c>
      <c r="O789" s="134">
        <f t="shared" si="178"/>
        <v>63.635054617676268</v>
      </c>
      <c r="P789" s="134">
        <f t="shared" si="179"/>
        <v>1.7319054054054055</v>
      </c>
      <c r="R789" s="149">
        <f t="shared" si="165"/>
        <v>7.961418583101687</v>
      </c>
    </row>
    <row r="790" spans="1:18" ht="14.45" x14ac:dyDescent="0.3">
      <c r="A790" s="45" t="s">
        <v>1</v>
      </c>
      <c r="B790" s="45" t="s">
        <v>10</v>
      </c>
      <c r="C790" s="45" t="s">
        <v>26</v>
      </c>
      <c r="D790" s="45" t="s">
        <v>91</v>
      </c>
      <c r="E790" s="124">
        <v>40948</v>
      </c>
      <c r="G790" s="92">
        <v>4727</v>
      </c>
      <c r="H790">
        <v>1599</v>
      </c>
      <c r="I790" t="s">
        <v>92</v>
      </c>
      <c r="J790" s="128">
        <f t="shared" si="173"/>
        <v>0.36</v>
      </c>
      <c r="K790" s="103">
        <f t="shared" si="174"/>
        <v>46.941410129096326</v>
      </c>
      <c r="L790" s="103">
        <f t="shared" si="175"/>
        <v>1.2775675675675675</v>
      </c>
      <c r="M790" s="133">
        <f t="shared" si="176"/>
        <v>575.64</v>
      </c>
      <c r="N790" s="133">
        <f t="shared" si="177"/>
        <v>5302.64</v>
      </c>
      <c r="O790" s="134">
        <f t="shared" si="178"/>
        <v>52.657795431976169</v>
      </c>
      <c r="P790" s="134">
        <f t="shared" si="179"/>
        <v>1.4331459459459461</v>
      </c>
      <c r="R790" s="149">
        <f t="shared" si="165"/>
        <v>6.334160187857063</v>
      </c>
    </row>
    <row r="791" spans="1:18" ht="14.45" x14ac:dyDescent="0.3">
      <c r="A791" s="45" t="s">
        <v>134</v>
      </c>
      <c r="B791" s="45" t="s">
        <v>23</v>
      </c>
      <c r="C791" s="45" t="s">
        <v>26</v>
      </c>
      <c r="D791" s="45" t="s">
        <v>91</v>
      </c>
      <c r="E791" s="124">
        <v>40948</v>
      </c>
      <c r="G791" s="92">
        <v>4800</v>
      </c>
      <c r="H791">
        <v>1851</v>
      </c>
      <c r="I791" t="s">
        <v>93</v>
      </c>
      <c r="J791" s="128">
        <f t="shared" si="173"/>
        <v>0.35</v>
      </c>
      <c r="K791" s="103">
        <f t="shared" si="174"/>
        <v>47.666335650446868</v>
      </c>
      <c r="L791" s="103">
        <f t="shared" si="175"/>
        <v>1.2108108108108109</v>
      </c>
      <c r="M791" s="133">
        <f t="shared" si="176"/>
        <v>647.84999999999991</v>
      </c>
      <c r="N791" s="133">
        <f t="shared" si="177"/>
        <v>5447.85</v>
      </c>
      <c r="O791" s="134">
        <f t="shared" si="178"/>
        <v>54.099801390268127</v>
      </c>
      <c r="P791" s="134">
        <f t="shared" si="179"/>
        <v>1.3742324324324326</v>
      </c>
      <c r="R791" s="149">
        <f t="shared" si="165"/>
        <v>7.9744326627688045</v>
      </c>
    </row>
    <row r="792" spans="1:18" ht="14.45" x14ac:dyDescent="0.3">
      <c r="A792" s="45" t="s">
        <v>134</v>
      </c>
      <c r="B792" s="45" t="s">
        <v>8</v>
      </c>
      <c r="C792" s="45" t="s">
        <v>29</v>
      </c>
      <c r="D792" s="45" t="s">
        <v>91</v>
      </c>
      <c r="E792" s="124">
        <v>40948</v>
      </c>
      <c r="G792" s="92">
        <v>4760</v>
      </c>
      <c r="H792">
        <v>1695</v>
      </c>
      <c r="I792" t="s">
        <v>93</v>
      </c>
      <c r="J792" s="128">
        <f t="shared" si="173"/>
        <v>0.35</v>
      </c>
      <c r="K792" s="103">
        <f t="shared" si="174"/>
        <v>47.269116186693147</v>
      </c>
      <c r="L792" s="103">
        <f t="shared" si="175"/>
        <v>1.2007207207207207</v>
      </c>
      <c r="M792" s="133">
        <f t="shared" si="176"/>
        <v>593.25</v>
      </c>
      <c r="N792" s="133">
        <f t="shared" si="177"/>
        <v>5353.25</v>
      </c>
      <c r="O792" s="134">
        <f t="shared" si="178"/>
        <v>53.160377358490564</v>
      </c>
      <c r="P792" s="134">
        <f t="shared" si="179"/>
        <v>1.3503693693693695</v>
      </c>
      <c r="R792" s="149">
        <f t="shared" ref="R792:R840" si="180">((N792/N336)-1)*100</f>
        <v>7.765475591343729</v>
      </c>
    </row>
    <row r="793" spans="1:18" ht="14.45" x14ac:dyDescent="0.3">
      <c r="A793" s="45" t="s">
        <v>134</v>
      </c>
      <c r="B793" s="45" t="s">
        <v>13</v>
      </c>
      <c r="C793" s="45" t="s">
        <v>7</v>
      </c>
      <c r="D793" s="45" t="s">
        <v>91</v>
      </c>
      <c r="E793" s="124">
        <v>40948</v>
      </c>
      <c r="G793" s="92">
        <v>2857</v>
      </c>
      <c r="H793">
        <v>1006</v>
      </c>
      <c r="I793" t="s">
        <v>92</v>
      </c>
      <c r="J793" s="128">
        <f t="shared" si="173"/>
        <v>0.36</v>
      </c>
      <c r="K793" s="103">
        <f t="shared" si="174"/>
        <v>28.371400198609731</v>
      </c>
      <c r="L793" s="103">
        <f t="shared" si="175"/>
        <v>0.72068468468468472</v>
      </c>
      <c r="M793" s="133">
        <f t="shared" si="176"/>
        <v>362.15999999999997</v>
      </c>
      <c r="N793" s="133">
        <f t="shared" si="177"/>
        <v>3219.16</v>
      </c>
      <c r="O793" s="134">
        <f t="shared" si="178"/>
        <v>31.967825223435945</v>
      </c>
      <c r="P793" s="134">
        <f t="shared" si="179"/>
        <v>0.81204036036036031</v>
      </c>
      <c r="R793" s="149">
        <f t="shared" si="180"/>
        <v>10.685673811537688</v>
      </c>
    </row>
    <row r="794" spans="1:18" ht="14.45" x14ac:dyDescent="0.3">
      <c r="A794" s="45" t="s">
        <v>134</v>
      </c>
      <c r="B794" s="45" t="s">
        <v>30</v>
      </c>
      <c r="C794" s="45" t="s">
        <v>9</v>
      </c>
      <c r="D794" s="45" t="s">
        <v>91</v>
      </c>
      <c r="E794" s="124">
        <v>40948</v>
      </c>
      <c r="G794" s="92">
        <v>3310</v>
      </c>
      <c r="H794">
        <v>988</v>
      </c>
      <c r="I794" t="s">
        <v>93</v>
      </c>
      <c r="J794" s="128">
        <f t="shared" si="173"/>
        <v>0.35</v>
      </c>
      <c r="K794" s="103">
        <f t="shared" si="174"/>
        <v>32.869910625620655</v>
      </c>
      <c r="L794" s="103">
        <f t="shared" si="175"/>
        <v>0.83495495495495498</v>
      </c>
      <c r="M794" s="133">
        <f t="shared" si="176"/>
        <v>345.79999999999995</v>
      </c>
      <c r="N794" s="133">
        <f t="shared" si="177"/>
        <v>3655.8</v>
      </c>
      <c r="O794" s="134">
        <f t="shared" si="178"/>
        <v>36.303872889771597</v>
      </c>
      <c r="P794" s="134">
        <f t="shared" si="179"/>
        <v>0.92218378378378385</v>
      </c>
      <c r="R794" s="149">
        <f t="shared" si="180"/>
        <v>8.3521043272080764</v>
      </c>
    </row>
    <row r="795" spans="1:18" ht="14.45" x14ac:dyDescent="0.3">
      <c r="A795" s="45" t="s">
        <v>134</v>
      </c>
      <c r="B795" s="45" t="s">
        <v>16</v>
      </c>
      <c r="C795" s="45" t="s">
        <v>11</v>
      </c>
      <c r="D795" s="45" t="s">
        <v>91</v>
      </c>
      <c r="E795" s="124">
        <v>40948</v>
      </c>
      <c r="G795" s="92">
        <v>3430</v>
      </c>
      <c r="H795" s="52">
        <v>787</v>
      </c>
      <c r="I795" t="s">
        <v>92</v>
      </c>
      <c r="J795" s="128">
        <f t="shared" si="173"/>
        <v>0.36</v>
      </c>
      <c r="K795" s="103">
        <f t="shared" si="174"/>
        <v>34.061569016881826</v>
      </c>
      <c r="L795" s="103">
        <f t="shared" si="175"/>
        <v>0.86522522522522527</v>
      </c>
      <c r="M795" s="133">
        <f t="shared" si="176"/>
        <v>283.32</v>
      </c>
      <c r="N795" s="133">
        <f t="shared" si="177"/>
        <v>3713.32</v>
      </c>
      <c r="O795" s="134">
        <f t="shared" si="178"/>
        <v>36.875074478649452</v>
      </c>
      <c r="P795" s="134">
        <f t="shared" si="179"/>
        <v>0.93669333333333338</v>
      </c>
      <c r="R795" s="149">
        <f t="shared" si="180"/>
        <v>5.7621596064949987</v>
      </c>
    </row>
    <row r="796" spans="1:18" ht="14.45" x14ac:dyDescent="0.3">
      <c r="A796" s="45" t="s">
        <v>134</v>
      </c>
      <c r="B796" s="45" t="s">
        <v>23</v>
      </c>
      <c r="C796" s="45" t="s">
        <v>29</v>
      </c>
      <c r="D796" s="45" t="s">
        <v>91</v>
      </c>
      <c r="E796" s="124">
        <v>40948</v>
      </c>
      <c r="G796" s="92">
        <v>4800</v>
      </c>
      <c r="H796">
        <v>1836</v>
      </c>
      <c r="I796" t="s">
        <v>93</v>
      </c>
      <c r="J796" s="128">
        <f t="shared" si="173"/>
        <v>0.35</v>
      </c>
      <c r="K796" s="103">
        <f t="shared" si="174"/>
        <v>47.666335650446868</v>
      </c>
      <c r="L796" s="103">
        <f t="shared" si="175"/>
        <v>1.2108108108108109</v>
      </c>
      <c r="M796" s="133">
        <f t="shared" si="176"/>
        <v>642.59999999999991</v>
      </c>
      <c r="N796" s="133">
        <f t="shared" si="177"/>
        <v>5442.6</v>
      </c>
      <c r="O796" s="134">
        <f t="shared" si="178"/>
        <v>54.047666335650447</v>
      </c>
      <c r="P796" s="134">
        <f t="shared" si="179"/>
        <v>1.3729081081081083</v>
      </c>
      <c r="R796" s="149">
        <f t="shared" si="180"/>
        <v>8.0309646685192693</v>
      </c>
    </row>
    <row r="797" spans="1:18" ht="14.45" x14ac:dyDescent="0.3">
      <c r="A797" s="45" t="s">
        <v>134</v>
      </c>
      <c r="B797" s="45" t="s">
        <v>31</v>
      </c>
      <c r="C797" s="45" t="s">
        <v>32</v>
      </c>
      <c r="D797" s="45" t="s">
        <v>91</v>
      </c>
      <c r="E797" s="124">
        <v>40948</v>
      </c>
      <c r="G797" s="92">
        <v>4200</v>
      </c>
      <c r="H797">
        <v>1899</v>
      </c>
      <c r="I797" t="s">
        <v>93</v>
      </c>
      <c r="J797" s="128">
        <f t="shared" si="173"/>
        <v>0.35</v>
      </c>
      <c r="K797" s="103">
        <f t="shared" si="174"/>
        <v>41.708043694141011</v>
      </c>
      <c r="L797" s="103">
        <f t="shared" si="175"/>
        <v>1.0594594594594595</v>
      </c>
      <c r="M797" s="133">
        <f t="shared" si="176"/>
        <v>664.65</v>
      </c>
      <c r="N797" s="133">
        <f t="shared" si="177"/>
        <v>4864.6499999999996</v>
      </c>
      <c r="O797" s="134">
        <f t="shared" si="178"/>
        <v>48.308341608738822</v>
      </c>
      <c r="P797" s="134">
        <f t="shared" si="179"/>
        <v>1.2271189189189189</v>
      </c>
      <c r="R797" s="149">
        <f t="shared" si="180"/>
        <v>9.8239078902810704</v>
      </c>
    </row>
    <row r="798" spans="1:18" ht="14.45" x14ac:dyDescent="0.3">
      <c r="A798" s="45" t="s">
        <v>22</v>
      </c>
      <c r="B798" s="45" t="s">
        <v>8</v>
      </c>
      <c r="C798" s="45" t="s">
        <v>29</v>
      </c>
      <c r="D798" s="45" t="s">
        <v>91</v>
      </c>
      <c r="E798" s="124">
        <v>40948</v>
      </c>
      <c r="G798" s="92">
        <v>5040</v>
      </c>
      <c r="H798" s="52">
        <v>1695</v>
      </c>
      <c r="I798" t="s">
        <v>93</v>
      </c>
      <c r="J798" s="128">
        <f t="shared" si="173"/>
        <v>0.35</v>
      </c>
      <c r="K798" s="103">
        <f t="shared" si="174"/>
        <v>50.049652432969211</v>
      </c>
      <c r="L798" s="103">
        <f t="shared" si="175"/>
        <v>1.3621621621621622</v>
      </c>
      <c r="M798" s="133">
        <f t="shared" si="176"/>
        <v>593.25</v>
      </c>
      <c r="N798" s="133">
        <f t="shared" si="177"/>
        <v>5633.25</v>
      </c>
      <c r="O798" s="134">
        <f t="shared" si="178"/>
        <v>55.940913604766635</v>
      </c>
      <c r="P798" s="134">
        <f t="shared" si="179"/>
        <v>1.5225</v>
      </c>
      <c r="R798" s="149">
        <f t="shared" si="180"/>
        <v>9.0130624092888301</v>
      </c>
    </row>
    <row r="799" spans="1:18" ht="14.45" x14ac:dyDescent="0.3">
      <c r="A799" s="45" t="s">
        <v>22</v>
      </c>
      <c r="B799" s="45" t="s">
        <v>23</v>
      </c>
      <c r="C799" s="45" t="s">
        <v>26</v>
      </c>
      <c r="D799" s="45" t="s">
        <v>91</v>
      </c>
      <c r="E799" s="124">
        <v>40948</v>
      </c>
      <c r="G799" s="92">
        <v>5030</v>
      </c>
      <c r="H799">
        <v>1851</v>
      </c>
      <c r="I799" t="s">
        <v>93</v>
      </c>
      <c r="J799" s="128">
        <f t="shared" si="173"/>
        <v>0.35</v>
      </c>
      <c r="K799" s="103">
        <f t="shared" si="174"/>
        <v>49.950347567030782</v>
      </c>
      <c r="L799" s="103">
        <f t="shared" si="175"/>
        <v>1.3594594594594596</v>
      </c>
      <c r="M799" s="133">
        <f t="shared" si="176"/>
        <v>647.84999999999991</v>
      </c>
      <c r="N799" s="133">
        <f t="shared" si="177"/>
        <v>5677.85</v>
      </c>
      <c r="O799" s="134">
        <f t="shared" si="178"/>
        <v>56.383813306852041</v>
      </c>
      <c r="P799" s="134">
        <f t="shared" si="179"/>
        <v>1.5345540540540541</v>
      </c>
      <c r="R799" s="149">
        <f t="shared" si="180"/>
        <v>9.2839957655663561</v>
      </c>
    </row>
    <row r="800" spans="1:18" ht="14.45" x14ac:dyDescent="0.3">
      <c r="A800" s="45" t="s">
        <v>22</v>
      </c>
      <c r="B800" s="45" t="s">
        <v>33</v>
      </c>
      <c r="C800" s="45" t="s">
        <v>29</v>
      </c>
      <c r="D800" s="45" t="s">
        <v>91</v>
      </c>
      <c r="E800" s="124">
        <v>40948</v>
      </c>
      <c r="G800" s="92">
        <v>4930</v>
      </c>
      <c r="H800">
        <v>1507</v>
      </c>
      <c r="I800" t="s">
        <v>93</v>
      </c>
      <c r="J800" s="128">
        <f t="shared" si="173"/>
        <v>0.35</v>
      </c>
      <c r="K800" s="103">
        <f t="shared" si="174"/>
        <v>48.957298907646475</v>
      </c>
      <c r="L800" s="103">
        <f t="shared" si="175"/>
        <v>1.3324324324324324</v>
      </c>
      <c r="M800" s="133">
        <f t="shared" si="176"/>
        <v>527.44999999999993</v>
      </c>
      <c r="N800" s="133">
        <f t="shared" si="177"/>
        <v>5457.45</v>
      </c>
      <c r="O800" s="134">
        <f t="shared" si="178"/>
        <v>54.195134061569014</v>
      </c>
      <c r="P800" s="134">
        <f t="shared" si="179"/>
        <v>1.4749864864864863</v>
      </c>
      <c r="R800" s="149">
        <f t="shared" si="180"/>
        <v>8.6383995222454324</v>
      </c>
    </row>
    <row r="801" spans="1:20" ht="14.45" x14ac:dyDescent="0.3">
      <c r="A801" s="45" t="s">
        <v>22</v>
      </c>
      <c r="B801" s="45" t="s">
        <v>31</v>
      </c>
      <c r="C801" s="45" t="s">
        <v>7</v>
      </c>
      <c r="D801" s="45" t="s">
        <v>91</v>
      </c>
      <c r="E801" s="124">
        <v>40948</v>
      </c>
      <c r="G801" s="92">
        <v>3710</v>
      </c>
      <c r="H801">
        <v>1160</v>
      </c>
      <c r="I801" t="s">
        <v>92</v>
      </c>
      <c r="J801" s="128">
        <f t="shared" si="173"/>
        <v>0.36</v>
      </c>
      <c r="K801" s="103">
        <f t="shared" si="174"/>
        <v>36.84210526315789</v>
      </c>
      <c r="L801" s="103">
        <f t="shared" si="175"/>
        <v>1.0027027027027027</v>
      </c>
      <c r="M801" s="133">
        <f t="shared" si="176"/>
        <v>417.59999999999997</v>
      </c>
      <c r="N801" s="133">
        <f t="shared" si="177"/>
        <v>4127.6000000000004</v>
      </c>
      <c r="O801" s="134">
        <f t="shared" si="178"/>
        <v>40.989076464746773</v>
      </c>
      <c r="P801" s="134">
        <f t="shared" si="179"/>
        <v>1.1155675675675676</v>
      </c>
      <c r="R801" s="149">
        <f t="shared" si="180"/>
        <v>9.2882863800042514</v>
      </c>
    </row>
    <row r="802" spans="1:20" ht="14.45" x14ac:dyDescent="0.3">
      <c r="A802" s="45" t="s">
        <v>22</v>
      </c>
      <c r="B802" s="45" t="s">
        <v>14</v>
      </c>
      <c r="C802" s="45" t="s">
        <v>24</v>
      </c>
      <c r="D802" s="45" t="s">
        <v>91</v>
      </c>
      <c r="E802" s="124">
        <v>40948</v>
      </c>
      <c r="G802" s="92">
        <v>2672</v>
      </c>
      <c r="H802">
        <v>615</v>
      </c>
      <c r="I802" t="s">
        <v>94</v>
      </c>
      <c r="J802" s="128">
        <f t="shared" si="173"/>
        <v>0.47</v>
      </c>
      <c r="K802" s="103">
        <f t="shared" si="174"/>
        <v>26.53426017874876</v>
      </c>
      <c r="L802" s="103">
        <f t="shared" si="175"/>
        <v>0.72216216216216211</v>
      </c>
      <c r="M802" s="133">
        <f t="shared" si="176"/>
        <v>289.05</v>
      </c>
      <c r="N802" s="133">
        <f t="shared" si="177"/>
        <v>2961.05</v>
      </c>
      <c r="O802" s="134">
        <f t="shared" si="178"/>
        <v>29.404667328699109</v>
      </c>
      <c r="P802" s="134">
        <f t="shared" si="179"/>
        <v>0.80028378378378384</v>
      </c>
      <c r="R802" s="149">
        <f t="shared" si="180"/>
        <v>8.3522394613583231</v>
      </c>
    </row>
    <row r="803" spans="1:20" ht="14.45" x14ac:dyDescent="0.3">
      <c r="A803" s="80" t="s">
        <v>22</v>
      </c>
      <c r="B803" s="80" t="s">
        <v>34</v>
      </c>
      <c r="C803" s="80" t="s">
        <v>26</v>
      </c>
      <c r="D803" s="80" t="s">
        <v>91</v>
      </c>
      <c r="E803" s="126">
        <v>40948</v>
      </c>
      <c r="F803" s="84"/>
      <c r="G803" s="115">
        <v>5115</v>
      </c>
      <c r="H803" s="125">
        <v>1637</v>
      </c>
      <c r="I803" s="125" t="s">
        <v>92</v>
      </c>
      <c r="J803" s="113">
        <f t="shared" si="173"/>
        <v>0.36</v>
      </c>
      <c r="K803" s="114">
        <f t="shared" si="174"/>
        <v>50.79443892750745</v>
      </c>
      <c r="L803" s="114">
        <f t="shared" si="175"/>
        <v>1.3824324324324324</v>
      </c>
      <c r="M803" s="115">
        <f t="shared" si="176"/>
        <v>589.31999999999994</v>
      </c>
      <c r="N803" s="115">
        <f t="shared" si="177"/>
        <v>5704.32</v>
      </c>
      <c r="O803" s="116">
        <f t="shared" si="178"/>
        <v>56.64667328699106</v>
      </c>
      <c r="P803" s="116">
        <f t="shared" si="179"/>
        <v>1.5417081081081081</v>
      </c>
      <c r="Q803" s="106"/>
      <c r="R803" s="152">
        <f t="shared" si="180"/>
        <v>16.497668747740725</v>
      </c>
    </row>
    <row r="804" spans="1:20" ht="14.45" x14ac:dyDescent="0.3">
      <c r="A804" s="60" t="s">
        <v>1</v>
      </c>
      <c r="B804" s="60" t="s">
        <v>2</v>
      </c>
      <c r="C804" s="60" t="s">
        <v>3</v>
      </c>
      <c r="D804" s="60" t="s">
        <v>90</v>
      </c>
      <c r="E804" s="137">
        <v>40969</v>
      </c>
      <c r="F804" s="137"/>
      <c r="G804" s="92">
        <v>2992</v>
      </c>
      <c r="H804" s="138">
        <v>506</v>
      </c>
      <c r="I804" s="138" t="s">
        <v>92</v>
      </c>
      <c r="J804" s="141">
        <f>IF(I804="BNSF",0.34,IF(I804="CN",0.299,IF(I804="CSX",0.46,0.35)))</f>
        <v>0.35</v>
      </c>
      <c r="K804" s="140">
        <f t="shared" si="174"/>
        <v>29.712015888778549</v>
      </c>
      <c r="L804" s="140">
        <f t="shared" si="175"/>
        <v>0.8086486486486486</v>
      </c>
      <c r="M804" s="133">
        <f t="shared" si="176"/>
        <v>177.1</v>
      </c>
      <c r="N804" s="133">
        <f t="shared" si="177"/>
        <v>3169.1</v>
      </c>
      <c r="O804" s="134">
        <f t="shared" si="178"/>
        <v>31.470705064548159</v>
      </c>
      <c r="P804" s="134">
        <f t="shared" si="179"/>
        <v>0.85651351351351346</v>
      </c>
      <c r="R804" s="149">
        <f>((N804/N348)-1)*100</f>
        <v>5.1264529483572963</v>
      </c>
      <c r="S804" s="140">
        <f>AVERAGE(O728,O766,O804)</f>
        <v>31.537702747434622</v>
      </c>
      <c r="T804" s="151">
        <f>(S804/S690)-1</f>
        <v>2.1288904315630575E-3</v>
      </c>
    </row>
    <row r="805" spans="1:20" ht="14.45" x14ac:dyDescent="0.3">
      <c r="A805" s="60" t="s">
        <v>1</v>
      </c>
      <c r="B805" s="60" t="s">
        <v>4</v>
      </c>
      <c r="C805" s="60" t="s">
        <v>5</v>
      </c>
      <c r="D805" s="60" t="s">
        <v>90</v>
      </c>
      <c r="E805" s="137">
        <v>40969</v>
      </c>
      <c r="F805" s="137"/>
      <c r="G805" s="92">
        <v>3260</v>
      </c>
      <c r="H805" s="138">
        <v>298</v>
      </c>
      <c r="I805" s="138" t="s">
        <v>93</v>
      </c>
      <c r="J805" s="141">
        <f>IF(I805="BNSF",0.34,IF(I805="CN",0.299,IF(I805="CSX",0.46,0.35)))</f>
        <v>0.34</v>
      </c>
      <c r="K805" s="140">
        <f t="shared" ref="K805:K842" si="181">G805/100.7</f>
        <v>32.373386295928498</v>
      </c>
      <c r="L805" s="140">
        <f t="shared" ref="L805:L842" si="182">IF(A805="corn",G805/(111*2000/56),G805/(111*2000/60))</f>
        <v>0.88108108108108107</v>
      </c>
      <c r="M805" s="133">
        <f t="shared" si="176"/>
        <v>101.32000000000001</v>
      </c>
      <c r="N805" s="133">
        <f t="shared" si="177"/>
        <v>3361.32</v>
      </c>
      <c r="O805" s="134">
        <f t="shared" si="178"/>
        <v>33.379543197616684</v>
      </c>
      <c r="P805" s="134">
        <f t="shared" si="179"/>
        <v>0.90846486486486488</v>
      </c>
      <c r="R805" s="149">
        <f t="shared" si="180"/>
        <v>20.238665874929353</v>
      </c>
      <c r="S805" s="140">
        <f t="shared" ref="S805:S840" si="183">AVERAGE(O729,O767,O805)</f>
        <v>32.87944389275075</v>
      </c>
      <c r="T805" s="151">
        <f t="shared" ref="T805:T839" si="184">(S805/S691)-1</f>
        <v>3.5218489707096401E-2</v>
      </c>
    </row>
    <row r="806" spans="1:20" ht="14.45" x14ac:dyDescent="0.3">
      <c r="A806" s="60" t="s">
        <v>1</v>
      </c>
      <c r="B806" s="60" t="s">
        <v>2</v>
      </c>
      <c r="C806" s="60" t="s">
        <v>6</v>
      </c>
      <c r="D806" s="60" t="s">
        <v>90</v>
      </c>
      <c r="E806" s="137">
        <v>40969</v>
      </c>
      <c r="F806" s="137"/>
      <c r="G806" s="92">
        <v>5895</v>
      </c>
      <c r="H806" s="138">
        <v>1530</v>
      </c>
      <c r="I806" s="138" t="s">
        <v>93</v>
      </c>
      <c r="J806" s="141">
        <f t="shared" ref="J806:J841" si="185">IF(I806="BNSF",0.34,IF(I806="CN",0.299,IF(I806="CSX",0.46,0.35)))</f>
        <v>0.34</v>
      </c>
      <c r="K806" s="140">
        <f t="shared" si="181"/>
        <v>58.540218470705064</v>
      </c>
      <c r="L806" s="140">
        <f t="shared" si="182"/>
        <v>1.5932432432432433</v>
      </c>
      <c r="M806" s="133">
        <f t="shared" si="176"/>
        <v>520.20000000000005</v>
      </c>
      <c r="N806" s="133">
        <f t="shared" si="177"/>
        <v>6415.2</v>
      </c>
      <c r="O806" s="134">
        <f t="shared" si="178"/>
        <v>63.706057596822241</v>
      </c>
      <c r="P806" s="134">
        <f t="shared" si="179"/>
        <v>1.7338378378378378</v>
      </c>
      <c r="R806" s="149">
        <f t="shared" si="180"/>
        <v>14.887444259388595</v>
      </c>
      <c r="S806" s="140">
        <f t="shared" si="183"/>
        <v>63.296259516716312</v>
      </c>
      <c r="T806" s="151">
        <f t="shared" si="184"/>
        <v>2.3070420425240323E-2</v>
      </c>
    </row>
    <row r="807" spans="1:20" ht="14.45" x14ac:dyDescent="0.3">
      <c r="A807" s="60" t="s">
        <v>1</v>
      </c>
      <c r="B807" s="60" t="s">
        <v>2</v>
      </c>
      <c r="C807" s="60" t="s">
        <v>7</v>
      </c>
      <c r="D807" s="60" t="s">
        <v>90</v>
      </c>
      <c r="E807" s="137">
        <v>40969</v>
      </c>
      <c r="F807" s="137"/>
      <c r="G807" s="92">
        <v>3492</v>
      </c>
      <c r="H807" s="138">
        <v>890</v>
      </c>
      <c r="I807" s="138" t="s">
        <v>92</v>
      </c>
      <c r="J807" s="141">
        <f t="shared" si="185"/>
        <v>0.35</v>
      </c>
      <c r="K807" s="140">
        <f t="shared" si="181"/>
        <v>34.677259185700102</v>
      </c>
      <c r="L807" s="140">
        <f t="shared" si="182"/>
        <v>0.9437837837837838</v>
      </c>
      <c r="M807" s="133">
        <f t="shared" si="176"/>
        <v>311.5</v>
      </c>
      <c r="N807" s="133">
        <f t="shared" si="177"/>
        <v>3803.5</v>
      </c>
      <c r="O807" s="134">
        <f t="shared" si="178"/>
        <v>37.770605759682226</v>
      </c>
      <c r="P807" s="134">
        <f t="shared" si="179"/>
        <v>1.027972972972973</v>
      </c>
      <c r="R807" s="149">
        <f t="shared" si="180"/>
        <v>5.2027438181114105</v>
      </c>
      <c r="S807" s="140">
        <f t="shared" si="183"/>
        <v>37.88844753392916</v>
      </c>
      <c r="T807" s="151">
        <f t="shared" si="184"/>
        <v>3.1199333946803076E-3</v>
      </c>
    </row>
    <row r="808" spans="1:20" ht="14.45" x14ac:dyDescent="0.3">
      <c r="A808" s="60" t="s">
        <v>1</v>
      </c>
      <c r="B808" s="60" t="s">
        <v>8</v>
      </c>
      <c r="C808" s="60" t="s">
        <v>9</v>
      </c>
      <c r="D808" s="60" t="s">
        <v>90</v>
      </c>
      <c r="E808" s="137">
        <v>40969</v>
      </c>
      <c r="F808" s="137"/>
      <c r="G808" s="92">
        <v>5573</v>
      </c>
      <c r="H808" s="138">
        <v>1256</v>
      </c>
      <c r="I808" s="138" t="s">
        <v>93</v>
      </c>
      <c r="J808" s="141">
        <f t="shared" si="185"/>
        <v>0.34</v>
      </c>
      <c r="K808" s="140">
        <f t="shared" si="181"/>
        <v>55.342601787487588</v>
      </c>
      <c r="L808" s="140">
        <f t="shared" si="182"/>
        <v>1.5062162162162163</v>
      </c>
      <c r="M808" s="133">
        <f t="shared" si="176"/>
        <v>427.04</v>
      </c>
      <c r="N808" s="133">
        <f t="shared" si="177"/>
        <v>6000.04</v>
      </c>
      <c r="O808" s="134">
        <f t="shared" si="178"/>
        <v>59.583316782522338</v>
      </c>
      <c r="P808" s="134">
        <f t="shared" si="179"/>
        <v>1.6216324324324325</v>
      </c>
      <c r="R808" s="149">
        <f t="shared" si="180"/>
        <v>9.9738264038065303</v>
      </c>
      <c r="S808" s="140">
        <f t="shared" si="183"/>
        <v>59.210062893081755</v>
      </c>
      <c r="T808" s="151">
        <f t="shared" si="184"/>
        <v>2.1485775895545123E-2</v>
      </c>
    </row>
    <row r="809" spans="1:20" ht="14.45" x14ac:dyDescent="0.3">
      <c r="A809" s="60" t="s">
        <v>1</v>
      </c>
      <c r="B809" s="60" t="s">
        <v>10</v>
      </c>
      <c r="C809" s="60" t="s">
        <v>9</v>
      </c>
      <c r="D809" s="60" t="s">
        <v>90</v>
      </c>
      <c r="E809" s="137">
        <v>40969</v>
      </c>
      <c r="F809" s="137"/>
      <c r="G809" s="92">
        <v>3760</v>
      </c>
      <c r="H809" s="138">
        <v>975</v>
      </c>
      <c r="I809" s="138" t="s">
        <v>92</v>
      </c>
      <c r="J809" s="141">
        <f t="shared" si="185"/>
        <v>0.35</v>
      </c>
      <c r="K809" s="140">
        <f t="shared" si="181"/>
        <v>37.338629592850047</v>
      </c>
      <c r="L809" s="140">
        <f t="shared" si="182"/>
        <v>1.0162162162162163</v>
      </c>
      <c r="M809" s="133">
        <f t="shared" si="176"/>
        <v>341.25</v>
      </c>
      <c r="N809" s="133">
        <f t="shared" si="177"/>
        <v>4101.25</v>
      </c>
      <c r="O809" s="134">
        <f t="shared" si="178"/>
        <v>40.727408142999003</v>
      </c>
      <c r="P809" s="134">
        <f t="shared" si="179"/>
        <v>1.1084459459459459</v>
      </c>
      <c r="R809" s="149">
        <f t="shared" si="180"/>
        <v>5.0390574977589919</v>
      </c>
      <c r="S809" s="140">
        <f t="shared" si="183"/>
        <v>40.85650446871896</v>
      </c>
      <c r="T809" s="151">
        <f t="shared" si="184"/>
        <v>3.169765315452544E-3</v>
      </c>
    </row>
    <row r="810" spans="1:20" ht="14.45" x14ac:dyDescent="0.3">
      <c r="A810" s="60" t="s">
        <v>1</v>
      </c>
      <c r="B810" s="60" t="s">
        <v>11</v>
      </c>
      <c r="C810" s="60" t="s">
        <v>6</v>
      </c>
      <c r="D810" s="60" t="s">
        <v>90</v>
      </c>
      <c r="E810" s="137">
        <v>40969</v>
      </c>
      <c r="F810" s="137"/>
      <c r="G810" s="92">
        <v>3959</v>
      </c>
      <c r="H810" s="138">
        <v>1357</v>
      </c>
      <c r="I810" s="138" t="s">
        <v>92</v>
      </c>
      <c r="J810" s="141">
        <f t="shared" si="185"/>
        <v>0.35</v>
      </c>
      <c r="K810" s="140">
        <f t="shared" si="181"/>
        <v>39.314796425024824</v>
      </c>
      <c r="L810" s="140">
        <f t="shared" si="182"/>
        <v>1.07</v>
      </c>
      <c r="M810" s="133">
        <f t="shared" si="176"/>
        <v>474.95</v>
      </c>
      <c r="N810" s="133">
        <f t="shared" si="177"/>
        <v>4433.95</v>
      </c>
      <c r="O810" s="134">
        <f t="shared" si="178"/>
        <v>44.0312810327706</v>
      </c>
      <c r="P810" s="134">
        <f t="shared" si="179"/>
        <v>1.1983648648648648</v>
      </c>
      <c r="R810" s="149">
        <f t="shared" si="180"/>
        <v>5.4994027819416536</v>
      </c>
      <c r="S810" s="140">
        <f t="shared" si="183"/>
        <v>44.21095663687521</v>
      </c>
      <c r="T810" s="151">
        <f t="shared" si="184"/>
        <v>4.0806354003390943E-3</v>
      </c>
    </row>
    <row r="811" spans="1:20" ht="14.45" x14ac:dyDescent="0.3">
      <c r="A811" s="60" t="s">
        <v>134</v>
      </c>
      <c r="B811" s="60" t="s">
        <v>13</v>
      </c>
      <c r="C811" s="60" t="s">
        <v>7</v>
      </c>
      <c r="D811" s="60" t="s">
        <v>90</v>
      </c>
      <c r="E811" s="137">
        <v>40969</v>
      </c>
      <c r="F811" s="137"/>
      <c r="G811" s="92">
        <v>3038</v>
      </c>
      <c r="H811" s="138">
        <v>1006</v>
      </c>
      <c r="I811" s="138" t="s">
        <v>92</v>
      </c>
      <c r="J811" s="141">
        <f t="shared" si="185"/>
        <v>0.35</v>
      </c>
      <c r="K811" s="140">
        <f t="shared" si="181"/>
        <v>30.168818272095333</v>
      </c>
      <c r="L811" s="140">
        <f t="shared" si="182"/>
        <v>0.76634234234234233</v>
      </c>
      <c r="M811" s="133">
        <f t="shared" si="176"/>
        <v>352.09999999999997</v>
      </c>
      <c r="N811" s="133">
        <f t="shared" si="177"/>
        <v>3390.1</v>
      </c>
      <c r="O811" s="134">
        <f t="shared" si="178"/>
        <v>33.665342601787486</v>
      </c>
      <c r="P811" s="134">
        <f t="shared" si="179"/>
        <v>0.85516036036036036</v>
      </c>
      <c r="R811" s="149">
        <f t="shared" si="180"/>
        <v>10.298806595609001</v>
      </c>
      <c r="S811" s="140">
        <f t="shared" si="183"/>
        <v>33.877987421383644</v>
      </c>
      <c r="T811" s="151">
        <f t="shared" si="184"/>
        <v>-7.576423264307186E-4</v>
      </c>
    </row>
    <row r="812" spans="1:20" ht="14.45" x14ac:dyDescent="0.3">
      <c r="A812" s="60" t="s">
        <v>134</v>
      </c>
      <c r="B812" s="60" t="s">
        <v>14</v>
      </c>
      <c r="C812" s="60" t="s">
        <v>15</v>
      </c>
      <c r="D812" s="60" t="s">
        <v>90</v>
      </c>
      <c r="E812" s="137">
        <v>40969</v>
      </c>
      <c r="F812" s="137"/>
      <c r="G812" s="92">
        <v>4382</v>
      </c>
      <c r="H812" s="138">
        <v>866</v>
      </c>
      <c r="I812" s="138" t="s">
        <v>94</v>
      </c>
      <c r="J812" s="141">
        <f t="shared" si="185"/>
        <v>0.46</v>
      </c>
      <c r="K812" s="140">
        <f t="shared" si="181"/>
        <v>43.515392254220458</v>
      </c>
      <c r="L812" s="140">
        <f t="shared" si="182"/>
        <v>1.1053693693693694</v>
      </c>
      <c r="M812" s="133">
        <f t="shared" si="176"/>
        <v>398.36</v>
      </c>
      <c r="N812" s="133">
        <f t="shared" si="177"/>
        <v>4780.3599999999997</v>
      </c>
      <c r="O812" s="134">
        <f t="shared" si="178"/>
        <v>47.471300893743788</v>
      </c>
      <c r="P812" s="134">
        <f t="shared" si="179"/>
        <v>1.2058565765765765</v>
      </c>
      <c r="R812" s="149">
        <f t="shared" si="180"/>
        <v>17.653023553444402</v>
      </c>
      <c r="S812" s="140">
        <f t="shared" si="183"/>
        <v>46.158159549817945</v>
      </c>
      <c r="T812" s="151">
        <f t="shared" si="184"/>
        <v>7.0908096717015923E-2</v>
      </c>
    </row>
    <row r="813" spans="1:20" ht="14.45" x14ac:dyDescent="0.3">
      <c r="A813" s="60" t="s">
        <v>134</v>
      </c>
      <c r="B813" s="60" t="s">
        <v>16</v>
      </c>
      <c r="C813" s="60" t="s">
        <v>17</v>
      </c>
      <c r="D813" s="60" t="s">
        <v>90</v>
      </c>
      <c r="E813" s="137">
        <v>40969</v>
      </c>
      <c r="F813" s="137"/>
      <c r="G813" s="92">
        <v>1934</v>
      </c>
      <c r="H813" s="138">
        <v>213</v>
      </c>
      <c r="I813" s="138" t="s">
        <v>92</v>
      </c>
      <c r="J813" s="141">
        <f t="shared" si="185"/>
        <v>0.35</v>
      </c>
      <c r="K813" s="140">
        <f t="shared" si="181"/>
        <v>19.20556107249255</v>
      </c>
      <c r="L813" s="140">
        <f t="shared" si="182"/>
        <v>0.48785585585585589</v>
      </c>
      <c r="M813" s="133">
        <f t="shared" si="176"/>
        <v>74.55</v>
      </c>
      <c r="N813" s="133">
        <f t="shared" si="177"/>
        <v>2008.55</v>
      </c>
      <c r="O813" s="134">
        <f t="shared" si="178"/>
        <v>19.945878848063554</v>
      </c>
      <c r="P813" s="134">
        <f t="shared" si="179"/>
        <v>0.50666126126126121</v>
      </c>
      <c r="R813" s="149">
        <f t="shared" si="180"/>
        <v>5.8033691884659566</v>
      </c>
      <c r="S813" s="140">
        <f t="shared" si="183"/>
        <v>19.974081429990068</v>
      </c>
      <c r="T813" s="151">
        <f t="shared" si="184"/>
        <v>1.4139553409175942E-3</v>
      </c>
    </row>
    <row r="814" spans="1:20" ht="14.45" x14ac:dyDescent="0.3">
      <c r="A814" s="60" t="s">
        <v>134</v>
      </c>
      <c r="B814" s="60" t="s">
        <v>18</v>
      </c>
      <c r="C814" s="60" t="s">
        <v>19</v>
      </c>
      <c r="D814" s="60" t="s">
        <v>90</v>
      </c>
      <c r="E814" s="137">
        <v>40969</v>
      </c>
      <c r="F814" s="137"/>
      <c r="G814" s="92">
        <v>3821</v>
      </c>
      <c r="H814" s="138">
        <v>650</v>
      </c>
      <c r="I814" s="138" t="s">
        <v>94</v>
      </c>
      <c r="J814" s="141">
        <f t="shared" si="185"/>
        <v>0.46</v>
      </c>
      <c r="K814" s="140">
        <f t="shared" si="181"/>
        <v>37.944389275074478</v>
      </c>
      <c r="L814" s="140">
        <f t="shared" si="182"/>
        <v>0.96385585585585587</v>
      </c>
      <c r="M814" s="133">
        <f t="shared" si="176"/>
        <v>299</v>
      </c>
      <c r="N814" s="133">
        <f t="shared" si="177"/>
        <v>4120</v>
      </c>
      <c r="O814" s="134">
        <f t="shared" si="178"/>
        <v>40.913604766633561</v>
      </c>
      <c r="P814" s="134">
        <f t="shared" si="179"/>
        <v>1.0392792792792793</v>
      </c>
      <c r="R814" s="149">
        <f t="shared" si="180"/>
        <v>20.344676500657233</v>
      </c>
      <c r="S814" s="140">
        <f t="shared" si="183"/>
        <v>39.564713670969873</v>
      </c>
      <c r="T814" s="151">
        <f t="shared" si="184"/>
        <v>8.2653985507246341E-2</v>
      </c>
    </row>
    <row r="815" spans="1:20" ht="14.45" x14ac:dyDescent="0.3">
      <c r="A815" s="60" t="s">
        <v>134</v>
      </c>
      <c r="B815" s="60" t="s">
        <v>18</v>
      </c>
      <c r="C815" s="60" t="s">
        <v>20</v>
      </c>
      <c r="D815" s="60" t="s">
        <v>90</v>
      </c>
      <c r="E815" s="137">
        <v>40969</v>
      </c>
      <c r="F815" s="137"/>
      <c r="G815" s="92">
        <v>3273</v>
      </c>
      <c r="H815" s="138">
        <v>417</v>
      </c>
      <c r="I815" s="138" t="s">
        <v>94</v>
      </c>
      <c r="J815" s="141">
        <f t="shared" si="185"/>
        <v>0.46</v>
      </c>
      <c r="K815" s="140">
        <f t="shared" si="181"/>
        <v>32.502482621648461</v>
      </c>
      <c r="L815" s="140">
        <f t="shared" si="182"/>
        <v>0.82562162162162167</v>
      </c>
      <c r="M815" s="133">
        <f t="shared" si="176"/>
        <v>191.82000000000002</v>
      </c>
      <c r="N815" s="133">
        <f t="shared" si="177"/>
        <v>3464.82</v>
      </c>
      <c r="O815" s="134">
        <f t="shared" si="178"/>
        <v>34.407348560079441</v>
      </c>
      <c r="P815" s="134">
        <f t="shared" si="179"/>
        <v>0.87400864864864869</v>
      </c>
      <c r="R815" s="149">
        <f t="shared" si="180"/>
        <v>19.231920714396345</v>
      </c>
      <c r="S815" s="140">
        <f t="shared" si="183"/>
        <v>33.019894074809663</v>
      </c>
      <c r="T815" s="151">
        <f t="shared" si="184"/>
        <v>9.9273124791998457E-2</v>
      </c>
    </row>
    <row r="816" spans="1:20" ht="14.45" x14ac:dyDescent="0.3">
      <c r="A816" s="60" t="s">
        <v>134</v>
      </c>
      <c r="B816" s="60" t="s">
        <v>16</v>
      </c>
      <c r="C816" s="60" t="s">
        <v>21</v>
      </c>
      <c r="D816" s="60" t="s">
        <v>90</v>
      </c>
      <c r="E816" s="137">
        <v>40969</v>
      </c>
      <c r="F816" s="137"/>
      <c r="G816" s="92">
        <v>3074</v>
      </c>
      <c r="H816" s="138">
        <v>626</v>
      </c>
      <c r="I816" s="138" t="s">
        <v>92</v>
      </c>
      <c r="J816" s="141">
        <f t="shared" si="185"/>
        <v>0.35</v>
      </c>
      <c r="K816" s="140">
        <f t="shared" si="181"/>
        <v>30.526315789473685</v>
      </c>
      <c r="L816" s="140">
        <f t="shared" si="182"/>
        <v>0.77542342342342341</v>
      </c>
      <c r="M816" s="133">
        <f t="shared" si="176"/>
        <v>219.1</v>
      </c>
      <c r="N816" s="133">
        <f t="shared" si="177"/>
        <v>3293.1</v>
      </c>
      <c r="O816" s="134">
        <f t="shared" si="178"/>
        <v>32.702085402184707</v>
      </c>
      <c r="P816" s="134">
        <f t="shared" si="179"/>
        <v>0.83069189189189185</v>
      </c>
      <c r="R816" s="149">
        <f t="shared" si="180"/>
        <v>6.202995394677413</v>
      </c>
      <c r="S816" s="140">
        <f t="shared" si="183"/>
        <v>32.784971863621315</v>
      </c>
      <c r="T816" s="151">
        <f t="shared" si="184"/>
        <v>2.534592531859392E-3</v>
      </c>
    </row>
    <row r="817" spans="1:20" ht="14.45" x14ac:dyDescent="0.3">
      <c r="A817" s="60" t="s">
        <v>134</v>
      </c>
      <c r="B817" s="60" t="s">
        <v>16</v>
      </c>
      <c r="C817" s="60" t="s">
        <v>6</v>
      </c>
      <c r="D817" s="60" t="s">
        <v>90</v>
      </c>
      <c r="E817" s="137">
        <v>40969</v>
      </c>
      <c r="F817" s="137"/>
      <c r="G817" s="92">
        <v>4985</v>
      </c>
      <c r="H817" s="138">
        <v>1823</v>
      </c>
      <c r="I817" s="138" t="s">
        <v>92</v>
      </c>
      <c r="J817" s="141">
        <f t="shared" si="185"/>
        <v>0.35</v>
      </c>
      <c r="K817" s="140">
        <f t="shared" si="181"/>
        <v>49.503475670307843</v>
      </c>
      <c r="L817" s="140">
        <f t="shared" si="182"/>
        <v>1.2574774774774775</v>
      </c>
      <c r="M817" s="133">
        <f t="shared" si="176"/>
        <v>638.04999999999995</v>
      </c>
      <c r="N817" s="133">
        <f t="shared" si="177"/>
        <v>5623.05</v>
      </c>
      <c r="O817" s="134">
        <f t="shared" si="178"/>
        <v>55.839622641509436</v>
      </c>
      <c r="P817" s="134">
        <f t="shared" si="179"/>
        <v>1.4184270270270272</v>
      </c>
      <c r="R817" s="149">
        <f t="shared" si="180"/>
        <v>16.035353014251008</v>
      </c>
      <c r="S817" s="140">
        <f t="shared" si="183"/>
        <v>56.080999668983772</v>
      </c>
      <c r="T817" s="151">
        <f t="shared" si="184"/>
        <v>4.3226837155396769E-3</v>
      </c>
    </row>
    <row r="818" spans="1:20" ht="14.45" x14ac:dyDescent="0.3">
      <c r="A818" s="60" t="s">
        <v>22</v>
      </c>
      <c r="B818" s="60" t="s">
        <v>23</v>
      </c>
      <c r="C818" s="60" t="s">
        <v>7</v>
      </c>
      <c r="D818" s="60" t="s">
        <v>90</v>
      </c>
      <c r="E818" s="137">
        <v>40969</v>
      </c>
      <c r="F818" s="137"/>
      <c r="G818" s="92">
        <v>3499</v>
      </c>
      <c r="H818" s="138">
        <v>1295</v>
      </c>
      <c r="I818" s="138" t="s">
        <v>95</v>
      </c>
      <c r="J818" s="141">
        <f t="shared" si="185"/>
        <v>0.29899999999999999</v>
      </c>
      <c r="K818" s="140">
        <f t="shared" si="181"/>
        <v>34.746772591857003</v>
      </c>
      <c r="L818" s="140">
        <f t="shared" si="182"/>
        <v>0.94567567567567568</v>
      </c>
      <c r="M818" s="133">
        <f t="shared" si="176"/>
        <v>387.20499999999998</v>
      </c>
      <c r="N818" s="133">
        <f t="shared" si="177"/>
        <v>3886.2049999999999</v>
      </c>
      <c r="O818" s="134">
        <f t="shared" si="178"/>
        <v>38.591906653426015</v>
      </c>
      <c r="P818" s="134">
        <f t="shared" si="179"/>
        <v>1.0503256756756756</v>
      </c>
      <c r="R818" s="149">
        <f t="shared" si="180"/>
        <v>5.990029935285679</v>
      </c>
      <c r="S818" s="140">
        <f t="shared" si="183"/>
        <v>38.682260840781197</v>
      </c>
      <c r="T818" s="151">
        <f t="shared" si="184"/>
        <v>2.362228312866943E-2</v>
      </c>
    </row>
    <row r="819" spans="1:20" ht="14.45" x14ac:dyDescent="0.3">
      <c r="A819" s="60" t="s">
        <v>22</v>
      </c>
      <c r="B819" s="60" t="s">
        <v>14</v>
      </c>
      <c r="C819" s="60" t="s">
        <v>24</v>
      </c>
      <c r="D819" s="60" t="s">
        <v>90</v>
      </c>
      <c r="E819" s="137">
        <v>40969</v>
      </c>
      <c r="F819" s="137"/>
      <c r="G819" s="92">
        <v>3497</v>
      </c>
      <c r="H819" s="138">
        <v>615</v>
      </c>
      <c r="I819" s="138" t="s">
        <v>94</v>
      </c>
      <c r="J819" s="141">
        <f t="shared" si="185"/>
        <v>0.46</v>
      </c>
      <c r="K819" s="140">
        <f t="shared" si="181"/>
        <v>34.726911618669313</v>
      </c>
      <c r="L819" s="140">
        <f t="shared" si="182"/>
        <v>0.94513513513513514</v>
      </c>
      <c r="M819" s="133">
        <f t="shared" si="176"/>
        <v>282.90000000000003</v>
      </c>
      <c r="N819" s="133">
        <f t="shared" si="177"/>
        <v>3779.9</v>
      </c>
      <c r="O819" s="134">
        <f t="shared" si="178"/>
        <v>37.53624627606753</v>
      </c>
      <c r="P819" s="134">
        <f t="shared" si="179"/>
        <v>1.0215945945945946</v>
      </c>
      <c r="R819" s="149">
        <f t="shared" si="180"/>
        <v>20.522917497010763</v>
      </c>
      <c r="S819" s="140">
        <f t="shared" si="183"/>
        <v>37.63803376365442</v>
      </c>
      <c r="T819" s="151">
        <f t="shared" si="184"/>
        <v>2.7117119500512654E-3</v>
      </c>
    </row>
    <row r="820" spans="1:20" ht="14.45" x14ac:dyDescent="0.3">
      <c r="A820" s="60" t="s">
        <v>22</v>
      </c>
      <c r="B820" s="60" t="s">
        <v>18</v>
      </c>
      <c r="C820" s="60" t="s">
        <v>15</v>
      </c>
      <c r="D820" s="60" t="s">
        <v>90</v>
      </c>
      <c r="E820" s="137">
        <v>40969</v>
      </c>
      <c r="F820" s="137"/>
      <c r="G820" s="92">
        <v>4453</v>
      </c>
      <c r="H820" s="138">
        <v>872</v>
      </c>
      <c r="I820" s="138" t="s">
        <v>94</v>
      </c>
      <c r="J820" s="141">
        <f t="shared" si="185"/>
        <v>0.46</v>
      </c>
      <c r="K820" s="140">
        <f t="shared" si="181"/>
        <v>44.220456802383318</v>
      </c>
      <c r="L820" s="140">
        <f t="shared" si="182"/>
        <v>1.2035135135135135</v>
      </c>
      <c r="M820" s="133">
        <f t="shared" si="176"/>
        <v>401.12</v>
      </c>
      <c r="N820" s="133">
        <f t="shared" si="177"/>
        <v>4854.12</v>
      </c>
      <c r="O820" s="134">
        <f t="shared" si="178"/>
        <v>48.203773584905655</v>
      </c>
      <c r="P820" s="134">
        <f t="shared" si="179"/>
        <v>1.3119243243243244</v>
      </c>
      <c r="R820" s="149">
        <f t="shared" si="180"/>
        <v>17.38537434706906</v>
      </c>
      <c r="S820" s="140">
        <f t="shared" si="183"/>
        <v>48.348096656736182</v>
      </c>
      <c r="T820" s="151">
        <f t="shared" si="184"/>
        <v>2.9940202000224847E-3</v>
      </c>
    </row>
    <row r="821" spans="1:20" ht="14.45" x14ac:dyDescent="0.3">
      <c r="A821" s="60" t="s">
        <v>22</v>
      </c>
      <c r="B821" s="60" t="s">
        <v>18</v>
      </c>
      <c r="C821" s="60" t="s">
        <v>24</v>
      </c>
      <c r="D821" s="60" t="s">
        <v>90</v>
      </c>
      <c r="E821" s="137">
        <v>40969</v>
      </c>
      <c r="F821" s="137"/>
      <c r="G821" s="92">
        <v>3189</v>
      </c>
      <c r="H821" s="138">
        <v>417</v>
      </c>
      <c r="I821" s="138" t="s">
        <v>94</v>
      </c>
      <c r="J821" s="141">
        <f t="shared" si="185"/>
        <v>0.46</v>
      </c>
      <c r="K821" s="140">
        <f t="shared" si="181"/>
        <v>31.668321747765638</v>
      </c>
      <c r="L821" s="140">
        <f t="shared" si="182"/>
        <v>0.86189189189189186</v>
      </c>
      <c r="M821" s="133">
        <f t="shared" si="176"/>
        <v>191.82000000000002</v>
      </c>
      <c r="N821" s="133">
        <f t="shared" si="177"/>
        <v>3380.82</v>
      </c>
      <c r="O821" s="134">
        <f t="shared" si="178"/>
        <v>33.573187686196626</v>
      </c>
      <c r="P821" s="134">
        <f t="shared" si="179"/>
        <v>0.91373513513513516</v>
      </c>
      <c r="R821" s="149">
        <f t="shared" si="180"/>
        <v>22.540096775947394</v>
      </c>
      <c r="S821" s="140">
        <f t="shared" si="183"/>
        <v>33.642204568023836</v>
      </c>
      <c r="T821" s="151">
        <f t="shared" si="184"/>
        <v>2.0557142941652895E-3</v>
      </c>
    </row>
    <row r="822" spans="1:20" ht="14.45" x14ac:dyDescent="0.3">
      <c r="A822" s="60" t="s">
        <v>22</v>
      </c>
      <c r="B822" s="60" t="s">
        <v>13</v>
      </c>
      <c r="C822" s="60" t="s">
        <v>7</v>
      </c>
      <c r="D822" s="60" t="s">
        <v>90</v>
      </c>
      <c r="E822" s="137">
        <v>40969</v>
      </c>
      <c r="F822" s="137"/>
      <c r="G822" s="92">
        <v>3382</v>
      </c>
      <c r="H822" s="138">
        <v>1006</v>
      </c>
      <c r="I822" s="138" t="s">
        <v>92</v>
      </c>
      <c r="J822" s="141">
        <f t="shared" si="185"/>
        <v>0.35</v>
      </c>
      <c r="K822" s="140">
        <f t="shared" si="181"/>
        <v>33.584905660377359</v>
      </c>
      <c r="L822" s="140">
        <f t="shared" si="182"/>
        <v>0.91405405405405404</v>
      </c>
      <c r="M822" s="133">
        <f t="shared" si="176"/>
        <v>352.09999999999997</v>
      </c>
      <c r="N822" s="133">
        <f t="shared" si="177"/>
        <v>3734.1</v>
      </c>
      <c r="O822" s="134">
        <f t="shared" si="178"/>
        <v>37.081429990069509</v>
      </c>
      <c r="P822" s="134">
        <f t="shared" si="179"/>
        <v>1.0092162162162162</v>
      </c>
      <c r="R822" s="149">
        <f t="shared" si="180"/>
        <v>9.2621636489191204</v>
      </c>
      <c r="S822" s="140">
        <f t="shared" si="183"/>
        <v>37.294074809665673</v>
      </c>
      <c r="T822" s="151">
        <f t="shared" si="184"/>
        <v>-6.8829106906853621E-4</v>
      </c>
    </row>
    <row r="823" spans="1:20" ht="14.45" x14ac:dyDescent="0.3">
      <c r="A823" s="60" t="s">
        <v>1</v>
      </c>
      <c r="B823" s="60" t="s">
        <v>25</v>
      </c>
      <c r="C823" s="60" t="s">
        <v>26</v>
      </c>
      <c r="D823" s="60" t="s">
        <v>91</v>
      </c>
      <c r="E823" s="137">
        <v>40969</v>
      </c>
      <c r="F823" s="137"/>
      <c r="G823" s="92">
        <v>3351</v>
      </c>
      <c r="H823" s="138">
        <v>880</v>
      </c>
      <c r="I823" s="138" t="s">
        <v>93</v>
      </c>
      <c r="J823" s="141">
        <f t="shared" si="185"/>
        <v>0.34</v>
      </c>
      <c r="K823" s="140">
        <f t="shared" si="181"/>
        <v>33.277060575968221</v>
      </c>
      <c r="L823" s="140">
        <f t="shared" si="182"/>
        <v>0.90567567567567564</v>
      </c>
      <c r="M823" s="133">
        <f t="shared" si="176"/>
        <v>299.20000000000005</v>
      </c>
      <c r="N823" s="133">
        <f t="shared" si="177"/>
        <v>3650.2</v>
      </c>
      <c r="O823" s="134">
        <f t="shared" si="178"/>
        <v>36.248262164846075</v>
      </c>
      <c r="P823" s="134">
        <f t="shared" si="179"/>
        <v>0.98654054054054052</v>
      </c>
      <c r="R823" s="149">
        <f t="shared" si="180"/>
        <v>15.206413331650026</v>
      </c>
      <c r="S823" s="140">
        <f t="shared" si="183"/>
        <v>35.994041708043689</v>
      </c>
      <c r="T823" s="151">
        <f t="shared" si="184"/>
        <v>2.441919620145816E-2</v>
      </c>
    </row>
    <row r="824" spans="1:20" ht="14.45" x14ac:dyDescent="0.3">
      <c r="A824" s="60" t="s">
        <v>1</v>
      </c>
      <c r="B824" s="60" t="s">
        <v>2</v>
      </c>
      <c r="C824" s="60" t="s">
        <v>9</v>
      </c>
      <c r="D824" s="60" t="s">
        <v>91</v>
      </c>
      <c r="E824" s="137">
        <v>40969</v>
      </c>
      <c r="F824" s="137"/>
      <c r="G824" s="92">
        <v>3247</v>
      </c>
      <c r="H824" s="138">
        <v>685</v>
      </c>
      <c r="I824" s="138" t="s">
        <v>93</v>
      </c>
      <c r="J824" s="141">
        <f t="shared" si="185"/>
        <v>0.34</v>
      </c>
      <c r="K824" s="140">
        <f t="shared" si="181"/>
        <v>32.244289970208541</v>
      </c>
      <c r="L824" s="140">
        <f t="shared" si="182"/>
        <v>0.8775675675675676</v>
      </c>
      <c r="M824" s="133">
        <f t="shared" si="176"/>
        <v>232.9</v>
      </c>
      <c r="N824" s="133">
        <f t="shared" si="177"/>
        <v>3479.9</v>
      </c>
      <c r="O824" s="134">
        <f t="shared" si="178"/>
        <v>34.557100297914594</v>
      </c>
      <c r="P824" s="134">
        <f t="shared" si="179"/>
        <v>0.94051351351351353</v>
      </c>
      <c r="R824" s="149">
        <f t="shared" si="180"/>
        <v>10.664482994387114</v>
      </c>
      <c r="S824" s="140">
        <f t="shared" si="183"/>
        <v>34.306852035749749</v>
      </c>
      <c r="T824" s="151">
        <f t="shared" si="184"/>
        <v>2.3038881814682055E-2</v>
      </c>
    </row>
    <row r="825" spans="1:20" ht="14.45" x14ac:dyDescent="0.3">
      <c r="A825" s="60" t="s">
        <v>1</v>
      </c>
      <c r="B825" s="60" t="s">
        <v>27</v>
      </c>
      <c r="C825" s="60" t="s">
        <v>28</v>
      </c>
      <c r="D825" s="60" t="s">
        <v>91</v>
      </c>
      <c r="E825" s="137">
        <v>40969</v>
      </c>
      <c r="F825" s="137"/>
      <c r="G825" s="92">
        <v>3645</v>
      </c>
      <c r="H825" s="138">
        <v>812</v>
      </c>
      <c r="I825" s="138" t="s">
        <v>94</v>
      </c>
      <c r="J825" s="141">
        <f t="shared" si="185"/>
        <v>0.46</v>
      </c>
      <c r="K825" s="140">
        <f t="shared" si="181"/>
        <v>36.196623634558094</v>
      </c>
      <c r="L825" s="140">
        <f t="shared" si="182"/>
        <v>0.98513513513513518</v>
      </c>
      <c r="M825" s="133">
        <f t="shared" si="176"/>
        <v>373.52000000000004</v>
      </c>
      <c r="N825" s="133">
        <f t="shared" si="177"/>
        <v>4018.52</v>
      </c>
      <c r="O825" s="134">
        <f t="shared" si="178"/>
        <v>39.905858987090369</v>
      </c>
      <c r="P825" s="134">
        <f t="shared" si="179"/>
        <v>1.0860864864864865</v>
      </c>
      <c r="R825" s="149">
        <f t="shared" si="180"/>
        <v>6.276314397545768</v>
      </c>
      <c r="S825" s="140">
        <f t="shared" si="183"/>
        <v>40.040251572327044</v>
      </c>
      <c r="T825" s="151">
        <f t="shared" si="184"/>
        <v>3.3677406939205401E-3</v>
      </c>
    </row>
    <row r="826" spans="1:20" ht="14.45" x14ac:dyDescent="0.3">
      <c r="A826" s="60" t="s">
        <v>1</v>
      </c>
      <c r="B826" s="60" t="s">
        <v>4</v>
      </c>
      <c r="C826" s="60" t="s">
        <v>26</v>
      </c>
      <c r="D826" s="60" t="s">
        <v>91</v>
      </c>
      <c r="E826" s="137">
        <v>40969</v>
      </c>
      <c r="F826" s="137"/>
      <c r="G826" s="92">
        <v>4832</v>
      </c>
      <c r="H826" s="138">
        <v>1520</v>
      </c>
      <c r="I826" s="138" t="s">
        <v>93</v>
      </c>
      <c r="J826" s="141">
        <f t="shared" si="185"/>
        <v>0.34</v>
      </c>
      <c r="K826" s="140">
        <f t="shared" si="181"/>
        <v>47.984111221449851</v>
      </c>
      <c r="L826" s="140">
        <f t="shared" si="182"/>
        <v>1.3059459459459459</v>
      </c>
      <c r="M826" s="133">
        <f t="shared" si="176"/>
        <v>516.80000000000007</v>
      </c>
      <c r="N826" s="133">
        <f t="shared" si="177"/>
        <v>5348.8</v>
      </c>
      <c r="O826" s="134">
        <f t="shared" si="178"/>
        <v>53.116186693147966</v>
      </c>
      <c r="P826" s="134">
        <f t="shared" si="179"/>
        <v>1.4456216216216218</v>
      </c>
      <c r="R826" s="149">
        <f t="shared" si="180"/>
        <v>16.821735901804047</v>
      </c>
      <c r="S826" s="140">
        <f t="shared" si="183"/>
        <v>52.887123469049982</v>
      </c>
      <c r="T826" s="151">
        <f t="shared" si="184"/>
        <v>2.04900232492784E-2</v>
      </c>
    </row>
    <row r="827" spans="1:20" ht="14.45" x14ac:dyDescent="0.3">
      <c r="A827" s="60" t="s">
        <v>1</v>
      </c>
      <c r="B827" s="60" t="s">
        <v>4</v>
      </c>
      <c r="C827" s="60" t="s">
        <v>9</v>
      </c>
      <c r="D827" s="60" t="s">
        <v>91</v>
      </c>
      <c r="E827" s="137">
        <v>40969</v>
      </c>
      <c r="F827" s="137"/>
      <c r="G827" s="92">
        <v>5854</v>
      </c>
      <c r="H827" s="138">
        <v>1583</v>
      </c>
      <c r="I827" s="138" t="s">
        <v>93</v>
      </c>
      <c r="J827" s="141">
        <f t="shared" si="185"/>
        <v>0.34</v>
      </c>
      <c r="K827" s="140">
        <f t="shared" si="181"/>
        <v>58.133068520357497</v>
      </c>
      <c r="L827" s="140">
        <f t="shared" si="182"/>
        <v>1.5821621621621622</v>
      </c>
      <c r="M827" s="133">
        <f t="shared" si="176"/>
        <v>538.22</v>
      </c>
      <c r="N827" s="133">
        <f t="shared" si="177"/>
        <v>6392.22</v>
      </c>
      <c r="O827" s="134">
        <f t="shared" si="178"/>
        <v>63.477855014895731</v>
      </c>
      <c r="P827" s="134">
        <f t="shared" si="179"/>
        <v>1.7276270270270271</v>
      </c>
      <c r="R827" s="149">
        <f t="shared" si="180"/>
        <v>16.051480640294557</v>
      </c>
      <c r="S827" s="140">
        <f t="shared" si="183"/>
        <v>63.326646805693478</v>
      </c>
      <c r="T827" s="151">
        <f t="shared" si="184"/>
        <v>1.4924407124584649E-2</v>
      </c>
    </row>
    <row r="828" spans="1:20" ht="14.45" x14ac:dyDescent="0.3">
      <c r="A828" s="60" t="s">
        <v>1</v>
      </c>
      <c r="B828" s="60" t="s">
        <v>10</v>
      </c>
      <c r="C828" s="60" t="s">
        <v>26</v>
      </c>
      <c r="D828" s="60" t="s">
        <v>91</v>
      </c>
      <c r="E828" s="137">
        <v>40969</v>
      </c>
      <c r="F828" s="137"/>
      <c r="G828" s="92">
        <v>4727</v>
      </c>
      <c r="H828" s="138">
        <v>1599</v>
      </c>
      <c r="I828" s="138" t="s">
        <v>92</v>
      </c>
      <c r="J828" s="141">
        <f t="shared" si="185"/>
        <v>0.35</v>
      </c>
      <c r="K828" s="140">
        <f t="shared" si="181"/>
        <v>46.941410129096326</v>
      </c>
      <c r="L828" s="140">
        <f t="shared" si="182"/>
        <v>1.2775675675675675</v>
      </c>
      <c r="M828" s="133">
        <f t="shared" si="176"/>
        <v>559.65</v>
      </c>
      <c r="N828" s="133">
        <f t="shared" si="177"/>
        <v>5286.65</v>
      </c>
      <c r="O828" s="134">
        <f t="shared" si="178"/>
        <v>52.499006951340611</v>
      </c>
      <c r="P828" s="134">
        <f t="shared" si="179"/>
        <v>1.4288243243243242</v>
      </c>
      <c r="R828" s="149">
        <f t="shared" si="180"/>
        <v>5.0034361257979443</v>
      </c>
      <c r="S828" s="140">
        <f t="shared" si="183"/>
        <v>52.710724925521355</v>
      </c>
      <c r="T828" s="151">
        <f t="shared" si="184"/>
        <v>4.0327995989901666E-3</v>
      </c>
    </row>
    <row r="829" spans="1:20" ht="14.45" x14ac:dyDescent="0.3">
      <c r="A829" s="60" t="s">
        <v>134</v>
      </c>
      <c r="B829" s="60" t="s">
        <v>23</v>
      </c>
      <c r="C829" s="60" t="s">
        <v>26</v>
      </c>
      <c r="D829" s="60" t="s">
        <v>91</v>
      </c>
      <c r="E829" s="137">
        <v>40969</v>
      </c>
      <c r="F829" s="137"/>
      <c r="G829" s="92">
        <v>4800</v>
      </c>
      <c r="H829" s="138">
        <v>1851</v>
      </c>
      <c r="I829" s="138" t="s">
        <v>93</v>
      </c>
      <c r="J829" s="141">
        <f t="shared" si="185"/>
        <v>0.34</v>
      </c>
      <c r="K829" s="140">
        <f t="shared" si="181"/>
        <v>47.666335650446868</v>
      </c>
      <c r="L829" s="140">
        <f t="shared" si="182"/>
        <v>1.2108108108108109</v>
      </c>
      <c r="M829" s="133">
        <f t="shared" si="176"/>
        <v>629.34</v>
      </c>
      <c r="N829" s="133">
        <f t="shared" si="177"/>
        <v>5429.34</v>
      </c>
      <c r="O829" s="134">
        <f t="shared" si="178"/>
        <v>53.915988083416089</v>
      </c>
      <c r="P829" s="134">
        <f t="shared" si="179"/>
        <v>1.3695632432432434</v>
      </c>
      <c r="R829" s="149">
        <f t="shared" si="180"/>
        <v>19.438242042532238</v>
      </c>
      <c r="S829" s="140">
        <f t="shared" si="183"/>
        <v>54.161072492552137</v>
      </c>
      <c r="T829" s="151">
        <f t="shared" si="184"/>
        <v>4.5456722179859632E-3</v>
      </c>
    </row>
    <row r="830" spans="1:20" ht="14.45" x14ac:dyDescent="0.3">
      <c r="A830" s="60" t="s">
        <v>134</v>
      </c>
      <c r="B830" s="60" t="s">
        <v>8</v>
      </c>
      <c r="C830" s="60" t="s">
        <v>29</v>
      </c>
      <c r="D830" s="60" t="s">
        <v>91</v>
      </c>
      <c r="E830" s="137">
        <v>40969</v>
      </c>
      <c r="F830" s="137"/>
      <c r="G830" s="92">
        <v>4760</v>
      </c>
      <c r="H830" s="138">
        <v>1695</v>
      </c>
      <c r="I830" s="138" t="s">
        <v>93</v>
      </c>
      <c r="J830" s="141">
        <f t="shared" si="185"/>
        <v>0.34</v>
      </c>
      <c r="K830" s="140">
        <f t="shared" si="181"/>
        <v>47.269116186693147</v>
      </c>
      <c r="L830" s="140">
        <f t="shared" si="182"/>
        <v>1.2007207207207207</v>
      </c>
      <c r="M830" s="133">
        <f t="shared" si="176"/>
        <v>576.30000000000007</v>
      </c>
      <c r="N830" s="133">
        <f t="shared" si="177"/>
        <v>5336.3</v>
      </c>
      <c r="O830" s="134">
        <f t="shared" si="178"/>
        <v>52.992055610724925</v>
      </c>
      <c r="P830" s="134">
        <f t="shared" si="179"/>
        <v>1.3460936936936938</v>
      </c>
      <c r="R830" s="149">
        <f t="shared" si="180"/>
        <v>18.325443196558645</v>
      </c>
      <c r="S830" s="140">
        <f t="shared" si="183"/>
        <v>53.216484607745777</v>
      </c>
      <c r="T830" s="151">
        <f t="shared" si="184"/>
        <v>4.2351442010382101E-3</v>
      </c>
    </row>
    <row r="831" spans="1:20" ht="14.45" x14ac:dyDescent="0.3">
      <c r="A831" s="60" t="s">
        <v>134</v>
      </c>
      <c r="B831" s="60" t="s">
        <v>13</v>
      </c>
      <c r="C831" s="60" t="s">
        <v>7</v>
      </c>
      <c r="D831" s="60" t="s">
        <v>91</v>
      </c>
      <c r="E831" s="137">
        <v>40969</v>
      </c>
      <c r="F831" s="137"/>
      <c r="G831" s="92">
        <v>2857</v>
      </c>
      <c r="H831" s="138">
        <v>1006</v>
      </c>
      <c r="I831" s="138" t="s">
        <v>92</v>
      </c>
      <c r="J831" s="141">
        <f t="shared" si="185"/>
        <v>0.35</v>
      </c>
      <c r="K831" s="140">
        <f t="shared" si="181"/>
        <v>28.371400198609731</v>
      </c>
      <c r="L831" s="140">
        <f t="shared" si="182"/>
        <v>0.72068468468468472</v>
      </c>
      <c r="M831" s="133">
        <f t="shared" ref="M831:M879" si="186">H831*J831</f>
        <v>352.09999999999997</v>
      </c>
      <c r="N831" s="133">
        <f t="shared" ref="N831:N879" si="187">G831+M831</f>
        <v>3209.1</v>
      </c>
      <c r="O831" s="134">
        <f t="shared" ref="O831:O879" si="188">N831/100.7</f>
        <v>31.867924528301884</v>
      </c>
      <c r="P831" s="134">
        <f t="shared" ref="P831:P879" si="189">IF(A831="corn",N831/(111*2000/56),N831/(111*2000/60))</f>
        <v>0.80950270270270275</v>
      </c>
      <c r="R831" s="149">
        <f t="shared" si="180"/>
        <v>9.2065501470107733</v>
      </c>
      <c r="S831" s="140">
        <f t="shared" si="183"/>
        <v>32.067328699106255</v>
      </c>
      <c r="T831" s="151">
        <f t="shared" si="184"/>
        <v>2.4774705026153754E-5</v>
      </c>
    </row>
    <row r="832" spans="1:20" ht="14.45" x14ac:dyDescent="0.3">
      <c r="A832" s="60" t="s">
        <v>134</v>
      </c>
      <c r="B832" s="60" t="s">
        <v>30</v>
      </c>
      <c r="C832" s="60" t="s">
        <v>9</v>
      </c>
      <c r="D832" s="60" t="s">
        <v>91</v>
      </c>
      <c r="E832" s="137">
        <v>40969</v>
      </c>
      <c r="F832" s="137"/>
      <c r="G832" s="92">
        <v>3310</v>
      </c>
      <c r="H832" s="138">
        <v>988</v>
      </c>
      <c r="I832" s="138" t="s">
        <v>93</v>
      </c>
      <c r="J832" s="141">
        <f t="shared" si="185"/>
        <v>0.34</v>
      </c>
      <c r="K832" s="140">
        <f t="shared" si="181"/>
        <v>32.869910625620655</v>
      </c>
      <c r="L832" s="140">
        <f t="shared" si="182"/>
        <v>0.83495495495495498</v>
      </c>
      <c r="M832" s="133">
        <f t="shared" si="186"/>
        <v>335.92</v>
      </c>
      <c r="N832" s="133">
        <f t="shared" si="187"/>
        <v>3645.92</v>
      </c>
      <c r="O832" s="134">
        <f t="shared" si="188"/>
        <v>36.205759682224432</v>
      </c>
      <c r="P832" s="134">
        <f t="shared" si="189"/>
        <v>0.9196915315315316</v>
      </c>
      <c r="R832" s="149">
        <f t="shared" si="180"/>
        <v>17.336285578198019</v>
      </c>
      <c r="S832" s="140">
        <f t="shared" si="183"/>
        <v>36.336577292287323</v>
      </c>
      <c r="T832" s="151">
        <f t="shared" si="184"/>
        <v>3.6131712526148441E-3</v>
      </c>
    </row>
    <row r="833" spans="1:20" ht="14.45" x14ac:dyDescent="0.3">
      <c r="A833" s="60" t="s">
        <v>134</v>
      </c>
      <c r="B833" s="60" t="s">
        <v>16</v>
      </c>
      <c r="C833" s="60" t="s">
        <v>11</v>
      </c>
      <c r="D833" s="60" t="s">
        <v>91</v>
      </c>
      <c r="E833" s="137">
        <v>40969</v>
      </c>
      <c r="F833" s="137"/>
      <c r="G833" s="92">
        <v>3430</v>
      </c>
      <c r="H833" s="138">
        <v>787</v>
      </c>
      <c r="I833" s="138" t="s">
        <v>92</v>
      </c>
      <c r="J833" s="141">
        <f t="shared" si="185"/>
        <v>0.35</v>
      </c>
      <c r="K833" s="140">
        <f t="shared" si="181"/>
        <v>34.061569016881826</v>
      </c>
      <c r="L833" s="140">
        <f t="shared" si="182"/>
        <v>0.86522522522522527</v>
      </c>
      <c r="M833" s="133">
        <f t="shared" si="186"/>
        <v>275.45</v>
      </c>
      <c r="N833" s="133">
        <f t="shared" si="187"/>
        <v>3705.45</v>
      </c>
      <c r="O833" s="134">
        <f t="shared" si="188"/>
        <v>36.796921549155904</v>
      </c>
      <c r="P833" s="134">
        <f t="shared" si="189"/>
        <v>0.93470810810810812</v>
      </c>
      <c r="R833" s="149">
        <f t="shared" si="180"/>
        <v>4.8330513605422842</v>
      </c>
      <c r="S833" s="140">
        <f t="shared" si="183"/>
        <v>36.901125455147302</v>
      </c>
      <c r="T833" s="151">
        <f t="shared" si="184"/>
        <v>2.8318647757581417E-3</v>
      </c>
    </row>
    <row r="834" spans="1:20" ht="14.45" x14ac:dyDescent="0.3">
      <c r="A834" s="60" t="s">
        <v>134</v>
      </c>
      <c r="B834" s="60" t="s">
        <v>23</v>
      </c>
      <c r="C834" s="60" t="s">
        <v>29</v>
      </c>
      <c r="D834" s="60" t="s">
        <v>91</v>
      </c>
      <c r="E834" s="137">
        <v>40969</v>
      </c>
      <c r="F834" s="137"/>
      <c r="G834" s="92">
        <v>4800</v>
      </c>
      <c r="H834" s="138">
        <v>1836</v>
      </c>
      <c r="I834" s="138" t="s">
        <v>93</v>
      </c>
      <c r="J834" s="141">
        <f t="shared" si="185"/>
        <v>0.34</v>
      </c>
      <c r="K834" s="140">
        <f t="shared" si="181"/>
        <v>47.666335650446868</v>
      </c>
      <c r="L834" s="140">
        <f t="shared" si="182"/>
        <v>1.2108108108108109</v>
      </c>
      <c r="M834" s="133">
        <f t="shared" si="186"/>
        <v>624.24</v>
      </c>
      <c r="N834" s="133">
        <f t="shared" si="187"/>
        <v>5424.24</v>
      </c>
      <c r="O834" s="134">
        <f t="shared" si="188"/>
        <v>53.865342601787482</v>
      </c>
      <c r="P834" s="134">
        <f t="shared" si="189"/>
        <v>1.3682767567567566</v>
      </c>
      <c r="R834" s="149">
        <f t="shared" si="180"/>
        <v>19.416680609737845</v>
      </c>
      <c r="S834" s="140">
        <f t="shared" si="183"/>
        <v>54.108440913604767</v>
      </c>
      <c r="T834" s="151">
        <f t="shared" si="184"/>
        <v>4.5130746427151092E-3</v>
      </c>
    </row>
    <row r="835" spans="1:20" ht="14.45" x14ac:dyDescent="0.3">
      <c r="A835" s="60" t="s">
        <v>134</v>
      </c>
      <c r="B835" s="60" t="s">
        <v>31</v>
      </c>
      <c r="C835" s="60" t="s">
        <v>32</v>
      </c>
      <c r="D835" s="60" t="s">
        <v>91</v>
      </c>
      <c r="E835" s="137">
        <v>40969</v>
      </c>
      <c r="F835" s="137"/>
      <c r="G835" s="92">
        <v>4200</v>
      </c>
      <c r="H835" s="138">
        <v>1899</v>
      </c>
      <c r="I835" s="138" t="s">
        <v>93</v>
      </c>
      <c r="J835" s="141">
        <f t="shared" si="185"/>
        <v>0.34</v>
      </c>
      <c r="K835" s="140">
        <f t="shared" si="181"/>
        <v>41.708043694141011</v>
      </c>
      <c r="L835" s="140">
        <f t="shared" si="182"/>
        <v>1.0594594594594595</v>
      </c>
      <c r="M835" s="133">
        <f t="shared" si="186"/>
        <v>645.66000000000008</v>
      </c>
      <c r="N835" s="133">
        <f t="shared" si="187"/>
        <v>4845.66</v>
      </c>
      <c r="O835" s="134">
        <f t="shared" si="188"/>
        <v>48.119761668321743</v>
      </c>
      <c r="P835" s="134">
        <f t="shared" si="189"/>
        <v>1.2223286486486487</v>
      </c>
      <c r="R835" s="149">
        <f t="shared" si="180"/>
        <v>23.715714734334668</v>
      </c>
      <c r="S835" s="140">
        <f t="shared" si="183"/>
        <v>48.371201588877852</v>
      </c>
      <c r="T835" s="151">
        <f t="shared" si="184"/>
        <v>5.2252943871424762E-3</v>
      </c>
    </row>
    <row r="836" spans="1:20" ht="14.45" x14ac:dyDescent="0.3">
      <c r="A836" s="60" t="s">
        <v>22</v>
      </c>
      <c r="B836" s="60" t="s">
        <v>8</v>
      </c>
      <c r="C836" s="60" t="s">
        <v>29</v>
      </c>
      <c r="D836" s="60" t="s">
        <v>91</v>
      </c>
      <c r="E836" s="137">
        <v>40969</v>
      </c>
      <c r="F836" s="137"/>
      <c r="G836" s="92">
        <v>5040</v>
      </c>
      <c r="H836" s="138">
        <v>1695</v>
      </c>
      <c r="I836" s="138" t="s">
        <v>93</v>
      </c>
      <c r="J836" s="141">
        <f t="shared" si="185"/>
        <v>0.34</v>
      </c>
      <c r="K836" s="140">
        <f t="shared" si="181"/>
        <v>50.049652432969211</v>
      </c>
      <c r="L836" s="140">
        <f t="shared" si="182"/>
        <v>1.3621621621621622</v>
      </c>
      <c r="M836" s="133">
        <f t="shared" si="186"/>
        <v>576.30000000000007</v>
      </c>
      <c r="N836" s="133">
        <f t="shared" si="187"/>
        <v>5616.3</v>
      </c>
      <c r="O836" s="134">
        <f t="shared" si="188"/>
        <v>55.772591857000997</v>
      </c>
      <c r="P836" s="134">
        <f t="shared" si="189"/>
        <v>1.5179189189189191</v>
      </c>
      <c r="R836" s="149">
        <f t="shared" si="180"/>
        <v>19.245835854645055</v>
      </c>
      <c r="S836" s="140">
        <f t="shared" si="183"/>
        <v>55.997020854021848</v>
      </c>
      <c r="T836" s="151">
        <f t="shared" si="184"/>
        <v>4.0240015668677742E-3</v>
      </c>
    </row>
    <row r="837" spans="1:20" ht="14.45" x14ac:dyDescent="0.3">
      <c r="A837" s="60" t="s">
        <v>22</v>
      </c>
      <c r="B837" s="60" t="s">
        <v>23</v>
      </c>
      <c r="C837" s="60" t="s">
        <v>26</v>
      </c>
      <c r="D837" s="60" t="s">
        <v>91</v>
      </c>
      <c r="E837" s="137">
        <v>40969</v>
      </c>
      <c r="F837" s="137"/>
      <c r="G837" s="92">
        <v>5030</v>
      </c>
      <c r="H837" s="138">
        <v>1851</v>
      </c>
      <c r="I837" s="138" t="s">
        <v>93</v>
      </c>
      <c r="J837" s="141">
        <f t="shared" si="185"/>
        <v>0.34</v>
      </c>
      <c r="K837" s="140">
        <f t="shared" si="181"/>
        <v>49.950347567030782</v>
      </c>
      <c r="L837" s="140">
        <f t="shared" si="182"/>
        <v>1.3594594594594596</v>
      </c>
      <c r="M837" s="133">
        <f t="shared" si="186"/>
        <v>629.34</v>
      </c>
      <c r="N837" s="133">
        <f t="shared" si="187"/>
        <v>5659.34</v>
      </c>
      <c r="O837" s="134">
        <f t="shared" si="188"/>
        <v>56.2</v>
      </c>
      <c r="P837" s="134">
        <f t="shared" si="189"/>
        <v>1.5295513513513515</v>
      </c>
      <c r="R837" s="149">
        <f t="shared" si="180"/>
        <v>20.520983957765893</v>
      </c>
      <c r="S837" s="140">
        <f t="shared" si="183"/>
        <v>56.445084409136051</v>
      </c>
      <c r="T837" s="151">
        <f t="shared" si="184"/>
        <v>4.3609325469047278E-3</v>
      </c>
    </row>
    <row r="838" spans="1:20" ht="14.45" x14ac:dyDescent="0.3">
      <c r="A838" s="60" t="s">
        <v>22</v>
      </c>
      <c r="B838" s="60" t="s">
        <v>33</v>
      </c>
      <c r="C838" s="60" t="s">
        <v>29</v>
      </c>
      <c r="D838" s="60" t="s">
        <v>91</v>
      </c>
      <c r="E838" s="137">
        <v>40969</v>
      </c>
      <c r="F838" s="137"/>
      <c r="G838" s="92">
        <v>4930</v>
      </c>
      <c r="H838" s="138">
        <v>1507</v>
      </c>
      <c r="I838" s="138" t="s">
        <v>93</v>
      </c>
      <c r="J838" s="141">
        <f t="shared" si="185"/>
        <v>0.34</v>
      </c>
      <c r="K838" s="140">
        <f t="shared" si="181"/>
        <v>48.957298907646475</v>
      </c>
      <c r="L838" s="140">
        <f t="shared" si="182"/>
        <v>1.3324324324324324</v>
      </c>
      <c r="M838" s="133">
        <f t="shared" si="186"/>
        <v>512.38</v>
      </c>
      <c r="N838" s="133">
        <f t="shared" si="187"/>
        <v>5442.38</v>
      </c>
      <c r="O838" s="134">
        <f t="shared" si="188"/>
        <v>54.045481628599802</v>
      </c>
      <c r="P838" s="134">
        <f t="shared" si="189"/>
        <v>1.4709135135135136</v>
      </c>
      <c r="R838" s="149">
        <f t="shared" si="180"/>
        <v>17.886934352262827</v>
      </c>
      <c r="S838" s="140">
        <f t="shared" si="183"/>
        <v>54.245018205892087</v>
      </c>
      <c r="T838" s="151">
        <f t="shared" si="184"/>
        <v>3.6920121956445229E-3</v>
      </c>
    </row>
    <row r="839" spans="1:20" ht="14.45" x14ac:dyDescent="0.3">
      <c r="A839" s="60" t="s">
        <v>22</v>
      </c>
      <c r="B839" s="60" t="s">
        <v>31</v>
      </c>
      <c r="C839" s="60" t="s">
        <v>7</v>
      </c>
      <c r="D839" s="60" t="s">
        <v>91</v>
      </c>
      <c r="E839" s="137">
        <v>40969</v>
      </c>
      <c r="F839" s="137"/>
      <c r="G839" s="92">
        <v>3710</v>
      </c>
      <c r="H839" s="138">
        <v>1160</v>
      </c>
      <c r="I839" s="138" t="s">
        <v>92</v>
      </c>
      <c r="J839" s="141">
        <f t="shared" si="185"/>
        <v>0.35</v>
      </c>
      <c r="K839" s="140">
        <f t="shared" si="181"/>
        <v>36.84210526315789</v>
      </c>
      <c r="L839" s="140">
        <f t="shared" si="182"/>
        <v>1.0027027027027027</v>
      </c>
      <c r="M839" s="133">
        <f t="shared" si="186"/>
        <v>406</v>
      </c>
      <c r="N839" s="133">
        <f t="shared" si="187"/>
        <v>4116</v>
      </c>
      <c r="O839" s="134">
        <f t="shared" si="188"/>
        <v>40.873882820258189</v>
      </c>
      <c r="P839" s="134">
        <f t="shared" si="189"/>
        <v>1.1124324324324324</v>
      </c>
      <c r="R839" s="149">
        <f t="shared" si="180"/>
        <v>7.9861475495854872</v>
      </c>
      <c r="S839" s="140">
        <f t="shared" si="183"/>
        <v>41.027474346242968</v>
      </c>
      <c r="T839" s="151">
        <f t="shared" si="184"/>
        <v>3.757693553612107E-3</v>
      </c>
    </row>
    <row r="840" spans="1:20" ht="14.45" x14ac:dyDescent="0.3">
      <c r="A840" s="60" t="s">
        <v>22</v>
      </c>
      <c r="B840" s="60" t="s">
        <v>14</v>
      </c>
      <c r="C840" s="60" t="s">
        <v>24</v>
      </c>
      <c r="D840" s="60" t="s">
        <v>91</v>
      </c>
      <c r="E840" s="137">
        <v>40969</v>
      </c>
      <c r="F840" s="137"/>
      <c r="G840" s="92">
        <v>2672</v>
      </c>
      <c r="H840" s="138">
        <v>615</v>
      </c>
      <c r="I840" s="138" t="s">
        <v>94</v>
      </c>
      <c r="J840" s="141">
        <f t="shared" si="185"/>
        <v>0.46</v>
      </c>
      <c r="K840" s="140">
        <f t="shared" si="181"/>
        <v>26.53426017874876</v>
      </c>
      <c r="L840" s="140">
        <f t="shared" si="182"/>
        <v>0.72216216216216211</v>
      </c>
      <c r="M840" s="133">
        <f t="shared" si="186"/>
        <v>282.90000000000003</v>
      </c>
      <c r="N840" s="133">
        <f t="shared" si="187"/>
        <v>2954.9</v>
      </c>
      <c r="O840" s="134">
        <f t="shared" si="188"/>
        <v>29.34359483614697</v>
      </c>
      <c r="P840" s="134">
        <f t="shared" si="189"/>
        <v>0.79862162162162165</v>
      </c>
      <c r="R840" s="149">
        <f t="shared" si="180"/>
        <v>7.4020899591094924</v>
      </c>
      <c r="S840" s="140">
        <f t="shared" si="183"/>
        <v>29.445382323733867</v>
      </c>
      <c r="T840" s="151">
        <f>(S840/S726)-1</f>
        <v>3.4688145114893931E-3</v>
      </c>
    </row>
    <row r="841" spans="1:20" ht="14.45" x14ac:dyDescent="0.3">
      <c r="A841" s="85" t="s">
        <v>22</v>
      </c>
      <c r="B841" s="85" t="s">
        <v>34</v>
      </c>
      <c r="C841" s="85" t="s">
        <v>26</v>
      </c>
      <c r="D841" s="85" t="s">
        <v>91</v>
      </c>
      <c r="E841" s="142">
        <v>40969</v>
      </c>
      <c r="F841" s="142"/>
      <c r="G841" s="115">
        <v>5115</v>
      </c>
      <c r="H841" s="143">
        <v>1637</v>
      </c>
      <c r="I841" s="143" t="s">
        <v>92</v>
      </c>
      <c r="J841" s="117">
        <f t="shared" si="185"/>
        <v>0.35</v>
      </c>
      <c r="K841" s="108">
        <f t="shared" si="181"/>
        <v>50.79443892750745</v>
      </c>
      <c r="L841" s="108">
        <f t="shared" si="182"/>
        <v>1.3824324324324324</v>
      </c>
      <c r="M841" s="115">
        <f t="shared" si="186"/>
        <v>572.94999999999993</v>
      </c>
      <c r="N841" s="115">
        <f t="shared" si="187"/>
        <v>5687.95</v>
      </c>
      <c r="O841" s="116">
        <f t="shared" si="188"/>
        <v>56.484111221449851</v>
      </c>
      <c r="P841" s="116">
        <f t="shared" si="189"/>
        <v>1.5372837837837838</v>
      </c>
      <c r="Q841" s="106"/>
      <c r="R841" s="152">
        <f>((N841/N385)-1)*100</f>
        <v>15.009847097027261</v>
      </c>
      <c r="S841" s="108">
        <f>AVERAGE(O765,O803,O841)</f>
        <v>54.731314134392584</v>
      </c>
      <c r="T841" s="153">
        <f>(S841/S727)-1</f>
        <v>8.2171105809665024E-2</v>
      </c>
    </row>
    <row r="842" spans="1:20" ht="14.45" x14ac:dyDescent="0.3">
      <c r="A842" s="82" t="s">
        <v>1</v>
      </c>
      <c r="B842" s="82" t="s">
        <v>2</v>
      </c>
      <c r="C842" s="82" t="s">
        <v>3</v>
      </c>
      <c r="D842" s="82" t="s">
        <v>90</v>
      </c>
      <c r="E842" s="155">
        <v>41000</v>
      </c>
      <c r="G842" s="92">
        <v>2992</v>
      </c>
      <c r="H842" s="52">
        <v>506</v>
      </c>
      <c r="I842" s="52" t="s">
        <v>92</v>
      </c>
      <c r="J842" s="157">
        <f>IF(I842="BNSF",0.37,IF(I842="CN",0.322,IF(I842="CSX",0.49,0.38)))</f>
        <v>0.38</v>
      </c>
      <c r="K842" s="159">
        <f t="shared" si="181"/>
        <v>29.712015888778549</v>
      </c>
      <c r="L842" s="159">
        <f t="shared" si="182"/>
        <v>0.8086486486486486</v>
      </c>
      <c r="M842" s="133">
        <f t="shared" si="186"/>
        <v>192.28</v>
      </c>
      <c r="N842" s="133">
        <f t="shared" si="187"/>
        <v>3184.28</v>
      </c>
      <c r="O842" s="134">
        <f t="shared" si="188"/>
        <v>31.621449851042701</v>
      </c>
      <c r="P842" s="134">
        <f t="shared" si="189"/>
        <v>0.86061621621621631</v>
      </c>
      <c r="R842" s="149">
        <f t="shared" ref="R842:R879" si="190">((N842/N386)-1)*100</f>
        <v>4.925530512719134</v>
      </c>
    </row>
    <row r="843" spans="1:20" ht="14.45" customHeight="1" x14ac:dyDescent="0.3">
      <c r="A843" s="82" t="s">
        <v>1</v>
      </c>
      <c r="B843" s="82" t="s">
        <v>4</v>
      </c>
      <c r="C843" s="82" t="s">
        <v>5</v>
      </c>
      <c r="D843" s="82" t="s">
        <v>90</v>
      </c>
      <c r="E843" s="155">
        <v>41000</v>
      </c>
      <c r="G843" s="92">
        <v>3260</v>
      </c>
      <c r="H843" s="52">
        <v>298</v>
      </c>
      <c r="I843" s="52" t="s">
        <v>93</v>
      </c>
      <c r="J843" s="157">
        <f t="shared" ref="J843:J879" si="191">IF(I843="BNSF",0.37,IF(I843="CN",0.322,IF(I843="CSX",0.49,0.38)))</f>
        <v>0.37</v>
      </c>
      <c r="K843" s="159">
        <f t="shared" ref="K843:K880" si="192">G843/100.7</f>
        <v>32.373386295928498</v>
      </c>
      <c r="L843" s="159">
        <f t="shared" ref="L843:L880" si="193">IF(A843="corn",G843/(111*2000/56),G843/(111*2000/60))</f>
        <v>0.88108108108108107</v>
      </c>
      <c r="M843" s="133">
        <f t="shared" si="186"/>
        <v>110.26</v>
      </c>
      <c r="N843" s="133">
        <f t="shared" si="187"/>
        <v>3370.26</v>
      </c>
      <c r="O843" s="134">
        <f t="shared" si="188"/>
        <v>33.468321747765643</v>
      </c>
      <c r="P843" s="134">
        <f t="shared" si="189"/>
        <v>0.91088108108108112</v>
      </c>
      <c r="R843" s="149">
        <f t="shared" si="190"/>
        <v>15.998265322980343</v>
      </c>
    </row>
    <row r="844" spans="1:20" ht="14.45" customHeight="1" x14ac:dyDescent="0.3">
      <c r="A844" s="82" t="s">
        <v>1</v>
      </c>
      <c r="B844" s="82" t="s">
        <v>2</v>
      </c>
      <c r="C844" s="82" t="s">
        <v>6</v>
      </c>
      <c r="D844" s="82" t="s">
        <v>90</v>
      </c>
      <c r="E844" s="155">
        <v>41000</v>
      </c>
      <c r="G844" s="92">
        <v>5895</v>
      </c>
      <c r="H844" s="52">
        <v>1530</v>
      </c>
      <c r="I844" s="52" t="s">
        <v>93</v>
      </c>
      <c r="J844" s="157">
        <f t="shared" si="191"/>
        <v>0.37</v>
      </c>
      <c r="K844" s="159">
        <f t="shared" si="192"/>
        <v>58.540218470705064</v>
      </c>
      <c r="L844" s="159">
        <f t="shared" si="193"/>
        <v>1.5932432432432433</v>
      </c>
      <c r="M844" s="133">
        <f t="shared" si="186"/>
        <v>566.1</v>
      </c>
      <c r="N844" s="133">
        <f t="shared" si="187"/>
        <v>6461.1</v>
      </c>
      <c r="O844" s="134">
        <f t="shared" si="188"/>
        <v>64.161866931479651</v>
      </c>
      <c r="P844" s="134">
        <f t="shared" si="189"/>
        <v>1.7462432432432433</v>
      </c>
      <c r="R844" s="149">
        <f t="shared" si="190"/>
        <v>5.2570702463182739</v>
      </c>
    </row>
    <row r="845" spans="1:20" ht="14.45" x14ac:dyDescent="0.3">
      <c r="A845" s="82" t="s">
        <v>1</v>
      </c>
      <c r="B845" s="82" t="s">
        <v>2</v>
      </c>
      <c r="C845" s="82" t="s">
        <v>7</v>
      </c>
      <c r="D845" s="82" t="s">
        <v>90</v>
      </c>
      <c r="E845" s="155">
        <v>41000</v>
      </c>
      <c r="G845" s="92">
        <v>3492</v>
      </c>
      <c r="H845" s="52">
        <v>890</v>
      </c>
      <c r="I845" s="52" t="s">
        <v>92</v>
      </c>
      <c r="J845" s="157">
        <f t="shared" si="191"/>
        <v>0.38</v>
      </c>
      <c r="K845" s="159">
        <f t="shared" si="192"/>
        <v>34.677259185700102</v>
      </c>
      <c r="L845" s="159">
        <f t="shared" si="193"/>
        <v>0.9437837837837838</v>
      </c>
      <c r="M845" s="133">
        <f t="shared" si="186"/>
        <v>338.2</v>
      </c>
      <c r="N845" s="133">
        <f t="shared" si="187"/>
        <v>3830.2</v>
      </c>
      <c r="O845" s="134">
        <f t="shared" si="188"/>
        <v>38.035749751737832</v>
      </c>
      <c r="P845" s="134">
        <f t="shared" si="189"/>
        <v>1.0351891891891891</v>
      </c>
      <c r="R845" s="149">
        <f t="shared" si="190"/>
        <v>4.9082443166255763</v>
      </c>
    </row>
    <row r="846" spans="1:20" ht="14.45" customHeight="1" x14ac:dyDescent="0.3">
      <c r="A846" s="82" t="s">
        <v>1</v>
      </c>
      <c r="B846" s="82" t="s">
        <v>8</v>
      </c>
      <c r="C846" s="82" t="s">
        <v>9</v>
      </c>
      <c r="D846" s="82" t="s">
        <v>90</v>
      </c>
      <c r="E846" s="155">
        <v>41000</v>
      </c>
      <c r="G846" s="92">
        <v>5573</v>
      </c>
      <c r="H846" s="52">
        <v>1256</v>
      </c>
      <c r="I846" s="52" t="s">
        <v>93</v>
      </c>
      <c r="J846" s="157">
        <f t="shared" si="191"/>
        <v>0.37</v>
      </c>
      <c r="K846" s="159">
        <f t="shared" si="192"/>
        <v>55.342601787487588</v>
      </c>
      <c r="L846" s="159">
        <f t="shared" si="193"/>
        <v>1.5062162162162163</v>
      </c>
      <c r="M846" s="133">
        <f t="shared" si="186"/>
        <v>464.71999999999997</v>
      </c>
      <c r="N846" s="133">
        <f t="shared" si="187"/>
        <v>6037.72</v>
      </c>
      <c r="O846" s="134">
        <f t="shared" si="188"/>
        <v>59.95749751737835</v>
      </c>
      <c r="P846" s="134">
        <f t="shared" si="189"/>
        <v>1.6318162162162162</v>
      </c>
      <c r="R846" s="149">
        <f t="shared" si="190"/>
        <v>4.7909637466849953</v>
      </c>
    </row>
    <row r="847" spans="1:20" ht="14.45" x14ac:dyDescent="0.3">
      <c r="A847" s="82" t="s">
        <v>1</v>
      </c>
      <c r="B847" s="82" t="s">
        <v>10</v>
      </c>
      <c r="C847" s="82" t="s">
        <v>9</v>
      </c>
      <c r="D847" s="82" t="s">
        <v>90</v>
      </c>
      <c r="E847" s="155">
        <v>41000</v>
      </c>
      <c r="G847" s="92">
        <v>3760</v>
      </c>
      <c r="H847" s="52">
        <v>975</v>
      </c>
      <c r="I847" s="52" t="s">
        <v>92</v>
      </c>
      <c r="J847" s="157">
        <f t="shared" si="191"/>
        <v>0.38</v>
      </c>
      <c r="K847" s="159">
        <f t="shared" si="192"/>
        <v>37.338629592850047</v>
      </c>
      <c r="L847" s="159">
        <f t="shared" si="193"/>
        <v>1.0162162162162163</v>
      </c>
      <c r="M847" s="133">
        <f t="shared" si="186"/>
        <v>370.5</v>
      </c>
      <c r="N847" s="133">
        <f t="shared" si="187"/>
        <v>4130.5</v>
      </c>
      <c r="O847" s="134">
        <f t="shared" si="188"/>
        <v>41.01787487586892</v>
      </c>
      <c r="P847" s="134">
        <f t="shared" si="189"/>
        <v>1.1163513513513514</v>
      </c>
      <c r="R847" s="149">
        <f t="shared" si="190"/>
        <v>4.7419804741980487</v>
      </c>
    </row>
    <row r="848" spans="1:20" ht="14.45" x14ac:dyDescent="0.3">
      <c r="A848" s="82" t="s">
        <v>1</v>
      </c>
      <c r="B848" s="82" t="s">
        <v>11</v>
      </c>
      <c r="C848" s="82" t="s">
        <v>6</v>
      </c>
      <c r="D848" s="82" t="s">
        <v>90</v>
      </c>
      <c r="E848" s="155">
        <v>41000</v>
      </c>
      <c r="G848" s="92">
        <v>3959</v>
      </c>
      <c r="H848" s="52">
        <v>1357</v>
      </c>
      <c r="I848" s="52" t="s">
        <v>92</v>
      </c>
      <c r="J848" s="157">
        <f t="shared" si="191"/>
        <v>0.38</v>
      </c>
      <c r="K848" s="159">
        <f t="shared" si="192"/>
        <v>39.314796425024824</v>
      </c>
      <c r="L848" s="159">
        <f t="shared" si="193"/>
        <v>1.07</v>
      </c>
      <c r="M848" s="133">
        <f t="shared" si="186"/>
        <v>515.66</v>
      </c>
      <c r="N848" s="133">
        <f t="shared" si="187"/>
        <v>4474.66</v>
      </c>
      <c r="O848" s="134">
        <f t="shared" si="188"/>
        <v>44.435551142005956</v>
      </c>
      <c r="P848" s="134">
        <f t="shared" si="189"/>
        <v>1.2093675675675675</v>
      </c>
      <c r="R848" s="149">
        <f t="shared" si="190"/>
        <v>5.1105212468581795</v>
      </c>
    </row>
    <row r="849" spans="1:18" ht="14.45" x14ac:dyDescent="0.3">
      <c r="A849" s="82" t="s">
        <v>134</v>
      </c>
      <c r="B849" s="82" t="s">
        <v>13</v>
      </c>
      <c r="C849" s="82" t="s">
        <v>7</v>
      </c>
      <c r="D849" s="82" t="s">
        <v>90</v>
      </c>
      <c r="E849" s="155">
        <v>41000</v>
      </c>
      <c r="G849" s="92">
        <v>3038</v>
      </c>
      <c r="H849" s="52">
        <v>1006</v>
      </c>
      <c r="I849" s="52" t="s">
        <v>92</v>
      </c>
      <c r="J849" s="157">
        <f t="shared" si="191"/>
        <v>0.38</v>
      </c>
      <c r="K849" s="159">
        <f t="shared" si="192"/>
        <v>30.168818272095333</v>
      </c>
      <c r="L849" s="159">
        <f t="shared" si="193"/>
        <v>0.76634234234234233</v>
      </c>
      <c r="M849" s="133">
        <f t="shared" si="186"/>
        <v>382.28000000000003</v>
      </c>
      <c r="N849" s="133">
        <f t="shared" si="187"/>
        <v>3420.28</v>
      </c>
      <c r="O849" s="134">
        <f t="shared" si="188"/>
        <v>33.965044687189675</v>
      </c>
      <c r="P849" s="134">
        <f t="shared" si="189"/>
        <v>0.86277333333333339</v>
      </c>
      <c r="R849" s="149">
        <f t="shared" si="190"/>
        <v>9.8426360074507002</v>
      </c>
    </row>
    <row r="850" spans="1:18" ht="14.45" customHeight="1" x14ac:dyDescent="0.3">
      <c r="A850" s="82" t="s">
        <v>134</v>
      </c>
      <c r="B850" s="82" t="s">
        <v>14</v>
      </c>
      <c r="C850" s="82" t="s">
        <v>15</v>
      </c>
      <c r="D850" s="82" t="s">
        <v>90</v>
      </c>
      <c r="E850" s="155">
        <v>41000</v>
      </c>
      <c r="G850" s="92">
        <v>4382</v>
      </c>
      <c r="H850" s="52">
        <v>866</v>
      </c>
      <c r="I850" s="52" t="s">
        <v>94</v>
      </c>
      <c r="J850" s="157">
        <f t="shared" si="191"/>
        <v>0.49</v>
      </c>
      <c r="K850" s="159">
        <f t="shared" si="192"/>
        <v>43.515392254220458</v>
      </c>
      <c r="L850" s="159">
        <f t="shared" si="193"/>
        <v>1.1053693693693694</v>
      </c>
      <c r="M850" s="133">
        <f t="shared" si="186"/>
        <v>424.34</v>
      </c>
      <c r="N850" s="133">
        <f t="shared" si="187"/>
        <v>4806.34</v>
      </c>
      <c r="O850" s="134">
        <f t="shared" si="188"/>
        <v>47.72929493545184</v>
      </c>
      <c r="P850" s="134">
        <f t="shared" si="189"/>
        <v>1.21241009009009</v>
      </c>
      <c r="R850" s="149">
        <f t="shared" si="190"/>
        <v>17.045100331190355</v>
      </c>
    </row>
    <row r="851" spans="1:18" ht="14.45" x14ac:dyDescent="0.3">
      <c r="A851" s="82" t="s">
        <v>134</v>
      </c>
      <c r="B851" s="82" t="s">
        <v>16</v>
      </c>
      <c r="C851" s="82" t="s">
        <v>17</v>
      </c>
      <c r="D851" s="82" t="s">
        <v>90</v>
      </c>
      <c r="E851" s="155">
        <v>41000</v>
      </c>
      <c r="G851" s="92">
        <v>1934</v>
      </c>
      <c r="H851" s="52">
        <v>213</v>
      </c>
      <c r="I851" s="52" t="s">
        <v>92</v>
      </c>
      <c r="J851" s="157">
        <f t="shared" si="191"/>
        <v>0.38</v>
      </c>
      <c r="K851" s="159">
        <f t="shared" si="192"/>
        <v>19.20556107249255</v>
      </c>
      <c r="L851" s="159">
        <f t="shared" si="193"/>
        <v>0.48785585585585589</v>
      </c>
      <c r="M851" s="133">
        <f t="shared" si="186"/>
        <v>80.94</v>
      </c>
      <c r="N851" s="133">
        <f t="shared" si="187"/>
        <v>2014.94</v>
      </c>
      <c r="O851" s="134">
        <f t="shared" si="188"/>
        <v>20.009334657398213</v>
      </c>
      <c r="P851" s="134">
        <f t="shared" si="189"/>
        <v>0.50827315315315313</v>
      </c>
      <c r="R851" s="149">
        <f t="shared" si="190"/>
        <v>5.6657402066180751</v>
      </c>
    </row>
    <row r="852" spans="1:18" ht="14.45" customHeight="1" x14ac:dyDescent="0.3">
      <c r="A852" s="82" t="s">
        <v>134</v>
      </c>
      <c r="B852" s="82" t="s">
        <v>18</v>
      </c>
      <c r="C852" s="82" t="s">
        <v>19</v>
      </c>
      <c r="D852" s="82" t="s">
        <v>90</v>
      </c>
      <c r="E852" s="155">
        <v>41000</v>
      </c>
      <c r="G852" s="92">
        <v>3821</v>
      </c>
      <c r="H852" s="52">
        <v>650</v>
      </c>
      <c r="I852" s="52" t="s">
        <v>94</v>
      </c>
      <c r="J852" s="157">
        <f t="shared" si="191"/>
        <v>0.49</v>
      </c>
      <c r="K852" s="159">
        <f t="shared" si="192"/>
        <v>37.944389275074478</v>
      </c>
      <c r="L852" s="159">
        <f t="shared" si="193"/>
        <v>0.96385585585585587</v>
      </c>
      <c r="M852" s="133">
        <f t="shared" si="186"/>
        <v>318.5</v>
      </c>
      <c r="N852" s="133">
        <f t="shared" si="187"/>
        <v>4139.5</v>
      </c>
      <c r="O852" s="134">
        <f t="shared" si="188"/>
        <v>41.107249255213503</v>
      </c>
      <c r="P852" s="134">
        <f t="shared" si="189"/>
        <v>1.0441981981981983</v>
      </c>
      <c r="R852" s="149">
        <f t="shared" si="190"/>
        <v>19.777199074074069</v>
      </c>
    </row>
    <row r="853" spans="1:18" ht="14.45" customHeight="1" x14ac:dyDescent="0.3">
      <c r="A853" s="82" t="s">
        <v>134</v>
      </c>
      <c r="B853" s="82" t="s">
        <v>18</v>
      </c>
      <c r="C853" s="82" t="s">
        <v>20</v>
      </c>
      <c r="D853" s="82" t="s">
        <v>90</v>
      </c>
      <c r="E853" s="155">
        <v>41000</v>
      </c>
      <c r="G853" s="92">
        <v>3273</v>
      </c>
      <c r="H853" s="52">
        <v>417</v>
      </c>
      <c r="I853" s="52" t="s">
        <v>94</v>
      </c>
      <c r="J853" s="157">
        <f t="shared" si="191"/>
        <v>0.49</v>
      </c>
      <c r="K853" s="159">
        <f t="shared" si="192"/>
        <v>32.502482621648461</v>
      </c>
      <c r="L853" s="159">
        <f t="shared" si="193"/>
        <v>0.82562162162162167</v>
      </c>
      <c r="M853" s="133">
        <f t="shared" si="186"/>
        <v>204.32999999999998</v>
      </c>
      <c r="N853" s="133">
        <f t="shared" si="187"/>
        <v>3477.33</v>
      </c>
      <c r="O853" s="134">
        <f t="shared" si="188"/>
        <v>34.531578947368416</v>
      </c>
      <c r="P853" s="134">
        <f t="shared" si="189"/>
        <v>0.87716432432432434</v>
      </c>
      <c r="R853" s="149">
        <f t="shared" si="190"/>
        <v>18.809963099630988</v>
      </c>
    </row>
    <row r="854" spans="1:18" ht="14.45" x14ac:dyDescent="0.3">
      <c r="A854" s="82" t="s">
        <v>134</v>
      </c>
      <c r="B854" s="82" t="s">
        <v>16</v>
      </c>
      <c r="C854" s="82" t="s">
        <v>21</v>
      </c>
      <c r="D854" s="82" t="s">
        <v>90</v>
      </c>
      <c r="E854" s="155">
        <v>41000</v>
      </c>
      <c r="G854" s="92">
        <v>3074</v>
      </c>
      <c r="H854" s="52">
        <v>626</v>
      </c>
      <c r="I854" s="52" t="s">
        <v>92</v>
      </c>
      <c r="J854" s="157">
        <f t="shared" si="191"/>
        <v>0.38</v>
      </c>
      <c r="K854" s="159">
        <f t="shared" si="192"/>
        <v>30.526315789473685</v>
      </c>
      <c r="L854" s="159">
        <f t="shared" si="193"/>
        <v>0.77542342342342341</v>
      </c>
      <c r="M854" s="133">
        <f t="shared" si="186"/>
        <v>237.88</v>
      </c>
      <c r="N854" s="133">
        <f t="shared" si="187"/>
        <v>3311.88</v>
      </c>
      <c r="O854" s="134">
        <f t="shared" si="188"/>
        <v>32.888579940417081</v>
      </c>
      <c r="P854" s="134">
        <f t="shared" si="189"/>
        <v>0.83542918918918918</v>
      </c>
      <c r="R854" s="149">
        <f t="shared" si="190"/>
        <v>5.9530360227781687</v>
      </c>
    </row>
    <row r="855" spans="1:18" ht="14.45" x14ac:dyDescent="0.3">
      <c r="A855" s="82" t="s">
        <v>134</v>
      </c>
      <c r="B855" s="82" t="s">
        <v>16</v>
      </c>
      <c r="C855" s="82" t="s">
        <v>6</v>
      </c>
      <c r="D855" s="82" t="s">
        <v>90</v>
      </c>
      <c r="E855" s="155">
        <v>41000</v>
      </c>
      <c r="G855" s="92">
        <v>4985</v>
      </c>
      <c r="H855" s="52">
        <v>1823</v>
      </c>
      <c r="I855" s="52" t="s">
        <v>92</v>
      </c>
      <c r="J855" s="157">
        <f t="shared" si="191"/>
        <v>0.38</v>
      </c>
      <c r="K855" s="159">
        <f t="shared" si="192"/>
        <v>49.503475670307843</v>
      </c>
      <c r="L855" s="159">
        <f t="shared" si="193"/>
        <v>1.2574774774774775</v>
      </c>
      <c r="M855" s="133">
        <f t="shared" si="186"/>
        <v>692.74</v>
      </c>
      <c r="N855" s="133">
        <f t="shared" si="187"/>
        <v>5677.74</v>
      </c>
      <c r="O855" s="134">
        <f t="shared" si="188"/>
        <v>56.382720953326711</v>
      </c>
      <c r="P855" s="134">
        <f t="shared" si="189"/>
        <v>1.4322227027027026</v>
      </c>
      <c r="R855" s="149">
        <f t="shared" si="190"/>
        <v>15.427026367683826</v>
      </c>
    </row>
    <row r="856" spans="1:18" ht="14.45" customHeight="1" x14ac:dyDescent="0.3">
      <c r="A856" s="82" t="s">
        <v>22</v>
      </c>
      <c r="B856" s="82" t="s">
        <v>23</v>
      </c>
      <c r="C856" s="82" t="s">
        <v>7</v>
      </c>
      <c r="D856" s="82" t="s">
        <v>90</v>
      </c>
      <c r="E856" s="155">
        <v>41000</v>
      </c>
      <c r="G856" s="92">
        <v>3239</v>
      </c>
      <c r="H856" s="52">
        <v>1295</v>
      </c>
      <c r="I856" s="52" t="s">
        <v>95</v>
      </c>
      <c r="J856" s="157">
        <f t="shared" si="191"/>
        <v>0.32200000000000001</v>
      </c>
      <c r="K856" s="159">
        <f t="shared" si="192"/>
        <v>32.164846077457796</v>
      </c>
      <c r="L856" s="159">
        <f t="shared" si="193"/>
        <v>0.87540540540540546</v>
      </c>
      <c r="M856" s="133">
        <f t="shared" si="186"/>
        <v>416.99</v>
      </c>
      <c r="N856" s="133">
        <f t="shared" si="187"/>
        <v>3655.99</v>
      </c>
      <c r="O856" s="134">
        <f t="shared" si="188"/>
        <v>36.305759682224426</v>
      </c>
      <c r="P856" s="134">
        <f t="shared" si="189"/>
        <v>0.98810540540540537</v>
      </c>
      <c r="R856" s="149">
        <f t="shared" si="190"/>
        <v>0.68121104736973415</v>
      </c>
    </row>
    <row r="857" spans="1:18" ht="14.45" customHeight="1" x14ac:dyDescent="0.3">
      <c r="A857" s="82" t="s">
        <v>22</v>
      </c>
      <c r="B857" s="82" t="s">
        <v>14</v>
      </c>
      <c r="C857" s="82" t="s">
        <v>24</v>
      </c>
      <c r="D857" s="82" t="s">
        <v>90</v>
      </c>
      <c r="E857" s="155">
        <v>41000</v>
      </c>
      <c r="G857" s="92">
        <v>3497</v>
      </c>
      <c r="H857" s="52">
        <v>615</v>
      </c>
      <c r="I857" s="52" t="s">
        <v>94</v>
      </c>
      <c r="J857" s="157">
        <f t="shared" si="191"/>
        <v>0.49</v>
      </c>
      <c r="K857" s="159">
        <f t="shared" si="192"/>
        <v>34.726911618669313</v>
      </c>
      <c r="L857" s="159">
        <f t="shared" si="193"/>
        <v>0.94513513513513514</v>
      </c>
      <c r="M857" s="133">
        <f t="shared" si="186"/>
        <v>301.35000000000002</v>
      </c>
      <c r="N857" s="133">
        <f t="shared" si="187"/>
        <v>3798.35</v>
      </c>
      <c r="O857" s="134">
        <f t="shared" si="188"/>
        <v>37.719463753723929</v>
      </c>
      <c r="P857" s="134">
        <f t="shared" si="189"/>
        <v>1.0265810810810811</v>
      </c>
      <c r="R857" s="149">
        <f t="shared" si="190"/>
        <v>19.935269971581924</v>
      </c>
    </row>
    <row r="858" spans="1:18" ht="14.45" customHeight="1" x14ac:dyDescent="0.3">
      <c r="A858" s="82" t="s">
        <v>22</v>
      </c>
      <c r="B858" s="82" t="s">
        <v>18</v>
      </c>
      <c r="C858" s="82" t="s">
        <v>15</v>
      </c>
      <c r="D858" s="82" t="s">
        <v>90</v>
      </c>
      <c r="E858" s="155">
        <v>41000</v>
      </c>
      <c r="G858" s="92">
        <v>4453</v>
      </c>
      <c r="H858" s="52">
        <v>872</v>
      </c>
      <c r="I858" s="52" t="s">
        <v>94</v>
      </c>
      <c r="J858" s="157">
        <f t="shared" si="191"/>
        <v>0.49</v>
      </c>
      <c r="K858" s="159">
        <f t="shared" si="192"/>
        <v>44.220456802383318</v>
      </c>
      <c r="L858" s="159">
        <f t="shared" si="193"/>
        <v>1.2035135135135135</v>
      </c>
      <c r="M858" s="133">
        <f t="shared" si="186"/>
        <v>427.28</v>
      </c>
      <c r="N858" s="133">
        <f t="shared" si="187"/>
        <v>4880.28</v>
      </c>
      <c r="O858" s="134">
        <f t="shared" si="188"/>
        <v>48.463555114200595</v>
      </c>
      <c r="P858" s="134">
        <f t="shared" si="189"/>
        <v>1.3189945945945944</v>
      </c>
      <c r="R858" s="149">
        <f t="shared" si="190"/>
        <v>16.786637312147022</v>
      </c>
    </row>
    <row r="859" spans="1:18" ht="14.45" customHeight="1" x14ac:dyDescent="0.3">
      <c r="A859" s="82" t="s">
        <v>22</v>
      </c>
      <c r="B859" s="82" t="s">
        <v>18</v>
      </c>
      <c r="C859" s="82" t="s">
        <v>24</v>
      </c>
      <c r="D859" s="82" t="s">
        <v>90</v>
      </c>
      <c r="E859" s="155">
        <v>41000</v>
      </c>
      <c r="G859" s="92">
        <v>3497</v>
      </c>
      <c r="H859" s="52">
        <v>417</v>
      </c>
      <c r="I859" s="52" t="s">
        <v>94</v>
      </c>
      <c r="J859" s="157">
        <f t="shared" si="191"/>
        <v>0.49</v>
      </c>
      <c r="K859" s="159">
        <f t="shared" si="192"/>
        <v>34.726911618669313</v>
      </c>
      <c r="L859" s="159">
        <f t="shared" si="193"/>
        <v>0.94513513513513514</v>
      </c>
      <c r="M859" s="133">
        <f t="shared" si="186"/>
        <v>204.32999999999998</v>
      </c>
      <c r="N859" s="133">
        <f t="shared" si="187"/>
        <v>3701.33</v>
      </c>
      <c r="O859" s="134">
        <f t="shared" si="188"/>
        <v>36.756007944389275</v>
      </c>
      <c r="P859" s="134">
        <f t="shared" si="189"/>
        <v>1.0003594594594594</v>
      </c>
      <c r="R859" s="149">
        <f t="shared" si="190"/>
        <v>33.150946111231015</v>
      </c>
    </row>
    <row r="860" spans="1:18" ht="14.45" x14ac:dyDescent="0.3">
      <c r="A860" s="82" t="s">
        <v>22</v>
      </c>
      <c r="B860" s="82" t="s">
        <v>13</v>
      </c>
      <c r="C860" s="82" t="s">
        <v>7</v>
      </c>
      <c r="D860" s="82" t="s">
        <v>90</v>
      </c>
      <c r="E860" s="155">
        <v>41000</v>
      </c>
      <c r="G860" s="92">
        <v>3382</v>
      </c>
      <c r="H860" s="52">
        <v>1006</v>
      </c>
      <c r="I860" s="52" t="s">
        <v>92</v>
      </c>
      <c r="J860" s="157">
        <f t="shared" si="191"/>
        <v>0.38</v>
      </c>
      <c r="K860" s="159">
        <f t="shared" si="192"/>
        <v>33.584905660377359</v>
      </c>
      <c r="L860" s="159">
        <f t="shared" si="193"/>
        <v>0.91405405405405404</v>
      </c>
      <c r="M860" s="133">
        <f t="shared" si="186"/>
        <v>382.28000000000003</v>
      </c>
      <c r="N860" s="133">
        <f t="shared" si="187"/>
        <v>3764.28</v>
      </c>
      <c r="O860" s="134">
        <f t="shared" si="188"/>
        <v>37.381132075471697</v>
      </c>
      <c r="P860" s="134">
        <f t="shared" si="189"/>
        <v>1.017372972972973</v>
      </c>
      <c r="R860" s="149">
        <f t="shared" si="190"/>
        <v>8.8634391809821356</v>
      </c>
    </row>
    <row r="861" spans="1:18" ht="14.45" customHeight="1" x14ac:dyDescent="0.3">
      <c r="A861" s="82" t="s">
        <v>1</v>
      </c>
      <c r="B861" s="82" t="s">
        <v>25</v>
      </c>
      <c r="C861" s="82" t="s">
        <v>26</v>
      </c>
      <c r="D861" s="82" t="s">
        <v>91</v>
      </c>
      <c r="E861" s="155">
        <v>41000</v>
      </c>
      <c r="G861" s="92">
        <v>3351</v>
      </c>
      <c r="H861" s="52">
        <v>880</v>
      </c>
      <c r="I861" s="52" t="s">
        <v>93</v>
      </c>
      <c r="J861" s="157">
        <f t="shared" si="191"/>
        <v>0.37</v>
      </c>
      <c r="K861" s="159">
        <f t="shared" si="192"/>
        <v>33.277060575968221</v>
      </c>
      <c r="L861" s="159">
        <f t="shared" si="193"/>
        <v>0.90567567567567564</v>
      </c>
      <c r="M861" s="133">
        <f t="shared" si="186"/>
        <v>325.60000000000002</v>
      </c>
      <c r="N861" s="133">
        <f t="shared" si="187"/>
        <v>3676.6</v>
      </c>
      <c r="O861" s="134">
        <f t="shared" si="188"/>
        <v>36.510427010923536</v>
      </c>
      <c r="P861" s="134">
        <f t="shared" si="189"/>
        <v>0.99367567567567561</v>
      </c>
      <c r="R861" s="149">
        <f t="shared" si="190"/>
        <v>5.4857405175876561</v>
      </c>
    </row>
    <row r="862" spans="1:18" ht="14.45" customHeight="1" x14ac:dyDescent="0.3">
      <c r="A862" s="82" t="s">
        <v>1</v>
      </c>
      <c r="B862" s="82" t="s">
        <v>2</v>
      </c>
      <c r="C862" s="82" t="s">
        <v>9</v>
      </c>
      <c r="D862" s="82" t="s">
        <v>91</v>
      </c>
      <c r="E862" s="155">
        <v>41000</v>
      </c>
      <c r="G862" s="92">
        <v>3247</v>
      </c>
      <c r="H862" s="52">
        <v>685</v>
      </c>
      <c r="I862" s="52" t="s">
        <v>93</v>
      </c>
      <c r="J862" s="157">
        <f t="shared" si="191"/>
        <v>0.37</v>
      </c>
      <c r="K862" s="159">
        <f t="shared" si="192"/>
        <v>32.244289970208541</v>
      </c>
      <c r="L862" s="159">
        <f t="shared" si="193"/>
        <v>0.8775675675675676</v>
      </c>
      <c r="M862" s="133">
        <f t="shared" si="186"/>
        <v>253.45</v>
      </c>
      <c r="N862" s="133">
        <f t="shared" si="187"/>
        <v>3500.45</v>
      </c>
      <c r="O862" s="134">
        <f t="shared" si="188"/>
        <v>34.761171797418072</v>
      </c>
      <c r="P862" s="134">
        <f t="shared" si="189"/>
        <v>0.94606756756756749</v>
      </c>
      <c r="R862" s="149">
        <f t="shared" si="190"/>
        <v>4.9358474728700585</v>
      </c>
    </row>
    <row r="863" spans="1:18" ht="14.45" customHeight="1" x14ac:dyDescent="0.3">
      <c r="A863" s="82" t="s">
        <v>1</v>
      </c>
      <c r="B863" s="82" t="s">
        <v>27</v>
      </c>
      <c r="C863" s="82" t="s">
        <v>28</v>
      </c>
      <c r="D863" s="82" t="s">
        <v>91</v>
      </c>
      <c r="E863" s="155">
        <v>41000</v>
      </c>
      <c r="G863" s="92">
        <v>3645</v>
      </c>
      <c r="H863" s="52">
        <v>812</v>
      </c>
      <c r="I863" s="52" t="s">
        <v>94</v>
      </c>
      <c r="J863" s="157">
        <f t="shared" si="191"/>
        <v>0.49</v>
      </c>
      <c r="K863" s="159">
        <f t="shared" si="192"/>
        <v>36.196623634558094</v>
      </c>
      <c r="L863" s="159">
        <f t="shared" si="193"/>
        <v>0.98513513513513518</v>
      </c>
      <c r="M863" s="133">
        <f t="shared" si="186"/>
        <v>397.88</v>
      </c>
      <c r="N863" s="133">
        <f t="shared" si="187"/>
        <v>4042.88</v>
      </c>
      <c r="O863" s="134">
        <f t="shared" si="188"/>
        <v>40.147765640516383</v>
      </c>
      <c r="P863" s="134">
        <f t="shared" si="189"/>
        <v>1.0926702702702702</v>
      </c>
      <c r="R863" s="149">
        <f t="shared" si="190"/>
        <v>5.7847087759694382</v>
      </c>
    </row>
    <row r="864" spans="1:18" ht="14.45" customHeight="1" x14ac:dyDescent="0.3">
      <c r="A864" s="82" t="s">
        <v>1</v>
      </c>
      <c r="B864" s="82" t="s">
        <v>4</v>
      </c>
      <c r="C864" s="82" t="s">
        <v>26</v>
      </c>
      <c r="D864" s="82" t="s">
        <v>91</v>
      </c>
      <c r="E864" s="155">
        <v>41000</v>
      </c>
      <c r="G864" s="92">
        <v>4832</v>
      </c>
      <c r="H864" s="52">
        <v>1520</v>
      </c>
      <c r="I864" s="52" t="s">
        <v>93</v>
      </c>
      <c r="J864" s="157">
        <f t="shared" si="191"/>
        <v>0.37</v>
      </c>
      <c r="K864" s="159">
        <f t="shared" si="192"/>
        <v>47.984111221449851</v>
      </c>
      <c r="L864" s="159">
        <f t="shared" si="193"/>
        <v>1.3059459459459459</v>
      </c>
      <c r="M864" s="133">
        <f t="shared" si="186"/>
        <v>562.4</v>
      </c>
      <c r="N864" s="133">
        <f t="shared" si="187"/>
        <v>5394.4</v>
      </c>
      <c r="O864" s="134">
        <f t="shared" si="188"/>
        <v>53.569016881827203</v>
      </c>
      <c r="P864" s="134">
        <f t="shared" si="189"/>
        <v>1.4579459459459458</v>
      </c>
      <c r="R864" s="149">
        <f t="shared" si="190"/>
        <v>5.2032139792495435</v>
      </c>
    </row>
    <row r="865" spans="1:18" ht="14.45" customHeight="1" x14ac:dyDescent="0.3">
      <c r="A865" s="82" t="s">
        <v>1</v>
      </c>
      <c r="B865" s="82" t="s">
        <v>4</v>
      </c>
      <c r="C865" s="82" t="s">
        <v>9</v>
      </c>
      <c r="D865" s="82" t="s">
        <v>91</v>
      </c>
      <c r="E865" s="155">
        <v>41000</v>
      </c>
      <c r="G865" s="92">
        <v>5854</v>
      </c>
      <c r="H865" s="52">
        <v>1583</v>
      </c>
      <c r="I865" s="52" t="s">
        <v>93</v>
      </c>
      <c r="J865" s="157">
        <f t="shared" si="191"/>
        <v>0.37</v>
      </c>
      <c r="K865" s="159">
        <f t="shared" si="192"/>
        <v>58.133068520357497</v>
      </c>
      <c r="L865" s="159">
        <f t="shared" si="193"/>
        <v>1.5821621621621622</v>
      </c>
      <c r="M865" s="133">
        <f t="shared" si="186"/>
        <v>585.71</v>
      </c>
      <c r="N865" s="133">
        <f t="shared" si="187"/>
        <v>6439.71</v>
      </c>
      <c r="O865" s="134">
        <f t="shared" si="188"/>
        <v>63.949453823237334</v>
      </c>
      <c r="P865" s="134">
        <f t="shared" si="189"/>
        <v>1.7404621621621621</v>
      </c>
      <c r="R865" s="149">
        <f t="shared" si="190"/>
        <v>5.7208384499707776</v>
      </c>
    </row>
    <row r="866" spans="1:18" ht="14.45" x14ac:dyDescent="0.3">
      <c r="A866" s="82" t="s">
        <v>1</v>
      </c>
      <c r="B866" s="82" t="s">
        <v>10</v>
      </c>
      <c r="C866" s="82" t="s">
        <v>26</v>
      </c>
      <c r="D866" s="82" t="s">
        <v>91</v>
      </c>
      <c r="E866" s="155">
        <v>41000</v>
      </c>
      <c r="G866" s="92">
        <v>4727</v>
      </c>
      <c r="H866" s="52">
        <v>1599</v>
      </c>
      <c r="I866" s="52" t="s">
        <v>92</v>
      </c>
      <c r="J866" s="157">
        <f t="shared" si="191"/>
        <v>0.38</v>
      </c>
      <c r="K866" s="159">
        <f t="shared" si="192"/>
        <v>46.941410129096326</v>
      </c>
      <c r="L866" s="159">
        <f t="shared" si="193"/>
        <v>1.2775675675675675</v>
      </c>
      <c r="M866" s="133">
        <f t="shared" si="186"/>
        <v>607.62</v>
      </c>
      <c r="N866" s="133">
        <f t="shared" si="187"/>
        <v>5334.62</v>
      </c>
      <c r="O866" s="134">
        <f t="shared" si="188"/>
        <v>52.97537239324727</v>
      </c>
      <c r="P866" s="134">
        <f t="shared" si="189"/>
        <v>1.4417891891891892</v>
      </c>
      <c r="R866" s="149">
        <f t="shared" si="190"/>
        <v>4.6270618000666897</v>
      </c>
    </row>
    <row r="867" spans="1:18" ht="14.45" customHeight="1" x14ac:dyDescent="0.3">
      <c r="A867" s="82" t="s">
        <v>134</v>
      </c>
      <c r="B867" s="82" t="s">
        <v>23</v>
      </c>
      <c r="C867" s="82" t="s">
        <v>26</v>
      </c>
      <c r="D867" s="82" t="s">
        <v>91</v>
      </c>
      <c r="E867" s="155">
        <v>41000</v>
      </c>
      <c r="G867" s="92">
        <v>4800</v>
      </c>
      <c r="H867" s="52">
        <v>1851</v>
      </c>
      <c r="I867" s="52" t="s">
        <v>93</v>
      </c>
      <c r="J867" s="157">
        <f t="shared" si="191"/>
        <v>0.37</v>
      </c>
      <c r="K867" s="159">
        <f t="shared" si="192"/>
        <v>47.666335650446868</v>
      </c>
      <c r="L867" s="159">
        <f t="shared" si="193"/>
        <v>1.2108108108108109</v>
      </c>
      <c r="M867" s="133">
        <f t="shared" si="186"/>
        <v>684.87</v>
      </c>
      <c r="N867" s="133">
        <f t="shared" si="187"/>
        <v>5484.87</v>
      </c>
      <c r="O867" s="134">
        <f t="shared" si="188"/>
        <v>54.467428003972195</v>
      </c>
      <c r="P867" s="134">
        <f t="shared" si="189"/>
        <v>1.3835708108108109</v>
      </c>
      <c r="R867" s="149">
        <f t="shared" si="190"/>
        <v>5.5131697407604152</v>
      </c>
    </row>
    <row r="868" spans="1:18" ht="14.45" customHeight="1" x14ac:dyDescent="0.3">
      <c r="A868" s="82" t="s">
        <v>134</v>
      </c>
      <c r="B868" s="82" t="s">
        <v>8</v>
      </c>
      <c r="C868" s="82" t="s">
        <v>29</v>
      </c>
      <c r="D868" s="82" t="s">
        <v>91</v>
      </c>
      <c r="E868" s="155">
        <v>41000</v>
      </c>
      <c r="G868" s="92">
        <v>4760</v>
      </c>
      <c r="H868" s="52">
        <v>1695</v>
      </c>
      <c r="I868" s="52" t="s">
        <v>93</v>
      </c>
      <c r="J868" s="157">
        <f t="shared" si="191"/>
        <v>0.37</v>
      </c>
      <c r="K868" s="159">
        <f t="shared" si="192"/>
        <v>47.269116186693147</v>
      </c>
      <c r="L868" s="159">
        <f t="shared" si="193"/>
        <v>1.2007207207207207</v>
      </c>
      <c r="M868" s="133">
        <f t="shared" si="186"/>
        <v>627.15</v>
      </c>
      <c r="N868" s="133">
        <f t="shared" si="187"/>
        <v>5387.15</v>
      </c>
      <c r="O868" s="134">
        <f t="shared" si="188"/>
        <v>53.497020854021841</v>
      </c>
      <c r="P868" s="134">
        <f t="shared" si="189"/>
        <v>1.3589207207207206</v>
      </c>
      <c r="R868" s="149">
        <f t="shared" si="190"/>
        <v>5.3288624721385736</v>
      </c>
    </row>
    <row r="869" spans="1:18" ht="14.45" x14ac:dyDescent="0.3">
      <c r="A869" s="82" t="s">
        <v>134</v>
      </c>
      <c r="B869" s="82" t="s">
        <v>13</v>
      </c>
      <c r="C869" s="82" t="s">
        <v>7</v>
      </c>
      <c r="D869" s="82" t="s">
        <v>91</v>
      </c>
      <c r="E869" s="155">
        <v>41000</v>
      </c>
      <c r="G869" s="92">
        <v>2857</v>
      </c>
      <c r="H869" s="52">
        <v>1006</v>
      </c>
      <c r="I869" s="52" t="s">
        <v>92</v>
      </c>
      <c r="J869" s="157">
        <f t="shared" si="191"/>
        <v>0.38</v>
      </c>
      <c r="K869" s="159">
        <f t="shared" si="192"/>
        <v>28.371400198609731</v>
      </c>
      <c r="L869" s="159">
        <f t="shared" si="193"/>
        <v>0.72068468468468472</v>
      </c>
      <c r="M869" s="133">
        <f t="shared" si="186"/>
        <v>382.28000000000003</v>
      </c>
      <c r="N869" s="133">
        <f t="shared" si="187"/>
        <v>3239.28</v>
      </c>
      <c r="O869" s="134">
        <f t="shared" si="188"/>
        <v>32.167626613704073</v>
      </c>
      <c r="P869" s="134">
        <f t="shared" si="189"/>
        <v>0.81711567567567578</v>
      </c>
      <c r="R869" s="149">
        <f t="shared" si="190"/>
        <v>8.744460856720826</v>
      </c>
    </row>
    <row r="870" spans="1:18" ht="14.45" customHeight="1" x14ac:dyDescent="0.3">
      <c r="A870" s="82" t="s">
        <v>134</v>
      </c>
      <c r="B870" s="82" t="s">
        <v>30</v>
      </c>
      <c r="C870" s="82" t="s">
        <v>9</v>
      </c>
      <c r="D870" s="82" t="s">
        <v>91</v>
      </c>
      <c r="E870" s="155">
        <v>41000</v>
      </c>
      <c r="G870" s="92">
        <v>3310</v>
      </c>
      <c r="H870" s="52">
        <v>988</v>
      </c>
      <c r="I870" s="52" t="s">
        <v>93</v>
      </c>
      <c r="J870" s="157">
        <f t="shared" si="191"/>
        <v>0.37</v>
      </c>
      <c r="K870" s="159">
        <f t="shared" si="192"/>
        <v>32.869910625620655</v>
      </c>
      <c r="L870" s="159">
        <f t="shared" si="193"/>
        <v>0.83495495495495498</v>
      </c>
      <c r="M870" s="133">
        <f t="shared" si="186"/>
        <v>365.56</v>
      </c>
      <c r="N870" s="133">
        <f t="shared" si="187"/>
        <v>3675.56</v>
      </c>
      <c r="O870" s="134">
        <f t="shared" si="188"/>
        <v>36.500099304865934</v>
      </c>
      <c r="P870" s="134">
        <f t="shared" si="189"/>
        <v>0.92716828828828834</v>
      </c>
      <c r="R870" s="149">
        <f t="shared" si="190"/>
        <v>6.0265848198832295</v>
      </c>
    </row>
    <row r="871" spans="1:18" ht="14.45" x14ac:dyDescent="0.3">
      <c r="A871" s="82" t="s">
        <v>134</v>
      </c>
      <c r="B871" s="82" t="s">
        <v>16</v>
      </c>
      <c r="C871" s="82" t="s">
        <v>11</v>
      </c>
      <c r="D871" s="82" t="s">
        <v>91</v>
      </c>
      <c r="E871" s="155">
        <v>41000</v>
      </c>
      <c r="G871" s="92">
        <v>3430</v>
      </c>
      <c r="H871" s="52">
        <v>787</v>
      </c>
      <c r="I871" s="52" t="s">
        <v>92</v>
      </c>
      <c r="J871" s="157">
        <f t="shared" si="191"/>
        <v>0.38</v>
      </c>
      <c r="K871" s="159">
        <f t="shared" si="192"/>
        <v>34.061569016881826</v>
      </c>
      <c r="L871" s="159">
        <f t="shared" si="193"/>
        <v>0.86522522522522527</v>
      </c>
      <c r="M871" s="133">
        <f t="shared" si="186"/>
        <v>299.06</v>
      </c>
      <c r="N871" s="133">
        <f t="shared" si="187"/>
        <v>3729.06</v>
      </c>
      <c r="O871" s="134">
        <f t="shared" si="188"/>
        <v>37.031380337636541</v>
      </c>
      <c r="P871" s="134">
        <f t="shared" si="189"/>
        <v>0.94066378378378379</v>
      </c>
      <c r="R871" s="149">
        <f t="shared" si="190"/>
        <v>4.5696979894001899</v>
      </c>
    </row>
    <row r="872" spans="1:18" ht="14.45" customHeight="1" x14ac:dyDescent="0.3">
      <c r="A872" s="82" t="s">
        <v>134</v>
      </c>
      <c r="B872" s="82" t="s">
        <v>23</v>
      </c>
      <c r="C872" s="82" t="s">
        <v>29</v>
      </c>
      <c r="D872" s="82" t="s">
        <v>91</v>
      </c>
      <c r="E872" s="155">
        <v>41000</v>
      </c>
      <c r="G872" s="92">
        <v>4800</v>
      </c>
      <c r="H872" s="52">
        <v>1836</v>
      </c>
      <c r="I872" s="52" t="s">
        <v>93</v>
      </c>
      <c r="J872" s="157">
        <f t="shared" si="191"/>
        <v>0.37</v>
      </c>
      <c r="K872" s="159">
        <f t="shared" si="192"/>
        <v>47.666335650446868</v>
      </c>
      <c r="L872" s="159">
        <f t="shared" si="193"/>
        <v>1.2108108108108109</v>
      </c>
      <c r="M872" s="133">
        <f t="shared" si="186"/>
        <v>679.31999999999994</v>
      </c>
      <c r="N872" s="133">
        <f t="shared" si="187"/>
        <v>5479.32</v>
      </c>
      <c r="O872" s="134">
        <f t="shared" si="188"/>
        <v>54.412313803376364</v>
      </c>
      <c r="P872" s="134">
        <f t="shared" si="189"/>
        <v>1.3821708108108108</v>
      </c>
      <c r="R872" s="149">
        <f t="shared" si="190"/>
        <v>5.4916366324738952</v>
      </c>
    </row>
    <row r="873" spans="1:18" ht="14.45" customHeight="1" x14ac:dyDescent="0.3">
      <c r="A873" s="82" t="s">
        <v>134</v>
      </c>
      <c r="B873" s="82" t="s">
        <v>31</v>
      </c>
      <c r="C873" s="82" t="s">
        <v>32</v>
      </c>
      <c r="D873" s="82" t="s">
        <v>91</v>
      </c>
      <c r="E873" s="155">
        <v>41000</v>
      </c>
      <c r="G873" s="92">
        <v>4200</v>
      </c>
      <c r="H873" s="52">
        <v>1899</v>
      </c>
      <c r="I873" s="52" t="s">
        <v>93</v>
      </c>
      <c r="J873" s="157">
        <f t="shared" si="191"/>
        <v>0.37</v>
      </c>
      <c r="K873" s="159">
        <f t="shared" si="192"/>
        <v>41.708043694141011</v>
      </c>
      <c r="L873" s="159">
        <f t="shared" si="193"/>
        <v>1.0594594594594595</v>
      </c>
      <c r="M873" s="133">
        <f t="shared" si="186"/>
        <v>702.63</v>
      </c>
      <c r="N873" s="133">
        <f t="shared" si="187"/>
        <v>4902.63</v>
      </c>
      <c r="O873" s="134">
        <f t="shared" si="188"/>
        <v>48.685501489572992</v>
      </c>
      <c r="P873" s="134">
        <f t="shared" si="189"/>
        <v>1.2366994594594596</v>
      </c>
      <c r="R873" s="149">
        <f t="shared" si="190"/>
        <v>6.3080585985272331</v>
      </c>
    </row>
    <row r="874" spans="1:18" ht="14.45" customHeight="1" x14ac:dyDescent="0.3">
      <c r="A874" s="82" t="s">
        <v>22</v>
      </c>
      <c r="B874" s="82" t="s">
        <v>8</v>
      </c>
      <c r="C874" s="82" t="s">
        <v>29</v>
      </c>
      <c r="D874" s="82" t="s">
        <v>91</v>
      </c>
      <c r="E874" s="155">
        <v>41000</v>
      </c>
      <c r="G874" s="92">
        <v>5040</v>
      </c>
      <c r="H874" s="52">
        <v>1695</v>
      </c>
      <c r="I874" s="52" t="s">
        <v>93</v>
      </c>
      <c r="J874" s="157">
        <f t="shared" si="191"/>
        <v>0.37</v>
      </c>
      <c r="K874" s="159">
        <f t="shared" si="192"/>
        <v>50.049652432969211</v>
      </c>
      <c r="L874" s="159">
        <f t="shared" si="193"/>
        <v>1.3621621621621622</v>
      </c>
      <c r="M874" s="133">
        <f t="shared" si="186"/>
        <v>627.15</v>
      </c>
      <c r="N874" s="133">
        <f t="shared" si="187"/>
        <v>5667.15</v>
      </c>
      <c r="O874" s="134">
        <f t="shared" si="188"/>
        <v>56.277557100297912</v>
      </c>
      <c r="P874" s="134">
        <f t="shared" si="189"/>
        <v>1.531662162162162</v>
      </c>
      <c r="R874" s="149">
        <f t="shared" si="190"/>
        <v>6.6336130658939396</v>
      </c>
    </row>
    <row r="875" spans="1:18" ht="14.45" customHeight="1" x14ac:dyDescent="0.3">
      <c r="A875" s="82" t="s">
        <v>22</v>
      </c>
      <c r="B875" s="82" t="s">
        <v>23</v>
      </c>
      <c r="C875" s="82" t="s">
        <v>26</v>
      </c>
      <c r="D875" s="82" t="s">
        <v>91</v>
      </c>
      <c r="E875" s="155">
        <v>41000</v>
      </c>
      <c r="G875" s="92">
        <v>5030</v>
      </c>
      <c r="H875" s="52">
        <v>1851</v>
      </c>
      <c r="I875" s="52" t="s">
        <v>93</v>
      </c>
      <c r="J875" s="157">
        <f t="shared" si="191"/>
        <v>0.37</v>
      </c>
      <c r="K875" s="159">
        <f t="shared" si="192"/>
        <v>49.950347567030782</v>
      </c>
      <c r="L875" s="159">
        <f t="shared" si="193"/>
        <v>1.3594594594594596</v>
      </c>
      <c r="M875" s="133">
        <f t="shared" si="186"/>
        <v>684.87</v>
      </c>
      <c r="N875" s="133">
        <f t="shared" si="187"/>
        <v>5714.87</v>
      </c>
      <c r="O875" s="134">
        <f t="shared" si="188"/>
        <v>56.751439920556102</v>
      </c>
      <c r="P875" s="134">
        <f t="shared" si="189"/>
        <v>1.5445594594594594</v>
      </c>
      <c r="R875" s="149">
        <f t="shared" si="190"/>
        <v>6.8543531752264242</v>
      </c>
    </row>
    <row r="876" spans="1:18" ht="14.45" customHeight="1" x14ac:dyDescent="0.3">
      <c r="A876" s="82" t="s">
        <v>22</v>
      </c>
      <c r="B876" s="82" t="s">
        <v>33</v>
      </c>
      <c r="C876" s="82" t="s">
        <v>29</v>
      </c>
      <c r="D876" s="82" t="s">
        <v>91</v>
      </c>
      <c r="E876" s="155">
        <v>41000</v>
      </c>
      <c r="G876" s="92">
        <v>4930</v>
      </c>
      <c r="H876" s="52">
        <v>1507</v>
      </c>
      <c r="I876" s="52" t="s">
        <v>93</v>
      </c>
      <c r="J876" s="157">
        <f t="shared" si="191"/>
        <v>0.37</v>
      </c>
      <c r="K876" s="159">
        <f t="shared" si="192"/>
        <v>48.957298907646475</v>
      </c>
      <c r="L876" s="159">
        <f t="shared" si="193"/>
        <v>1.3324324324324324</v>
      </c>
      <c r="M876" s="133">
        <f t="shared" si="186"/>
        <v>557.59</v>
      </c>
      <c r="N876" s="133">
        <f t="shared" si="187"/>
        <v>5487.59</v>
      </c>
      <c r="O876" s="134">
        <f t="shared" si="188"/>
        <v>54.494438927507446</v>
      </c>
      <c r="P876" s="134">
        <f t="shared" si="189"/>
        <v>1.4831324324324324</v>
      </c>
      <c r="R876" s="149">
        <f t="shared" si="190"/>
        <v>6.5146080326710543</v>
      </c>
    </row>
    <row r="877" spans="1:18" ht="14.45" x14ac:dyDescent="0.3">
      <c r="A877" s="82" t="s">
        <v>22</v>
      </c>
      <c r="B877" s="82" t="s">
        <v>31</v>
      </c>
      <c r="C877" s="82" t="s">
        <v>7</v>
      </c>
      <c r="D877" s="82" t="s">
        <v>91</v>
      </c>
      <c r="E877" s="155">
        <v>41000</v>
      </c>
      <c r="G877" s="92">
        <v>3710</v>
      </c>
      <c r="H877" s="52">
        <v>1160</v>
      </c>
      <c r="I877" s="52" t="s">
        <v>92</v>
      </c>
      <c r="J877" s="157">
        <f t="shared" si="191"/>
        <v>0.38</v>
      </c>
      <c r="K877" s="159">
        <f t="shared" si="192"/>
        <v>36.84210526315789</v>
      </c>
      <c r="L877" s="159">
        <f t="shared" si="193"/>
        <v>1.0027027027027027</v>
      </c>
      <c r="M877" s="133">
        <f t="shared" si="186"/>
        <v>440.8</v>
      </c>
      <c r="N877" s="133">
        <f t="shared" si="187"/>
        <v>4150.8</v>
      </c>
      <c r="O877" s="134">
        <f t="shared" si="188"/>
        <v>41.219463753723936</v>
      </c>
      <c r="P877" s="134">
        <f t="shared" si="189"/>
        <v>1.121837837837838</v>
      </c>
      <c r="R877" s="149">
        <f t="shared" si="190"/>
        <v>7.5894245723172604</v>
      </c>
    </row>
    <row r="878" spans="1:18" ht="14.45" customHeight="1" x14ac:dyDescent="0.3">
      <c r="A878" s="82" t="s">
        <v>22</v>
      </c>
      <c r="B878" s="82" t="s">
        <v>14</v>
      </c>
      <c r="C878" s="82" t="s">
        <v>24</v>
      </c>
      <c r="D878" s="82" t="s">
        <v>91</v>
      </c>
      <c r="E878" s="155">
        <v>41000</v>
      </c>
      <c r="G878" s="92">
        <v>2672</v>
      </c>
      <c r="H878" s="52">
        <v>615</v>
      </c>
      <c r="I878" s="52" t="s">
        <v>94</v>
      </c>
      <c r="J878" s="157">
        <f t="shared" si="191"/>
        <v>0.49</v>
      </c>
      <c r="K878" s="159">
        <f t="shared" si="192"/>
        <v>26.53426017874876</v>
      </c>
      <c r="L878" s="159">
        <f t="shared" si="193"/>
        <v>0.72216216216216211</v>
      </c>
      <c r="M878" s="133">
        <f t="shared" si="186"/>
        <v>301.35000000000002</v>
      </c>
      <c r="N878" s="133">
        <f t="shared" si="187"/>
        <v>2973.35</v>
      </c>
      <c r="O878" s="134">
        <f t="shared" si="188"/>
        <v>29.526812313803376</v>
      </c>
      <c r="P878" s="134">
        <f t="shared" si="189"/>
        <v>0.80360810810810812</v>
      </c>
      <c r="R878" s="149">
        <f t="shared" si="190"/>
        <v>6.878145219266707</v>
      </c>
    </row>
    <row r="879" spans="1:18" ht="14.45" x14ac:dyDescent="0.3">
      <c r="A879" s="118" t="s">
        <v>22</v>
      </c>
      <c r="B879" s="118" t="s">
        <v>34</v>
      </c>
      <c r="C879" s="118" t="s">
        <v>26</v>
      </c>
      <c r="D879" s="118" t="s">
        <v>91</v>
      </c>
      <c r="E879" s="156">
        <v>41000</v>
      </c>
      <c r="F879" s="84"/>
      <c r="G879" s="115">
        <v>5115</v>
      </c>
      <c r="H879" s="158">
        <v>1637</v>
      </c>
      <c r="I879" s="158" t="s">
        <v>92</v>
      </c>
      <c r="J879" s="122">
        <f t="shared" si="191"/>
        <v>0.38</v>
      </c>
      <c r="K879" s="123">
        <f t="shared" si="192"/>
        <v>50.79443892750745</v>
      </c>
      <c r="L879" s="123">
        <f t="shared" si="193"/>
        <v>1.3824324324324324</v>
      </c>
      <c r="M879" s="115">
        <f t="shared" si="186"/>
        <v>622.06000000000006</v>
      </c>
      <c r="N879" s="115">
        <f t="shared" si="187"/>
        <v>5737.06</v>
      </c>
      <c r="O879" s="116">
        <f t="shared" si="188"/>
        <v>56.971797418073486</v>
      </c>
      <c r="P879" s="116">
        <f t="shared" si="189"/>
        <v>1.5505567567567569</v>
      </c>
      <c r="Q879" s="106"/>
      <c r="R879" s="152">
        <f t="shared" si="190"/>
        <v>14.487038773921901</v>
      </c>
    </row>
    <row r="880" spans="1:18" ht="14.45" x14ac:dyDescent="0.3">
      <c r="A880" s="82" t="s">
        <v>1</v>
      </c>
      <c r="B880" s="82" t="s">
        <v>2</v>
      </c>
      <c r="C880" s="82" t="s">
        <v>3</v>
      </c>
      <c r="D880" s="82" t="s">
        <v>90</v>
      </c>
      <c r="E880" s="155">
        <v>41030</v>
      </c>
      <c r="G880" s="92">
        <v>2992</v>
      </c>
      <c r="H880" s="52">
        <v>506</v>
      </c>
      <c r="I880" s="52" t="s">
        <v>92</v>
      </c>
      <c r="J880" s="157">
        <f>IF(I880="BNSF",0.41,IF(I880="CN",0.3508,IF(I880="CSX",0.54,0.41)))</f>
        <v>0.41</v>
      </c>
      <c r="K880" s="159">
        <f t="shared" si="192"/>
        <v>29.712015888778549</v>
      </c>
      <c r="L880" s="159">
        <f t="shared" si="193"/>
        <v>0.8086486486486486</v>
      </c>
      <c r="M880" s="133">
        <f t="shared" ref="M880:M943" si="194">H880*J880</f>
        <v>207.45999999999998</v>
      </c>
      <c r="N880" s="133">
        <f t="shared" ref="N880:N943" si="195">G880+M880</f>
        <v>3199.46</v>
      </c>
      <c r="O880" s="134">
        <f t="shared" ref="O880:O943" si="196">N880/100.7</f>
        <v>31.77219463753724</v>
      </c>
      <c r="P880" s="134">
        <f t="shared" ref="P880:P943" si="197">IF(A880="corn",N880/(111*2000/56),N880/(111*2000/60))</f>
        <v>0.86471891891891894</v>
      </c>
      <c r="R880" s="149">
        <f t="shared" ref="R880:R917" si="198">((N880/N424)-1)*100</f>
        <v>4.2094703311163384</v>
      </c>
    </row>
    <row r="881" spans="1:18" ht="14.45" x14ac:dyDescent="0.3">
      <c r="A881" s="82" t="s">
        <v>1</v>
      </c>
      <c r="B881" s="82" t="s">
        <v>4</v>
      </c>
      <c r="C881" s="82" t="s">
        <v>5</v>
      </c>
      <c r="D881" s="82" t="s">
        <v>90</v>
      </c>
      <c r="E881" s="155">
        <v>41030</v>
      </c>
      <c r="G881" s="92">
        <v>3260</v>
      </c>
      <c r="H881" s="52">
        <v>298</v>
      </c>
      <c r="I881" s="52" t="s">
        <v>93</v>
      </c>
      <c r="J881" s="157">
        <f t="shared" ref="J881:J917" si="199">IF(I881="BNSF",0.41,IF(I881="CN",0.3508,IF(I881="CSX",0.54,0.41)))</f>
        <v>0.41</v>
      </c>
      <c r="K881" s="159">
        <f t="shared" ref="K881:K944" si="200">G881/100.7</f>
        <v>32.373386295928498</v>
      </c>
      <c r="L881" s="159">
        <f t="shared" ref="L881:L944" si="201">IF(A881="corn",G881/(111*2000/56),G881/(111*2000/60))</f>
        <v>0.88108108108108107</v>
      </c>
      <c r="M881" s="133">
        <f t="shared" si="194"/>
        <v>122.17999999999999</v>
      </c>
      <c r="N881" s="133">
        <f t="shared" si="195"/>
        <v>3382.18</v>
      </c>
      <c r="O881" s="134">
        <f t="shared" si="196"/>
        <v>33.586693147964247</v>
      </c>
      <c r="P881" s="134">
        <f t="shared" si="197"/>
        <v>0.91410270270270266</v>
      </c>
      <c r="R881" s="149">
        <f t="shared" si="198"/>
        <v>15.461137207777998</v>
      </c>
    </row>
    <row r="882" spans="1:18" ht="14.45" x14ac:dyDescent="0.3">
      <c r="A882" s="82" t="s">
        <v>1</v>
      </c>
      <c r="B882" s="82" t="s">
        <v>2</v>
      </c>
      <c r="C882" s="82" t="s">
        <v>6</v>
      </c>
      <c r="D882" s="82" t="s">
        <v>90</v>
      </c>
      <c r="E882" s="155">
        <v>41030</v>
      </c>
      <c r="G882" s="92">
        <v>5895</v>
      </c>
      <c r="H882" s="52">
        <v>1530</v>
      </c>
      <c r="I882" s="52" t="s">
        <v>93</v>
      </c>
      <c r="J882" s="157">
        <f t="shared" si="199"/>
        <v>0.41</v>
      </c>
      <c r="K882" s="159">
        <f t="shared" si="200"/>
        <v>58.540218470705064</v>
      </c>
      <c r="L882" s="159">
        <f t="shared" si="201"/>
        <v>1.5932432432432433</v>
      </c>
      <c r="M882" s="133">
        <f t="shared" si="194"/>
        <v>627.29999999999995</v>
      </c>
      <c r="N882" s="133">
        <f t="shared" si="195"/>
        <v>6522.3</v>
      </c>
      <c r="O882" s="134">
        <f t="shared" si="196"/>
        <v>64.769612711022845</v>
      </c>
      <c r="P882" s="134">
        <f t="shared" si="197"/>
        <v>1.7627837837837839</v>
      </c>
      <c r="R882" s="149">
        <f t="shared" si="198"/>
        <v>4.1767825198057773</v>
      </c>
    </row>
    <row r="883" spans="1:18" ht="14.45" x14ac:dyDescent="0.3">
      <c r="A883" s="82" t="s">
        <v>1</v>
      </c>
      <c r="B883" s="82" t="s">
        <v>2</v>
      </c>
      <c r="C883" s="82" t="s">
        <v>7</v>
      </c>
      <c r="D883" s="82" t="s">
        <v>90</v>
      </c>
      <c r="E883" s="155">
        <v>41030</v>
      </c>
      <c r="G883" s="92">
        <v>3492</v>
      </c>
      <c r="H883" s="52">
        <v>890</v>
      </c>
      <c r="I883" s="52" t="s">
        <v>92</v>
      </c>
      <c r="J883" s="157">
        <f t="shared" si="199"/>
        <v>0.41</v>
      </c>
      <c r="K883" s="159">
        <f t="shared" si="200"/>
        <v>34.677259185700102</v>
      </c>
      <c r="L883" s="159">
        <f t="shared" si="201"/>
        <v>0.9437837837837838</v>
      </c>
      <c r="M883" s="133">
        <f t="shared" si="194"/>
        <v>364.9</v>
      </c>
      <c r="N883" s="133">
        <f t="shared" si="195"/>
        <v>3856.9</v>
      </c>
      <c r="O883" s="134">
        <f t="shared" si="196"/>
        <v>38.300893743793445</v>
      </c>
      <c r="P883" s="134">
        <f t="shared" si="197"/>
        <v>1.0424054054054055</v>
      </c>
      <c r="R883" s="149">
        <f t="shared" si="198"/>
        <v>3.8671801362669234</v>
      </c>
    </row>
    <row r="884" spans="1:18" ht="14.45" x14ac:dyDescent="0.3">
      <c r="A884" s="82" t="s">
        <v>1</v>
      </c>
      <c r="B884" s="82" t="s">
        <v>8</v>
      </c>
      <c r="C884" s="82" t="s">
        <v>9</v>
      </c>
      <c r="D884" s="82" t="s">
        <v>90</v>
      </c>
      <c r="E884" s="155">
        <v>41030</v>
      </c>
      <c r="G884" s="92">
        <v>5573</v>
      </c>
      <c r="H884" s="52">
        <v>1256</v>
      </c>
      <c r="I884" s="52" t="s">
        <v>93</v>
      </c>
      <c r="J884" s="157">
        <f t="shared" si="199"/>
        <v>0.41</v>
      </c>
      <c r="K884" s="159">
        <f t="shared" si="200"/>
        <v>55.342601787487588</v>
      </c>
      <c r="L884" s="159">
        <f t="shared" si="201"/>
        <v>1.5062162162162163</v>
      </c>
      <c r="M884" s="133">
        <f t="shared" si="194"/>
        <v>514.95999999999992</v>
      </c>
      <c r="N884" s="133">
        <f t="shared" si="195"/>
        <v>6087.96</v>
      </c>
      <c r="O884" s="134">
        <f t="shared" si="196"/>
        <v>60.456405163853027</v>
      </c>
      <c r="P884" s="134">
        <f t="shared" si="197"/>
        <v>1.6453945945945947</v>
      </c>
      <c r="R884" s="149">
        <f t="shared" si="198"/>
        <v>3.8518225364029712</v>
      </c>
    </row>
    <row r="885" spans="1:18" ht="14.45" x14ac:dyDescent="0.3">
      <c r="A885" s="82" t="s">
        <v>1</v>
      </c>
      <c r="B885" s="82" t="s">
        <v>10</v>
      </c>
      <c r="C885" s="82" t="s">
        <v>9</v>
      </c>
      <c r="D885" s="82" t="s">
        <v>90</v>
      </c>
      <c r="E885" s="155">
        <v>41030</v>
      </c>
      <c r="G885" s="92">
        <v>3760</v>
      </c>
      <c r="H885" s="52">
        <v>975</v>
      </c>
      <c r="I885" s="52" t="s">
        <v>92</v>
      </c>
      <c r="J885" s="157">
        <f t="shared" si="199"/>
        <v>0.41</v>
      </c>
      <c r="K885" s="159">
        <f t="shared" si="200"/>
        <v>37.338629592850047</v>
      </c>
      <c r="L885" s="159">
        <f t="shared" si="201"/>
        <v>1.0162162162162163</v>
      </c>
      <c r="M885" s="133">
        <f t="shared" si="194"/>
        <v>399.75</v>
      </c>
      <c r="N885" s="133">
        <f t="shared" si="195"/>
        <v>4159.75</v>
      </c>
      <c r="O885" s="134">
        <f t="shared" si="196"/>
        <v>41.308341608738829</v>
      </c>
      <c r="P885" s="134">
        <f t="shared" si="197"/>
        <v>1.1242567567567567</v>
      </c>
      <c r="R885" s="149">
        <f t="shared" si="198"/>
        <v>3.6891630834423816</v>
      </c>
    </row>
    <row r="886" spans="1:18" ht="14.45" x14ac:dyDescent="0.3">
      <c r="A886" s="82" t="s">
        <v>1</v>
      </c>
      <c r="B886" s="82" t="s">
        <v>11</v>
      </c>
      <c r="C886" s="82" t="s">
        <v>6</v>
      </c>
      <c r="D886" s="82" t="s">
        <v>90</v>
      </c>
      <c r="E886" s="155">
        <v>41030</v>
      </c>
      <c r="G886" s="92">
        <v>3959</v>
      </c>
      <c r="H886" s="52">
        <v>1357</v>
      </c>
      <c r="I886" s="52" t="s">
        <v>92</v>
      </c>
      <c r="J886" s="157">
        <f t="shared" si="199"/>
        <v>0.41</v>
      </c>
      <c r="K886" s="159">
        <f t="shared" si="200"/>
        <v>39.314796425024824</v>
      </c>
      <c r="L886" s="159">
        <f t="shared" si="201"/>
        <v>1.07</v>
      </c>
      <c r="M886" s="133">
        <f t="shared" si="194"/>
        <v>556.37</v>
      </c>
      <c r="N886" s="133">
        <f t="shared" si="195"/>
        <v>4515.37</v>
      </c>
      <c r="O886" s="134">
        <f t="shared" si="196"/>
        <v>44.839821251241311</v>
      </c>
      <c r="P886" s="134">
        <f t="shared" si="197"/>
        <v>1.2203702702702703</v>
      </c>
      <c r="R886" s="149">
        <f t="shared" si="198"/>
        <v>3.7517606483321808</v>
      </c>
    </row>
    <row r="887" spans="1:18" ht="14.45" x14ac:dyDescent="0.3">
      <c r="A887" s="82" t="s">
        <v>134</v>
      </c>
      <c r="B887" s="82" t="s">
        <v>13</v>
      </c>
      <c r="C887" s="82" t="s">
        <v>7</v>
      </c>
      <c r="D887" s="82" t="s">
        <v>90</v>
      </c>
      <c r="E887" s="155">
        <v>41030</v>
      </c>
      <c r="G887" s="92">
        <v>3038</v>
      </c>
      <c r="H887" s="52">
        <v>1006</v>
      </c>
      <c r="I887" s="52" t="s">
        <v>92</v>
      </c>
      <c r="J887" s="157">
        <f t="shared" si="199"/>
        <v>0.41</v>
      </c>
      <c r="K887" s="159">
        <f t="shared" si="200"/>
        <v>30.168818272095333</v>
      </c>
      <c r="L887" s="159">
        <f t="shared" si="201"/>
        <v>0.76634234234234233</v>
      </c>
      <c r="M887" s="133">
        <f t="shared" si="194"/>
        <v>412.46</v>
      </c>
      <c r="N887" s="133">
        <f t="shared" si="195"/>
        <v>3450.46</v>
      </c>
      <c r="O887" s="134">
        <f t="shared" si="196"/>
        <v>34.264746772591856</v>
      </c>
      <c r="P887" s="134">
        <f t="shared" si="197"/>
        <v>0.87038630630630631</v>
      </c>
      <c r="R887" s="149">
        <f t="shared" si="198"/>
        <v>8.3612313219564083</v>
      </c>
    </row>
    <row r="888" spans="1:18" ht="14.45" x14ac:dyDescent="0.3">
      <c r="A888" s="82" t="s">
        <v>134</v>
      </c>
      <c r="B888" s="82" t="s">
        <v>14</v>
      </c>
      <c r="C888" s="82" t="s">
        <v>15</v>
      </c>
      <c r="D888" s="82" t="s">
        <v>90</v>
      </c>
      <c r="E888" s="155">
        <v>41030</v>
      </c>
      <c r="G888" s="92">
        <v>4382</v>
      </c>
      <c r="H888" s="52">
        <v>866</v>
      </c>
      <c r="I888" s="52" t="s">
        <v>94</v>
      </c>
      <c r="J888" s="157">
        <f t="shared" si="199"/>
        <v>0.54</v>
      </c>
      <c r="K888" s="159">
        <f t="shared" si="200"/>
        <v>43.515392254220458</v>
      </c>
      <c r="L888" s="159">
        <f t="shared" si="201"/>
        <v>1.1053693693693694</v>
      </c>
      <c r="M888" s="133">
        <f t="shared" si="194"/>
        <v>467.64000000000004</v>
      </c>
      <c r="N888" s="133">
        <f t="shared" si="195"/>
        <v>4849.6400000000003</v>
      </c>
      <c r="O888" s="134">
        <f t="shared" si="196"/>
        <v>48.159285004965248</v>
      </c>
      <c r="P888" s="134">
        <f t="shared" si="197"/>
        <v>1.2233326126126127</v>
      </c>
      <c r="R888" s="149">
        <f t="shared" si="198"/>
        <v>16.140125680128747</v>
      </c>
    </row>
    <row r="889" spans="1:18" ht="14.45" x14ac:dyDescent="0.3">
      <c r="A889" s="82" t="s">
        <v>134</v>
      </c>
      <c r="B889" s="82" t="s">
        <v>16</v>
      </c>
      <c r="C889" s="82" t="s">
        <v>17</v>
      </c>
      <c r="D889" s="82" t="s">
        <v>90</v>
      </c>
      <c r="E889" s="155">
        <v>41030</v>
      </c>
      <c r="G889" s="92">
        <v>1934</v>
      </c>
      <c r="H889" s="52">
        <v>213</v>
      </c>
      <c r="I889" s="52" t="s">
        <v>92</v>
      </c>
      <c r="J889" s="157">
        <f t="shared" si="199"/>
        <v>0.41</v>
      </c>
      <c r="K889" s="159">
        <f t="shared" si="200"/>
        <v>19.20556107249255</v>
      </c>
      <c r="L889" s="159">
        <f t="shared" si="201"/>
        <v>0.48785585585585589</v>
      </c>
      <c r="M889" s="133">
        <f t="shared" si="194"/>
        <v>87.33</v>
      </c>
      <c r="N889" s="133">
        <f t="shared" si="195"/>
        <v>2021.33</v>
      </c>
      <c r="O889" s="134">
        <f t="shared" si="196"/>
        <v>20.072790466732869</v>
      </c>
      <c r="P889" s="134">
        <f t="shared" si="197"/>
        <v>0.50988504504504506</v>
      </c>
      <c r="R889" s="149">
        <f t="shared" si="198"/>
        <v>5.1784515638902961</v>
      </c>
    </row>
    <row r="890" spans="1:18" ht="14.45" x14ac:dyDescent="0.3">
      <c r="A890" s="82" t="s">
        <v>134</v>
      </c>
      <c r="B890" s="82" t="s">
        <v>18</v>
      </c>
      <c r="C890" s="82" t="s">
        <v>19</v>
      </c>
      <c r="D890" s="82" t="s">
        <v>90</v>
      </c>
      <c r="E890" s="155">
        <v>41030</v>
      </c>
      <c r="G890" s="92">
        <v>3821</v>
      </c>
      <c r="H890" s="52">
        <v>650</v>
      </c>
      <c r="I890" s="52" t="s">
        <v>94</v>
      </c>
      <c r="J890" s="157">
        <f t="shared" si="199"/>
        <v>0.54</v>
      </c>
      <c r="K890" s="159">
        <f t="shared" si="200"/>
        <v>37.944389275074478</v>
      </c>
      <c r="L890" s="159">
        <f t="shared" si="201"/>
        <v>0.96385585585585587</v>
      </c>
      <c r="M890" s="133">
        <f t="shared" si="194"/>
        <v>351</v>
      </c>
      <c r="N890" s="133">
        <f t="shared" si="195"/>
        <v>4172</v>
      </c>
      <c r="O890" s="134">
        <f t="shared" si="196"/>
        <v>41.429990069513408</v>
      </c>
      <c r="P890" s="134">
        <f t="shared" si="197"/>
        <v>1.0523963963963965</v>
      </c>
      <c r="R890" s="149">
        <f t="shared" si="198"/>
        <v>18.928164196123156</v>
      </c>
    </row>
    <row r="891" spans="1:18" ht="14.45" x14ac:dyDescent="0.3">
      <c r="A891" s="82" t="s">
        <v>134</v>
      </c>
      <c r="B891" s="82" t="s">
        <v>18</v>
      </c>
      <c r="C891" s="82" t="s">
        <v>20</v>
      </c>
      <c r="D891" s="82" t="s">
        <v>90</v>
      </c>
      <c r="E891" s="155">
        <v>41030</v>
      </c>
      <c r="G891" s="92">
        <v>3273</v>
      </c>
      <c r="H891" s="52">
        <v>417</v>
      </c>
      <c r="I891" s="52" t="s">
        <v>94</v>
      </c>
      <c r="J891" s="157">
        <f t="shared" si="199"/>
        <v>0.54</v>
      </c>
      <c r="K891" s="159">
        <f t="shared" si="200"/>
        <v>32.502482621648461</v>
      </c>
      <c r="L891" s="159">
        <f t="shared" si="201"/>
        <v>0.82562162162162167</v>
      </c>
      <c r="M891" s="133">
        <f t="shared" si="194"/>
        <v>225.18</v>
      </c>
      <c r="N891" s="133">
        <f t="shared" si="195"/>
        <v>3498.18</v>
      </c>
      <c r="O891" s="134">
        <f t="shared" si="196"/>
        <v>34.738629592850046</v>
      </c>
      <c r="P891" s="134">
        <f t="shared" si="197"/>
        <v>0.88242378378378372</v>
      </c>
      <c r="R891" s="149">
        <f t="shared" si="198"/>
        <v>18.175368898978441</v>
      </c>
    </row>
    <row r="892" spans="1:18" ht="14.45" x14ac:dyDescent="0.3">
      <c r="A892" s="82" t="s">
        <v>134</v>
      </c>
      <c r="B892" s="82" t="s">
        <v>16</v>
      </c>
      <c r="C892" s="82" t="s">
        <v>21</v>
      </c>
      <c r="D892" s="82" t="s">
        <v>90</v>
      </c>
      <c r="E892" s="155">
        <v>41030</v>
      </c>
      <c r="G892" s="92">
        <v>3074</v>
      </c>
      <c r="H892" s="52">
        <v>626</v>
      </c>
      <c r="I892" s="52" t="s">
        <v>92</v>
      </c>
      <c r="J892" s="157">
        <f t="shared" si="199"/>
        <v>0.41</v>
      </c>
      <c r="K892" s="159">
        <f t="shared" si="200"/>
        <v>30.526315789473685</v>
      </c>
      <c r="L892" s="159">
        <f t="shared" si="201"/>
        <v>0.77542342342342341</v>
      </c>
      <c r="M892" s="133">
        <f t="shared" si="194"/>
        <v>256.65999999999997</v>
      </c>
      <c r="N892" s="133">
        <f t="shared" si="195"/>
        <v>3330.66</v>
      </c>
      <c r="O892" s="134">
        <f t="shared" si="196"/>
        <v>33.075074478649448</v>
      </c>
      <c r="P892" s="134">
        <f t="shared" si="197"/>
        <v>0.84016648648648651</v>
      </c>
      <c r="R892" s="149">
        <f t="shared" si="198"/>
        <v>5.0807352300906716</v>
      </c>
    </row>
    <row r="893" spans="1:18" ht="14.45" x14ac:dyDescent="0.3">
      <c r="A893" s="82" t="s">
        <v>134</v>
      </c>
      <c r="B893" s="82" t="s">
        <v>16</v>
      </c>
      <c r="C893" s="82" t="s">
        <v>6</v>
      </c>
      <c r="D893" s="82" t="s">
        <v>90</v>
      </c>
      <c r="E893" s="155">
        <v>41030</v>
      </c>
      <c r="G893" s="92">
        <v>4985</v>
      </c>
      <c r="H893" s="52">
        <v>1823</v>
      </c>
      <c r="I893" s="52" t="s">
        <v>92</v>
      </c>
      <c r="J893" s="157">
        <f t="shared" si="199"/>
        <v>0.41</v>
      </c>
      <c r="K893" s="159">
        <f t="shared" si="200"/>
        <v>49.503475670307843</v>
      </c>
      <c r="L893" s="159">
        <f t="shared" si="201"/>
        <v>1.2574774774774775</v>
      </c>
      <c r="M893" s="133">
        <f t="shared" si="194"/>
        <v>747.43</v>
      </c>
      <c r="N893" s="133">
        <f t="shared" si="195"/>
        <v>5732.43</v>
      </c>
      <c r="O893" s="134">
        <f t="shared" si="196"/>
        <v>56.925819265143993</v>
      </c>
      <c r="P893" s="134">
        <f t="shared" si="197"/>
        <v>1.4460183783783784</v>
      </c>
      <c r="R893" s="149">
        <f t="shared" si="198"/>
        <v>13.591967518146198</v>
      </c>
    </row>
    <row r="894" spans="1:18" ht="14.45" x14ac:dyDescent="0.3">
      <c r="A894" s="82" t="s">
        <v>22</v>
      </c>
      <c r="B894" s="82" t="s">
        <v>23</v>
      </c>
      <c r="C894" s="82" t="s">
        <v>7</v>
      </c>
      <c r="D894" s="82" t="s">
        <v>90</v>
      </c>
      <c r="E894" s="155">
        <v>41030</v>
      </c>
      <c r="G894" s="92">
        <v>3314</v>
      </c>
      <c r="H894" s="52">
        <v>1295</v>
      </c>
      <c r="I894" s="52" t="s">
        <v>95</v>
      </c>
      <c r="J894" s="157">
        <f t="shared" si="199"/>
        <v>0.3508</v>
      </c>
      <c r="K894" s="159">
        <f t="shared" si="200"/>
        <v>32.909632571996028</v>
      </c>
      <c r="L894" s="159">
        <f t="shared" si="201"/>
        <v>0.89567567567567563</v>
      </c>
      <c r="M894" s="133">
        <f t="shared" si="194"/>
        <v>454.286</v>
      </c>
      <c r="N894" s="133">
        <f t="shared" si="195"/>
        <v>3768.2860000000001</v>
      </c>
      <c r="O894" s="134">
        <f t="shared" si="196"/>
        <v>37.420913604766632</v>
      </c>
      <c r="P894" s="134">
        <f t="shared" si="197"/>
        <v>1.0184556756756757</v>
      </c>
      <c r="R894" s="149">
        <f t="shared" si="198"/>
        <v>4.439694326442134</v>
      </c>
    </row>
    <row r="895" spans="1:18" ht="14.45" x14ac:dyDescent="0.3">
      <c r="A895" s="82" t="s">
        <v>22</v>
      </c>
      <c r="B895" s="82" t="s">
        <v>14</v>
      </c>
      <c r="C895" s="82" t="s">
        <v>24</v>
      </c>
      <c r="D895" s="82" t="s">
        <v>90</v>
      </c>
      <c r="E895" s="155">
        <v>41030</v>
      </c>
      <c r="G895" s="92">
        <v>3497</v>
      </c>
      <c r="H895" s="52">
        <v>615</v>
      </c>
      <c r="I895" s="52" t="s">
        <v>94</v>
      </c>
      <c r="J895" s="157">
        <f t="shared" si="199"/>
        <v>0.54</v>
      </c>
      <c r="K895" s="159">
        <f t="shared" si="200"/>
        <v>34.726911618669313</v>
      </c>
      <c r="L895" s="159">
        <f t="shared" si="201"/>
        <v>0.94513513513513514</v>
      </c>
      <c r="M895" s="133">
        <f t="shared" si="194"/>
        <v>332.1</v>
      </c>
      <c r="N895" s="133">
        <f t="shared" si="195"/>
        <v>3829.1</v>
      </c>
      <c r="O895" s="134">
        <f t="shared" si="196"/>
        <v>38.024826216484605</v>
      </c>
      <c r="P895" s="134">
        <f t="shared" si="197"/>
        <v>1.0348918918918919</v>
      </c>
      <c r="R895" s="149">
        <f t="shared" si="198"/>
        <v>19.056650705801893</v>
      </c>
    </row>
    <row r="896" spans="1:18" ht="14.45" x14ac:dyDescent="0.3">
      <c r="A896" s="82" t="s">
        <v>22</v>
      </c>
      <c r="B896" s="82" t="s">
        <v>18</v>
      </c>
      <c r="C896" s="82" t="s">
        <v>15</v>
      </c>
      <c r="D896" s="82" t="s">
        <v>90</v>
      </c>
      <c r="E896" s="155">
        <v>41030</v>
      </c>
      <c r="G896" s="92">
        <v>4453</v>
      </c>
      <c r="H896" s="52">
        <v>872</v>
      </c>
      <c r="I896" s="52" t="s">
        <v>94</v>
      </c>
      <c r="J896" s="157">
        <f t="shared" si="199"/>
        <v>0.54</v>
      </c>
      <c r="K896" s="159">
        <f t="shared" si="200"/>
        <v>44.220456802383318</v>
      </c>
      <c r="L896" s="159">
        <f t="shared" si="201"/>
        <v>1.2035135135135135</v>
      </c>
      <c r="M896" s="133">
        <f t="shared" si="194"/>
        <v>470.88000000000005</v>
      </c>
      <c r="N896" s="133">
        <f t="shared" si="195"/>
        <v>4923.88</v>
      </c>
      <c r="O896" s="134">
        <f t="shared" si="196"/>
        <v>48.896524329692156</v>
      </c>
      <c r="P896" s="134">
        <f t="shared" si="197"/>
        <v>1.3307783783783784</v>
      </c>
      <c r="R896" s="149">
        <f t="shared" si="198"/>
        <v>15.895268043760691</v>
      </c>
    </row>
    <row r="897" spans="1:18" ht="14.45" x14ac:dyDescent="0.3">
      <c r="A897" s="82" t="s">
        <v>22</v>
      </c>
      <c r="B897" s="82" t="s">
        <v>18</v>
      </c>
      <c r="C897" s="82" t="s">
        <v>24</v>
      </c>
      <c r="D897" s="82" t="s">
        <v>90</v>
      </c>
      <c r="E897" s="155">
        <v>41030</v>
      </c>
      <c r="G897" s="92">
        <v>3189</v>
      </c>
      <c r="H897" s="52">
        <v>417</v>
      </c>
      <c r="I897" s="52" t="s">
        <v>94</v>
      </c>
      <c r="J897" s="157">
        <f t="shared" si="199"/>
        <v>0.54</v>
      </c>
      <c r="K897" s="159">
        <f t="shared" si="200"/>
        <v>31.668321747765638</v>
      </c>
      <c r="L897" s="159">
        <f t="shared" si="201"/>
        <v>0.86189189189189186</v>
      </c>
      <c r="M897" s="133">
        <f t="shared" si="194"/>
        <v>225.18</v>
      </c>
      <c r="N897" s="133">
        <f t="shared" si="195"/>
        <v>3414.18</v>
      </c>
      <c r="O897" s="134">
        <f t="shared" si="196"/>
        <v>33.90446871896723</v>
      </c>
      <c r="P897" s="134">
        <f t="shared" si="197"/>
        <v>0.92275135135135133</v>
      </c>
      <c r="R897" s="149">
        <f t="shared" si="198"/>
        <v>21.364586443714551</v>
      </c>
    </row>
    <row r="898" spans="1:18" ht="14.45" x14ac:dyDescent="0.3">
      <c r="A898" s="82" t="s">
        <v>22</v>
      </c>
      <c r="B898" s="82" t="s">
        <v>13</v>
      </c>
      <c r="C898" s="82" t="s">
        <v>7</v>
      </c>
      <c r="D898" s="82" t="s">
        <v>90</v>
      </c>
      <c r="E898" s="155">
        <v>41030</v>
      </c>
      <c r="G898" s="92">
        <v>3382</v>
      </c>
      <c r="H898" s="52">
        <v>1006</v>
      </c>
      <c r="I898" s="52" t="s">
        <v>92</v>
      </c>
      <c r="J898" s="157">
        <f t="shared" si="199"/>
        <v>0.41</v>
      </c>
      <c r="K898" s="159">
        <f t="shared" si="200"/>
        <v>33.584905660377359</v>
      </c>
      <c r="L898" s="159">
        <f t="shared" si="201"/>
        <v>0.91405405405405404</v>
      </c>
      <c r="M898" s="133">
        <f t="shared" si="194"/>
        <v>412.46</v>
      </c>
      <c r="N898" s="133">
        <f t="shared" si="195"/>
        <v>3794.46</v>
      </c>
      <c r="O898" s="134">
        <f t="shared" si="196"/>
        <v>37.680834160873879</v>
      </c>
      <c r="P898" s="134">
        <f t="shared" si="197"/>
        <v>1.0255297297297297</v>
      </c>
      <c r="R898" s="149">
        <f t="shared" si="198"/>
        <v>7.5460147042984982</v>
      </c>
    </row>
    <row r="899" spans="1:18" ht="14.45" x14ac:dyDescent="0.3">
      <c r="A899" s="82" t="s">
        <v>1</v>
      </c>
      <c r="B899" s="82" t="s">
        <v>25</v>
      </c>
      <c r="C899" s="82" t="s">
        <v>26</v>
      </c>
      <c r="D899" s="82" t="s">
        <v>91</v>
      </c>
      <c r="E899" s="155">
        <v>41030</v>
      </c>
      <c r="G899" s="92">
        <v>3351</v>
      </c>
      <c r="H899" s="52">
        <v>880</v>
      </c>
      <c r="I899" s="52" t="s">
        <v>93</v>
      </c>
      <c r="J899" s="157">
        <f t="shared" si="199"/>
        <v>0.41</v>
      </c>
      <c r="K899" s="159">
        <f t="shared" si="200"/>
        <v>33.277060575968221</v>
      </c>
      <c r="L899" s="159">
        <f t="shared" si="201"/>
        <v>0.90567567567567564</v>
      </c>
      <c r="M899" s="133">
        <f t="shared" si="194"/>
        <v>360.79999999999995</v>
      </c>
      <c r="N899" s="133">
        <f t="shared" si="195"/>
        <v>3711.8</v>
      </c>
      <c r="O899" s="134">
        <f t="shared" si="196"/>
        <v>36.85998013902681</v>
      </c>
      <c r="P899" s="134">
        <f t="shared" si="197"/>
        <v>1.0031891891891893</v>
      </c>
      <c r="R899" s="149">
        <f t="shared" si="198"/>
        <v>4.3871983801113679</v>
      </c>
    </row>
    <row r="900" spans="1:18" ht="14.45" x14ac:dyDescent="0.3">
      <c r="A900" s="82" t="s">
        <v>1</v>
      </c>
      <c r="B900" s="82" t="s">
        <v>2</v>
      </c>
      <c r="C900" s="82" t="s">
        <v>9</v>
      </c>
      <c r="D900" s="82" t="s">
        <v>91</v>
      </c>
      <c r="E900" s="155">
        <v>41030</v>
      </c>
      <c r="G900" s="92">
        <v>3247</v>
      </c>
      <c r="H900" s="52">
        <v>685</v>
      </c>
      <c r="I900" s="52" t="s">
        <v>93</v>
      </c>
      <c r="J900" s="157">
        <f t="shared" si="199"/>
        <v>0.41</v>
      </c>
      <c r="K900" s="159">
        <f t="shared" si="200"/>
        <v>32.244289970208541</v>
      </c>
      <c r="L900" s="159">
        <f t="shared" si="201"/>
        <v>0.8775675675675676</v>
      </c>
      <c r="M900" s="133">
        <f t="shared" si="194"/>
        <v>280.84999999999997</v>
      </c>
      <c r="N900" s="133">
        <f t="shared" si="195"/>
        <v>3527.85</v>
      </c>
      <c r="O900" s="134">
        <f t="shared" si="196"/>
        <v>35.033267130089371</v>
      </c>
      <c r="P900" s="134">
        <f t="shared" si="197"/>
        <v>0.95347297297297295</v>
      </c>
      <c r="R900" s="149">
        <f t="shared" si="198"/>
        <v>4.0479561139621367</v>
      </c>
    </row>
    <row r="901" spans="1:18" ht="14.45" x14ac:dyDescent="0.3">
      <c r="A901" s="82" t="s">
        <v>1</v>
      </c>
      <c r="B901" s="82" t="s">
        <v>27</v>
      </c>
      <c r="C901" s="82" t="s">
        <v>28</v>
      </c>
      <c r="D901" s="82" t="s">
        <v>91</v>
      </c>
      <c r="E901" s="155">
        <v>41030</v>
      </c>
      <c r="G901" s="92">
        <v>3645</v>
      </c>
      <c r="H901" s="52">
        <v>812</v>
      </c>
      <c r="I901" s="52" t="s">
        <v>94</v>
      </c>
      <c r="J901" s="157">
        <f t="shared" si="199"/>
        <v>0.54</v>
      </c>
      <c r="K901" s="159">
        <f t="shared" si="200"/>
        <v>36.196623634558094</v>
      </c>
      <c r="L901" s="159">
        <f t="shared" si="201"/>
        <v>0.98513513513513518</v>
      </c>
      <c r="M901" s="133">
        <f t="shared" si="194"/>
        <v>438.48</v>
      </c>
      <c r="N901" s="133">
        <f t="shared" si="195"/>
        <v>4083.48</v>
      </c>
      <c r="O901" s="134">
        <f t="shared" si="196"/>
        <v>40.550943396226415</v>
      </c>
      <c r="P901" s="134">
        <f t="shared" si="197"/>
        <v>1.1036432432432433</v>
      </c>
      <c r="R901" s="149">
        <f t="shared" si="198"/>
        <v>5.061284977719227</v>
      </c>
    </row>
    <row r="902" spans="1:18" ht="14.45" x14ac:dyDescent="0.3">
      <c r="A902" s="82" t="s">
        <v>1</v>
      </c>
      <c r="B902" s="82" t="s">
        <v>4</v>
      </c>
      <c r="C902" s="82" t="s">
        <v>26</v>
      </c>
      <c r="D902" s="82" t="s">
        <v>91</v>
      </c>
      <c r="E902" s="155">
        <v>41030</v>
      </c>
      <c r="G902" s="92">
        <v>4832</v>
      </c>
      <c r="H902" s="52">
        <v>1520</v>
      </c>
      <c r="I902" s="52" t="s">
        <v>93</v>
      </c>
      <c r="J902" s="157">
        <f t="shared" si="199"/>
        <v>0.41</v>
      </c>
      <c r="K902" s="159">
        <f t="shared" si="200"/>
        <v>47.984111221449851</v>
      </c>
      <c r="L902" s="159">
        <f t="shared" si="201"/>
        <v>1.3059459459459459</v>
      </c>
      <c r="M902" s="133">
        <f t="shared" si="194"/>
        <v>623.19999999999993</v>
      </c>
      <c r="N902" s="133">
        <f t="shared" si="195"/>
        <v>5455.2</v>
      </c>
      <c r="O902" s="134">
        <f t="shared" si="196"/>
        <v>54.172790466732863</v>
      </c>
      <c r="P902" s="134">
        <f t="shared" si="197"/>
        <v>1.4743783783783784</v>
      </c>
      <c r="R902" s="149">
        <f t="shared" si="198"/>
        <v>3.9244075287662827</v>
      </c>
    </row>
    <row r="903" spans="1:18" ht="14.45" x14ac:dyDescent="0.3">
      <c r="A903" s="82" t="s">
        <v>1</v>
      </c>
      <c r="B903" s="82" t="s">
        <v>4</v>
      </c>
      <c r="C903" s="82" t="s">
        <v>9</v>
      </c>
      <c r="D903" s="82" t="s">
        <v>91</v>
      </c>
      <c r="E903" s="155">
        <v>41030</v>
      </c>
      <c r="G903" s="92">
        <v>5854</v>
      </c>
      <c r="H903" s="52">
        <v>1583</v>
      </c>
      <c r="I903" s="52" t="s">
        <v>93</v>
      </c>
      <c r="J903" s="157">
        <f t="shared" si="199"/>
        <v>0.41</v>
      </c>
      <c r="K903" s="159">
        <f t="shared" si="200"/>
        <v>58.133068520357497</v>
      </c>
      <c r="L903" s="159">
        <f t="shared" si="201"/>
        <v>1.5821621621621622</v>
      </c>
      <c r="M903" s="133">
        <f t="shared" si="194"/>
        <v>649.03</v>
      </c>
      <c r="N903" s="133">
        <f t="shared" si="195"/>
        <v>6503.03</v>
      </c>
      <c r="O903" s="134">
        <f t="shared" si="196"/>
        <v>64.578252234359482</v>
      </c>
      <c r="P903" s="134">
        <f t="shared" si="197"/>
        <v>1.7575756756756755</v>
      </c>
      <c r="R903" s="149">
        <f t="shared" si="198"/>
        <v>4.5859682078135844</v>
      </c>
    </row>
    <row r="904" spans="1:18" ht="14.45" x14ac:dyDescent="0.3">
      <c r="A904" s="82" t="s">
        <v>1</v>
      </c>
      <c r="B904" s="82" t="s">
        <v>10</v>
      </c>
      <c r="C904" s="82" t="s">
        <v>26</v>
      </c>
      <c r="D904" s="82" t="s">
        <v>91</v>
      </c>
      <c r="E904" s="155">
        <v>41030</v>
      </c>
      <c r="G904" s="92">
        <v>4727</v>
      </c>
      <c r="H904" s="52">
        <v>1599</v>
      </c>
      <c r="I904" s="52" t="s">
        <v>92</v>
      </c>
      <c r="J904" s="157">
        <f t="shared" si="199"/>
        <v>0.41</v>
      </c>
      <c r="K904" s="159">
        <f t="shared" si="200"/>
        <v>46.941410129096326</v>
      </c>
      <c r="L904" s="159">
        <f t="shared" si="201"/>
        <v>1.2775675675675675</v>
      </c>
      <c r="M904" s="133">
        <f t="shared" si="194"/>
        <v>655.58999999999992</v>
      </c>
      <c r="N904" s="133">
        <f t="shared" si="195"/>
        <v>5382.59</v>
      </c>
      <c r="O904" s="134">
        <f t="shared" si="196"/>
        <v>53.451737835153921</v>
      </c>
      <c r="P904" s="134">
        <f t="shared" si="197"/>
        <v>1.454754054054054</v>
      </c>
      <c r="R904" s="149">
        <f t="shared" si="198"/>
        <v>3.3001767540585369</v>
      </c>
    </row>
    <row r="905" spans="1:18" ht="14.45" x14ac:dyDescent="0.3">
      <c r="A905" s="82" t="s">
        <v>134</v>
      </c>
      <c r="B905" s="82" t="s">
        <v>23</v>
      </c>
      <c r="C905" s="82" t="s">
        <v>26</v>
      </c>
      <c r="D905" s="82" t="s">
        <v>91</v>
      </c>
      <c r="E905" s="155">
        <v>41030</v>
      </c>
      <c r="G905" s="92">
        <v>4800</v>
      </c>
      <c r="H905" s="52">
        <v>1851</v>
      </c>
      <c r="I905" s="52" t="s">
        <v>93</v>
      </c>
      <c r="J905" s="157">
        <f t="shared" si="199"/>
        <v>0.41</v>
      </c>
      <c r="K905" s="159">
        <f t="shared" si="200"/>
        <v>47.666335650446868</v>
      </c>
      <c r="L905" s="159">
        <f t="shared" si="201"/>
        <v>1.2108108108108109</v>
      </c>
      <c r="M905" s="133">
        <f t="shared" si="194"/>
        <v>758.91</v>
      </c>
      <c r="N905" s="133">
        <f t="shared" si="195"/>
        <v>5558.91</v>
      </c>
      <c r="O905" s="134">
        <f t="shared" si="196"/>
        <v>55.202681231380332</v>
      </c>
      <c r="P905" s="134">
        <f t="shared" si="197"/>
        <v>1.4022475675675676</v>
      </c>
      <c r="R905" s="149">
        <f t="shared" si="198"/>
        <v>3.9756020918905621</v>
      </c>
    </row>
    <row r="906" spans="1:18" ht="14.45" x14ac:dyDescent="0.3">
      <c r="A906" s="82" t="s">
        <v>134</v>
      </c>
      <c r="B906" s="82" t="s">
        <v>8</v>
      </c>
      <c r="C906" s="82" t="s">
        <v>29</v>
      </c>
      <c r="D906" s="82" t="s">
        <v>91</v>
      </c>
      <c r="E906" s="155">
        <v>41030</v>
      </c>
      <c r="G906" s="92">
        <v>4760</v>
      </c>
      <c r="H906" s="52">
        <v>1695</v>
      </c>
      <c r="I906" s="52" t="s">
        <v>93</v>
      </c>
      <c r="J906" s="157">
        <f t="shared" si="199"/>
        <v>0.41</v>
      </c>
      <c r="K906" s="159">
        <f t="shared" si="200"/>
        <v>47.269116186693147</v>
      </c>
      <c r="L906" s="159">
        <f t="shared" si="201"/>
        <v>1.2007207207207207</v>
      </c>
      <c r="M906" s="133">
        <f t="shared" si="194"/>
        <v>694.94999999999993</v>
      </c>
      <c r="N906" s="133">
        <f t="shared" si="195"/>
        <v>5454.95</v>
      </c>
      <c r="O906" s="134">
        <f t="shared" si="196"/>
        <v>54.170307845084409</v>
      </c>
      <c r="P906" s="134">
        <f t="shared" si="197"/>
        <v>1.3760234234234234</v>
      </c>
      <c r="R906" s="149">
        <f t="shared" si="198"/>
        <v>3.899851434231083</v>
      </c>
    </row>
    <row r="907" spans="1:18" ht="14.45" x14ac:dyDescent="0.3">
      <c r="A907" s="82" t="s">
        <v>134</v>
      </c>
      <c r="B907" s="82" t="s">
        <v>13</v>
      </c>
      <c r="C907" s="82" t="s">
        <v>7</v>
      </c>
      <c r="D907" s="82" t="s">
        <v>91</v>
      </c>
      <c r="E907" s="155">
        <v>41030</v>
      </c>
      <c r="G907" s="92">
        <v>2857</v>
      </c>
      <c r="H907" s="52">
        <v>1006</v>
      </c>
      <c r="I907" s="52" t="s">
        <v>92</v>
      </c>
      <c r="J907" s="157">
        <f t="shared" si="199"/>
        <v>0.41</v>
      </c>
      <c r="K907" s="159">
        <f t="shared" si="200"/>
        <v>28.371400198609731</v>
      </c>
      <c r="L907" s="159">
        <f t="shared" si="201"/>
        <v>0.72068468468468472</v>
      </c>
      <c r="M907" s="133">
        <f t="shared" si="194"/>
        <v>412.46</v>
      </c>
      <c r="N907" s="133">
        <f t="shared" si="195"/>
        <v>3269.46</v>
      </c>
      <c r="O907" s="134">
        <f t="shared" si="196"/>
        <v>32.467328699106254</v>
      </c>
      <c r="P907" s="134">
        <f t="shared" si="197"/>
        <v>0.8247286486486487</v>
      </c>
      <c r="R907" s="149">
        <f t="shared" si="198"/>
        <v>7.2228307567181238</v>
      </c>
    </row>
    <row r="908" spans="1:18" ht="14.45" x14ac:dyDescent="0.3">
      <c r="A908" s="82" t="s">
        <v>134</v>
      </c>
      <c r="B908" s="82" t="s">
        <v>30</v>
      </c>
      <c r="C908" s="82" t="s">
        <v>9</v>
      </c>
      <c r="D908" s="82" t="s">
        <v>91</v>
      </c>
      <c r="E908" s="155">
        <v>41030</v>
      </c>
      <c r="G908" s="92">
        <v>3310</v>
      </c>
      <c r="H908" s="52">
        <v>988</v>
      </c>
      <c r="I908" s="52" t="s">
        <v>93</v>
      </c>
      <c r="J908" s="157">
        <f t="shared" si="199"/>
        <v>0.41</v>
      </c>
      <c r="K908" s="159">
        <f t="shared" si="200"/>
        <v>32.869910625620655</v>
      </c>
      <c r="L908" s="159">
        <f t="shared" si="201"/>
        <v>0.83495495495495498</v>
      </c>
      <c r="M908" s="133">
        <f t="shared" si="194"/>
        <v>405.08</v>
      </c>
      <c r="N908" s="133">
        <f t="shared" si="195"/>
        <v>3715.08</v>
      </c>
      <c r="O908" s="134">
        <f t="shared" si="196"/>
        <v>36.892552135054615</v>
      </c>
      <c r="P908" s="134">
        <f t="shared" si="197"/>
        <v>0.93713729729729733</v>
      </c>
      <c r="R908" s="149">
        <f t="shared" si="198"/>
        <v>4.7776449087340023</v>
      </c>
    </row>
    <row r="909" spans="1:18" ht="14.45" x14ac:dyDescent="0.3">
      <c r="A909" s="82" t="s">
        <v>134</v>
      </c>
      <c r="B909" s="82" t="s">
        <v>16</v>
      </c>
      <c r="C909" s="82" t="s">
        <v>11</v>
      </c>
      <c r="D909" s="82" t="s">
        <v>91</v>
      </c>
      <c r="E909" s="155">
        <v>41030</v>
      </c>
      <c r="G909" s="92">
        <v>3430</v>
      </c>
      <c r="H909" s="52">
        <v>787</v>
      </c>
      <c r="I909" s="52" t="s">
        <v>92</v>
      </c>
      <c r="J909" s="157">
        <f t="shared" si="199"/>
        <v>0.41</v>
      </c>
      <c r="K909" s="159">
        <f t="shared" si="200"/>
        <v>34.061569016881826</v>
      </c>
      <c r="L909" s="159">
        <f t="shared" si="201"/>
        <v>0.86522522522522527</v>
      </c>
      <c r="M909" s="133">
        <f t="shared" si="194"/>
        <v>322.66999999999996</v>
      </c>
      <c r="N909" s="133">
        <f t="shared" si="195"/>
        <v>3752.67</v>
      </c>
      <c r="O909" s="134">
        <f t="shared" si="196"/>
        <v>37.265839126117179</v>
      </c>
      <c r="P909" s="134">
        <f t="shared" si="197"/>
        <v>0.94661945945945947</v>
      </c>
      <c r="R909" s="149">
        <f t="shared" si="198"/>
        <v>3.6308506319745693</v>
      </c>
    </row>
    <row r="910" spans="1:18" ht="14.45" x14ac:dyDescent="0.3">
      <c r="A910" s="82" t="s">
        <v>134</v>
      </c>
      <c r="B910" s="82" t="s">
        <v>23</v>
      </c>
      <c r="C910" s="82" t="s">
        <v>29</v>
      </c>
      <c r="D910" s="82" t="s">
        <v>91</v>
      </c>
      <c r="E910" s="155">
        <v>41030</v>
      </c>
      <c r="G910" s="92">
        <v>4800</v>
      </c>
      <c r="H910" s="52">
        <v>1836</v>
      </c>
      <c r="I910" s="52" t="s">
        <v>93</v>
      </c>
      <c r="J910" s="157">
        <f t="shared" si="199"/>
        <v>0.41</v>
      </c>
      <c r="K910" s="159">
        <f t="shared" si="200"/>
        <v>47.666335650446868</v>
      </c>
      <c r="L910" s="159">
        <f t="shared" si="201"/>
        <v>1.2108108108108109</v>
      </c>
      <c r="M910" s="133">
        <f t="shared" si="194"/>
        <v>752.76</v>
      </c>
      <c r="N910" s="133">
        <f t="shared" si="195"/>
        <v>5552.76</v>
      </c>
      <c r="O910" s="134">
        <f t="shared" si="196"/>
        <v>55.141608738828204</v>
      </c>
      <c r="P910" s="134">
        <f t="shared" si="197"/>
        <v>1.4006962162162162</v>
      </c>
      <c r="R910" s="149">
        <f t="shared" si="198"/>
        <v>3.9655792217129449</v>
      </c>
    </row>
    <row r="911" spans="1:18" ht="14.45" x14ac:dyDescent="0.3">
      <c r="A911" s="82" t="s">
        <v>134</v>
      </c>
      <c r="B911" s="82" t="s">
        <v>31</v>
      </c>
      <c r="C911" s="82" t="s">
        <v>32</v>
      </c>
      <c r="D911" s="82" t="s">
        <v>91</v>
      </c>
      <c r="E911" s="155">
        <v>41030</v>
      </c>
      <c r="G911" s="92">
        <v>4200</v>
      </c>
      <c r="H911" s="52">
        <v>1899</v>
      </c>
      <c r="I911" s="52" t="s">
        <v>93</v>
      </c>
      <c r="J911" s="157">
        <f t="shared" si="199"/>
        <v>0.41</v>
      </c>
      <c r="K911" s="159">
        <f t="shared" si="200"/>
        <v>41.708043694141011</v>
      </c>
      <c r="L911" s="159">
        <f t="shared" si="201"/>
        <v>1.0594594594594595</v>
      </c>
      <c r="M911" s="133">
        <f t="shared" si="194"/>
        <v>778.58999999999992</v>
      </c>
      <c r="N911" s="133">
        <f t="shared" si="195"/>
        <v>4978.59</v>
      </c>
      <c r="O911" s="134">
        <f t="shared" si="196"/>
        <v>49.439821251241312</v>
      </c>
      <c r="P911" s="134">
        <f t="shared" si="197"/>
        <v>1.2558605405405405</v>
      </c>
      <c r="R911" s="149">
        <f t="shared" si="198"/>
        <v>4.5123057157971491</v>
      </c>
    </row>
    <row r="912" spans="1:18" ht="14.45" x14ac:dyDescent="0.3">
      <c r="A912" s="82" t="s">
        <v>22</v>
      </c>
      <c r="B912" s="82" t="s">
        <v>8</v>
      </c>
      <c r="C912" s="82" t="s">
        <v>29</v>
      </c>
      <c r="D912" s="82" t="s">
        <v>91</v>
      </c>
      <c r="E912" s="155">
        <v>41030</v>
      </c>
      <c r="G912" s="92">
        <v>5040</v>
      </c>
      <c r="H912" s="52">
        <v>1695</v>
      </c>
      <c r="I912" s="52" t="s">
        <v>93</v>
      </c>
      <c r="J912" s="157">
        <f t="shared" si="199"/>
        <v>0.41</v>
      </c>
      <c r="K912" s="159">
        <f t="shared" si="200"/>
        <v>50.049652432969211</v>
      </c>
      <c r="L912" s="159">
        <f t="shared" si="201"/>
        <v>1.3621621621621622</v>
      </c>
      <c r="M912" s="133">
        <f t="shared" si="194"/>
        <v>694.94999999999993</v>
      </c>
      <c r="N912" s="133">
        <f t="shared" si="195"/>
        <v>5734.95</v>
      </c>
      <c r="O912" s="134">
        <f t="shared" si="196"/>
        <v>56.950844091360473</v>
      </c>
      <c r="P912" s="134">
        <f t="shared" si="197"/>
        <v>1.5499864864864865</v>
      </c>
      <c r="R912" s="149">
        <f t="shared" si="198"/>
        <v>5.2245789145352495</v>
      </c>
    </row>
    <row r="913" spans="1:20" ht="14.45" x14ac:dyDescent="0.3">
      <c r="A913" s="82" t="s">
        <v>22</v>
      </c>
      <c r="B913" s="82" t="s">
        <v>23</v>
      </c>
      <c r="C913" s="82" t="s">
        <v>26</v>
      </c>
      <c r="D913" s="82" t="s">
        <v>91</v>
      </c>
      <c r="E913" s="155">
        <v>41030</v>
      </c>
      <c r="G913" s="92">
        <v>5030</v>
      </c>
      <c r="H913" s="52">
        <v>1851</v>
      </c>
      <c r="I913" s="52" t="s">
        <v>93</v>
      </c>
      <c r="J913" s="157">
        <f t="shared" si="199"/>
        <v>0.41</v>
      </c>
      <c r="K913" s="159">
        <f t="shared" si="200"/>
        <v>49.950347567030782</v>
      </c>
      <c r="L913" s="159">
        <f t="shared" si="201"/>
        <v>1.3594594594594596</v>
      </c>
      <c r="M913" s="133">
        <f t="shared" si="194"/>
        <v>758.91</v>
      </c>
      <c r="N913" s="133">
        <f t="shared" si="195"/>
        <v>5788.91</v>
      </c>
      <c r="O913" s="134">
        <f t="shared" si="196"/>
        <v>57.486693147964246</v>
      </c>
      <c r="P913" s="134">
        <f t="shared" si="197"/>
        <v>1.5645702702702702</v>
      </c>
      <c r="R913" s="149">
        <f t="shared" si="198"/>
        <v>5.3226135114876172</v>
      </c>
    </row>
    <row r="914" spans="1:20" ht="14.45" x14ac:dyDescent="0.3">
      <c r="A914" s="82" t="s">
        <v>22</v>
      </c>
      <c r="B914" s="82" t="s">
        <v>33</v>
      </c>
      <c r="C914" s="82" t="s">
        <v>29</v>
      </c>
      <c r="D914" s="82" t="s">
        <v>91</v>
      </c>
      <c r="E914" s="155">
        <v>41030</v>
      </c>
      <c r="G914" s="92">
        <v>4930</v>
      </c>
      <c r="H914" s="52">
        <v>1507</v>
      </c>
      <c r="I914" s="52" t="s">
        <v>93</v>
      </c>
      <c r="J914" s="157">
        <f t="shared" si="199"/>
        <v>0.41</v>
      </c>
      <c r="K914" s="159">
        <f t="shared" si="200"/>
        <v>48.957298907646475</v>
      </c>
      <c r="L914" s="159">
        <f t="shared" si="201"/>
        <v>1.3324324324324324</v>
      </c>
      <c r="M914" s="133">
        <f t="shared" si="194"/>
        <v>617.87</v>
      </c>
      <c r="N914" s="133">
        <f t="shared" si="195"/>
        <v>5547.87</v>
      </c>
      <c r="O914" s="134">
        <f t="shared" si="196"/>
        <v>55.093048659384309</v>
      </c>
      <c r="P914" s="134">
        <f t="shared" si="197"/>
        <v>1.4994243243243244</v>
      </c>
      <c r="R914" s="149">
        <f t="shared" si="198"/>
        <v>5.2223604652044786</v>
      </c>
    </row>
    <row r="915" spans="1:20" ht="14.45" x14ac:dyDescent="0.3">
      <c r="A915" s="82" t="s">
        <v>22</v>
      </c>
      <c r="B915" s="82" t="s">
        <v>31</v>
      </c>
      <c r="C915" s="82" t="s">
        <v>7</v>
      </c>
      <c r="D915" s="82" t="s">
        <v>91</v>
      </c>
      <c r="E915" s="155">
        <v>41030</v>
      </c>
      <c r="G915" s="92">
        <v>3710</v>
      </c>
      <c r="H915" s="52">
        <v>1160</v>
      </c>
      <c r="I915" s="52" t="s">
        <v>92</v>
      </c>
      <c r="J915" s="157">
        <f t="shared" si="199"/>
        <v>0.41</v>
      </c>
      <c r="K915" s="159">
        <f t="shared" si="200"/>
        <v>36.84210526315789</v>
      </c>
      <c r="L915" s="159">
        <f t="shared" si="201"/>
        <v>1.0027027027027027</v>
      </c>
      <c r="M915" s="133">
        <f t="shared" si="194"/>
        <v>475.59999999999997</v>
      </c>
      <c r="N915" s="133">
        <f t="shared" si="195"/>
        <v>4185.6000000000004</v>
      </c>
      <c r="O915" s="134">
        <f t="shared" si="196"/>
        <v>41.565044687189676</v>
      </c>
      <c r="P915" s="134">
        <f t="shared" si="197"/>
        <v>1.1312432432432433</v>
      </c>
      <c r="R915" s="149">
        <f t="shared" si="198"/>
        <v>6.2550771730300658</v>
      </c>
    </row>
    <row r="916" spans="1:20" ht="14.45" x14ac:dyDescent="0.3">
      <c r="A916" s="82" t="s">
        <v>22</v>
      </c>
      <c r="B916" s="82" t="s">
        <v>14</v>
      </c>
      <c r="C916" s="82" t="s">
        <v>24</v>
      </c>
      <c r="D916" s="82" t="s">
        <v>91</v>
      </c>
      <c r="E916" s="155">
        <v>41030</v>
      </c>
      <c r="G916" s="92">
        <v>2672</v>
      </c>
      <c r="H916" s="52">
        <v>615</v>
      </c>
      <c r="I916" s="52" t="s">
        <v>94</v>
      </c>
      <c r="J916" s="157">
        <f t="shared" si="199"/>
        <v>0.54</v>
      </c>
      <c r="K916" s="159">
        <f t="shared" si="200"/>
        <v>26.53426017874876</v>
      </c>
      <c r="L916" s="159">
        <f t="shared" si="201"/>
        <v>0.72216216216216211</v>
      </c>
      <c r="M916" s="133">
        <f t="shared" si="194"/>
        <v>332.1</v>
      </c>
      <c r="N916" s="133">
        <f t="shared" si="195"/>
        <v>3004.1</v>
      </c>
      <c r="O916" s="134">
        <f t="shared" si="196"/>
        <v>29.832174776564049</v>
      </c>
      <c r="P916" s="134">
        <f t="shared" si="197"/>
        <v>0.81191891891891887</v>
      </c>
      <c r="R916" s="149">
        <f t="shared" si="198"/>
        <v>6.1069511161345069</v>
      </c>
    </row>
    <row r="917" spans="1:20" ht="14.45" x14ac:dyDescent="0.3">
      <c r="A917" s="118" t="s">
        <v>22</v>
      </c>
      <c r="B917" s="118" t="s">
        <v>34</v>
      </c>
      <c r="C917" s="118" t="s">
        <v>26</v>
      </c>
      <c r="D917" s="118" t="s">
        <v>91</v>
      </c>
      <c r="E917" s="156">
        <v>41030</v>
      </c>
      <c r="F917" s="84"/>
      <c r="G917" s="115">
        <v>5115</v>
      </c>
      <c r="H917" s="158">
        <v>1637</v>
      </c>
      <c r="I917" s="158" t="s">
        <v>92</v>
      </c>
      <c r="J917" s="122">
        <f t="shared" si="199"/>
        <v>0.41</v>
      </c>
      <c r="K917" s="123">
        <f t="shared" si="200"/>
        <v>50.79443892750745</v>
      </c>
      <c r="L917" s="123">
        <f t="shared" si="201"/>
        <v>1.3824324324324324</v>
      </c>
      <c r="M917" s="115">
        <f t="shared" si="194"/>
        <v>671.17</v>
      </c>
      <c r="N917" s="115">
        <f t="shared" si="195"/>
        <v>5786.17</v>
      </c>
      <c r="O917" s="116">
        <f t="shared" si="196"/>
        <v>57.45948361469712</v>
      </c>
      <c r="P917" s="116">
        <f t="shared" si="197"/>
        <v>1.5638297297297297</v>
      </c>
      <c r="Q917" s="106"/>
      <c r="R917" s="152">
        <f t="shared" si="198"/>
        <v>12.885679781648918</v>
      </c>
    </row>
    <row r="918" spans="1:20" ht="14.45" x14ac:dyDescent="0.3">
      <c r="A918" s="60" t="s">
        <v>1</v>
      </c>
      <c r="B918" s="60" t="s">
        <v>2</v>
      </c>
      <c r="C918" s="60" t="s">
        <v>3</v>
      </c>
      <c r="D918" s="60" t="s">
        <v>90</v>
      </c>
      <c r="E918" s="137">
        <v>41061</v>
      </c>
      <c r="F918" s="61"/>
      <c r="G918" s="92">
        <v>2992</v>
      </c>
      <c r="H918" s="138">
        <v>506</v>
      </c>
      <c r="I918" s="138" t="s">
        <v>92</v>
      </c>
      <c r="J918" s="141">
        <f>IF(I918="BNSF",0.41,IF(I918="CN",0.3508,IF(I918="CSX",0.53,0.41)))</f>
        <v>0.41</v>
      </c>
      <c r="K918" s="140">
        <f t="shared" si="200"/>
        <v>29.712015888778549</v>
      </c>
      <c r="L918" s="140">
        <f t="shared" si="201"/>
        <v>0.8086486486486486</v>
      </c>
      <c r="M918" s="133">
        <f t="shared" si="194"/>
        <v>207.45999999999998</v>
      </c>
      <c r="N918" s="133">
        <f t="shared" si="195"/>
        <v>3199.46</v>
      </c>
      <c r="O918" s="134">
        <f t="shared" si="196"/>
        <v>31.77219463753724</v>
      </c>
      <c r="P918" s="134">
        <f t="shared" si="197"/>
        <v>0.86471891891891894</v>
      </c>
      <c r="R918" s="149">
        <f>((N918/N462)-1)*100</f>
        <v>0.15840220385674453</v>
      </c>
      <c r="S918" s="140">
        <f>AVERAGE(O842,O880,O918)</f>
        <v>31.721946375372394</v>
      </c>
      <c r="T918" s="151">
        <f>(S918/S804)-1</f>
        <v>5.8420116840234293E-3</v>
      </c>
    </row>
    <row r="919" spans="1:20" ht="14.45" x14ac:dyDescent="0.3">
      <c r="A919" s="60" t="s">
        <v>1</v>
      </c>
      <c r="B919" s="60" t="s">
        <v>4</v>
      </c>
      <c r="C919" s="60" t="s">
        <v>5</v>
      </c>
      <c r="D919" s="60" t="s">
        <v>90</v>
      </c>
      <c r="E919" s="137">
        <v>41061</v>
      </c>
      <c r="F919" s="61"/>
      <c r="G919" s="92">
        <v>3260</v>
      </c>
      <c r="H919" s="138">
        <v>298</v>
      </c>
      <c r="I919" s="138" t="s">
        <v>93</v>
      </c>
      <c r="J919" s="141">
        <f>IF(I919="BNSF",0.41,IF(I919="CN",0.3508,IF(I919="CSX",0.53,0.41)))</f>
        <v>0.41</v>
      </c>
      <c r="K919" s="140">
        <f t="shared" si="200"/>
        <v>32.373386295928498</v>
      </c>
      <c r="L919" s="140">
        <f t="shared" si="201"/>
        <v>0.88108108108108107</v>
      </c>
      <c r="M919" s="133">
        <f t="shared" si="194"/>
        <v>122.17999999999999</v>
      </c>
      <c r="N919" s="133">
        <f t="shared" si="195"/>
        <v>3382.18</v>
      </c>
      <c r="O919" s="134">
        <f t="shared" si="196"/>
        <v>33.586693147964247</v>
      </c>
      <c r="P919" s="134">
        <f t="shared" si="197"/>
        <v>0.91410270270270266</v>
      </c>
      <c r="R919" s="149">
        <f t="shared" ref="R919:R982" si="202">((N919/N463)-1)*100</f>
        <v>14.993200054399569</v>
      </c>
      <c r="S919" s="140">
        <f t="shared" ref="S919:S954" si="203">AVERAGE(O843,O881,O919)</f>
        <v>33.54723601456471</v>
      </c>
      <c r="T919" s="151">
        <f t="shared" ref="T919:T953" si="204">(S919/S805)-1</f>
        <v>2.031032288721879E-2</v>
      </c>
    </row>
    <row r="920" spans="1:20" ht="14.45" x14ac:dyDescent="0.3">
      <c r="A920" s="60" t="s">
        <v>1</v>
      </c>
      <c r="B920" s="60" t="s">
        <v>2</v>
      </c>
      <c r="C920" s="60" t="s">
        <v>6</v>
      </c>
      <c r="D920" s="60" t="s">
        <v>90</v>
      </c>
      <c r="E920" s="137">
        <v>41061</v>
      </c>
      <c r="F920" s="61"/>
      <c r="G920" s="92">
        <v>6026</v>
      </c>
      <c r="H920" s="138">
        <v>1530</v>
      </c>
      <c r="I920" s="138" t="s">
        <v>93</v>
      </c>
      <c r="J920" s="141">
        <f t="shared" ref="J920:J955" si="205">IF(I920="BNSF",0.41,IF(I920="CN",0.3508,IF(I920="CSX",0.53,0.41)))</f>
        <v>0.41</v>
      </c>
      <c r="K920" s="140">
        <f t="shared" si="200"/>
        <v>59.841112214498509</v>
      </c>
      <c r="L920" s="140">
        <f t="shared" si="201"/>
        <v>1.6286486486486487</v>
      </c>
      <c r="M920" s="133">
        <f t="shared" si="194"/>
        <v>627.29999999999995</v>
      </c>
      <c r="N920" s="133">
        <f t="shared" si="195"/>
        <v>6653.3</v>
      </c>
      <c r="O920" s="134">
        <f t="shared" si="196"/>
        <v>66.070506454816282</v>
      </c>
      <c r="P920" s="134">
        <f t="shared" si="197"/>
        <v>1.7981891891891892</v>
      </c>
      <c r="R920" s="149">
        <f t="shared" si="202"/>
        <v>5.2404302435937966</v>
      </c>
      <c r="S920" s="140">
        <f t="shared" si="203"/>
        <v>65.000662032439593</v>
      </c>
      <c r="T920" s="151">
        <f t="shared" si="204"/>
        <v>2.6927381313474941E-2</v>
      </c>
    </row>
    <row r="921" spans="1:20" ht="14.45" x14ac:dyDescent="0.3">
      <c r="A921" s="60" t="s">
        <v>1</v>
      </c>
      <c r="B921" s="60" t="s">
        <v>2</v>
      </c>
      <c r="C921" s="60" t="s">
        <v>7</v>
      </c>
      <c r="D921" s="60" t="s">
        <v>90</v>
      </c>
      <c r="E921" s="137">
        <v>41061</v>
      </c>
      <c r="F921" s="61"/>
      <c r="G921" s="92">
        <v>3645</v>
      </c>
      <c r="H921" s="138">
        <v>890</v>
      </c>
      <c r="I921" s="138" t="s">
        <v>92</v>
      </c>
      <c r="J921" s="141">
        <f t="shared" si="205"/>
        <v>0.41</v>
      </c>
      <c r="K921" s="140">
        <f t="shared" si="200"/>
        <v>36.196623634558094</v>
      </c>
      <c r="L921" s="140">
        <f t="shared" si="201"/>
        <v>0.98513513513513518</v>
      </c>
      <c r="M921" s="133">
        <f t="shared" si="194"/>
        <v>364.9</v>
      </c>
      <c r="N921" s="133">
        <f t="shared" si="195"/>
        <v>4009.9</v>
      </c>
      <c r="O921" s="134">
        <f t="shared" si="196"/>
        <v>39.820258192651437</v>
      </c>
      <c r="P921" s="134">
        <f t="shared" si="197"/>
        <v>1.0837567567567568</v>
      </c>
      <c r="R921" s="149">
        <f t="shared" si="202"/>
        <v>4.2073804573804496</v>
      </c>
      <c r="S921" s="140">
        <f t="shared" si="203"/>
        <v>38.718967229394238</v>
      </c>
      <c r="T921" s="151">
        <f t="shared" si="204"/>
        <v>2.1920130000611548E-2</v>
      </c>
    </row>
    <row r="922" spans="1:20" ht="14.45" x14ac:dyDescent="0.3">
      <c r="A922" s="60" t="s">
        <v>1</v>
      </c>
      <c r="B922" s="60" t="s">
        <v>8</v>
      </c>
      <c r="C922" s="60" t="s">
        <v>9</v>
      </c>
      <c r="D922" s="60" t="s">
        <v>90</v>
      </c>
      <c r="E922" s="137">
        <v>41061</v>
      </c>
      <c r="F922" s="61"/>
      <c r="G922" s="92">
        <v>5573</v>
      </c>
      <c r="H922" s="138">
        <v>1256</v>
      </c>
      <c r="I922" s="138" t="s">
        <v>93</v>
      </c>
      <c r="J922" s="141">
        <f t="shared" si="205"/>
        <v>0.41</v>
      </c>
      <c r="K922" s="140">
        <f t="shared" si="200"/>
        <v>55.342601787487588</v>
      </c>
      <c r="L922" s="140">
        <f t="shared" si="201"/>
        <v>1.5062162162162163</v>
      </c>
      <c r="M922" s="133">
        <f t="shared" si="194"/>
        <v>514.95999999999992</v>
      </c>
      <c r="N922" s="133">
        <f t="shared" si="195"/>
        <v>6087.96</v>
      </c>
      <c r="O922" s="134">
        <f t="shared" si="196"/>
        <v>60.456405163853027</v>
      </c>
      <c r="P922" s="134">
        <f t="shared" si="197"/>
        <v>1.6453945945945947</v>
      </c>
      <c r="R922" s="149">
        <f t="shared" si="202"/>
        <v>2.9693525471889748</v>
      </c>
      <c r="S922" s="140">
        <f t="shared" si="203"/>
        <v>60.290102615028133</v>
      </c>
      <c r="T922" s="151">
        <f t="shared" si="204"/>
        <v>1.8240813624816665E-2</v>
      </c>
    </row>
    <row r="923" spans="1:20" ht="14.45" x14ac:dyDescent="0.3">
      <c r="A923" s="60" t="s">
        <v>1</v>
      </c>
      <c r="B923" s="60" t="s">
        <v>10</v>
      </c>
      <c r="C923" s="60" t="s">
        <v>9</v>
      </c>
      <c r="D923" s="60" t="s">
        <v>90</v>
      </c>
      <c r="E923" s="137">
        <v>41061</v>
      </c>
      <c r="F923" s="61"/>
      <c r="G923" s="92">
        <v>3912</v>
      </c>
      <c r="H923" s="138">
        <v>975</v>
      </c>
      <c r="I923" s="138" t="s">
        <v>92</v>
      </c>
      <c r="J923" s="141">
        <f t="shared" si="205"/>
        <v>0.41</v>
      </c>
      <c r="K923" s="140">
        <f t="shared" si="200"/>
        <v>38.848063555114202</v>
      </c>
      <c r="L923" s="140">
        <f t="shared" si="201"/>
        <v>1.0572972972972974</v>
      </c>
      <c r="M923" s="133">
        <f t="shared" si="194"/>
        <v>399.75</v>
      </c>
      <c r="N923" s="133">
        <f t="shared" si="195"/>
        <v>4311.75</v>
      </c>
      <c r="O923" s="134">
        <f t="shared" si="196"/>
        <v>42.817775571002976</v>
      </c>
      <c r="P923" s="134">
        <f t="shared" si="197"/>
        <v>1.1653378378378378</v>
      </c>
      <c r="R923" s="149">
        <f t="shared" si="202"/>
        <v>3.8975903614457907</v>
      </c>
      <c r="S923" s="140">
        <f t="shared" si="203"/>
        <v>41.714664018536915</v>
      </c>
      <c r="T923" s="151">
        <f t="shared" si="204"/>
        <v>2.1004233254339866E-2</v>
      </c>
    </row>
    <row r="924" spans="1:20" ht="14.45" x14ac:dyDescent="0.3">
      <c r="A924" s="60" t="s">
        <v>1</v>
      </c>
      <c r="B924" s="60" t="s">
        <v>11</v>
      </c>
      <c r="C924" s="60" t="s">
        <v>6</v>
      </c>
      <c r="D924" s="60" t="s">
        <v>90</v>
      </c>
      <c r="E924" s="137">
        <v>41061</v>
      </c>
      <c r="F924" s="61"/>
      <c r="G924" s="92">
        <v>4112</v>
      </c>
      <c r="H924" s="138">
        <v>1357</v>
      </c>
      <c r="I924" s="138" t="s">
        <v>92</v>
      </c>
      <c r="J924" s="141">
        <f t="shared" si="205"/>
        <v>0.41</v>
      </c>
      <c r="K924" s="140">
        <f t="shared" si="200"/>
        <v>40.834160873882816</v>
      </c>
      <c r="L924" s="140">
        <f t="shared" si="201"/>
        <v>1.1113513513513513</v>
      </c>
      <c r="M924" s="133">
        <f t="shared" si="194"/>
        <v>556.37</v>
      </c>
      <c r="N924" s="133">
        <f t="shared" si="195"/>
        <v>4668.37</v>
      </c>
      <c r="O924" s="134">
        <f t="shared" si="196"/>
        <v>46.359185700099303</v>
      </c>
      <c r="P924" s="134">
        <f t="shared" si="197"/>
        <v>1.2617216216216216</v>
      </c>
      <c r="R924" s="149">
        <f t="shared" si="202"/>
        <v>3.7000755253454143</v>
      </c>
      <c r="S924" s="140">
        <f t="shared" si="203"/>
        <v>45.211519364448861</v>
      </c>
      <c r="T924" s="151">
        <f t="shared" si="204"/>
        <v>2.2631555697645966E-2</v>
      </c>
    </row>
    <row r="925" spans="1:20" ht="14.45" x14ac:dyDescent="0.3">
      <c r="A925" s="60" t="s">
        <v>134</v>
      </c>
      <c r="B925" s="60" t="s">
        <v>13</v>
      </c>
      <c r="C925" s="60" t="s">
        <v>7</v>
      </c>
      <c r="D925" s="60" t="s">
        <v>90</v>
      </c>
      <c r="E925" s="137">
        <v>41061</v>
      </c>
      <c r="F925" s="61"/>
      <c r="G925" s="92">
        <v>3038</v>
      </c>
      <c r="H925" s="138">
        <v>1006</v>
      </c>
      <c r="I925" s="138" t="s">
        <v>92</v>
      </c>
      <c r="J925" s="141">
        <f t="shared" si="205"/>
        <v>0.41</v>
      </c>
      <c r="K925" s="140">
        <f t="shared" si="200"/>
        <v>30.168818272095333</v>
      </c>
      <c r="L925" s="140">
        <f t="shared" si="201"/>
        <v>0.76634234234234233</v>
      </c>
      <c r="M925" s="133">
        <f t="shared" si="194"/>
        <v>412.46</v>
      </c>
      <c r="N925" s="133">
        <f t="shared" si="195"/>
        <v>3450.46</v>
      </c>
      <c r="O925" s="134">
        <f t="shared" si="196"/>
        <v>34.264746772591856</v>
      </c>
      <c r="P925" s="134">
        <f t="shared" si="197"/>
        <v>0.87038630630630631</v>
      </c>
      <c r="R925" s="149">
        <f t="shared" si="202"/>
        <v>7.3438277750124348</v>
      </c>
      <c r="S925" s="140">
        <f t="shared" si="203"/>
        <v>34.164846077457788</v>
      </c>
      <c r="T925" s="151">
        <f t="shared" si="204"/>
        <v>8.4674054720581537E-3</v>
      </c>
    </row>
    <row r="926" spans="1:20" ht="14.45" x14ac:dyDescent="0.3">
      <c r="A926" s="60" t="s">
        <v>134</v>
      </c>
      <c r="B926" s="60" t="s">
        <v>14</v>
      </c>
      <c r="C926" s="60" t="s">
        <v>15</v>
      </c>
      <c r="D926" s="60" t="s">
        <v>90</v>
      </c>
      <c r="E926" s="137">
        <v>41061</v>
      </c>
      <c r="F926" s="61"/>
      <c r="G926" s="92">
        <v>4382</v>
      </c>
      <c r="H926" s="138">
        <v>866</v>
      </c>
      <c r="I926" s="138" t="s">
        <v>94</v>
      </c>
      <c r="J926" s="141">
        <f t="shared" si="205"/>
        <v>0.53</v>
      </c>
      <c r="K926" s="140">
        <f t="shared" si="200"/>
        <v>43.515392254220458</v>
      </c>
      <c r="L926" s="140">
        <f t="shared" si="201"/>
        <v>1.1053693693693694</v>
      </c>
      <c r="M926" s="133">
        <f t="shared" si="194"/>
        <v>458.98</v>
      </c>
      <c r="N926" s="133">
        <f t="shared" si="195"/>
        <v>4840.9799999999996</v>
      </c>
      <c r="O926" s="134">
        <f t="shared" si="196"/>
        <v>48.07328699106256</v>
      </c>
      <c r="P926" s="134">
        <f t="shared" si="197"/>
        <v>1.2211481081081079</v>
      </c>
      <c r="R926" s="149">
        <f t="shared" si="202"/>
        <v>14.97890896653935</v>
      </c>
      <c r="S926" s="140">
        <f t="shared" si="203"/>
        <v>47.987288977159885</v>
      </c>
      <c r="T926" s="151">
        <f t="shared" si="204"/>
        <v>3.9627434134755335E-2</v>
      </c>
    </row>
    <row r="927" spans="1:20" ht="14.45" x14ac:dyDescent="0.3">
      <c r="A927" s="60" t="s">
        <v>134</v>
      </c>
      <c r="B927" s="60" t="s">
        <v>16</v>
      </c>
      <c r="C927" s="60" t="s">
        <v>17</v>
      </c>
      <c r="D927" s="60" t="s">
        <v>90</v>
      </c>
      <c r="E927" s="137">
        <v>41061</v>
      </c>
      <c r="F927" s="61"/>
      <c r="G927" s="92">
        <v>1934</v>
      </c>
      <c r="H927" s="138">
        <v>213</v>
      </c>
      <c r="I927" s="138" t="s">
        <v>92</v>
      </c>
      <c r="J927" s="141">
        <f t="shared" si="205"/>
        <v>0.41</v>
      </c>
      <c r="K927" s="140">
        <f t="shared" si="200"/>
        <v>19.20556107249255</v>
      </c>
      <c r="L927" s="140">
        <f t="shared" si="201"/>
        <v>0.48785585585585589</v>
      </c>
      <c r="M927" s="133">
        <f t="shared" si="194"/>
        <v>87.33</v>
      </c>
      <c r="N927" s="133">
        <f t="shared" si="195"/>
        <v>2021.33</v>
      </c>
      <c r="O927" s="134">
        <f t="shared" si="196"/>
        <v>20.072790466732869</v>
      </c>
      <c r="P927" s="134">
        <f t="shared" si="197"/>
        <v>0.50988504504504506</v>
      </c>
      <c r="R927" s="149">
        <f t="shared" si="202"/>
        <v>4.8298931646094667</v>
      </c>
      <c r="S927" s="140">
        <f t="shared" si="203"/>
        <v>20.051638530287985</v>
      </c>
      <c r="T927" s="151">
        <f t="shared" si="204"/>
        <v>3.8828869587699266E-3</v>
      </c>
    </row>
    <row r="928" spans="1:20" ht="14.45" x14ac:dyDescent="0.3">
      <c r="A928" s="60" t="s">
        <v>134</v>
      </c>
      <c r="B928" s="60" t="s">
        <v>18</v>
      </c>
      <c r="C928" s="60" t="s">
        <v>19</v>
      </c>
      <c r="D928" s="60" t="s">
        <v>90</v>
      </c>
      <c r="E928" s="137">
        <v>41061</v>
      </c>
      <c r="F928" s="61"/>
      <c r="G928" s="92">
        <v>3821</v>
      </c>
      <c r="H928" s="138">
        <v>650</v>
      </c>
      <c r="I928" s="138" t="s">
        <v>94</v>
      </c>
      <c r="J928" s="141">
        <f t="shared" si="205"/>
        <v>0.53</v>
      </c>
      <c r="K928" s="140">
        <f t="shared" si="200"/>
        <v>37.944389275074478</v>
      </c>
      <c r="L928" s="140">
        <f t="shared" si="201"/>
        <v>0.96385585585585587</v>
      </c>
      <c r="M928" s="133">
        <f t="shared" si="194"/>
        <v>344.5</v>
      </c>
      <c r="N928" s="133">
        <f t="shared" si="195"/>
        <v>4165.5</v>
      </c>
      <c r="O928" s="134">
        <f t="shared" si="196"/>
        <v>41.365441906653423</v>
      </c>
      <c r="P928" s="134">
        <f t="shared" si="197"/>
        <v>1.0507567567567568</v>
      </c>
      <c r="R928" s="149">
        <f t="shared" si="202"/>
        <v>17.869269949066215</v>
      </c>
      <c r="S928" s="140">
        <f t="shared" si="203"/>
        <v>41.300893743793445</v>
      </c>
      <c r="T928" s="151">
        <f t="shared" si="204"/>
        <v>4.3882033047479618E-2</v>
      </c>
    </row>
    <row r="929" spans="1:20" ht="14.45" x14ac:dyDescent="0.3">
      <c r="A929" s="60" t="s">
        <v>134</v>
      </c>
      <c r="B929" s="60" t="s">
        <v>18</v>
      </c>
      <c r="C929" s="60" t="s">
        <v>20</v>
      </c>
      <c r="D929" s="60" t="s">
        <v>90</v>
      </c>
      <c r="E929" s="137">
        <v>41061</v>
      </c>
      <c r="F929" s="61"/>
      <c r="G929" s="92">
        <v>3273</v>
      </c>
      <c r="H929" s="138">
        <v>417</v>
      </c>
      <c r="I929" s="138" t="s">
        <v>94</v>
      </c>
      <c r="J929" s="141">
        <f t="shared" si="205"/>
        <v>0.53</v>
      </c>
      <c r="K929" s="140">
        <f t="shared" si="200"/>
        <v>32.502482621648461</v>
      </c>
      <c r="L929" s="140">
        <f t="shared" si="201"/>
        <v>0.82562162162162167</v>
      </c>
      <c r="M929" s="133">
        <f t="shared" si="194"/>
        <v>221.01000000000002</v>
      </c>
      <c r="N929" s="133">
        <f t="shared" si="195"/>
        <v>3494.01</v>
      </c>
      <c r="O929" s="134">
        <f t="shared" si="196"/>
        <v>34.697219463753726</v>
      </c>
      <c r="P929" s="134">
        <f t="shared" si="197"/>
        <v>0.88137189189189191</v>
      </c>
      <c r="R929" s="149">
        <f t="shared" si="202"/>
        <v>17.373120490184224</v>
      </c>
      <c r="S929" s="140">
        <f t="shared" si="203"/>
        <v>34.655809334657398</v>
      </c>
      <c r="T929" s="151">
        <f t="shared" si="204"/>
        <v>4.9543322463161621E-2</v>
      </c>
    </row>
    <row r="930" spans="1:20" ht="14.45" x14ac:dyDescent="0.3">
      <c r="A930" s="60" t="s">
        <v>134</v>
      </c>
      <c r="B930" s="60" t="s">
        <v>16</v>
      </c>
      <c r="C930" s="60" t="s">
        <v>21</v>
      </c>
      <c r="D930" s="60" t="s">
        <v>90</v>
      </c>
      <c r="E930" s="137">
        <v>41061</v>
      </c>
      <c r="F930" s="61"/>
      <c r="G930" s="92">
        <v>3074</v>
      </c>
      <c r="H930" s="138">
        <v>626</v>
      </c>
      <c r="I930" s="138" t="s">
        <v>92</v>
      </c>
      <c r="J930" s="141">
        <f t="shared" si="205"/>
        <v>0.41</v>
      </c>
      <c r="K930" s="140">
        <f t="shared" si="200"/>
        <v>30.526315789473685</v>
      </c>
      <c r="L930" s="140">
        <f t="shared" si="201"/>
        <v>0.77542342342342341</v>
      </c>
      <c r="M930" s="133">
        <f t="shared" si="194"/>
        <v>256.65999999999997</v>
      </c>
      <c r="N930" s="133">
        <f t="shared" si="195"/>
        <v>3330.66</v>
      </c>
      <c r="O930" s="134">
        <f t="shared" si="196"/>
        <v>33.075074478649448</v>
      </c>
      <c r="P930" s="134">
        <f t="shared" si="197"/>
        <v>0.84016648648648651</v>
      </c>
      <c r="R930" s="149">
        <f t="shared" si="202"/>
        <v>4.4617990214527614</v>
      </c>
      <c r="S930" s="140">
        <f t="shared" si="203"/>
        <v>33.01290963257199</v>
      </c>
      <c r="T930" s="151">
        <f t="shared" si="204"/>
        <v>6.9525076885486037E-3</v>
      </c>
    </row>
    <row r="931" spans="1:20" ht="14.45" x14ac:dyDescent="0.3">
      <c r="A931" s="60" t="s">
        <v>134</v>
      </c>
      <c r="B931" s="60" t="s">
        <v>16</v>
      </c>
      <c r="C931" s="60" t="s">
        <v>6</v>
      </c>
      <c r="D931" s="60" t="s">
        <v>90</v>
      </c>
      <c r="E931" s="137">
        <v>41061</v>
      </c>
      <c r="F931" s="61"/>
      <c r="G931" s="92">
        <v>4985</v>
      </c>
      <c r="H931" s="138">
        <v>1823</v>
      </c>
      <c r="I931" s="138" t="s">
        <v>92</v>
      </c>
      <c r="J931" s="141">
        <f t="shared" si="205"/>
        <v>0.41</v>
      </c>
      <c r="K931" s="140">
        <f t="shared" si="200"/>
        <v>49.503475670307843</v>
      </c>
      <c r="L931" s="140">
        <f t="shared" si="201"/>
        <v>1.2574774774774775</v>
      </c>
      <c r="M931" s="133">
        <f t="shared" si="194"/>
        <v>747.43</v>
      </c>
      <c r="N931" s="133">
        <f t="shared" si="195"/>
        <v>5732.43</v>
      </c>
      <c r="O931" s="134">
        <f t="shared" si="196"/>
        <v>56.925819265143993</v>
      </c>
      <c r="P931" s="134">
        <f t="shared" si="197"/>
        <v>1.4460183783783784</v>
      </c>
      <c r="R931" s="149">
        <f t="shared" si="202"/>
        <v>3.0234355343086161</v>
      </c>
      <c r="S931" s="140">
        <f t="shared" si="203"/>
        <v>56.744786494538232</v>
      </c>
      <c r="T931" s="151">
        <f t="shared" si="204"/>
        <v>1.1836215999579958E-2</v>
      </c>
    </row>
    <row r="932" spans="1:20" ht="14.45" x14ac:dyDescent="0.3">
      <c r="A932" s="60" t="s">
        <v>22</v>
      </c>
      <c r="B932" s="60" t="s">
        <v>23</v>
      </c>
      <c r="C932" s="60" t="s">
        <v>7</v>
      </c>
      <c r="D932" s="60" t="s">
        <v>90</v>
      </c>
      <c r="E932" s="137">
        <v>41061</v>
      </c>
      <c r="F932" s="61"/>
      <c r="G932" s="92">
        <v>3249</v>
      </c>
      <c r="H932" s="138">
        <v>1295</v>
      </c>
      <c r="I932" s="138" t="s">
        <v>95</v>
      </c>
      <c r="J932" s="141">
        <f t="shared" si="205"/>
        <v>0.3508</v>
      </c>
      <c r="K932" s="140">
        <f t="shared" si="200"/>
        <v>32.264150943396224</v>
      </c>
      <c r="L932" s="140">
        <f t="shared" si="201"/>
        <v>0.87810810810810813</v>
      </c>
      <c r="M932" s="133">
        <f t="shared" si="194"/>
        <v>454.286</v>
      </c>
      <c r="N932" s="133">
        <f t="shared" si="195"/>
        <v>3703.2860000000001</v>
      </c>
      <c r="O932" s="134">
        <f t="shared" si="196"/>
        <v>36.775431976166828</v>
      </c>
      <c r="P932" s="134">
        <f t="shared" si="197"/>
        <v>1.000888108108108</v>
      </c>
      <c r="R932" s="149">
        <f t="shared" si="202"/>
        <v>4.956717554320389</v>
      </c>
      <c r="S932" s="140">
        <f t="shared" si="203"/>
        <v>36.834035087719293</v>
      </c>
      <c r="T932" s="151">
        <f t="shared" si="204"/>
        <v>-4.7779672461992995E-2</v>
      </c>
    </row>
    <row r="933" spans="1:20" ht="14.45" x14ac:dyDescent="0.3">
      <c r="A933" s="60" t="s">
        <v>22</v>
      </c>
      <c r="B933" s="60" t="s">
        <v>14</v>
      </c>
      <c r="C933" s="60" t="s">
        <v>24</v>
      </c>
      <c r="D933" s="60" t="s">
        <v>90</v>
      </c>
      <c r="E933" s="137">
        <v>41061</v>
      </c>
      <c r="F933" s="61"/>
      <c r="G933" s="92">
        <v>3497</v>
      </c>
      <c r="H933" s="138">
        <v>615</v>
      </c>
      <c r="I933" s="138" t="s">
        <v>94</v>
      </c>
      <c r="J933" s="141">
        <f t="shared" si="205"/>
        <v>0.53</v>
      </c>
      <c r="K933" s="140">
        <f t="shared" si="200"/>
        <v>34.726911618669313</v>
      </c>
      <c r="L933" s="140">
        <f t="shared" si="201"/>
        <v>0.94513513513513514</v>
      </c>
      <c r="M933" s="133">
        <f t="shared" si="194"/>
        <v>325.95</v>
      </c>
      <c r="N933" s="133">
        <f t="shared" si="195"/>
        <v>3822.95</v>
      </c>
      <c r="O933" s="134">
        <f t="shared" si="196"/>
        <v>37.96375372393247</v>
      </c>
      <c r="P933" s="134">
        <f t="shared" si="197"/>
        <v>1.0332297297297297</v>
      </c>
      <c r="R933" s="149">
        <f t="shared" si="202"/>
        <v>17.963157245124648</v>
      </c>
      <c r="S933" s="140">
        <f t="shared" si="203"/>
        <v>37.902681231380335</v>
      </c>
      <c r="T933" s="151">
        <f t="shared" si="204"/>
        <v>7.0313839821642965E-3</v>
      </c>
    </row>
    <row r="934" spans="1:20" ht="14.45" x14ac:dyDescent="0.3">
      <c r="A934" s="60" t="s">
        <v>22</v>
      </c>
      <c r="B934" s="60" t="s">
        <v>18</v>
      </c>
      <c r="C934" s="60" t="s">
        <v>15</v>
      </c>
      <c r="D934" s="60" t="s">
        <v>90</v>
      </c>
      <c r="E934" s="137">
        <v>41061</v>
      </c>
      <c r="F934" s="61"/>
      <c r="G934" s="92">
        <v>4453</v>
      </c>
      <c r="H934" s="138">
        <v>872</v>
      </c>
      <c r="I934" s="138" t="s">
        <v>94</v>
      </c>
      <c r="J934" s="141">
        <f t="shared" si="205"/>
        <v>0.53</v>
      </c>
      <c r="K934" s="140">
        <f t="shared" si="200"/>
        <v>44.220456802383318</v>
      </c>
      <c r="L934" s="140">
        <f t="shared" si="201"/>
        <v>1.2035135135135135</v>
      </c>
      <c r="M934" s="133">
        <f t="shared" si="194"/>
        <v>462.16</v>
      </c>
      <c r="N934" s="133">
        <f t="shared" si="195"/>
        <v>4915.16</v>
      </c>
      <c r="O934" s="134">
        <f t="shared" si="196"/>
        <v>48.809930486593842</v>
      </c>
      <c r="P934" s="134">
        <f t="shared" si="197"/>
        <v>1.3284216216216216</v>
      </c>
      <c r="R934" s="149">
        <f t="shared" si="202"/>
        <v>14.747959583885862</v>
      </c>
      <c r="S934" s="140">
        <f t="shared" si="203"/>
        <v>48.723336643495522</v>
      </c>
      <c r="T934" s="151">
        <f t="shared" si="204"/>
        <v>7.7612152847190696E-3</v>
      </c>
    </row>
    <row r="935" spans="1:20" ht="14.45" x14ac:dyDescent="0.3">
      <c r="A935" s="60" t="s">
        <v>22</v>
      </c>
      <c r="B935" s="60" t="s">
        <v>18</v>
      </c>
      <c r="C935" s="60" t="s">
        <v>24</v>
      </c>
      <c r="D935" s="60" t="s">
        <v>90</v>
      </c>
      <c r="E935" s="137">
        <v>41061</v>
      </c>
      <c r="F935" s="61"/>
      <c r="G935" s="92">
        <v>3189</v>
      </c>
      <c r="H935" s="138">
        <v>417</v>
      </c>
      <c r="I935" s="138" t="s">
        <v>94</v>
      </c>
      <c r="J935" s="141">
        <f t="shared" si="205"/>
        <v>0.53</v>
      </c>
      <c r="K935" s="140">
        <f t="shared" si="200"/>
        <v>31.668321747765638</v>
      </c>
      <c r="L935" s="140">
        <f t="shared" si="201"/>
        <v>0.86189189189189186</v>
      </c>
      <c r="M935" s="133">
        <f t="shared" si="194"/>
        <v>221.01000000000002</v>
      </c>
      <c r="N935" s="133">
        <f t="shared" si="195"/>
        <v>3410.01</v>
      </c>
      <c r="O935" s="134">
        <f t="shared" si="196"/>
        <v>33.863058589870903</v>
      </c>
      <c r="P935" s="134">
        <f t="shared" si="197"/>
        <v>0.9216243243243244</v>
      </c>
      <c r="R935" s="149">
        <f t="shared" si="202"/>
        <v>20.501865829870237</v>
      </c>
      <c r="S935" s="140">
        <f t="shared" si="203"/>
        <v>34.841178417742469</v>
      </c>
      <c r="T935" s="151">
        <f t="shared" si="204"/>
        <v>3.5638979820550531E-2</v>
      </c>
    </row>
    <row r="936" spans="1:20" ht="14.45" x14ac:dyDescent="0.3">
      <c r="A936" s="60" t="s">
        <v>22</v>
      </c>
      <c r="B936" s="60" t="s">
        <v>13</v>
      </c>
      <c r="C936" s="60" t="s">
        <v>7</v>
      </c>
      <c r="D936" s="60" t="s">
        <v>90</v>
      </c>
      <c r="E936" s="137">
        <v>41061</v>
      </c>
      <c r="F936" s="61"/>
      <c r="G936" s="92">
        <v>3382</v>
      </c>
      <c r="H936" s="138">
        <v>1006</v>
      </c>
      <c r="I936" s="138" t="s">
        <v>92</v>
      </c>
      <c r="J936" s="141">
        <f t="shared" si="205"/>
        <v>0.41</v>
      </c>
      <c r="K936" s="140">
        <f t="shared" si="200"/>
        <v>33.584905660377359</v>
      </c>
      <c r="L936" s="140">
        <f t="shared" si="201"/>
        <v>0.91405405405405404</v>
      </c>
      <c r="M936" s="133">
        <f t="shared" si="194"/>
        <v>412.46</v>
      </c>
      <c r="N936" s="133">
        <f t="shared" si="195"/>
        <v>3794.46</v>
      </c>
      <c r="O936" s="134">
        <f t="shared" si="196"/>
        <v>37.680834160873879</v>
      </c>
      <c r="P936" s="134">
        <f t="shared" si="197"/>
        <v>1.0255297297297297</v>
      </c>
      <c r="R936" s="149">
        <f t="shared" si="202"/>
        <v>6.6338803956834447</v>
      </c>
      <c r="S936" s="140">
        <f t="shared" si="203"/>
        <v>37.580933465739811</v>
      </c>
      <c r="T936" s="151">
        <f t="shared" si="204"/>
        <v>7.6918024522165673E-3</v>
      </c>
    </row>
    <row r="937" spans="1:20" ht="14.45" x14ac:dyDescent="0.3">
      <c r="A937" s="60" t="s">
        <v>1</v>
      </c>
      <c r="B937" s="60" t="s">
        <v>25</v>
      </c>
      <c r="C937" s="60" t="s">
        <v>26</v>
      </c>
      <c r="D937" s="60" t="s">
        <v>91</v>
      </c>
      <c r="E937" s="137">
        <v>41061</v>
      </c>
      <c r="F937" s="61"/>
      <c r="G937" s="92">
        <v>3351</v>
      </c>
      <c r="H937" s="138">
        <v>880</v>
      </c>
      <c r="I937" s="138" t="s">
        <v>93</v>
      </c>
      <c r="J937" s="141">
        <f t="shared" si="205"/>
        <v>0.41</v>
      </c>
      <c r="K937" s="140">
        <f t="shared" si="200"/>
        <v>33.277060575968221</v>
      </c>
      <c r="L937" s="140">
        <f t="shared" si="201"/>
        <v>0.90567567567567564</v>
      </c>
      <c r="M937" s="133">
        <f t="shared" si="194"/>
        <v>360.79999999999995</v>
      </c>
      <c r="N937" s="133">
        <f t="shared" si="195"/>
        <v>3711.8</v>
      </c>
      <c r="O937" s="134">
        <f t="shared" si="196"/>
        <v>36.85998013902681</v>
      </c>
      <c r="P937" s="134">
        <f t="shared" si="197"/>
        <v>1.0031891891891893</v>
      </c>
      <c r="R937" s="149">
        <f t="shared" si="202"/>
        <v>3.3639654692286358</v>
      </c>
      <c r="S937" s="140">
        <f t="shared" si="203"/>
        <v>36.743462429659054</v>
      </c>
      <c r="T937" s="151">
        <f t="shared" si="204"/>
        <v>2.0820688259854059E-2</v>
      </c>
    </row>
    <row r="938" spans="1:20" ht="14.45" x14ac:dyDescent="0.3">
      <c r="A938" s="60" t="s">
        <v>1</v>
      </c>
      <c r="B938" s="60" t="s">
        <v>2</v>
      </c>
      <c r="C938" s="60" t="s">
        <v>9</v>
      </c>
      <c r="D938" s="60" t="s">
        <v>91</v>
      </c>
      <c r="E938" s="137">
        <v>41061</v>
      </c>
      <c r="F938" s="61"/>
      <c r="G938" s="92">
        <v>3634</v>
      </c>
      <c r="H938" s="138">
        <v>685</v>
      </c>
      <c r="I938" s="138" t="s">
        <v>93</v>
      </c>
      <c r="J938" s="141">
        <f t="shared" si="205"/>
        <v>0.41</v>
      </c>
      <c r="K938" s="140">
        <f t="shared" si="200"/>
        <v>36.08738828202582</v>
      </c>
      <c r="L938" s="140">
        <f t="shared" si="201"/>
        <v>0.98216216216216212</v>
      </c>
      <c r="M938" s="133">
        <f t="shared" si="194"/>
        <v>280.84999999999997</v>
      </c>
      <c r="N938" s="133">
        <f t="shared" si="195"/>
        <v>3914.85</v>
      </c>
      <c r="O938" s="134">
        <f t="shared" si="196"/>
        <v>38.87636544190665</v>
      </c>
      <c r="P938" s="134">
        <f t="shared" si="197"/>
        <v>1.0580675675675675</v>
      </c>
      <c r="R938" s="149">
        <f t="shared" si="202"/>
        <v>14.536278525453472</v>
      </c>
      <c r="S938" s="140">
        <f t="shared" si="203"/>
        <v>36.223601456471364</v>
      </c>
      <c r="T938" s="151">
        <f t="shared" si="204"/>
        <v>5.5870746133287019E-2</v>
      </c>
    </row>
    <row r="939" spans="1:20" ht="14.45" x14ac:dyDescent="0.3">
      <c r="A939" s="60" t="s">
        <v>1</v>
      </c>
      <c r="B939" s="60" t="s">
        <v>27</v>
      </c>
      <c r="C939" s="60" t="s">
        <v>28</v>
      </c>
      <c r="D939" s="60" t="s">
        <v>91</v>
      </c>
      <c r="E939" s="137">
        <v>41061</v>
      </c>
      <c r="F939" s="61"/>
      <c r="G939" s="92">
        <v>3645</v>
      </c>
      <c r="H939" s="138">
        <v>812</v>
      </c>
      <c r="I939" s="138" t="s">
        <v>94</v>
      </c>
      <c r="J939" s="141">
        <f t="shared" si="205"/>
        <v>0.53</v>
      </c>
      <c r="K939" s="140">
        <f t="shared" si="200"/>
        <v>36.196623634558094</v>
      </c>
      <c r="L939" s="140">
        <f t="shared" si="201"/>
        <v>0.98513513513513518</v>
      </c>
      <c r="M939" s="133">
        <f t="shared" si="194"/>
        <v>430.36</v>
      </c>
      <c r="N939" s="133">
        <f t="shared" si="195"/>
        <v>4075.36</v>
      </c>
      <c r="O939" s="134">
        <f t="shared" si="196"/>
        <v>40.470307845084406</v>
      </c>
      <c r="P939" s="134">
        <f t="shared" si="197"/>
        <v>1.1014486486486488</v>
      </c>
      <c r="R939" s="149">
        <f t="shared" si="202"/>
        <v>3.9834253579775769</v>
      </c>
      <c r="S939" s="140">
        <f t="shared" si="203"/>
        <v>40.389672293942404</v>
      </c>
      <c r="T939" s="151">
        <f t="shared" si="204"/>
        <v>8.726736418830372E-3</v>
      </c>
    </row>
    <row r="940" spans="1:20" ht="14.45" x14ac:dyDescent="0.3">
      <c r="A940" s="60" t="s">
        <v>1</v>
      </c>
      <c r="B940" s="60" t="s">
        <v>4</v>
      </c>
      <c r="C940" s="60" t="s">
        <v>26</v>
      </c>
      <c r="D940" s="60" t="s">
        <v>91</v>
      </c>
      <c r="E940" s="137">
        <v>41061</v>
      </c>
      <c r="F940" s="61"/>
      <c r="G940" s="92">
        <v>4832</v>
      </c>
      <c r="H940" s="138">
        <v>1520</v>
      </c>
      <c r="I940" s="138" t="s">
        <v>93</v>
      </c>
      <c r="J940" s="141">
        <f t="shared" si="205"/>
        <v>0.41</v>
      </c>
      <c r="K940" s="140">
        <f t="shared" si="200"/>
        <v>47.984111221449851</v>
      </c>
      <c r="L940" s="140">
        <f t="shared" si="201"/>
        <v>1.3059459459459459</v>
      </c>
      <c r="M940" s="133">
        <f t="shared" si="194"/>
        <v>623.19999999999993</v>
      </c>
      <c r="N940" s="133">
        <f t="shared" si="195"/>
        <v>5455.2</v>
      </c>
      <c r="O940" s="134">
        <f t="shared" si="196"/>
        <v>54.172790466732863</v>
      </c>
      <c r="P940" s="134">
        <f t="shared" si="197"/>
        <v>1.4743783783783784</v>
      </c>
      <c r="R940" s="149">
        <f t="shared" si="202"/>
        <v>2.7344632768361521</v>
      </c>
      <c r="S940" s="140">
        <f t="shared" si="203"/>
        <v>53.971532605097643</v>
      </c>
      <c r="T940" s="151">
        <f t="shared" si="204"/>
        <v>2.0504218511378625E-2</v>
      </c>
    </row>
    <row r="941" spans="1:20" ht="14.45" x14ac:dyDescent="0.3">
      <c r="A941" s="60" t="s">
        <v>1</v>
      </c>
      <c r="B941" s="60" t="s">
        <v>4</v>
      </c>
      <c r="C941" s="60" t="s">
        <v>9</v>
      </c>
      <c r="D941" s="60" t="s">
        <v>91</v>
      </c>
      <c r="E941" s="137">
        <v>41061</v>
      </c>
      <c r="F941" s="61"/>
      <c r="G941" s="92">
        <v>5854</v>
      </c>
      <c r="H941" s="138">
        <v>1583</v>
      </c>
      <c r="I941" s="138" t="s">
        <v>93</v>
      </c>
      <c r="J941" s="141">
        <f t="shared" si="205"/>
        <v>0.41</v>
      </c>
      <c r="K941" s="140">
        <f t="shared" si="200"/>
        <v>58.133068520357497</v>
      </c>
      <c r="L941" s="140">
        <f t="shared" si="201"/>
        <v>1.5821621621621622</v>
      </c>
      <c r="M941" s="133">
        <f t="shared" si="194"/>
        <v>649.03</v>
      </c>
      <c r="N941" s="133">
        <f t="shared" si="195"/>
        <v>6503.03</v>
      </c>
      <c r="O941" s="134">
        <f t="shared" si="196"/>
        <v>64.578252234359482</v>
      </c>
      <c r="P941" s="134">
        <f t="shared" si="197"/>
        <v>1.7575756756756755</v>
      </c>
      <c r="R941" s="149">
        <f t="shared" si="202"/>
        <v>3.5316500031840947</v>
      </c>
      <c r="S941" s="140">
        <f t="shared" si="203"/>
        <v>64.368652763985438</v>
      </c>
      <c r="T941" s="151">
        <f t="shared" si="204"/>
        <v>1.6454462865990171E-2</v>
      </c>
    </row>
    <row r="942" spans="1:20" ht="14.45" x14ac:dyDescent="0.3">
      <c r="A942" s="60" t="s">
        <v>1</v>
      </c>
      <c r="B942" s="60" t="s">
        <v>10</v>
      </c>
      <c r="C942" s="60" t="s">
        <v>26</v>
      </c>
      <c r="D942" s="60" t="s">
        <v>91</v>
      </c>
      <c r="E942" s="137">
        <v>41061</v>
      </c>
      <c r="F942" s="61"/>
      <c r="G942" s="92">
        <v>4793</v>
      </c>
      <c r="H942" s="138">
        <v>1599</v>
      </c>
      <c r="I942" s="138" t="s">
        <v>92</v>
      </c>
      <c r="J942" s="141">
        <f t="shared" si="205"/>
        <v>0.41</v>
      </c>
      <c r="K942" s="140">
        <f t="shared" si="200"/>
        <v>47.596822244289967</v>
      </c>
      <c r="L942" s="140">
        <f t="shared" si="201"/>
        <v>1.2954054054054054</v>
      </c>
      <c r="M942" s="133">
        <f t="shared" si="194"/>
        <v>655.58999999999992</v>
      </c>
      <c r="N942" s="133">
        <f t="shared" si="195"/>
        <v>5448.59</v>
      </c>
      <c r="O942" s="134">
        <f t="shared" si="196"/>
        <v>54.107149950347569</v>
      </c>
      <c r="P942" s="134">
        <f t="shared" si="197"/>
        <v>1.4725918918918919</v>
      </c>
      <c r="R942" s="149">
        <f t="shared" si="202"/>
        <v>1.5277829538255183</v>
      </c>
      <c r="S942" s="140">
        <f t="shared" si="203"/>
        <v>53.511420059582917</v>
      </c>
      <c r="T942" s="151">
        <f t="shared" si="204"/>
        <v>1.5190364678021817E-2</v>
      </c>
    </row>
    <row r="943" spans="1:20" ht="14.45" x14ac:dyDescent="0.3">
      <c r="A943" s="60" t="s">
        <v>134</v>
      </c>
      <c r="B943" s="60" t="s">
        <v>23</v>
      </c>
      <c r="C943" s="60" t="s">
        <v>26</v>
      </c>
      <c r="D943" s="60" t="s">
        <v>91</v>
      </c>
      <c r="E943" s="137">
        <v>41061</v>
      </c>
      <c r="F943" s="61"/>
      <c r="G943" s="92">
        <v>4800</v>
      </c>
      <c r="H943" s="138">
        <v>1851</v>
      </c>
      <c r="I943" s="138" t="s">
        <v>93</v>
      </c>
      <c r="J943" s="141">
        <f t="shared" si="205"/>
        <v>0.41</v>
      </c>
      <c r="K943" s="140">
        <f t="shared" si="200"/>
        <v>47.666335650446868</v>
      </c>
      <c r="L943" s="140">
        <f t="shared" si="201"/>
        <v>1.2108108108108109</v>
      </c>
      <c r="M943" s="133">
        <f t="shared" si="194"/>
        <v>758.91</v>
      </c>
      <c r="N943" s="133">
        <f t="shared" si="195"/>
        <v>5558.91</v>
      </c>
      <c r="O943" s="134">
        <f t="shared" si="196"/>
        <v>55.202681231380332</v>
      </c>
      <c r="P943" s="134">
        <f t="shared" si="197"/>
        <v>1.4022475675675676</v>
      </c>
      <c r="R943" s="149">
        <f t="shared" si="202"/>
        <v>2.5553464688952809</v>
      </c>
      <c r="S943" s="140">
        <f t="shared" si="203"/>
        <v>54.957596822244284</v>
      </c>
      <c r="T943" s="151">
        <f t="shared" si="204"/>
        <v>1.4706583400867501E-2</v>
      </c>
    </row>
    <row r="944" spans="1:20" ht="14.45" x14ac:dyDescent="0.3">
      <c r="A944" s="60" t="s">
        <v>134</v>
      </c>
      <c r="B944" s="60" t="s">
        <v>8</v>
      </c>
      <c r="C944" s="60" t="s">
        <v>29</v>
      </c>
      <c r="D944" s="60" t="s">
        <v>91</v>
      </c>
      <c r="E944" s="137">
        <v>41061</v>
      </c>
      <c r="F944" s="61"/>
      <c r="G944" s="92">
        <v>4760</v>
      </c>
      <c r="H944" s="138">
        <v>1695</v>
      </c>
      <c r="I944" s="138" t="s">
        <v>93</v>
      </c>
      <c r="J944" s="141">
        <f t="shared" si="205"/>
        <v>0.41</v>
      </c>
      <c r="K944" s="140">
        <f t="shared" si="200"/>
        <v>47.269116186693147</v>
      </c>
      <c r="L944" s="140">
        <f t="shared" si="201"/>
        <v>1.2007207207207207</v>
      </c>
      <c r="M944" s="133">
        <f t="shared" ref="M944:M955" si="206">H944*J944</f>
        <v>694.94999999999993</v>
      </c>
      <c r="N944" s="133">
        <f t="shared" ref="N944:N955" si="207">G944+M944</f>
        <v>5454.95</v>
      </c>
      <c r="O944" s="134">
        <f t="shared" ref="O944:O955" si="208">N944/100.7</f>
        <v>54.170307845084409</v>
      </c>
      <c r="P944" s="134">
        <f t="shared" ref="P944:P955" si="209">IF(A944="corn",N944/(111*2000/56),N944/(111*2000/60))</f>
        <v>1.3760234234234234</v>
      </c>
      <c r="R944" s="149">
        <f t="shared" si="202"/>
        <v>2.5752162467092887</v>
      </c>
      <c r="S944" s="140">
        <f t="shared" si="203"/>
        <v>53.945878848063558</v>
      </c>
      <c r="T944" s="151">
        <f t="shared" si="204"/>
        <v>1.3706171042564774E-2</v>
      </c>
    </row>
    <row r="945" spans="1:20" ht="14.45" x14ac:dyDescent="0.3">
      <c r="A945" s="60" t="s">
        <v>134</v>
      </c>
      <c r="B945" s="60" t="s">
        <v>13</v>
      </c>
      <c r="C945" s="60" t="s">
        <v>7</v>
      </c>
      <c r="D945" s="60" t="s">
        <v>91</v>
      </c>
      <c r="E945" s="137">
        <v>41061</v>
      </c>
      <c r="F945" s="61"/>
      <c r="G945" s="92">
        <v>2857</v>
      </c>
      <c r="H945" s="138">
        <v>1006</v>
      </c>
      <c r="I945" s="138" t="s">
        <v>92</v>
      </c>
      <c r="J945" s="141">
        <f t="shared" si="205"/>
        <v>0.41</v>
      </c>
      <c r="K945" s="140">
        <f t="shared" ref="K945:K993" si="210">G945/100.7</f>
        <v>28.371400198609731</v>
      </c>
      <c r="L945" s="140">
        <f t="shared" ref="L945:L993" si="211">IF(A945="corn",G945/(111*2000/56),G945/(111*2000/60))</f>
        <v>0.72068468468468472</v>
      </c>
      <c r="M945" s="133">
        <f t="shared" si="206"/>
        <v>412.46</v>
      </c>
      <c r="N945" s="133">
        <f t="shared" si="207"/>
        <v>3269.46</v>
      </c>
      <c r="O945" s="134">
        <f t="shared" si="208"/>
        <v>32.467328699106254</v>
      </c>
      <c r="P945" s="134">
        <f t="shared" si="209"/>
        <v>0.8247286486486487</v>
      </c>
      <c r="R945" s="149">
        <f t="shared" si="202"/>
        <v>6.1719815548483492</v>
      </c>
      <c r="S945" s="140">
        <f t="shared" si="203"/>
        <v>32.367428003972186</v>
      </c>
      <c r="T945" s="151">
        <f t="shared" si="204"/>
        <v>9.3584129717139142E-3</v>
      </c>
    </row>
    <row r="946" spans="1:20" ht="14.45" x14ac:dyDescent="0.3">
      <c r="A946" s="60" t="s">
        <v>134</v>
      </c>
      <c r="B946" s="60" t="s">
        <v>30</v>
      </c>
      <c r="C946" s="60" t="s">
        <v>9</v>
      </c>
      <c r="D946" s="60" t="s">
        <v>91</v>
      </c>
      <c r="E946" s="137">
        <v>41061</v>
      </c>
      <c r="F946" s="61"/>
      <c r="G946" s="92">
        <v>3310</v>
      </c>
      <c r="H946" s="138">
        <v>988</v>
      </c>
      <c r="I946" s="138" t="s">
        <v>93</v>
      </c>
      <c r="J946" s="141">
        <f t="shared" si="205"/>
        <v>0.41</v>
      </c>
      <c r="K946" s="140">
        <f t="shared" si="210"/>
        <v>32.869910625620655</v>
      </c>
      <c r="L946" s="140">
        <f t="shared" si="211"/>
        <v>0.83495495495495498</v>
      </c>
      <c r="M946" s="133">
        <f t="shared" si="206"/>
        <v>405.08</v>
      </c>
      <c r="N946" s="133">
        <f t="shared" si="207"/>
        <v>3715.08</v>
      </c>
      <c r="O946" s="134">
        <f t="shared" si="208"/>
        <v>36.892552135054615</v>
      </c>
      <c r="P946" s="134">
        <f t="shared" si="209"/>
        <v>0.93713729729729733</v>
      </c>
      <c r="R946" s="149">
        <f t="shared" si="202"/>
        <v>3.6226709806984392</v>
      </c>
      <c r="S946" s="140">
        <f t="shared" si="203"/>
        <v>36.761734524991716</v>
      </c>
      <c r="T946" s="151">
        <f t="shared" si="204"/>
        <v>1.170053055037279E-2</v>
      </c>
    </row>
    <row r="947" spans="1:20" ht="14.45" x14ac:dyDescent="0.3">
      <c r="A947" s="60" t="s">
        <v>134</v>
      </c>
      <c r="B947" s="60" t="s">
        <v>16</v>
      </c>
      <c r="C947" s="60" t="s">
        <v>11</v>
      </c>
      <c r="D947" s="60" t="s">
        <v>91</v>
      </c>
      <c r="E947" s="137">
        <v>41061</v>
      </c>
      <c r="F947" s="61"/>
      <c r="G947" s="92">
        <v>3430</v>
      </c>
      <c r="H947" s="138">
        <v>787</v>
      </c>
      <c r="I947" s="138" t="s">
        <v>92</v>
      </c>
      <c r="J947" s="141">
        <f t="shared" si="205"/>
        <v>0.41</v>
      </c>
      <c r="K947" s="140">
        <f t="shared" si="210"/>
        <v>34.061569016881826</v>
      </c>
      <c r="L947" s="140">
        <f t="shared" si="211"/>
        <v>0.86522522522522527</v>
      </c>
      <c r="M947" s="133">
        <f t="shared" si="206"/>
        <v>322.66999999999996</v>
      </c>
      <c r="N947" s="133">
        <f t="shared" si="207"/>
        <v>3752.67</v>
      </c>
      <c r="O947" s="134">
        <f t="shared" si="208"/>
        <v>37.265839126117179</v>
      </c>
      <c r="P947" s="134">
        <f t="shared" si="209"/>
        <v>0.94661945945945947</v>
      </c>
      <c r="R947" s="149">
        <f t="shared" si="202"/>
        <v>2.9595588235294068</v>
      </c>
      <c r="S947" s="140">
        <f t="shared" si="203"/>
        <v>37.187686196623638</v>
      </c>
      <c r="T947" s="151">
        <f t="shared" si="204"/>
        <v>7.7656368997376379E-3</v>
      </c>
    </row>
    <row r="948" spans="1:20" ht="14.45" x14ac:dyDescent="0.3">
      <c r="A948" s="60" t="s">
        <v>134</v>
      </c>
      <c r="B948" s="60" t="s">
        <v>23</v>
      </c>
      <c r="C948" s="60" t="s">
        <v>29</v>
      </c>
      <c r="D948" s="60" t="s">
        <v>91</v>
      </c>
      <c r="E948" s="137">
        <v>41061</v>
      </c>
      <c r="F948" s="61"/>
      <c r="G948" s="92">
        <v>4800</v>
      </c>
      <c r="H948" s="138">
        <v>1836</v>
      </c>
      <c r="I948" s="138" t="s">
        <v>93</v>
      </c>
      <c r="J948" s="141">
        <f t="shared" si="205"/>
        <v>0.41</v>
      </c>
      <c r="K948" s="140">
        <f t="shared" si="210"/>
        <v>47.666335650446868</v>
      </c>
      <c r="L948" s="140">
        <f t="shared" si="211"/>
        <v>1.2108108108108109</v>
      </c>
      <c r="M948" s="133">
        <f t="shared" si="206"/>
        <v>752.76</v>
      </c>
      <c r="N948" s="133">
        <f t="shared" si="207"/>
        <v>5552.76</v>
      </c>
      <c r="O948" s="134">
        <f t="shared" si="208"/>
        <v>55.141608738828204</v>
      </c>
      <c r="P948" s="134">
        <f t="shared" si="209"/>
        <v>1.4006962162162162</v>
      </c>
      <c r="R948" s="149">
        <f t="shared" si="202"/>
        <v>2.5554078014184523</v>
      </c>
      <c r="S948" s="140">
        <f t="shared" si="203"/>
        <v>54.898510427010926</v>
      </c>
      <c r="T948" s="151">
        <f t="shared" si="204"/>
        <v>1.4601594502929194E-2</v>
      </c>
    </row>
    <row r="949" spans="1:20" ht="14.45" x14ac:dyDescent="0.3">
      <c r="A949" s="60" t="s">
        <v>134</v>
      </c>
      <c r="B949" s="60" t="s">
        <v>31</v>
      </c>
      <c r="C949" s="60" t="s">
        <v>32</v>
      </c>
      <c r="D949" s="60" t="s">
        <v>91</v>
      </c>
      <c r="E949" s="137">
        <v>41061</v>
      </c>
      <c r="F949" s="61"/>
      <c r="G949" s="92">
        <v>4200</v>
      </c>
      <c r="H949" s="138">
        <v>1899</v>
      </c>
      <c r="I949" s="138" t="s">
        <v>93</v>
      </c>
      <c r="J949" s="141">
        <f t="shared" si="205"/>
        <v>0.41</v>
      </c>
      <c r="K949" s="140">
        <f t="shared" si="210"/>
        <v>41.708043694141011</v>
      </c>
      <c r="L949" s="140">
        <f t="shared" si="211"/>
        <v>1.0594594594594595</v>
      </c>
      <c r="M949" s="133">
        <f t="shared" si="206"/>
        <v>778.58999999999992</v>
      </c>
      <c r="N949" s="133">
        <f t="shared" si="207"/>
        <v>4978.59</v>
      </c>
      <c r="O949" s="134">
        <f t="shared" si="208"/>
        <v>49.439821251241312</v>
      </c>
      <c r="P949" s="134">
        <f t="shared" si="209"/>
        <v>1.2558605405405405</v>
      </c>
      <c r="R949" s="149">
        <f t="shared" si="202"/>
        <v>2.8719315645921117</v>
      </c>
      <c r="S949" s="140">
        <f t="shared" si="203"/>
        <v>49.18838133068521</v>
      </c>
      <c r="T949" s="151">
        <f t="shared" si="204"/>
        <v>1.6893930995405704E-2</v>
      </c>
    </row>
    <row r="950" spans="1:20" ht="14.45" x14ac:dyDescent="0.3">
      <c r="A950" s="60" t="s">
        <v>22</v>
      </c>
      <c r="B950" s="60" t="s">
        <v>8</v>
      </c>
      <c r="C950" s="60" t="s">
        <v>29</v>
      </c>
      <c r="D950" s="60" t="s">
        <v>91</v>
      </c>
      <c r="E950" s="137">
        <v>41061</v>
      </c>
      <c r="F950" s="61"/>
      <c r="G950" s="92">
        <v>5040</v>
      </c>
      <c r="H950" s="138">
        <v>1695</v>
      </c>
      <c r="I950" s="138" t="s">
        <v>93</v>
      </c>
      <c r="J950" s="141">
        <f t="shared" si="205"/>
        <v>0.41</v>
      </c>
      <c r="K950" s="140">
        <f t="shared" si="210"/>
        <v>50.049652432969211</v>
      </c>
      <c r="L950" s="140">
        <f t="shared" si="211"/>
        <v>1.3621621621621622</v>
      </c>
      <c r="M950" s="133">
        <f t="shared" si="206"/>
        <v>694.94999999999993</v>
      </c>
      <c r="N950" s="133">
        <f t="shared" si="207"/>
        <v>5734.95</v>
      </c>
      <c r="O950" s="134">
        <f t="shared" si="208"/>
        <v>56.950844091360473</v>
      </c>
      <c r="P950" s="134">
        <f t="shared" si="209"/>
        <v>1.5499864864864865</v>
      </c>
      <c r="R950" s="149">
        <f t="shared" si="202"/>
        <v>3.9316781442551685</v>
      </c>
      <c r="S950" s="140">
        <f t="shared" si="203"/>
        <v>56.726415094339615</v>
      </c>
      <c r="T950" s="151">
        <f t="shared" si="204"/>
        <v>1.3025590097359263E-2</v>
      </c>
    </row>
    <row r="951" spans="1:20" ht="14.45" x14ac:dyDescent="0.3">
      <c r="A951" s="60" t="s">
        <v>22</v>
      </c>
      <c r="B951" s="60" t="s">
        <v>23</v>
      </c>
      <c r="C951" s="60" t="s">
        <v>26</v>
      </c>
      <c r="D951" s="60" t="s">
        <v>91</v>
      </c>
      <c r="E951" s="137">
        <v>41061</v>
      </c>
      <c r="F951" s="61"/>
      <c r="G951" s="92">
        <v>5030</v>
      </c>
      <c r="H951" s="138">
        <v>1851</v>
      </c>
      <c r="I951" s="138" t="s">
        <v>93</v>
      </c>
      <c r="J951" s="141">
        <f t="shared" si="205"/>
        <v>0.41</v>
      </c>
      <c r="K951" s="140">
        <f t="shared" si="210"/>
        <v>49.950347567030782</v>
      </c>
      <c r="L951" s="140">
        <f t="shared" si="211"/>
        <v>1.3594594594594596</v>
      </c>
      <c r="M951" s="133">
        <f t="shared" si="206"/>
        <v>758.91</v>
      </c>
      <c r="N951" s="133">
        <f t="shared" si="207"/>
        <v>5788.91</v>
      </c>
      <c r="O951" s="134">
        <f t="shared" si="208"/>
        <v>57.486693147964246</v>
      </c>
      <c r="P951" s="134">
        <f t="shared" si="209"/>
        <v>1.5645702702702702</v>
      </c>
      <c r="R951" s="149">
        <f t="shared" si="202"/>
        <v>3.9226985494758004</v>
      </c>
      <c r="S951" s="140">
        <f t="shared" si="203"/>
        <v>57.241608738828198</v>
      </c>
      <c r="T951" s="151">
        <f t="shared" si="204"/>
        <v>1.411149151480795E-2</v>
      </c>
    </row>
    <row r="952" spans="1:20" ht="14.45" x14ac:dyDescent="0.3">
      <c r="A952" s="60" t="s">
        <v>22</v>
      </c>
      <c r="B952" s="60" t="s">
        <v>33</v>
      </c>
      <c r="C952" s="60" t="s">
        <v>29</v>
      </c>
      <c r="D952" s="60" t="s">
        <v>91</v>
      </c>
      <c r="E952" s="137">
        <v>41061</v>
      </c>
      <c r="F952" s="61"/>
      <c r="G952" s="92">
        <v>4930</v>
      </c>
      <c r="H952" s="138">
        <v>1507</v>
      </c>
      <c r="I952" s="138" t="s">
        <v>93</v>
      </c>
      <c r="J952" s="141">
        <f t="shared" si="205"/>
        <v>0.41</v>
      </c>
      <c r="K952" s="140">
        <f t="shared" si="210"/>
        <v>48.957298907646475</v>
      </c>
      <c r="L952" s="140">
        <f t="shared" si="211"/>
        <v>1.3324324324324324</v>
      </c>
      <c r="M952" s="133">
        <f t="shared" si="206"/>
        <v>617.87</v>
      </c>
      <c r="N952" s="133">
        <f t="shared" si="207"/>
        <v>5547.87</v>
      </c>
      <c r="O952" s="134">
        <f t="shared" si="208"/>
        <v>55.093048659384309</v>
      </c>
      <c r="P952" s="134">
        <f t="shared" si="209"/>
        <v>1.4994243243243244</v>
      </c>
      <c r="R952" s="149">
        <f t="shared" si="202"/>
        <v>4.0329657965796573</v>
      </c>
      <c r="S952" s="140">
        <f t="shared" si="203"/>
        <v>54.893512082092023</v>
      </c>
      <c r="T952" s="151">
        <f t="shared" si="204"/>
        <v>1.1954901991893863E-2</v>
      </c>
    </row>
    <row r="953" spans="1:20" ht="14.45" x14ac:dyDescent="0.3">
      <c r="A953" s="60" t="s">
        <v>22</v>
      </c>
      <c r="B953" s="60" t="s">
        <v>31</v>
      </c>
      <c r="C953" s="60" t="s">
        <v>7</v>
      </c>
      <c r="D953" s="60" t="s">
        <v>91</v>
      </c>
      <c r="E953" s="137">
        <v>41061</v>
      </c>
      <c r="F953" s="61"/>
      <c r="G953" s="92">
        <v>3710</v>
      </c>
      <c r="H953" s="138">
        <v>1160</v>
      </c>
      <c r="I953" s="138" t="s">
        <v>92</v>
      </c>
      <c r="J953" s="141">
        <f t="shared" si="205"/>
        <v>0.41</v>
      </c>
      <c r="K953" s="140">
        <f t="shared" si="210"/>
        <v>36.84210526315789</v>
      </c>
      <c r="L953" s="140">
        <f t="shared" si="211"/>
        <v>1.0027027027027027</v>
      </c>
      <c r="M953" s="133">
        <f t="shared" si="206"/>
        <v>475.59999999999997</v>
      </c>
      <c r="N953" s="133">
        <f t="shared" si="207"/>
        <v>4185.6000000000004</v>
      </c>
      <c r="O953" s="134">
        <f t="shared" si="208"/>
        <v>41.565044687189676</v>
      </c>
      <c r="P953" s="134">
        <f t="shared" si="209"/>
        <v>1.1312432432432433</v>
      </c>
      <c r="R953" s="149">
        <f t="shared" si="202"/>
        <v>5.324609964771021</v>
      </c>
      <c r="S953" s="140">
        <f t="shared" si="203"/>
        <v>41.449851042701091</v>
      </c>
      <c r="T953" s="151">
        <f t="shared" si="204"/>
        <v>1.0294971922803819E-2</v>
      </c>
    </row>
    <row r="954" spans="1:20" ht="14.45" x14ac:dyDescent="0.3">
      <c r="A954" s="60" t="s">
        <v>22</v>
      </c>
      <c r="B954" s="60" t="s">
        <v>14</v>
      </c>
      <c r="C954" s="60" t="s">
        <v>24</v>
      </c>
      <c r="D954" s="60" t="s">
        <v>91</v>
      </c>
      <c r="E954" s="137">
        <v>41061</v>
      </c>
      <c r="F954" s="61"/>
      <c r="G954" s="92">
        <v>2672</v>
      </c>
      <c r="H954" s="138">
        <v>615</v>
      </c>
      <c r="I954" s="138" t="s">
        <v>94</v>
      </c>
      <c r="J954" s="141">
        <f t="shared" si="205"/>
        <v>0.53</v>
      </c>
      <c r="K954" s="140">
        <f t="shared" si="210"/>
        <v>26.53426017874876</v>
      </c>
      <c r="L954" s="140">
        <f t="shared" si="211"/>
        <v>0.72216216216216211</v>
      </c>
      <c r="M954" s="133">
        <f t="shared" si="206"/>
        <v>325.95</v>
      </c>
      <c r="N954" s="133">
        <f t="shared" si="207"/>
        <v>2997.95</v>
      </c>
      <c r="O954" s="134">
        <f t="shared" si="208"/>
        <v>29.771102284011913</v>
      </c>
      <c r="P954" s="134">
        <f t="shared" si="209"/>
        <v>0.81025675675675668</v>
      </c>
      <c r="R954" s="149">
        <f t="shared" si="202"/>
        <v>4.9775894670494925</v>
      </c>
      <c r="S954" s="140">
        <f t="shared" si="203"/>
        <v>29.710029791459778</v>
      </c>
      <c r="T954" s="151">
        <f>(S954/S840)-1</f>
        <v>8.9877409237304473E-3</v>
      </c>
    </row>
    <row r="955" spans="1:20" ht="14.45" x14ac:dyDescent="0.3">
      <c r="A955" s="85" t="s">
        <v>22</v>
      </c>
      <c r="B955" s="85" t="s">
        <v>34</v>
      </c>
      <c r="C955" s="85" t="s">
        <v>26</v>
      </c>
      <c r="D955" s="85" t="s">
        <v>91</v>
      </c>
      <c r="E955" s="142">
        <v>41061</v>
      </c>
      <c r="F955" s="86"/>
      <c r="G955" s="115">
        <v>5115</v>
      </c>
      <c r="H955" s="143">
        <v>1637</v>
      </c>
      <c r="I955" s="143" t="s">
        <v>92</v>
      </c>
      <c r="J955" s="117">
        <f t="shared" si="205"/>
        <v>0.41</v>
      </c>
      <c r="K955" s="108">
        <f t="shared" si="210"/>
        <v>50.79443892750745</v>
      </c>
      <c r="L955" s="108">
        <f t="shared" si="211"/>
        <v>1.3824324324324324</v>
      </c>
      <c r="M955" s="115">
        <f t="shared" si="206"/>
        <v>671.17</v>
      </c>
      <c r="N955" s="115">
        <f t="shared" si="207"/>
        <v>5786.17</v>
      </c>
      <c r="O955" s="116">
        <f t="shared" si="208"/>
        <v>57.45948361469712</v>
      </c>
      <c r="P955" s="116">
        <f t="shared" si="209"/>
        <v>1.5638297297297297</v>
      </c>
      <c r="Q955" s="106"/>
      <c r="R955" s="152">
        <f>((N955/N499)-1)*100</f>
        <v>11.814369637473909</v>
      </c>
      <c r="S955" s="108">
        <f>AVERAGE(O879,O917,O955)</f>
        <v>57.296921549155911</v>
      </c>
      <c r="T955" s="153">
        <f>(S955/S841)-1</f>
        <v>4.6876408055240404E-2</v>
      </c>
    </row>
    <row r="956" spans="1:20" ht="14.65" x14ac:dyDescent="0.35">
      <c r="A956" s="82" t="s">
        <v>1</v>
      </c>
      <c r="B956" s="82" t="s">
        <v>2</v>
      </c>
      <c r="C956" s="82" t="s">
        <v>3</v>
      </c>
      <c r="D956" s="82" t="s">
        <v>90</v>
      </c>
      <c r="E956" s="88">
        <v>41092</v>
      </c>
      <c r="G956" s="92">
        <v>3144</v>
      </c>
      <c r="H956" s="52">
        <v>506</v>
      </c>
      <c r="I956" s="52" t="s">
        <v>92</v>
      </c>
      <c r="J956" s="157">
        <f>IF(I956="BNSF",0.37,IF(I956="CN",0.322,IF(I956="CSX",0.5,0.38)))</f>
        <v>0.38</v>
      </c>
      <c r="K956" s="103">
        <f t="shared" si="210"/>
        <v>31.221449851042699</v>
      </c>
      <c r="L956" s="103">
        <f t="shared" si="211"/>
        <v>0.84972972972972971</v>
      </c>
      <c r="M956" s="133">
        <f t="shared" ref="M956:M993" si="212">H956*J956</f>
        <v>192.28</v>
      </c>
      <c r="N956" s="133">
        <f t="shared" ref="N956:N993" si="213">G956+M956</f>
        <v>3336.28</v>
      </c>
      <c r="O956" s="134">
        <f t="shared" ref="O956:O993" si="214">N956/100.7</f>
        <v>33.130883813306852</v>
      </c>
      <c r="P956" s="134">
        <f t="shared" ref="P956:P993" si="215">IF(A956="corn",N956/(111*2000/56),N956/(111*2000/60))</f>
        <v>0.90169729729729731</v>
      </c>
      <c r="Q956" s="160"/>
      <c r="R956" s="149">
        <f t="shared" si="202"/>
        <v>4.6072228109891089</v>
      </c>
    </row>
    <row r="957" spans="1:20" ht="14.65" x14ac:dyDescent="0.35">
      <c r="A957" s="82" t="s">
        <v>1</v>
      </c>
      <c r="B957" s="82" t="s">
        <v>4</v>
      </c>
      <c r="C957" s="82" t="s">
        <v>5</v>
      </c>
      <c r="D957" s="82" t="s">
        <v>90</v>
      </c>
      <c r="E957" s="88">
        <v>41092</v>
      </c>
      <c r="G957" s="92">
        <v>3260</v>
      </c>
      <c r="H957" s="52">
        <v>298</v>
      </c>
      <c r="I957" s="52" t="s">
        <v>93</v>
      </c>
      <c r="J957" s="157">
        <f t="shared" ref="J957:J993" si="216">IF(I957="BNSF",0.37,IF(I957="CN",0.322,IF(I957="CSX",0.5,0.38)))</f>
        <v>0.37</v>
      </c>
      <c r="K957" s="103">
        <f t="shared" si="210"/>
        <v>32.373386295928498</v>
      </c>
      <c r="L957" s="103">
        <f t="shared" si="211"/>
        <v>0.88108108108108107</v>
      </c>
      <c r="M957" s="133">
        <f t="shared" si="212"/>
        <v>110.26</v>
      </c>
      <c r="N957" s="133">
        <f t="shared" si="213"/>
        <v>3370.26</v>
      </c>
      <c r="O957" s="134">
        <f t="shared" si="214"/>
        <v>33.468321747765643</v>
      </c>
      <c r="P957" s="134">
        <f t="shared" si="215"/>
        <v>0.91088108108108112</v>
      </c>
      <c r="Q957" s="160"/>
      <c r="R957" s="149">
        <f t="shared" si="202"/>
        <v>14.704140602133275</v>
      </c>
    </row>
    <row r="958" spans="1:20" ht="14.65" x14ac:dyDescent="0.35">
      <c r="A958" s="82" t="s">
        <v>1</v>
      </c>
      <c r="B958" s="82" t="s">
        <v>2</v>
      </c>
      <c r="C958" s="82" t="s">
        <v>6</v>
      </c>
      <c r="D958" s="82" t="s">
        <v>90</v>
      </c>
      <c r="E958" s="88">
        <v>41092</v>
      </c>
      <c r="G958" s="92">
        <v>6026</v>
      </c>
      <c r="H958" s="52">
        <v>1530</v>
      </c>
      <c r="I958" s="52" t="s">
        <v>93</v>
      </c>
      <c r="J958" s="157">
        <f t="shared" si="216"/>
        <v>0.37</v>
      </c>
      <c r="K958" s="103">
        <f t="shared" si="210"/>
        <v>59.841112214498509</v>
      </c>
      <c r="L958" s="103">
        <f t="shared" si="211"/>
        <v>1.6286486486486487</v>
      </c>
      <c r="M958" s="133">
        <f t="shared" si="212"/>
        <v>566.1</v>
      </c>
      <c r="N958" s="133">
        <f t="shared" si="213"/>
        <v>6592.1</v>
      </c>
      <c r="O958" s="134">
        <f t="shared" si="214"/>
        <v>65.462760675273088</v>
      </c>
      <c r="P958" s="134">
        <f t="shared" si="215"/>
        <v>1.7816486486486487</v>
      </c>
      <c r="R958" s="149">
        <f t="shared" si="202"/>
        <v>4.5253460605388041</v>
      </c>
    </row>
    <row r="959" spans="1:20" ht="14.65" x14ac:dyDescent="0.35">
      <c r="A959" s="82" t="s">
        <v>1</v>
      </c>
      <c r="B959" s="82" t="s">
        <v>2</v>
      </c>
      <c r="C959" s="82" t="s">
        <v>7</v>
      </c>
      <c r="D959" s="82" t="s">
        <v>90</v>
      </c>
      <c r="E959" s="88">
        <v>41092</v>
      </c>
      <c r="G959" s="92">
        <v>3645</v>
      </c>
      <c r="H959" s="52">
        <v>890</v>
      </c>
      <c r="I959" s="52" t="s">
        <v>92</v>
      </c>
      <c r="J959" s="157">
        <f t="shared" si="216"/>
        <v>0.38</v>
      </c>
      <c r="K959" s="103">
        <f t="shared" si="210"/>
        <v>36.196623634558094</v>
      </c>
      <c r="L959" s="103">
        <f t="shared" si="211"/>
        <v>0.98513513513513518</v>
      </c>
      <c r="M959" s="133">
        <f t="shared" si="212"/>
        <v>338.2</v>
      </c>
      <c r="N959" s="133">
        <f t="shared" si="213"/>
        <v>3983.2</v>
      </c>
      <c r="O959" s="134">
        <f t="shared" si="214"/>
        <v>39.555114200595824</v>
      </c>
      <c r="P959" s="134">
        <f t="shared" si="215"/>
        <v>1.0765405405405404</v>
      </c>
      <c r="R959" s="149">
        <f t="shared" si="202"/>
        <v>3.7534838894532463</v>
      </c>
    </row>
    <row r="960" spans="1:20" ht="14.65" x14ac:dyDescent="0.35">
      <c r="A960" s="82" t="s">
        <v>1</v>
      </c>
      <c r="B960" s="82" t="s">
        <v>8</v>
      </c>
      <c r="C960" s="82" t="s">
        <v>9</v>
      </c>
      <c r="D960" s="82" t="s">
        <v>90</v>
      </c>
      <c r="E960" s="88">
        <v>41092</v>
      </c>
      <c r="G960" s="92">
        <v>5573</v>
      </c>
      <c r="H960" s="52">
        <v>1256</v>
      </c>
      <c r="I960" s="52" t="s">
        <v>93</v>
      </c>
      <c r="J960" s="157">
        <f t="shared" si="216"/>
        <v>0.37</v>
      </c>
      <c r="K960" s="103">
        <f t="shared" si="210"/>
        <v>55.342601787487588</v>
      </c>
      <c r="L960" s="103">
        <f t="shared" si="211"/>
        <v>1.5062162162162163</v>
      </c>
      <c r="M960" s="133">
        <f t="shared" si="212"/>
        <v>464.71999999999997</v>
      </c>
      <c r="N960" s="133">
        <f t="shared" si="213"/>
        <v>6037.72</v>
      </c>
      <c r="O960" s="134">
        <f t="shared" si="214"/>
        <v>59.95749751737835</v>
      </c>
      <c r="P960" s="134">
        <f t="shared" si="215"/>
        <v>1.6318162162162162</v>
      </c>
      <c r="R960" s="149">
        <f t="shared" si="202"/>
        <v>2.3370125291533261</v>
      </c>
    </row>
    <row r="961" spans="1:18" ht="14.65" x14ac:dyDescent="0.35">
      <c r="A961" s="82" t="s">
        <v>1</v>
      </c>
      <c r="B961" s="82" t="s">
        <v>10</v>
      </c>
      <c r="C961" s="82" t="s">
        <v>9</v>
      </c>
      <c r="D961" s="82" t="s">
        <v>90</v>
      </c>
      <c r="E961" s="88">
        <v>41092</v>
      </c>
      <c r="G961" s="92">
        <v>3912</v>
      </c>
      <c r="H961" s="52">
        <v>975</v>
      </c>
      <c r="I961" s="52" t="s">
        <v>92</v>
      </c>
      <c r="J961" s="157">
        <f t="shared" si="216"/>
        <v>0.38</v>
      </c>
      <c r="K961" s="103">
        <f t="shared" si="210"/>
        <v>38.848063555114202</v>
      </c>
      <c r="L961" s="103">
        <f t="shared" si="211"/>
        <v>1.0572972972972974</v>
      </c>
      <c r="M961" s="133">
        <f t="shared" si="212"/>
        <v>370.5</v>
      </c>
      <c r="N961" s="133">
        <f t="shared" si="213"/>
        <v>4282.5</v>
      </c>
      <c r="O961" s="134">
        <f t="shared" si="214"/>
        <v>42.527308838133067</v>
      </c>
      <c r="P961" s="134">
        <f t="shared" si="215"/>
        <v>1.1574324324324323</v>
      </c>
      <c r="R961" s="149">
        <f t="shared" si="202"/>
        <v>3.4357828633536647</v>
      </c>
    </row>
    <row r="962" spans="1:18" ht="14.65" x14ac:dyDescent="0.35">
      <c r="A962" s="82" t="s">
        <v>1</v>
      </c>
      <c r="B962" s="82" t="s">
        <v>11</v>
      </c>
      <c r="C962" s="82" t="s">
        <v>6</v>
      </c>
      <c r="D962" s="82" t="s">
        <v>90</v>
      </c>
      <c r="E962" s="88">
        <v>41092</v>
      </c>
      <c r="G962" s="92">
        <v>4112</v>
      </c>
      <c r="H962" s="52">
        <v>1357</v>
      </c>
      <c r="I962" s="52" t="s">
        <v>92</v>
      </c>
      <c r="J962" s="157">
        <f t="shared" si="216"/>
        <v>0.38</v>
      </c>
      <c r="K962" s="103">
        <f t="shared" si="210"/>
        <v>40.834160873882816</v>
      </c>
      <c r="L962" s="103">
        <f t="shared" si="211"/>
        <v>1.1113513513513513</v>
      </c>
      <c r="M962" s="133">
        <f t="shared" si="212"/>
        <v>515.66</v>
      </c>
      <c r="N962" s="133">
        <f t="shared" si="213"/>
        <v>4627.66</v>
      </c>
      <c r="O962" s="134">
        <f t="shared" si="214"/>
        <v>45.954915590863948</v>
      </c>
      <c r="P962" s="134">
        <f t="shared" si="215"/>
        <v>1.250718918918919</v>
      </c>
      <c r="R962" s="149">
        <f t="shared" si="202"/>
        <v>3.1065698504755934</v>
      </c>
    </row>
    <row r="963" spans="1:18" ht="14.65" x14ac:dyDescent="0.35">
      <c r="A963" s="82" t="s">
        <v>134</v>
      </c>
      <c r="B963" s="82" t="s">
        <v>13</v>
      </c>
      <c r="C963" s="82" t="s">
        <v>7</v>
      </c>
      <c r="D963" s="82" t="s">
        <v>90</v>
      </c>
      <c r="E963" s="88">
        <v>41092</v>
      </c>
      <c r="G963" s="92">
        <v>2038</v>
      </c>
      <c r="H963" s="52">
        <v>1006</v>
      </c>
      <c r="I963" s="52" t="s">
        <v>92</v>
      </c>
      <c r="J963" s="157">
        <f t="shared" si="216"/>
        <v>0.38</v>
      </c>
      <c r="K963" s="103">
        <f t="shared" si="210"/>
        <v>20.238331678252234</v>
      </c>
      <c r="L963" s="103">
        <f t="shared" si="211"/>
        <v>0.5140900900900901</v>
      </c>
      <c r="M963" s="133">
        <f t="shared" si="212"/>
        <v>382.28000000000003</v>
      </c>
      <c r="N963" s="133">
        <f t="shared" si="213"/>
        <v>2420.2800000000002</v>
      </c>
      <c r="O963" s="134">
        <f t="shared" si="214"/>
        <v>24.034558093346575</v>
      </c>
      <c r="P963" s="134">
        <f t="shared" si="215"/>
        <v>0.61052108108108116</v>
      </c>
      <c r="R963" s="149">
        <f t="shared" si="202"/>
        <v>-24.468689340082506</v>
      </c>
    </row>
    <row r="964" spans="1:18" ht="14.65" x14ac:dyDescent="0.35">
      <c r="A964" s="82" t="s">
        <v>134</v>
      </c>
      <c r="B964" s="82" t="s">
        <v>14</v>
      </c>
      <c r="C964" s="82" t="s">
        <v>15</v>
      </c>
      <c r="D964" s="82" t="s">
        <v>90</v>
      </c>
      <c r="E964" s="88">
        <v>41092</v>
      </c>
      <c r="G964" s="92">
        <v>4382</v>
      </c>
      <c r="H964" s="52">
        <v>866</v>
      </c>
      <c r="I964" s="52" t="s">
        <v>94</v>
      </c>
      <c r="J964" s="157">
        <f t="shared" si="216"/>
        <v>0.5</v>
      </c>
      <c r="K964" s="103">
        <f t="shared" si="210"/>
        <v>43.515392254220458</v>
      </c>
      <c r="L964" s="103">
        <f t="shared" si="211"/>
        <v>1.1053693693693694</v>
      </c>
      <c r="M964" s="133">
        <f t="shared" si="212"/>
        <v>433</v>
      </c>
      <c r="N964" s="133">
        <f t="shared" si="213"/>
        <v>4815</v>
      </c>
      <c r="O964" s="134">
        <f t="shared" si="214"/>
        <v>47.815292949354514</v>
      </c>
      <c r="P964" s="134">
        <f t="shared" si="215"/>
        <v>1.2145945945945946</v>
      </c>
      <c r="R964" s="149">
        <f t="shared" si="202"/>
        <v>14.361853730832831</v>
      </c>
    </row>
    <row r="965" spans="1:18" ht="14.65" x14ac:dyDescent="0.35">
      <c r="A965" s="82" t="s">
        <v>134</v>
      </c>
      <c r="B965" s="82" t="s">
        <v>16</v>
      </c>
      <c r="C965" s="82" t="s">
        <v>17</v>
      </c>
      <c r="D965" s="82" t="s">
        <v>90</v>
      </c>
      <c r="E965" s="88">
        <v>41092</v>
      </c>
      <c r="G965" s="92">
        <v>1934</v>
      </c>
      <c r="H965" s="52">
        <v>213</v>
      </c>
      <c r="I965" s="52" t="s">
        <v>92</v>
      </c>
      <c r="J965" s="157">
        <f t="shared" si="216"/>
        <v>0.38</v>
      </c>
      <c r="K965" s="103">
        <f t="shared" si="210"/>
        <v>19.20556107249255</v>
      </c>
      <c r="L965" s="103">
        <f t="shared" si="211"/>
        <v>0.48785585585585589</v>
      </c>
      <c r="M965" s="133">
        <f t="shared" si="212"/>
        <v>80.94</v>
      </c>
      <c r="N965" s="133">
        <f t="shared" si="213"/>
        <v>2014.94</v>
      </c>
      <c r="O965" s="134">
        <f t="shared" si="214"/>
        <v>20.009334657398213</v>
      </c>
      <c r="P965" s="134">
        <f t="shared" si="215"/>
        <v>0.50827315315315313</v>
      </c>
      <c r="R965" s="149">
        <f t="shared" si="202"/>
        <v>4.6140586790718974</v>
      </c>
    </row>
    <row r="966" spans="1:18" ht="14.65" x14ac:dyDescent="0.35">
      <c r="A966" s="82" t="s">
        <v>134</v>
      </c>
      <c r="B966" s="82" t="s">
        <v>18</v>
      </c>
      <c r="C966" s="82" t="s">
        <v>19</v>
      </c>
      <c r="D966" s="82" t="s">
        <v>90</v>
      </c>
      <c r="E966" s="88">
        <v>41092</v>
      </c>
      <c r="G966" s="92">
        <v>3821</v>
      </c>
      <c r="H966" s="52">
        <v>650</v>
      </c>
      <c r="I966" s="52" t="s">
        <v>94</v>
      </c>
      <c r="J966" s="157">
        <f t="shared" si="216"/>
        <v>0.5</v>
      </c>
      <c r="K966" s="103">
        <f t="shared" si="210"/>
        <v>37.944389275074478</v>
      </c>
      <c r="L966" s="103">
        <f t="shared" si="211"/>
        <v>0.96385585585585587</v>
      </c>
      <c r="M966" s="133">
        <f t="shared" si="212"/>
        <v>325</v>
      </c>
      <c r="N966" s="133">
        <f t="shared" si="213"/>
        <v>4146</v>
      </c>
      <c r="O966" s="134">
        <f t="shared" si="214"/>
        <v>41.171797418073481</v>
      </c>
      <c r="P966" s="134">
        <f t="shared" si="215"/>
        <v>1.0458378378378379</v>
      </c>
      <c r="R966" s="149">
        <f t="shared" si="202"/>
        <v>17.317487266553488</v>
      </c>
    </row>
    <row r="967" spans="1:18" ht="14.65" x14ac:dyDescent="0.35">
      <c r="A967" s="82" t="s">
        <v>134</v>
      </c>
      <c r="B967" s="82" t="s">
        <v>18</v>
      </c>
      <c r="C967" s="82" t="s">
        <v>20</v>
      </c>
      <c r="D967" s="82" t="s">
        <v>90</v>
      </c>
      <c r="E967" s="88">
        <v>41092</v>
      </c>
      <c r="G967" s="92">
        <v>3273</v>
      </c>
      <c r="H967" s="52">
        <v>417</v>
      </c>
      <c r="I967" s="52" t="s">
        <v>94</v>
      </c>
      <c r="J967" s="157">
        <f t="shared" si="216"/>
        <v>0.5</v>
      </c>
      <c r="K967" s="103">
        <f t="shared" si="210"/>
        <v>32.502482621648461</v>
      </c>
      <c r="L967" s="103">
        <f t="shared" si="211"/>
        <v>0.82562162162162167</v>
      </c>
      <c r="M967" s="133">
        <f t="shared" si="212"/>
        <v>208.5</v>
      </c>
      <c r="N967" s="133">
        <f t="shared" si="213"/>
        <v>3481.5</v>
      </c>
      <c r="O967" s="134">
        <f t="shared" si="214"/>
        <v>34.572989076464744</v>
      </c>
      <c r="P967" s="134">
        <f t="shared" si="215"/>
        <v>0.87821621621621626</v>
      </c>
      <c r="R967" s="149">
        <f t="shared" si="202"/>
        <v>16.952876204297173</v>
      </c>
    </row>
    <row r="968" spans="1:18" ht="14.65" x14ac:dyDescent="0.35">
      <c r="A968" s="82" t="s">
        <v>134</v>
      </c>
      <c r="B968" s="82" t="s">
        <v>16</v>
      </c>
      <c r="C968" s="82" t="s">
        <v>21</v>
      </c>
      <c r="D968" s="82" t="s">
        <v>90</v>
      </c>
      <c r="E968" s="88">
        <v>41092</v>
      </c>
      <c r="G968" s="92">
        <v>3074</v>
      </c>
      <c r="H968" s="52">
        <v>626</v>
      </c>
      <c r="I968" s="52" t="s">
        <v>92</v>
      </c>
      <c r="J968" s="157">
        <f t="shared" si="216"/>
        <v>0.38</v>
      </c>
      <c r="K968" s="103">
        <f t="shared" si="210"/>
        <v>30.526315789473685</v>
      </c>
      <c r="L968" s="103">
        <f t="shared" si="211"/>
        <v>0.77542342342342341</v>
      </c>
      <c r="M968" s="133">
        <f t="shared" si="212"/>
        <v>237.88</v>
      </c>
      <c r="N968" s="133">
        <f t="shared" si="213"/>
        <v>3311.88</v>
      </c>
      <c r="O968" s="134">
        <f t="shared" si="214"/>
        <v>32.888579940417081</v>
      </c>
      <c r="P968" s="134">
        <f t="shared" si="215"/>
        <v>0.83542918918918918</v>
      </c>
      <c r="R968" s="149">
        <f t="shared" si="202"/>
        <v>4.0771304845167222</v>
      </c>
    </row>
    <row r="969" spans="1:18" ht="14.65" x14ac:dyDescent="0.35">
      <c r="A969" s="82" t="s">
        <v>134</v>
      </c>
      <c r="B969" s="82" t="s">
        <v>16</v>
      </c>
      <c r="C969" s="82" t="s">
        <v>6</v>
      </c>
      <c r="D969" s="82" t="s">
        <v>90</v>
      </c>
      <c r="E969" s="88">
        <v>41092</v>
      </c>
      <c r="G969" s="92">
        <v>4985</v>
      </c>
      <c r="H969" s="52">
        <v>1823</v>
      </c>
      <c r="I969" s="52" t="s">
        <v>92</v>
      </c>
      <c r="J969" s="157">
        <f t="shared" si="216"/>
        <v>0.38</v>
      </c>
      <c r="K969" s="103">
        <f t="shared" si="210"/>
        <v>49.503475670307843</v>
      </c>
      <c r="L969" s="103">
        <f t="shared" si="211"/>
        <v>1.2574774774774775</v>
      </c>
      <c r="M969" s="133">
        <f t="shared" si="212"/>
        <v>692.74</v>
      </c>
      <c r="N969" s="133">
        <f t="shared" si="213"/>
        <v>5677.74</v>
      </c>
      <c r="O969" s="134">
        <f t="shared" si="214"/>
        <v>56.382720953326711</v>
      </c>
      <c r="P969" s="134">
        <f t="shared" si="215"/>
        <v>1.4322227027027026</v>
      </c>
      <c r="R969" s="149">
        <f t="shared" si="202"/>
        <v>2.3759594804876327</v>
      </c>
    </row>
    <row r="970" spans="1:18" ht="14.65" x14ac:dyDescent="0.35">
      <c r="A970" s="82" t="s">
        <v>22</v>
      </c>
      <c r="B970" s="82" t="s">
        <v>23</v>
      </c>
      <c r="C970" s="82" t="s">
        <v>7</v>
      </c>
      <c r="D970" s="82" t="s">
        <v>90</v>
      </c>
      <c r="E970" s="88">
        <v>41092</v>
      </c>
      <c r="G970" s="92">
        <v>3269</v>
      </c>
      <c r="H970" s="52">
        <v>1295</v>
      </c>
      <c r="I970" s="52" t="s">
        <v>95</v>
      </c>
      <c r="J970" s="157">
        <f t="shared" si="216"/>
        <v>0.32200000000000001</v>
      </c>
      <c r="K970" s="103">
        <f t="shared" si="210"/>
        <v>32.462760675273088</v>
      </c>
      <c r="L970" s="103">
        <f t="shared" si="211"/>
        <v>0.88351351351351348</v>
      </c>
      <c r="M970" s="133">
        <f t="shared" si="212"/>
        <v>416.99</v>
      </c>
      <c r="N970" s="133">
        <f t="shared" si="213"/>
        <v>3685.99</v>
      </c>
      <c r="O970" s="134">
        <f t="shared" si="214"/>
        <v>36.603674280039719</v>
      </c>
      <c r="P970" s="134">
        <f t="shared" si="215"/>
        <v>0.9962135135135135</v>
      </c>
      <c r="R970" s="149">
        <f t="shared" si="202"/>
        <v>3.8777125479459773</v>
      </c>
    </row>
    <row r="971" spans="1:18" ht="14.65" x14ac:dyDescent="0.35">
      <c r="A971" s="82" t="s">
        <v>22</v>
      </c>
      <c r="B971" s="82" t="s">
        <v>14</v>
      </c>
      <c r="C971" s="82" t="s">
        <v>24</v>
      </c>
      <c r="D971" s="82" t="s">
        <v>90</v>
      </c>
      <c r="E971" s="88">
        <v>41092</v>
      </c>
      <c r="G971" s="92">
        <v>3497</v>
      </c>
      <c r="H971" s="52">
        <v>615</v>
      </c>
      <c r="I971" s="52" t="s">
        <v>94</v>
      </c>
      <c r="J971" s="157">
        <f t="shared" si="216"/>
        <v>0.5</v>
      </c>
      <c r="K971" s="103">
        <f t="shared" si="210"/>
        <v>34.726911618669313</v>
      </c>
      <c r="L971" s="103">
        <f t="shared" si="211"/>
        <v>0.94513513513513514</v>
      </c>
      <c r="M971" s="133">
        <f t="shared" si="212"/>
        <v>307.5</v>
      </c>
      <c r="N971" s="133">
        <f t="shared" si="213"/>
        <v>3804.5</v>
      </c>
      <c r="O971" s="134">
        <f t="shared" si="214"/>
        <v>37.780536246276064</v>
      </c>
      <c r="P971" s="134">
        <f t="shared" si="215"/>
        <v>1.0282432432432433</v>
      </c>
      <c r="R971" s="149">
        <f t="shared" si="202"/>
        <v>17.39385336953838</v>
      </c>
    </row>
    <row r="972" spans="1:18" ht="14.65" x14ac:dyDescent="0.35">
      <c r="A972" s="82" t="s">
        <v>22</v>
      </c>
      <c r="B972" s="82" t="s">
        <v>18</v>
      </c>
      <c r="C972" s="82" t="s">
        <v>15</v>
      </c>
      <c r="D972" s="82" t="s">
        <v>90</v>
      </c>
      <c r="E972" s="88">
        <v>41092</v>
      </c>
      <c r="G972" s="92">
        <v>4453</v>
      </c>
      <c r="H972" s="52">
        <v>872</v>
      </c>
      <c r="I972" s="52" t="s">
        <v>94</v>
      </c>
      <c r="J972" s="157">
        <f t="shared" si="216"/>
        <v>0.5</v>
      </c>
      <c r="K972" s="103">
        <f t="shared" si="210"/>
        <v>44.220456802383318</v>
      </c>
      <c r="L972" s="103">
        <f t="shared" si="211"/>
        <v>1.2035135135135135</v>
      </c>
      <c r="M972" s="133">
        <f t="shared" si="212"/>
        <v>436</v>
      </c>
      <c r="N972" s="133">
        <f t="shared" si="213"/>
        <v>4889</v>
      </c>
      <c r="O972" s="134">
        <f t="shared" si="214"/>
        <v>48.550148957298909</v>
      </c>
      <c r="P972" s="134">
        <f t="shared" si="215"/>
        <v>1.3213513513513513</v>
      </c>
      <c r="R972" s="149">
        <f t="shared" si="202"/>
        <v>14.13723549296828</v>
      </c>
    </row>
    <row r="973" spans="1:18" ht="14.65" x14ac:dyDescent="0.35">
      <c r="A973" s="82" t="s">
        <v>22</v>
      </c>
      <c r="B973" s="82" t="s">
        <v>18</v>
      </c>
      <c r="C973" s="82" t="s">
        <v>24</v>
      </c>
      <c r="D973" s="82" t="s">
        <v>90</v>
      </c>
      <c r="E973" s="88">
        <v>41092</v>
      </c>
      <c r="G973" s="92">
        <v>3189</v>
      </c>
      <c r="H973" s="52">
        <v>417</v>
      </c>
      <c r="I973" s="52" t="s">
        <v>94</v>
      </c>
      <c r="J973" s="157">
        <f t="shared" si="216"/>
        <v>0.5</v>
      </c>
      <c r="K973" s="103">
        <f t="shared" si="210"/>
        <v>31.668321747765638</v>
      </c>
      <c r="L973" s="103">
        <f t="shared" si="211"/>
        <v>0.86189189189189186</v>
      </c>
      <c r="M973" s="133">
        <f t="shared" si="212"/>
        <v>208.5</v>
      </c>
      <c r="N973" s="133">
        <f t="shared" si="213"/>
        <v>3397.5</v>
      </c>
      <c r="O973" s="134">
        <f t="shared" si="214"/>
        <v>33.738828202581928</v>
      </c>
      <c r="P973" s="134">
        <f t="shared" si="215"/>
        <v>0.91824324324324325</v>
      </c>
      <c r="R973" s="149">
        <f t="shared" si="202"/>
        <v>20.05979136629632</v>
      </c>
    </row>
    <row r="974" spans="1:18" ht="14.65" x14ac:dyDescent="0.35">
      <c r="A974" s="82" t="s">
        <v>22</v>
      </c>
      <c r="B974" s="82" t="s">
        <v>13</v>
      </c>
      <c r="C974" s="82" t="s">
        <v>7</v>
      </c>
      <c r="D974" s="82" t="s">
        <v>90</v>
      </c>
      <c r="E974" s="88">
        <v>41092</v>
      </c>
      <c r="G974" s="92">
        <v>3382</v>
      </c>
      <c r="H974" s="52">
        <v>1006</v>
      </c>
      <c r="I974" s="52" t="s">
        <v>92</v>
      </c>
      <c r="J974" s="157">
        <f t="shared" si="216"/>
        <v>0.38</v>
      </c>
      <c r="K974" s="103">
        <f t="shared" si="210"/>
        <v>33.584905660377359</v>
      </c>
      <c r="L974" s="103">
        <f t="shared" si="211"/>
        <v>0.91405405405405404</v>
      </c>
      <c r="M974" s="133">
        <f t="shared" si="212"/>
        <v>382.28000000000003</v>
      </c>
      <c r="N974" s="133">
        <f t="shared" si="213"/>
        <v>3764.28</v>
      </c>
      <c r="O974" s="134">
        <f t="shared" si="214"/>
        <v>37.381132075471697</v>
      </c>
      <c r="P974" s="134">
        <f t="shared" si="215"/>
        <v>1.017372972972973</v>
      </c>
      <c r="R974" s="149">
        <f t="shared" si="202"/>
        <v>6.0856625915216789</v>
      </c>
    </row>
    <row r="975" spans="1:18" ht="14.65" x14ac:dyDescent="0.35">
      <c r="A975" s="82" t="s">
        <v>1</v>
      </c>
      <c r="B975" s="82" t="s">
        <v>25</v>
      </c>
      <c r="C975" s="82" t="s">
        <v>26</v>
      </c>
      <c r="D975" s="82" t="s">
        <v>91</v>
      </c>
      <c r="E975" s="88">
        <v>41092</v>
      </c>
      <c r="G975" s="92">
        <v>3351</v>
      </c>
      <c r="H975" s="52">
        <v>880</v>
      </c>
      <c r="I975" s="52" t="s">
        <v>93</v>
      </c>
      <c r="J975" s="157">
        <f t="shared" si="216"/>
        <v>0.37</v>
      </c>
      <c r="K975" s="103">
        <f t="shared" si="210"/>
        <v>33.277060575968221</v>
      </c>
      <c r="L975" s="103">
        <f t="shared" si="211"/>
        <v>0.90567567567567564</v>
      </c>
      <c r="M975" s="133">
        <f t="shared" si="212"/>
        <v>325.60000000000002</v>
      </c>
      <c r="N975" s="133">
        <f t="shared" si="213"/>
        <v>3676.6</v>
      </c>
      <c r="O975" s="134">
        <f t="shared" si="214"/>
        <v>36.510427010923536</v>
      </c>
      <c r="P975" s="134">
        <f t="shared" si="215"/>
        <v>0.99367567567567561</v>
      </c>
      <c r="R975" s="149">
        <f t="shared" si="202"/>
        <v>2.6352520797275458</v>
      </c>
    </row>
    <row r="976" spans="1:18" ht="14.65" x14ac:dyDescent="0.35">
      <c r="A976" s="82" t="s">
        <v>1</v>
      </c>
      <c r="B976" s="82" t="s">
        <v>2</v>
      </c>
      <c r="C976" s="82" t="s">
        <v>9</v>
      </c>
      <c r="D976" s="82" t="s">
        <v>91</v>
      </c>
      <c r="E976" s="88">
        <v>41092</v>
      </c>
      <c r="G976" s="92">
        <v>3634</v>
      </c>
      <c r="H976" s="52">
        <v>685</v>
      </c>
      <c r="I976" s="52" t="s">
        <v>93</v>
      </c>
      <c r="J976" s="157">
        <f t="shared" si="216"/>
        <v>0.37</v>
      </c>
      <c r="K976" s="103">
        <f t="shared" si="210"/>
        <v>36.08738828202582</v>
      </c>
      <c r="L976" s="103">
        <f t="shared" si="211"/>
        <v>0.98216216216216212</v>
      </c>
      <c r="M976" s="133">
        <f t="shared" si="212"/>
        <v>253.45</v>
      </c>
      <c r="N976" s="133">
        <f t="shared" si="213"/>
        <v>3887.45</v>
      </c>
      <c r="O976" s="134">
        <f t="shared" si="214"/>
        <v>38.604270109235351</v>
      </c>
      <c r="P976" s="134">
        <f t="shared" si="215"/>
        <v>1.0506621621621621</v>
      </c>
      <c r="R976" s="149">
        <f t="shared" si="202"/>
        <v>13.963032994737844</v>
      </c>
    </row>
    <row r="977" spans="1:18" ht="14.65" x14ac:dyDescent="0.35">
      <c r="A977" s="82" t="s">
        <v>1</v>
      </c>
      <c r="B977" s="82" t="s">
        <v>27</v>
      </c>
      <c r="C977" s="82" t="s">
        <v>28</v>
      </c>
      <c r="D977" s="82" t="s">
        <v>91</v>
      </c>
      <c r="E977" s="88">
        <v>41092</v>
      </c>
      <c r="G977" s="92">
        <v>3645</v>
      </c>
      <c r="H977" s="52">
        <v>812</v>
      </c>
      <c r="I977" s="52" t="s">
        <v>94</v>
      </c>
      <c r="J977" s="157">
        <f t="shared" si="216"/>
        <v>0.5</v>
      </c>
      <c r="K977" s="103">
        <f t="shared" si="210"/>
        <v>36.196623634558094</v>
      </c>
      <c r="L977" s="103">
        <f t="shared" si="211"/>
        <v>0.98513513513513518</v>
      </c>
      <c r="M977" s="133">
        <f t="shared" si="212"/>
        <v>406</v>
      </c>
      <c r="N977" s="133">
        <f t="shared" si="213"/>
        <v>4051</v>
      </c>
      <c r="O977" s="134">
        <f t="shared" si="214"/>
        <v>40.228401191658392</v>
      </c>
      <c r="P977" s="134">
        <f t="shared" si="215"/>
        <v>1.0948648648648649</v>
      </c>
      <c r="R977" s="149">
        <f t="shared" si="202"/>
        <v>3.3618762821363335</v>
      </c>
    </row>
    <row r="978" spans="1:18" ht="14.65" x14ac:dyDescent="0.35">
      <c r="A978" s="82" t="s">
        <v>1</v>
      </c>
      <c r="B978" s="82" t="s">
        <v>4</v>
      </c>
      <c r="C978" s="82" t="s">
        <v>26</v>
      </c>
      <c r="D978" s="82" t="s">
        <v>91</v>
      </c>
      <c r="E978" s="88">
        <v>41092</v>
      </c>
      <c r="G978" s="92">
        <v>4832</v>
      </c>
      <c r="H978" s="52">
        <v>1520</v>
      </c>
      <c r="I978" s="52" t="s">
        <v>93</v>
      </c>
      <c r="J978" s="157">
        <f t="shared" si="216"/>
        <v>0.37</v>
      </c>
      <c r="K978" s="103">
        <f t="shared" si="210"/>
        <v>47.984111221449851</v>
      </c>
      <c r="L978" s="103">
        <f t="shared" si="211"/>
        <v>1.3059459459459459</v>
      </c>
      <c r="M978" s="133">
        <f t="shared" si="212"/>
        <v>562.4</v>
      </c>
      <c r="N978" s="133">
        <f t="shared" si="213"/>
        <v>5394.4</v>
      </c>
      <c r="O978" s="134">
        <f t="shared" si="214"/>
        <v>53.569016881827203</v>
      </c>
      <c r="P978" s="134">
        <f t="shared" si="215"/>
        <v>1.4579459459459458</v>
      </c>
      <c r="R978" s="149">
        <f t="shared" si="202"/>
        <v>1.8810908816196958</v>
      </c>
    </row>
    <row r="979" spans="1:18" ht="14.65" x14ac:dyDescent="0.35">
      <c r="A979" s="82" t="s">
        <v>1</v>
      </c>
      <c r="B979" s="82" t="s">
        <v>4</v>
      </c>
      <c r="C979" s="82" t="s">
        <v>9</v>
      </c>
      <c r="D979" s="82" t="s">
        <v>91</v>
      </c>
      <c r="E979" s="88">
        <v>41092</v>
      </c>
      <c r="G979" s="92">
        <v>5854</v>
      </c>
      <c r="H979" s="52">
        <v>1583</v>
      </c>
      <c r="I979" s="52" t="s">
        <v>93</v>
      </c>
      <c r="J979" s="157">
        <f t="shared" si="216"/>
        <v>0.37</v>
      </c>
      <c r="K979" s="103">
        <f t="shared" si="210"/>
        <v>58.133068520357497</v>
      </c>
      <c r="L979" s="103">
        <f t="shared" si="211"/>
        <v>1.5821621621621622</v>
      </c>
      <c r="M979" s="133">
        <f t="shared" si="212"/>
        <v>585.71</v>
      </c>
      <c r="N979" s="133">
        <f t="shared" si="213"/>
        <v>6439.71</v>
      </c>
      <c r="O979" s="134">
        <f t="shared" si="214"/>
        <v>63.949453823237334</v>
      </c>
      <c r="P979" s="134">
        <f t="shared" si="215"/>
        <v>1.7404621621621621</v>
      </c>
      <c r="R979" s="149">
        <f t="shared" si="202"/>
        <v>2.7825970373657194</v>
      </c>
    </row>
    <row r="980" spans="1:18" ht="14.65" x14ac:dyDescent="0.35">
      <c r="A980" s="82" t="s">
        <v>1</v>
      </c>
      <c r="B980" s="82" t="s">
        <v>10</v>
      </c>
      <c r="C980" s="82" t="s">
        <v>26</v>
      </c>
      <c r="D980" s="82" t="s">
        <v>91</v>
      </c>
      <c r="E980" s="88">
        <v>41092</v>
      </c>
      <c r="G980" s="92">
        <v>4880</v>
      </c>
      <c r="H980" s="52">
        <v>1599</v>
      </c>
      <c r="I980" s="52" t="s">
        <v>92</v>
      </c>
      <c r="J980" s="157">
        <f t="shared" si="216"/>
        <v>0.38</v>
      </c>
      <c r="K980" s="103">
        <f t="shared" si="210"/>
        <v>48.460774577954318</v>
      </c>
      <c r="L980" s="103">
        <f t="shared" si="211"/>
        <v>1.318918918918919</v>
      </c>
      <c r="M980" s="133">
        <f t="shared" si="212"/>
        <v>607.62</v>
      </c>
      <c r="N980" s="133">
        <f t="shared" si="213"/>
        <v>5487.62</v>
      </c>
      <c r="O980" s="134">
        <f t="shared" si="214"/>
        <v>54.494736842105262</v>
      </c>
      <c r="P980" s="134">
        <f t="shared" si="215"/>
        <v>1.4831405405405405</v>
      </c>
      <c r="R980" s="149">
        <f t="shared" si="202"/>
        <v>2.5606426183182984</v>
      </c>
    </row>
    <row r="981" spans="1:18" ht="14.65" x14ac:dyDescent="0.35">
      <c r="A981" s="82" t="s">
        <v>134</v>
      </c>
      <c r="B981" s="82" t="s">
        <v>23</v>
      </c>
      <c r="C981" s="82" t="s">
        <v>26</v>
      </c>
      <c r="D981" s="82" t="s">
        <v>91</v>
      </c>
      <c r="E981" s="88">
        <v>41092</v>
      </c>
      <c r="G981" s="92">
        <v>4800</v>
      </c>
      <c r="H981" s="52">
        <v>1851</v>
      </c>
      <c r="I981" s="52" t="s">
        <v>93</v>
      </c>
      <c r="J981" s="157">
        <f t="shared" si="216"/>
        <v>0.37</v>
      </c>
      <c r="K981" s="103">
        <f t="shared" si="210"/>
        <v>47.666335650446868</v>
      </c>
      <c r="L981" s="103">
        <f t="shared" si="211"/>
        <v>1.2108108108108109</v>
      </c>
      <c r="M981" s="133">
        <f t="shared" si="212"/>
        <v>684.87</v>
      </c>
      <c r="N981" s="133">
        <f t="shared" si="213"/>
        <v>5484.87</v>
      </c>
      <c r="O981" s="134">
        <f t="shared" si="214"/>
        <v>54.467428003972195</v>
      </c>
      <c r="P981" s="134">
        <f t="shared" si="215"/>
        <v>1.3835708108108109</v>
      </c>
      <c r="R981" s="149">
        <f t="shared" si="202"/>
        <v>1.536129021509125</v>
      </c>
    </row>
    <row r="982" spans="1:18" ht="14.65" x14ac:dyDescent="0.35">
      <c r="A982" s="82" t="s">
        <v>134</v>
      </c>
      <c r="B982" s="82" t="s">
        <v>8</v>
      </c>
      <c r="C982" s="82" t="s">
        <v>29</v>
      </c>
      <c r="D982" s="82" t="s">
        <v>91</v>
      </c>
      <c r="E982" s="88">
        <v>41092</v>
      </c>
      <c r="G982" s="92">
        <v>4760</v>
      </c>
      <c r="H982" s="52">
        <v>1695</v>
      </c>
      <c r="I982" s="52" t="s">
        <v>93</v>
      </c>
      <c r="J982" s="157">
        <f t="shared" si="216"/>
        <v>0.37</v>
      </c>
      <c r="K982" s="103">
        <f t="shared" si="210"/>
        <v>47.269116186693147</v>
      </c>
      <c r="L982" s="103">
        <f t="shared" si="211"/>
        <v>1.2007207207207207</v>
      </c>
      <c r="M982" s="133">
        <f t="shared" si="212"/>
        <v>627.15</v>
      </c>
      <c r="N982" s="133">
        <f t="shared" si="213"/>
        <v>5387.15</v>
      </c>
      <c r="O982" s="134">
        <f t="shared" si="214"/>
        <v>53.497020854021841</v>
      </c>
      <c r="P982" s="134">
        <f t="shared" si="215"/>
        <v>1.3589207207207206</v>
      </c>
      <c r="R982" s="149">
        <f t="shared" si="202"/>
        <v>1.6242065251223625</v>
      </c>
    </row>
    <row r="983" spans="1:18" ht="14.65" x14ac:dyDescent="0.35">
      <c r="A983" s="82" t="s">
        <v>134</v>
      </c>
      <c r="B983" s="82" t="s">
        <v>13</v>
      </c>
      <c r="C983" s="82" t="s">
        <v>7</v>
      </c>
      <c r="D983" s="82" t="s">
        <v>91</v>
      </c>
      <c r="E983" s="88">
        <v>41092</v>
      </c>
      <c r="G983" s="92">
        <v>2857</v>
      </c>
      <c r="H983" s="52">
        <v>1006</v>
      </c>
      <c r="I983" s="52" t="s">
        <v>92</v>
      </c>
      <c r="J983" s="157">
        <f t="shared" si="216"/>
        <v>0.38</v>
      </c>
      <c r="K983" s="103">
        <f t="shared" si="210"/>
        <v>28.371400198609731</v>
      </c>
      <c r="L983" s="103">
        <f t="shared" si="211"/>
        <v>0.72068468468468472</v>
      </c>
      <c r="M983" s="133">
        <f t="shared" si="212"/>
        <v>382.28000000000003</v>
      </c>
      <c r="N983" s="133">
        <f t="shared" si="213"/>
        <v>3239.28</v>
      </c>
      <c r="O983" s="134">
        <f t="shared" si="214"/>
        <v>32.167626613704073</v>
      </c>
      <c r="P983" s="134">
        <f t="shared" si="215"/>
        <v>0.81711567567567578</v>
      </c>
      <c r="R983" s="149">
        <f t="shared" ref="R983:R1020" si="217">((N983/N527)-1)*100</f>
        <v>5.536695185284124</v>
      </c>
    </row>
    <row r="984" spans="1:18" ht="14.65" x14ac:dyDescent="0.35">
      <c r="A984" s="82" t="s">
        <v>134</v>
      </c>
      <c r="B984" s="82" t="s">
        <v>30</v>
      </c>
      <c r="C984" s="82" t="s">
        <v>9</v>
      </c>
      <c r="D984" s="82" t="s">
        <v>91</v>
      </c>
      <c r="E984" s="88">
        <v>41092</v>
      </c>
      <c r="G984" s="92">
        <v>3310</v>
      </c>
      <c r="H984" s="52">
        <v>988</v>
      </c>
      <c r="I984" s="52" t="s">
        <v>93</v>
      </c>
      <c r="J984" s="157">
        <f t="shared" si="216"/>
        <v>0.37</v>
      </c>
      <c r="K984" s="103">
        <f t="shared" si="210"/>
        <v>32.869910625620655</v>
      </c>
      <c r="L984" s="103">
        <f t="shared" si="211"/>
        <v>0.83495495495495498</v>
      </c>
      <c r="M984" s="133">
        <f t="shared" si="212"/>
        <v>365.56</v>
      </c>
      <c r="N984" s="133">
        <f t="shared" si="213"/>
        <v>3675.56</v>
      </c>
      <c r="O984" s="134">
        <f t="shared" si="214"/>
        <v>36.500099304865934</v>
      </c>
      <c r="P984" s="134">
        <f t="shared" si="215"/>
        <v>0.92716828828828834</v>
      </c>
      <c r="R984" s="149">
        <f t="shared" si="217"/>
        <v>2.8036651264781831</v>
      </c>
    </row>
    <row r="985" spans="1:18" ht="14.65" x14ac:dyDescent="0.35">
      <c r="A985" s="82" t="s">
        <v>134</v>
      </c>
      <c r="B985" s="82" t="s">
        <v>16</v>
      </c>
      <c r="C985" s="82" t="s">
        <v>11</v>
      </c>
      <c r="D985" s="82" t="s">
        <v>91</v>
      </c>
      <c r="E985" s="88">
        <v>41092</v>
      </c>
      <c r="G985" s="92">
        <v>3430</v>
      </c>
      <c r="H985" s="52">
        <v>787</v>
      </c>
      <c r="I985" s="52" t="s">
        <v>92</v>
      </c>
      <c r="J985" s="157">
        <f t="shared" si="216"/>
        <v>0.38</v>
      </c>
      <c r="K985" s="103">
        <f t="shared" si="210"/>
        <v>34.061569016881826</v>
      </c>
      <c r="L985" s="103">
        <f t="shared" si="211"/>
        <v>0.86522522522522527</v>
      </c>
      <c r="M985" s="133">
        <f t="shared" si="212"/>
        <v>299.06</v>
      </c>
      <c r="N985" s="133">
        <f t="shared" si="213"/>
        <v>3729.06</v>
      </c>
      <c r="O985" s="134">
        <f t="shared" si="214"/>
        <v>37.031380337636541</v>
      </c>
      <c r="P985" s="134">
        <f t="shared" si="215"/>
        <v>0.94066378378378379</v>
      </c>
      <c r="R985" s="149">
        <f t="shared" si="217"/>
        <v>2.5331804571438132</v>
      </c>
    </row>
    <row r="986" spans="1:18" ht="14.65" x14ac:dyDescent="0.35">
      <c r="A986" s="82" t="s">
        <v>134</v>
      </c>
      <c r="B986" s="82" t="s">
        <v>23</v>
      </c>
      <c r="C986" s="82" t="s">
        <v>29</v>
      </c>
      <c r="D986" s="82" t="s">
        <v>91</v>
      </c>
      <c r="E986" s="88">
        <v>41092</v>
      </c>
      <c r="G986" s="92">
        <v>4800</v>
      </c>
      <c r="H986" s="52">
        <v>1836</v>
      </c>
      <c r="I986" s="52" t="s">
        <v>93</v>
      </c>
      <c r="J986" s="157">
        <f t="shared" si="216"/>
        <v>0.37</v>
      </c>
      <c r="K986" s="103">
        <f t="shared" si="210"/>
        <v>47.666335650446868</v>
      </c>
      <c r="L986" s="103">
        <f t="shared" si="211"/>
        <v>1.2108108108108109</v>
      </c>
      <c r="M986" s="133">
        <f t="shared" si="212"/>
        <v>679.31999999999994</v>
      </c>
      <c r="N986" s="133">
        <f t="shared" si="213"/>
        <v>5479.32</v>
      </c>
      <c r="O986" s="134">
        <f t="shared" si="214"/>
        <v>54.412313803376364</v>
      </c>
      <c r="P986" s="134">
        <f t="shared" si="215"/>
        <v>1.3821708108108108</v>
      </c>
      <c r="R986" s="149">
        <f t="shared" si="217"/>
        <v>1.5433540151666758</v>
      </c>
    </row>
    <row r="987" spans="1:18" ht="14.65" x14ac:dyDescent="0.35">
      <c r="A987" s="82" t="s">
        <v>134</v>
      </c>
      <c r="B987" s="82" t="s">
        <v>31</v>
      </c>
      <c r="C987" s="82" t="s">
        <v>32</v>
      </c>
      <c r="D987" s="82" t="s">
        <v>91</v>
      </c>
      <c r="E987" s="88">
        <v>41092</v>
      </c>
      <c r="G987" s="92">
        <v>4200</v>
      </c>
      <c r="H987" s="52">
        <v>1899</v>
      </c>
      <c r="I987" s="52" t="s">
        <v>93</v>
      </c>
      <c r="J987" s="157">
        <f t="shared" si="216"/>
        <v>0.37</v>
      </c>
      <c r="K987" s="103">
        <f t="shared" si="210"/>
        <v>41.708043694141011</v>
      </c>
      <c r="L987" s="103">
        <f t="shared" si="211"/>
        <v>1.0594594594594595</v>
      </c>
      <c r="M987" s="133">
        <f t="shared" si="212"/>
        <v>702.63</v>
      </c>
      <c r="N987" s="133">
        <f t="shared" si="213"/>
        <v>4902.63</v>
      </c>
      <c r="O987" s="134">
        <f t="shared" si="214"/>
        <v>48.685501489572992</v>
      </c>
      <c r="P987" s="134">
        <f t="shared" si="215"/>
        <v>1.2366994594594596</v>
      </c>
      <c r="R987" s="149">
        <f t="shared" si="217"/>
        <v>1.7014444230087244</v>
      </c>
    </row>
    <row r="988" spans="1:18" ht="14.45" x14ac:dyDescent="0.3">
      <c r="A988" s="82" t="s">
        <v>22</v>
      </c>
      <c r="B988" s="82" t="s">
        <v>8</v>
      </c>
      <c r="C988" s="82" t="s">
        <v>29</v>
      </c>
      <c r="D988" s="82" t="s">
        <v>91</v>
      </c>
      <c r="E988" s="88">
        <v>41092</v>
      </c>
      <c r="G988" s="92">
        <v>5040</v>
      </c>
      <c r="H988" s="52">
        <v>1695</v>
      </c>
      <c r="I988" s="52" t="s">
        <v>93</v>
      </c>
      <c r="J988" s="157">
        <f t="shared" si="216"/>
        <v>0.37</v>
      </c>
      <c r="K988" s="103">
        <f t="shared" si="210"/>
        <v>50.049652432969211</v>
      </c>
      <c r="L988" s="103">
        <f t="shared" si="211"/>
        <v>1.3621621621621622</v>
      </c>
      <c r="M988" s="133">
        <f t="shared" si="212"/>
        <v>627.15</v>
      </c>
      <c r="N988" s="133">
        <f t="shared" si="213"/>
        <v>5667.15</v>
      </c>
      <c r="O988" s="134">
        <f t="shared" si="214"/>
        <v>56.277557100297912</v>
      </c>
      <c r="P988" s="134">
        <f t="shared" si="215"/>
        <v>1.531662162162162</v>
      </c>
      <c r="R988" s="149">
        <f t="shared" si="217"/>
        <v>3.0194235645921941</v>
      </c>
    </row>
    <row r="989" spans="1:18" ht="14.45" x14ac:dyDescent="0.3">
      <c r="A989" s="82" t="s">
        <v>22</v>
      </c>
      <c r="B989" s="82" t="s">
        <v>23</v>
      </c>
      <c r="C989" s="82" t="s">
        <v>26</v>
      </c>
      <c r="D989" s="82" t="s">
        <v>91</v>
      </c>
      <c r="E989" s="88">
        <v>41092</v>
      </c>
      <c r="G989" s="92">
        <v>5030</v>
      </c>
      <c r="H989" s="52">
        <v>1851</v>
      </c>
      <c r="I989" s="52" t="s">
        <v>93</v>
      </c>
      <c r="J989" s="157">
        <f t="shared" si="216"/>
        <v>0.37</v>
      </c>
      <c r="K989" s="103">
        <f t="shared" si="210"/>
        <v>49.950347567030782</v>
      </c>
      <c r="L989" s="103">
        <f t="shared" si="211"/>
        <v>1.3594594594594596</v>
      </c>
      <c r="M989" s="133">
        <f t="shared" si="212"/>
        <v>684.87</v>
      </c>
      <c r="N989" s="133">
        <f t="shared" si="213"/>
        <v>5714.87</v>
      </c>
      <c r="O989" s="134">
        <f t="shared" si="214"/>
        <v>56.751439920556102</v>
      </c>
      <c r="P989" s="134">
        <f t="shared" si="215"/>
        <v>1.5445594594594594</v>
      </c>
      <c r="R989" s="149">
        <f t="shared" si="217"/>
        <v>2.9355768936344173</v>
      </c>
    </row>
    <row r="990" spans="1:18" ht="14.45" x14ac:dyDescent="0.3">
      <c r="A990" s="82" t="s">
        <v>22</v>
      </c>
      <c r="B990" s="82" t="s">
        <v>33</v>
      </c>
      <c r="C990" s="82" t="s">
        <v>29</v>
      </c>
      <c r="D990" s="82" t="s">
        <v>91</v>
      </c>
      <c r="E990" s="88">
        <v>41092</v>
      </c>
      <c r="G990" s="92">
        <v>4930</v>
      </c>
      <c r="H990" s="52">
        <v>1507</v>
      </c>
      <c r="I990" s="52" t="s">
        <v>93</v>
      </c>
      <c r="J990" s="157">
        <f t="shared" si="216"/>
        <v>0.37</v>
      </c>
      <c r="K990" s="103">
        <f t="shared" si="210"/>
        <v>48.957298907646475</v>
      </c>
      <c r="L990" s="103">
        <f t="shared" si="211"/>
        <v>1.3324324324324324</v>
      </c>
      <c r="M990" s="133">
        <f t="shared" si="212"/>
        <v>557.59</v>
      </c>
      <c r="N990" s="133">
        <f t="shared" si="213"/>
        <v>5487.59</v>
      </c>
      <c r="O990" s="134">
        <f t="shared" si="214"/>
        <v>54.494438927507446</v>
      </c>
      <c r="P990" s="134">
        <f t="shared" si="215"/>
        <v>1.4831324324324324</v>
      </c>
      <c r="R990" s="149">
        <f t="shared" si="217"/>
        <v>3.1942200901512674</v>
      </c>
    </row>
    <row r="991" spans="1:18" ht="14.45" x14ac:dyDescent="0.3">
      <c r="A991" s="82" t="s">
        <v>22</v>
      </c>
      <c r="B991" s="82" t="s">
        <v>31</v>
      </c>
      <c r="C991" s="82" t="s">
        <v>7</v>
      </c>
      <c r="D991" s="82" t="s">
        <v>91</v>
      </c>
      <c r="E991" s="88">
        <v>41092</v>
      </c>
      <c r="G991" s="92">
        <v>3710</v>
      </c>
      <c r="H991" s="52">
        <v>1160</v>
      </c>
      <c r="I991" s="52" t="s">
        <v>92</v>
      </c>
      <c r="J991" s="157">
        <f t="shared" si="216"/>
        <v>0.38</v>
      </c>
      <c r="K991" s="103">
        <f t="shared" si="210"/>
        <v>36.84210526315789</v>
      </c>
      <c r="L991" s="103">
        <f t="shared" si="211"/>
        <v>1.0027027027027027</v>
      </c>
      <c r="M991" s="133">
        <f t="shared" si="212"/>
        <v>440.8</v>
      </c>
      <c r="N991" s="133">
        <f t="shared" si="213"/>
        <v>4150.8</v>
      </c>
      <c r="O991" s="134">
        <f t="shared" si="214"/>
        <v>41.219463753723936</v>
      </c>
      <c r="P991" s="134">
        <f t="shared" si="215"/>
        <v>1.121837837837838</v>
      </c>
      <c r="R991" s="149">
        <f t="shared" si="217"/>
        <v>4.7546941247728736</v>
      </c>
    </row>
    <row r="992" spans="1:18" ht="14.45" x14ac:dyDescent="0.3">
      <c r="A992" s="82" t="s">
        <v>22</v>
      </c>
      <c r="B992" s="82" t="s">
        <v>14</v>
      </c>
      <c r="C992" s="82" t="s">
        <v>24</v>
      </c>
      <c r="D992" s="82" t="s">
        <v>91</v>
      </c>
      <c r="E992" s="88">
        <v>41092</v>
      </c>
      <c r="G992" s="92">
        <v>2672</v>
      </c>
      <c r="H992" s="52">
        <v>615</v>
      </c>
      <c r="I992" s="52" t="s">
        <v>94</v>
      </c>
      <c r="J992" s="157">
        <f t="shared" si="216"/>
        <v>0.5</v>
      </c>
      <c r="K992" s="103">
        <f t="shared" si="210"/>
        <v>26.53426017874876</v>
      </c>
      <c r="L992" s="103">
        <f t="shared" si="211"/>
        <v>0.72216216216216211</v>
      </c>
      <c r="M992" s="133">
        <f t="shared" si="212"/>
        <v>307.5</v>
      </c>
      <c r="N992" s="133">
        <f t="shared" si="213"/>
        <v>2979.5</v>
      </c>
      <c r="O992" s="134">
        <f t="shared" si="214"/>
        <v>29.587884806355511</v>
      </c>
      <c r="P992" s="134">
        <f t="shared" si="215"/>
        <v>0.80527027027027032</v>
      </c>
      <c r="R992" s="149">
        <f t="shared" si="217"/>
        <v>4.3315358218362521</v>
      </c>
    </row>
    <row r="993" spans="1:18" ht="14.45" x14ac:dyDescent="0.3">
      <c r="A993" s="118" t="s">
        <v>22</v>
      </c>
      <c r="B993" s="118" t="s">
        <v>34</v>
      </c>
      <c r="C993" s="118" t="s">
        <v>26</v>
      </c>
      <c r="D993" s="118" t="s">
        <v>91</v>
      </c>
      <c r="E993" s="90">
        <v>41092</v>
      </c>
      <c r="F993" s="84"/>
      <c r="G993" s="105">
        <v>4720</v>
      </c>
      <c r="H993" s="158">
        <v>1637</v>
      </c>
      <c r="I993" s="158" t="s">
        <v>92</v>
      </c>
      <c r="J993" s="122">
        <f t="shared" si="216"/>
        <v>0.38</v>
      </c>
      <c r="K993" s="114">
        <f t="shared" si="210"/>
        <v>46.871896722939425</v>
      </c>
      <c r="L993" s="114">
        <f t="shared" si="211"/>
        <v>1.2756756756756757</v>
      </c>
      <c r="M993" s="115">
        <f t="shared" si="212"/>
        <v>622.06000000000006</v>
      </c>
      <c r="N993" s="115">
        <f t="shared" si="213"/>
        <v>5342.06</v>
      </c>
      <c r="O993" s="116">
        <f t="shared" si="214"/>
        <v>53.049255213505461</v>
      </c>
      <c r="P993" s="116">
        <f t="shared" si="215"/>
        <v>1.4438000000000002</v>
      </c>
      <c r="Q993" s="106"/>
      <c r="R993" s="152">
        <f t="shared" si="217"/>
        <v>3.5598040489063454</v>
      </c>
    </row>
    <row r="994" spans="1:18" ht="14.45" x14ac:dyDescent="0.3">
      <c r="A994" s="82" t="s">
        <v>1</v>
      </c>
      <c r="B994" s="82" t="s">
        <v>2</v>
      </c>
      <c r="C994" s="82" t="s">
        <v>3</v>
      </c>
      <c r="D994" s="82" t="s">
        <v>90</v>
      </c>
      <c r="E994" s="88">
        <v>41122</v>
      </c>
      <c r="G994" s="92">
        <v>3144</v>
      </c>
      <c r="H994" s="52">
        <v>506</v>
      </c>
      <c r="I994" s="52" t="s">
        <v>92</v>
      </c>
      <c r="J994" s="157">
        <f>IF(I994="BNSF",0.32,IF(I994="CN",0.2818,IF(I994="CSX",0.44,0.34)))</f>
        <v>0.34</v>
      </c>
      <c r="K994" s="103">
        <f t="shared" ref="K994:K1031" si="218">G994/100.7</f>
        <v>31.221449851042699</v>
      </c>
      <c r="L994" s="103">
        <f t="shared" ref="L994:L1031" si="219">IF(A994="corn",G994/(111*2000/56),G994/(111*2000/60))</f>
        <v>0.84972972972972971</v>
      </c>
      <c r="M994" s="133">
        <f t="shared" ref="M994:M1031" si="220">H994*J994</f>
        <v>172.04000000000002</v>
      </c>
      <c r="N994" s="133">
        <f t="shared" ref="N994:N1031" si="221">G994+M994</f>
        <v>3316.04</v>
      </c>
      <c r="O994" s="134">
        <f t="shared" ref="O994:O1031" si="222">N994/100.7</f>
        <v>32.929890764647467</v>
      </c>
      <c r="P994" s="134">
        <f t="shared" ref="P994:P1031" si="223">IF(A994="corn",N994/(111*2000/56),N994/(111*2000/60))</f>
        <v>0.89622702702702706</v>
      </c>
      <c r="Q994" s="160"/>
      <c r="R994" s="149">
        <f t="shared" si="217"/>
        <v>4.3035713162347999</v>
      </c>
    </row>
    <row r="995" spans="1:18" ht="14.45" x14ac:dyDescent="0.3">
      <c r="A995" s="82" t="s">
        <v>1</v>
      </c>
      <c r="B995" s="82" t="s">
        <v>4</v>
      </c>
      <c r="C995" s="82" t="s">
        <v>5</v>
      </c>
      <c r="D995" s="82" t="s">
        <v>90</v>
      </c>
      <c r="E995" s="88">
        <f>E994</f>
        <v>41122</v>
      </c>
      <c r="G995" s="92">
        <v>3445</v>
      </c>
      <c r="H995" s="52">
        <v>298</v>
      </c>
      <c r="I995" s="52" t="s">
        <v>93</v>
      </c>
      <c r="J995" s="157">
        <f t="shared" ref="J995:J1031" si="224">IF(I995="BNSF",0.32,IF(I995="CN",0.2818,IF(I995="CSX",0.44,0.34)))</f>
        <v>0.32</v>
      </c>
      <c r="K995" s="103">
        <f t="shared" si="218"/>
        <v>34.210526315789473</v>
      </c>
      <c r="L995" s="103">
        <f t="shared" si="219"/>
        <v>0.93108108108108112</v>
      </c>
      <c r="M995" s="133">
        <f t="shared" si="220"/>
        <v>95.36</v>
      </c>
      <c r="N995" s="133">
        <f t="shared" si="221"/>
        <v>3540.36</v>
      </c>
      <c r="O995" s="134">
        <f t="shared" si="222"/>
        <v>35.157497517378353</v>
      </c>
      <c r="P995" s="134">
        <f t="shared" si="223"/>
        <v>0.9568540540540541</v>
      </c>
      <c r="Q995" s="160"/>
      <c r="R995" s="149">
        <f t="shared" si="217"/>
        <v>20.861098973126492</v>
      </c>
    </row>
    <row r="996" spans="1:18" ht="14.45" x14ac:dyDescent="0.3">
      <c r="A996" s="82" t="s">
        <v>1</v>
      </c>
      <c r="B996" s="82" t="s">
        <v>2</v>
      </c>
      <c r="C996" s="82" t="s">
        <v>6</v>
      </c>
      <c r="D996" s="82" t="s">
        <v>90</v>
      </c>
      <c r="E996" s="88">
        <f t="shared" ref="E996:E1031" si="225">E995</f>
        <v>41122</v>
      </c>
      <c r="G996" s="92">
        <v>6026</v>
      </c>
      <c r="H996" s="52">
        <v>1530</v>
      </c>
      <c r="I996" s="52" t="s">
        <v>93</v>
      </c>
      <c r="J996" s="157">
        <f t="shared" si="224"/>
        <v>0.32</v>
      </c>
      <c r="K996" s="103">
        <f t="shared" si="218"/>
        <v>59.841112214498509</v>
      </c>
      <c r="L996" s="103">
        <f t="shared" si="219"/>
        <v>1.6286486486486487</v>
      </c>
      <c r="M996" s="133">
        <f t="shared" si="220"/>
        <v>489.6</v>
      </c>
      <c r="N996" s="133">
        <f t="shared" si="221"/>
        <v>6515.6</v>
      </c>
      <c r="O996" s="134">
        <f t="shared" si="222"/>
        <v>64.703078450844089</v>
      </c>
      <c r="P996" s="134">
        <f t="shared" si="223"/>
        <v>1.7609729729729731</v>
      </c>
      <c r="R996" s="149">
        <f t="shared" si="217"/>
        <v>4.0697674418604723</v>
      </c>
    </row>
    <row r="997" spans="1:18" ht="14.45" x14ac:dyDescent="0.3">
      <c r="A997" s="82" t="s">
        <v>1</v>
      </c>
      <c r="B997" s="82" t="s">
        <v>2</v>
      </c>
      <c r="C997" s="82" t="s">
        <v>7</v>
      </c>
      <c r="D997" s="82" t="s">
        <v>90</v>
      </c>
      <c r="E997" s="88">
        <f t="shared" si="225"/>
        <v>41122</v>
      </c>
      <c r="G997" s="92">
        <v>3645</v>
      </c>
      <c r="H997" s="52">
        <v>890</v>
      </c>
      <c r="I997" s="52" t="s">
        <v>92</v>
      </c>
      <c r="J997" s="157">
        <f t="shared" si="224"/>
        <v>0.34</v>
      </c>
      <c r="K997" s="103">
        <f t="shared" si="218"/>
        <v>36.196623634558094</v>
      </c>
      <c r="L997" s="103">
        <f t="shared" si="219"/>
        <v>0.98513513513513518</v>
      </c>
      <c r="M997" s="133">
        <f t="shared" si="220"/>
        <v>302.60000000000002</v>
      </c>
      <c r="N997" s="133">
        <f t="shared" si="221"/>
        <v>3947.6</v>
      </c>
      <c r="O997" s="134">
        <f t="shared" si="222"/>
        <v>39.201588877855016</v>
      </c>
      <c r="P997" s="134">
        <f t="shared" si="223"/>
        <v>1.066918918918919</v>
      </c>
      <c r="R997" s="149">
        <f t="shared" si="217"/>
        <v>3.3051579305471979</v>
      </c>
    </row>
    <row r="998" spans="1:18" ht="14.45" x14ac:dyDescent="0.3">
      <c r="A998" s="82" t="s">
        <v>1</v>
      </c>
      <c r="B998" s="82" t="s">
        <v>8</v>
      </c>
      <c r="C998" s="82" t="s">
        <v>9</v>
      </c>
      <c r="D998" s="82" t="s">
        <v>90</v>
      </c>
      <c r="E998" s="88">
        <f t="shared" si="225"/>
        <v>41122</v>
      </c>
      <c r="G998" s="92">
        <v>5573</v>
      </c>
      <c r="H998" s="52">
        <v>1256</v>
      </c>
      <c r="I998" s="52" t="s">
        <v>93</v>
      </c>
      <c r="J998" s="157">
        <f t="shared" si="224"/>
        <v>0.32</v>
      </c>
      <c r="K998" s="103">
        <f t="shared" si="218"/>
        <v>55.342601787487588</v>
      </c>
      <c r="L998" s="103">
        <f t="shared" si="219"/>
        <v>1.5062162162162163</v>
      </c>
      <c r="M998" s="133">
        <f t="shared" si="220"/>
        <v>401.92</v>
      </c>
      <c r="N998" s="133">
        <f t="shared" si="221"/>
        <v>5974.92</v>
      </c>
      <c r="O998" s="134">
        <f t="shared" si="222"/>
        <v>59.333862959285007</v>
      </c>
      <c r="P998" s="134">
        <f t="shared" si="223"/>
        <v>1.6148432432432434</v>
      </c>
      <c r="R998" s="149">
        <f t="shared" si="217"/>
        <v>1.9235230699946815</v>
      </c>
    </row>
    <row r="999" spans="1:18" ht="14.45" x14ac:dyDescent="0.3">
      <c r="A999" s="82" t="s">
        <v>1</v>
      </c>
      <c r="B999" s="82" t="s">
        <v>10</v>
      </c>
      <c r="C999" s="82" t="s">
        <v>9</v>
      </c>
      <c r="D999" s="82" t="s">
        <v>90</v>
      </c>
      <c r="E999" s="88">
        <f t="shared" si="225"/>
        <v>41122</v>
      </c>
      <c r="G999" s="92">
        <v>3912</v>
      </c>
      <c r="H999" s="52">
        <v>975</v>
      </c>
      <c r="I999" s="52" t="s">
        <v>92</v>
      </c>
      <c r="J999" s="157">
        <f t="shared" si="224"/>
        <v>0.34</v>
      </c>
      <c r="K999" s="103">
        <f t="shared" si="218"/>
        <v>38.848063555114202</v>
      </c>
      <c r="L999" s="103">
        <f t="shared" si="219"/>
        <v>1.0572972972972974</v>
      </c>
      <c r="M999" s="133">
        <f t="shared" si="220"/>
        <v>331.5</v>
      </c>
      <c r="N999" s="133">
        <f t="shared" si="221"/>
        <v>4243.5</v>
      </c>
      <c r="O999" s="134">
        <f t="shared" si="222"/>
        <v>42.140019860973183</v>
      </c>
      <c r="P999" s="134">
        <f t="shared" si="223"/>
        <v>1.146891891891892</v>
      </c>
      <c r="R999" s="149">
        <f t="shared" si="217"/>
        <v>2.9788266699023236</v>
      </c>
    </row>
    <row r="1000" spans="1:18" ht="14.45" x14ac:dyDescent="0.3">
      <c r="A1000" s="82" t="s">
        <v>1</v>
      </c>
      <c r="B1000" s="82" t="s">
        <v>11</v>
      </c>
      <c r="C1000" s="82" t="s">
        <v>6</v>
      </c>
      <c r="D1000" s="82" t="s">
        <v>90</v>
      </c>
      <c r="E1000" s="88">
        <f t="shared" si="225"/>
        <v>41122</v>
      </c>
      <c r="G1000" s="92">
        <v>4112</v>
      </c>
      <c r="H1000" s="52">
        <v>1357</v>
      </c>
      <c r="I1000" s="52" t="s">
        <v>92</v>
      </c>
      <c r="J1000" s="157">
        <f t="shared" si="224"/>
        <v>0.34</v>
      </c>
      <c r="K1000" s="103">
        <f t="shared" si="218"/>
        <v>40.834160873882816</v>
      </c>
      <c r="L1000" s="103">
        <f t="shared" si="219"/>
        <v>1.1113513513513513</v>
      </c>
      <c r="M1000" s="133">
        <f t="shared" si="220"/>
        <v>461.38000000000005</v>
      </c>
      <c r="N1000" s="133">
        <f t="shared" si="221"/>
        <v>4573.38</v>
      </c>
      <c r="O1000" s="134">
        <f t="shared" si="222"/>
        <v>45.415888778550148</v>
      </c>
      <c r="P1000" s="134">
        <f t="shared" si="223"/>
        <v>1.2360486486486486</v>
      </c>
      <c r="R1000" s="149">
        <f t="shared" si="217"/>
        <v>2.517097839317306</v>
      </c>
    </row>
    <row r="1001" spans="1:18" ht="14.45" x14ac:dyDescent="0.3">
      <c r="A1001" s="82" t="s">
        <v>134</v>
      </c>
      <c r="B1001" s="82" t="s">
        <v>13</v>
      </c>
      <c r="C1001" s="82" t="s">
        <v>7</v>
      </c>
      <c r="D1001" s="82" t="s">
        <v>90</v>
      </c>
      <c r="E1001" s="88">
        <f t="shared" si="225"/>
        <v>41122</v>
      </c>
      <c r="G1001" s="92">
        <v>3038</v>
      </c>
      <c r="H1001" s="52">
        <v>1006</v>
      </c>
      <c r="I1001" s="52" t="s">
        <v>92</v>
      </c>
      <c r="J1001" s="157">
        <f t="shared" si="224"/>
        <v>0.34</v>
      </c>
      <c r="K1001" s="103">
        <f t="shared" si="218"/>
        <v>30.168818272095333</v>
      </c>
      <c r="L1001" s="103">
        <f t="shared" si="219"/>
        <v>0.76634234234234233</v>
      </c>
      <c r="M1001" s="133">
        <f t="shared" si="220"/>
        <v>342.04</v>
      </c>
      <c r="N1001" s="133">
        <f t="shared" si="221"/>
        <v>3380.04</v>
      </c>
      <c r="O1001" s="134">
        <f t="shared" si="222"/>
        <v>33.565441906653426</v>
      </c>
      <c r="P1001" s="134">
        <f t="shared" si="223"/>
        <v>0.85262270270270268</v>
      </c>
      <c r="R1001" s="149">
        <f t="shared" si="217"/>
        <v>6.1497007116342539</v>
      </c>
    </row>
    <row r="1002" spans="1:18" ht="14.45" x14ac:dyDescent="0.3">
      <c r="A1002" s="82" t="s">
        <v>134</v>
      </c>
      <c r="B1002" s="82" t="s">
        <v>14</v>
      </c>
      <c r="C1002" s="82" t="s">
        <v>15</v>
      </c>
      <c r="D1002" s="82" t="s">
        <v>90</v>
      </c>
      <c r="E1002" s="88">
        <f t="shared" si="225"/>
        <v>41122</v>
      </c>
      <c r="G1002" s="92">
        <v>4382</v>
      </c>
      <c r="H1002" s="52">
        <v>866</v>
      </c>
      <c r="I1002" s="52" t="s">
        <v>94</v>
      </c>
      <c r="J1002" s="157">
        <f t="shared" si="224"/>
        <v>0.44</v>
      </c>
      <c r="K1002" s="103">
        <f t="shared" si="218"/>
        <v>43.515392254220458</v>
      </c>
      <c r="L1002" s="103">
        <f t="shared" si="219"/>
        <v>1.1053693693693694</v>
      </c>
      <c r="M1002" s="133">
        <f t="shared" si="220"/>
        <v>381.04</v>
      </c>
      <c r="N1002" s="133">
        <f t="shared" si="221"/>
        <v>4763.04</v>
      </c>
      <c r="O1002" s="134">
        <f t="shared" si="222"/>
        <v>47.299304865938431</v>
      </c>
      <c r="P1002" s="134">
        <f t="shared" si="223"/>
        <v>1.2014875675675676</v>
      </c>
      <c r="R1002" s="149">
        <f t="shared" si="217"/>
        <v>13.830138086293164</v>
      </c>
    </row>
    <row r="1003" spans="1:18" ht="14.45" x14ac:dyDescent="0.3">
      <c r="A1003" s="82" t="s">
        <v>134</v>
      </c>
      <c r="B1003" s="82" t="s">
        <v>16</v>
      </c>
      <c r="C1003" s="82" t="s">
        <v>17</v>
      </c>
      <c r="D1003" s="82" t="s">
        <v>90</v>
      </c>
      <c r="E1003" s="88">
        <f t="shared" si="225"/>
        <v>41122</v>
      </c>
      <c r="G1003" s="92">
        <v>1934</v>
      </c>
      <c r="H1003" s="52">
        <v>213</v>
      </c>
      <c r="I1003" s="52" t="s">
        <v>92</v>
      </c>
      <c r="J1003" s="157">
        <f t="shared" si="224"/>
        <v>0.34</v>
      </c>
      <c r="K1003" s="103">
        <f t="shared" si="218"/>
        <v>19.20556107249255</v>
      </c>
      <c r="L1003" s="103">
        <f t="shared" si="219"/>
        <v>0.48785585585585589</v>
      </c>
      <c r="M1003" s="133">
        <f t="shared" si="220"/>
        <v>72.42</v>
      </c>
      <c r="N1003" s="133">
        <f t="shared" si="221"/>
        <v>2006.42</v>
      </c>
      <c r="O1003" s="134">
        <f t="shared" si="222"/>
        <v>19.92472691161867</v>
      </c>
      <c r="P1003" s="134">
        <f t="shared" si="223"/>
        <v>0.50612396396396397</v>
      </c>
      <c r="R1003" s="149">
        <f t="shared" si="217"/>
        <v>4.4026204463500695</v>
      </c>
    </row>
    <row r="1004" spans="1:18" ht="14.45" x14ac:dyDescent="0.3">
      <c r="A1004" s="82" t="s">
        <v>134</v>
      </c>
      <c r="B1004" s="82" t="s">
        <v>18</v>
      </c>
      <c r="C1004" s="82" t="s">
        <v>19</v>
      </c>
      <c r="D1004" s="82" t="s">
        <v>90</v>
      </c>
      <c r="E1004" s="88">
        <f t="shared" si="225"/>
        <v>41122</v>
      </c>
      <c r="G1004" s="92">
        <v>3821</v>
      </c>
      <c r="H1004" s="52">
        <v>650</v>
      </c>
      <c r="I1004" s="52" t="s">
        <v>94</v>
      </c>
      <c r="J1004" s="157">
        <f t="shared" si="224"/>
        <v>0.44</v>
      </c>
      <c r="K1004" s="103">
        <f t="shared" si="218"/>
        <v>37.944389275074478</v>
      </c>
      <c r="L1004" s="103">
        <f t="shared" si="219"/>
        <v>0.96385585585585587</v>
      </c>
      <c r="M1004" s="133">
        <f t="shared" si="220"/>
        <v>286</v>
      </c>
      <c r="N1004" s="133">
        <f t="shared" si="221"/>
        <v>4107</v>
      </c>
      <c r="O1004" s="134">
        <f t="shared" si="222"/>
        <v>40.784508440913605</v>
      </c>
      <c r="P1004" s="134">
        <f t="shared" si="223"/>
        <v>1.036</v>
      </c>
      <c r="R1004" s="149">
        <f t="shared" si="217"/>
        <v>16.858728126333755</v>
      </c>
    </row>
    <row r="1005" spans="1:18" ht="14.45" x14ac:dyDescent="0.3">
      <c r="A1005" s="82" t="s">
        <v>134</v>
      </c>
      <c r="B1005" s="82" t="s">
        <v>18</v>
      </c>
      <c r="C1005" s="82" t="s">
        <v>20</v>
      </c>
      <c r="D1005" s="82" t="s">
        <v>90</v>
      </c>
      <c r="E1005" s="88">
        <f t="shared" si="225"/>
        <v>41122</v>
      </c>
      <c r="G1005" s="92">
        <v>3273</v>
      </c>
      <c r="H1005" s="52">
        <v>417</v>
      </c>
      <c r="I1005" s="52" t="s">
        <v>94</v>
      </c>
      <c r="J1005" s="157">
        <f t="shared" si="224"/>
        <v>0.44</v>
      </c>
      <c r="K1005" s="103">
        <f t="shared" si="218"/>
        <v>32.502482621648461</v>
      </c>
      <c r="L1005" s="103">
        <f t="shared" si="219"/>
        <v>0.82562162162162167</v>
      </c>
      <c r="M1005" s="133">
        <f t="shared" si="220"/>
        <v>183.48</v>
      </c>
      <c r="N1005" s="133">
        <f t="shared" si="221"/>
        <v>3456.48</v>
      </c>
      <c r="O1005" s="134">
        <f t="shared" si="222"/>
        <v>34.324528301886794</v>
      </c>
      <c r="P1005" s="134">
        <f t="shared" si="223"/>
        <v>0.87190486486486485</v>
      </c>
      <c r="R1005" s="149">
        <f t="shared" si="217"/>
        <v>16.602402566515885</v>
      </c>
    </row>
    <row r="1006" spans="1:18" ht="14.45" x14ac:dyDescent="0.3">
      <c r="A1006" s="82" t="s">
        <v>134</v>
      </c>
      <c r="B1006" s="82" t="s">
        <v>16</v>
      </c>
      <c r="C1006" s="82" t="s">
        <v>21</v>
      </c>
      <c r="D1006" s="82" t="s">
        <v>90</v>
      </c>
      <c r="E1006" s="88">
        <f t="shared" si="225"/>
        <v>41122</v>
      </c>
      <c r="G1006" s="92">
        <v>3074</v>
      </c>
      <c r="H1006" s="52">
        <v>626</v>
      </c>
      <c r="I1006" s="52" t="s">
        <v>92</v>
      </c>
      <c r="J1006" s="157">
        <f t="shared" si="224"/>
        <v>0.34</v>
      </c>
      <c r="K1006" s="103">
        <f t="shared" si="218"/>
        <v>30.526315789473685</v>
      </c>
      <c r="L1006" s="103">
        <f t="shared" si="219"/>
        <v>0.77542342342342341</v>
      </c>
      <c r="M1006" s="133">
        <f t="shared" si="220"/>
        <v>212.84</v>
      </c>
      <c r="N1006" s="133">
        <f t="shared" si="221"/>
        <v>3286.84</v>
      </c>
      <c r="O1006" s="134">
        <f t="shared" si="222"/>
        <v>32.639920556107249</v>
      </c>
      <c r="P1006" s="134">
        <f t="shared" si="223"/>
        <v>0.82911279279279282</v>
      </c>
      <c r="R1006" s="149">
        <f t="shared" si="217"/>
        <v>3.6982351196673591</v>
      </c>
    </row>
    <row r="1007" spans="1:18" ht="14.45" x14ac:dyDescent="0.3">
      <c r="A1007" s="82" t="s">
        <v>134</v>
      </c>
      <c r="B1007" s="82" t="s">
        <v>16</v>
      </c>
      <c r="C1007" s="82" t="s">
        <v>6</v>
      </c>
      <c r="D1007" s="82" t="s">
        <v>90</v>
      </c>
      <c r="E1007" s="88">
        <f t="shared" si="225"/>
        <v>41122</v>
      </c>
      <c r="G1007" s="92">
        <v>4985</v>
      </c>
      <c r="H1007" s="52">
        <v>1823</v>
      </c>
      <c r="I1007" s="52" t="s">
        <v>92</v>
      </c>
      <c r="J1007" s="157">
        <f t="shared" si="224"/>
        <v>0.34</v>
      </c>
      <c r="K1007" s="103">
        <f t="shared" si="218"/>
        <v>49.503475670307843</v>
      </c>
      <c r="L1007" s="103">
        <f t="shared" si="219"/>
        <v>1.2574774774774775</v>
      </c>
      <c r="M1007" s="133">
        <f t="shared" si="220"/>
        <v>619.82000000000005</v>
      </c>
      <c r="N1007" s="133">
        <f t="shared" si="221"/>
        <v>5604.82</v>
      </c>
      <c r="O1007" s="134">
        <f t="shared" si="222"/>
        <v>55.658589870903668</v>
      </c>
      <c r="P1007" s="134">
        <f t="shared" si="223"/>
        <v>1.4138284684684683</v>
      </c>
      <c r="R1007" s="149">
        <f t="shared" si="217"/>
        <v>1.7299179055850544</v>
      </c>
    </row>
    <row r="1008" spans="1:18" ht="14.45" x14ac:dyDescent="0.3">
      <c r="A1008" s="82" t="s">
        <v>22</v>
      </c>
      <c r="B1008" s="82" t="s">
        <v>23</v>
      </c>
      <c r="C1008" s="82" t="s">
        <v>7</v>
      </c>
      <c r="D1008" s="82" t="s">
        <v>90</v>
      </c>
      <c r="E1008" s="88">
        <f t="shared" si="225"/>
        <v>41122</v>
      </c>
      <c r="G1008" s="92">
        <v>3134</v>
      </c>
      <c r="H1008" s="52">
        <v>1295</v>
      </c>
      <c r="I1008" s="52" t="s">
        <v>95</v>
      </c>
      <c r="J1008" s="157">
        <f t="shared" si="224"/>
        <v>0.28179999999999999</v>
      </c>
      <c r="K1008" s="103">
        <f t="shared" si="218"/>
        <v>31.122144985104271</v>
      </c>
      <c r="L1008" s="103">
        <f t="shared" si="219"/>
        <v>0.84702702702702704</v>
      </c>
      <c r="M1008" s="133">
        <f t="shared" si="220"/>
        <v>364.93099999999998</v>
      </c>
      <c r="N1008" s="133">
        <f t="shared" si="221"/>
        <v>3498.931</v>
      </c>
      <c r="O1008" s="134">
        <f t="shared" si="222"/>
        <v>34.746087388282028</v>
      </c>
      <c r="P1008" s="134">
        <f t="shared" si="223"/>
        <v>0.94565702702702703</v>
      </c>
      <c r="R1008" s="149">
        <f t="shared" si="217"/>
        <v>-5.398719545472308</v>
      </c>
    </row>
    <row r="1009" spans="1:18" ht="14.45" x14ac:dyDescent="0.3">
      <c r="A1009" s="82" t="s">
        <v>22</v>
      </c>
      <c r="B1009" s="82" t="s">
        <v>14</v>
      </c>
      <c r="C1009" s="82" t="s">
        <v>24</v>
      </c>
      <c r="D1009" s="82" t="s">
        <v>90</v>
      </c>
      <c r="E1009" s="88">
        <f t="shared" si="225"/>
        <v>41122</v>
      </c>
      <c r="G1009" s="92">
        <v>3497</v>
      </c>
      <c r="H1009" s="52">
        <v>615</v>
      </c>
      <c r="I1009" s="52" t="s">
        <v>94</v>
      </c>
      <c r="J1009" s="157">
        <f t="shared" si="224"/>
        <v>0.44</v>
      </c>
      <c r="K1009" s="103">
        <f t="shared" si="218"/>
        <v>34.726911618669313</v>
      </c>
      <c r="L1009" s="103">
        <f t="shared" si="219"/>
        <v>0.94513513513513514</v>
      </c>
      <c r="M1009" s="133">
        <f t="shared" si="220"/>
        <v>270.60000000000002</v>
      </c>
      <c r="N1009" s="133">
        <f t="shared" si="221"/>
        <v>3767.6</v>
      </c>
      <c r="O1009" s="134">
        <f t="shared" si="222"/>
        <v>37.414101290963252</v>
      </c>
      <c r="P1009" s="134">
        <f t="shared" si="223"/>
        <v>1.0182702702702702</v>
      </c>
      <c r="R1009" s="149">
        <f t="shared" si="217"/>
        <v>16.92088072369544</v>
      </c>
    </row>
    <row r="1010" spans="1:18" ht="14.45" x14ac:dyDescent="0.3">
      <c r="A1010" s="82" t="s">
        <v>22</v>
      </c>
      <c r="B1010" s="82" t="s">
        <v>18</v>
      </c>
      <c r="C1010" s="82" t="s">
        <v>15</v>
      </c>
      <c r="D1010" s="82" t="s">
        <v>90</v>
      </c>
      <c r="E1010" s="88">
        <f t="shared" si="225"/>
        <v>41122</v>
      </c>
      <c r="G1010" s="92">
        <v>4453</v>
      </c>
      <c r="H1010" s="52">
        <v>872</v>
      </c>
      <c r="I1010" s="52" t="s">
        <v>94</v>
      </c>
      <c r="J1010" s="157">
        <f t="shared" si="224"/>
        <v>0.44</v>
      </c>
      <c r="K1010" s="103">
        <f t="shared" si="218"/>
        <v>44.220456802383318</v>
      </c>
      <c r="L1010" s="103">
        <f t="shared" si="219"/>
        <v>1.2035135135135135</v>
      </c>
      <c r="M1010" s="133">
        <f t="shared" si="220"/>
        <v>383.68</v>
      </c>
      <c r="N1010" s="133">
        <f t="shared" si="221"/>
        <v>4836.68</v>
      </c>
      <c r="O1010" s="134">
        <f t="shared" si="222"/>
        <v>48.030585898709042</v>
      </c>
      <c r="P1010" s="134">
        <f t="shared" si="223"/>
        <v>1.3072108108108109</v>
      </c>
      <c r="R1010" s="149">
        <f t="shared" si="217"/>
        <v>13.609628683102848</v>
      </c>
    </row>
    <row r="1011" spans="1:18" ht="14.45" x14ac:dyDescent="0.3">
      <c r="A1011" s="82" t="s">
        <v>22</v>
      </c>
      <c r="B1011" s="82" t="s">
        <v>18</v>
      </c>
      <c r="C1011" s="82" t="s">
        <v>24</v>
      </c>
      <c r="D1011" s="82" t="s">
        <v>90</v>
      </c>
      <c r="E1011" s="88">
        <f t="shared" si="225"/>
        <v>41122</v>
      </c>
      <c r="G1011" s="92">
        <v>3189</v>
      </c>
      <c r="H1011" s="52">
        <v>417</v>
      </c>
      <c r="I1011" s="52" t="s">
        <v>94</v>
      </c>
      <c r="J1011" s="157">
        <f t="shared" si="224"/>
        <v>0.44</v>
      </c>
      <c r="K1011" s="103">
        <f t="shared" si="218"/>
        <v>31.668321747765638</v>
      </c>
      <c r="L1011" s="103">
        <f t="shared" si="219"/>
        <v>0.86189189189189186</v>
      </c>
      <c r="M1011" s="133">
        <f t="shared" si="220"/>
        <v>183.48</v>
      </c>
      <c r="N1011" s="133">
        <f t="shared" si="221"/>
        <v>3372.48</v>
      </c>
      <c r="O1011" s="134">
        <f t="shared" si="222"/>
        <v>33.490367428003971</v>
      </c>
      <c r="P1011" s="134">
        <f t="shared" si="223"/>
        <v>0.91148108108108106</v>
      </c>
      <c r="R1011" s="149">
        <f t="shared" si="217"/>
        <v>19.704826910585549</v>
      </c>
    </row>
    <row r="1012" spans="1:18" ht="14.45" x14ac:dyDescent="0.3">
      <c r="A1012" s="82" t="s">
        <v>22</v>
      </c>
      <c r="B1012" s="82" t="s">
        <v>13</v>
      </c>
      <c r="C1012" s="82" t="s">
        <v>7</v>
      </c>
      <c r="D1012" s="82" t="s">
        <v>90</v>
      </c>
      <c r="E1012" s="88">
        <f t="shared" si="225"/>
        <v>41122</v>
      </c>
      <c r="G1012" s="92">
        <v>3382</v>
      </c>
      <c r="H1012" s="52">
        <v>1006</v>
      </c>
      <c r="I1012" s="52" t="s">
        <v>92</v>
      </c>
      <c r="J1012" s="157">
        <f t="shared" si="224"/>
        <v>0.34</v>
      </c>
      <c r="K1012" s="103">
        <f t="shared" si="218"/>
        <v>33.584905660377359</v>
      </c>
      <c r="L1012" s="103">
        <f t="shared" si="219"/>
        <v>0.91405405405405404</v>
      </c>
      <c r="M1012" s="133">
        <f t="shared" si="220"/>
        <v>342.04</v>
      </c>
      <c r="N1012" s="133">
        <f t="shared" si="221"/>
        <v>3724.04</v>
      </c>
      <c r="O1012" s="134">
        <f t="shared" si="222"/>
        <v>36.981529294935449</v>
      </c>
      <c r="P1012" s="134">
        <f t="shared" si="223"/>
        <v>1.0064972972972972</v>
      </c>
      <c r="R1012" s="149">
        <f t="shared" si="217"/>
        <v>5.5501074196053546</v>
      </c>
    </row>
    <row r="1013" spans="1:18" ht="14.45" x14ac:dyDescent="0.3">
      <c r="A1013" s="82" t="s">
        <v>1</v>
      </c>
      <c r="B1013" s="82" t="s">
        <v>25</v>
      </c>
      <c r="C1013" s="82" t="s">
        <v>26</v>
      </c>
      <c r="D1013" s="82" t="s">
        <v>91</v>
      </c>
      <c r="E1013" s="88">
        <f t="shared" si="225"/>
        <v>41122</v>
      </c>
      <c r="G1013" s="92">
        <v>3481</v>
      </c>
      <c r="H1013" s="52">
        <v>880</v>
      </c>
      <c r="I1013" s="52" t="s">
        <v>93</v>
      </c>
      <c r="J1013" s="157">
        <f t="shared" si="224"/>
        <v>0.32</v>
      </c>
      <c r="K1013" s="103">
        <f t="shared" si="218"/>
        <v>34.568023833167821</v>
      </c>
      <c r="L1013" s="103">
        <f t="shared" si="219"/>
        <v>0.94081081081081086</v>
      </c>
      <c r="M1013" s="133">
        <f t="shared" si="220"/>
        <v>281.60000000000002</v>
      </c>
      <c r="N1013" s="133">
        <f t="shared" si="221"/>
        <v>3762.6</v>
      </c>
      <c r="O1013" s="134">
        <f t="shared" si="222"/>
        <v>37.364448857994041</v>
      </c>
      <c r="P1013" s="134">
        <f t="shared" si="223"/>
        <v>1.0169189189189189</v>
      </c>
      <c r="R1013" s="149">
        <f t="shared" si="217"/>
        <v>5.8158501603014612</v>
      </c>
    </row>
    <row r="1014" spans="1:18" ht="14.45" x14ac:dyDescent="0.3">
      <c r="A1014" s="82" t="s">
        <v>1</v>
      </c>
      <c r="B1014" s="82" t="s">
        <v>2</v>
      </c>
      <c r="C1014" s="82" t="s">
        <v>9</v>
      </c>
      <c r="D1014" s="82" t="s">
        <v>91</v>
      </c>
      <c r="E1014" s="88">
        <f t="shared" si="225"/>
        <v>41122</v>
      </c>
      <c r="G1014" s="92">
        <v>3634</v>
      </c>
      <c r="H1014" s="52">
        <v>685</v>
      </c>
      <c r="I1014" s="52" t="s">
        <v>93</v>
      </c>
      <c r="J1014" s="157">
        <f t="shared" si="224"/>
        <v>0.32</v>
      </c>
      <c r="K1014" s="103">
        <f t="shared" si="218"/>
        <v>36.08738828202582</v>
      </c>
      <c r="L1014" s="103">
        <f t="shared" si="219"/>
        <v>0.98216216216216212</v>
      </c>
      <c r="M1014" s="133">
        <f t="shared" si="220"/>
        <v>219.20000000000002</v>
      </c>
      <c r="N1014" s="133">
        <f t="shared" si="221"/>
        <v>3853.2</v>
      </c>
      <c r="O1014" s="134">
        <f t="shared" si="222"/>
        <v>38.264150943396224</v>
      </c>
      <c r="P1014" s="134">
        <f t="shared" si="223"/>
        <v>1.0414054054054054</v>
      </c>
      <c r="R1014" s="149">
        <f t="shared" si="217"/>
        <v>13.643602902141216</v>
      </c>
    </row>
    <row r="1015" spans="1:18" ht="14.45" x14ac:dyDescent="0.3">
      <c r="A1015" s="82" t="s">
        <v>1</v>
      </c>
      <c r="B1015" s="82" t="s">
        <v>27</v>
      </c>
      <c r="C1015" s="82" t="s">
        <v>28</v>
      </c>
      <c r="D1015" s="82" t="s">
        <v>91</v>
      </c>
      <c r="E1015" s="88">
        <f t="shared" si="225"/>
        <v>41122</v>
      </c>
      <c r="G1015" s="92">
        <v>3645</v>
      </c>
      <c r="H1015" s="52">
        <v>812</v>
      </c>
      <c r="I1015" s="52" t="s">
        <v>94</v>
      </c>
      <c r="J1015" s="157">
        <f t="shared" si="224"/>
        <v>0.44</v>
      </c>
      <c r="K1015" s="103">
        <f t="shared" si="218"/>
        <v>36.196623634558094</v>
      </c>
      <c r="L1015" s="103">
        <f t="shared" si="219"/>
        <v>0.98513513513513518</v>
      </c>
      <c r="M1015" s="133">
        <f t="shared" si="220"/>
        <v>357.28000000000003</v>
      </c>
      <c r="N1015" s="133">
        <f t="shared" si="221"/>
        <v>4002.28</v>
      </c>
      <c r="O1015" s="134">
        <f t="shared" si="222"/>
        <v>39.744587884806357</v>
      </c>
      <c r="P1015" s="134">
        <f t="shared" si="223"/>
        <v>1.0816972972972974</v>
      </c>
      <c r="R1015" s="149">
        <f t="shared" si="217"/>
        <v>2.7574662120527504</v>
      </c>
    </row>
    <row r="1016" spans="1:18" ht="14.45" x14ac:dyDescent="0.3">
      <c r="A1016" s="82" t="s">
        <v>1</v>
      </c>
      <c r="B1016" s="82" t="s">
        <v>4</v>
      </c>
      <c r="C1016" s="82" t="s">
        <v>26</v>
      </c>
      <c r="D1016" s="82" t="s">
        <v>91</v>
      </c>
      <c r="E1016" s="88">
        <f t="shared" si="225"/>
        <v>41122</v>
      </c>
      <c r="G1016" s="92">
        <v>4963</v>
      </c>
      <c r="H1016" s="52">
        <v>1520</v>
      </c>
      <c r="I1016" s="52" t="s">
        <v>93</v>
      </c>
      <c r="J1016" s="157">
        <f t="shared" si="224"/>
        <v>0.32</v>
      </c>
      <c r="K1016" s="103">
        <f t="shared" si="218"/>
        <v>49.285004965243296</v>
      </c>
      <c r="L1016" s="103">
        <f t="shared" si="219"/>
        <v>1.3413513513513513</v>
      </c>
      <c r="M1016" s="133">
        <f t="shared" si="220"/>
        <v>486.40000000000003</v>
      </c>
      <c r="N1016" s="133">
        <f t="shared" si="221"/>
        <v>5449.4</v>
      </c>
      <c r="O1016" s="134">
        <f t="shared" si="222"/>
        <v>54.115193644488578</v>
      </c>
      <c r="P1016" s="134">
        <f t="shared" si="223"/>
        <v>1.4728108108108107</v>
      </c>
      <c r="R1016" s="149">
        <f t="shared" si="217"/>
        <v>3.8139145012573206</v>
      </c>
    </row>
    <row r="1017" spans="1:18" ht="14.45" x14ac:dyDescent="0.3">
      <c r="A1017" s="82" t="s">
        <v>1</v>
      </c>
      <c r="B1017" s="82" t="s">
        <v>4</v>
      </c>
      <c r="C1017" s="82" t="s">
        <v>9</v>
      </c>
      <c r="D1017" s="82" t="s">
        <v>91</v>
      </c>
      <c r="E1017" s="88">
        <f t="shared" si="225"/>
        <v>41122</v>
      </c>
      <c r="G1017" s="92">
        <v>5984</v>
      </c>
      <c r="H1017" s="52">
        <v>1583</v>
      </c>
      <c r="I1017" s="52" t="s">
        <v>93</v>
      </c>
      <c r="J1017" s="157">
        <f t="shared" si="224"/>
        <v>0.32</v>
      </c>
      <c r="K1017" s="103">
        <f t="shared" si="218"/>
        <v>59.424031777557097</v>
      </c>
      <c r="L1017" s="103">
        <f t="shared" si="219"/>
        <v>1.6172972972972972</v>
      </c>
      <c r="M1017" s="133">
        <f t="shared" si="220"/>
        <v>506.56</v>
      </c>
      <c r="N1017" s="133">
        <f t="shared" si="221"/>
        <v>6490.56</v>
      </c>
      <c r="O1017" s="134">
        <f t="shared" si="222"/>
        <v>64.454419066534257</v>
      </c>
      <c r="P1017" s="134">
        <f t="shared" si="223"/>
        <v>1.7542054054054055</v>
      </c>
      <c r="R1017" s="149">
        <f t="shared" si="217"/>
        <v>4.3854175378103211</v>
      </c>
    </row>
    <row r="1018" spans="1:18" ht="14.45" x14ac:dyDescent="0.3">
      <c r="A1018" s="82" t="s">
        <v>1</v>
      </c>
      <c r="B1018" s="82" t="s">
        <v>10</v>
      </c>
      <c r="C1018" s="82" t="s">
        <v>26</v>
      </c>
      <c r="D1018" s="82" t="s">
        <v>91</v>
      </c>
      <c r="E1018" s="88">
        <f t="shared" si="225"/>
        <v>41122</v>
      </c>
      <c r="G1018" s="92">
        <v>4880</v>
      </c>
      <c r="H1018" s="52">
        <v>1599</v>
      </c>
      <c r="I1018" s="52" t="s">
        <v>92</v>
      </c>
      <c r="J1018" s="157">
        <f t="shared" si="224"/>
        <v>0.34</v>
      </c>
      <c r="K1018" s="103">
        <f t="shared" si="218"/>
        <v>48.460774577954318</v>
      </c>
      <c r="L1018" s="103">
        <f t="shared" si="219"/>
        <v>1.318918918918919</v>
      </c>
      <c r="M1018" s="133">
        <f t="shared" si="220"/>
        <v>543.66000000000008</v>
      </c>
      <c r="N1018" s="133">
        <f t="shared" si="221"/>
        <v>5423.66</v>
      </c>
      <c r="O1018" s="134">
        <f t="shared" si="222"/>
        <v>53.859582919563053</v>
      </c>
      <c r="P1018" s="134">
        <f t="shared" si="223"/>
        <v>1.4658540540540541</v>
      </c>
      <c r="R1018" s="149">
        <f t="shared" si="217"/>
        <v>1.9747566572594799</v>
      </c>
    </row>
    <row r="1019" spans="1:18" ht="14.45" x14ac:dyDescent="0.3">
      <c r="A1019" s="82" t="s">
        <v>134</v>
      </c>
      <c r="B1019" s="82" t="s">
        <v>23</v>
      </c>
      <c r="C1019" s="82" t="s">
        <v>26</v>
      </c>
      <c r="D1019" s="82" t="s">
        <v>91</v>
      </c>
      <c r="E1019" s="88">
        <f t="shared" si="225"/>
        <v>41122</v>
      </c>
      <c r="G1019" s="92">
        <v>4800</v>
      </c>
      <c r="H1019" s="52">
        <v>1851</v>
      </c>
      <c r="I1019" s="52" t="s">
        <v>93</v>
      </c>
      <c r="J1019" s="157">
        <f t="shared" si="224"/>
        <v>0.32</v>
      </c>
      <c r="K1019" s="103">
        <f t="shared" si="218"/>
        <v>47.666335650446868</v>
      </c>
      <c r="L1019" s="103">
        <f t="shared" si="219"/>
        <v>1.2108108108108109</v>
      </c>
      <c r="M1019" s="133">
        <f t="shared" si="220"/>
        <v>592.32000000000005</v>
      </c>
      <c r="N1019" s="133">
        <f t="shared" si="221"/>
        <v>5392.32</v>
      </c>
      <c r="O1019" s="134">
        <f t="shared" si="222"/>
        <v>53.548361469712013</v>
      </c>
      <c r="P1019" s="134">
        <f t="shared" si="223"/>
        <v>1.3602248648648647</v>
      </c>
      <c r="R1019" s="149">
        <f t="shared" si="217"/>
        <v>0.85965030413215349</v>
      </c>
    </row>
    <row r="1020" spans="1:18" ht="14.65" x14ac:dyDescent="0.35">
      <c r="A1020" s="82" t="s">
        <v>134</v>
      </c>
      <c r="B1020" s="82" t="s">
        <v>8</v>
      </c>
      <c r="C1020" s="82" t="s">
        <v>29</v>
      </c>
      <c r="D1020" s="82" t="s">
        <v>91</v>
      </c>
      <c r="E1020" s="88">
        <f t="shared" si="225"/>
        <v>41122</v>
      </c>
      <c r="G1020" s="92">
        <v>4760</v>
      </c>
      <c r="H1020" s="52">
        <v>1695</v>
      </c>
      <c r="I1020" s="52" t="s">
        <v>93</v>
      </c>
      <c r="J1020" s="157">
        <f t="shared" si="224"/>
        <v>0.32</v>
      </c>
      <c r="K1020" s="103">
        <f t="shared" si="218"/>
        <v>47.269116186693147</v>
      </c>
      <c r="L1020" s="103">
        <f t="shared" si="219"/>
        <v>1.2007207207207207</v>
      </c>
      <c r="M1020" s="133">
        <f t="shared" si="220"/>
        <v>542.4</v>
      </c>
      <c r="N1020" s="133">
        <f t="shared" si="221"/>
        <v>5302.4</v>
      </c>
      <c r="O1020" s="134">
        <f t="shared" si="222"/>
        <v>52.655412115193641</v>
      </c>
      <c r="P1020" s="134">
        <f t="shared" si="223"/>
        <v>1.3375423423423423</v>
      </c>
      <c r="R1020" s="149">
        <f t="shared" si="217"/>
        <v>0.99424783817758655</v>
      </c>
    </row>
    <row r="1021" spans="1:18" ht="14.65" x14ac:dyDescent="0.35">
      <c r="A1021" s="82" t="s">
        <v>134</v>
      </c>
      <c r="B1021" s="82" t="s">
        <v>13</v>
      </c>
      <c r="C1021" s="82" t="s">
        <v>7</v>
      </c>
      <c r="D1021" s="82" t="s">
        <v>91</v>
      </c>
      <c r="E1021" s="88">
        <f t="shared" si="225"/>
        <v>41122</v>
      </c>
      <c r="G1021" s="92">
        <v>2857</v>
      </c>
      <c r="H1021" s="52">
        <v>1006</v>
      </c>
      <c r="I1021" s="52" t="s">
        <v>92</v>
      </c>
      <c r="J1021" s="157">
        <f t="shared" si="224"/>
        <v>0.34</v>
      </c>
      <c r="K1021" s="103">
        <f t="shared" si="218"/>
        <v>28.371400198609731</v>
      </c>
      <c r="L1021" s="103">
        <f t="shared" si="219"/>
        <v>0.72068468468468472</v>
      </c>
      <c r="M1021" s="133">
        <f t="shared" si="220"/>
        <v>342.04</v>
      </c>
      <c r="N1021" s="133">
        <f t="shared" si="221"/>
        <v>3199.04</v>
      </c>
      <c r="O1021" s="134">
        <f t="shared" si="222"/>
        <v>31.768023833167824</v>
      </c>
      <c r="P1021" s="134">
        <f t="shared" si="223"/>
        <v>0.80696504504504507</v>
      </c>
      <c r="R1021" s="149">
        <f t="shared" ref="R1021:R1058" si="226">((N1021/N565)-1)*100</f>
        <v>4.9133876860311787</v>
      </c>
    </row>
    <row r="1022" spans="1:18" ht="14.65" x14ac:dyDescent="0.35">
      <c r="A1022" s="82" t="s">
        <v>134</v>
      </c>
      <c r="B1022" s="82" t="s">
        <v>30</v>
      </c>
      <c r="C1022" s="82" t="s">
        <v>9</v>
      </c>
      <c r="D1022" s="82" t="s">
        <v>91</v>
      </c>
      <c r="E1022" s="88">
        <f t="shared" si="225"/>
        <v>41122</v>
      </c>
      <c r="G1022" s="92">
        <v>3310</v>
      </c>
      <c r="H1022" s="52">
        <v>988</v>
      </c>
      <c r="I1022" s="52" t="s">
        <v>93</v>
      </c>
      <c r="J1022" s="157">
        <f t="shared" si="224"/>
        <v>0.32</v>
      </c>
      <c r="K1022" s="103">
        <f t="shared" si="218"/>
        <v>32.869910625620655</v>
      </c>
      <c r="L1022" s="103">
        <f t="shared" si="219"/>
        <v>0.83495495495495498</v>
      </c>
      <c r="M1022" s="133">
        <f t="shared" si="220"/>
        <v>316.16000000000003</v>
      </c>
      <c r="N1022" s="133">
        <f t="shared" si="221"/>
        <v>3626.16</v>
      </c>
      <c r="O1022" s="134">
        <f t="shared" si="222"/>
        <v>36.009533267130088</v>
      </c>
      <c r="P1022" s="134">
        <f t="shared" si="223"/>
        <v>0.914707027027027</v>
      </c>
      <c r="R1022" s="149">
        <f t="shared" si="226"/>
        <v>2.2698043816700819</v>
      </c>
    </row>
    <row r="1023" spans="1:18" ht="14.65" x14ac:dyDescent="0.35">
      <c r="A1023" s="82" t="s">
        <v>134</v>
      </c>
      <c r="B1023" s="82" t="s">
        <v>16</v>
      </c>
      <c r="C1023" s="82" t="s">
        <v>11</v>
      </c>
      <c r="D1023" s="82" t="s">
        <v>91</v>
      </c>
      <c r="E1023" s="88">
        <f t="shared" si="225"/>
        <v>41122</v>
      </c>
      <c r="G1023" s="92">
        <v>3430</v>
      </c>
      <c r="H1023" s="52">
        <v>787</v>
      </c>
      <c r="I1023" s="52" t="s">
        <v>92</v>
      </c>
      <c r="J1023" s="157">
        <f t="shared" si="224"/>
        <v>0.34</v>
      </c>
      <c r="K1023" s="103">
        <f t="shared" si="218"/>
        <v>34.061569016881826</v>
      </c>
      <c r="L1023" s="103">
        <f t="shared" si="219"/>
        <v>0.86522522522522527</v>
      </c>
      <c r="M1023" s="133">
        <f t="shared" si="220"/>
        <v>267.58000000000004</v>
      </c>
      <c r="N1023" s="133">
        <f t="shared" si="221"/>
        <v>3697.58</v>
      </c>
      <c r="O1023" s="134">
        <f t="shared" si="222"/>
        <v>36.718768619662363</v>
      </c>
      <c r="P1023" s="134">
        <f t="shared" si="223"/>
        <v>0.93272288288288285</v>
      </c>
      <c r="R1023" s="149">
        <f t="shared" si="226"/>
        <v>2.1095275310049955</v>
      </c>
    </row>
    <row r="1024" spans="1:18" ht="14.65" x14ac:dyDescent="0.35">
      <c r="A1024" s="82" t="s">
        <v>134</v>
      </c>
      <c r="B1024" s="82" t="s">
        <v>23</v>
      </c>
      <c r="C1024" s="82" t="s">
        <v>29</v>
      </c>
      <c r="D1024" s="82" t="s">
        <v>91</v>
      </c>
      <c r="E1024" s="88">
        <f t="shared" si="225"/>
        <v>41122</v>
      </c>
      <c r="G1024" s="92">
        <v>4800</v>
      </c>
      <c r="H1024" s="52">
        <v>1836</v>
      </c>
      <c r="I1024" s="52" t="s">
        <v>93</v>
      </c>
      <c r="J1024" s="157">
        <f t="shared" si="224"/>
        <v>0.32</v>
      </c>
      <c r="K1024" s="103">
        <f t="shared" si="218"/>
        <v>47.666335650446868</v>
      </c>
      <c r="L1024" s="103">
        <f t="shared" si="219"/>
        <v>1.2108108108108109</v>
      </c>
      <c r="M1024" s="133">
        <f t="shared" si="220"/>
        <v>587.52</v>
      </c>
      <c r="N1024" s="133">
        <f t="shared" si="221"/>
        <v>5387.52</v>
      </c>
      <c r="O1024" s="134">
        <f t="shared" si="222"/>
        <v>53.500695134061573</v>
      </c>
      <c r="P1024" s="134">
        <f t="shared" si="223"/>
        <v>1.3590140540540543</v>
      </c>
      <c r="R1024" s="149">
        <f t="shared" si="226"/>
        <v>0.87175339264851104</v>
      </c>
    </row>
    <row r="1025" spans="1:20" ht="14.65" x14ac:dyDescent="0.35">
      <c r="A1025" s="82" t="s">
        <v>134</v>
      </c>
      <c r="B1025" s="82" t="s">
        <v>31</v>
      </c>
      <c r="C1025" s="82" t="s">
        <v>32</v>
      </c>
      <c r="D1025" s="82" t="s">
        <v>91</v>
      </c>
      <c r="E1025" s="88">
        <f t="shared" si="225"/>
        <v>41122</v>
      </c>
      <c r="G1025" s="92">
        <v>4200</v>
      </c>
      <c r="H1025" s="52">
        <v>1899</v>
      </c>
      <c r="I1025" s="52" t="s">
        <v>93</v>
      </c>
      <c r="J1025" s="157">
        <f t="shared" si="224"/>
        <v>0.32</v>
      </c>
      <c r="K1025" s="103">
        <f t="shared" si="218"/>
        <v>41.708043694141011</v>
      </c>
      <c r="L1025" s="103">
        <f t="shared" si="219"/>
        <v>1.0594594594594595</v>
      </c>
      <c r="M1025" s="133">
        <f t="shared" si="220"/>
        <v>607.68000000000006</v>
      </c>
      <c r="N1025" s="133">
        <f t="shared" si="221"/>
        <v>4807.68</v>
      </c>
      <c r="O1025" s="134">
        <f t="shared" si="222"/>
        <v>47.742601787487587</v>
      </c>
      <c r="P1025" s="134">
        <f t="shared" si="223"/>
        <v>1.2127481081081082</v>
      </c>
      <c r="R1025" s="149">
        <f t="shared" si="226"/>
        <v>0.92450311106633265</v>
      </c>
    </row>
    <row r="1026" spans="1:20" ht="14.65" x14ac:dyDescent="0.35">
      <c r="A1026" s="82" t="s">
        <v>22</v>
      </c>
      <c r="B1026" s="82" t="s">
        <v>8</v>
      </c>
      <c r="C1026" s="82" t="s">
        <v>29</v>
      </c>
      <c r="D1026" s="82" t="s">
        <v>91</v>
      </c>
      <c r="E1026" s="88">
        <f t="shared" si="225"/>
        <v>41122</v>
      </c>
      <c r="G1026" s="92">
        <v>5040</v>
      </c>
      <c r="H1026" s="52">
        <v>1695</v>
      </c>
      <c r="I1026" s="52" t="s">
        <v>93</v>
      </c>
      <c r="J1026" s="157">
        <f t="shared" si="224"/>
        <v>0.32</v>
      </c>
      <c r="K1026" s="103">
        <f t="shared" si="218"/>
        <v>50.049652432969211</v>
      </c>
      <c r="L1026" s="103">
        <f t="shared" si="219"/>
        <v>1.3621621621621622</v>
      </c>
      <c r="M1026" s="133">
        <f t="shared" si="220"/>
        <v>542.4</v>
      </c>
      <c r="N1026" s="133">
        <f t="shared" si="221"/>
        <v>5582.4</v>
      </c>
      <c r="O1026" s="134">
        <f t="shared" si="222"/>
        <v>55.435948361469706</v>
      </c>
      <c r="P1026" s="134">
        <f t="shared" si="223"/>
        <v>1.5087567567567566</v>
      </c>
      <c r="R1026" s="149">
        <f t="shared" si="226"/>
        <v>2.4255990605849265</v>
      </c>
    </row>
    <row r="1027" spans="1:20" ht="14.65" x14ac:dyDescent="0.35">
      <c r="A1027" s="82" t="s">
        <v>22</v>
      </c>
      <c r="B1027" s="82" t="s">
        <v>23</v>
      </c>
      <c r="C1027" s="82" t="s">
        <v>26</v>
      </c>
      <c r="D1027" s="82" t="s">
        <v>91</v>
      </c>
      <c r="E1027" s="88">
        <f t="shared" si="225"/>
        <v>41122</v>
      </c>
      <c r="G1027" s="92">
        <v>5030</v>
      </c>
      <c r="H1027" s="52">
        <v>1851</v>
      </c>
      <c r="I1027" s="52" t="s">
        <v>93</v>
      </c>
      <c r="J1027" s="157">
        <f t="shared" si="224"/>
        <v>0.32</v>
      </c>
      <c r="K1027" s="103">
        <f t="shared" si="218"/>
        <v>49.950347567030782</v>
      </c>
      <c r="L1027" s="103">
        <f t="shared" si="219"/>
        <v>1.3594594594594596</v>
      </c>
      <c r="M1027" s="133">
        <f t="shared" si="220"/>
        <v>592.32000000000005</v>
      </c>
      <c r="N1027" s="133">
        <f t="shared" si="221"/>
        <v>5622.32</v>
      </c>
      <c r="O1027" s="134">
        <f t="shared" si="222"/>
        <v>55.832373386295927</v>
      </c>
      <c r="P1027" s="134">
        <f t="shared" si="223"/>
        <v>1.5195459459459459</v>
      </c>
      <c r="R1027" s="149">
        <f t="shared" si="226"/>
        <v>2.291698505920281</v>
      </c>
    </row>
    <row r="1028" spans="1:20" ht="14.65" x14ac:dyDescent="0.35">
      <c r="A1028" s="82" t="s">
        <v>22</v>
      </c>
      <c r="B1028" s="82" t="s">
        <v>33</v>
      </c>
      <c r="C1028" s="82" t="s">
        <v>29</v>
      </c>
      <c r="D1028" s="82" t="s">
        <v>91</v>
      </c>
      <c r="E1028" s="88">
        <f t="shared" si="225"/>
        <v>41122</v>
      </c>
      <c r="G1028" s="92">
        <v>4930</v>
      </c>
      <c r="H1028" s="52">
        <v>1507</v>
      </c>
      <c r="I1028" s="52" t="s">
        <v>93</v>
      </c>
      <c r="J1028" s="157">
        <f t="shared" si="224"/>
        <v>0.32</v>
      </c>
      <c r="K1028" s="103">
        <f t="shared" si="218"/>
        <v>48.957298907646475</v>
      </c>
      <c r="L1028" s="103">
        <f t="shared" si="219"/>
        <v>1.3324324324324324</v>
      </c>
      <c r="M1028" s="133">
        <f t="shared" si="220"/>
        <v>482.24</v>
      </c>
      <c r="N1028" s="133">
        <f t="shared" si="221"/>
        <v>5412.24</v>
      </c>
      <c r="O1028" s="134">
        <f t="shared" si="222"/>
        <v>53.746176762661364</v>
      </c>
      <c r="P1028" s="134">
        <f t="shared" si="223"/>
        <v>1.4627675675675675</v>
      </c>
      <c r="R1028" s="149">
        <f t="shared" si="226"/>
        <v>2.6499662400521817</v>
      </c>
    </row>
    <row r="1029" spans="1:20" ht="14.65" x14ac:dyDescent="0.35">
      <c r="A1029" s="82" t="s">
        <v>22</v>
      </c>
      <c r="B1029" s="82" t="s">
        <v>31</v>
      </c>
      <c r="C1029" s="82" t="s">
        <v>7</v>
      </c>
      <c r="D1029" s="82" t="s">
        <v>91</v>
      </c>
      <c r="E1029" s="88">
        <f t="shared" si="225"/>
        <v>41122</v>
      </c>
      <c r="G1029" s="92">
        <v>3710</v>
      </c>
      <c r="H1029" s="52">
        <v>1160</v>
      </c>
      <c r="I1029" s="52" t="s">
        <v>92</v>
      </c>
      <c r="J1029" s="157">
        <f t="shared" si="224"/>
        <v>0.34</v>
      </c>
      <c r="K1029" s="103">
        <f t="shared" si="218"/>
        <v>36.84210526315789</v>
      </c>
      <c r="L1029" s="103">
        <f t="shared" si="219"/>
        <v>1.0027027027027027</v>
      </c>
      <c r="M1029" s="133">
        <f t="shared" si="220"/>
        <v>394.40000000000003</v>
      </c>
      <c r="N1029" s="133">
        <f t="shared" si="221"/>
        <v>4104.3999999999996</v>
      </c>
      <c r="O1029" s="134">
        <f t="shared" si="222"/>
        <v>40.758689175769611</v>
      </c>
      <c r="P1029" s="134">
        <f t="shared" si="223"/>
        <v>1.1092972972972972</v>
      </c>
      <c r="R1029" s="149">
        <f t="shared" si="226"/>
        <v>4.1937449228269585</v>
      </c>
    </row>
    <row r="1030" spans="1:20" ht="14.65" x14ac:dyDescent="0.35">
      <c r="A1030" s="82" t="s">
        <v>22</v>
      </c>
      <c r="B1030" s="82" t="s">
        <v>14</v>
      </c>
      <c r="C1030" s="82" t="s">
        <v>24</v>
      </c>
      <c r="D1030" s="82" t="s">
        <v>91</v>
      </c>
      <c r="E1030" s="88">
        <f t="shared" si="225"/>
        <v>41122</v>
      </c>
      <c r="G1030" s="92">
        <v>2672</v>
      </c>
      <c r="H1030" s="52">
        <v>615</v>
      </c>
      <c r="I1030" s="52" t="s">
        <v>94</v>
      </c>
      <c r="J1030" s="157">
        <f t="shared" si="224"/>
        <v>0.44</v>
      </c>
      <c r="K1030" s="103">
        <f t="shared" si="218"/>
        <v>26.53426017874876</v>
      </c>
      <c r="L1030" s="103">
        <f t="shared" si="219"/>
        <v>0.72216216216216211</v>
      </c>
      <c r="M1030" s="133">
        <f t="shared" si="220"/>
        <v>270.60000000000002</v>
      </c>
      <c r="N1030" s="133">
        <f t="shared" si="221"/>
        <v>2942.6</v>
      </c>
      <c r="O1030" s="134">
        <f t="shared" si="222"/>
        <v>29.221449851042699</v>
      </c>
      <c r="P1030" s="134">
        <f t="shared" si="223"/>
        <v>0.79529729729729726</v>
      </c>
      <c r="R1030" s="149">
        <f t="shared" si="226"/>
        <v>3.7094471954464581</v>
      </c>
    </row>
    <row r="1031" spans="1:20" ht="14.65" x14ac:dyDescent="0.35">
      <c r="A1031" s="118" t="s">
        <v>22</v>
      </c>
      <c r="B1031" s="118" t="s">
        <v>34</v>
      </c>
      <c r="C1031" s="118" t="s">
        <v>26</v>
      </c>
      <c r="D1031" s="118" t="s">
        <v>91</v>
      </c>
      <c r="E1031" s="90">
        <f t="shared" si="225"/>
        <v>41122</v>
      </c>
      <c r="F1031" s="84"/>
      <c r="G1031" s="105">
        <v>5115</v>
      </c>
      <c r="H1031" s="158">
        <v>1637</v>
      </c>
      <c r="I1031" s="158" t="s">
        <v>92</v>
      </c>
      <c r="J1031" s="122">
        <f t="shared" si="224"/>
        <v>0.34</v>
      </c>
      <c r="K1031" s="114">
        <f t="shared" si="218"/>
        <v>50.79443892750745</v>
      </c>
      <c r="L1031" s="114">
        <f t="shared" si="219"/>
        <v>1.3824324324324324</v>
      </c>
      <c r="M1031" s="115">
        <f t="shared" si="220"/>
        <v>556.58000000000004</v>
      </c>
      <c r="N1031" s="115">
        <f t="shared" si="221"/>
        <v>5671.58</v>
      </c>
      <c r="O1031" s="116">
        <f t="shared" si="222"/>
        <v>56.321549155908635</v>
      </c>
      <c r="P1031" s="116">
        <f t="shared" si="223"/>
        <v>1.5328594594594593</v>
      </c>
      <c r="Q1031" s="106"/>
      <c r="R1031" s="152">
        <f t="shared" si="226"/>
        <v>10.650078330917401</v>
      </c>
    </row>
    <row r="1032" spans="1:20" ht="14.45" x14ac:dyDescent="0.3">
      <c r="A1032" s="60" t="s">
        <v>1</v>
      </c>
      <c r="B1032" s="60" t="s">
        <v>2</v>
      </c>
      <c r="C1032" s="60" t="s">
        <v>3</v>
      </c>
      <c r="D1032" s="60" t="s">
        <v>90</v>
      </c>
      <c r="E1032" s="89">
        <v>41153</v>
      </c>
      <c r="F1032" s="61"/>
      <c r="G1032" s="92">
        <v>3144</v>
      </c>
      <c r="H1032" s="138">
        <v>506</v>
      </c>
      <c r="I1032" s="138" t="s">
        <v>92</v>
      </c>
      <c r="J1032" s="141">
        <f>IF(I1032="BNSF",0.31,IF(I1032="CN",0.276,IF(I1032="CSX",0.44,0.33)))</f>
        <v>0.33</v>
      </c>
      <c r="K1032" s="95">
        <f t="shared" ref="K1032:K1069" si="227">G1032/100.7</f>
        <v>31.221449851042699</v>
      </c>
      <c r="L1032" s="95">
        <f t="shared" ref="L1032:L1069" si="228">IF(A1032="corn",G1032/(111*2000/56),G1032/(111*2000/60))</f>
        <v>0.84972972972972971</v>
      </c>
      <c r="M1032" s="133">
        <f t="shared" ref="M1032:M1069" si="229">H1032*J1032</f>
        <v>166.98000000000002</v>
      </c>
      <c r="N1032" s="133">
        <f t="shared" ref="N1032:N1069" si="230">G1032+M1032</f>
        <v>3310.98</v>
      </c>
      <c r="O1032" s="134">
        <f t="shared" ref="O1032:O1069" si="231">N1032/100.7</f>
        <v>32.879642502482618</v>
      </c>
      <c r="P1032" s="134">
        <f t="shared" ref="P1032:P1069" si="232">IF(A1032="corn",N1032/(111*2000/56),N1032/(111*2000/60))</f>
        <v>0.89485945945945944</v>
      </c>
      <c r="Q1032" s="160"/>
      <c r="R1032" s="149">
        <f t="shared" si="226"/>
        <v>4.1444127804933339</v>
      </c>
      <c r="S1032" s="140">
        <f>AVERAGE(O956,O994,O1032)</f>
        <v>32.98013902681231</v>
      </c>
      <c r="T1032" s="151">
        <f>(S1032/S918)-1</f>
        <v>3.9663160530928998E-2</v>
      </c>
    </row>
    <row r="1033" spans="1:20" ht="14.45" x14ac:dyDescent="0.3">
      <c r="A1033" s="60" t="s">
        <v>1</v>
      </c>
      <c r="B1033" s="60" t="s">
        <v>4</v>
      </c>
      <c r="C1033" s="60" t="s">
        <v>5</v>
      </c>
      <c r="D1033" s="60" t="s">
        <v>90</v>
      </c>
      <c r="E1033" s="89">
        <f>E1032</f>
        <v>41153</v>
      </c>
      <c r="F1033" s="61"/>
      <c r="G1033" s="92">
        <v>3537</v>
      </c>
      <c r="H1033" s="138">
        <v>298</v>
      </c>
      <c r="I1033" s="138" t="s">
        <v>93</v>
      </c>
      <c r="J1033" s="141">
        <f>IF(I1033="BNSF",0.31,IF(I1033="CN",0.276,IF(I1033="CSX",0.44,0.33)))</f>
        <v>0.31</v>
      </c>
      <c r="K1033" s="95">
        <f t="shared" si="227"/>
        <v>35.124131082423041</v>
      </c>
      <c r="L1033" s="95">
        <f t="shared" si="228"/>
        <v>0.95594594594594595</v>
      </c>
      <c r="M1033" s="133">
        <f t="shared" si="229"/>
        <v>92.38</v>
      </c>
      <c r="N1033" s="133">
        <f t="shared" si="230"/>
        <v>3629.38</v>
      </c>
      <c r="O1033" s="134">
        <f t="shared" si="231"/>
        <v>36.041509433962261</v>
      </c>
      <c r="P1033" s="134">
        <f t="shared" si="232"/>
        <v>0.98091351351351352</v>
      </c>
      <c r="Q1033" s="160"/>
      <c r="R1033" s="149">
        <f t="shared" si="226"/>
        <v>13.266630881196395</v>
      </c>
      <c r="S1033" s="140">
        <f t="shared" ref="S1033:S1068" si="233">AVERAGE(O957,O995,O1033)</f>
        <v>34.889109566368752</v>
      </c>
      <c r="T1033" s="151">
        <f t="shared" ref="T1033:T1067" si="234">(S1033/S919)-1</f>
        <v>3.9999526375927408E-2</v>
      </c>
    </row>
    <row r="1034" spans="1:20" ht="14.45" x14ac:dyDescent="0.3">
      <c r="A1034" s="60" t="s">
        <v>1</v>
      </c>
      <c r="B1034" s="60" t="s">
        <v>2</v>
      </c>
      <c r="C1034" s="60" t="s">
        <v>6</v>
      </c>
      <c r="D1034" s="60" t="s">
        <v>90</v>
      </c>
      <c r="E1034" s="89">
        <f t="shared" ref="E1034:E1069" si="235">E1033</f>
        <v>41153</v>
      </c>
      <c r="F1034" s="61"/>
      <c r="G1034" s="92">
        <v>6026</v>
      </c>
      <c r="H1034" s="138">
        <v>1530</v>
      </c>
      <c r="I1034" s="138" t="s">
        <v>93</v>
      </c>
      <c r="J1034" s="141">
        <f t="shared" ref="J1034:J1068" si="236">IF(I1034="BNSF",0.31,IF(I1034="CN",0.276,IF(I1034="CSX",0.44,0.33)))</f>
        <v>0.31</v>
      </c>
      <c r="K1034" s="95">
        <f t="shared" si="227"/>
        <v>59.841112214498509</v>
      </c>
      <c r="L1034" s="95">
        <f t="shared" si="228"/>
        <v>1.6286486486486487</v>
      </c>
      <c r="M1034" s="133">
        <f t="shared" si="229"/>
        <v>474.3</v>
      </c>
      <c r="N1034" s="133">
        <f t="shared" si="230"/>
        <v>6500.3</v>
      </c>
      <c r="O1034" s="134">
        <f t="shared" si="231"/>
        <v>64.551142005958297</v>
      </c>
      <c r="P1034" s="134">
        <f t="shared" si="232"/>
        <v>1.756837837837838</v>
      </c>
      <c r="R1034" s="149">
        <f t="shared" si="226"/>
        <v>3.8253897265525083</v>
      </c>
      <c r="S1034" s="140">
        <f t="shared" si="233"/>
        <v>64.905660377358501</v>
      </c>
      <c r="T1034" s="151">
        <f t="shared" si="234"/>
        <v>-1.4615490382802188E-3</v>
      </c>
    </row>
    <row r="1035" spans="1:20" ht="14.45" x14ac:dyDescent="0.3">
      <c r="A1035" s="60" t="s">
        <v>1</v>
      </c>
      <c r="B1035" s="60" t="s">
        <v>2</v>
      </c>
      <c r="C1035" s="60" t="s">
        <v>7</v>
      </c>
      <c r="D1035" s="60" t="s">
        <v>90</v>
      </c>
      <c r="E1035" s="89">
        <f t="shared" si="235"/>
        <v>41153</v>
      </c>
      <c r="F1035" s="61"/>
      <c r="G1035" s="92">
        <v>3645</v>
      </c>
      <c r="H1035" s="138">
        <v>890</v>
      </c>
      <c r="I1035" s="138" t="s">
        <v>92</v>
      </c>
      <c r="J1035" s="141">
        <f t="shared" si="236"/>
        <v>0.33</v>
      </c>
      <c r="K1035" s="95">
        <f t="shared" si="227"/>
        <v>36.196623634558094</v>
      </c>
      <c r="L1035" s="95">
        <f t="shared" si="228"/>
        <v>0.98513513513513518</v>
      </c>
      <c r="M1035" s="133">
        <f t="shared" si="229"/>
        <v>293.7</v>
      </c>
      <c r="N1035" s="133">
        <f t="shared" si="230"/>
        <v>3938.7</v>
      </c>
      <c r="O1035" s="134">
        <f t="shared" si="231"/>
        <v>39.113207547169807</v>
      </c>
      <c r="P1035" s="134">
        <f t="shared" si="232"/>
        <v>1.0645135135135135</v>
      </c>
      <c r="R1035" s="149">
        <f t="shared" si="226"/>
        <v>3.0722528982283448</v>
      </c>
      <c r="S1035" s="140">
        <f t="shared" si="233"/>
        <v>39.289970208540218</v>
      </c>
      <c r="T1035" s="151">
        <f t="shared" si="234"/>
        <v>1.4747371120800157E-2</v>
      </c>
    </row>
    <row r="1036" spans="1:20" ht="14.45" x14ac:dyDescent="0.3">
      <c r="A1036" s="60" t="s">
        <v>1</v>
      </c>
      <c r="B1036" s="60" t="s">
        <v>8</v>
      </c>
      <c r="C1036" s="60" t="s">
        <v>9</v>
      </c>
      <c r="D1036" s="60" t="s">
        <v>90</v>
      </c>
      <c r="E1036" s="89">
        <f t="shared" si="235"/>
        <v>41153</v>
      </c>
      <c r="F1036" s="61"/>
      <c r="G1036" s="92">
        <v>5573</v>
      </c>
      <c r="H1036" s="138">
        <v>1256</v>
      </c>
      <c r="I1036" s="138" t="s">
        <v>93</v>
      </c>
      <c r="J1036" s="141">
        <f t="shared" si="236"/>
        <v>0.31</v>
      </c>
      <c r="K1036" s="95">
        <f t="shared" si="227"/>
        <v>55.342601787487588</v>
      </c>
      <c r="L1036" s="95">
        <f t="shared" si="228"/>
        <v>1.5062162162162163</v>
      </c>
      <c r="M1036" s="133">
        <f t="shared" si="229"/>
        <v>389.36</v>
      </c>
      <c r="N1036" s="133">
        <f t="shared" si="230"/>
        <v>5962.36</v>
      </c>
      <c r="O1036" s="134">
        <f t="shared" si="231"/>
        <v>59.209136047666334</v>
      </c>
      <c r="P1036" s="134">
        <f t="shared" si="232"/>
        <v>1.6114486486486486</v>
      </c>
      <c r="R1036" s="149">
        <f t="shared" si="226"/>
        <v>1.7092675737270913</v>
      </c>
      <c r="S1036" s="140">
        <f t="shared" si="233"/>
        <v>59.500165508109895</v>
      </c>
      <c r="T1036" s="151">
        <f t="shared" si="234"/>
        <v>-1.3102268409829088E-2</v>
      </c>
    </row>
    <row r="1037" spans="1:20" ht="14.45" x14ac:dyDescent="0.3">
      <c r="A1037" s="60" t="s">
        <v>1</v>
      </c>
      <c r="B1037" s="60" t="s">
        <v>10</v>
      </c>
      <c r="C1037" s="60" t="s">
        <v>9</v>
      </c>
      <c r="D1037" s="60" t="s">
        <v>90</v>
      </c>
      <c r="E1037" s="89">
        <f t="shared" si="235"/>
        <v>41153</v>
      </c>
      <c r="F1037" s="61"/>
      <c r="G1037" s="92">
        <v>3912</v>
      </c>
      <c r="H1037" s="138">
        <v>975</v>
      </c>
      <c r="I1037" s="138" t="s">
        <v>92</v>
      </c>
      <c r="J1037" s="141">
        <f t="shared" si="236"/>
        <v>0.33</v>
      </c>
      <c r="K1037" s="95">
        <f t="shared" si="227"/>
        <v>38.848063555114202</v>
      </c>
      <c r="L1037" s="95">
        <f t="shared" si="228"/>
        <v>1.0572972972972974</v>
      </c>
      <c r="M1037" s="133">
        <f t="shared" si="229"/>
        <v>321.75</v>
      </c>
      <c r="N1037" s="133">
        <f t="shared" si="230"/>
        <v>4233.75</v>
      </c>
      <c r="O1037" s="134">
        <f t="shared" si="231"/>
        <v>42.043197616683216</v>
      </c>
      <c r="P1037" s="134">
        <f t="shared" si="232"/>
        <v>1.1442567567567568</v>
      </c>
      <c r="R1037" s="149">
        <f t="shared" si="226"/>
        <v>2.7422192562033709</v>
      </c>
      <c r="S1037" s="140">
        <f t="shared" si="233"/>
        <v>42.236842105263158</v>
      </c>
      <c r="T1037" s="151">
        <f t="shared" si="234"/>
        <v>1.2517854308839782E-2</v>
      </c>
    </row>
    <row r="1038" spans="1:20" ht="14.45" x14ac:dyDescent="0.3">
      <c r="A1038" s="60" t="s">
        <v>1</v>
      </c>
      <c r="B1038" s="60" t="s">
        <v>11</v>
      </c>
      <c r="C1038" s="60" t="s">
        <v>6</v>
      </c>
      <c r="D1038" s="60" t="s">
        <v>90</v>
      </c>
      <c r="E1038" s="89">
        <f t="shared" si="235"/>
        <v>41153</v>
      </c>
      <c r="F1038" s="61"/>
      <c r="G1038" s="92">
        <v>4112</v>
      </c>
      <c r="H1038" s="138">
        <v>1357</v>
      </c>
      <c r="I1038" s="138" t="s">
        <v>92</v>
      </c>
      <c r="J1038" s="141">
        <f t="shared" si="236"/>
        <v>0.33</v>
      </c>
      <c r="K1038" s="95">
        <f t="shared" si="227"/>
        <v>40.834160873882816</v>
      </c>
      <c r="L1038" s="95">
        <f t="shared" si="228"/>
        <v>1.1113513513513513</v>
      </c>
      <c r="M1038" s="133">
        <f t="shared" si="229"/>
        <v>447.81</v>
      </c>
      <c r="N1038" s="133">
        <f t="shared" si="230"/>
        <v>4559.8100000000004</v>
      </c>
      <c r="O1038" s="134">
        <f t="shared" si="231"/>
        <v>45.281132075471703</v>
      </c>
      <c r="P1038" s="134">
        <f t="shared" si="232"/>
        <v>1.2323810810810811</v>
      </c>
      <c r="R1038" s="149">
        <f t="shared" si="226"/>
        <v>2.2129120909912148</v>
      </c>
      <c r="S1038" s="140">
        <f t="shared" si="233"/>
        <v>45.550645481628599</v>
      </c>
      <c r="T1038" s="151">
        <f t="shared" si="234"/>
        <v>7.5008785802141986E-3</v>
      </c>
    </row>
    <row r="1039" spans="1:20" ht="14.45" x14ac:dyDescent="0.3">
      <c r="A1039" s="60" t="s">
        <v>134</v>
      </c>
      <c r="B1039" s="60" t="s">
        <v>13</v>
      </c>
      <c r="C1039" s="60" t="s">
        <v>7</v>
      </c>
      <c r="D1039" s="60" t="s">
        <v>90</v>
      </c>
      <c r="E1039" s="89">
        <f t="shared" si="235"/>
        <v>41153</v>
      </c>
      <c r="F1039" s="61"/>
      <c r="G1039" s="92">
        <v>3038</v>
      </c>
      <c r="H1039" s="138">
        <v>1006</v>
      </c>
      <c r="I1039" s="138" t="s">
        <v>92</v>
      </c>
      <c r="J1039" s="141">
        <f t="shared" si="236"/>
        <v>0.33</v>
      </c>
      <c r="K1039" s="95">
        <f t="shared" si="227"/>
        <v>30.168818272095333</v>
      </c>
      <c r="L1039" s="95">
        <f t="shared" si="228"/>
        <v>0.76634234234234233</v>
      </c>
      <c r="M1039" s="133">
        <f t="shared" si="229"/>
        <v>331.98</v>
      </c>
      <c r="N1039" s="133">
        <f t="shared" si="230"/>
        <v>3369.98</v>
      </c>
      <c r="O1039" s="134">
        <f t="shared" si="231"/>
        <v>33.465541211519366</v>
      </c>
      <c r="P1039" s="134">
        <f t="shared" si="232"/>
        <v>0.85008504504504512</v>
      </c>
      <c r="R1039" s="149">
        <f t="shared" si="226"/>
        <v>5.8337677673025112</v>
      </c>
      <c r="S1039" s="140">
        <f t="shared" si="233"/>
        <v>30.355180403839785</v>
      </c>
      <c r="T1039" s="151">
        <f t="shared" si="234"/>
        <v>-0.11150835174204543</v>
      </c>
    </row>
    <row r="1040" spans="1:20" ht="14.45" x14ac:dyDescent="0.3">
      <c r="A1040" s="60" t="s">
        <v>134</v>
      </c>
      <c r="B1040" s="60" t="s">
        <v>14</v>
      </c>
      <c r="C1040" s="60" t="s">
        <v>15</v>
      </c>
      <c r="D1040" s="60" t="s">
        <v>90</v>
      </c>
      <c r="E1040" s="89">
        <f t="shared" si="235"/>
        <v>41153</v>
      </c>
      <c r="F1040" s="61"/>
      <c r="G1040" s="92">
        <v>4382</v>
      </c>
      <c r="H1040" s="138">
        <v>866</v>
      </c>
      <c r="I1040" s="138" t="s">
        <v>94</v>
      </c>
      <c r="J1040" s="141">
        <f t="shared" si="236"/>
        <v>0.44</v>
      </c>
      <c r="K1040" s="95">
        <f t="shared" si="227"/>
        <v>43.515392254220458</v>
      </c>
      <c r="L1040" s="95">
        <f t="shared" si="228"/>
        <v>1.1053693693693694</v>
      </c>
      <c r="M1040" s="133">
        <f t="shared" si="229"/>
        <v>381.04</v>
      </c>
      <c r="N1040" s="133">
        <f t="shared" si="230"/>
        <v>4763.04</v>
      </c>
      <c r="O1040" s="134">
        <f t="shared" si="231"/>
        <v>47.299304865938431</v>
      </c>
      <c r="P1040" s="134">
        <f t="shared" si="232"/>
        <v>1.2014875675675676</v>
      </c>
      <c r="R1040" s="149">
        <f t="shared" si="226"/>
        <v>14.066211970265918</v>
      </c>
      <c r="S1040" s="140">
        <f t="shared" si="233"/>
        <v>47.471300893743795</v>
      </c>
      <c r="T1040" s="151">
        <f t="shared" si="234"/>
        <v>-1.0752599165618215E-2</v>
      </c>
    </row>
    <row r="1041" spans="1:20" ht="14.45" x14ac:dyDescent="0.3">
      <c r="A1041" s="60" t="s">
        <v>134</v>
      </c>
      <c r="B1041" s="60" t="s">
        <v>16</v>
      </c>
      <c r="C1041" s="60" t="s">
        <v>17</v>
      </c>
      <c r="D1041" s="60" t="s">
        <v>90</v>
      </c>
      <c r="E1041" s="89">
        <f t="shared" si="235"/>
        <v>41153</v>
      </c>
      <c r="F1041" s="61"/>
      <c r="G1041" s="92">
        <v>1934</v>
      </c>
      <c r="H1041" s="138">
        <v>213</v>
      </c>
      <c r="I1041" s="138" t="s">
        <v>92</v>
      </c>
      <c r="J1041" s="141">
        <f t="shared" si="236"/>
        <v>0.33</v>
      </c>
      <c r="K1041" s="95">
        <f t="shared" si="227"/>
        <v>19.20556107249255</v>
      </c>
      <c r="L1041" s="95">
        <f t="shared" si="228"/>
        <v>0.48785585585585589</v>
      </c>
      <c r="M1041" s="133">
        <f t="shared" si="229"/>
        <v>70.290000000000006</v>
      </c>
      <c r="N1041" s="133">
        <f t="shared" si="230"/>
        <v>2004.29</v>
      </c>
      <c r="O1041" s="134">
        <f t="shared" si="231"/>
        <v>19.903574975173782</v>
      </c>
      <c r="P1041" s="134">
        <f t="shared" si="232"/>
        <v>0.50558666666666663</v>
      </c>
      <c r="R1041" s="149">
        <f t="shared" si="226"/>
        <v>4.2917874295586023</v>
      </c>
      <c r="S1041" s="140">
        <f t="shared" si="233"/>
        <v>19.945878848063554</v>
      </c>
      <c r="T1041" s="151">
        <f t="shared" si="234"/>
        <v>-5.274366085578519E-3</v>
      </c>
    </row>
    <row r="1042" spans="1:20" ht="14.45" x14ac:dyDescent="0.3">
      <c r="A1042" s="60" t="s">
        <v>134</v>
      </c>
      <c r="B1042" s="60" t="s">
        <v>18</v>
      </c>
      <c r="C1042" s="60" t="s">
        <v>19</v>
      </c>
      <c r="D1042" s="60" t="s">
        <v>90</v>
      </c>
      <c r="E1042" s="89">
        <f t="shared" si="235"/>
        <v>41153</v>
      </c>
      <c r="F1042" s="61"/>
      <c r="G1042" s="92">
        <v>3821</v>
      </c>
      <c r="H1042" s="138">
        <v>650</v>
      </c>
      <c r="I1042" s="138" t="s">
        <v>94</v>
      </c>
      <c r="J1042" s="141">
        <f t="shared" si="236"/>
        <v>0.44</v>
      </c>
      <c r="K1042" s="95">
        <f t="shared" si="227"/>
        <v>37.944389275074478</v>
      </c>
      <c r="L1042" s="95">
        <f t="shared" si="228"/>
        <v>0.96385585585585587</v>
      </c>
      <c r="M1042" s="133">
        <f t="shared" si="229"/>
        <v>286</v>
      </c>
      <c r="N1042" s="133">
        <f t="shared" si="230"/>
        <v>4107</v>
      </c>
      <c r="O1042" s="134">
        <f t="shared" si="231"/>
        <v>40.784508440913605</v>
      </c>
      <c r="P1042" s="134">
        <f t="shared" si="232"/>
        <v>1.036</v>
      </c>
      <c r="R1042" s="149">
        <f t="shared" si="226"/>
        <v>17.075256556442419</v>
      </c>
      <c r="S1042" s="140">
        <f t="shared" si="233"/>
        <v>40.913604766633568</v>
      </c>
      <c r="T1042" s="151">
        <f t="shared" si="234"/>
        <v>-9.3772541476315752E-3</v>
      </c>
    </row>
    <row r="1043" spans="1:20" ht="14.45" x14ac:dyDescent="0.3">
      <c r="A1043" s="60" t="s">
        <v>134</v>
      </c>
      <c r="B1043" s="60" t="s">
        <v>18</v>
      </c>
      <c r="C1043" s="60" t="s">
        <v>20</v>
      </c>
      <c r="D1043" s="60" t="s">
        <v>90</v>
      </c>
      <c r="E1043" s="89">
        <f t="shared" si="235"/>
        <v>41153</v>
      </c>
      <c r="F1043" s="61"/>
      <c r="G1043" s="92">
        <v>3273</v>
      </c>
      <c r="H1043" s="138">
        <v>417</v>
      </c>
      <c r="I1043" s="138" t="s">
        <v>94</v>
      </c>
      <c r="J1043" s="141">
        <f t="shared" si="236"/>
        <v>0.44</v>
      </c>
      <c r="K1043" s="95">
        <f t="shared" si="227"/>
        <v>32.502482621648461</v>
      </c>
      <c r="L1043" s="95">
        <f t="shared" si="228"/>
        <v>0.82562162162162167</v>
      </c>
      <c r="M1043" s="133">
        <f t="shared" si="229"/>
        <v>183.48</v>
      </c>
      <c r="N1043" s="133">
        <f t="shared" si="230"/>
        <v>3456.48</v>
      </c>
      <c r="O1043" s="134">
        <f t="shared" si="231"/>
        <v>34.324528301886794</v>
      </c>
      <c r="P1043" s="134">
        <f t="shared" si="232"/>
        <v>0.87190486486486485</v>
      </c>
      <c r="R1043" s="149">
        <f t="shared" si="226"/>
        <v>16.766661261553438</v>
      </c>
      <c r="S1043" s="140">
        <f t="shared" si="233"/>
        <v>34.407348560079441</v>
      </c>
      <c r="T1043" s="151">
        <f t="shared" si="234"/>
        <v>-7.1693831235817296E-3</v>
      </c>
    </row>
    <row r="1044" spans="1:20" ht="14.45" x14ac:dyDescent="0.3">
      <c r="A1044" s="60" t="s">
        <v>134</v>
      </c>
      <c r="B1044" s="60" t="s">
        <v>16</v>
      </c>
      <c r="C1044" s="60" t="s">
        <v>21</v>
      </c>
      <c r="D1044" s="60" t="s">
        <v>90</v>
      </c>
      <c r="E1044" s="89">
        <f t="shared" si="235"/>
        <v>41153</v>
      </c>
      <c r="F1044" s="61"/>
      <c r="G1044" s="92">
        <v>3074</v>
      </c>
      <c r="H1044" s="138">
        <v>626</v>
      </c>
      <c r="I1044" s="138" t="s">
        <v>92</v>
      </c>
      <c r="J1044" s="141">
        <f t="shared" si="236"/>
        <v>0.33</v>
      </c>
      <c r="K1044" s="95">
        <f t="shared" si="227"/>
        <v>30.526315789473685</v>
      </c>
      <c r="L1044" s="95">
        <f t="shared" si="228"/>
        <v>0.77542342342342341</v>
      </c>
      <c r="M1044" s="133">
        <f t="shared" si="229"/>
        <v>206.58</v>
      </c>
      <c r="N1044" s="133">
        <f t="shared" si="230"/>
        <v>3280.58</v>
      </c>
      <c r="O1044" s="134">
        <f t="shared" si="231"/>
        <v>32.577755710029791</v>
      </c>
      <c r="P1044" s="134">
        <f t="shared" si="232"/>
        <v>0.82753369369369367</v>
      </c>
      <c r="R1044" s="149">
        <f t="shared" si="226"/>
        <v>3.5007351038925716</v>
      </c>
      <c r="S1044" s="140">
        <f t="shared" si="233"/>
        <v>32.702085402184707</v>
      </c>
      <c r="T1044" s="151">
        <f t="shared" si="234"/>
        <v>-9.4152328239680561E-3</v>
      </c>
    </row>
    <row r="1045" spans="1:20" ht="14.45" x14ac:dyDescent="0.3">
      <c r="A1045" s="60" t="s">
        <v>134</v>
      </c>
      <c r="B1045" s="60" t="s">
        <v>16</v>
      </c>
      <c r="C1045" s="60" t="s">
        <v>6</v>
      </c>
      <c r="D1045" s="60" t="s">
        <v>90</v>
      </c>
      <c r="E1045" s="89">
        <f t="shared" si="235"/>
        <v>41153</v>
      </c>
      <c r="F1045" s="61"/>
      <c r="G1045" s="92">
        <v>4985</v>
      </c>
      <c r="H1045" s="138">
        <v>1823</v>
      </c>
      <c r="I1045" s="138" t="s">
        <v>92</v>
      </c>
      <c r="J1045" s="141">
        <f t="shared" si="236"/>
        <v>0.33</v>
      </c>
      <c r="K1045" s="95">
        <f t="shared" si="227"/>
        <v>49.503475670307843</v>
      </c>
      <c r="L1045" s="95">
        <f t="shared" si="228"/>
        <v>1.2574774774774775</v>
      </c>
      <c r="M1045" s="133">
        <f t="shared" si="229"/>
        <v>601.59</v>
      </c>
      <c r="N1045" s="133">
        <f t="shared" si="230"/>
        <v>5586.59</v>
      </c>
      <c r="O1045" s="134">
        <f t="shared" si="231"/>
        <v>55.477557100297915</v>
      </c>
      <c r="P1045" s="134">
        <f t="shared" si="232"/>
        <v>1.4092299099099099</v>
      </c>
      <c r="R1045" s="149">
        <f t="shared" si="226"/>
        <v>1.3990354859143572</v>
      </c>
      <c r="S1045" s="140">
        <f t="shared" si="233"/>
        <v>55.839622641509436</v>
      </c>
      <c r="T1045" s="151">
        <f t="shared" si="234"/>
        <v>-1.5951489272339026E-2</v>
      </c>
    </row>
    <row r="1046" spans="1:20" ht="14.45" x14ac:dyDescent="0.3">
      <c r="A1046" s="60" t="s">
        <v>22</v>
      </c>
      <c r="B1046" s="60" t="s">
        <v>23</v>
      </c>
      <c r="C1046" s="60" t="s">
        <v>7</v>
      </c>
      <c r="D1046" s="60" t="s">
        <v>90</v>
      </c>
      <c r="E1046" s="89">
        <f t="shared" si="235"/>
        <v>41153</v>
      </c>
      <c r="F1046" s="61"/>
      <c r="G1046" s="92">
        <v>3179</v>
      </c>
      <c r="H1046" s="138">
        <v>1295</v>
      </c>
      <c r="I1046" s="138" t="s">
        <v>95</v>
      </c>
      <c r="J1046" s="141">
        <f t="shared" si="236"/>
        <v>0.27600000000000002</v>
      </c>
      <c r="K1046" s="95">
        <f t="shared" si="227"/>
        <v>31.56901688182721</v>
      </c>
      <c r="L1046" s="95">
        <f t="shared" si="228"/>
        <v>0.85918918918918918</v>
      </c>
      <c r="M1046" s="133">
        <f t="shared" si="229"/>
        <v>357.42</v>
      </c>
      <c r="N1046" s="133">
        <f t="shared" si="230"/>
        <v>3536.42</v>
      </c>
      <c r="O1046" s="134">
        <f t="shared" si="231"/>
        <v>35.118371400198612</v>
      </c>
      <c r="P1046" s="134">
        <f t="shared" si="232"/>
        <v>0.9557891891891892</v>
      </c>
      <c r="R1046" s="149">
        <f t="shared" si="226"/>
        <v>-4.1905557899784451</v>
      </c>
      <c r="S1046" s="140">
        <f t="shared" si="233"/>
        <v>35.489377689506789</v>
      </c>
      <c r="T1046" s="151">
        <f t="shared" si="234"/>
        <v>-3.6505840183141403E-2</v>
      </c>
    </row>
    <row r="1047" spans="1:20" ht="14.45" x14ac:dyDescent="0.3">
      <c r="A1047" s="60" t="s">
        <v>22</v>
      </c>
      <c r="B1047" s="60" t="s">
        <v>14</v>
      </c>
      <c r="C1047" s="60" t="s">
        <v>24</v>
      </c>
      <c r="D1047" s="60" t="s">
        <v>90</v>
      </c>
      <c r="E1047" s="89">
        <f t="shared" si="235"/>
        <v>41153</v>
      </c>
      <c r="F1047" s="61"/>
      <c r="G1047" s="92">
        <v>3497</v>
      </c>
      <c r="H1047" s="138">
        <v>615</v>
      </c>
      <c r="I1047" s="138" t="s">
        <v>94</v>
      </c>
      <c r="J1047" s="141">
        <f t="shared" si="236"/>
        <v>0.44</v>
      </c>
      <c r="K1047" s="95">
        <f t="shared" si="227"/>
        <v>34.726911618669313</v>
      </c>
      <c r="L1047" s="95">
        <f t="shared" si="228"/>
        <v>0.94513513513513514</v>
      </c>
      <c r="M1047" s="133">
        <f t="shared" si="229"/>
        <v>270.60000000000002</v>
      </c>
      <c r="N1047" s="133">
        <f t="shared" si="230"/>
        <v>3767.6</v>
      </c>
      <c r="O1047" s="134">
        <f t="shared" si="231"/>
        <v>37.414101290963252</v>
      </c>
      <c r="P1047" s="134">
        <f t="shared" si="232"/>
        <v>1.0182702702702702</v>
      </c>
      <c r="R1047" s="149">
        <f t="shared" si="226"/>
        <v>17.144456190535418</v>
      </c>
      <c r="S1047" s="140">
        <f t="shared" si="233"/>
        <v>37.536246276067523</v>
      </c>
      <c r="T1047" s="151">
        <f t="shared" si="234"/>
        <v>-9.6677845315448208E-3</v>
      </c>
    </row>
    <row r="1048" spans="1:20" ht="14.45" x14ac:dyDescent="0.3">
      <c r="A1048" s="60" t="s">
        <v>22</v>
      </c>
      <c r="B1048" s="60" t="s">
        <v>18</v>
      </c>
      <c r="C1048" s="60" t="s">
        <v>15</v>
      </c>
      <c r="D1048" s="60" t="s">
        <v>90</v>
      </c>
      <c r="E1048" s="89">
        <f t="shared" si="235"/>
        <v>41153</v>
      </c>
      <c r="F1048" s="61"/>
      <c r="G1048" s="92">
        <v>4453</v>
      </c>
      <c r="H1048" s="138">
        <v>872</v>
      </c>
      <c r="I1048" s="138" t="s">
        <v>94</v>
      </c>
      <c r="J1048" s="141">
        <f t="shared" si="236"/>
        <v>0.44</v>
      </c>
      <c r="K1048" s="95">
        <f t="shared" si="227"/>
        <v>44.220456802383318</v>
      </c>
      <c r="L1048" s="95">
        <f t="shared" si="228"/>
        <v>1.2035135135135135</v>
      </c>
      <c r="M1048" s="133">
        <f t="shared" si="229"/>
        <v>383.68</v>
      </c>
      <c r="N1048" s="133">
        <f t="shared" si="230"/>
        <v>4836.68</v>
      </c>
      <c r="O1048" s="134">
        <f t="shared" si="231"/>
        <v>48.030585898709042</v>
      </c>
      <c r="P1048" s="134">
        <f t="shared" si="232"/>
        <v>1.3072108108108109</v>
      </c>
      <c r="R1048" s="149">
        <f t="shared" si="226"/>
        <v>13.842807916093914</v>
      </c>
      <c r="S1048" s="140">
        <f t="shared" si="233"/>
        <v>48.203773584905662</v>
      </c>
      <c r="T1048" s="151">
        <f t="shared" si="234"/>
        <v>-1.0663536087264669E-2</v>
      </c>
    </row>
    <row r="1049" spans="1:20" ht="14.45" x14ac:dyDescent="0.3">
      <c r="A1049" s="60" t="s">
        <v>22</v>
      </c>
      <c r="B1049" s="60" t="s">
        <v>18</v>
      </c>
      <c r="C1049" s="60" t="s">
        <v>24</v>
      </c>
      <c r="D1049" s="60" t="s">
        <v>90</v>
      </c>
      <c r="E1049" s="89">
        <f t="shared" si="235"/>
        <v>41153</v>
      </c>
      <c r="F1049" s="61"/>
      <c r="G1049" s="92">
        <v>3189</v>
      </c>
      <c r="H1049" s="138">
        <v>417</v>
      </c>
      <c r="I1049" s="138" t="s">
        <v>94</v>
      </c>
      <c r="J1049" s="141">
        <f t="shared" si="236"/>
        <v>0.44</v>
      </c>
      <c r="K1049" s="95">
        <f t="shared" si="227"/>
        <v>31.668321747765638</v>
      </c>
      <c r="L1049" s="95">
        <f t="shared" si="228"/>
        <v>0.86189189189189186</v>
      </c>
      <c r="M1049" s="133">
        <f t="shared" si="229"/>
        <v>183.48</v>
      </c>
      <c r="N1049" s="133">
        <f t="shared" si="230"/>
        <v>3372.48</v>
      </c>
      <c r="O1049" s="134">
        <f t="shared" si="231"/>
        <v>33.490367428003971</v>
      </c>
      <c r="P1049" s="134">
        <f t="shared" si="232"/>
        <v>0.91148108108108106</v>
      </c>
      <c r="R1049" s="149">
        <f t="shared" si="226"/>
        <v>19.882267627863335</v>
      </c>
      <c r="S1049" s="140">
        <f t="shared" si="233"/>
        <v>33.573187686196626</v>
      </c>
      <c r="T1049" s="151">
        <f t="shared" si="234"/>
        <v>-3.6393451344921668E-2</v>
      </c>
    </row>
    <row r="1050" spans="1:20" ht="14.45" x14ac:dyDescent="0.3">
      <c r="A1050" s="60" t="s">
        <v>22</v>
      </c>
      <c r="B1050" s="60" t="s">
        <v>13</v>
      </c>
      <c r="C1050" s="60" t="s">
        <v>7</v>
      </c>
      <c r="D1050" s="60" t="s">
        <v>90</v>
      </c>
      <c r="E1050" s="89">
        <f t="shared" si="235"/>
        <v>41153</v>
      </c>
      <c r="F1050" s="61"/>
      <c r="G1050" s="92">
        <v>3382</v>
      </c>
      <c r="H1050" s="138">
        <v>1006</v>
      </c>
      <c r="I1050" s="138" t="s">
        <v>92</v>
      </c>
      <c r="J1050" s="141">
        <f t="shared" si="236"/>
        <v>0.33</v>
      </c>
      <c r="K1050" s="95">
        <f t="shared" si="227"/>
        <v>33.584905660377359</v>
      </c>
      <c r="L1050" s="95">
        <f t="shared" si="228"/>
        <v>0.91405405405405404</v>
      </c>
      <c r="M1050" s="133">
        <f t="shared" si="229"/>
        <v>331.98</v>
      </c>
      <c r="N1050" s="133">
        <f t="shared" si="230"/>
        <v>3713.98</v>
      </c>
      <c r="O1050" s="134">
        <f t="shared" si="231"/>
        <v>36.881628599801388</v>
      </c>
      <c r="P1050" s="134">
        <f t="shared" si="232"/>
        <v>1.0037783783783785</v>
      </c>
      <c r="R1050" s="149">
        <f t="shared" si="226"/>
        <v>-1.7002715564472082</v>
      </c>
      <c r="S1050" s="140">
        <f t="shared" si="233"/>
        <v>37.081429990069516</v>
      </c>
      <c r="T1050" s="151">
        <f t="shared" si="234"/>
        <v>-1.3291406828030539E-2</v>
      </c>
    </row>
    <row r="1051" spans="1:20" ht="14.45" x14ac:dyDescent="0.3">
      <c r="A1051" s="60" t="s">
        <v>1</v>
      </c>
      <c r="B1051" s="60" t="s">
        <v>25</v>
      </c>
      <c r="C1051" s="60" t="s">
        <v>26</v>
      </c>
      <c r="D1051" s="60" t="s">
        <v>91</v>
      </c>
      <c r="E1051" s="89">
        <f t="shared" si="235"/>
        <v>41153</v>
      </c>
      <c r="F1051" s="61"/>
      <c r="G1051" s="92">
        <v>3481</v>
      </c>
      <c r="H1051" s="138">
        <v>880</v>
      </c>
      <c r="I1051" s="138" t="s">
        <v>93</v>
      </c>
      <c r="J1051" s="141">
        <f t="shared" si="236"/>
        <v>0.31</v>
      </c>
      <c r="K1051" s="95">
        <f t="shared" si="227"/>
        <v>34.568023833167821</v>
      </c>
      <c r="L1051" s="95">
        <f t="shared" si="228"/>
        <v>0.94081081081081086</v>
      </c>
      <c r="M1051" s="133">
        <f t="shared" si="229"/>
        <v>272.8</v>
      </c>
      <c r="N1051" s="133">
        <f t="shared" si="230"/>
        <v>3753.8</v>
      </c>
      <c r="O1051" s="134">
        <f t="shared" si="231"/>
        <v>37.277060575968221</v>
      </c>
      <c r="P1051" s="134">
        <f t="shared" si="232"/>
        <v>1.0145405405405405</v>
      </c>
      <c r="R1051" s="149">
        <f t="shared" si="226"/>
        <v>5.5683671747567276</v>
      </c>
      <c r="S1051" s="140">
        <f t="shared" si="233"/>
        <v>37.050645481628599</v>
      </c>
      <c r="T1051" s="151">
        <f t="shared" si="234"/>
        <v>8.3602097259507513E-3</v>
      </c>
    </row>
    <row r="1052" spans="1:20" ht="14.45" x14ac:dyDescent="0.3">
      <c r="A1052" s="60" t="s">
        <v>1</v>
      </c>
      <c r="B1052" s="60" t="s">
        <v>2</v>
      </c>
      <c r="C1052" s="60" t="s">
        <v>9</v>
      </c>
      <c r="D1052" s="60" t="s">
        <v>91</v>
      </c>
      <c r="E1052" s="89">
        <f t="shared" si="235"/>
        <v>41153</v>
      </c>
      <c r="F1052" s="61"/>
      <c r="G1052" s="92">
        <v>3634</v>
      </c>
      <c r="H1052" s="138">
        <v>685</v>
      </c>
      <c r="I1052" s="138" t="s">
        <v>93</v>
      </c>
      <c r="J1052" s="141">
        <f t="shared" si="236"/>
        <v>0.31</v>
      </c>
      <c r="K1052" s="95">
        <f t="shared" si="227"/>
        <v>36.08738828202582</v>
      </c>
      <c r="L1052" s="95">
        <f t="shared" si="228"/>
        <v>0.98216216216216212</v>
      </c>
      <c r="M1052" s="133">
        <f t="shared" si="229"/>
        <v>212.35</v>
      </c>
      <c r="N1052" s="133">
        <f t="shared" si="230"/>
        <v>3846.35</v>
      </c>
      <c r="O1052" s="134">
        <f t="shared" si="231"/>
        <v>38.196127110228396</v>
      </c>
      <c r="P1052" s="134">
        <f t="shared" si="232"/>
        <v>1.039554054054054</v>
      </c>
      <c r="R1052" s="149">
        <f t="shared" si="226"/>
        <v>13.441573762755855</v>
      </c>
      <c r="S1052" s="140">
        <f t="shared" si="233"/>
        <v>38.354849387619993</v>
      </c>
      <c r="T1052" s="151">
        <f t="shared" si="234"/>
        <v>5.8835892773104748E-2</v>
      </c>
    </row>
    <row r="1053" spans="1:20" ht="14.45" x14ac:dyDescent="0.3">
      <c r="A1053" s="60" t="s">
        <v>1</v>
      </c>
      <c r="B1053" s="60" t="s">
        <v>27</v>
      </c>
      <c r="C1053" s="60" t="s">
        <v>28</v>
      </c>
      <c r="D1053" s="60" t="s">
        <v>91</v>
      </c>
      <c r="E1053" s="89">
        <f t="shared" si="235"/>
        <v>41153</v>
      </c>
      <c r="F1053" s="61"/>
      <c r="G1053" s="92">
        <v>3645</v>
      </c>
      <c r="H1053" s="138">
        <v>812</v>
      </c>
      <c r="I1053" s="138" t="s">
        <v>94</v>
      </c>
      <c r="J1053" s="141">
        <f t="shared" si="236"/>
        <v>0.44</v>
      </c>
      <c r="K1053" s="95">
        <f t="shared" si="227"/>
        <v>36.196623634558094</v>
      </c>
      <c r="L1053" s="95">
        <f t="shared" si="228"/>
        <v>0.98513513513513518</v>
      </c>
      <c r="M1053" s="133">
        <f t="shared" si="229"/>
        <v>357.28000000000003</v>
      </c>
      <c r="N1053" s="133">
        <f t="shared" si="230"/>
        <v>4002.28</v>
      </c>
      <c r="O1053" s="134">
        <f t="shared" si="231"/>
        <v>39.744587884806357</v>
      </c>
      <c r="P1053" s="134">
        <f t="shared" si="232"/>
        <v>1.0816972972972974</v>
      </c>
      <c r="R1053" s="149">
        <f t="shared" si="226"/>
        <v>2.9721413207915992</v>
      </c>
      <c r="S1053" s="140">
        <f t="shared" si="233"/>
        <v>39.905858987090369</v>
      </c>
      <c r="T1053" s="151">
        <f t="shared" si="234"/>
        <v>-1.1978639077113717E-2</v>
      </c>
    </row>
    <row r="1054" spans="1:20" ht="14.45" x14ac:dyDescent="0.3">
      <c r="A1054" s="60" t="s">
        <v>1</v>
      </c>
      <c r="B1054" s="60" t="s">
        <v>4</v>
      </c>
      <c r="C1054" s="60" t="s">
        <v>26</v>
      </c>
      <c r="D1054" s="60" t="s">
        <v>91</v>
      </c>
      <c r="E1054" s="89">
        <f t="shared" si="235"/>
        <v>41153</v>
      </c>
      <c r="F1054" s="61"/>
      <c r="G1054" s="92">
        <v>4963</v>
      </c>
      <c r="H1054" s="138">
        <v>1520</v>
      </c>
      <c r="I1054" s="138" t="s">
        <v>93</v>
      </c>
      <c r="J1054" s="141">
        <f t="shared" si="236"/>
        <v>0.31</v>
      </c>
      <c r="K1054" s="95">
        <f t="shared" si="227"/>
        <v>49.285004965243296</v>
      </c>
      <c r="L1054" s="95">
        <f t="shared" si="228"/>
        <v>1.3413513513513513</v>
      </c>
      <c r="M1054" s="133">
        <f t="shared" si="229"/>
        <v>471.2</v>
      </c>
      <c r="N1054" s="133">
        <f t="shared" si="230"/>
        <v>5434.2</v>
      </c>
      <c r="O1054" s="134">
        <f t="shared" si="231"/>
        <v>53.964250248262161</v>
      </c>
      <c r="P1054" s="134">
        <f t="shared" si="232"/>
        <v>1.4687027027027026</v>
      </c>
      <c r="R1054" s="149">
        <f t="shared" si="226"/>
        <v>3.5243465670959484</v>
      </c>
      <c r="S1054" s="140">
        <f t="shared" si="233"/>
        <v>53.882820258192645</v>
      </c>
      <c r="T1054" s="151">
        <f t="shared" si="234"/>
        <v>-1.6436877483930745E-3</v>
      </c>
    </row>
    <row r="1055" spans="1:20" ht="14.45" x14ac:dyDescent="0.3">
      <c r="A1055" s="60" t="s">
        <v>1</v>
      </c>
      <c r="B1055" s="60" t="s">
        <v>4</v>
      </c>
      <c r="C1055" s="60" t="s">
        <v>9</v>
      </c>
      <c r="D1055" s="60" t="s">
        <v>91</v>
      </c>
      <c r="E1055" s="89">
        <f t="shared" si="235"/>
        <v>41153</v>
      </c>
      <c r="F1055" s="61"/>
      <c r="G1055" s="92">
        <v>5984</v>
      </c>
      <c r="H1055" s="138">
        <v>1583</v>
      </c>
      <c r="I1055" s="138" t="s">
        <v>93</v>
      </c>
      <c r="J1055" s="141">
        <f t="shared" si="236"/>
        <v>0.31</v>
      </c>
      <c r="K1055" s="95">
        <f t="shared" si="227"/>
        <v>59.424031777557097</v>
      </c>
      <c r="L1055" s="95">
        <f t="shared" si="228"/>
        <v>1.6172972972972972</v>
      </c>
      <c r="M1055" s="133">
        <f t="shared" si="229"/>
        <v>490.73</v>
      </c>
      <c r="N1055" s="133">
        <f t="shared" si="230"/>
        <v>6474.73</v>
      </c>
      <c r="O1055" s="134">
        <f t="shared" si="231"/>
        <v>64.29721946375372</v>
      </c>
      <c r="P1055" s="134">
        <f t="shared" si="232"/>
        <v>1.7499270270270268</v>
      </c>
      <c r="R1055" s="149">
        <f t="shared" si="226"/>
        <v>2.5313228438228252</v>
      </c>
      <c r="S1055" s="140">
        <f t="shared" si="233"/>
        <v>64.233697451175104</v>
      </c>
      <c r="T1055" s="151">
        <f t="shared" si="234"/>
        <v>-2.0965999289306314E-3</v>
      </c>
    </row>
    <row r="1056" spans="1:20" ht="14.45" x14ac:dyDescent="0.3">
      <c r="A1056" s="60" t="s">
        <v>1</v>
      </c>
      <c r="B1056" s="60" t="s">
        <v>10</v>
      </c>
      <c r="C1056" s="60" t="s">
        <v>26</v>
      </c>
      <c r="D1056" s="60" t="s">
        <v>91</v>
      </c>
      <c r="E1056" s="89">
        <f t="shared" si="235"/>
        <v>41153</v>
      </c>
      <c r="F1056" s="61"/>
      <c r="G1056" s="92">
        <v>4880</v>
      </c>
      <c r="H1056" s="138">
        <v>1599</v>
      </c>
      <c r="I1056" s="138" t="s">
        <v>92</v>
      </c>
      <c r="J1056" s="141">
        <f t="shared" si="236"/>
        <v>0.33</v>
      </c>
      <c r="K1056" s="95">
        <f t="shared" si="227"/>
        <v>48.460774577954318</v>
      </c>
      <c r="L1056" s="95">
        <f t="shared" si="228"/>
        <v>1.318918918918919</v>
      </c>
      <c r="M1056" s="133">
        <f t="shared" si="229"/>
        <v>527.67000000000007</v>
      </c>
      <c r="N1056" s="133">
        <f t="shared" si="230"/>
        <v>5407.67</v>
      </c>
      <c r="O1056" s="134">
        <f t="shared" si="231"/>
        <v>53.70079443892751</v>
      </c>
      <c r="P1056" s="134">
        <f t="shared" si="232"/>
        <v>1.4615324324324324</v>
      </c>
      <c r="R1056" s="149">
        <f t="shared" si="226"/>
        <v>1.6741153266912612</v>
      </c>
      <c r="S1056" s="140">
        <f t="shared" si="233"/>
        <v>54.01837140019861</v>
      </c>
      <c r="T1056" s="151">
        <f t="shared" si="234"/>
        <v>9.4737037449430517E-3</v>
      </c>
    </row>
    <row r="1057" spans="1:20" ht="14.45" x14ac:dyDescent="0.3">
      <c r="A1057" s="60" t="s">
        <v>134</v>
      </c>
      <c r="B1057" s="60" t="s">
        <v>23</v>
      </c>
      <c r="C1057" s="60" t="s">
        <v>26</v>
      </c>
      <c r="D1057" s="60" t="s">
        <v>91</v>
      </c>
      <c r="E1057" s="89">
        <f t="shared" si="235"/>
        <v>41153</v>
      </c>
      <c r="F1057" s="61"/>
      <c r="G1057" s="92">
        <v>4800</v>
      </c>
      <c r="H1057" s="138">
        <v>1851</v>
      </c>
      <c r="I1057" s="138" t="s">
        <v>93</v>
      </c>
      <c r="J1057" s="141">
        <f t="shared" si="236"/>
        <v>0.31</v>
      </c>
      <c r="K1057" s="95">
        <f t="shared" si="227"/>
        <v>47.666335650446868</v>
      </c>
      <c r="L1057" s="95">
        <f t="shared" si="228"/>
        <v>1.2108108108108109</v>
      </c>
      <c r="M1057" s="133">
        <f t="shared" si="229"/>
        <v>573.80999999999995</v>
      </c>
      <c r="N1057" s="133">
        <f t="shared" si="230"/>
        <v>5373.8099999999995</v>
      </c>
      <c r="O1057" s="134">
        <f t="shared" si="231"/>
        <v>53.364548162859975</v>
      </c>
      <c r="P1057" s="134">
        <f t="shared" si="232"/>
        <v>1.3555556756756755</v>
      </c>
      <c r="R1057" s="149">
        <f t="shared" si="226"/>
        <v>0.51343343882566117</v>
      </c>
      <c r="S1057" s="140">
        <f t="shared" si="233"/>
        <v>53.793445878848068</v>
      </c>
      <c r="T1057" s="151">
        <f t="shared" si="234"/>
        <v>-2.1182711958122269E-2</v>
      </c>
    </row>
    <row r="1058" spans="1:20" ht="14.45" x14ac:dyDescent="0.3">
      <c r="A1058" s="60" t="s">
        <v>134</v>
      </c>
      <c r="B1058" s="60" t="s">
        <v>8</v>
      </c>
      <c r="C1058" s="60" t="s">
        <v>29</v>
      </c>
      <c r="D1058" s="60" t="s">
        <v>91</v>
      </c>
      <c r="E1058" s="89">
        <f t="shared" si="235"/>
        <v>41153</v>
      </c>
      <c r="F1058" s="61"/>
      <c r="G1058" s="92">
        <v>4760</v>
      </c>
      <c r="H1058" s="138">
        <v>1695</v>
      </c>
      <c r="I1058" s="138" t="s">
        <v>93</v>
      </c>
      <c r="J1058" s="141">
        <f t="shared" si="236"/>
        <v>0.31</v>
      </c>
      <c r="K1058" s="95">
        <f t="shared" si="227"/>
        <v>47.269116186693147</v>
      </c>
      <c r="L1058" s="95">
        <f t="shared" si="228"/>
        <v>1.2007207207207207</v>
      </c>
      <c r="M1058" s="133">
        <f t="shared" si="229"/>
        <v>525.45000000000005</v>
      </c>
      <c r="N1058" s="133">
        <f t="shared" si="230"/>
        <v>5285.45</v>
      </c>
      <c r="O1058" s="134">
        <f t="shared" si="231"/>
        <v>52.487090367428003</v>
      </c>
      <c r="P1058" s="134">
        <f t="shared" si="232"/>
        <v>1.3332666666666666</v>
      </c>
      <c r="R1058" s="149">
        <f t="shared" si="226"/>
        <v>0.67140299417165483</v>
      </c>
      <c r="S1058" s="140">
        <f t="shared" si="233"/>
        <v>52.8798411122145</v>
      </c>
      <c r="T1058" s="151">
        <f t="shared" si="234"/>
        <v>-1.976124513332167E-2</v>
      </c>
    </row>
    <row r="1059" spans="1:20" ht="14.45" x14ac:dyDescent="0.3">
      <c r="A1059" s="60" t="s">
        <v>134</v>
      </c>
      <c r="B1059" s="60" t="s">
        <v>13</v>
      </c>
      <c r="C1059" s="60" t="s">
        <v>7</v>
      </c>
      <c r="D1059" s="60" t="s">
        <v>91</v>
      </c>
      <c r="E1059" s="89">
        <f t="shared" si="235"/>
        <v>41153</v>
      </c>
      <c r="F1059" s="61"/>
      <c r="G1059" s="92">
        <v>2857</v>
      </c>
      <c r="H1059" s="138">
        <v>1006</v>
      </c>
      <c r="I1059" s="138" t="s">
        <v>92</v>
      </c>
      <c r="J1059" s="141">
        <f t="shared" si="236"/>
        <v>0.33</v>
      </c>
      <c r="K1059" s="95">
        <f t="shared" si="227"/>
        <v>28.371400198609731</v>
      </c>
      <c r="L1059" s="95">
        <f t="shared" si="228"/>
        <v>0.72068468468468472</v>
      </c>
      <c r="M1059" s="133">
        <f t="shared" si="229"/>
        <v>331.98</v>
      </c>
      <c r="N1059" s="133">
        <f t="shared" si="230"/>
        <v>3188.98</v>
      </c>
      <c r="O1059" s="134">
        <f t="shared" si="231"/>
        <v>31.668123138033764</v>
      </c>
      <c r="P1059" s="134">
        <f t="shared" si="232"/>
        <v>0.80442738738738739</v>
      </c>
      <c r="R1059" s="149">
        <f t="shared" ref="R1059:R1096" si="237">((N1059/N603)-1)*100</f>
        <v>4.5834672473616278</v>
      </c>
      <c r="S1059" s="140">
        <f t="shared" si="233"/>
        <v>31.867924528301888</v>
      </c>
      <c r="T1059" s="151">
        <f t="shared" si="234"/>
        <v>-1.5432288151193241E-2</v>
      </c>
    </row>
    <row r="1060" spans="1:20" ht="14.45" x14ac:dyDescent="0.3">
      <c r="A1060" s="60" t="s">
        <v>134</v>
      </c>
      <c r="B1060" s="60" t="s">
        <v>30</v>
      </c>
      <c r="C1060" s="60" t="s">
        <v>9</v>
      </c>
      <c r="D1060" s="60" t="s">
        <v>91</v>
      </c>
      <c r="E1060" s="89">
        <f t="shared" si="235"/>
        <v>41153</v>
      </c>
      <c r="F1060" s="61"/>
      <c r="G1060" s="92">
        <v>3310</v>
      </c>
      <c r="H1060" s="138">
        <v>988</v>
      </c>
      <c r="I1060" s="138" t="s">
        <v>93</v>
      </c>
      <c r="J1060" s="141">
        <f t="shared" si="236"/>
        <v>0.31</v>
      </c>
      <c r="K1060" s="95">
        <f t="shared" si="227"/>
        <v>32.869910625620655</v>
      </c>
      <c r="L1060" s="95">
        <f t="shared" si="228"/>
        <v>0.83495495495495498</v>
      </c>
      <c r="M1060" s="133">
        <f t="shared" si="229"/>
        <v>306.27999999999997</v>
      </c>
      <c r="N1060" s="133">
        <f t="shared" si="230"/>
        <v>3616.2799999999997</v>
      </c>
      <c r="O1060" s="134">
        <f t="shared" si="231"/>
        <v>35.911420059582916</v>
      </c>
      <c r="P1060" s="134">
        <f t="shared" si="232"/>
        <v>0.91221477477477475</v>
      </c>
      <c r="R1060" s="149">
        <f t="shared" si="237"/>
        <v>1.99115543421855</v>
      </c>
      <c r="S1060" s="140">
        <f t="shared" si="233"/>
        <v>36.140350877192979</v>
      </c>
      <c r="T1060" s="151">
        <f t="shared" si="234"/>
        <v>-1.6903001336248225E-2</v>
      </c>
    </row>
    <row r="1061" spans="1:20" ht="14.45" x14ac:dyDescent="0.3">
      <c r="A1061" s="60" t="s">
        <v>134</v>
      </c>
      <c r="B1061" s="60" t="s">
        <v>16</v>
      </c>
      <c r="C1061" s="60" t="s">
        <v>11</v>
      </c>
      <c r="D1061" s="60" t="s">
        <v>91</v>
      </c>
      <c r="E1061" s="89">
        <f t="shared" si="235"/>
        <v>41153</v>
      </c>
      <c r="F1061" s="61"/>
      <c r="G1061" s="92">
        <v>3430</v>
      </c>
      <c r="H1061" s="138">
        <v>787</v>
      </c>
      <c r="I1061" s="138" t="s">
        <v>92</v>
      </c>
      <c r="J1061" s="141">
        <f t="shared" si="236"/>
        <v>0.33</v>
      </c>
      <c r="K1061" s="95">
        <f t="shared" si="227"/>
        <v>34.061569016881826</v>
      </c>
      <c r="L1061" s="95">
        <f t="shared" si="228"/>
        <v>0.86522522522522527</v>
      </c>
      <c r="M1061" s="133">
        <f t="shared" si="229"/>
        <v>259.71000000000004</v>
      </c>
      <c r="N1061" s="133">
        <f t="shared" si="230"/>
        <v>3689.71</v>
      </c>
      <c r="O1061" s="134">
        <f t="shared" si="231"/>
        <v>36.640615690168815</v>
      </c>
      <c r="P1061" s="134">
        <f t="shared" si="232"/>
        <v>0.9307376576576577</v>
      </c>
      <c r="R1061" s="149">
        <f t="shared" si="237"/>
        <v>1.892195659437923</v>
      </c>
      <c r="S1061" s="140">
        <f t="shared" si="233"/>
        <v>36.796921549155904</v>
      </c>
      <c r="T1061" s="151">
        <f t="shared" si="234"/>
        <v>-1.050790429395454E-2</v>
      </c>
    </row>
    <row r="1062" spans="1:20" ht="14.45" x14ac:dyDescent="0.3">
      <c r="A1062" s="60" t="s">
        <v>134</v>
      </c>
      <c r="B1062" s="60" t="s">
        <v>23</v>
      </c>
      <c r="C1062" s="60" t="s">
        <v>29</v>
      </c>
      <c r="D1062" s="60" t="s">
        <v>91</v>
      </c>
      <c r="E1062" s="89">
        <f t="shared" si="235"/>
        <v>41153</v>
      </c>
      <c r="F1062" s="61"/>
      <c r="G1062" s="92">
        <v>4800</v>
      </c>
      <c r="H1062" s="138">
        <v>1836</v>
      </c>
      <c r="I1062" s="138" t="s">
        <v>93</v>
      </c>
      <c r="J1062" s="141">
        <f t="shared" si="236"/>
        <v>0.31</v>
      </c>
      <c r="K1062" s="95">
        <f t="shared" si="227"/>
        <v>47.666335650446868</v>
      </c>
      <c r="L1062" s="95">
        <f t="shared" si="228"/>
        <v>1.2108108108108109</v>
      </c>
      <c r="M1062" s="133">
        <f t="shared" si="229"/>
        <v>569.16</v>
      </c>
      <c r="N1062" s="133">
        <f t="shared" si="230"/>
        <v>5369.16</v>
      </c>
      <c r="O1062" s="134">
        <f t="shared" si="231"/>
        <v>53.318371400198608</v>
      </c>
      <c r="P1062" s="134">
        <f t="shared" si="232"/>
        <v>1.3543827027027027</v>
      </c>
      <c r="R1062" s="149">
        <f t="shared" si="237"/>
        <v>0.52799496719690975</v>
      </c>
      <c r="S1062" s="140">
        <f t="shared" si="233"/>
        <v>53.74379344587885</v>
      </c>
      <c r="T1062" s="151">
        <f t="shared" si="234"/>
        <v>-2.1033666890967861E-2</v>
      </c>
    </row>
    <row r="1063" spans="1:20" ht="14.45" x14ac:dyDescent="0.3">
      <c r="A1063" s="60" t="s">
        <v>134</v>
      </c>
      <c r="B1063" s="60" t="s">
        <v>31</v>
      </c>
      <c r="C1063" s="60" t="s">
        <v>32</v>
      </c>
      <c r="D1063" s="60" t="s">
        <v>91</v>
      </c>
      <c r="E1063" s="89">
        <f t="shared" si="235"/>
        <v>41153</v>
      </c>
      <c r="F1063" s="61"/>
      <c r="G1063" s="92">
        <v>4200</v>
      </c>
      <c r="H1063" s="138">
        <v>1899</v>
      </c>
      <c r="I1063" s="138" t="s">
        <v>93</v>
      </c>
      <c r="J1063" s="141">
        <f t="shared" si="236"/>
        <v>0.31</v>
      </c>
      <c r="K1063" s="95">
        <f t="shared" si="227"/>
        <v>41.708043694141011</v>
      </c>
      <c r="L1063" s="95">
        <f t="shared" si="228"/>
        <v>1.0594594594594595</v>
      </c>
      <c r="M1063" s="133">
        <f t="shared" si="229"/>
        <v>588.68999999999994</v>
      </c>
      <c r="N1063" s="133">
        <f t="shared" si="230"/>
        <v>4788.6899999999996</v>
      </c>
      <c r="O1063" s="134">
        <f t="shared" si="231"/>
        <v>47.554021847070501</v>
      </c>
      <c r="P1063" s="134">
        <f t="shared" si="232"/>
        <v>1.2079578378378377</v>
      </c>
      <c r="R1063" s="149">
        <f t="shared" si="237"/>
        <v>0.52585837720733331</v>
      </c>
      <c r="S1063" s="140">
        <f t="shared" si="233"/>
        <v>47.994041708043689</v>
      </c>
      <c r="T1063" s="151">
        <f t="shared" si="234"/>
        <v>-2.4280929567740306E-2</v>
      </c>
    </row>
    <row r="1064" spans="1:20" ht="14.45" x14ac:dyDescent="0.3">
      <c r="A1064" s="60" t="s">
        <v>22</v>
      </c>
      <c r="B1064" s="60" t="s">
        <v>8</v>
      </c>
      <c r="C1064" s="60" t="s">
        <v>29</v>
      </c>
      <c r="D1064" s="60" t="s">
        <v>91</v>
      </c>
      <c r="E1064" s="89">
        <f t="shared" si="235"/>
        <v>41153</v>
      </c>
      <c r="F1064" s="61"/>
      <c r="G1064" s="92">
        <v>5040</v>
      </c>
      <c r="H1064" s="138">
        <v>1695</v>
      </c>
      <c r="I1064" s="138" t="s">
        <v>93</v>
      </c>
      <c r="J1064" s="141">
        <f t="shared" si="236"/>
        <v>0.31</v>
      </c>
      <c r="K1064" s="95">
        <f t="shared" si="227"/>
        <v>50.049652432969211</v>
      </c>
      <c r="L1064" s="95">
        <f t="shared" si="228"/>
        <v>1.3621621621621622</v>
      </c>
      <c r="M1064" s="133">
        <f t="shared" si="229"/>
        <v>525.45000000000005</v>
      </c>
      <c r="N1064" s="133">
        <f t="shared" si="230"/>
        <v>5565.45</v>
      </c>
      <c r="O1064" s="134">
        <f t="shared" si="231"/>
        <v>55.267626613704067</v>
      </c>
      <c r="P1064" s="134">
        <f t="shared" si="232"/>
        <v>1.5041756756756757</v>
      </c>
      <c r="R1064" s="149">
        <f t="shared" si="237"/>
        <v>2.1146012990348906</v>
      </c>
      <c r="S1064" s="140">
        <f t="shared" si="233"/>
        <v>55.660377358490564</v>
      </c>
      <c r="T1064" s="151">
        <f t="shared" si="234"/>
        <v>-1.8792615998669437E-2</v>
      </c>
    </row>
    <row r="1065" spans="1:20" ht="14.45" x14ac:dyDescent="0.3">
      <c r="A1065" s="60" t="s">
        <v>22</v>
      </c>
      <c r="B1065" s="60" t="s">
        <v>23</v>
      </c>
      <c r="C1065" s="60" t="s">
        <v>26</v>
      </c>
      <c r="D1065" s="60" t="s">
        <v>91</v>
      </c>
      <c r="E1065" s="89">
        <f t="shared" si="235"/>
        <v>41153</v>
      </c>
      <c r="F1065" s="61"/>
      <c r="G1065" s="92">
        <v>5030</v>
      </c>
      <c r="H1065" s="138">
        <v>1851</v>
      </c>
      <c r="I1065" s="138" t="s">
        <v>93</v>
      </c>
      <c r="J1065" s="141">
        <f t="shared" si="236"/>
        <v>0.31</v>
      </c>
      <c r="K1065" s="95">
        <f t="shared" si="227"/>
        <v>49.950347567030782</v>
      </c>
      <c r="L1065" s="95">
        <f t="shared" si="228"/>
        <v>1.3594594594594596</v>
      </c>
      <c r="M1065" s="133">
        <f t="shared" si="229"/>
        <v>573.80999999999995</v>
      </c>
      <c r="N1065" s="133">
        <f t="shared" si="230"/>
        <v>5603.8099999999995</v>
      </c>
      <c r="O1065" s="134">
        <f t="shared" si="231"/>
        <v>55.648560079443889</v>
      </c>
      <c r="P1065" s="134">
        <f t="shared" si="232"/>
        <v>1.5145432432432431</v>
      </c>
      <c r="R1065" s="149">
        <f t="shared" si="237"/>
        <v>1.9549301719683498</v>
      </c>
      <c r="S1065" s="140">
        <f t="shared" si="233"/>
        <v>56.077457795431968</v>
      </c>
      <c r="T1065" s="151">
        <f t="shared" si="234"/>
        <v>-2.0337495207512601E-2</v>
      </c>
    </row>
    <row r="1066" spans="1:20" ht="14.45" x14ac:dyDescent="0.3">
      <c r="A1066" s="60" t="s">
        <v>22</v>
      </c>
      <c r="B1066" s="60" t="s">
        <v>33</v>
      </c>
      <c r="C1066" s="60" t="s">
        <v>29</v>
      </c>
      <c r="D1066" s="60" t="s">
        <v>91</v>
      </c>
      <c r="E1066" s="89">
        <f t="shared" si="235"/>
        <v>41153</v>
      </c>
      <c r="F1066" s="61"/>
      <c r="G1066" s="92">
        <v>4930</v>
      </c>
      <c r="H1066" s="138">
        <v>1507</v>
      </c>
      <c r="I1066" s="138" t="s">
        <v>93</v>
      </c>
      <c r="J1066" s="141">
        <f t="shared" si="236"/>
        <v>0.31</v>
      </c>
      <c r="K1066" s="95">
        <f t="shared" si="227"/>
        <v>48.957298907646475</v>
      </c>
      <c r="L1066" s="95">
        <f t="shared" si="228"/>
        <v>1.3324324324324324</v>
      </c>
      <c r="M1066" s="133">
        <f t="shared" si="229"/>
        <v>467.17</v>
      </c>
      <c r="N1066" s="133">
        <f t="shared" si="230"/>
        <v>5397.17</v>
      </c>
      <c r="O1066" s="134">
        <f t="shared" si="231"/>
        <v>53.596524329692151</v>
      </c>
      <c r="P1066" s="134">
        <f t="shared" si="232"/>
        <v>1.4586945945945946</v>
      </c>
      <c r="R1066" s="149">
        <f t="shared" si="237"/>
        <v>2.3641446594797166</v>
      </c>
      <c r="S1066" s="140">
        <f t="shared" si="233"/>
        <v>53.945713339953649</v>
      </c>
      <c r="T1066" s="151">
        <f t="shared" si="234"/>
        <v>-1.7266134123846255E-2</v>
      </c>
    </row>
    <row r="1067" spans="1:20" ht="14.45" x14ac:dyDescent="0.3">
      <c r="A1067" s="60" t="s">
        <v>22</v>
      </c>
      <c r="B1067" s="60" t="s">
        <v>31</v>
      </c>
      <c r="C1067" s="60" t="s">
        <v>7</v>
      </c>
      <c r="D1067" s="60" t="s">
        <v>91</v>
      </c>
      <c r="E1067" s="89">
        <f t="shared" si="235"/>
        <v>41153</v>
      </c>
      <c r="F1067" s="61"/>
      <c r="G1067" s="92">
        <v>3420</v>
      </c>
      <c r="H1067" s="138">
        <v>1160</v>
      </c>
      <c r="I1067" s="138" t="s">
        <v>92</v>
      </c>
      <c r="J1067" s="141">
        <f t="shared" si="236"/>
        <v>0.33</v>
      </c>
      <c r="K1067" s="95">
        <f t="shared" si="227"/>
        <v>33.962264150943398</v>
      </c>
      <c r="L1067" s="95">
        <f t="shared" si="228"/>
        <v>0.92432432432432432</v>
      </c>
      <c r="M1067" s="133">
        <f t="shared" si="229"/>
        <v>382.8</v>
      </c>
      <c r="N1067" s="133">
        <f t="shared" si="230"/>
        <v>3802.8</v>
      </c>
      <c r="O1067" s="134">
        <f t="shared" si="231"/>
        <v>37.763654419066533</v>
      </c>
      <c r="P1067" s="134">
        <f t="shared" si="232"/>
        <v>1.0277837837837838</v>
      </c>
      <c r="R1067" s="149">
        <f t="shared" si="237"/>
        <v>-8.1271743332044792</v>
      </c>
      <c r="S1067" s="140">
        <f t="shared" si="233"/>
        <v>39.913935782853365</v>
      </c>
      <c r="T1067" s="151">
        <f t="shared" si="234"/>
        <v>-3.7054783580897532E-2</v>
      </c>
    </row>
    <row r="1068" spans="1:20" ht="14.45" x14ac:dyDescent="0.3">
      <c r="A1068" s="60" t="s">
        <v>22</v>
      </c>
      <c r="B1068" s="60" t="s">
        <v>14</v>
      </c>
      <c r="C1068" s="60" t="s">
        <v>24</v>
      </c>
      <c r="D1068" s="60" t="s">
        <v>91</v>
      </c>
      <c r="E1068" s="89">
        <f t="shared" si="235"/>
        <v>41153</v>
      </c>
      <c r="F1068" s="61"/>
      <c r="G1068" s="92">
        <v>2672</v>
      </c>
      <c r="H1068" s="138">
        <v>615</v>
      </c>
      <c r="I1068" s="138" t="s">
        <v>94</v>
      </c>
      <c r="J1068" s="141">
        <f t="shared" si="236"/>
        <v>0.44</v>
      </c>
      <c r="K1068" s="95">
        <f t="shared" si="227"/>
        <v>26.53426017874876</v>
      </c>
      <c r="L1068" s="95">
        <f t="shared" si="228"/>
        <v>0.72216216216216211</v>
      </c>
      <c r="M1068" s="133">
        <f t="shared" si="229"/>
        <v>270.60000000000002</v>
      </c>
      <c r="N1068" s="133">
        <f t="shared" si="230"/>
        <v>2942.6</v>
      </c>
      <c r="O1068" s="134">
        <f t="shared" si="231"/>
        <v>29.221449851042699</v>
      </c>
      <c r="P1068" s="134">
        <f t="shared" si="232"/>
        <v>0.79529729729729726</v>
      </c>
      <c r="R1068" s="149">
        <f t="shared" si="237"/>
        <v>3.9347273241028491</v>
      </c>
      <c r="S1068" s="140">
        <f t="shared" si="233"/>
        <v>29.343594836146973</v>
      </c>
      <c r="T1068" s="151">
        <f>(S1068/S954)-1</f>
        <v>-1.2333712146533671E-2</v>
      </c>
    </row>
    <row r="1069" spans="1:20" ht="14.45" x14ac:dyDescent="0.3">
      <c r="A1069" s="85" t="s">
        <v>22</v>
      </c>
      <c r="B1069" s="85" t="s">
        <v>34</v>
      </c>
      <c r="C1069" s="85" t="s">
        <v>26</v>
      </c>
      <c r="D1069" s="85" t="s">
        <v>91</v>
      </c>
      <c r="E1069" s="91">
        <f t="shared" si="235"/>
        <v>41153</v>
      </c>
      <c r="F1069" s="86"/>
      <c r="G1069" s="105">
        <v>4720</v>
      </c>
      <c r="H1069" s="143">
        <v>1637</v>
      </c>
      <c r="I1069" s="143" t="s">
        <v>92</v>
      </c>
      <c r="J1069" s="117">
        <f>IF(I1069="BNSF",0.31,IF(I1069="CN",0.276,IF(I1069="CSX",0.44,0.33)))</f>
        <v>0.33</v>
      </c>
      <c r="K1069" s="108">
        <f t="shared" si="227"/>
        <v>46.871896722939425</v>
      </c>
      <c r="L1069" s="108">
        <f t="shared" si="228"/>
        <v>1.2756756756756757</v>
      </c>
      <c r="M1069" s="115">
        <f t="shared" si="229"/>
        <v>540.21</v>
      </c>
      <c r="N1069" s="115">
        <f t="shared" si="230"/>
        <v>5260.21</v>
      </c>
      <c r="O1069" s="116">
        <f t="shared" si="231"/>
        <v>52.236444885799401</v>
      </c>
      <c r="P1069" s="116">
        <f t="shared" si="232"/>
        <v>1.4216783783783784</v>
      </c>
      <c r="Q1069" s="106"/>
      <c r="R1069" s="152">
        <f t="shared" si="237"/>
        <v>2.6244271502958716</v>
      </c>
      <c r="S1069" s="108">
        <f>AVERAGE(O993,O1031,O1069)</f>
        <v>53.869083085071168</v>
      </c>
      <c r="T1069" s="153">
        <f>(S1069/S955)-1</f>
        <v>-5.982587495811531E-2</v>
      </c>
    </row>
    <row r="1070" spans="1:20" ht="14.45" x14ac:dyDescent="0.3">
      <c r="A1070" s="82" t="s">
        <v>1</v>
      </c>
      <c r="B1070" s="82" t="s">
        <v>2</v>
      </c>
      <c r="C1070" s="82" t="s">
        <v>3</v>
      </c>
      <c r="D1070" s="82" t="s">
        <v>90</v>
      </c>
      <c r="E1070" s="87">
        <v>41183</v>
      </c>
      <c r="F1070" s="83"/>
      <c r="G1070" s="92">
        <v>3144</v>
      </c>
      <c r="H1070" s="52">
        <v>506</v>
      </c>
      <c r="I1070" s="52" t="s">
        <v>92</v>
      </c>
      <c r="J1070" s="157">
        <f>IF(I1070="BNSF",0.38,IF(I1070="CN",0.3278,IF(I1070="CSX",0.5,0.38)))</f>
        <v>0.38</v>
      </c>
      <c r="K1070" s="101">
        <f t="shared" ref="K1070:K1107" si="238">G1070/100.7</f>
        <v>31.221449851042699</v>
      </c>
      <c r="L1070" s="101">
        <f t="shared" ref="L1070:L1107" si="239">IF(A1070="corn",G1070/(111*2000/56),G1070/(111*2000/60))</f>
        <v>0.84972972972972971</v>
      </c>
      <c r="M1070" s="133">
        <f t="shared" ref="M1070:M1107" si="240">H1070*J1070</f>
        <v>192.28</v>
      </c>
      <c r="N1070" s="133">
        <f t="shared" ref="N1070:N1107" si="241">G1070+M1070</f>
        <v>3336.28</v>
      </c>
      <c r="O1070" s="134">
        <f t="shared" ref="O1070:O1107" si="242">N1070/100.7</f>
        <v>33.130883813306852</v>
      </c>
      <c r="P1070" s="134">
        <f t="shared" ref="P1070:P1107" si="243">IF(A1070="corn",N1070/(111*2000/56),N1070/(111*2000/60))</f>
        <v>0.90169729729729731</v>
      </c>
      <c r="Q1070" s="160"/>
      <c r="R1070" s="149">
        <f t="shared" si="237"/>
        <v>5.1074930060236445</v>
      </c>
    </row>
    <row r="1071" spans="1:20" ht="14.45" x14ac:dyDescent="0.3">
      <c r="A1071" s="82" t="s">
        <v>1</v>
      </c>
      <c r="B1071" s="82" t="s">
        <v>4</v>
      </c>
      <c r="C1071" s="82" t="s">
        <v>5</v>
      </c>
      <c r="D1071" s="82" t="s">
        <v>90</v>
      </c>
      <c r="E1071" s="87">
        <f>E1070</f>
        <v>41183</v>
      </c>
      <c r="F1071" s="83"/>
      <c r="G1071" s="92">
        <v>3445</v>
      </c>
      <c r="H1071" s="52">
        <v>298</v>
      </c>
      <c r="I1071" s="52" t="s">
        <v>93</v>
      </c>
      <c r="J1071" s="157">
        <f>IF(I1071="BNSF",0.38,IF(I1071="CN",0.3278,IF(I1071="CSX",0.5,0.38)))</f>
        <v>0.38</v>
      </c>
      <c r="K1071" s="101">
        <f t="shared" si="238"/>
        <v>34.210526315789473</v>
      </c>
      <c r="L1071" s="101">
        <f t="shared" si="239"/>
        <v>0.93108108108108112</v>
      </c>
      <c r="M1071" s="133">
        <f t="shared" si="240"/>
        <v>113.24</v>
      </c>
      <c r="N1071" s="133">
        <f t="shared" si="241"/>
        <v>3558.24</v>
      </c>
      <c r="O1071" s="134">
        <f t="shared" si="242"/>
        <v>35.335054617676263</v>
      </c>
      <c r="P1071" s="134">
        <f t="shared" si="243"/>
        <v>0.96168648648648647</v>
      </c>
      <c r="Q1071" s="160"/>
      <c r="R1071" s="149">
        <f t="shared" si="237"/>
        <v>11.14984537531627</v>
      </c>
    </row>
    <row r="1072" spans="1:20" ht="14.45" x14ac:dyDescent="0.3">
      <c r="A1072" s="82" t="s">
        <v>1</v>
      </c>
      <c r="B1072" s="82" t="s">
        <v>2</v>
      </c>
      <c r="C1072" s="82" t="s">
        <v>6</v>
      </c>
      <c r="D1072" s="82" t="s">
        <v>90</v>
      </c>
      <c r="E1072" s="87">
        <f t="shared" ref="E1072:E1107" si="244">E1071</f>
        <v>41183</v>
      </c>
      <c r="F1072" s="83"/>
      <c r="G1072" s="92">
        <v>6026</v>
      </c>
      <c r="H1072" s="52">
        <v>1530</v>
      </c>
      <c r="I1072" s="52" t="s">
        <v>93</v>
      </c>
      <c r="J1072" s="157">
        <f t="shared" ref="J1072:J1107" si="245">IF(I1072="BNSF",0.38,IF(I1072="CN",0.3278,IF(I1072="CSX",0.5,0.38)))</f>
        <v>0.38</v>
      </c>
      <c r="K1072" s="101">
        <f t="shared" si="238"/>
        <v>59.841112214498509</v>
      </c>
      <c r="L1072" s="101">
        <f t="shared" si="239"/>
        <v>1.6286486486486487</v>
      </c>
      <c r="M1072" s="133">
        <f t="shared" si="240"/>
        <v>581.4</v>
      </c>
      <c r="N1072" s="133">
        <f t="shared" si="241"/>
        <v>6607.4</v>
      </c>
      <c r="O1072" s="134">
        <f t="shared" si="242"/>
        <v>65.61469712015888</v>
      </c>
      <c r="P1072" s="134">
        <f t="shared" si="243"/>
        <v>1.7857837837837838</v>
      </c>
      <c r="R1072" s="149">
        <f t="shared" si="237"/>
        <v>5.7945720919061694</v>
      </c>
    </row>
    <row r="1073" spans="1:18" ht="14.45" x14ac:dyDescent="0.3">
      <c r="A1073" s="82" t="s">
        <v>1</v>
      </c>
      <c r="B1073" s="82" t="s">
        <v>2</v>
      </c>
      <c r="C1073" s="82" t="s">
        <v>7</v>
      </c>
      <c r="D1073" s="82" t="s">
        <v>90</v>
      </c>
      <c r="E1073" s="87">
        <f t="shared" si="244"/>
        <v>41183</v>
      </c>
      <c r="F1073" s="83"/>
      <c r="G1073" s="92">
        <v>3645</v>
      </c>
      <c r="H1073" s="52">
        <v>890</v>
      </c>
      <c r="I1073" s="52" t="s">
        <v>92</v>
      </c>
      <c r="J1073" s="157">
        <f t="shared" si="245"/>
        <v>0.38</v>
      </c>
      <c r="K1073" s="101">
        <f t="shared" si="238"/>
        <v>36.196623634558094</v>
      </c>
      <c r="L1073" s="101">
        <f t="shared" si="239"/>
        <v>0.98513513513513518</v>
      </c>
      <c r="M1073" s="133">
        <f t="shared" si="240"/>
        <v>338.2</v>
      </c>
      <c r="N1073" s="133">
        <f t="shared" si="241"/>
        <v>3983.2</v>
      </c>
      <c r="O1073" s="134">
        <f t="shared" si="242"/>
        <v>39.555114200595824</v>
      </c>
      <c r="P1073" s="134">
        <f t="shared" si="243"/>
        <v>1.0765405405405404</v>
      </c>
      <c r="R1073" s="149">
        <f t="shared" si="237"/>
        <v>4.4801175112789693</v>
      </c>
    </row>
    <row r="1074" spans="1:18" ht="14.45" x14ac:dyDescent="0.3">
      <c r="A1074" s="82" t="s">
        <v>1</v>
      </c>
      <c r="B1074" s="82" t="s">
        <v>8</v>
      </c>
      <c r="C1074" s="82" t="s">
        <v>9</v>
      </c>
      <c r="D1074" s="82" t="s">
        <v>90</v>
      </c>
      <c r="E1074" s="87">
        <f t="shared" si="244"/>
        <v>41183</v>
      </c>
      <c r="F1074" s="83"/>
      <c r="G1074" s="92">
        <v>5573</v>
      </c>
      <c r="H1074" s="52">
        <v>1256</v>
      </c>
      <c r="I1074" s="52" t="s">
        <v>93</v>
      </c>
      <c r="J1074" s="157">
        <f t="shared" si="245"/>
        <v>0.38</v>
      </c>
      <c r="K1074" s="101">
        <f t="shared" si="238"/>
        <v>55.342601787487588</v>
      </c>
      <c r="L1074" s="101">
        <f t="shared" si="239"/>
        <v>1.5062162162162163</v>
      </c>
      <c r="M1074" s="133">
        <f t="shared" si="240"/>
        <v>477.28000000000003</v>
      </c>
      <c r="N1074" s="133">
        <f t="shared" si="241"/>
        <v>6050.28</v>
      </c>
      <c r="O1074" s="134">
        <f t="shared" si="242"/>
        <v>60.082224428997016</v>
      </c>
      <c r="P1074" s="134">
        <f t="shared" si="243"/>
        <v>1.6352108108108108</v>
      </c>
      <c r="R1074" s="149">
        <f t="shared" si="237"/>
        <v>3.4306619256017301</v>
      </c>
    </row>
    <row r="1075" spans="1:18" ht="14.45" x14ac:dyDescent="0.3">
      <c r="A1075" s="82" t="s">
        <v>1</v>
      </c>
      <c r="B1075" s="82" t="s">
        <v>10</v>
      </c>
      <c r="C1075" s="82" t="s">
        <v>9</v>
      </c>
      <c r="D1075" s="82" t="s">
        <v>90</v>
      </c>
      <c r="E1075" s="87">
        <f t="shared" si="244"/>
        <v>41183</v>
      </c>
      <c r="F1075" s="83"/>
      <c r="G1075" s="92">
        <v>3912</v>
      </c>
      <c r="H1075" s="52">
        <v>975</v>
      </c>
      <c r="I1075" s="52" t="s">
        <v>92</v>
      </c>
      <c r="J1075" s="157">
        <f t="shared" si="245"/>
        <v>0.38</v>
      </c>
      <c r="K1075" s="101">
        <f t="shared" si="238"/>
        <v>38.848063555114202</v>
      </c>
      <c r="L1075" s="101">
        <f t="shared" si="239"/>
        <v>1.0572972972972974</v>
      </c>
      <c r="M1075" s="133">
        <f t="shared" si="240"/>
        <v>370.5</v>
      </c>
      <c r="N1075" s="133">
        <f t="shared" si="241"/>
        <v>4282.5</v>
      </c>
      <c r="O1075" s="134">
        <f t="shared" si="242"/>
        <v>42.527308838133067</v>
      </c>
      <c r="P1075" s="134">
        <f t="shared" si="243"/>
        <v>1.1574324324324323</v>
      </c>
      <c r="R1075" s="149">
        <f t="shared" si="237"/>
        <v>4.1717343711992205</v>
      </c>
    </row>
    <row r="1076" spans="1:18" ht="14.45" x14ac:dyDescent="0.3">
      <c r="A1076" s="82" t="s">
        <v>1</v>
      </c>
      <c r="B1076" s="82" t="s">
        <v>11</v>
      </c>
      <c r="C1076" s="82" t="s">
        <v>6</v>
      </c>
      <c r="D1076" s="82" t="s">
        <v>90</v>
      </c>
      <c r="E1076" s="87">
        <f t="shared" si="244"/>
        <v>41183</v>
      </c>
      <c r="F1076" s="83"/>
      <c r="G1076" s="92">
        <v>4112</v>
      </c>
      <c r="H1076" s="52">
        <v>1357</v>
      </c>
      <c r="I1076" s="52" t="s">
        <v>92</v>
      </c>
      <c r="J1076" s="157">
        <f t="shared" si="245"/>
        <v>0.38</v>
      </c>
      <c r="K1076" s="101">
        <f t="shared" si="238"/>
        <v>40.834160873882816</v>
      </c>
      <c r="L1076" s="101">
        <f t="shared" si="239"/>
        <v>1.1113513513513513</v>
      </c>
      <c r="M1076" s="133">
        <f t="shared" si="240"/>
        <v>515.66</v>
      </c>
      <c r="N1076" s="133">
        <f t="shared" si="241"/>
        <v>4627.66</v>
      </c>
      <c r="O1076" s="134">
        <f t="shared" si="242"/>
        <v>45.954915590863948</v>
      </c>
      <c r="P1076" s="134">
        <f t="shared" si="243"/>
        <v>1.250718918918919</v>
      </c>
      <c r="R1076" s="149">
        <f t="shared" si="237"/>
        <v>4.0503471597654217</v>
      </c>
    </row>
    <row r="1077" spans="1:18" ht="14.45" x14ac:dyDescent="0.3">
      <c r="A1077" s="82" t="s">
        <v>134</v>
      </c>
      <c r="B1077" s="82" t="s">
        <v>13</v>
      </c>
      <c r="C1077" s="82" t="s">
        <v>7</v>
      </c>
      <c r="D1077" s="82" t="s">
        <v>90</v>
      </c>
      <c r="E1077" s="87">
        <f t="shared" si="244"/>
        <v>41183</v>
      </c>
      <c r="F1077" s="83"/>
      <c r="G1077" s="92">
        <v>3110</v>
      </c>
      <c r="H1077" s="52">
        <v>1006</v>
      </c>
      <c r="I1077" s="52" t="s">
        <v>92</v>
      </c>
      <c r="J1077" s="157">
        <f t="shared" si="245"/>
        <v>0.38</v>
      </c>
      <c r="K1077" s="101">
        <f t="shared" si="238"/>
        <v>30.883813306852034</v>
      </c>
      <c r="L1077" s="101">
        <f t="shared" si="239"/>
        <v>0.78450450450450449</v>
      </c>
      <c r="M1077" s="133">
        <f t="shared" si="240"/>
        <v>382.28000000000003</v>
      </c>
      <c r="N1077" s="133">
        <f t="shared" si="241"/>
        <v>3492.28</v>
      </c>
      <c r="O1077" s="134">
        <f t="shared" si="242"/>
        <v>34.680039721946379</v>
      </c>
      <c r="P1077" s="134">
        <f t="shared" si="243"/>
        <v>0.88093549549549555</v>
      </c>
      <c r="R1077" s="149">
        <f t="shared" si="237"/>
        <v>1.9893930190178155</v>
      </c>
    </row>
    <row r="1078" spans="1:18" ht="14.45" x14ac:dyDescent="0.3">
      <c r="A1078" s="82" t="s">
        <v>134</v>
      </c>
      <c r="B1078" s="82" t="s">
        <v>14</v>
      </c>
      <c r="C1078" s="82" t="s">
        <v>15</v>
      </c>
      <c r="D1078" s="82" t="s">
        <v>90</v>
      </c>
      <c r="E1078" s="87">
        <f t="shared" si="244"/>
        <v>41183</v>
      </c>
      <c r="F1078" s="83"/>
      <c r="G1078" s="92">
        <v>4508</v>
      </c>
      <c r="H1078" s="52">
        <v>866</v>
      </c>
      <c r="I1078" s="52" t="s">
        <v>94</v>
      </c>
      <c r="J1078" s="157">
        <f t="shared" si="245"/>
        <v>0.5</v>
      </c>
      <c r="K1078" s="101">
        <f t="shared" si="238"/>
        <v>44.766633565044685</v>
      </c>
      <c r="L1078" s="101">
        <f t="shared" si="239"/>
        <v>1.1371531531531531</v>
      </c>
      <c r="M1078" s="133">
        <f t="shared" si="240"/>
        <v>433</v>
      </c>
      <c r="N1078" s="133">
        <f t="shared" si="241"/>
        <v>4941</v>
      </c>
      <c r="O1078" s="134">
        <f t="shared" si="242"/>
        <v>49.066534260178749</v>
      </c>
      <c r="P1078" s="134">
        <f t="shared" si="243"/>
        <v>1.2463783783783784</v>
      </c>
      <c r="R1078" s="149">
        <f t="shared" si="237"/>
        <v>13.611802199116108</v>
      </c>
    </row>
    <row r="1079" spans="1:18" ht="14.45" x14ac:dyDescent="0.3">
      <c r="A1079" s="82" t="s">
        <v>134</v>
      </c>
      <c r="B1079" s="82" t="s">
        <v>16</v>
      </c>
      <c r="C1079" s="82" t="s">
        <v>17</v>
      </c>
      <c r="D1079" s="82" t="s">
        <v>90</v>
      </c>
      <c r="E1079" s="87">
        <f t="shared" si="244"/>
        <v>41183</v>
      </c>
      <c r="F1079" s="83"/>
      <c r="G1079" s="92">
        <v>2006</v>
      </c>
      <c r="H1079" s="52">
        <v>213</v>
      </c>
      <c r="I1079" s="52" t="s">
        <v>92</v>
      </c>
      <c r="J1079" s="157">
        <f t="shared" si="245"/>
        <v>0.38</v>
      </c>
      <c r="K1079" s="101">
        <f t="shared" si="238"/>
        <v>19.920556107249254</v>
      </c>
      <c r="L1079" s="101">
        <f t="shared" si="239"/>
        <v>0.50601801801801805</v>
      </c>
      <c r="M1079" s="133">
        <f t="shared" si="240"/>
        <v>80.94</v>
      </c>
      <c r="N1079" s="133">
        <f t="shared" si="241"/>
        <v>2086.94</v>
      </c>
      <c r="O1079" s="134">
        <f t="shared" si="242"/>
        <v>20.724329692154914</v>
      </c>
      <c r="P1079" s="134">
        <f t="shared" si="243"/>
        <v>0.52643531531531529</v>
      </c>
      <c r="R1079" s="149">
        <f t="shared" si="237"/>
        <v>3.7927467324487152</v>
      </c>
    </row>
    <row r="1080" spans="1:18" ht="14.45" x14ac:dyDescent="0.3">
      <c r="A1080" s="82" t="s">
        <v>134</v>
      </c>
      <c r="B1080" s="82" t="s">
        <v>18</v>
      </c>
      <c r="C1080" s="82" t="s">
        <v>19</v>
      </c>
      <c r="D1080" s="82" t="s">
        <v>90</v>
      </c>
      <c r="E1080" s="87">
        <f t="shared" si="244"/>
        <v>41183</v>
      </c>
      <c r="F1080" s="83"/>
      <c r="G1080" s="92">
        <v>3920</v>
      </c>
      <c r="H1080" s="52">
        <v>650</v>
      </c>
      <c r="I1080" s="52" t="s">
        <v>94</v>
      </c>
      <c r="J1080" s="157">
        <f t="shared" si="245"/>
        <v>0.5</v>
      </c>
      <c r="K1080" s="101">
        <f t="shared" si="238"/>
        <v>38.927507447864947</v>
      </c>
      <c r="L1080" s="101">
        <f t="shared" si="239"/>
        <v>0.98882882882882883</v>
      </c>
      <c r="M1080" s="133">
        <f t="shared" si="240"/>
        <v>325</v>
      </c>
      <c r="N1080" s="133">
        <f t="shared" si="241"/>
        <v>4245</v>
      </c>
      <c r="O1080" s="134">
        <f t="shared" si="242"/>
        <v>42.154915590863951</v>
      </c>
      <c r="P1080" s="134">
        <f t="shared" si="243"/>
        <v>1.0708108108108108</v>
      </c>
      <c r="R1080" s="149">
        <f t="shared" si="237"/>
        <v>15.149871151498706</v>
      </c>
    </row>
    <row r="1081" spans="1:18" ht="14.45" x14ac:dyDescent="0.3">
      <c r="A1081" s="82" t="s">
        <v>134</v>
      </c>
      <c r="B1081" s="82" t="s">
        <v>18</v>
      </c>
      <c r="C1081" s="82" t="s">
        <v>20</v>
      </c>
      <c r="D1081" s="82" t="s">
        <v>90</v>
      </c>
      <c r="E1081" s="87">
        <f t="shared" si="244"/>
        <v>41183</v>
      </c>
      <c r="F1081" s="83"/>
      <c r="G1081" s="92">
        <v>3354</v>
      </c>
      <c r="H1081" s="52">
        <v>417</v>
      </c>
      <c r="I1081" s="52" t="s">
        <v>94</v>
      </c>
      <c r="J1081" s="157">
        <f t="shared" si="245"/>
        <v>0.5</v>
      </c>
      <c r="K1081" s="101">
        <f t="shared" si="238"/>
        <v>33.306852035749749</v>
      </c>
      <c r="L1081" s="101">
        <f t="shared" si="239"/>
        <v>0.84605405405405409</v>
      </c>
      <c r="M1081" s="133">
        <f t="shared" si="240"/>
        <v>208.5</v>
      </c>
      <c r="N1081" s="133">
        <f t="shared" si="241"/>
        <v>3562.5</v>
      </c>
      <c r="O1081" s="134">
        <f t="shared" si="242"/>
        <v>35.377358490566039</v>
      </c>
      <c r="P1081" s="134">
        <f t="shared" si="243"/>
        <v>0.89864864864864868</v>
      </c>
      <c r="R1081" s="149">
        <f t="shared" si="237"/>
        <v>17.613461913046933</v>
      </c>
    </row>
    <row r="1082" spans="1:18" ht="14.45" x14ac:dyDescent="0.3">
      <c r="A1082" s="82" t="s">
        <v>134</v>
      </c>
      <c r="B1082" s="82" t="s">
        <v>16</v>
      </c>
      <c r="C1082" s="82" t="s">
        <v>21</v>
      </c>
      <c r="D1082" s="82" t="s">
        <v>90</v>
      </c>
      <c r="E1082" s="87">
        <f t="shared" si="244"/>
        <v>41183</v>
      </c>
      <c r="F1082" s="83"/>
      <c r="G1082" s="92">
        <v>3154</v>
      </c>
      <c r="H1082" s="52">
        <v>626</v>
      </c>
      <c r="I1082" s="52" t="s">
        <v>92</v>
      </c>
      <c r="J1082" s="157">
        <f t="shared" si="245"/>
        <v>0.38</v>
      </c>
      <c r="K1082" s="101">
        <f t="shared" si="238"/>
        <v>31.320754716981131</v>
      </c>
      <c r="L1082" s="101">
        <f t="shared" si="239"/>
        <v>0.7956036036036036</v>
      </c>
      <c r="M1082" s="133">
        <f t="shared" si="240"/>
        <v>237.88</v>
      </c>
      <c r="N1082" s="133">
        <f t="shared" si="241"/>
        <v>3391.88</v>
      </c>
      <c r="O1082" s="134">
        <f t="shared" si="242"/>
        <v>33.683018867924531</v>
      </c>
      <c r="P1082" s="134">
        <f t="shared" si="243"/>
        <v>0.85560936936936938</v>
      </c>
      <c r="R1082" s="149">
        <f t="shared" si="237"/>
        <v>2.8041802046457454</v>
      </c>
    </row>
    <row r="1083" spans="1:18" ht="14.45" x14ac:dyDescent="0.3">
      <c r="A1083" s="82" t="s">
        <v>134</v>
      </c>
      <c r="B1083" s="82" t="s">
        <v>16</v>
      </c>
      <c r="C1083" s="82" t="s">
        <v>6</v>
      </c>
      <c r="D1083" s="82" t="s">
        <v>90</v>
      </c>
      <c r="E1083" s="87">
        <f t="shared" si="244"/>
        <v>41183</v>
      </c>
      <c r="F1083" s="83"/>
      <c r="G1083" s="92">
        <v>5065</v>
      </c>
      <c r="H1083" s="52">
        <v>1823</v>
      </c>
      <c r="I1083" s="52" t="s">
        <v>92</v>
      </c>
      <c r="J1083" s="157">
        <f t="shared" si="245"/>
        <v>0.38</v>
      </c>
      <c r="K1083" s="101">
        <f t="shared" si="238"/>
        <v>50.297914597815293</v>
      </c>
      <c r="L1083" s="101">
        <f t="shared" si="239"/>
        <v>1.2776576576576577</v>
      </c>
      <c r="M1083" s="133">
        <f t="shared" si="240"/>
        <v>692.74</v>
      </c>
      <c r="N1083" s="133">
        <f t="shared" si="241"/>
        <v>5757.74</v>
      </c>
      <c r="O1083" s="134">
        <f t="shared" si="242"/>
        <v>57.177159880834154</v>
      </c>
      <c r="P1083" s="134">
        <f t="shared" si="243"/>
        <v>1.4524028828828828</v>
      </c>
      <c r="R1083" s="149">
        <f t="shared" si="237"/>
        <v>2.0644250950138998</v>
      </c>
    </row>
    <row r="1084" spans="1:18" ht="14.45" x14ac:dyDescent="0.3">
      <c r="A1084" s="82" t="s">
        <v>22</v>
      </c>
      <c r="B1084" s="82" t="s">
        <v>23</v>
      </c>
      <c r="C1084" s="82" t="s">
        <v>7</v>
      </c>
      <c r="D1084" s="82" t="s">
        <v>90</v>
      </c>
      <c r="E1084" s="87">
        <f t="shared" si="244"/>
        <v>41183</v>
      </c>
      <c r="F1084" s="83"/>
      <c r="G1084" s="92">
        <v>3269</v>
      </c>
      <c r="H1084" s="52">
        <v>1295</v>
      </c>
      <c r="I1084" s="52" t="s">
        <v>95</v>
      </c>
      <c r="J1084" s="157">
        <f t="shared" si="245"/>
        <v>0.32779999999999998</v>
      </c>
      <c r="K1084" s="101">
        <f t="shared" si="238"/>
        <v>32.462760675273088</v>
      </c>
      <c r="L1084" s="101">
        <f t="shared" si="239"/>
        <v>0.88351351351351348</v>
      </c>
      <c r="M1084" s="133">
        <f t="shared" si="240"/>
        <v>424.50099999999998</v>
      </c>
      <c r="N1084" s="133">
        <f t="shared" si="241"/>
        <v>3693.5010000000002</v>
      </c>
      <c r="O1084" s="134">
        <f t="shared" si="242"/>
        <v>36.678262164846082</v>
      </c>
      <c r="P1084" s="134">
        <f t="shared" si="243"/>
        <v>0.99824351351351359</v>
      </c>
      <c r="R1084" s="149">
        <f t="shared" si="237"/>
        <v>-3.2789817310320934</v>
      </c>
    </row>
    <row r="1085" spans="1:18" ht="14.45" x14ac:dyDescent="0.3">
      <c r="A1085" s="82" t="s">
        <v>22</v>
      </c>
      <c r="B1085" s="82" t="s">
        <v>14</v>
      </c>
      <c r="C1085" s="82" t="s">
        <v>24</v>
      </c>
      <c r="D1085" s="82" t="s">
        <v>90</v>
      </c>
      <c r="E1085" s="87">
        <f t="shared" si="244"/>
        <v>41183</v>
      </c>
      <c r="F1085" s="83"/>
      <c r="G1085" s="92">
        <v>3575</v>
      </c>
      <c r="H1085" s="52">
        <v>615</v>
      </c>
      <c r="I1085" s="52" t="s">
        <v>94</v>
      </c>
      <c r="J1085" s="157">
        <f t="shared" si="245"/>
        <v>0.5</v>
      </c>
      <c r="K1085" s="101">
        <f t="shared" si="238"/>
        <v>35.501489572989072</v>
      </c>
      <c r="L1085" s="101">
        <f t="shared" si="239"/>
        <v>0.96621621621621623</v>
      </c>
      <c r="M1085" s="133">
        <f t="shared" si="240"/>
        <v>307.5</v>
      </c>
      <c r="N1085" s="133">
        <f t="shared" si="241"/>
        <v>3882.5</v>
      </c>
      <c r="O1085" s="134">
        <f t="shared" si="242"/>
        <v>38.555114200595831</v>
      </c>
      <c r="P1085" s="134">
        <f t="shared" si="243"/>
        <v>1.0493243243243244</v>
      </c>
      <c r="R1085" s="149">
        <f t="shared" si="237"/>
        <v>2.5475099377979538</v>
      </c>
    </row>
    <row r="1086" spans="1:18" ht="14.45" x14ac:dyDescent="0.3">
      <c r="A1086" s="82" t="s">
        <v>22</v>
      </c>
      <c r="B1086" s="82" t="s">
        <v>18</v>
      </c>
      <c r="C1086" s="82" t="s">
        <v>15</v>
      </c>
      <c r="D1086" s="82" t="s">
        <v>90</v>
      </c>
      <c r="E1086" s="87">
        <f t="shared" si="244"/>
        <v>41183</v>
      </c>
      <c r="F1086" s="83"/>
      <c r="G1086" s="92">
        <v>4578</v>
      </c>
      <c r="H1086" s="52">
        <v>872</v>
      </c>
      <c r="I1086" s="52" t="s">
        <v>94</v>
      </c>
      <c r="J1086" s="157">
        <f t="shared" si="245"/>
        <v>0.5</v>
      </c>
      <c r="K1086" s="101">
        <f t="shared" si="238"/>
        <v>45.4617676266137</v>
      </c>
      <c r="L1086" s="101">
        <f t="shared" si="239"/>
        <v>1.2372972972972973</v>
      </c>
      <c r="M1086" s="133">
        <f t="shared" si="240"/>
        <v>436</v>
      </c>
      <c r="N1086" s="133">
        <f t="shared" si="241"/>
        <v>5014</v>
      </c>
      <c r="O1086" s="134">
        <f t="shared" si="242"/>
        <v>49.791459781529291</v>
      </c>
      <c r="P1086" s="134">
        <f t="shared" si="243"/>
        <v>1.3551351351351351</v>
      </c>
      <c r="R1086" s="149">
        <f t="shared" si="237"/>
        <v>3.1084715927318207</v>
      </c>
    </row>
    <row r="1087" spans="1:18" ht="14.45" x14ac:dyDescent="0.3">
      <c r="A1087" s="82" t="s">
        <v>22</v>
      </c>
      <c r="B1087" s="82" t="s">
        <v>18</v>
      </c>
      <c r="C1087" s="82" t="s">
        <v>24</v>
      </c>
      <c r="D1087" s="82" t="s">
        <v>90</v>
      </c>
      <c r="E1087" s="87">
        <f t="shared" si="244"/>
        <v>41183</v>
      </c>
      <c r="F1087" s="83"/>
      <c r="G1087" s="92">
        <v>3267</v>
      </c>
      <c r="H1087" s="52">
        <v>417</v>
      </c>
      <c r="I1087" s="52" t="s">
        <v>94</v>
      </c>
      <c r="J1087" s="157">
        <f t="shared" si="245"/>
        <v>0.5</v>
      </c>
      <c r="K1087" s="101">
        <f t="shared" si="238"/>
        <v>32.442899702085398</v>
      </c>
      <c r="L1087" s="101">
        <f t="shared" si="239"/>
        <v>0.88297297297297295</v>
      </c>
      <c r="M1087" s="133">
        <f t="shared" si="240"/>
        <v>208.5</v>
      </c>
      <c r="N1087" s="133">
        <f t="shared" si="241"/>
        <v>3475.5</v>
      </c>
      <c r="O1087" s="134">
        <f t="shared" si="242"/>
        <v>34.513406156901688</v>
      </c>
      <c r="P1087" s="134">
        <f t="shared" si="243"/>
        <v>0.93932432432432433</v>
      </c>
      <c r="R1087" s="149">
        <f t="shared" si="237"/>
        <v>2.6738631428748771</v>
      </c>
    </row>
    <row r="1088" spans="1:18" ht="14.45" x14ac:dyDescent="0.3">
      <c r="A1088" s="82" t="s">
        <v>22</v>
      </c>
      <c r="B1088" s="82" t="s">
        <v>13</v>
      </c>
      <c r="C1088" s="82" t="s">
        <v>7</v>
      </c>
      <c r="D1088" s="82" t="s">
        <v>90</v>
      </c>
      <c r="E1088" s="87">
        <f t="shared" si="244"/>
        <v>41183</v>
      </c>
      <c r="F1088" s="83"/>
      <c r="G1088" s="92">
        <v>3599</v>
      </c>
      <c r="H1088" s="52">
        <v>1006</v>
      </c>
      <c r="I1088" s="52" t="s">
        <v>92</v>
      </c>
      <c r="J1088" s="157">
        <f t="shared" si="245"/>
        <v>0.38</v>
      </c>
      <c r="K1088" s="101">
        <f t="shared" si="238"/>
        <v>35.73982125124131</v>
      </c>
      <c r="L1088" s="101">
        <f t="shared" si="239"/>
        <v>0.97270270270270265</v>
      </c>
      <c r="M1088" s="133">
        <f t="shared" si="240"/>
        <v>382.28000000000003</v>
      </c>
      <c r="N1088" s="133">
        <f t="shared" si="241"/>
        <v>3981.28</v>
      </c>
      <c r="O1088" s="134">
        <f t="shared" si="242"/>
        <v>39.536047666335648</v>
      </c>
      <c r="P1088" s="134">
        <f t="shared" si="243"/>
        <v>1.0760216216216216</v>
      </c>
      <c r="R1088" s="149">
        <f t="shared" si="237"/>
        <v>5.6558107935968938</v>
      </c>
    </row>
    <row r="1089" spans="1:18" ht="14.45" x14ac:dyDescent="0.3">
      <c r="A1089" s="82" t="s">
        <v>1</v>
      </c>
      <c r="B1089" s="82" t="s">
        <v>25</v>
      </c>
      <c r="C1089" s="82" t="s">
        <v>26</v>
      </c>
      <c r="D1089" s="82" t="s">
        <v>91</v>
      </c>
      <c r="E1089" s="87">
        <f t="shared" si="244"/>
        <v>41183</v>
      </c>
      <c r="F1089" s="83"/>
      <c r="G1089" s="92">
        <v>3481</v>
      </c>
      <c r="H1089" s="52">
        <v>880</v>
      </c>
      <c r="I1089" s="52" t="s">
        <v>93</v>
      </c>
      <c r="J1089" s="157">
        <f t="shared" si="245"/>
        <v>0.38</v>
      </c>
      <c r="K1089" s="101">
        <f t="shared" si="238"/>
        <v>34.568023833167821</v>
      </c>
      <c r="L1089" s="101">
        <f t="shared" si="239"/>
        <v>0.94081081081081086</v>
      </c>
      <c r="M1089" s="133">
        <f t="shared" si="240"/>
        <v>334.4</v>
      </c>
      <c r="N1089" s="133">
        <f t="shared" si="241"/>
        <v>3815.4</v>
      </c>
      <c r="O1089" s="134">
        <f t="shared" si="242"/>
        <v>37.888778550148956</v>
      </c>
      <c r="P1089" s="134">
        <f t="shared" si="243"/>
        <v>1.0311891891891891</v>
      </c>
      <c r="R1089" s="149">
        <f t="shared" si="237"/>
        <v>7.5669579926698649</v>
      </c>
    </row>
    <row r="1090" spans="1:18" ht="14.45" x14ac:dyDescent="0.3">
      <c r="A1090" s="82" t="s">
        <v>1</v>
      </c>
      <c r="B1090" s="82" t="s">
        <v>2</v>
      </c>
      <c r="C1090" s="82" t="s">
        <v>9</v>
      </c>
      <c r="D1090" s="82" t="s">
        <v>91</v>
      </c>
      <c r="E1090" s="87">
        <f t="shared" si="244"/>
        <v>41183</v>
      </c>
      <c r="F1090" s="83"/>
      <c r="G1090" s="92">
        <v>3634</v>
      </c>
      <c r="H1090" s="52">
        <v>685</v>
      </c>
      <c r="I1090" s="52" t="s">
        <v>93</v>
      </c>
      <c r="J1090" s="157">
        <f t="shared" si="245"/>
        <v>0.38</v>
      </c>
      <c r="K1090" s="101">
        <f t="shared" si="238"/>
        <v>36.08738828202582</v>
      </c>
      <c r="L1090" s="101">
        <f t="shared" si="239"/>
        <v>0.98216216216216212</v>
      </c>
      <c r="M1090" s="133">
        <f t="shared" si="240"/>
        <v>260.3</v>
      </c>
      <c r="N1090" s="133">
        <f t="shared" si="241"/>
        <v>3894.3</v>
      </c>
      <c r="O1090" s="134">
        <f t="shared" si="242"/>
        <v>38.672293942403179</v>
      </c>
      <c r="P1090" s="134">
        <f t="shared" si="243"/>
        <v>1.0525135135135135</v>
      </c>
      <c r="R1090" s="149">
        <f t="shared" si="237"/>
        <v>15.088289619504991</v>
      </c>
    </row>
    <row r="1091" spans="1:18" ht="14.45" x14ac:dyDescent="0.3">
      <c r="A1091" s="82" t="s">
        <v>1</v>
      </c>
      <c r="B1091" s="82" t="s">
        <v>27</v>
      </c>
      <c r="C1091" s="82" t="s">
        <v>28</v>
      </c>
      <c r="D1091" s="82" t="s">
        <v>91</v>
      </c>
      <c r="E1091" s="87">
        <f t="shared" si="244"/>
        <v>41183</v>
      </c>
      <c r="F1091" s="83"/>
      <c r="G1091" s="92">
        <v>3771</v>
      </c>
      <c r="H1091" s="52">
        <v>812</v>
      </c>
      <c r="I1091" s="52" t="s">
        <v>94</v>
      </c>
      <c r="J1091" s="157">
        <f t="shared" si="245"/>
        <v>0.5</v>
      </c>
      <c r="K1091" s="101">
        <f t="shared" si="238"/>
        <v>37.447864945382321</v>
      </c>
      <c r="L1091" s="101">
        <f t="shared" si="239"/>
        <v>1.0191891891891891</v>
      </c>
      <c r="M1091" s="133">
        <f t="shared" si="240"/>
        <v>406</v>
      </c>
      <c r="N1091" s="133">
        <f t="shared" si="241"/>
        <v>4177</v>
      </c>
      <c r="O1091" s="134">
        <f t="shared" si="242"/>
        <v>41.479642502482619</v>
      </c>
      <c r="P1091" s="134">
        <f t="shared" si="243"/>
        <v>1.1289189189189188</v>
      </c>
      <c r="R1091" s="149">
        <f t="shared" si="237"/>
        <v>3.7341306896072179</v>
      </c>
    </row>
    <row r="1092" spans="1:18" ht="14.45" x14ac:dyDescent="0.3">
      <c r="A1092" s="82" t="s">
        <v>1</v>
      </c>
      <c r="B1092" s="82" t="s">
        <v>4</v>
      </c>
      <c r="C1092" s="82" t="s">
        <v>26</v>
      </c>
      <c r="D1092" s="82" t="s">
        <v>91</v>
      </c>
      <c r="E1092" s="87">
        <f t="shared" si="244"/>
        <v>41183</v>
      </c>
      <c r="F1092" s="83"/>
      <c r="G1092" s="92">
        <v>4963</v>
      </c>
      <c r="H1092" s="52">
        <v>1520</v>
      </c>
      <c r="I1092" s="52" t="s">
        <v>93</v>
      </c>
      <c r="J1092" s="157">
        <f t="shared" si="245"/>
        <v>0.38</v>
      </c>
      <c r="K1092" s="101">
        <f t="shared" si="238"/>
        <v>49.285004965243296</v>
      </c>
      <c r="L1092" s="101">
        <f t="shared" si="239"/>
        <v>1.3413513513513513</v>
      </c>
      <c r="M1092" s="133">
        <f t="shared" si="240"/>
        <v>577.6</v>
      </c>
      <c r="N1092" s="133">
        <f t="shared" si="241"/>
        <v>5540.6</v>
      </c>
      <c r="O1092" s="134">
        <f t="shared" si="242"/>
        <v>55.020854021847072</v>
      </c>
      <c r="P1092" s="134">
        <f t="shared" si="243"/>
        <v>1.4974594594594595</v>
      </c>
      <c r="R1092" s="149">
        <f t="shared" si="237"/>
        <v>5.857852502865879</v>
      </c>
    </row>
    <row r="1093" spans="1:18" ht="14.45" x14ac:dyDescent="0.3">
      <c r="A1093" s="82" t="s">
        <v>1</v>
      </c>
      <c r="B1093" s="82" t="s">
        <v>4</v>
      </c>
      <c r="C1093" s="82" t="s">
        <v>9</v>
      </c>
      <c r="D1093" s="82" t="s">
        <v>91</v>
      </c>
      <c r="E1093" s="87">
        <f t="shared" si="244"/>
        <v>41183</v>
      </c>
      <c r="F1093" s="83"/>
      <c r="G1093" s="92">
        <v>5984</v>
      </c>
      <c r="H1093" s="52">
        <v>1583</v>
      </c>
      <c r="I1093" s="52" t="s">
        <v>93</v>
      </c>
      <c r="J1093" s="157">
        <f t="shared" si="245"/>
        <v>0.38</v>
      </c>
      <c r="K1093" s="101">
        <f t="shared" si="238"/>
        <v>59.424031777557097</v>
      </c>
      <c r="L1093" s="101">
        <f t="shared" si="239"/>
        <v>1.6172972972972972</v>
      </c>
      <c r="M1093" s="133">
        <f t="shared" si="240"/>
        <v>601.54</v>
      </c>
      <c r="N1093" s="133">
        <f t="shared" si="241"/>
        <v>6585.54</v>
      </c>
      <c r="O1093" s="134">
        <f t="shared" si="242"/>
        <v>65.397616683217478</v>
      </c>
      <c r="P1093" s="134">
        <f t="shared" si="243"/>
        <v>1.7798756756756757</v>
      </c>
      <c r="R1093" s="149">
        <f t="shared" si="237"/>
        <v>4.5481461490224584</v>
      </c>
    </row>
    <row r="1094" spans="1:18" ht="14.45" x14ac:dyDescent="0.3">
      <c r="A1094" s="82" t="s">
        <v>1</v>
      </c>
      <c r="B1094" s="82" t="s">
        <v>10</v>
      </c>
      <c r="C1094" s="82" t="s">
        <v>26</v>
      </c>
      <c r="D1094" s="82" t="s">
        <v>91</v>
      </c>
      <c r="E1094" s="87">
        <f t="shared" si="244"/>
        <v>41183</v>
      </c>
      <c r="F1094" s="83"/>
      <c r="G1094" s="92">
        <v>4793</v>
      </c>
      <c r="H1094" s="52">
        <v>1599</v>
      </c>
      <c r="I1094" s="52" t="s">
        <v>92</v>
      </c>
      <c r="J1094" s="157">
        <f t="shared" si="245"/>
        <v>0.38</v>
      </c>
      <c r="K1094" s="101">
        <f t="shared" si="238"/>
        <v>47.596822244289967</v>
      </c>
      <c r="L1094" s="101">
        <f t="shared" si="239"/>
        <v>1.2954054054054054</v>
      </c>
      <c r="M1094" s="133">
        <f t="shared" si="240"/>
        <v>607.62</v>
      </c>
      <c r="N1094" s="133">
        <f t="shared" si="241"/>
        <v>5400.62</v>
      </c>
      <c r="O1094" s="134">
        <f t="shared" si="242"/>
        <v>53.630784508440911</v>
      </c>
      <c r="P1094" s="134">
        <f t="shared" si="243"/>
        <v>1.4596270270270271</v>
      </c>
      <c r="R1094" s="149">
        <f t="shared" si="237"/>
        <v>1.84775885219437</v>
      </c>
    </row>
    <row r="1095" spans="1:18" ht="14.45" x14ac:dyDescent="0.3">
      <c r="A1095" s="82" t="s">
        <v>134</v>
      </c>
      <c r="B1095" s="82" t="s">
        <v>23</v>
      </c>
      <c r="C1095" s="82" t="s">
        <v>26</v>
      </c>
      <c r="D1095" s="82" t="s">
        <v>91</v>
      </c>
      <c r="E1095" s="87">
        <f t="shared" si="244"/>
        <v>41183</v>
      </c>
      <c r="F1095" s="83"/>
      <c r="G1095" s="92">
        <v>4800</v>
      </c>
      <c r="H1095" s="52">
        <v>1851</v>
      </c>
      <c r="I1095" s="52" t="s">
        <v>93</v>
      </c>
      <c r="J1095" s="157">
        <f t="shared" si="245"/>
        <v>0.38</v>
      </c>
      <c r="K1095" s="101">
        <f t="shared" si="238"/>
        <v>47.666335650446868</v>
      </c>
      <c r="L1095" s="101">
        <f t="shared" si="239"/>
        <v>1.2108108108108109</v>
      </c>
      <c r="M1095" s="133">
        <f t="shared" si="240"/>
        <v>703.38</v>
      </c>
      <c r="N1095" s="133">
        <f t="shared" si="241"/>
        <v>5503.38</v>
      </c>
      <c r="O1095" s="134">
        <f t="shared" si="242"/>
        <v>54.651241310824233</v>
      </c>
      <c r="P1095" s="134">
        <f t="shared" si="243"/>
        <v>1.3882400000000001</v>
      </c>
      <c r="R1095" s="149">
        <f t="shared" si="237"/>
        <v>1.0193011922134287</v>
      </c>
    </row>
    <row r="1096" spans="1:18" ht="14.45" x14ac:dyDescent="0.3">
      <c r="A1096" s="82" t="s">
        <v>134</v>
      </c>
      <c r="B1096" s="82" t="s">
        <v>8</v>
      </c>
      <c r="C1096" s="82" t="s">
        <v>29</v>
      </c>
      <c r="D1096" s="82" t="s">
        <v>91</v>
      </c>
      <c r="E1096" s="87">
        <f t="shared" si="244"/>
        <v>41183</v>
      </c>
      <c r="F1096" s="83"/>
      <c r="G1096" s="92">
        <v>4760</v>
      </c>
      <c r="H1096" s="52">
        <v>1695</v>
      </c>
      <c r="I1096" s="52" t="s">
        <v>93</v>
      </c>
      <c r="J1096" s="157">
        <f t="shared" si="245"/>
        <v>0.38</v>
      </c>
      <c r="K1096" s="101">
        <f t="shared" si="238"/>
        <v>47.269116186693147</v>
      </c>
      <c r="L1096" s="101">
        <f t="shared" si="239"/>
        <v>1.2007207207207207</v>
      </c>
      <c r="M1096" s="133">
        <f t="shared" si="240"/>
        <v>644.1</v>
      </c>
      <c r="N1096" s="133">
        <f t="shared" si="241"/>
        <v>5404.1</v>
      </c>
      <c r="O1096" s="134">
        <f t="shared" si="242"/>
        <v>53.665342601787486</v>
      </c>
      <c r="P1096" s="134">
        <f t="shared" si="243"/>
        <v>1.3631963963963964</v>
      </c>
      <c r="R1096" s="149">
        <f t="shared" si="237"/>
        <v>0.94989025358427348</v>
      </c>
    </row>
    <row r="1097" spans="1:18" ht="14.45" x14ac:dyDescent="0.3">
      <c r="A1097" s="82" t="s">
        <v>134</v>
      </c>
      <c r="B1097" s="82" t="s">
        <v>13</v>
      </c>
      <c r="C1097" s="82" t="s">
        <v>7</v>
      </c>
      <c r="D1097" s="82" t="s">
        <v>91</v>
      </c>
      <c r="E1097" s="87">
        <f t="shared" si="244"/>
        <v>41183</v>
      </c>
      <c r="F1097" s="83"/>
      <c r="G1097" s="92">
        <v>2857</v>
      </c>
      <c r="H1097" s="52">
        <v>1006</v>
      </c>
      <c r="I1097" s="52" t="s">
        <v>92</v>
      </c>
      <c r="J1097" s="157">
        <f t="shared" si="245"/>
        <v>0.38</v>
      </c>
      <c r="K1097" s="101">
        <f t="shared" si="238"/>
        <v>28.371400198609731</v>
      </c>
      <c r="L1097" s="101">
        <f t="shared" si="239"/>
        <v>0.72068468468468472</v>
      </c>
      <c r="M1097" s="133">
        <f t="shared" si="240"/>
        <v>382.28000000000003</v>
      </c>
      <c r="N1097" s="133">
        <f t="shared" si="241"/>
        <v>3239.28</v>
      </c>
      <c r="O1097" s="134">
        <f t="shared" si="242"/>
        <v>32.167626613704073</v>
      </c>
      <c r="P1097" s="134">
        <f t="shared" si="243"/>
        <v>0.81711567567567578</v>
      </c>
      <c r="R1097" s="149">
        <f t="shared" ref="R1097:R1134" si="246">((N1097/N641)-1)*100</f>
        <v>3.7046641722104923E-3</v>
      </c>
    </row>
    <row r="1098" spans="1:18" ht="14.45" x14ac:dyDescent="0.3">
      <c r="A1098" s="82" t="s">
        <v>134</v>
      </c>
      <c r="B1098" s="82" t="s">
        <v>30</v>
      </c>
      <c r="C1098" s="82" t="s">
        <v>9</v>
      </c>
      <c r="D1098" s="82" t="s">
        <v>91</v>
      </c>
      <c r="E1098" s="87">
        <f t="shared" si="244"/>
        <v>41183</v>
      </c>
      <c r="F1098" s="83"/>
      <c r="G1098" s="92">
        <v>3310</v>
      </c>
      <c r="H1098" s="52">
        <v>988</v>
      </c>
      <c r="I1098" s="52" t="s">
        <v>93</v>
      </c>
      <c r="J1098" s="157">
        <f t="shared" si="245"/>
        <v>0.38</v>
      </c>
      <c r="K1098" s="101">
        <f t="shared" si="238"/>
        <v>32.869910625620655</v>
      </c>
      <c r="L1098" s="101">
        <f t="shared" si="239"/>
        <v>0.83495495495495498</v>
      </c>
      <c r="M1098" s="133">
        <f t="shared" si="240"/>
        <v>375.44</v>
      </c>
      <c r="N1098" s="133">
        <f t="shared" si="241"/>
        <v>3685.44</v>
      </c>
      <c r="O1098" s="134">
        <f t="shared" si="242"/>
        <v>36.598212512413106</v>
      </c>
      <c r="P1098" s="134">
        <f t="shared" si="243"/>
        <v>0.92966054054054059</v>
      </c>
      <c r="R1098" s="149">
        <f t="shared" si="246"/>
        <v>0.81076645330706576</v>
      </c>
    </row>
    <row r="1099" spans="1:18" ht="14.45" x14ac:dyDescent="0.3">
      <c r="A1099" s="82" t="s">
        <v>134</v>
      </c>
      <c r="B1099" s="82" t="s">
        <v>16</v>
      </c>
      <c r="C1099" s="82" t="s">
        <v>11</v>
      </c>
      <c r="D1099" s="82" t="s">
        <v>91</v>
      </c>
      <c r="E1099" s="87">
        <f t="shared" si="244"/>
        <v>41183</v>
      </c>
      <c r="F1099" s="83"/>
      <c r="G1099" s="92">
        <v>3430</v>
      </c>
      <c r="H1099" s="52">
        <v>787</v>
      </c>
      <c r="I1099" s="52" t="s">
        <v>92</v>
      </c>
      <c r="J1099" s="157">
        <f t="shared" si="245"/>
        <v>0.38</v>
      </c>
      <c r="K1099" s="101">
        <f t="shared" si="238"/>
        <v>34.061569016881826</v>
      </c>
      <c r="L1099" s="101">
        <f t="shared" si="239"/>
        <v>0.86522522522522527</v>
      </c>
      <c r="M1099" s="133">
        <f t="shared" si="240"/>
        <v>299.06</v>
      </c>
      <c r="N1099" s="133">
        <f t="shared" si="241"/>
        <v>3729.06</v>
      </c>
      <c r="O1099" s="134">
        <f t="shared" si="242"/>
        <v>37.031380337636541</v>
      </c>
      <c r="P1099" s="134">
        <f t="shared" si="243"/>
        <v>0.94066378378378379</v>
      </c>
      <c r="R1099" s="149">
        <f t="shared" si="246"/>
        <v>0.42387943942348016</v>
      </c>
    </row>
    <row r="1100" spans="1:18" ht="14.45" x14ac:dyDescent="0.3">
      <c r="A1100" s="82" t="s">
        <v>134</v>
      </c>
      <c r="B1100" s="82" t="s">
        <v>23</v>
      </c>
      <c r="C1100" s="82" t="s">
        <v>29</v>
      </c>
      <c r="D1100" s="82" t="s">
        <v>91</v>
      </c>
      <c r="E1100" s="87">
        <f t="shared" si="244"/>
        <v>41183</v>
      </c>
      <c r="F1100" s="83"/>
      <c r="G1100" s="92">
        <v>4800</v>
      </c>
      <c r="H1100" s="52">
        <v>1836</v>
      </c>
      <c r="I1100" s="52" t="s">
        <v>93</v>
      </c>
      <c r="J1100" s="157">
        <f t="shared" si="245"/>
        <v>0.38</v>
      </c>
      <c r="K1100" s="101">
        <f t="shared" si="238"/>
        <v>47.666335650446868</v>
      </c>
      <c r="L1100" s="101">
        <f t="shared" si="239"/>
        <v>1.2108108108108109</v>
      </c>
      <c r="M1100" s="133">
        <f t="shared" si="240"/>
        <v>697.68000000000006</v>
      </c>
      <c r="N1100" s="133">
        <f t="shared" si="241"/>
        <v>5497.68</v>
      </c>
      <c r="O1100" s="134">
        <f t="shared" si="242"/>
        <v>54.594637537239329</v>
      </c>
      <c r="P1100" s="134">
        <f t="shared" si="243"/>
        <v>1.3868021621621622</v>
      </c>
      <c r="R1100" s="149">
        <f t="shared" si="246"/>
        <v>1.0120163157314455</v>
      </c>
    </row>
    <row r="1101" spans="1:18" ht="14.45" x14ac:dyDescent="0.3">
      <c r="A1101" s="82" t="s">
        <v>134</v>
      </c>
      <c r="B1101" s="82" t="s">
        <v>31</v>
      </c>
      <c r="C1101" s="82" t="s">
        <v>32</v>
      </c>
      <c r="D1101" s="82" t="s">
        <v>91</v>
      </c>
      <c r="E1101" s="87">
        <f t="shared" si="244"/>
        <v>41183</v>
      </c>
      <c r="F1101" s="83"/>
      <c r="G1101" s="92">
        <v>4200</v>
      </c>
      <c r="H1101" s="52">
        <v>1899</v>
      </c>
      <c r="I1101" s="52" t="s">
        <v>93</v>
      </c>
      <c r="J1101" s="157">
        <f t="shared" si="245"/>
        <v>0.38</v>
      </c>
      <c r="K1101" s="101">
        <f t="shared" si="238"/>
        <v>41.708043694141011</v>
      </c>
      <c r="L1101" s="101">
        <f t="shared" si="239"/>
        <v>1.0594594594594595</v>
      </c>
      <c r="M1101" s="133">
        <f t="shared" si="240"/>
        <v>721.62</v>
      </c>
      <c r="N1101" s="133">
        <f t="shared" si="241"/>
        <v>4921.62</v>
      </c>
      <c r="O1101" s="134">
        <f t="shared" si="242"/>
        <v>48.874081429990071</v>
      </c>
      <c r="P1101" s="134">
        <f t="shared" si="243"/>
        <v>1.2414897297297298</v>
      </c>
      <c r="R1101" s="149">
        <f t="shared" si="246"/>
        <v>1.1711017236594623</v>
      </c>
    </row>
    <row r="1102" spans="1:18" ht="14.45" x14ac:dyDescent="0.3">
      <c r="A1102" s="82" t="s">
        <v>22</v>
      </c>
      <c r="B1102" s="82" t="s">
        <v>8</v>
      </c>
      <c r="C1102" s="82" t="s">
        <v>29</v>
      </c>
      <c r="D1102" s="82" t="s">
        <v>91</v>
      </c>
      <c r="E1102" s="87">
        <f t="shared" si="244"/>
        <v>41183</v>
      </c>
      <c r="F1102" s="83"/>
      <c r="G1102" s="92">
        <v>5340</v>
      </c>
      <c r="H1102" s="52">
        <v>1695</v>
      </c>
      <c r="I1102" s="52" t="s">
        <v>93</v>
      </c>
      <c r="J1102" s="157">
        <f t="shared" si="245"/>
        <v>0.38</v>
      </c>
      <c r="K1102" s="101">
        <f t="shared" si="238"/>
        <v>53.028798411122146</v>
      </c>
      <c r="L1102" s="101">
        <f t="shared" si="239"/>
        <v>1.4432432432432432</v>
      </c>
      <c r="M1102" s="133">
        <f t="shared" si="240"/>
        <v>644.1</v>
      </c>
      <c r="N1102" s="133">
        <f t="shared" si="241"/>
        <v>5984.1</v>
      </c>
      <c r="O1102" s="134">
        <f t="shared" si="242"/>
        <v>59.425024826216486</v>
      </c>
      <c r="P1102" s="134">
        <f t="shared" si="243"/>
        <v>1.6173243243243245</v>
      </c>
      <c r="R1102" s="149">
        <f t="shared" si="246"/>
        <v>6.2281986419917557</v>
      </c>
    </row>
    <row r="1103" spans="1:18" ht="14.45" x14ac:dyDescent="0.3">
      <c r="A1103" s="82" t="s">
        <v>22</v>
      </c>
      <c r="B1103" s="82" t="s">
        <v>23</v>
      </c>
      <c r="C1103" s="82" t="s">
        <v>26</v>
      </c>
      <c r="D1103" s="82" t="s">
        <v>91</v>
      </c>
      <c r="E1103" s="87">
        <f t="shared" si="244"/>
        <v>41183</v>
      </c>
      <c r="F1103" s="83"/>
      <c r="G1103" s="92">
        <v>5330</v>
      </c>
      <c r="H1103" s="52">
        <v>1851</v>
      </c>
      <c r="I1103" s="52" t="s">
        <v>93</v>
      </c>
      <c r="J1103" s="157">
        <f t="shared" si="245"/>
        <v>0.38</v>
      </c>
      <c r="K1103" s="101">
        <f t="shared" si="238"/>
        <v>52.929493545183711</v>
      </c>
      <c r="L1103" s="101">
        <f t="shared" si="239"/>
        <v>1.4405405405405405</v>
      </c>
      <c r="M1103" s="133">
        <f t="shared" si="240"/>
        <v>703.38</v>
      </c>
      <c r="N1103" s="133">
        <f t="shared" si="241"/>
        <v>6033.38</v>
      </c>
      <c r="O1103" s="134">
        <f t="shared" si="242"/>
        <v>59.914399205561075</v>
      </c>
      <c r="P1103" s="134">
        <f t="shared" si="243"/>
        <v>1.6306432432432432</v>
      </c>
      <c r="R1103" s="149">
        <f t="shared" si="246"/>
        <v>6.2617011720985882</v>
      </c>
    </row>
    <row r="1104" spans="1:18" ht="14.45" x14ac:dyDescent="0.3">
      <c r="A1104" s="82" t="s">
        <v>22</v>
      </c>
      <c r="B1104" s="82" t="s">
        <v>33</v>
      </c>
      <c r="C1104" s="82" t="s">
        <v>29</v>
      </c>
      <c r="D1104" s="82" t="s">
        <v>91</v>
      </c>
      <c r="E1104" s="87">
        <f t="shared" si="244"/>
        <v>41183</v>
      </c>
      <c r="F1104" s="83"/>
      <c r="G1104" s="92">
        <v>5230</v>
      </c>
      <c r="H1104" s="52">
        <v>1507</v>
      </c>
      <c r="I1104" s="52" t="s">
        <v>93</v>
      </c>
      <c r="J1104" s="157">
        <f t="shared" si="245"/>
        <v>0.38</v>
      </c>
      <c r="K1104" s="101">
        <f t="shared" si="238"/>
        <v>51.936444885799403</v>
      </c>
      <c r="L1104" s="101">
        <f t="shared" si="239"/>
        <v>1.4135135135135135</v>
      </c>
      <c r="M1104" s="133">
        <f t="shared" si="240"/>
        <v>572.66</v>
      </c>
      <c r="N1104" s="133">
        <f t="shared" si="241"/>
        <v>5802.66</v>
      </c>
      <c r="O1104" s="134">
        <f t="shared" si="242"/>
        <v>57.623237338629593</v>
      </c>
      <c r="P1104" s="134">
        <f t="shared" si="243"/>
        <v>1.5682864864864865</v>
      </c>
      <c r="R1104" s="149">
        <f t="shared" si="246"/>
        <v>6.3254816810048631</v>
      </c>
    </row>
    <row r="1105" spans="1:18" ht="14.45" x14ac:dyDescent="0.3">
      <c r="A1105" s="82" t="s">
        <v>22</v>
      </c>
      <c r="B1105" s="82" t="s">
        <v>31</v>
      </c>
      <c r="C1105" s="82" t="s">
        <v>7</v>
      </c>
      <c r="D1105" s="82" t="s">
        <v>91</v>
      </c>
      <c r="E1105" s="87">
        <f t="shared" si="244"/>
        <v>41183</v>
      </c>
      <c r="F1105" s="83"/>
      <c r="G1105" s="92">
        <v>3870</v>
      </c>
      <c r="H1105" s="52">
        <v>1160</v>
      </c>
      <c r="I1105" s="52" t="s">
        <v>92</v>
      </c>
      <c r="J1105" s="157">
        <f t="shared" si="245"/>
        <v>0.38</v>
      </c>
      <c r="K1105" s="101">
        <f t="shared" si="238"/>
        <v>38.43098311817279</v>
      </c>
      <c r="L1105" s="101">
        <f t="shared" si="239"/>
        <v>1.0459459459459459</v>
      </c>
      <c r="M1105" s="133">
        <f t="shared" si="240"/>
        <v>440.8</v>
      </c>
      <c r="N1105" s="133">
        <f t="shared" si="241"/>
        <v>4310.8</v>
      </c>
      <c r="O1105" s="134">
        <f t="shared" si="242"/>
        <v>42.808341608738829</v>
      </c>
      <c r="P1105" s="134">
        <f t="shared" si="243"/>
        <v>1.1650810810810812</v>
      </c>
      <c r="R1105" s="149">
        <f t="shared" si="246"/>
        <v>4.4384145750557158</v>
      </c>
    </row>
    <row r="1106" spans="1:18" ht="14.45" x14ac:dyDescent="0.3">
      <c r="A1106" s="82" t="s">
        <v>22</v>
      </c>
      <c r="B1106" s="82" t="s">
        <v>14</v>
      </c>
      <c r="C1106" s="82" t="s">
        <v>24</v>
      </c>
      <c r="D1106" s="82" t="s">
        <v>91</v>
      </c>
      <c r="E1106" s="87">
        <f t="shared" si="244"/>
        <v>41183</v>
      </c>
      <c r="F1106" s="83"/>
      <c r="G1106" s="92">
        <v>2750</v>
      </c>
      <c r="H1106" s="52">
        <v>615</v>
      </c>
      <c r="I1106" s="52" t="s">
        <v>94</v>
      </c>
      <c r="J1106" s="157">
        <f t="shared" si="245"/>
        <v>0.5</v>
      </c>
      <c r="K1106" s="101">
        <f t="shared" si="238"/>
        <v>27.308838133068519</v>
      </c>
      <c r="L1106" s="101">
        <f t="shared" si="239"/>
        <v>0.7432432432432432</v>
      </c>
      <c r="M1106" s="133">
        <f t="shared" si="240"/>
        <v>307.5</v>
      </c>
      <c r="N1106" s="133">
        <f t="shared" si="241"/>
        <v>3057.5</v>
      </c>
      <c r="O1106" s="134">
        <f t="shared" si="242"/>
        <v>30.362462760675271</v>
      </c>
      <c r="P1106" s="134">
        <f t="shared" si="243"/>
        <v>0.8263513513513514</v>
      </c>
      <c r="R1106" s="149">
        <f t="shared" si="246"/>
        <v>3.2572904881714271</v>
      </c>
    </row>
    <row r="1107" spans="1:18" ht="14.45" x14ac:dyDescent="0.3">
      <c r="A1107" s="118" t="s">
        <v>22</v>
      </c>
      <c r="B1107" s="118" t="s">
        <v>34</v>
      </c>
      <c r="C1107" s="118" t="s">
        <v>26</v>
      </c>
      <c r="D1107" s="118" t="s">
        <v>91</v>
      </c>
      <c r="E1107" s="119">
        <f t="shared" si="244"/>
        <v>41183</v>
      </c>
      <c r="F1107" s="120"/>
      <c r="G1107" s="105">
        <v>5195</v>
      </c>
      <c r="H1107" s="158">
        <v>1637</v>
      </c>
      <c r="I1107" s="158" t="s">
        <v>92</v>
      </c>
      <c r="J1107" s="122">
        <f t="shared" si="245"/>
        <v>0.38</v>
      </c>
      <c r="K1107" s="123">
        <f t="shared" si="238"/>
        <v>51.588877855014893</v>
      </c>
      <c r="L1107" s="123">
        <f t="shared" si="239"/>
        <v>1.404054054054054</v>
      </c>
      <c r="M1107" s="115">
        <f t="shared" si="240"/>
        <v>622.06000000000006</v>
      </c>
      <c r="N1107" s="115">
        <f t="shared" si="241"/>
        <v>5817.06</v>
      </c>
      <c r="O1107" s="116">
        <f t="shared" si="242"/>
        <v>57.766236345580936</v>
      </c>
      <c r="P1107" s="116">
        <f t="shared" si="243"/>
        <v>1.5721783783783785</v>
      </c>
      <c r="Q1107" s="106"/>
      <c r="R1107" s="152">
        <f t="shared" si="246"/>
        <v>13.851941158510339</v>
      </c>
    </row>
    <row r="1108" spans="1:18" ht="14.45" x14ac:dyDescent="0.3">
      <c r="A1108" s="82" t="s">
        <v>1</v>
      </c>
      <c r="B1108" s="82" t="s">
        <v>2</v>
      </c>
      <c r="C1108" s="82" t="s">
        <v>3</v>
      </c>
      <c r="D1108" s="82" t="s">
        <v>90</v>
      </c>
      <c r="E1108" s="87">
        <v>41214</v>
      </c>
      <c r="F1108" s="83"/>
      <c r="G1108" s="92">
        <v>3144</v>
      </c>
      <c r="H1108" s="52">
        <v>506</v>
      </c>
      <c r="I1108" s="52" t="s">
        <v>92</v>
      </c>
      <c r="J1108" s="157">
        <f>IF(I1108="BNSF",0.41,IF(I1108="CN",0.3508,IF(I1108="CSX",0.54,0.41)))</f>
        <v>0.41</v>
      </c>
      <c r="K1108" s="101">
        <f t="shared" ref="K1108:K1145" si="247">G1108/100.7</f>
        <v>31.221449851042699</v>
      </c>
      <c r="L1108" s="101">
        <f t="shared" ref="L1108:L1145" si="248">IF(A1108="corn",G1108/(111*2000/56),G1108/(111*2000/60))</f>
        <v>0.84972972972972971</v>
      </c>
      <c r="M1108" s="133">
        <f t="shared" ref="M1108:M1145" si="249">H1108*J1108</f>
        <v>207.45999999999998</v>
      </c>
      <c r="N1108" s="133">
        <f t="shared" ref="N1108:N1145" si="250">G1108+M1108</f>
        <v>3351.46</v>
      </c>
      <c r="O1108" s="134">
        <f t="shared" ref="O1108:O1145" si="251">N1108/100.7</f>
        <v>33.281628599801387</v>
      </c>
      <c r="P1108" s="134">
        <f t="shared" ref="P1108:P1145" si="252">IF(A1108="corn",N1108/(111*2000/56),N1108/(111*2000/60))</f>
        <v>0.90580000000000005</v>
      </c>
      <c r="Q1108" s="160"/>
      <c r="R1108" s="149">
        <f t="shared" si="246"/>
        <v>5.7543151052349195</v>
      </c>
    </row>
    <row r="1109" spans="1:18" ht="14.45" x14ac:dyDescent="0.3">
      <c r="A1109" s="82" t="s">
        <v>1</v>
      </c>
      <c r="B1109" s="82" t="s">
        <v>4</v>
      </c>
      <c r="C1109" s="82" t="s">
        <v>5</v>
      </c>
      <c r="D1109" s="82" t="s">
        <v>90</v>
      </c>
      <c r="E1109" s="87">
        <f>E1108</f>
        <v>41214</v>
      </c>
      <c r="F1109" s="83"/>
      <c r="G1109" s="92">
        <v>3445</v>
      </c>
      <c r="H1109" s="52">
        <v>298</v>
      </c>
      <c r="I1109" s="52" t="s">
        <v>93</v>
      </c>
      <c r="J1109" s="157">
        <f>IF(I1109="BNSF",0.41,IF(I1109="CN",0.3508,IF(I1109="CSX",0.54,0.41)))</f>
        <v>0.41</v>
      </c>
      <c r="K1109" s="101">
        <f t="shared" si="247"/>
        <v>34.210526315789473</v>
      </c>
      <c r="L1109" s="101">
        <f t="shared" si="248"/>
        <v>0.93108108108108112</v>
      </c>
      <c r="M1109" s="133">
        <f t="shared" si="249"/>
        <v>122.17999999999999</v>
      </c>
      <c r="N1109" s="133">
        <f t="shared" si="250"/>
        <v>3567.18</v>
      </c>
      <c r="O1109" s="134">
        <f t="shared" si="251"/>
        <v>35.423833167825222</v>
      </c>
      <c r="P1109" s="134">
        <f t="shared" si="252"/>
        <v>0.96410270270270271</v>
      </c>
      <c r="Q1109" s="160"/>
      <c r="R1109" s="149">
        <f t="shared" si="246"/>
        <v>11.532929788138757</v>
      </c>
    </row>
    <row r="1110" spans="1:18" ht="14.45" x14ac:dyDescent="0.3">
      <c r="A1110" s="82" t="s">
        <v>1</v>
      </c>
      <c r="B1110" s="82" t="s">
        <v>2</v>
      </c>
      <c r="C1110" s="82" t="s">
        <v>6</v>
      </c>
      <c r="D1110" s="82" t="s">
        <v>90</v>
      </c>
      <c r="E1110" s="87">
        <f t="shared" ref="E1110:E1145" si="253">E1109</f>
        <v>41214</v>
      </c>
      <c r="F1110" s="83"/>
      <c r="G1110" s="92">
        <v>6026</v>
      </c>
      <c r="H1110" s="52">
        <v>1530</v>
      </c>
      <c r="I1110" s="52" t="s">
        <v>93</v>
      </c>
      <c r="J1110" s="157">
        <f t="shared" ref="J1110:J1145" si="254">IF(I1110="BNSF",0.41,IF(I1110="CN",0.3508,IF(I1110="CSX",0.54,0.41)))</f>
        <v>0.41</v>
      </c>
      <c r="K1110" s="101">
        <f t="shared" si="247"/>
        <v>59.841112214498509</v>
      </c>
      <c r="L1110" s="101">
        <f t="shared" si="248"/>
        <v>1.6286486486486487</v>
      </c>
      <c r="M1110" s="133">
        <f t="shared" si="249"/>
        <v>627.29999999999995</v>
      </c>
      <c r="N1110" s="133">
        <f t="shared" si="250"/>
        <v>6653.3</v>
      </c>
      <c r="O1110" s="134">
        <f t="shared" si="251"/>
        <v>66.070506454816282</v>
      </c>
      <c r="P1110" s="134">
        <f t="shared" si="252"/>
        <v>1.7981891891891892</v>
      </c>
      <c r="R1110" s="149">
        <f t="shared" si="246"/>
        <v>6.7911142499438304</v>
      </c>
    </row>
    <row r="1111" spans="1:18" ht="14.45" x14ac:dyDescent="0.3">
      <c r="A1111" s="82" t="s">
        <v>1</v>
      </c>
      <c r="B1111" s="82" t="s">
        <v>2</v>
      </c>
      <c r="C1111" s="82" t="s">
        <v>7</v>
      </c>
      <c r="D1111" s="82" t="s">
        <v>90</v>
      </c>
      <c r="E1111" s="87">
        <f t="shared" si="253"/>
        <v>41214</v>
      </c>
      <c r="F1111" s="83"/>
      <c r="G1111" s="92">
        <v>3645</v>
      </c>
      <c r="H1111" s="52">
        <v>890</v>
      </c>
      <c r="I1111" s="52" t="s">
        <v>92</v>
      </c>
      <c r="J1111" s="157">
        <f t="shared" si="254"/>
        <v>0.41</v>
      </c>
      <c r="K1111" s="101">
        <f t="shared" si="247"/>
        <v>36.196623634558094</v>
      </c>
      <c r="L1111" s="101">
        <f t="shared" si="248"/>
        <v>0.98513513513513518</v>
      </c>
      <c r="M1111" s="133">
        <f t="shared" si="249"/>
        <v>364.9</v>
      </c>
      <c r="N1111" s="133">
        <f t="shared" si="250"/>
        <v>4009.9</v>
      </c>
      <c r="O1111" s="134">
        <f t="shared" si="251"/>
        <v>39.820258192651437</v>
      </c>
      <c r="P1111" s="134">
        <f t="shared" si="252"/>
        <v>1.0837567567567568</v>
      </c>
      <c r="R1111" s="149">
        <f t="shared" si="246"/>
        <v>5.4265807808597355</v>
      </c>
    </row>
    <row r="1112" spans="1:18" ht="14.45" x14ac:dyDescent="0.3">
      <c r="A1112" s="82" t="s">
        <v>1</v>
      </c>
      <c r="B1112" s="82" t="s">
        <v>8</v>
      </c>
      <c r="C1112" s="82" t="s">
        <v>9</v>
      </c>
      <c r="D1112" s="82" t="s">
        <v>90</v>
      </c>
      <c r="E1112" s="87">
        <f t="shared" si="253"/>
        <v>41214</v>
      </c>
      <c r="F1112" s="83"/>
      <c r="G1112" s="92">
        <v>5573</v>
      </c>
      <c r="H1112" s="52">
        <v>1256</v>
      </c>
      <c r="I1112" s="52" t="s">
        <v>93</v>
      </c>
      <c r="J1112" s="157">
        <f t="shared" si="254"/>
        <v>0.41</v>
      </c>
      <c r="K1112" s="101">
        <f t="shared" si="247"/>
        <v>55.342601787487588</v>
      </c>
      <c r="L1112" s="101">
        <f t="shared" si="248"/>
        <v>1.5062162162162163</v>
      </c>
      <c r="M1112" s="133">
        <f t="shared" si="249"/>
        <v>514.95999999999992</v>
      </c>
      <c r="N1112" s="133">
        <f t="shared" si="250"/>
        <v>6087.96</v>
      </c>
      <c r="O1112" s="134">
        <f t="shared" si="251"/>
        <v>60.456405163853027</v>
      </c>
      <c r="P1112" s="134">
        <f t="shared" si="252"/>
        <v>1.6453945945945947</v>
      </c>
      <c r="R1112" s="149">
        <f t="shared" si="246"/>
        <v>4.2987541630689519</v>
      </c>
    </row>
    <row r="1113" spans="1:18" ht="14.45" x14ac:dyDescent="0.3">
      <c r="A1113" s="82" t="s">
        <v>1</v>
      </c>
      <c r="B1113" s="82" t="s">
        <v>10</v>
      </c>
      <c r="C1113" s="82" t="s">
        <v>9</v>
      </c>
      <c r="D1113" s="82" t="s">
        <v>90</v>
      </c>
      <c r="E1113" s="87">
        <f t="shared" si="253"/>
        <v>41214</v>
      </c>
      <c r="F1113" s="83"/>
      <c r="G1113" s="92">
        <v>3912</v>
      </c>
      <c r="H1113" s="52">
        <v>975</v>
      </c>
      <c r="I1113" s="52" t="s">
        <v>92</v>
      </c>
      <c r="J1113" s="157">
        <f t="shared" si="254"/>
        <v>0.41</v>
      </c>
      <c r="K1113" s="101">
        <f t="shared" si="247"/>
        <v>38.848063555114202</v>
      </c>
      <c r="L1113" s="101">
        <f t="shared" si="248"/>
        <v>1.0572972972972974</v>
      </c>
      <c r="M1113" s="133">
        <f t="shared" si="249"/>
        <v>399.75</v>
      </c>
      <c r="N1113" s="133">
        <f t="shared" si="250"/>
        <v>4311.75</v>
      </c>
      <c r="O1113" s="134">
        <f t="shared" si="251"/>
        <v>42.817775571002976</v>
      </c>
      <c r="P1113" s="134">
        <f t="shared" si="252"/>
        <v>1.1653378378378378</v>
      </c>
      <c r="R1113" s="149">
        <f t="shared" si="246"/>
        <v>5.1325815300213407</v>
      </c>
    </row>
    <row r="1114" spans="1:18" ht="14.45" x14ac:dyDescent="0.3">
      <c r="A1114" s="82" t="s">
        <v>1</v>
      </c>
      <c r="B1114" s="82" t="s">
        <v>11</v>
      </c>
      <c r="C1114" s="82" t="s">
        <v>6</v>
      </c>
      <c r="D1114" s="82" t="s">
        <v>90</v>
      </c>
      <c r="E1114" s="87">
        <f t="shared" si="253"/>
        <v>41214</v>
      </c>
      <c r="F1114" s="83"/>
      <c r="G1114" s="92">
        <v>4112</v>
      </c>
      <c r="H1114" s="52">
        <v>1357</v>
      </c>
      <c r="I1114" s="52" t="s">
        <v>92</v>
      </c>
      <c r="J1114" s="157">
        <f t="shared" si="254"/>
        <v>0.41</v>
      </c>
      <c r="K1114" s="101">
        <f t="shared" si="247"/>
        <v>40.834160873882816</v>
      </c>
      <c r="L1114" s="101">
        <f t="shared" si="248"/>
        <v>1.1113513513513513</v>
      </c>
      <c r="M1114" s="133">
        <f t="shared" si="249"/>
        <v>556.37</v>
      </c>
      <c r="N1114" s="133">
        <f t="shared" si="250"/>
        <v>4668.37</v>
      </c>
      <c r="O1114" s="134">
        <f t="shared" si="251"/>
        <v>46.359185700099303</v>
      </c>
      <c r="P1114" s="134">
        <f t="shared" si="252"/>
        <v>1.2617216216216216</v>
      </c>
      <c r="R1114" s="149">
        <f t="shared" si="246"/>
        <v>5.2869337723700172</v>
      </c>
    </row>
    <row r="1115" spans="1:18" ht="14.45" x14ac:dyDescent="0.3">
      <c r="A1115" s="82" t="s">
        <v>134</v>
      </c>
      <c r="B1115" s="82" t="s">
        <v>13</v>
      </c>
      <c r="C1115" s="82" t="s">
        <v>7</v>
      </c>
      <c r="D1115" s="82" t="s">
        <v>90</v>
      </c>
      <c r="E1115" s="87">
        <f t="shared" si="253"/>
        <v>41214</v>
      </c>
      <c r="F1115" s="83"/>
      <c r="G1115" s="92">
        <v>3110</v>
      </c>
      <c r="H1115" s="52">
        <v>1006</v>
      </c>
      <c r="I1115" s="52" t="s">
        <v>92</v>
      </c>
      <c r="J1115" s="157">
        <f t="shared" si="254"/>
        <v>0.41</v>
      </c>
      <c r="K1115" s="101">
        <f t="shared" si="247"/>
        <v>30.883813306852034</v>
      </c>
      <c r="L1115" s="101">
        <f t="shared" si="248"/>
        <v>0.78450450450450449</v>
      </c>
      <c r="M1115" s="133">
        <f t="shared" si="249"/>
        <v>412.46</v>
      </c>
      <c r="N1115" s="133">
        <f t="shared" si="250"/>
        <v>3522.46</v>
      </c>
      <c r="O1115" s="134">
        <f t="shared" si="251"/>
        <v>34.97974180734856</v>
      </c>
      <c r="P1115" s="134">
        <f t="shared" si="252"/>
        <v>0.88854846846846847</v>
      </c>
      <c r="R1115" s="149">
        <f t="shared" si="246"/>
        <v>3.1738964880934972</v>
      </c>
    </row>
    <row r="1116" spans="1:18" ht="14.45" x14ac:dyDescent="0.3">
      <c r="A1116" s="82" t="s">
        <v>134</v>
      </c>
      <c r="B1116" s="82" t="s">
        <v>14</v>
      </c>
      <c r="C1116" s="82" t="s">
        <v>15</v>
      </c>
      <c r="D1116" s="82" t="s">
        <v>90</v>
      </c>
      <c r="E1116" s="87">
        <f t="shared" si="253"/>
        <v>41214</v>
      </c>
      <c r="F1116" s="83"/>
      <c r="G1116" s="92">
        <v>4508</v>
      </c>
      <c r="H1116" s="52">
        <v>866</v>
      </c>
      <c r="I1116" s="52" t="s">
        <v>94</v>
      </c>
      <c r="J1116" s="157">
        <f t="shared" si="254"/>
        <v>0.54</v>
      </c>
      <c r="K1116" s="101">
        <f t="shared" si="247"/>
        <v>44.766633565044685</v>
      </c>
      <c r="L1116" s="101">
        <f t="shared" si="248"/>
        <v>1.1371531531531531</v>
      </c>
      <c r="M1116" s="133">
        <f t="shared" si="249"/>
        <v>467.64000000000004</v>
      </c>
      <c r="N1116" s="133">
        <f t="shared" si="250"/>
        <v>4975.6400000000003</v>
      </c>
      <c r="O1116" s="134">
        <f t="shared" si="251"/>
        <v>49.410526315789475</v>
      </c>
      <c r="P1116" s="134">
        <f t="shared" si="252"/>
        <v>1.2551163963963965</v>
      </c>
      <c r="R1116" s="149">
        <f t="shared" si="246"/>
        <v>14.63657392474358</v>
      </c>
    </row>
    <row r="1117" spans="1:18" ht="14.45" x14ac:dyDescent="0.3">
      <c r="A1117" s="82" t="s">
        <v>134</v>
      </c>
      <c r="B1117" s="82" t="s">
        <v>16</v>
      </c>
      <c r="C1117" s="82" t="s">
        <v>17</v>
      </c>
      <c r="D1117" s="82" t="s">
        <v>90</v>
      </c>
      <c r="E1117" s="87">
        <f t="shared" si="253"/>
        <v>41214</v>
      </c>
      <c r="F1117" s="83"/>
      <c r="G1117" s="92">
        <v>2006</v>
      </c>
      <c r="H1117" s="52">
        <v>213</v>
      </c>
      <c r="I1117" s="52" t="s">
        <v>92</v>
      </c>
      <c r="J1117" s="157">
        <f t="shared" si="254"/>
        <v>0.41</v>
      </c>
      <c r="K1117" s="101">
        <f t="shared" si="247"/>
        <v>19.920556107249254</v>
      </c>
      <c r="L1117" s="101">
        <f t="shared" si="248"/>
        <v>0.50601801801801805</v>
      </c>
      <c r="M1117" s="133">
        <f t="shared" si="249"/>
        <v>87.33</v>
      </c>
      <c r="N1117" s="133">
        <f t="shared" si="250"/>
        <v>2093.33</v>
      </c>
      <c r="O1117" s="134">
        <f t="shared" si="251"/>
        <v>20.787785501489573</v>
      </c>
      <c r="P1117" s="134">
        <f t="shared" si="252"/>
        <v>0.52804720720720721</v>
      </c>
      <c r="R1117" s="149">
        <f t="shared" si="246"/>
        <v>4.2209554155983264</v>
      </c>
    </row>
    <row r="1118" spans="1:18" ht="14.45" x14ac:dyDescent="0.3">
      <c r="A1118" s="82" t="s">
        <v>134</v>
      </c>
      <c r="B1118" s="82" t="s">
        <v>18</v>
      </c>
      <c r="C1118" s="82" t="s">
        <v>19</v>
      </c>
      <c r="D1118" s="82" t="s">
        <v>90</v>
      </c>
      <c r="E1118" s="87">
        <f t="shared" si="253"/>
        <v>41214</v>
      </c>
      <c r="F1118" s="83"/>
      <c r="G1118" s="92">
        <v>3920</v>
      </c>
      <c r="H1118" s="52">
        <v>650</v>
      </c>
      <c r="I1118" s="52" t="s">
        <v>94</v>
      </c>
      <c r="J1118" s="157">
        <f t="shared" si="254"/>
        <v>0.54</v>
      </c>
      <c r="K1118" s="101">
        <f t="shared" si="247"/>
        <v>38.927507447864947</v>
      </c>
      <c r="L1118" s="101">
        <f t="shared" si="248"/>
        <v>0.98882882882882883</v>
      </c>
      <c r="M1118" s="133">
        <f t="shared" si="249"/>
        <v>351</v>
      </c>
      <c r="N1118" s="133">
        <f t="shared" si="250"/>
        <v>4271</v>
      </c>
      <c r="O1118" s="134">
        <f t="shared" si="251"/>
        <v>42.413108242303871</v>
      </c>
      <c r="P1118" s="134">
        <f t="shared" si="252"/>
        <v>1.0773693693693693</v>
      </c>
      <c r="R1118" s="149">
        <f t="shared" si="246"/>
        <v>16.059782608695649</v>
      </c>
    </row>
    <row r="1119" spans="1:18" ht="14.45" x14ac:dyDescent="0.3">
      <c r="A1119" s="82" t="s">
        <v>134</v>
      </c>
      <c r="B1119" s="82" t="s">
        <v>18</v>
      </c>
      <c r="C1119" s="82" t="s">
        <v>20</v>
      </c>
      <c r="D1119" s="82" t="s">
        <v>90</v>
      </c>
      <c r="E1119" s="87">
        <f t="shared" si="253"/>
        <v>41214</v>
      </c>
      <c r="F1119" s="83"/>
      <c r="G1119" s="92">
        <v>3354</v>
      </c>
      <c r="H1119" s="52">
        <v>417</v>
      </c>
      <c r="I1119" s="52" t="s">
        <v>94</v>
      </c>
      <c r="J1119" s="157">
        <f t="shared" si="254"/>
        <v>0.54</v>
      </c>
      <c r="K1119" s="101">
        <f t="shared" si="247"/>
        <v>33.306852035749749</v>
      </c>
      <c r="L1119" s="101">
        <f t="shared" si="248"/>
        <v>0.84605405405405409</v>
      </c>
      <c r="M1119" s="133">
        <f t="shared" si="249"/>
        <v>225.18</v>
      </c>
      <c r="N1119" s="133">
        <f t="shared" si="250"/>
        <v>3579.18</v>
      </c>
      <c r="O1119" s="134">
        <f t="shared" si="251"/>
        <v>35.542999006951341</v>
      </c>
      <c r="P1119" s="134">
        <f t="shared" si="252"/>
        <v>0.90285621621621615</v>
      </c>
      <c r="R1119" s="149">
        <f t="shared" si="246"/>
        <v>18.327040947891106</v>
      </c>
    </row>
    <row r="1120" spans="1:18" ht="14.45" x14ac:dyDescent="0.3">
      <c r="A1120" s="82" t="s">
        <v>134</v>
      </c>
      <c r="B1120" s="82" t="s">
        <v>16</v>
      </c>
      <c r="C1120" s="82" t="s">
        <v>21</v>
      </c>
      <c r="D1120" s="82" t="s">
        <v>90</v>
      </c>
      <c r="E1120" s="87">
        <f t="shared" si="253"/>
        <v>41214</v>
      </c>
      <c r="F1120" s="83"/>
      <c r="G1120" s="92">
        <v>3154</v>
      </c>
      <c r="H1120" s="52">
        <v>626</v>
      </c>
      <c r="I1120" s="52" t="s">
        <v>92</v>
      </c>
      <c r="J1120" s="157">
        <f t="shared" si="254"/>
        <v>0.41</v>
      </c>
      <c r="K1120" s="101">
        <f t="shared" si="247"/>
        <v>31.320754716981131</v>
      </c>
      <c r="L1120" s="101">
        <f t="shared" si="248"/>
        <v>0.7956036036036036</v>
      </c>
      <c r="M1120" s="133">
        <f t="shared" si="249"/>
        <v>256.65999999999997</v>
      </c>
      <c r="N1120" s="133">
        <f t="shared" si="250"/>
        <v>3410.66</v>
      </c>
      <c r="O1120" s="134">
        <f t="shared" si="251"/>
        <v>33.869513406156898</v>
      </c>
      <c r="P1120" s="134">
        <f t="shared" si="252"/>
        <v>0.86034666666666659</v>
      </c>
      <c r="R1120" s="149">
        <f t="shared" si="246"/>
        <v>3.5698885548571146</v>
      </c>
    </row>
    <row r="1121" spans="1:18" ht="14.45" x14ac:dyDescent="0.3">
      <c r="A1121" s="82" t="s">
        <v>134</v>
      </c>
      <c r="B1121" s="82" t="s">
        <v>16</v>
      </c>
      <c r="C1121" s="82" t="s">
        <v>6</v>
      </c>
      <c r="D1121" s="82" t="s">
        <v>90</v>
      </c>
      <c r="E1121" s="87">
        <f t="shared" si="253"/>
        <v>41214</v>
      </c>
      <c r="F1121" s="83"/>
      <c r="G1121" s="92">
        <v>5065</v>
      </c>
      <c r="H1121" s="52">
        <v>1823</v>
      </c>
      <c r="I1121" s="52" t="s">
        <v>92</v>
      </c>
      <c r="J1121" s="157">
        <f t="shared" si="254"/>
        <v>0.41</v>
      </c>
      <c r="K1121" s="101">
        <f t="shared" si="247"/>
        <v>50.297914597815293</v>
      </c>
      <c r="L1121" s="101">
        <f t="shared" si="248"/>
        <v>1.2776576576576577</v>
      </c>
      <c r="M1121" s="133">
        <f t="shared" si="249"/>
        <v>747.43</v>
      </c>
      <c r="N1121" s="133">
        <f t="shared" si="250"/>
        <v>5812.43</v>
      </c>
      <c r="O1121" s="134">
        <f t="shared" si="251"/>
        <v>57.720258192651443</v>
      </c>
      <c r="P1121" s="134">
        <f t="shared" si="252"/>
        <v>1.4661985585585586</v>
      </c>
      <c r="R1121" s="149">
        <f t="shared" si="246"/>
        <v>3.3679231022309963</v>
      </c>
    </row>
    <row r="1122" spans="1:18" ht="14.45" x14ac:dyDescent="0.3">
      <c r="A1122" s="82" t="s">
        <v>22</v>
      </c>
      <c r="B1122" s="82" t="s">
        <v>23</v>
      </c>
      <c r="C1122" s="82" t="s">
        <v>7</v>
      </c>
      <c r="D1122" s="82" t="s">
        <v>90</v>
      </c>
      <c r="E1122" s="87">
        <f t="shared" si="253"/>
        <v>41214</v>
      </c>
      <c r="F1122" s="83"/>
      <c r="G1122" s="92">
        <v>3369</v>
      </c>
      <c r="H1122" s="52">
        <v>1295</v>
      </c>
      <c r="I1122" s="52" t="s">
        <v>95</v>
      </c>
      <c r="J1122" s="157">
        <f t="shared" si="254"/>
        <v>0.3508</v>
      </c>
      <c r="K1122" s="101">
        <f t="shared" si="247"/>
        <v>33.455809334657395</v>
      </c>
      <c r="L1122" s="101">
        <f t="shared" si="248"/>
        <v>0.91054054054054057</v>
      </c>
      <c r="M1122" s="133">
        <f t="shared" si="249"/>
        <v>454.286</v>
      </c>
      <c r="N1122" s="133">
        <f t="shared" si="250"/>
        <v>3823.2860000000001</v>
      </c>
      <c r="O1122" s="134">
        <f t="shared" si="251"/>
        <v>37.967090367428007</v>
      </c>
      <c r="P1122" s="134">
        <f t="shared" si="252"/>
        <v>1.0333205405405406</v>
      </c>
      <c r="R1122" s="149">
        <f t="shared" si="246"/>
        <v>2.3307339934505844</v>
      </c>
    </row>
    <row r="1123" spans="1:18" ht="14.45" x14ac:dyDescent="0.3">
      <c r="A1123" s="82" t="s">
        <v>22</v>
      </c>
      <c r="B1123" s="82" t="s">
        <v>14</v>
      </c>
      <c r="C1123" s="82" t="s">
        <v>24</v>
      </c>
      <c r="D1123" s="82" t="s">
        <v>90</v>
      </c>
      <c r="E1123" s="87">
        <f t="shared" si="253"/>
        <v>41214</v>
      </c>
      <c r="F1123" s="83"/>
      <c r="G1123" s="92">
        <v>3575</v>
      </c>
      <c r="H1123" s="52">
        <v>615</v>
      </c>
      <c r="I1123" s="52" t="s">
        <v>94</v>
      </c>
      <c r="J1123" s="157">
        <f t="shared" si="254"/>
        <v>0.54</v>
      </c>
      <c r="K1123" s="101">
        <f t="shared" si="247"/>
        <v>35.501489572989072</v>
      </c>
      <c r="L1123" s="101">
        <f t="shared" si="248"/>
        <v>0.96621621621621623</v>
      </c>
      <c r="M1123" s="133">
        <f t="shared" si="249"/>
        <v>332.1</v>
      </c>
      <c r="N1123" s="133">
        <f t="shared" si="250"/>
        <v>3907.1</v>
      </c>
      <c r="O1123" s="134">
        <f t="shared" si="251"/>
        <v>38.799404170804365</v>
      </c>
      <c r="P1123" s="134">
        <f t="shared" si="252"/>
        <v>1.055972972972973</v>
      </c>
      <c r="R1123" s="149">
        <f t="shared" si="246"/>
        <v>3.3651683906981589</v>
      </c>
    </row>
    <row r="1124" spans="1:18" ht="14.45" x14ac:dyDescent="0.3">
      <c r="A1124" s="82" t="s">
        <v>22</v>
      </c>
      <c r="B1124" s="82" t="s">
        <v>18</v>
      </c>
      <c r="C1124" s="82" t="s">
        <v>15</v>
      </c>
      <c r="D1124" s="82" t="s">
        <v>90</v>
      </c>
      <c r="E1124" s="87">
        <f t="shared" si="253"/>
        <v>41214</v>
      </c>
      <c r="F1124" s="83"/>
      <c r="G1124" s="92">
        <v>4578</v>
      </c>
      <c r="H1124" s="52">
        <v>872</v>
      </c>
      <c r="I1124" s="52" t="s">
        <v>94</v>
      </c>
      <c r="J1124" s="157">
        <f t="shared" si="254"/>
        <v>0.54</v>
      </c>
      <c r="K1124" s="101">
        <f t="shared" si="247"/>
        <v>45.4617676266137</v>
      </c>
      <c r="L1124" s="101">
        <f t="shared" si="248"/>
        <v>1.2372972972972973</v>
      </c>
      <c r="M1124" s="133">
        <f t="shared" si="249"/>
        <v>470.88000000000005</v>
      </c>
      <c r="N1124" s="133">
        <f t="shared" si="250"/>
        <v>5048.88</v>
      </c>
      <c r="O1124" s="134">
        <f t="shared" si="251"/>
        <v>50.137835153922545</v>
      </c>
      <c r="P1124" s="134">
        <f t="shared" si="252"/>
        <v>1.3645621621621622</v>
      </c>
      <c r="R1124" s="149">
        <f t="shared" si="246"/>
        <v>4.0122617487824863</v>
      </c>
    </row>
    <row r="1125" spans="1:18" ht="14.45" x14ac:dyDescent="0.3">
      <c r="A1125" s="82" t="s">
        <v>22</v>
      </c>
      <c r="B1125" s="82" t="s">
        <v>18</v>
      </c>
      <c r="C1125" s="82" t="s">
        <v>24</v>
      </c>
      <c r="D1125" s="82" t="s">
        <v>90</v>
      </c>
      <c r="E1125" s="87">
        <f t="shared" si="253"/>
        <v>41214</v>
      </c>
      <c r="F1125" s="83"/>
      <c r="G1125" s="92">
        <v>3267</v>
      </c>
      <c r="H1125" s="52">
        <v>417</v>
      </c>
      <c r="I1125" s="52" t="s">
        <v>94</v>
      </c>
      <c r="J1125" s="157">
        <f t="shared" si="254"/>
        <v>0.54</v>
      </c>
      <c r="K1125" s="101">
        <f t="shared" si="247"/>
        <v>32.442899702085398</v>
      </c>
      <c r="L1125" s="101">
        <f t="shared" si="248"/>
        <v>0.88297297297297295</v>
      </c>
      <c r="M1125" s="133">
        <f t="shared" si="249"/>
        <v>225.18</v>
      </c>
      <c r="N1125" s="133">
        <f t="shared" si="250"/>
        <v>3492.18</v>
      </c>
      <c r="O1125" s="134">
        <f t="shared" si="251"/>
        <v>34.67904667328699</v>
      </c>
      <c r="P1125" s="134">
        <f t="shared" si="252"/>
        <v>0.94383243243243242</v>
      </c>
      <c r="R1125" s="149">
        <f t="shared" si="246"/>
        <v>3.2938754503345269</v>
      </c>
    </row>
    <row r="1126" spans="1:18" ht="14.45" x14ac:dyDescent="0.3">
      <c r="A1126" s="82" t="s">
        <v>22</v>
      </c>
      <c r="B1126" s="82" t="s">
        <v>13</v>
      </c>
      <c r="C1126" s="82" t="s">
        <v>7</v>
      </c>
      <c r="D1126" s="82" t="s">
        <v>90</v>
      </c>
      <c r="E1126" s="87">
        <f t="shared" si="253"/>
        <v>41214</v>
      </c>
      <c r="F1126" s="83"/>
      <c r="G1126" s="92">
        <v>3599</v>
      </c>
      <c r="H1126" s="52">
        <v>1006</v>
      </c>
      <c r="I1126" s="52" t="s">
        <v>92</v>
      </c>
      <c r="J1126" s="157">
        <f t="shared" si="254"/>
        <v>0.41</v>
      </c>
      <c r="K1126" s="101">
        <f t="shared" si="247"/>
        <v>35.73982125124131</v>
      </c>
      <c r="L1126" s="101">
        <f t="shared" si="248"/>
        <v>0.97270270270270265</v>
      </c>
      <c r="M1126" s="133">
        <f t="shared" si="249"/>
        <v>412.46</v>
      </c>
      <c r="N1126" s="133">
        <f t="shared" si="250"/>
        <v>4011.46</v>
      </c>
      <c r="O1126" s="134">
        <f t="shared" si="251"/>
        <v>39.835749751737836</v>
      </c>
      <c r="P1126" s="134">
        <f t="shared" si="252"/>
        <v>1.0841783783783785</v>
      </c>
      <c r="R1126" s="149">
        <f t="shared" si="246"/>
        <v>6.7417045847635748</v>
      </c>
    </row>
    <row r="1127" spans="1:18" ht="14.45" x14ac:dyDescent="0.3">
      <c r="A1127" s="82" t="s">
        <v>1</v>
      </c>
      <c r="B1127" s="82" t="s">
        <v>25</v>
      </c>
      <c r="C1127" s="82" t="s">
        <v>26</v>
      </c>
      <c r="D1127" s="82" t="s">
        <v>91</v>
      </c>
      <c r="E1127" s="87">
        <f t="shared" si="253"/>
        <v>41214</v>
      </c>
      <c r="F1127" s="83"/>
      <c r="G1127" s="92">
        <v>3481</v>
      </c>
      <c r="H1127" s="52">
        <v>880</v>
      </c>
      <c r="I1127" s="52" t="s">
        <v>93</v>
      </c>
      <c r="J1127" s="157">
        <f t="shared" si="254"/>
        <v>0.41</v>
      </c>
      <c r="K1127" s="101">
        <f t="shared" si="247"/>
        <v>34.568023833167821</v>
      </c>
      <c r="L1127" s="101">
        <f t="shared" si="248"/>
        <v>0.94081081081081086</v>
      </c>
      <c r="M1127" s="133">
        <f t="shared" si="249"/>
        <v>360.79999999999995</v>
      </c>
      <c r="N1127" s="133">
        <f t="shared" si="250"/>
        <v>3841.8</v>
      </c>
      <c r="O1127" s="134">
        <f t="shared" si="251"/>
        <v>38.150943396226417</v>
      </c>
      <c r="P1127" s="134">
        <f t="shared" si="252"/>
        <v>1.0383243243243243</v>
      </c>
      <c r="R1127" s="149">
        <f t="shared" si="246"/>
        <v>8.5806342207902517</v>
      </c>
    </row>
    <row r="1128" spans="1:18" ht="14.45" x14ac:dyDescent="0.3">
      <c r="A1128" s="82" t="s">
        <v>1</v>
      </c>
      <c r="B1128" s="82" t="s">
        <v>2</v>
      </c>
      <c r="C1128" s="82" t="s">
        <v>9</v>
      </c>
      <c r="D1128" s="82" t="s">
        <v>91</v>
      </c>
      <c r="E1128" s="87">
        <f t="shared" si="253"/>
        <v>41214</v>
      </c>
      <c r="F1128" s="83"/>
      <c r="G1128" s="92">
        <v>3634</v>
      </c>
      <c r="H1128" s="52">
        <v>685</v>
      </c>
      <c r="I1128" s="52" t="s">
        <v>93</v>
      </c>
      <c r="J1128" s="157">
        <f t="shared" si="254"/>
        <v>0.41</v>
      </c>
      <c r="K1128" s="101">
        <f t="shared" si="247"/>
        <v>36.08738828202582</v>
      </c>
      <c r="L1128" s="101">
        <f t="shared" si="248"/>
        <v>0.98216216216216212</v>
      </c>
      <c r="M1128" s="133">
        <f t="shared" si="249"/>
        <v>280.84999999999997</v>
      </c>
      <c r="N1128" s="133">
        <f t="shared" si="250"/>
        <v>3914.85</v>
      </c>
      <c r="O1128" s="134">
        <f t="shared" si="251"/>
        <v>38.87636544190665</v>
      </c>
      <c r="P1128" s="134">
        <f t="shared" si="252"/>
        <v>1.0580675675675675</v>
      </c>
      <c r="R1128" s="149">
        <f t="shared" si="246"/>
        <v>15.930291095383332</v>
      </c>
    </row>
    <row r="1129" spans="1:18" ht="14.45" x14ac:dyDescent="0.3">
      <c r="A1129" s="82" t="s">
        <v>1</v>
      </c>
      <c r="B1129" s="82" t="s">
        <v>27</v>
      </c>
      <c r="C1129" s="82" t="s">
        <v>28</v>
      </c>
      <c r="D1129" s="82" t="s">
        <v>91</v>
      </c>
      <c r="E1129" s="87">
        <f t="shared" si="253"/>
        <v>41214</v>
      </c>
      <c r="F1129" s="83"/>
      <c r="G1129" s="92">
        <v>3771</v>
      </c>
      <c r="H1129" s="52">
        <v>812</v>
      </c>
      <c r="I1129" s="52" t="s">
        <v>94</v>
      </c>
      <c r="J1129" s="157">
        <f t="shared" si="254"/>
        <v>0.54</v>
      </c>
      <c r="K1129" s="101">
        <f t="shared" si="247"/>
        <v>37.447864945382321</v>
      </c>
      <c r="L1129" s="101">
        <f t="shared" si="248"/>
        <v>1.0191891891891891</v>
      </c>
      <c r="M1129" s="133">
        <f t="shared" si="249"/>
        <v>438.48</v>
      </c>
      <c r="N1129" s="133">
        <f t="shared" si="250"/>
        <v>4209.4799999999996</v>
      </c>
      <c r="O1129" s="134">
        <f t="shared" si="251"/>
        <v>41.802184707050642</v>
      </c>
      <c r="P1129" s="134">
        <f t="shared" si="252"/>
        <v>1.1376972972972972</v>
      </c>
      <c r="R1129" s="149">
        <f t="shared" si="246"/>
        <v>4.7519982481112333</v>
      </c>
    </row>
    <row r="1130" spans="1:18" ht="14.45" x14ac:dyDescent="0.3">
      <c r="A1130" s="82" t="s">
        <v>1</v>
      </c>
      <c r="B1130" s="82" t="s">
        <v>4</v>
      </c>
      <c r="C1130" s="82" t="s">
        <v>26</v>
      </c>
      <c r="D1130" s="82" t="s">
        <v>91</v>
      </c>
      <c r="E1130" s="87">
        <f t="shared" si="253"/>
        <v>41214</v>
      </c>
      <c r="F1130" s="83"/>
      <c r="G1130" s="92">
        <v>4963</v>
      </c>
      <c r="H1130" s="52">
        <v>1520</v>
      </c>
      <c r="I1130" s="52" t="s">
        <v>93</v>
      </c>
      <c r="J1130" s="157">
        <f t="shared" si="254"/>
        <v>0.41</v>
      </c>
      <c r="K1130" s="101">
        <f t="shared" si="247"/>
        <v>49.285004965243296</v>
      </c>
      <c r="L1130" s="101">
        <f t="shared" si="248"/>
        <v>1.3413513513513513</v>
      </c>
      <c r="M1130" s="133">
        <f t="shared" si="249"/>
        <v>623.19999999999993</v>
      </c>
      <c r="N1130" s="133">
        <f t="shared" si="250"/>
        <v>5586.2</v>
      </c>
      <c r="O1130" s="134">
        <f t="shared" si="251"/>
        <v>55.473684210526315</v>
      </c>
      <c r="P1130" s="134">
        <f t="shared" si="252"/>
        <v>1.5097837837837838</v>
      </c>
      <c r="R1130" s="149">
        <f t="shared" si="246"/>
        <v>7.0399325515444033</v>
      </c>
    </row>
    <row r="1131" spans="1:18" ht="14.45" x14ac:dyDescent="0.3">
      <c r="A1131" s="82" t="s">
        <v>1</v>
      </c>
      <c r="B1131" s="82" t="s">
        <v>4</v>
      </c>
      <c r="C1131" s="82" t="s">
        <v>9</v>
      </c>
      <c r="D1131" s="82" t="s">
        <v>91</v>
      </c>
      <c r="E1131" s="87">
        <f t="shared" si="253"/>
        <v>41214</v>
      </c>
      <c r="F1131" s="83"/>
      <c r="G1131" s="92">
        <v>5984</v>
      </c>
      <c r="H1131" s="52">
        <v>1583</v>
      </c>
      <c r="I1131" s="52" t="s">
        <v>93</v>
      </c>
      <c r="J1131" s="157">
        <f t="shared" si="254"/>
        <v>0.41</v>
      </c>
      <c r="K1131" s="101">
        <f t="shared" si="247"/>
        <v>59.424031777557097</v>
      </c>
      <c r="L1131" s="101">
        <f t="shared" si="248"/>
        <v>1.6172972972972972</v>
      </c>
      <c r="M1131" s="133">
        <f t="shared" si="249"/>
        <v>649.03</v>
      </c>
      <c r="N1131" s="133">
        <f t="shared" si="250"/>
        <v>6633.03</v>
      </c>
      <c r="O1131" s="134">
        <f t="shared" si="251"/>
        <v>65.869215491559089</v>
      </c>
      <c r="P1131" s="134">
        <f t="shared" si="252"/>
        <v>1.7927108108108107</v>
      </c>
      <c r="R1131" s="149">
        <f t="shared" si="246"/>
        <v>5.5673683238848692</v>
      </c>
    </row>
    <row r="1132" spans="1:18" ht="14.45" x14ac:dyDescent="0.3">
      <c r="A1132" s="82" t="s">
        <v>1</v>
      </c>
      <c r="B1132" s="82" t="s">
        <v>10</v>
      </c>
      <c r="C1132" s="82" t="s">
        <v>26</v>
      </c>
      <c r="D1132" s="82" t="s">
        <v>91</v>
      </c>
      <c r="E1132" s="87">
        <f t="shared" si="253"/>
        <v>41214</v>
      </c>
      <c r="F1132" s="83"/>
      <c r="G1132" s="92">
        <v>4793</v>
      </c>
      <c r="H1132" s="52">
        <v>1599</v>
      </c>
      <c r="I1132" s="52" t="s">
        <v>92</v>
      </c>
      <c r="J1132" s="157">
        <f t="shared" si="254"/>
        <v>0.41</v>
      </c>
      <c r="K1132" s="101">
        <f t="shared" si="247"/>
        <v>47.596822244289967</v>
      </c>
      <c r="L1132" s="101">
        <f t="shared" si="248"/>
        <v>1.2954054054054054</v>
      </c>
      <c r="M1132" s="133">
        <f t="shared" si="249"/>
        <v>655.58999999999992</v>
      </c>
      <c r="N1132" s="133">
        <f t="shared" si="250"/>
        <v>5448.59</v>
      </c>
      <c r="O1132" s="134">
        <f t="shared" si="251"/>
        <v>54.107149950347569</v>
      </c>
      <c r="P1132" s="134">
        <f t="shared" si="252"/>
        <v>1.4725918918918919</v>
      </c>
      <c r="R1132" s="149">
        <f t="shared" si="246"/>
        <v>3.0631874627599753</v>
      </c>
    </row>
    <row r="1133" spans="1:18" ht="14.45" x14ac:dyDescent="0.3">
      <c r="A1133" s="82" t="s">
        <v>134</v>
      </c>
      <c r="B1133" s="82" t="s">
        <v>23</v>
      </c>
      <c r="C1133" s="82" t="s">
        <v>26</v>
      </c>
      <c r="D1133" s="82" t="s">
        <v>91</v>
      </c>
      <c r="E1133" s="87">
        <f t="shared" si="253"/>
        <v>41214</v>
      </c>
      <c r="F1133" s="83"/>
      <c r="G1133" s="92">
        <v>4800</v>
      </c>
      <c r="H1133" s="52">
        <v>1851</v>
      </c>
      <c r="I1133" s="52" t="s">
        <v>93</v>
      </c>
      <c r="J1133" s="157">
        <f t="shared" si="254"/>
        <v>0.41</v>
      </c>
      <c r="K1133" s="101">
        <f t="shared" si="247"/>
        <v>47.666335650446868</v>
      </c>
      <c r="L1133" s="101">
        <f t="shared" si="248"/>
        <v>1.2108108108108109</v>
      </c>
      <c r="M1133" s="133">
        <f t="shared" si="249"/>
        <v>758.91</v>
      </c>
      <c r="N1133" s="133">
        <f t="shared" si="250"/>
        <v>5558.91</v>
      </c>
      <c r="O1133" s="134">
        <f t="shared" si="251"/>
        <v>55.202681231380332</v>
      </c>
      <c r="P1133" s="134">
        <f t="shared" si="252"/>
        <v>1.4022475675675676</v>
      </c>
      <c r="R1133" s="149">
        <f t="shared" si="246"/>
        <v>2.3864779144426418</v>
      </c>
    </row>
    <row r="1134" spans="1:18" ht="14.45" x14ac:dyDescent="0.3">
      <c r="A1134" s="82" t="s">
        <v>134</v>
      </c>
      <c r="B1134" s="82" t="s">
        <v>8</v>
      </c>
      <c r="C1134" s="82" t="s">
        <v>29</v>
      </c>
      <c r="D1134" s="82" t="s">
        <v>91</v>
      </c>
      <c r="E1134" s="87">
        <f t="shared" si="253"/>
        <v>41214</v>
      </c>
      <c r="F1134" s="83"/>
      <c r="G1134" s="92">
        <v>4760</v>
      </c>
      <c r="H1134" s="52">
        <v>1695</v>
      </c>
      <c r="I1134" s="52" t="s">
        <v>93</v>
      </c>
      <c r="J1134" s="157">
        <f t="shared" si="254"/>
        <v>0.41</v>
      </c>
      <c r="K1134" s="101">
        <f t="shared" si="247"/>
        <v>47.269116186693147</v>
      </c>
      <c r="L1134" s="101">
        <f t="shared" si="248"/>
        <v>1.2007207207207207</v>
      </c>
      <c r="M1134" s="133">
        <f t="shared" si="249"/>
        <v>694.94999999999993</v>
      </c>
      <c r="N1134" s="133">
        <f t="shared" si="250"/>
        <v>5454.95</v>
      </c>
      <c r="O1134" s="134">
        <f t="shared" si="251"/>
        <v>54.170307845084409</v>
      </c>
      <c r="P1134" s="134">
        <f t="shared" si="252"/>
        <v>1.3760234234234234</v>
      </c>
      <c r="R1134" s="149">
        <f t="shared" si="246"/>
        <v>2.2234507055450381</v>
      </c>
    </row>
    <row r="1135" spans="1:18" ht="14.45" x14ac:dyDescent="0.3">
      <c r="A1135" s="82" t="s">
        <v>134</v>
      </c>
      <c r="B1135" s="82" t="s">
        <v>13</v>
      </c>
      <c r="C1135" s="82" t="s">
        <v>7</v>
      </c>
      <c r="D1135" s="82" t="s">
        <v>91</v>
      </c>
      <c r="E1135" s="87">
        <f t="shared" si="253"/>
        <v>41214</v>
      </c>
      <c r="F1135" s="83"/>
      <c r="G1135" s="92">
        <v>2857</v>
      </c>
      <c r="H1135" s="52">
        <v>1006</v>
      </c>
      <c r="I1135" s="52" t="s">
        <v>92</v>
      </c>
      <c r="J1135" s="157">
        <f t="shared" si="254"/>
        <v>0.41</v>
      </c>
      <c r="K1135" s="101">
        <f t="shared" si="247"/>
        <v>28.371400198609731</v>
      </c>
      <c r="L1135" s="101">
        <f t="shared" si="248"/>
        <v>0.72068468468468472</v>
      </c>
      <c r="M1135" s="133">
        <f t="shared" si="249"/>
        <v>412.46</v>
      </c>
      <c r="N1135" s="133">
        <f t="shared" si="250"/>
        <v>3269.46</v>
      </c>
      <c r="O1135" s="134">
        <f t="shared" si="251"/>
        <v>32.467328699106254</v>
      </c>
      <c r="P1135" s="134">
        <f t="shared" si="252"/>
        <v>0.8247286486486487</v>
      </c>
      <c r="R1135" s="149">
        <f t="shared" ref="R1135:R1172" si="255">((N1135/N679)-1)*100</f>
        <v>1.2498838685701896</v>
      </c>
    </row>
    <row r="1136" spans="1:18" ht="14.45" x14ac:dyDescent="0.3">
      <c r="A1136" s="82" t="s">
        <v>134</v>
      </c>
      <c r="B1136" s="82" t="s">
        <v>30</v>
      </c>
      <c r="C1136" s="82" t="s">
        <v>9</v>
      </c>
      <c r="D1136" s="82" t="s">
        <v>91</v>
      </c>
      <c r="E1136" s="87">
        <f t="shared" si="253"/>
        <v>41214</v>
      </c>
      <c r="F1136" s="83"/>
      <c r="G1136" s="92">
        <v>3310</v>
      </c>
      <c r="H1136" s="52">
        <v>988</v>
      </c>
      <c r="I1136" s="52" t="s">
        <v>93</v>
      </c>
      <c r="J1136" s="157">
        <f t="shared" si="254"/>
        <v>0.41</v>
      </c>
      <c r="K1136" s="101">
        <f t="shared" si="247"/>
        <v>32.869910625620655</v>
      </c>
      <c r="L1136" s="101">
        <f t="shared" si="248"/>
        <v>0.83495495495495498</v>
      </c>
      <c r="M1136" s="133">
        <f t="shared" si="249"/>
        <v>405.08</v>
      </c>
      <c r="N1136" s="133">
        <f t="shared" si="250"/>
        <v>3715.08</v>
      </c>
      <c r="O1136" s="134">
        <f t="shared" si="251"/>
        <v>36.892552135054615</v>
      </c>
      <c r="P1136" s="134">
        <f t="shared" si="252"/>
        <v>0.93713729729729733</v>
      </c>
      <c r="R1136" s="149">
        <f t="shared" si="255"/>
        <v>1.8969149076227598</v>
      </c>
    </row>
    <row r="1137" spans="1:20" ht="14.45" x14ac:dyDescent="0.3">
      <c r="A1137" s="82" t="s">
        <v>134</v>
      </c>
      <c r="B1137" s="82" t="s">
        <v>16</v>
      </c>
      <c r="C1137" s="82" t="s">
        <v>11</v>
      </c>
      <c r="D1137" s="82" t="s">
        <v>91</v>
      </c>
      <c r="E1137" s="87">
        <f t="shared" si="253"/>
        <v>41214</v>
      </c>
      <c r="F1137" s="83"/>
      <c r="G1137" s="92">
        <v>3430</v>
      </c>
      <c r="H1137" s="52">
        <v>787</v>
      </c>
      <c r="I1137" s="52" t="s">
        <v>92</v>
      </c>
      <c r="J1137" s="157">
        <f t="shared" si="254"/>
        <v>0.41</v>
      </c>
      <c r="K1137" s="101">
        <f t="shared" si="247"/>
        <v>34.061569016881826</v>
      </c>
      <c r="L1137" s="101">
        <f t="shared" si="248"/>
        <v>0.86522522522522527</v>
      </c>
      <c r="M1137" s="133">
        <f t="shared" si="249"/>
        <v>322.66999999999996</v>
      </c>
      <c r="N1137" s="133">
        <f t="shared" si="250"/>
        <v>3752.67</v>
      </c>
      <c r="O1137" s="134">
        <f t="shared" si="251"/>
        <v>37.265839126117179</v>
      </c>
      <c r="P1137" s="134">
        <f t="shared" si="252"/>
        <v>0.94661945945945947</v>
      </c>
      <c r="R1137" s="149">
        <f t="shared" si="255"/>
        <v>1.2743391490912082</v>
      </c>
    </row>
    <row r="1138" spans="1:20" ht="14.45" x14ac:dyDescent="0.3">
      <c r="A1138" s="82" t="s">
        <v>134</v>
      </c>
      <c r="B1138" s="82" t="s">
        <v>23</v>
      </c>
      <c r="C1138" s="82" t="s">
        <v>29</v>
      </c>
      <c r="D1138" s="82" t="s">
        <v>91</v>
      </c>
      <c r="E1138" s="87">
        <f t="shared" si="253"/>
        <v>41214</v>
      </c>
      <c r="F1138" s="83"/>
      <c r="G1138" s="92">
        <v>4800</v>
      </c>
      <c r="H1138" s="52">
        <v>1836</v>
      </c>
      <c r="I1138" s="52" t="s">
        <v>93</v>
      </c>
      <c r="J1138" s="157">
        <f t="shared" si="254"/>
        <v>0.41</v>
      </c>
      <c r="K1138" s="101">
        <f t="shared" si="247"/>
        <v>47.666335650446868</v>
      </c>
      <c r="L1138" s="101">
        <f t="shared" si="248"/>
        <v>1.2108108108108109</v>
      </c>
      <c r="M1138" s="133">
        <f t="shared" si="249"/>
        <v>752.76</v>
      </c>
      <c r="N1138" s="133">
        <f t="shared" si="250"/>
        <v>5552.76</v>
      </c>
      <c r="O1138" s="134">
        <f t="shared" si="251"/>
        <v>55.141608738828204</v>
      </c>
      <c r="P1138" s="134">
        <f t="shared" si="252"/>
        <v>1.4006962162162162</v>
      </c>
      <c r="R1138" s="149">
        <f t="shared" si="255"/>
        <v>2.369364187425349</v>
      </c>
    </row>
    <row r="1139" spans="1:20" ht="14.45" x14ac:dyDescent="0.3">
      <c r="A1139" s="82" t="s">
        <v>134</v>
      </c>
      <c r="B1139" s="82" t="s">
        <v>31</v>
      </c>
      <c r="C1139" s="82" t="s">
        <v>32</v>
      </c>
      <c r="D1139" s="82" t="s">
        <v>91</v>
      </c>
      <c r="E1139" s="87">
        <f t="shared" si="253"/>
        <v>41214</v>
      </c>
      <c r="F1139" s="83"/>
      <c r="G1139" s="92">
        <v>4200</v>
      </c>
      <c r="H1139" s="52">
        <v>1899</v>
      </c>
      <c r="I1139" s="52" t="s">
        <v>93</v>
      </c>
      <c r="J1139" s="157">
        <f t="shared" si="254"/>
        <v>0.41</v>
      </c>
      <c r="K1139" s="101">
        <f t="shared" si="247"/>
        <v>41.708043694141011</v>
      </c>
      <c r="L1139" s="101">
        <f t="shared" si="248"/>
        <v>1.0594594594594595</v>
      </c>
      <c r="M1139" s="133">
        <f t="shared" si="249"/>
        <v>778.58999999999992</v>
      </c>
      <c r="N1139" s="133">
        <f t="shared" si="250"/>
        <v>4978.59</v>
      </c>
      <c r="O1139" s="134">
        <f t="shared" si="251"/>
        <v>49.439821251241312</v>
      </c>
      <c r="P1139" s="134">
        <f t="shared" si="252"/>
        <v>1.2558605405405405</v>
      </c>
      <c r="R1139" s="149">
        <f t="shared" si="255"/>
        <v>2.7432795532497112</v>
      </c>
    </row>
    <row r="1140" spans="1:20" ht="14.45" x14ac:dyDescent="0.3">
      <c r="A1140" s="82" t="s">
        <v>22</v>
      </c>
      <c r="B1140" s="82" t="s">
        <v>8</v>
      </c>
      <c r="C1140" s="82" t="s">
        <v>29</v>
      </c>
      <c r="D1140" s="82" t="s">
        <v>91</v>
      </c>
      <c r="E1140" s="87">
        <f t="shared" si="253"/>
        <v>41214</v>
      </c>
      <c r="F1140" s="83"/>
      <c r="G1140" s="92">
        <v>5340</v>
      </c>
      <c r="H1140" s="52">
        <v>1695</v>
      </c>
      <c r="I1140" s="52" t="s">
        <v>93</v>
      </c>
      <c r="J1140" s="157">
        <f t="shared" si="254"/>
        <v>0.41</v>
      </c>
      <c r="K1140" s="101">
        <f t="shared" si="247"/>
        <v>53.028798411122146</v>
      </c>
      <c r="L1140" s="101">
        <f t="shared" si="248"/>
        <v>1.4432432432432432</v>
      </c>
      <c r="M1140" s="133">
        <f t="shared" si="249"/>
        <v>694.94999999999993</v>
      </c>
      <c r="N1140" s="133">
        <f t="shared" si="250"/>
        <v>6034.95</v>
      </c>
      <c r="O1140" s="134">
        <f t="shared" si="251"/>
        <v>59.929990069513401</v>
      </c>
      <c r="P1140" s="134">
        <f t="shared" si="252"/>
        <v>1.6310675675675674</v>
      </c>
      <c r="R1140" s="149">
        <f t="shared" si="255"/>
        <v>7.4541958228727001</v>
      </c>
    </row>
    <row r="1141" spans="1:20" ht="14.45" x14ac:dyDescent="0.3">
      <c r="A1141" s="82" t="s">
        <v>22</v>
      </c>
      <c r="B1141" s="82" t="s">
        <v>23</v>
      </c>
      <c r="C1141" s="82" t="s">
        <v>26</v>
      </c>
      <c r="D1141" s="82" t="s">
        <v>91</v>
      </c>
      <c r="E1141" s="87">
        <f t="shared" si="253"/>
        <v>41214</v>
      </c>
      <c r="F1141" s="83"/>
      <c r="G1141" s="92">
        <v>5330</v>
      </c>
      <c r="H1141" s="52">
        <v>1851</v>
      </c>
      <c r="I1141" s="52" t="s">
        <v>93</v>
      </c>
      <c r="J1141" s="157">
        <f t="shared" si="254"/>
        <v>0.41</v>
      </c>
      <c r="K1141" s="101">
        <f t="shared" si="247"/>
        <v>52.929493545183711</v>
      </c>
      <c r="L1141" s="101">
        <f t="shared" si="248"/>
        <v>1.4405405405405405</v>
      </c>
      <c r="M1141" s="133">
        <f t="shared" si="249"/>
        <v>758.91</v>
      </c>
      <c r="N1141" s="133">
        <f t="shared" si="250"/>
        <v>6088.91</v>
      </c>
      <c r="O1141" s="134">
        <f t="shared" si="251"/>
        <v>60.465839126117174</v>
      </c>
      <c r="P1141" s="134">
        <f t="shared" si="252"/>
        <v>1.6456513513513513</v>
      </c>
      <c r="R1141" s="149">
        <f t="shared" si="255"/>
        <v>7.5904610785003213</v>
      </c>
    </row>
    <row r="1142" spans="1:20" ht="14.45" x14ac:dyDescent="0.3">
      <c r="A1142" s="82" t="s">
        <v>22</v>
      </c>
      <c r="B1142" s="82" t="s">
        <v>33</v>
      </c>
      <c r="C1142" s="82" t="s">
        <v>29</v>
      </c>
      <c r="D1142" s="82" t="s">
        <v>91</v>
      </c>
      <c r="E1142" s="87">
        <f t="shared" si="253"/>
        <v>41214</v>
      </c>
      <c r="F1142" s="83"/>
      <c r="G1142" s="92">
        <v>5230</v>
      </c>
      <c r="H1142" s="52">
        <v>1507</v>
      </c>
      <c r="I1142" s="52" t="s">
        <v>93</v>
      </c>
      <c r="J1142" s="157">
        <f t="shared" si="254"/>
        <v>0.41</v>
      </c>
      <c r="K1142" s="101">
        <f t="shared" si="247"/>
        <v>51.936444885799403</v>
      </c>
      <c r="L1142" s="101">
        <f t="shared" si="248"/>
        <v>1.4135135135135135</v>
      </c>
      <c r="M1142" s="133">
        <f t="shared" si="249"/>
        <v>617.87</v>
      </c>
      <c r="N1142" s="133">
        <f t="shared" si="250"/>
        <v>5847.87</v>
      </c>
      <c r="O1142" s="134">
        <f t="shared" si="251"/>
        <v>58.072194637537237</v>
      </c>
      <c r="P1142" s="134">
        <f t="shared" si="252"/>
        <v>1.5805054054054053</v>
      </c>
      <c r="R1142" s="149">
        <f t="shared" si="255"/>
        <v>7.4506006563304972</v>
      </c>
    </row>
    <row r="1143" spans="1:20" ht="14.45" x14ac:dyDescent="0.3">
      <c r="A1143" s="82" t="s">
        <v>22</v>
      </c>
      <c r="B1143" s="82" t="s">
        <v>31</v>
      </c>
      <c r="C1143" s="82" t="s">
        <v>7</v>
      </c>
      <c r="D1143" s="82" t="s">
        <v>91</v>
      </c>
      <c r="E1143" s="87">
        <f t="shared" si="253"/>
        <v>41214</v>
      </c>
      <c r="F1143" s="83"/>
      <c r="G1143" s="92">
        <v>3870</v>
      </c>
      <c r="H1143" s="52">
        <v>1160</v>
      </c>
      <c r="I1143" s="52" t="s">
        <v>92</v>
      </c>
      <c r="J1143" s="157">
        <f t="shared" si="254"/>
        <v>0.41</v>
      </c>
      <c r="K1143" s="101">
        <f t="shared" si="247"/>
        <v>38.43098311817279</v>
      </c>
      <c r="L1143" s="101">
        <f t="shared" si="248"/>
        <v>1.0459459459459459</v>
      </c>
      <c r="M1143" s="133">
        <f t="shared" si="249"/>
        <v>475.59999999999997</v>
      </c>
      <c r="N1143" s="133">
        <f t="shared" si="250"/>
        <v>4345.6000000000004</v>
      </c>
      <c r="O1143" s="134">
        <f t="shared" si="251"/>
        <v>43.153922542204569</v>
      </c>
      <c r="P1143" s="134">
        <f t="shared" si="252"/>
        <v>1.1744864864864866</v>
      </c>
      <c r="R1143" s="149">
        <f t="shared" si="255"/>
        <v>5.5782312925170219</v>
      </c>
    </row>
    <row r="1144" spans="1:20" ht="14.45" x14ac:dyDescent="0.3">
      <c r="A1144" s="82" t="s">
        <v>22</v>
      </c>
      <c r="B1144" s="82" t="s">
        <v>14</v>
      </c>
      <c r="C1144" s="82" t="s">
        <v>24</v>
      </c>
      <c r="D1144" s="82" t="s">
        <v>91</v>
      </c>
      <c r="E1144" s="87">
        <f t="shared" si="253"/>
        <v>41214</v>
      </c>
      <c r="F1144" s="83"/>
      <c r="G1144" s="92">
        <v>2750</v>
      </c>
      <c r="H1144" s="52">
        <v>615</v>
      </c>
      <c r="I1144" s="52" t="s">
        <v>94</v>
      </c>
      <c r="J1144" s="157">
        <f t="shared" si="254"/>
        <v>0.54</v>
      </c>
      <c r="K1144" s="101">
        <f t="shared" si="247"/>
        <v>27.308838133068519</v>
      </c>
      <c r="L1144" s="101">
        <f t="shared" si="248"/>
        <v>0.7432432432432432</v>
      </c>
      <c r="M1144" s="133">
        <f t="shared" si="249"/>
        <v>332.1</v>
      </c>
      <c r="N1144" s="133">
        <f t="shared" si="250"/>
        <v>3082.1</v>
      </c>
      <c r="O1144" s="134">
        <f t="shared" si="251"/>
        <v>30.606752730883812</v>
      </c>
      <c r="P1144" s="134">
        <f t="shared" si="252"/>
        <v>0.83299999999999996</v>
      </c>
      <c r="R1144" s="149">
        <f t="shared" si="255"/>
        <v>4.3047142035263386</v>
      </c>
    </row>
    <row r="1145" spans="1:20" ht="14.45" x14ac:dyDescent="0.3">
      <c r="A1145" s="118" t="s">
        <v>22</v>
      </c>
      <c r="B1145" s="118" t="s">
        <v>34</v>
      </c>
      <c r="C1145" s="118" t="s">
        <v>26</v>
      </c>
      <c r="D1145" s="118" t="s">
        <v>91</v>
      </c>
      <c r="E1145" s="119">
        <f t="shared" si="253"/>
        <v>41214</v>
      </c>
      <c r="F1145" s="120"/>
      <c r="G1145" s="105">
        <v>4960</v>
      </c>
      <c r="H1145" s="158">
        <v>1637</v>
      </c>
      <c r="I1145" s="158" t="s">
        <v>92</v>
      </c>
      <c r="J1145" s="122">
        <f t="shared" si="254"/>
        <v>0.41</v>
      </c>
      <c r="K1145" s="123">
        <f t="shared" si="247"/>
        <v>49.255213505461768</v>
      </c>
      <c r="L1145" s="123">
        <f t="shared" si="248"/>
        <v>1.3405405405405406</v>
      </c>
      <c r="M1145" s="115">
        <f t="shared" si="249"/>
        <v>671.17</v>
      </c>
      <c r="N1145" s="115">
        <f t="shared" si="250"/>
        <v>5631.17</v>
      </c>
      <c r="O1145" s="116">
        <f t="shared" si="251"/>
        <v>55.920258192651438</v>
      </c>
      <c r="P1145" s="116">
        <f t="shared" si="252"/>
        <v>1.5219378378378379</v>
      </c>
      <c r="Q1145" s="106"/>
      <c r="R1145" s="152">
        <f t="shared" si="255"/>
        <v>10.567941958982519</v>
      </c>
    </row>
    <row r="1146" spans="1:20" ht="14.45" x14ac:dyDescent="0.3">
      <c r="A1146" s="60" t="s">
        <v>1</v>
      </c>
      <c r="B1146" s="60" t="s">
        <v>2</v>
      </c>
      <c r="C1146" s="60" t="s">
        <v>3</v>
      </c>
      <c r="D1146" s="60" t="s">
        <v>90</v>
      </c>
      <c r="E1146" s="89">
        <v>41244</v>
      </c>
      <c r="F1146" s="61"/>
      <c r="G1146" s="92">
        <v>3144</v>
      </c>
      <c r="H1146" s="138">
        <v>506</v>
      </c>
      <c r="I1146" s="138" t="s">
        <v>92</v>
      </c>
      <c r="J1146" s="141">
        <f>IF(I1146="BNSF",0.4,IF(I1146="CN",0.345,IF(I1146="CSX",0.53,0.4)))</f>
        <v>0.4</v>
      </c>
      <c r="K1146" s="95">
        <f t="shared" ref="K1146:K1209" si="256">G1146/100.7</f>
        <v>31.221449851042699</v>
      </c>
      <c r="L1146" s="95">
        <f t="shared" ref="L1146:L1209" si="257">IF(A1146="corn",G1146/(111*2000/56),G1146/(111*2000/60))</f>
        <v>0.84972972972972971</v>
      </c>
      <c r="M1146" s="133">
        <f t="shared" ref="M1146:M1209" si="258">H1146*J1146</f>
        <v>202.4</v>
      </c>
      <c r="N1146" s="133">
        <f t="shared" ref="N1146:N1209" si="259">G1146+M1146</f>
        <v>3346.4</v>
      </c>
      <c r="O1146" s="134">
        <f t="shared" ref="O1146:O1209" si="260">N1146/100.7</f>
        <v>33.231380337636544</v>
      </c>
      <c r="P1146" s="134">
        <f t="shared" ref="P1146:P1209" si="261">IF(A1146="corn",N1146/(111*2000/56),N1146/(111*2000/60))</f>
        <v>0.90443243243243243</v>
      </c>
      <c r="Q1146" s="160"/>
      <c r="R1146" s="149">
        <f t="shared" si="255"/>
        <v>5.7635175282234163</v>
      </c>
      <c r="S1146" s="140">
        <f>AVERAGE(O1070,O1108,O1146)</f>
        <v>33.214630916914928</v>
      </c>
      <c r="T1146" s="151">
        <f>(S1146/S1032)-1</f>
        <v>7.1100940451458428E-3</v>
      </c>
    </row>
    <row r="1147" spans="1:20" ht="14.45" x14ac:dyDescent="0.3">
      <c r="A1147" s="60" t="s">
        <v>1</v>
      </c>
      <c r="B1147" s="60" t="s">
        <v>4</v>
      </c>
      <c r="C1147" s="60" t="s">
        <v>5</v>
      </c>
      <c r="D1147" s="60" t="s">
        <v>90</v>
      </c>
      <c r="E1147" s="89">
        <f>E1146</f>
        <v>41244</v>
      </c>
      <c r="F1147" s="61"/>
      <c r="G1147" s="92">
        <v>3445</v>
      </c>
      <c r="H1147" s="138">
        <v>298</v>
      </c>
      <c r="I1147" s="138" t="s">
        <v>93</v>
      </c>
      <c r="J1147" s="141">
        <f>IF(I1147="BNSF",0.4,IF(I1147="CN",0.345,IF(I1147="CSX",0.53,0.4)))</f>
        <v>0.4</v>
      </c>
      <c r="K1147" s="95">
        <f t="shared" si="256"/>
        <v>34.210526315789473</v>
      </c>
      <c r="L1147" s="95">
        <f t="shared" si="257"/>
        <v>0.93108108108108112</v>
      </c>
      <c r="M1147" s="133">
        <f t="shared" si="258"/>
        <v>119.2</v>
      </c>
      <c r="N1147" s="133">
        <f t="shared" si="259"/>
        <v>3564.2</v>
      </c>
      <c r="O1147" s="134">
        <f t="shared" si="260"/>
        <v>35.394240317775569</v>
      </c>
      <c r="P1147" s="134">
        <f t="shared" si="261"/>
        <v>0.96329729729729729</v>
      </c>
      <c r="Q1147" s="160"/>
      <c r="R1147" s="149">
        <f t="shared" si="255"/>
        <v>11.543685491997714</v>
      </c>
      <c r="S1147" s="140">
        <f t="shared" ref="S1147:S1182" si="262">AVERAGE(O1071,O1109,O1147)</f>
        <v>35.384376034425685</v>
      </c>
      <c r="T1147" s="151">
        <f t="shared" ref="T1147:T1181" si="263">(S1147/S1033)-1</f>
        <v>1.4195445920303529E-2</v>
      </c>
    </row>
    <row r="1148" spans="1:20" ht="14.45" x14ac:dyDescent="0.3">
      <c r="A1148" s="60" t="s">
        <v>1</v>
      </c>
      <c r="B1148" s="60" t="s">
        <v>2</v>
      </c>
      <c r="C1148" s="60" t="s">
        <v>6</v>
      </c>
      <c r="D1148" s="60" t="s">
        <v>90</v>
      </c>
      <c r="E1148" s="89">
        <f t="shared" ref="E1148:E1183" si="264">E1147</f>
        <v>41244</v>
      </c>
      <c r="F1148" s="61"/>
      <c r="G1148" s="92">
        <v>6026</v>
      </c>
      <c r="H1148" s="138">
        <v>1530</v>
      </c>
      <c r="I1148" s="138" t="s">
        <v>93</v>
      </c>
      <c r="J1148" s="141">
        <f t="shared" ref="J1148:J1183" si="265">IF(I1148="BNSF",0.4,IF(I1148="CN",0.345,IF(I1148="CSX",0.53,0.4)))</f>
        <v>0.4</v>
      </c>
      <c r="K1148" s="95">
        <f t="shared" si="256"/>
        <v>59.841112214498509</v>
      </c>
      <c r="L1148" s="95">
        <f t="shared" si="257"/>
        <v>1.6286486486486487</v>
      </c>
      <c r="M1148" s="133">
        <f t="shared" si="258"/>
        <v>612</v>
      </c>
      <c r="N1148" s="133">
        <f t="shared" si="259"/>
        <v>6638</v>
      </c>
      <c r="O1148" s="134">
        <f t="shared" si="260"/>
        <v>65.918570009930491</v>
      </c>
      <c r="P1148" s="134">
        <f t="shared" si="261"/>
        <v>1.7940540540540542</v>
      </c>
      <c r="R1148" s="149">
        <f t="shared" si="255"/>
        <v>6.8078327889427026</v>
      </c>
      <c r="S1148" s="140">
        <f t="shared" si="262"/>
        <v>65.867924528301884</v>
      </c>
      <c r="T1148" s="151">
        <f t="shared" si="263"/>
        <v>1.4825581395348619E-2</v>
      </c>
    </row>
    <row r="1149" spans="1:20" ht="14.45" x14ac:dyDescent="0.3">
      <c r="A1149" s="60" t="s">
        <v>1</v>
      </c>
      <c r="B1149" s="60" t="s">
        <v>2</v>
      </c>
      <c r="C1149" s="60" t="s">
        <v>7</v>
      </c>
      <c r="D1149" s="60" t="s">
        <v>90</v>
      </c>
      <c r="E1149" s="89">
        <f t="shared" si="264"/>
        <v>41244</v>
      </c>
      <c r="F1149" s="61"/>
      <c r="G1149" s="92">
        <v>3645</v>
      </c>
      <c r="H1149" s="138">
        <v>890</v>
      </c>
      <c r="I1149" s="138" t="s">
        <v>92</v>
      </c>
      <c r="J1149" s="141">
        <f t="shared" si="265"/>
        <v>0.4</v>
      </c>
      <c r="K1149" s="95">
        <f t="shared" si="256"/>
        <v>36.196623634558094</v>
      </c>
      <c r="L1149" s="95">
        <f t="shared" si="257"/>
        <v>0.98513513513513518</v>
      </c>
      <c r="M1149" s="133">
        <f t="shared" si="258"/>
        <v>356</v>
      </c>
      <c r="N1149" s="133">
        <f t="shared" si="259"/>
        <v>4001</v>
      </c>
      <c r="O1149" s="134">
        <f t="shared" si="260"/>
        <v>39.731876861966235</v>
      </c>
      <c r="P1149" s="134">
        <f t="shared" si="261"/>
        <v>1.0813513513513513</v>
      </c>
      <c r="R1149" s="149">
        <f t="shared" si="255"/>
        <v>5.4393084910135503</v>
      </c>
      <c r="S1149" s="140">
        <f t="shared" si="262"/>
        <v>39.702416418404503</v>
      </c>
      <c r="T1149" s="151">
        <f t="shared" si="263"/>
        <v>1.0497493575972072E-2</v>
      </c>
    </row>
    <row r="1150" spans="1:20" ht="14.45" x14ac:dyDescent="0.3">
      <c r="A1150" s="60" t="s">
        <v>1</v>
      </c>
      <c r="B1150" s="60" t="s">
        <v>8</v>
      </c>
      <c r="C1150" s="60" t="s">
        <v>9</v>
      </c>
      <c r="D1150" s="60" t="s">
        <v>90</v>
      </c>
      <c r="E1150" s="89">
        <f t="shared" si="264"/>
        <v>41244</v>
      </c>
      <c r="F1150" s="61"/>
      <c r="G1150" s="92">
        <v>5573</v>
      </c>
      <c r="H1150" s="138">
        <v>1256</v>
      </c>
      <c r="I1150" s="138" t="s">
        <v>93</v>
      </c>
      <c r="J1150" s="141">
        <f t="shared" si="265"/>
        <v>0.4</v>
      </c>
      <c r="K1150" s="95">
        <f t="shared" si="256"/>
        <v>55.342601787487588</v>
      </c>
      <c r="L1150" s="95">
        <f t="shared" si="257"/>
        <v>1.5062162162162163</v>
      </c>
      <c r="M1150" s="133">
        <f t="shared" si="258"/>
        <v>502.40000000000003</v>
      </c>
      <c r="N1150" s="133">
        <f t="shared" si="259"/>
        <v>6075.4</v>
      </c>
      <c r="O1150" s="134">
        <f t="shared" si="260"/>
        <v>60.331678252234354</v>
      </c>
      <c r="P1150" s="134">
        <f t="shared" si="261"/>
        <v>1.6419999999999999</v>
      </c>
      <c r="R1150" s="149">
        <f t="shared" si="255"/>
        <v>4.3080240639507661</v>
      </c>
      <c r="S1150" s="140">
        <f t="shared" si="262"/>
        <v>60.290102615028133</v>
      </c>
      <c r="T1150" s="151">
        <f t="shared" si="263"/>
        <v>1.3276216968011179E-2</v>
      </c>
    </row>
    <row r="1151" spans="1:20" ht="14.45" x14ac:dyDescent="0.3">
      <c r="A1151" s="60" t="s">
        <v>1</v>
      </c>
      <c r="B1151" s="60" t="s">
        <v>10</v>
      </c>
      <c r="C1151" s="60" t="s">
        <v>9</v>
      </c>
      <c r="D1151" s="60" t="s">
        <v>90</v>
      </c>
      <c r="E1151" s="89">
        <f t="shared" si="264"/>
        <v>41244</v>
      </c>
      <c r="F1151" s="61"/>
      <c r="G1151" s="92">
        <v>3912</v>
      </c>
      <c r="H1151" s="138">
        <v>975</v>
      </c>
      <c r="I1151" s="138" t="s">
        <v>92</v>
      </c>
      <c r="J1151" s="141">
        <f t="shared" si="265"/>
        <v>0.4</v>
      </c>
      <c r="K1151" s="95">
        <f t="shared" si="256"/>
        <v>38.848063555114202</v>
      </c>
      <c r="L1151" s="95">
        <f t="shared" si="257"/>
        <v>1.0572972972972974</v>
      </c>
      <c r="M1151" s="133">
        <f t="shared" si="258"/>
        <v>390</v>
      </c>
      <c r="N1151" s="133">
        <f t="shared" si="259"/>
        <v>4302</v>
      </c>
      <c r="O1151" s="134">
        <f t="shared" si="260"/>
        <v>42.720953326713008</v>
      </c>
      <c r="P1151" s="134">
        <f t="shared" si="261"/>
        <v>1.1627027027027026</v>
      </c>
      <c r="R1151" s="149">
        <f t="shared" si="255"/>
        <v>5.1448124159843678</v>
      </c>
      <c r="S1151" s="140">
        <f t="shared" si="262"/>
        <v>42.688679245283019</v>
      </c>
      <c r="T1151" s="151">
        <f t="shared" si="263"/>
        <v>1.0697701757479638E-2</v>
      </c>
    </row>
    <row r="1152" spans="1:20" ht="14.45" x14ac:dyDescent="0.3">
      <c r="A1152" s="60" t="s">
        <v>1</v>
      </c>
      <c r="B1152" s="60" t="s">
        <v>11</v>
      </c>
      <c r="C1152" s="60" t="s">
        <v>6</v>
      </c>
      <c r="D1152" s="60" t="s">
        <v>90</v>
      </c>
      <c r="E1152" s="89">
        <f t="shared" si="264"/>
        <v>41244</v>
      </c>
      <c r="F1152" s="61"/>
      <c r="G1152" s="92">
        <v>4112</v>
      </c>
      <c r="H1152" s="138">
        <v>1357</v>
      </c>
      <c r="I1152" s="138" t="s">
        <v>92</v>
      </c>
      <c r="J1152" s="141">
        <f t="shared" si="265"/>
        <v>0.4</v>
      </c>
      <c r="K1152" s="95">
        <f t="shared" si="256"/>
        <v>40.834160873882816</v>
      </c>
      <c r="L1152" s="95">
        <f t="shared" si="257"/>
        <v>1.1113513513513513</v>
      </c>
      <c r="M1152" s="133">
        <f t="shared" si="258"/>
        <v>542.80000000000007</v>
      </c>
      <c r="N1152" s="133">
        <f t="shared" si="259"/>
        <v>4654.8</v>
      </c>
      <c r="O1152" s="134">
        <f t="shared" si="260"/>
        <v>46.224428997020851</v>
      </c>
      <c r="P1152" s="134">
        <f t="shared" si="261"/>
        <v>1.2580540540540541</v>
      </c>
      <c r="R1152" s="149">
        <f t="shared" si="255"/>
        <v>5.3031639813771791</v>
      </c>
      <c r="S1152" s="140">
        <f t="shared" si="262"/>
        <v>46.179510095994694</v>
      </c>
      <c r="T1152" s="151">
        <f t="shared" si="263"/>
        <v>1.3805833215244423E-2</v>
      </c>
    </row>
    <row r="1153" spans="1:20" ht="14.45" x14ac:dyDescent="0.3">
      <c r="A1153" s="60" t="s">
        <v>134</v>
      </c>
      <c r="B1153" s="60" t="s">
        <v>13</v>
      </c>
      <c r="C1153" s="60" t="s">
        <v>7</v>
      </c>
      <c r="D1153" s="60" t="s">
        <v>90</v>
      </c>
      <c r="E1153" s="89">
        <f t="shared" si="264"/>
        <v>41244</v>
      </c>
      <c r="F1153" s="61"/>
      <c r="G1153" s="92">
        <v>3110</v>
      </c>
      <c r="H1153" s="138">
        <v>1006</v>
      </c>
      <c r="I1153" s="138" t="s">
        <v>92</v>
      </c>
      <c r="J1153" s="141">
        <f t="shared" si="265"/>
        <v>0.4</v>
      </c>
      <c r="K1153" s="95">
        <f t="shared" si="256"/>
        <v>30.883813306852034</v>
      </c>
      <c r="L1153" s="95">
        <f t="shared" si="257"/>
        <v>0.78450450450450449</v>
      </c>
      <c r="M1153" s="133">
        <f t="shared" si="258"/>
        <v>402.40000000000003</v>
      </c>
      <c r="N1153" s="133">
        <f t="shared" si="259"/>
        <v>3512.4</v>
      </c>
      <c r="O1153" s="134">
        <f t="shared" si="260"/>
        <v>34.8798411122145</v>
      </c>
      <c r="P1153" s="134">
        <f t="shared" si="261"/>
        <v>0.8860108108108109</v>
      </c>
      <c r="R1153" s="149">
        <f t="shared" si="255"/>
        <v>3.1832763422286581</v>
      </c>
      <c r="S1153" s="140">
        <f t="shared" si="262"/>
        <v>34.846540880503149</v>
      </c>
      <c r="T1153" s="151">
        <f t="shared" si="263"/>
        <v>0.14796026302302012</v>
      </c>
    </row>
    <row r="1154" spans="1:20" ht="14.45" x14ac:dyDescent="0.3">
      <c r="A1154" s="60" t="s">
        <v>134</v>
      </c>
      <c r="B1154" s="60" t="s">
        <v>14</v>
      </c>
      <c r="C1154" s="60" t="s">
        <v>15</v>
      </c>
      <c r="D1154" s="60" t="s">
        <v>90</v>
      </c>
      <c r="E1154" s="89">
        <f t="shared" si="264"/>
        <v>41244</v>
      </c>
      <c r="F1154" s="61"/>
      <c r="G1154" s="92">
        <v>4508</v>
      </c>
      <c r="H1154" s="138">
        <v>866</v>
      </c>
      <c r="I1154" s="138" t="s">
        <v>94</v>
      </c>
      <c r="J1154" s="141">
        <f t="shared" si="265"/>
        <v>0.53</v>
      </c>
      <c r="K1154" s="95">
        <f t="shared" si="256"/>
        <v>44.766633565044685</v>
      </c>
      <c r="L1154" s="95">
        <f t="shared" si="257"/>
        <v>1.1371531531531531</v>
      </c>
      <c r="M1154" s="133">
        <f t="shared" si="258"/>
        <v>458.98</v>
      </c>
      <c r="N1154" s="133">
        <f t="shared" si="259"/>
        <v>4966.9799999999996</v>
      </c>
      <c r="O1154" s="134">
        <f t="shared" si="260"/>
        <v>49.324528301886787</v>
      </c>
      <c r="P1154" s="134">
        <f t="shared" si="261"/>
        <v>1.2529318918918917</v>
      </c>
      <c r="R1154" s="149">
        <f t="shared" si="255"/>
        <v>14.66583558418173</v>
      </c>
      <c r="S1154" s="140">
        <f t="shared" si="262"/>
        <v>49.267196292618337</v>
      </c>
      <c r="T1154" s="151">
        <f t="shared" si="263"/>
        <v>3.7831181473082953E-2</v>
      </c>
    </row>
    <row r="1155" spans="1:20" ht="14.45" x14ac:dyDescent="0.3">
      <c r="A1155" s="60" t="s">
        <v>134</v>
      </c>
      <c r="B1155" s="60" t="s">
        <v>16</v>
      </c>
      <c r="C1155" s="60" t="s">
        <v>17</v>
      </c>
      <c r="D1155" s="60" t="s">
        <v>90</v>
      </c>
      <c r="E1155" s="89">
        <f t="shared" si="264"/>
        <v>41244</v>
      </c>
      <c r="F1155" s="61"/>
      <c r="G1155" s="92">
        <v>2006</v>
      </c>
      <c r="H1155" s="138">
        <v>213</v>
      </c>
      <c r="I1155" s="138" t="s">
        <v>92</v>
      </c>
      <c r="J1155" s="141">
        <f t="shared" si="265"/>
        <v>0.4</v>
      </c>
      <c r="K1155" s="95">
        <f t="shared" si="256"/>
        <v>19.920556107249254</v>
      </c>
      <c r="L1155" s="95">
        <f t="shared" si="257"/>
        <v>0.50601801801801805</v>
      </c>
      <c r="M1155" s="133">
        <f t="shared" si="258"/>
        <v>85.2</v>
      </c>
      <c r="N1155" s="133">
        <f t="shared" si="259"/>
        <v>2091.1999999999998</v>
      </c>
      <c r="O1155" s="134">
        <f t="shared" si="260"/>
        <v>20.766633565044685</v>
      </c>
      <c r="P1155" s="134">
        <f t="shared" si="261"/>
        <v>0.52750990990990987</v>
      </c>
      <c r="R1155" s="149">
        <f t="shared" si="255"/>
        <v>4.2254363493186675</v>
      </c>
      <c r="S1155" s="140">
        <f t="shared" si="262"/>
        <v>20.759582919563059</v>
      </c>
      <c r="T1155" s="151">
        <f t="shared" si="263"/>
        <v>4.079559881506567E-2</v>
      </c>
    </row>
    <row r="1156" spans="1:20" ht="14.45" x14ac:dyDescent="0.3">
      <c r="A1156" s="60" t="s">
        <v>134</v>
      </c>
      <c r="B1156" s="60" t="s">
        <v>18</v>
      </c>
      <c r="C1156" s="60" t="s">
        <v>19</v>
      </c>
      <c r="D1156" s="60" t="s">
        <v>90</v>
      </c>
      <c r="E1156" s="89">
        <f t="shared" si="264"/>
        <v>41244</v>
      </c>
      <c r="F1156" s="61"/>
      <c r="G1156" s="92">
        <v>3920</v>
      </c>
      <c r="H1156" s="138">
        <v>650</v>
      </c>
      <c r="I1156" s="138" t="s">
        <v>94</v>
      </c>
      <c r="J1156" s="141">
        <f t="shared" si="265"/>
        <v>0.53</v>
      </c>
      <c r="K1156" s="95">
        <f t="shared" si="256"/>
        <v>38.927507447864947</v>
      </c>
      <c r="L1156" s="95">
        <f t="shared" si="257"/>
        <v>0.98882882882882883</v>
      </c>
      <c r="M1156" s="133">
        <f t="shared" si="258"/>
        <v>344.5</v>
      </c>
      <c r="N1156" s="133">
        <f t="shared" si="259"/>
        <v>4264.5</v>
      </c>
      <c r="O1156" s="134">
        <f t="shared" si="260"/>
        <v>42.348560079443892</v>
      </c>
      <c r="P1156" s="134">
        <f t="shared" si="261"/>
        <v>1.0757297297297297</v>
      </c>
      <c r="R1156" s="149">
        <f t="shared" si="255"/>
        <v>16.088199265006132</v>
      </c>
      <c r="S1156" s="140">
        <f t="shared" si="262"/>
        <v>42.305527970870571</v>
      </c>
      <c r="T1156" s="151">
        <f t="shared" si="263"/>
        <v>3.4021035598705396E-2</v>
      </c>
    </row>
    <row r="1157" spans="1:20" ht="14.45" x14ac:dyDescent="0.3">
      <c r="A1157" s="60" t="s">
        <v>134</v>
      </c>
      <c r="B1157" s="60" t="s">
        <v>18</v>
      </c>
      <c r="C1157" s="60" t="s">
        <v>20</v>
      </c>
      <c r="D1157" s="60" t="s">
        <v>90</v>
      </c>
      <c r="E1157" s="89">
        <f t="shared" si="264"/>
        <v>41244</v>
      </c>
      <c r="F1157" s="61"/>
      <c r="G1157" s="92">
        <v>3354</v>
      </c>
      <c r="H1157" s="138">
        <v>417</v>
      </c>
      <c r="I1157" s="138" t="s">
        <v>94</v>
      </c>
      <c r="J1157" s="141">
        <f t="shared" si="265"/>
        <v>0.53</v>
      </c>
      <c r="K1157" s="95">
        <f t="shared" si="256"/>
        <v>33.306852035749749</v>
      </c>
      <c r="L1157" s="95">
        <f t="shared" si="257"/>
        <v>0.84605405405405409</v>
      </c>
      <c r="M1157" s="133">
        <f t="shared" si="258"/>
        <v>221.01000000000002</v>
      </c>
      <c r="N1157" s="133">
        <f t="shared" si="259"/>
        <v>3575.01</v>
      </c>
      <c r="O1157" s="134">
        <f t="shared" si="260"/>
        <v>35.501588877855013</v>
      </c>
      <c r="P1157" s="134">
        <f t="shared" si="261"/>
        <v>0.90180432432432445</v>
      </c>
      <c r="R1157" s="149">
        <f t="shared" si="255"/>
        <v>18.352341383477079</v>
      </c>
      <c r="S1157" s="140">
        <f t="shared" si="262"/>
        <v>35.473982125124131</v>
      </c>
      <c r="T1157" s="151">
        <f t="shared" si="263"/>
        <v>3.1000167396863398E-2</v>
      </c>
    </row>
    <row r="1158" spans="1:20" ht="14.45" x14ac:dyDescent="0.3">
      <c r="A1158" s="60" t="s">
        <v>134</v>
      </c>
      <c r="B1158" s="60" t="s">
        <v>16</v>
      </c>
      <c r="C1158" s="60" t="s">
        <v>21</v>
      </c>
      <c r="D1158" s="60" t="s">
        <v>90</v>
      </c>
      <c r="E1158" s="89">
        <f t="shared" si="264"/>
        <v>41244</v>
      </c>
      <c r="F1158" s="61"/>
      <c r="G1158" s="92">
        <v>3154</v>
      </c>
      <c r="H1158" s="138">
        <v>626</v>
      </c>
      <c r="I1158" s="138" t="s">
        <v>92</v>
      </c>
      <c r="J1158" s="141">
        <f t="shared" si="265"/>
        <v>0.4</v>
      </c>
      <c r="K1158" s="95">
        <f t="shared" si="256"/>
        <v>31.320754716981131</v>
      </c>
      <c r="L1158" s="95">
        <f t="shared" si="257"/>
        <v>0.7956036036036036</v>
      </c>
      <c r="M1158" s="133">
        <f t="shared" si="258"/>
        <v>250.4</v>
      </c>
      <c r="N1158" s="133">
        <f t="shared" si="259"/>
        <v>3404.4</v>
      </c>
      <c r="O1158" s="134">
        <f t="shared" si="260"/>
        <v>33.807348560079447</v>
      </c>
      <c r="P1158" s="134">
        <f t="shared" si="261"/>
        <v>0.85876756756756756</v>
      </c>
      <c r="R1158" s="149">
        <f t="shared" si="255"/>
        <v>3.5766876391914337</v>
      </c>
      <c r="S1158" s="140">
        <f t="shared" si="262"/>
        <v>33.78662694472029</v>
      </c>
      <c r="T1158" s="151">
        <f t="shared" si="263"/>
        <v>3.3164293016711754E-2</v>
      </c>
    </row>
    <row r="1159" spans="1:20" ht="14.45" x14ac:dyDescent="0.3">
      <c r="A1159" s="60" t="s">
        <v>134</v>
      </c>
      <c r="B1159" s="60" t="s">
        <v>16</v>
      </c>
      <c r="C1159" s="60" t="s">
        <v>6</v>
      </c>
      <c r="D1159" s="60" t="s">
        <v>90</v>
      </c>
      <c r="E1159" s="89">
        <f t="shared" si="264"/>
        <v>41244</v>
      </c>
      <c r="F1159" s="61"/>
      <c r="G1159" s="92">
        <v>5065</v>
      </c>
      <c r="H1159" s="138">
        <v>1823</v>
      </c>
      <c r="I1159" s="138" t="s">
        <v>92</v>
      </c>
      <c r="J1159" s="141">
        <f t="shared" si="265"/>
        <v>0.4</v>
      </c>
      <c r="K1159" s="95">
        <f t="shared" si="256"/>
        <v>50.297914597815293</v>
      </c>
      <c r="L1159" s="95">
        <f t="shared" si="257"/>
        <v>1.2776576576576577</v>
      </c>
      <c r="M1159" s="133">
        <f t="shared" si="258"/>
        <v>729.2</v>
      </c>
      <c r="N1159" s="133">
        <f t="shared" si="259"/>
        <v>5794.2</v>
      </c>
      <c r="O1159" s="134">
        <f t="shared" si="260"/>
        <v>57.539225422045675</v>
      </c>
      <c r="P1159" s="134">
        <f t="shared" si="261"/>
        <v>1.4616</v>
      </c>
      <c r="R1159" s="149">
        <f t="shared" si="255"/>
        <v>3.3788774661809073</v>
      </c>
      <c r="S1159" s="140">
        <f t="shared" si="262"/>
        <v>57.478881165177086</v>
      </c>
      <c r="T1159" s="151">
        <f t="shared" si="263"/>
        <v>2.9356547306769842E-2</v>
      </c>
    </row>
    <row r="1160" spans="1:20" ht="14.45" x14ac:dyDescent="0.3">
      <c r="A1160" s="60" t="s">
        <v>22</v>
      </c>
      <c r="B1160" s="60" t="s">
        <v>23</v>
      </c>
      <c r="C1160" s="60" t="s">
        <v>7</v>
      </c>
      <c r="D1160" s="60" t="s">
        <v>90</v>
      </c>
      <c r="E1160" s="89">
        <f t="shared" si="264"/>
        <v>41244</v>
      </c>
      <c r="F1160" s="61"/>
      <c r="G1160" s="92">
        <v>3509</v>
      </c>
      <c r="H1160" s="138">
        <v>1295</v>
      </c>
      <c r="I1160" s="138" t="s">
        <v>95</v>
      </c>
      <c r="J1160" s="141">
        <f t="shared" si="265"/>
        <v>0.34499999999999997</v>
      </c>
      <c r="K1160" s="95">
        <f t="shared" si="256"/>
        <v>34.846077457795431</v>
      </c>
      <c r="L1160" s="95">
        <f t="shared" si="257"/>
        <v>0.94837837837837835</v>
      </c>
      <c r="M1160" s="133">
        <f t="shared" si="258"/>
        <v>446.77499999999998</v>
      </c>
      <c r="N1160" s="133">
        <f t="shared" si="259"/>
        <v>3955.7750000000001</v>
      </c>
      <c r="O1160" s="134">
        <f t="shared" si="260"/>
        <v>39.28277060575968</v>
      </c>
      <c r="P1160" s="134">
        <f t="shared" si="261"/>
        <v>1.0691283783783785</v>
      </c>
      <c r="R1160" s="149">
        <f t="shared" si="255"/>
        <v>2.446383192243573</v>
      </c>
      <c r="S1160" s="140">
        <f t="shared" si="262"/>
        <v>37.976041046011254</v>
      </c>
      <c r="T1160" s="151">
        <f t="shared" si="263"/>
        <v>7.0067820807117265E-2</v>
      </c>
    </row>
    <row r="1161" spans="1:20" ht="14.45" x14ac:dyDescent="0.3">
      <c r="A1161" s="60" t="s">
        <v>22</v>
      </c>
      <c r="B1161" s="60" t="s">
        <v>14</v>
      </c>
      <c r="C1161" s="60" t="s">
        <v>24</v>
      </c>
      <c r="D1161" s="60" t="s">
        <v>90</v>
      </c>
      <c r="E1161" s="89">
        <f t="shared" si="264"/>
        <v>41244</v>
      </c>
      <c r="F1161" s="61"/>
      <c r="G1161" s="92">
        <v>3575</v>
      </c>
      <c r="H1161" s="138">
        <v>615</v>
      </c>
      <c r="I1161" s="138" t="s">
        <v>94</v>
      </c>
      <c r="J1161" s="141">
        <f t="shared" si="265"/>
        <v>0.53</v>
      </c>
      <c r="K1161" s="95">
        <f t="shared" si="256"/>
        <v>35.501489572989072</v>
      </c>
      <c r="L1161" s="95">
        <f t="shared" si="257"/>
        <v>0.96621621621621623</v>
      </c>
      <c r="M1161" s="133">
        <f t="shared" si="258"/>
        <v>325.95</v>
      </c>
      <c r="N1161" s="133">
        <f t="shared" si="259"/>
        <v>3900.95</v>
      </c>
      <c r="O1161" s="134">
        <f t="shared" si="260"/>
        <v>38.73833167825223</v>
      </c>
      <c r="P1161" s="134">
        <f t="shared" si="261"/>
        <v>1.0543108108108108</v>
      </c>
      <c r="R1161" s="149">
        <f t="shared" si="255"/>
        <v>3.3706525339516347</v>
      </c>
      <c r="S1161" s="140">
        <f t="shared" si="262"/>
        <v>38.697616683217468</v>
      </c>
      <c r="T1161" s="151">
        <f t="shared" si="263"/>
        <v>3.0939971956929879E-2</v>
      </c>
    </row>
    <row r="1162" spans="1:20" ht="14.45" x14ac:dyDescent="0.3">
      <c r="A1162" s="60" t="s">
        <v>22</v>
      </c>
      <c r="B1162" s="60" t="s">
        <v>18</v>
      </c>
      <c r="C1162" s="60" t="s">
        <v>15</v>
      </c>
      <c r="D1162" s="60" t="s">
        <v>90</v>
      </c>
      <c r="E1162" s="89">
        <f t="shared" si="264"/>
        <v>41244</v>
      </c>
      <c r="F1162" s="61"/>
      <c r="G1162" s="92">
        <v>4578</v>
      </c>
      <c r="H1162" s="138">
        <v>872</v>
      </c>
      <c r="I1162" s="138" t="s">
        <v>94</v>
      </c>
      <c r="J1162" s="141">
        <f t="shared" si="265"/>
        <v>0.53</v>
      </c>
      <c r="K1162" s="95">
        <f t="shared" si="256"/>
        <v>45.4617676266137</v>
      </c>
      <c r="L1162" s="95">
        <f t="shared" si="257"/>
        <v>1.2372972972972973</v>
      </c>
      <c r="M1162" s="133">
        <f t="shared" si="258"/>
        <v>462.16</v>
      </c>
      <c r="N1162" s="133">
        <f t="shared" si="259"/>
        <v>5040.16</v>
      </c>
      <c r="O1162" s="134">
        <f t="shared" si="260"/>
        <v>50.051241310824224</v>
      </c>
      <c r="P1162" s="134">
        <f t="shared" si="261"/>
        <v>1.3622054054054054</v>
      </c>
      <c r="R1162" s="149">
        <f t="shared" si="255"/>
        <v>4.0194823956742454</v>
      </c>
      <c r="S1162" s="140">
        <f t="shared" si="262"/>
        <v>49.993512082092025</v>
      </c>
      <c r="T1162" s="151">
        <f t="shared" si="263"/>
        <v>3.7128597287802378E-2</v>
      </c>
    </row>
    <row r="1163" spans="1:20" ht="14.45" x14ac:dyDescent="0.3">
      <c r="A1163" s="60" t="s">
        <v>22</v>
      </c>
      <c r="B1163" s="60" t="s">
        <v>18</v>
      </c>
      <c r="C1163" s="60" t="s">
        <v>24</v>
      </c>
      <c r="D1163" s="60" t="s">
        <v>90</v>
      </c>
      <c r="E1163" s="89">
        <f t="shared" si="264"/>
        <v>41244</v>
      </c>
      <c r="F1163" s="61"/>
      <c r="G1163" s="92">
        <v>3267</v>
      </c>
      <c r="H1163" s="138">
        <v>417</v>
      </c>
      <c r="I1163" s="138" t="s">
        <v>94</v>
      </c>
      <c r="J1163" s="141">
        <f t="shared" si="265"/>
        <v>0.53</v>
      </c>
      <c r="K1163" s="95">
        <f t="shared" si="256"/>
        <v>32.442899702085398</v>
      </c>
      <c r="L1163" s="95">
        <f t="shared" si="257"/>
        <v>0.88297297297297295</v>
      </c>
      <c r="M1163" s="133">
        <f t="shared" si="258"/>
        <v>221.01000000000002</v>
      </c>
      <c r="N1163" s="133">
        <f t="shared" si="259"/>
        <v>3488.01</v>
      </c>
      <c r="O1163" s="134">
        <f t="shared" si="260"/>
        <v>34.63763654419067</v>
      </c>
      <c r="P1163" s="134">
        <f t="shared" si="261"/>
        <v>0.94270540540540548</v>
      </c>
      <c r="R1163" s="149">
        <f t="shared" si="255"/>
        <v>3.2979432277553178</v>
      </c>
      <c r="S1163" s="140">
        <f t="shared" si="262"/>
        <v>34.61002979145978</v>
      </c>
      <c r="T1163" s="151">
        <f t="shared" si="263"/>
        <v>3.0883040209179979E-2</v>
      </c>
    </row>
    <row r="1164" spans="1:20" ht="14.45" x14ac:dyDescent="0.3">
      <c r="A1164" s="60" t="s">
        <v>22</v>
      </c>
      <c r="B1164" s="60" t="s">
        <v>13</v>
      </c>
      <c r="C1164" s="60" t="s">
        <v>7</v>
      </c>
      <c r="D1164" s="60" t="s">
        <v>90</v>
      </c>
      <c r="E1164" s="89">
        <f t="shared" si="264"/>
        <v>41244</v>
      </c>
      <c r="F1164" s="61"/>
      <c r="G1164" s="92">
        <v>3599</v>
      </c>
      <c r="H1164" s="138">
        <v>1006</v>
      </c>
      <c r="I1164" s="138" t="s">
        <v>92</v>
      </c>
      <c r="J1164" s="141">
        <f t="shared" si="265"/>
        <v>0.4</v>
      </c>
      <c r="K1164" s="95">
        <f t="shared" si="256"/>
        <v>35.73982125124131</v>
      </c>
      <c r="L1164" s="95">
        <f t="shared" si="257"/>
        <v>0.97270270270270265</v>
      </c>
      <c r="M1164" s="133">
        <f t="shared" si="258"/>
        <v>402.40000000000003</v>
      </c>
      <c r="N1164" s="133">
        <f t="shared" si="259"/>
        <v>4001.4</v>
      </c>
      <c r="O1164" s="134">
        <f t="shared" si="260"/>
        <v>39.735849056603776</v>
      </c>
      <c r="P1164" s="134">
        <f t="shared" si="261"/>
        <v>1.0814594594594595</v>
      </c>
      <c r="R1164" s="149">
        <f t="shared" si="255"/>
        <v>6.7597997886895689</v>
      </c>
      <c r="S1164" s="140">
        <f t="shared" si="262"/>
        <v>39.702548824892425</v>
      </c>
      <c r="T1164" s="151">
        <f t="shared" si="263"/>
        <v>7.0685484230917028E-2</v>
      </c>
    </row>
    <row r="1165" spans="1:20" ht="14.45" x14ac:dyDescent="0.3">
      <c r="A1165" s="60" t="s">
        <v>1</v>
      </c>
      <c r="B1165" s="60" t="s">
        <v>25</v>
      </c>
      <c r="C1165" s="60" t="s">
        <v>26</v>
      </c>
      <c r="D1165" s="60" t="s">
        <v>91</v>
      </c>
      <c r="E1165" s="89">
        <f t="shared" si="264"/>
        <v>41244</v>
      </c>
      <c r="F1165" s="61"/>
      <c r="G1165" s="92">
        <v>3481</v>
      </c>
      <c r="H1165" s="138">
        <v>880</v>
      </c>
      <c r="I1165" s="138" t="s">
        <v>93</v>
      </c>
      <c r="J1165" s="141">
        <f t="shared" si="265"/>
        <v>0.4</v>
      </c>
      <c r="K1165" s="95">
        <f t="shared" si="256"/>
        <v>34.568023833167821</v>
      </c>
      <c r="L1165" s="95">
        <f t="shared" si="257"/>
        <v>0.94081081081081086</v>
      </c>
      <c r="M1165" s="133">
        <f t="shared" si="258"/>
        <v>352</v>
      </c>
      <c r="N1165" s="133">
        <f t="shared" si="259"/>
        <v>3833</v>
      </c>
      <c r="O1165" s="134">
        <f t="shared" si="260"/>
        <v>38.063555114200597</v>
      </c>
      <c r="P1165" s="134">
        <f t="shared" si="261"/>
        <v>1.0359459459459459</v>
      </c>
      <c r="R1165" s="149">
        <f t="shared" si="255"/>
        <v>8.6020286734289186</v>
      </c>
      <c r="S1165" s="140">
        <f t="shared" si="262"/>
        <v>38.034425686858661</v>
      </c>
      <c r="T1165" s="151">
        <f t="shared" si="263"/>
        <v>2.6552309479138891E-2</v>
      </c>
    </row>
    <row r="1166" spans="1:20" ht="14.45" x14ac:dyDescent="0.3">
      <c r="A1166" s="60" t="s">
        <v>1</v>
      </c>
      <c r="B1166" s="60" t="s">
        <v>2</v>
      </c>
      <c r="C1166" s="60" t="s">
        <v>9</v>
      </c>
      <c r="D1166" s="60" t="s">
        <v>91</v>
      </c>
      <c r="E1166" s="89">
        <f t="shared" si="264"/>
        <v>41244</v>
      </c>
      <c r="F1166" s="61"/>
      <c r="G1166" s="92">
        <v>3634</v>
      </c>
      <c r="H1166" s="138">
        <v>685</v>
      </c>
      <c r="I1166" s="138" t="s">
        <v>93</v>
      </c>
      <c r="J1166" s="141">
        <f t="shared" si="265"/>
        <v>0.4</v>
      </c>
      <c r="K1166" s="95">
        <f t="shared" si="256"/>
        <v>36.08738828202582</v>
      </c>
      <c r="L1166" s="95">
        <f t="shared" si="257"/>
        <v>0.98216216216216212</v>
      </c>
      <c r="M1166" s="133">
        <f t="shared" si="258"/>
        <v>274</v>
      </c>
      <c r="N1166" s="133">
        <f t="shared" si="259"/>
        <v>3908</v>
      </c>
      <c r="O1166" s="134">
        <f t="shared" si="260"/>
        <v>38.808341608738829</v>
      </c>
      <c r="P1166" s="134">
        <f t="shared" si="261"/>
        <v>1.0562162162162163</v>
      </c>
      <c r="R1166" s="149">
        <f t="shared" si="255"/>
        <v>15.962671176985488</v>
      </c>
      <c r="S1166" s="140">
        <f t="shared" si="262"/>
        <v>38.785666997682888</v>
      </c>
      <c r="T1166" s="151">
        <f t="shared" si="263"/>
        <v>1.123241563821531E-2</v>
      </c>
    </row>
    <row r="1167" spans="1:20" ht="14.45" x14ac:dyDescent="0.3">
      <c r="A1167" s="60" t="s">
        <v>1</v>
      </c>
      <c r="B1167" s="60" t="s">
        <v>27</v>
      </c>
      <c r="C1167" s="60" t="s">
        <v>28</v>
      </c>
      <c r="D1167" s="60" t="s">
        <v>91</v>
      </c>
      <c r="E1167" s="89">
        <f t="shared" si="264"/>
        <v>41244</v>
      </c>
      <c r="F1167" s="61"/>
      <c r="G1167" s="92">
        <v>3771</v>
      </c>
      <c r="H1167" s="138">
        <v>812</v>
      </c>
      <c r="I1167" s="138" t="s">
        <v>94</v>
      </c>
      <c r="J1167" s="141">
        <f t="shared" si="265"/>
        <v>0.53</v>
      </c>
      <c r="K1167" s="95">
        <f t="shared" si="256"/>
        <v>37.447864945382321</v>
      </c>
      <c r="L1167" s="95">
        <f t="shared" si="257"/>
        <v>1.0191891891891891</v>
      </c>
      <c r="M1167" s="133">
        <f t="shared" si="258"/>
        <v>430.36</v>
      </c>
      <c r="N1167" s="133">
        <f t="shared" si="259"/>
        <v>4201.3599999999997</v>
      </c>
      <c r="O1167" s="134">
        <f t="shared" si="260"/>
        <v>41.721549155908633</v>
      </c>
      <c r="P1167" s="134">
        <f t="shared" si="261"/>
        <v>1.1355027027027027</v>
      </c>
      <c r="R1167" s="149">
        <f t="shared" si="255"/>
        <v>4.7616197885497646</v>
      </c>
      <c r="S1167" s="140">
        <f t="shared" si="262"/>
        <v>41.667792121813967</v>
      </c>
      <c r="T1167" s="151">
        <f t="shared" si="263"/>
        <v>4.4152241787191793E-2</v>
      </c>
    </row>
    <row r="1168" spans="1:20" ht="14.45" x14ac:dyDescent="0.3">
      <c r="A1168" s="60" t="s">
        <v>1</v>
      </c>
      <c r="B1168" s="60" t="s">
        <v>4</v>
      </c>
      <c r="C1168" s="60" t="s">
        <v>26</v>
      </c>
      <c r="D1168" s="60" t="s">
        <v>91</v>
      </c>
      <c r="E1168" s="89">
        <f t="shared" si="264"/>
        <v>41244</v>
      </c>
      <c r="F1168" s="61"/>
      <c r="G1168" s="92">
        <v>4963</v>
      </c>
      <c r="H1168" s="138">
        <v>1520</v>
      </c>
      <c r="I1168" s="138" t="s">
        <v>93</v>
      </c>
      <c r="J1168" s="141">
        <f t="shared" si="265"/>
        <v>0.4</v>
      </c>
      <c r="K1168" s="95">
        <f t="shared" si="256"/>
        <v>49.285004965243296</v>
      </c>
      <c r="L1168" s="95">
        <f t="shared" si="257"/>
        <v>1.3413513513513513</v>
      </c>
      <c r="M1168" s="133">
        <f t="shared" si="258"/>
        <v>608</v>
      </c>
      <c r="N1168" s="133">
        <f t="shared" si="259"/>
        <v>5571</v>
      </c>
      <c r="O1168" s="134">
        <f t="shared" si="260"/>
        <v>55.322740814299898</v>
      </c>
      <c r="P1168" s="134">
        <f t="shared" si="261"/>
        <v>1.5056756756756757</v>
      </c>
      <c r="R1168" s="149">
        <f t="shared" si="255"/>
        <v>7.0604965792912422</v>
      </c>
      <c r="S1168" s="140">
        <f t="shared" si="262"/>
        <v>55.272426348891095</v>
      </c>
      <c r="T1168" s="151">
        <f t="shared" si="263"/>
        <v>2.5789409018307063E-2</v>
      </c>
    </row>
    <row r="1169" spans="1:20" ht="14.45" x14ac:dyDescent="0.3">
      <c r="A1169" s="60" t="s">
        <v>1</v>
      </c>
      <c r="B1169" s="60" t="s">
        <v>4</v>
      </c>
      <c r="C1169" s="60" t="s">
        <v>9</v>
      </c>
      <c r="D1169" s="60" t="s">
        <v>91</v>
      </c>
      <c r="E1169" s="89">
        <f t="shared" si="264"/>
        <v>41244</v>
      </c>
      <c r="F1169" s="61"/>
      <c r="G1169" s="92">
        <v>5984</v>
      </c>
      <c r="H1169" s="138">
        <v>1583</v>
      </c>
      <c r="I1169" s="138" t="s">
        <v>93</v>
      </c>
      <c r="J1169" s="141">
        <f t="shared" si="265"/>
        <v>0.4</v>
      </c>
      <c r="K1169" s="95">
        <f t="shared" si="256"/>
        <v>59.424031777557097</v>
      </c>
      <c r="L1169" s="95">
        <f t="shared" si="257"/>
        <v>1.6172972972972972</v>
      </c>
      <c r="M1169" s="133">
        <f t="shared" si="258"/>
        <v>633.20000000000005</v>
      </c>
      <c r="N1169" s="133">
        <f t="shared" si="259"/>
        <v>6617.2</v>
      </c>
      <c r="O1169" s="134">
        <f t="shared" si="260"/>
        <v>65.712015888778552</v>
      </c>
      <c r="P1169" s="134">
        <f t="shared" si="261"/>
        <v>1.7884324324324323</v>
      </c>
      <c r="R1169" s="149">
        <f t="shared" si="255"/>
        <v>5.5814302285321249</v>
      </c>
      <c r="S1169" s="140">
        <f t="shared" si="262"/>
        <v>65.659616021185045</v>
      </c>
      <c r="T1169" s="151">
        <f t="shared" si="263"/>
        <v>2.2198917804689744E-2</v>
      </c>
    </row>
    <row r="1170" spans="1:20" ht="14.45" x14ac:dyDescent="0.3">
      <c r="A1170" s="60" t="s">
        <v>1</v>
      </c>
      <c r="B1170" s="60" t="s">
        <v>10</v>
      </c>
      <c r="C1170" s="60" t="s">
        <v>26</v>
      </c>
      <c r="D1170" s="60" t="s">
        <v>91</v>
      </c>
      <c r="E1170" s="89">
        <f t="shared" si="264"/>
        <v>41244</v>
      </c>
      <c r="F1170" s="61"/>
      <c r="G1170" s="92">
        <v>4793</v>
      </c>
      <c r="H1170" s="138">
        <v>1599</v>
      </c>
      <c r="I1170" s="138" t="s">
        <v>92</v>
      </c>
      <c r="J1170" s="141">
        <f t="shared" si="265"/>
        <v>0.4</v>
      </c>
      <c r="K1170" s="95">
        <f t="shared" si="256"/>
        <v>47.596822244289967</v>
      </c>
      <c r="L1170" s="95">
        <f t="shared" si="257"/>
        <v>1.2954054054054054</v>
      </c>
      <c r="M1170" s="133">
        <f t="shared" si="258"/>
        <v>639.6</v>
      </c>
      <c r="N1170" s="133">
        <f t="shared" si="259"/>
        <v>5432.6</v>
      </c>
      <c r="O1170" s="134">
        <f t="shared" si="260"/>
        <v>53.948361469712019</v>
      </c>
      <c r="P1170" s="134">
        <f t="shared" si="261"/>
        <v>1.4682702702702704</v>
      </c>
      <c r="R1170" s="149">
        <f t="shared" si="255"/>
        <v>3.0724804863148103</v>
      </c>
      <c r="S1170" s="140">
        <f t="shared" si="262"/>
        <v>53.895431976166833</v>
      </c>
      <c r="T1170" s="151">
        <f t="shared" si="263"/>
        <v>-2.2758817203312187E-3</v>
      </c>
    </row>
    <row r="1171" spans="1:20" ht="14.45" x14ac:dyDescent="0.3">
      <c r="A1171" s="60" t="s">
        <v>134</v>
      </c>
      <c r="B1171" s="60" t="s">
        <v>23</v>
      </c>
      <c r="C1171" s="60" t="s">
        <v>26</v>
      </c>
      <c r="D1171" s="60" t="s">
        <v>91</v>
      </c>
      <c r="E1171" s="89">
        <f t="shared" si="264"/>
        <v>41244</v>
      </c>
      <c r="F1171" s="61"/>
      <c r="G1171" s="92">
        <v>4800</v>
      </c>
      <c r="H1171" s="138">
        <v>1851</v>
      </c>
      <c r="I1171" s="138" t="s">
        <v>93</v>
      </c>
      <c r="J1171" s="141">
        <f t="shared" si="265"/>
        <v>0.4</v>
      </c>
      <c r="K1171" s="95">
        <f t="shared" si="256"/>
        <v>47.666335650446868</v>
      </c>
      <c r="L1171" s="95">
        <f t="shared" si="257"/>
        <v>1.2108108108108109</v>
      </c>
      <c r="M1171" s="133">
        <f t="shared" si="258"/>
        <v>740.40000000000009</v>
      </c>
      <c r="N1171" s="133">
        <f t="shared" si="259"/>
        <v>5540.4</v>
      </c>
      <c r="O1171" s="134">
        <f t="shared" si="260"/>
        <v>55.018867924528294</v>
      </c>
      <c r="P1171" s="134">
        <f t="shared" si="261"/>
        <v>1.3975783783783784</v>
      </c>
      <c r="R1171" s="149">
        <f t="shared" si="255"/>
        <v>2.394641857164248</v>
      </c>
      <c r="S1171" s="140">
        <f t="shared" si="262"/>
        <v>54.957596822244284</v>
      </c>
      <c r="T1171" s="151">
        <f t="shared" si="263"/>
        <v>2.164112977662902E-2</v>
      </c>
    </row>
    <row r="1172" spans="1:20" ht="14.45" x14ac:dyDescent="0.3">
      <c r="A1172" s="60" t="s">
        <v>134</v>
      </c>
      <c r="B1172" s="60" t="s">
        <v>8</v>
      </c>
      <c r="C1172" s="60" t="s">
        <v>29</v>
      </c>
      <c r="D1172" s="60" t="s">
        <v>91</v>
      </c>
      <c r="E1172" s="89">
        <f t="shared" si="264"/>
        <v>41244</v>
      </c>
      <c r="F1172" s="61"/>
      <c r="G1172" s="92">
        <v>4760</v>
      </c>
      <c r="H1172" s="138">
        <v>1695</v>
      </c>
      <c r="I1172" s="138" t="s">
        <v>93</v>
      </c>
      <c r="J1172" s="141">
        <f t="shared" si="265"/>
        <v>0.4</v>
      </c>
      <c r="K1172" s="95">
        <f t="shared" si="256"/>
        <v>47.269116186693147</v>
      </c>
      <c r="L1172" s="95">
        <f t="shared" si="257"/>
        <v>1.2007207207207207</v>
      </c>
      <c r="M1172" s="133">
        <f t="shared" si="258"/>
        <v>678</v>
      </c>
      <c r="N1172" s="133">
        <f t="shared" si="259"/>
        <v>5438</v>
      </c>
      <c r="O1172" s="134">
        <f t="shared" si="260"/>
        <v>54.00198609731877</v>
      </c>
      <c r="P1172" s="134">
        <f t="shared" si="261"/>
        <v>1.3717477477477478</v>
      </c>
      <c r="R1172" s="149">
        <f t="shared" si="255"/>
        <v>2.2305356857510672</v>
      </c>
      <c r="S1172" s="140">
        <f t="shared" si="262"/>
        <v>53.945878848063558</v>
      </c>
      <c r="T1172" s="151">
        <f t="shared" si="263"/>
        <v>2.0159624413145671E-2</v>
      </c>
    </row>
    <row r="1173" spans="1:20" ht="14.45" x14ac:dyDescent="0.3">
      <c r="A1173" s="60" t="s">
        <v>134</v>
      </c>
      <c r="B1173" s="60" t="s">
        <v>13</v>
      </c>
      <c r="C1173" s="60" t="s">
        <v>7</v>
      </c>
      <c r="D1173" s="60" t="s">
        <v>91</v>
      </c>
      <c r="E1173" s="89">
        <f t="shared" si="264"/>
        <v>41244</v>
      </c>
      <c r="F1173" s="61"/>
      <c r="G1173" s="92">
        <v>2857</v>
      </c>
      <c r="H1173" s="138">
        <v>1006</v>
      </c>
      <c r="I1173" s="138" t="s">
        <v>92</v>
      </c>
      <c r="J1173" s="141">
        <f t="shared" si="265"/>
        <v>0.4</v>
      </c>
      <c r="K1173" s="95">
        <f t="shared" si="256"/>
        <v>28.371400198609731</v>
      </c>
      <c r="L1173" s="95">
        <f t="shared" si="257"/>
        <v>0.72068468468468472</v>
      </c>
      <c r="M1173" s="133">
        <f t="shared" si="258"/>
        <v>402.40000000000003</v>
      </c>
      <c r="N1173" s="133">
        <f t="shared" si="259"/>
        <v>3259.4</v>
      </c>
      <c r="O1173" s="134">
        <f t="shared" si="260"/>
        <v>32.367428003972194</v>
      </c>
      <c r="P1173" s="134">
        <f t="shared" si="261"/>
        <v>0.82219099099099102</v>
      </c>
      <c r="R1173" s="149">
        <f t="shared" ref="R1173:R1221" si="266">((N1173/N717)-1)*100</f>
        <v>1.2537899497987004</v>
      </c>
      <c r="S1173" s="140">
        <f t="shared" si="262"/>
        <v>32.334127772260835</v>
      </c>
      <c r="T1173" s="151">
        <f t="shared" si="263"/>
        <v>1.4629231456378955E-2</v>
      </c>
    </row>
    <row r="1174" spans="1:20" ht="14.65" x14ac:dyDescent="0.35">
      <c r="A1174" s="60" t="s">
        <v>134</v>
      </c>
      <c r="B1174" s="60" t="s">
        <v>30</v>
      </c>
      <c r="C1174" s="60" t="s">
        <v>9</v>
      </c>
      <c r="D1174" s="60" t="s">
        <v>91</v>
      </c>
      <c r="E1174" s="89">
        <f t="shared" si="264"/>
        <v>41244</v>
      </c>
      <c r="F1174" s="61"/>
      <c r="G1174" s="92">
        <v>3310</v>
      </c>
      <c r="H1174" s="138">
        <v>988</v>
      </c>
      <c r="I1174" s="138" t="s">
        <v>93</v>
      </c>
      <c r="J1174" s="141">
        <f t="shared" si="265"/>
        <v>0.4</v>
      </c>
      <c r="K1174" s="95">
        <f t="shared" si="256"/>
        <v>32.869910625620655</v>
      </c>
      <c r="L1174" s="95">
        <f t="shared" si="257"/>
        <v>0.83495495495495498</v>
      </c>
      <c r="M1174" s="133">
        <f t="shared" si="258"/>
        <v>395.20000000000005</v>
      </c>
      <c r="N1174" s="133">
        <f t="shared" si="259"/>
        <v>3705.2</v>
      </c>
      <c r="O1174" s="134">
        <f t="shared" si="260"/>
        <v>36.794438927507443</v>
      </c>
      <c r="P1174" s="134">
        <f t="shared" si="261"/>
        <v>0.93464504504504498</v>
      </c>
      <c r="R1174" s="149">
        <f t="shared" si="266"/>
        <v>1.9020692841662967</v>
      </c>
      <c r="S1174" s="140">
        <f t="shared" si="262"/>
        <v>36.761734524991724</v>
      </c>
      <c r="T1174" s="151">
        <f t="shared" si="263"/>
        <v>1.7193625206081808E-2</v>
      </c>
    </row>
    <row r="1175" spans="1:20" ht="14.65" x14ac:dyDescent="0.35">
      <c r="A1175" s="60" t="s">
        <v>134</v>
      </c>
      <c r="B1175" s="60" t="s">
        <v>16</v>
      </c>
      <c r="C1175" s="60" t="s">
        <v>11</v>
      </c>
      <c r="D1175" s="60" t="s">
        <v>91</v>
      </c>
      <c r="E1175" s="89">
        <f t="shared" si="264"/>
        <v>41244</v>
      </c>
      <c r="F1175" s="61"/>
      <c r="G1175" s="92">
        <v>3430</v>
      </c>
      <c r="H1175" s="138">
        <v>787</v>
      </c>
      <c r="I1175" s="138" t="s">
        <v>92</v>
      </c>
      <c r="J1175" s="141">
        <f t="shared" si="265"/>
        <v>0.4</v>
      </c>
      <c r="K1175" s="95">
        <f t="shared" si="256"/>
        <v>34.061569016881826</v>
      </c>
      <c r="L1175" s="95">
        <f t="shared" si="257"/>
        <v>0.86522522522522527</v>
      </c>
      <c r="M1175" s="133">
        <f t="shared" si="258"/>
        <v>314.8</v>
      </c>
      <c r="N1175" s="133">
        <f t="shared" si="259"/>
        <v>3744.8</v>
      </c>
      <c r="O1175" s="134">
        <f t="shared" si="260"/>
        <v>37.187686196623638</v>
      </c>
      <c r="P1175" s="134">
        <f t="shared" si="261"/>
        <v>0.94463423423423432</v>
      </c>
      <c r="R1175" s="149">
        <f t="shared" si="266"/>
        <v>1.2770514769119279</v>
      </c>
      <c r="S1175" s="140">
        <f t="shared" si="262"/>
        <v>37.161635220125788</v>
      </c>
      <c r="T1175" s="151">
        <f t="shared" si="263"/>
        <v>9.9115267151539399E-3</v>
      </c>
    </row>
    <row r="1176" spans="1:20" ht="14.65" x14ac:dyDescent="0.35">
      <c r="A1176" s="60" t="s">
        <v>134</v>
      </c>
      <c r="B1176" s="60" t="s">
        <v>23</v>
      </c>
      <c r="C1176" s="60" t="s">
        <v>29</v>
      </c>
      <c r="D1176" s="60" t="s">
        <v>91</v>
      </c>
      <c r="E1176" s="89">
        <f t="shared" si="264"/>
        <v>41244</v>
      </c>
      <c r="F1176" s="61"/>
      <c r="G1176" s="92">
        <v>4800</v>
      </c>
      <c r="H1176" s="138">
        <v>1836</v>
      </c>
      <c r="I1176" s="138" t="s">
        <v>93</v>
      </c>
      <c r="J1176" s="141">
        <f t="shared" si="265"/>
        <v>0.4</v>
      </c>
      <c r="K1176" s="95">
        <f t="shared" si="256"/>
        <v>47.666335650446868</v>
      </c>
      <c r="L1176" s="95">
        <f t="shared" si="257"/>
        <v>1.2108108108108109</v>
      </c>
      <c r="M1176" s="133">
        <f t="shared" si="258"/>
        <v>734.40000000000009</v>
      </c>
      <c r="N1176" s="133">
        <f t="shared" si="259"/>
        <v>5534.4</v>
      </c>
      <c r="O1176" s="134">
        <f t="shared" si="260"/>
        <v>54.959285004965238</v>
      </c>
      <c r="P1176" s="134">
        <f t="shared" si="261"/>
        <v>1.3960648648648648</v>
      </c>
      <c r="R1176" s="149">
        <f t="shared" si="266"/>
        <v>2.3774112632910738</v>
      </c>
      <c r="S1176" s="140">
        <f t="shared" si="262"/>
        <v>54.898510427010926</v>
      </c>
      <c r="T1176" s="151">
        <f t="shared" si="263"/>
        <v>2.1485587583148558E-2</v>
      </c>
    </row>
    <row r="1177" spans="1:20" ht="14.65" x14ac:dyDescent="0.35">
      <c r="A1177" s="60" t="s">
        <v>134</v>
      </c>
      <c r="B1177" s="60" t="s">
        <v>31</v>
      </c>
      <c r="C1177" s="60" t="s">
        <v>32</v>
      </c>
      <c r="D1177" s="60" t="s">
        <v>91</v>
      </c>
      <c r="E1177" s="89">
        <f t="shared" si="264"/>
        <v>41244</v>
      </c>
      <c r="F1177" s="61"/>
      <c r="G1177" s="92">
        <v>4200</v>
      </c>
      <c r="H1177" s="138">
        <v>1899</v>
      </c>
      <c r="I1177" s="138" t="s">
        <v>93</v>
      </c>
      <c r="J1177" s="141">
        <f t="shared" si="265"/>
        <v>0.4</v>
      </c>
      <c r="K1177" s="95">
        <f t="shared" si="256"/>
        <v>41.708043694141011</v>
      </c>
      <c r="L1177" s="95">
        <f t="shared" si="257"/>
        <v>1.0594594594594595</v>
      </c>
      <c r="M1177" s="133">
        <f t="shared" si="258"/>
        <v>759.6</v>
      </c>
      <c r="N1177" s="133">
        <f t="shared" si="259"/>
        <v>4959.6000000000004</v>
      </c>
      <c r="O1177" s="134">
        <f t="shared" si="260"/>
        <v>49.251241310824234</v>
      </c>
      <c r="P1177" s="134">
        <f t="shared" si="261"/>
        <v>1.2510702702702703</v>
      </c>
      <c r="R1177" s="149">
        <f t="shared" si="266"/>
        <v>2.7540726836514651</v>
      </c>
      <c r="S1177" s="140">
        <f t="shared" si="262"/>
        <v>49.18838133068521</v>
      </c>
      <c r="T1177" s="151">
        <f t="shared" si="263"/>
        <v>2.4885164494103273E-2</v>
      </c>
    </row>
    <row r="1178" spans="1:20" ht="14.65" x14ac:dyDescent="0.35">
      <c r="A1178" s="60" t="s">
        <v>22</v>
      </c>
      <c r="B1178" s="60" t="s">
        <v>8</v>
      </c>
      <c r="C1178" s="60" t="s">
        <v>29</v>
      </c>
      <c r="D1178" s="60" t="s">
        <v>91</v>
      </c>
      <c r="E1178" s="89">
        <f t="shared" si="264"/>
        <v>41244</v>
      </c>
      <c r="F1178" s="61"/>
      <c r="G1178" s="92">
        <v>5320</v>
      </c>
      <c r="H1178" s="138">
        <v>1695</v>
      </c>
      <c r="I1178" s="138" t="s">
        <v>93</v>
      </c>
      <c r="J1178" s="141">
        <f t="shared" si="265"/>
        <v>0.4</v>
      </c>
      <c r="K1178" s="95">
        <f t="shared" si="256"/>
        <v>52.830188679245282</v>
      </c>
      <c r="L1178" s="95">
        <f t="shared" si="257"/>
        <v>1.4378378378378378</v>
      </c>
      <c r="M1178" s="133">
        <f t="shared" si="258"/>
        <v>678</v>
      </c>
      <c r="N1178" s="133">
        <f t="shared" si="259"/>
        <v>5998</v>
      </c>
      <c r="O1178" s="134">
        <f t="shared" si="260"/>
        <v>59.563058589870899</v>
      </c>
      <c r="P1178" s="134">
        <f t="shared" si="261"/>
        <v>1.6210810810810812</v>
      </c>
      <c r="R1178" s="149">
        <f t="shared" si="266"/>
        <v>7.1195763794011713</v>
      </c>
      <c r="S1178" s="140">
        <f t="shared" si="262"/>
        <v>59.639357828533598</v>
      </c>
      <c r="T1178" s="151">
        <f t="shared" si="263"/>
        <v>7.1486767766874904E-2</v>
      </c>
    </row>
    <row r="1179" spans="1:20" ht="14.65" x14ac:dyDescent="0.35">
      <c r="A1179" s="60" t="s">
        <v>22</v>
      </c>
      <c r="B1179" s="60" t="s">
        <v>23</v>
      </c>
      <c r="C1179" s="60" t="s">
        <v>26</v>
      </c>
      <c r="D1179" s="60" t="s">
        <v>91</v>
      </c>
      <c r="E1179" s="89">
        <f t="shared" si="264"/>
        <v>41244</v>
      </c>
      <c r="F1179" s="61"/>
      <c r="G1179" s="92">
        <v>5330</v>
      </c>
      <c r="H1179" s="138">
        <v>1851</v>
      </c>
      <c r="I1179" s="138" t="s">
        <v>93</v>
      </c>
      <c r="J1179" s="141">
        <f t="shared" si="265"/>
        <v>0.4</v>
      </c>
      <c r="K1179" s="95">
        <f t="shared" si="256"/>
        <v>52.929493545183711</v>
      </c>
      <c r="L1179" s="95">
        <f t="shared" si="257"/>
        <v>1.4405405405405405</v>
      </c>
      <c r="M1179" s="133">
        <f t="shared" si="258"/>
        <v>740.40000000000009</v>
      </c>
      <c r="N1179" s="133">
        <f t="shared" si="259"/>
        <v>6070.4</v>
      </c>
      <c r="O1179" s="134">
        <f t="shared" si="260"/>
        <v>60.282025819265137</v>
      </c>
      <c r="P1179" s="134">
        <f t="shared" si="261"/>
        <v>1.6406486486486485</v>
      </c>
      <c r="R1179" s="149">
        <f t="shared" si="266"/>
        <v>7.6153686602858039</v>
      </c>
      <c r="S1179" s="140">
        <f t="shared" si="262"/>
        <v>60.220754716981126</v>
      </c>
      <c r="T1179" s="151">
        <f t="shared" si="263"/>
        <v>7.3885248804675063E-2</v>
      </c>
    </row>
    <row r="1180" spans="1:20" ht="14.65" x14ac:dyDescent="0.35">
      <c r="A1180" s="60" t="s">
        <v>22</v>
      </c>
      <c r="B1180" s="60" t="s">
        <v>33</v>
      </c>
      <c r="C1180" s="60" t="s">
        <v>29</v>
      </c>
      <c r="D1180" s="60" t="s">
        <v>91</v>
      </c>
      <c r="E1180" s="89">
        <f t="shared" si="264"/>
        <v>41244</v>
      </c>
      <c r="F1180" s="61"/>
      <c r="G1180" s="92">
        <v>5230</v>
      </c>
      <c r="H1180" s="138">
        <v>1507</v>
      </c>
      <c r="I1180" s="138" t="s">
        <v>93</v>
      </c>
      <c r="J1180" s="141">
        <f t="shared" si="265"/>
        <v>0.4</v>
      </c>
      <c r="K1180" s="95">
        <f t="shared" si="256"/>
        <v>51.936444885799403</v>
      </c>
      <c r="L1180" s="95">
        <f t="shared" si="257"/>
        <v>1.4135135135135135</v>
      </c>
      <c r="M1180" s="133">
        <f t="shared" si="258"/>
        <v>602.80000000000007</v>
      </c>
      <c r="N1180" s="133">
        <f t="shared" si="259"/>
        <v>5832.8</v>
      </c>
      <c r="O1180" s="134">
        <f t="shared" si="260"/>
        <v>57.922542204568025</v>
      </c>
      <c r="P1180" s="134">
        <f t="shared" si="261"/>
        <v>1.5764324324324326</v>
      </c>
      <c r="R1180" s="149">
        <f t="shared" si="266"/>
        <v>7.4712887231427771</v>
      </c>
      <c r="S1180" s="140">
        <f t="shared" si="262"/>
        <v>57.872658060244952</v>
      </c>
      <c r="T1180" s="151">
        <f t="shared" si="263"/>
        <v>7.2794379333619874E-2</v>
      </c>
    </row>
    <row r="1181" spans="1:20" ht="14.65" x14ac:dyDescent="0.35">
      <c r="A1181" s="60" t="s">
        <v>22</v>
      </c>
      <c r="B1181" s="60" t="s">
        <v>31</v>
      </c>
      <c r="C1181" s="60" t="s">
        <v>7</v>
      </c>
      <c r="D1181" s="60" t="s">
        <v>91</v>
      </c>
      <c r="E1181" s="89">
        <f t="shared" si="264"/>
        <v>41244</v>
      </c>
      <c r="F1181" s="61"/>
      <c r="G1181" s="92">
        <v>3870</v>
      </c>
      <c r="H1181" s="138">
        <v>1160</v>
      </c>
      <c r="I1181" s="138" t="s">
        <v>92</v>
      </c>
      <c r="J1181" s="141">
        <f t="shared" si="265"/>
        <v>0.4</v>
      </c>
      <c r="K1181" s="95">
        <f t="shared" si="256"/>
        <v>38.43098311817279</v>
      </c>
      <c r="L1181" s="95">
        <f t="shared" si="257"/>
        <v>1.0459459459459459</v>
      </c>
      <c r="M1181" s="133">
        <f t="shared" si="258"/>
        <v>464</v>
      </c>
      <c r="N1181" s="133">
        <f t="shared" si="259"/>
        <v>4334</v>
      </c>
      <c r="O1181" s="134">
        <f t="shared" si="260"/>
        <v>43.038728897715984</v>
      </c>
      <c r="P1181" s="134">
        <f t="shared" si="261"/>
        <v>1.1713513513513514</v>
      </c>
      <c r="R1181" s="149">
        <f t="shared" si="266"/>
        <v>5.5939966864828161</v>
      </c>
      <c r="S1181" s="140">
        <f t="shared" si="262"/>
        <v>43.000331016219796</v>
      </c>
      <c r="T1181" s="151">
        <f t="shared" si="263"/>
        <v>7.7326256427268092E-2</v>
      </c>
    </row>
    <row r="1182" spans="1:20" ht="14.65" x14ac:dyDescent="0.35">
      <c r="A1182" s="60" t="s">
        <v>22</v>
      </c>
      <c r="B1182" s="60" t="s">
        <v>14</v>
      </c>
      <c r="C1182" s="60" t="s">
        <v>24</v>
      </c>
      <c r="D1182" s="60" t="s">
        <v>91</v>
      </c>
      <c r="E1182" s="89">
        <f t="shared" si="264"/>
        <v>41244</v>
      </c>
      <c r="F1182" s="61"/>
      <c r="G1182" s="92">
        <v>2750</v>
      </c>
      <c r="H1182" s="138">
        <v>615</v>
      </c>
      <c r="I1182" s="138" t="s">
        <v>94</v>
      </c>
      <c r="J1182" s="141">
        <f t="shared" si="265"/>
        <v>0.53</v>
      </c>
      <c r="K1182" s="95">
        <f t="shared" si="256"/>
        <v>27.308838133068519</v>
      </c>
      <c r="L1182" s="95">
        <f t="shared" si="257"/>
        <v>0.7432432432432432</v>
      </c>
      <c r="M1182" s="133">
        <f t="shared" si="258"/>
        <v>325.95</v>
      </c>
      <c r="N1182" s="133">
        <f t="shared" si="259"/>
        <v>3075.95</v>
      </c>
      <c r="O1182" s="134">
        <f t="shared" si="260"/>
        <v>30.545680238331677</v>
      </c>
      <c r="P1182" s="134">
        <f t="shared" si="261"/>
        <v>0.83133783783783777</v>
      </c>
      <c r="R1182" s="149">
        <f t="shared" si="266"/>
        <v>4.3136922424756197</v>
      </c>
      <c r="S1182" s="140">
        <f t="shared" si="262"/>
        <v>30.504965243296919</v>
      </c>
      <c r="T1182" s="151">
        <f>(S1182/S1068)-1</f>
        <v>3.9578327523773993E-2</v>
      </c>
    </row>
    <row r="1183" spans="1:20" ht="14.65" x14ac:dyDescent="0.35">
      <c r="A1183" s="85" t="s">
        <v>22</v>
      </c>
      <c r="B1183" s="85" t="s">
        <v>34</v>
      </c>
      <c r="C1183" s="85" t="s">
        <v>26</v>
      </c>
      <c r="D1183" s="85" t="s">
        <v>91</v>
      </c>
      <c r="E1183" s="91">
        <f t="shared" si="264"/>
        <v>41244</v>
      </c>
      <c r="F1183" s="86"/>
      <c r="G1183" s="105">
        <v>5195</v>
      </c>
      <c r="H1183" s="143">
        <v>1637</v>
      </c>
      <c r="I1183" s="143" t="s">
        <v>92</v>
      </c>
      <c r="J1183" s="117">
        <f t="shared" si="265"/>
        <v>0.4</v>
      </c>
      <c r="K1183" s="108">
        <f t="shared" si="256"/>
        <v>51.588877855014893</v>
      </c>
      <c r="L1183" s="108">
        <f t="shared" si="257"/>
        <v>1.404054054054054</v>
      </c>
      <c r="M1183" s="115">
        <f t="shared" si="258"/>
        <v>654.80000000000007</v>
      </c>
      <c r="N1183" s="115">
        <f t="shared" si="259"/>
        <v>5849.8</v>
      </c>
      <c r="O1183" s="116">
        <f t="shared" si="260"/>
        <v>58.091360476663354</v>
      </c>
      <c r="P1183" s="116">
        <f t="shared" si="261"/>
        <v>1.581027027027027</v>
      </c>
      <c r="Q1183" s="106"/>
      <c r="R1183" s="152">
        <f t="shared" si="266"/>
        <v>15.231120163574685</v>
      </c>
      <c r="S1183" s="108">
        <f>AVERAGE(O1107,O1145,O1183)</f>
        <v>57.25928500496525</v>
      </c>
      <c r="T1183" s="153">
        <f>(S1183/S1069)-1</f>
        <v>6.2934093653315148E-2</v>
      </c>
    </row>
    <row r="1184" spans="1:20" ht="14.65" x14ac:dyDescent="0.35">
      <c r="A1184" s="82" t="s">
        <v>1</v>
      </c>
      <c r="B1184" s="82" t="s">
        <v>2</v>
      </c>
      <c r="C1184" s="82" t="s">
        <v>3</v>
      </c>
      <c r="D1184" s="82" t="s">
        <v>90</v>
      </c>
      <c r="E1184" s="87">
        <v>41275</v>
      </c>
      <c r="F1184" s="83"/>
      <c r="G1184" s="92">
        <v>3144</v>
      </c>
      <c r="H1184" s="52">
        <v>506</v>
      </c>
      <c r="I1184" s="52" t="s">
        <v>92</v>
      </c>
      <c r="J1184" s="157">
        <f>IF(I1184="BNSF",0.38,IF(I1184="CN",0.3278,IF(I1184="CSX",0.51,0.39)))</f>
        <v>0.39</v>
      </c>
      <c r="K1184" s="101">
        <f t="shared" si="256"/>
        <v>31.221449851042699</v>
      </c>
      <c r="L1184" s="101">
        <f t="shared" si="257"/>
        <v>0.84972972972972971</v>
      </c>
      <c r="M1184" s="133">
        <f t="shared" si="258"/>
        <v>197.34</v>
      </c>
      <c r="N1184" s="133">
        <f t="shared" si="259"/>
        <v>3341.34</v>
      </c>
      <c r="O1184" s="134">
        <f t="shared" si="260"/>
        <v>33.181132075471702</v>
      </c>
      <c r="P1184" s="134">
        <f t="shared" si="261"/>
        <v>0.90306486486486492</v>
      </c>
      <c r="Q1184" s="160"/>
      <c r="R1184" s="149">
        <f t="shared" si="266"/>
        <v>4.9323551948949218</v>
      </c>
    </row>
    <row r="1185" spans="1:18" ht="14.65" x14ac:dyDescent="0.35">
      <c r="A1185" s="82" t="s">
        <v>1</v>
      </c>
      <c r="B1185" s="82" t="s">
        <v>4</v>
      </c>
      <c r="C1185" s="82" t="s">
        <v>5</v>
      </c>
      <c r="D1185" s="82" t="s">
        <v>90</v>
      </c>
      <c r="E1185" s="87">
        <f>E1184</f>
        <v>41275</v>
      </c>
      <c r="F1185" s="83"/>
      <c r="G1185" s="92">
        <v>3543</v>
      </c>
      <c r="H1185" s="52">
        <v>298</v>
      </c>
      <c r="I1185" s="52" t="s">
        <v>93</v>
      </c>
      <c r="J1185" s="157">
        <f t="shared" ref="J1185:J1221" si="267">IF(I1185="BNSF",0.38,IF(I1185="CN",0.3278,IF(I1185="CSX",0.51,0.39)))</f>
        <v>0.38</v>
      </c>
      <c r="K1185" s="101">
        <f t="shared" si="256"/>
        <v>35.183714001986097</v>
      </c>
      <c r="L1185" s="101">
        <f t="shared" si="257"/>
        <v>0.95756756756756756</v>
      </c>
      <c r="M1185" s="133">
        <f t="shared" si="258"/>
        <v>113.24</v>
      </c>
      <c r="N1185" s="133">
        <f t="shared" si="259"/>
        <v>3656.24</v>
      </c>
      <c r="O1185" s="134">
        <f t="shared" si="260"/>
        <v>36.308242303872888</v>
      </c>
      <c r="P1185" s="134">
        <f t="shared" si="261"/>
        <v>0.98817297297297291</v>
      </c>
      <c r="Q1185" s="160"/>
      <c r="R1185" s="149">
        <f t="shared" si="266"/>
        <v>13.998865074861389</v>
      </c>
    </row>
    <row r="1186" spans="1:18" ht="14.65" x14ac:dyDescent="0.35">
      <c r="A1186" s="82" t="s">
        <v>1</v>
      </c>
      <c r="B1186" s="82" t="s">
        <v>2</v>
      </c>
      <c r="C1186" s="82" t="s">
        <v>6</v>
      </c>
      <c r="D1186" s="82" t="s">
        <v>90</v>
      </c>
      <c r="E1186" s="87">
        <f t="shared" ref="E1186:E1221" si="268">E1185</f>
        <v>41275</v>
      </c>
      <c r="F1186" s="83"/>
      <c r="G1186" s="92">
        <v>6026</v>
      </c>
      <c r="H1186" s="52">
        <v>1530</v>
      </c>
      <c r="I1186" s="52" t="s">
        <v>93</v>
      </c>
      <c r="J1186" s="157">
        <f t="shared" si="267"/>
        <v>0.38</v>
      </c>
      <c r="K1186" s="101">
        <f t="shared" si="256"/>
        <v>59.841112214498509</v>
      </c>
      <c r="L1186" s="101">
        <f t="shared" si="257"/>
        <v>1.6286486486486487</v>
      </c>
      <c r="M1186" s="133">
        <f t="shared" si="258"/>
        <v>581.4</v>
      </c>
      <c r="N1186" s="133">
        <f t="shared" si="259"/>
        <v>6607.4</v>
      </c>
      <c r="O1186" s="134">
        <f t="shared" si="260"/>
        <v>65.61469712015888</v>
      </c>
      <c r="P1186" s="134">
        <f t="shared" si="261"/>
        <v>1.7857837837837838</v>
      </c>
      <c r="R1186" s="149">
        <f t="shared" si="266"/>
        <v>5.2787559152976948</v>
      </c>
    </row>
    <row r="1187" spans="1:18" ht="14.65" x14ac:dyDescent="0.35">
      <c r="A1187" s="82" t="s">
        <v>1</v>
      </c>
      <c r="B1187" s="82" t="s">
        <v>2</v>
      </c>
      <c r="C1187" s="82" t="s">
        <v>7</v>
      </c>
      <c r="D1187" s="82" t="s">
        <v>90</v>
      </c>
      <c r="E1187" s="87">
        <f t="shared" si="268"/>
        <v>41275</v>
      </c>
      <c r="F1187" s="83"/>
      <c r="G1187" s="92">
        <v>3645</v>
      </c>
      <c r="H1187" s="52">
        <v>890</v>
      </c>
      <c r="I1187" s="52" t="s">
        <v>92</v>
      </c>
      <c r="J1187" s="157">
        <f t="shared" si="267"/>
        <v>0.39</v>
      </c>
      <c r="K1187" s="101">
        <f t="shared" si="256"/>
        <v>36.196623634558094</v>
      </c>
      <c r="L1187" s="101">
        <f t="shared" si="257"/>
        <v>0.98513513513513518</v>
      </c>
      <c r="M1187" s="133">
        <f t="shared" si="258"/>
        <v>347.1</v>
      </c>
      <c r="N1187" s="133">
        <f t="shared" si="259"/>
        <v>3992.1</v>
      </c>
      <c r="O1187" s="134">
        <f t="shared" si="260"/>
        <v>39.643495531281033</v>
      </c>
      <c r="P1187" s="134">
        <f t="shared" si="261"/>
        <v>1.0789459459459458</v>
      </c>
      <c r="R1187" s="149">
        <f t="shared" si="266"/>
        <v>4.2269333194089098</v>
      </c>
    </row>
    <row r="1188" spans="1:18" ht="14.65" x14ac:dyDescent="0.35">
      <c r="A1188" s="82" t="s">
        <v>1</v>
      </c>
      <c r="B1188" s="82" t="s">
        <v>8</v>
      </c>
      <c r="C1188" s="82" t="s">
        <v>9</v>
      </c>
      <c r="D1188" s="82" t="s">
        <v>90</v>
      </c>
      <c r="E1188" s="87">
        <f t="shared" si="268"/>
        <v>41275</v>
      </c>
      <c r="F1188" s="83"/>
      <c r="G1188" s="92">
        <v>5573</v>
      </c>
      <c r="H1188" s="52">
        <v>1256</v>
      </c>
      <c r="I1188" s="52" t="s">
        <v>93</v>
      </c>
      <c r="J1188" s="157">
        <f t="shared" si="267"/>
        <v>0.38</v>
      </c>
      <c r="K1188" s="101">
        <f t="shared" si="256"/>
        <v>55.342601787487588</v>
      </c>
      <c r="L1188" s="101">
        <f t="shared" si="257"/>
        <v>1.5062162162162163</v>
      </c>
      <c r="M1188" s="133">
        <f t="shared" si="258"/>
        <v>477.28000000000003</v>
      </c>
      <c r="N1188" s="133">
        <f t="shared" si="259"/>
        <v>6050.28</v>
      </c>
      <c r="O1188" s="134">
        <f t="shared" si="260"/>
        <v>60.082224428997016</v>
      </c>
      <c r="P1188" s="134">
        <f t="shared" si="261"/>
        <v>1.6352108108108108</v>
      </c>
      <c r="R1188" s="149">
        <f t="shared" si="266"/>
        <v>2.9883977449137955</v>
      </c>
    </row>
    <row r="1189" spans="1:18" ht="14.65" x14ac:dyDescent="0.35">
      <c r="A1189" s="82" t="s">
        <v>1</v>
      </c>
      <c r="B1189" s="82" t="s">
        <v>10</v>
      </c>
      <c r="C1189" s="82" t="s">
        <v>9</v>
      </c>
      <c r="D1189" s="82" t="s">
        <v>90</v>
      </c>
      <c r="E1189" s="87">
        <f t="shared" si="268"/>
        <v>41275</v>
      </c>
      <c r="F1189" s="83"/>
      <c r="G1189" s="92">
        <v>3912</v>
      </c>
      <c r="H1189" s="52">
        <v>975</v>
      </c>
      <c r="I1189" s="52" t="s">
        <v>92</v>
      </c>
      <c r="J1189" s="157">
        <f t="shared" si="267"/>
        <v>0.39</v>
      </c>
      <c r="K1189" s="101">
        <f t="shared" si="256"/>
        <v>38.848063555114202</v>
      </c>
      <c r="L1189" s="101">
        <f t="shared" si="257"/>
        <v>1.0572972972972974</v>
      </c>
      <c r="M1189" s="133">
        <f t="shared" si="258"/>
        <v>380.25</v>
      </c>
      <c r="N1189" s="133">
        <f t="shared" si="259"/>
        <v>4292.25</v>
      </c>
      <c r="O1189" s="134">
        <f t="shared" si="260"/>
        <v>42.624131082423041</v>
      </c>
      <c r="P1189" s="134">
        <f t="shared" si="261"/>
        <v>1.1600675675675676</v>
      </c>
      <c r="R1189" s="149">
        <f t="shared" si="266"/>
        <v>3.9159908001452637</v>
      </c>
    </row>
    <row r="1190" spans="1:18" ht="14.65" x14ac:dyDescent="0.35">
      <c r="A1190" s="82" t="s">
        <v>1</v>
      </c>
      <c r="B1190" s="82" t="s">
        <v>11</v>
      </c>
      <c r="C1190" s="82" t="s">
        <v>6</v>
      </c>
      <c r="D1190" s="82" t="s">
        <v>90</v>
      </c>
      <c r="E1190" s="87">
        <f t="shared" si="268"/>
        <v>41275</v>
      </c>
      <c r="F1190" s="83"/>
      <c r="G1190" s="92">
        <v>4112</v>
      </c>
      <c r="H1190" s="52">
        <v>1357</v>
      </c>
      <c r="I1190" s="52" t="s">
        <v>92</v>
      </c>
      <c r="J1190" s="157">
        <f t="shared" si="267"/>
        <v>0.39</v>
      </c>
      <c r="K1190" s="101">
        <f t="shared" si="256"/>
        <v>40.834160873882816</v>
      </c>
      <c r="L1190" s="101">
        <f t="shared" si="257"/>
        <v>1.1113513513513513</v>
      </c>
      <c r="M1190" s="133">
        <f t="shared" si="258"/>
        <v>529.23</v>
      </c>
      <c r="N1190" s="133">
        <f t="shared" si="259"/>
        <v>4641.2299999999996</v>
      </c>
      <c r="O1190" s="134">
        <f t="shared" si="260"/>
        <v>46.0896722939424</v>
      </c>
      <c r="P1190" s="134">
        <f t="shared" si="261"/>
        <v>1.2543864864864864</v>
      </c>
      <c r="R1190" s="149">
        <f t="shared" si="266"/>
        <v>3.7225174650140858</v>
      </c>
    </row>
    <row r="1191" spans="1:18" ht="14.65" x14ac:dyDescent="0.35">
      <c r="A1191" s="82" t="s">
        <v>134</v>
      </c>
      <c r="B1191" s="82" t="s">
        <v>13</v>
      </c>
      <c r="C1191" s="82" t="s">
        <v>7</v>
      </c>
      <c r="D1191" s="82" t="s">
        <v>90</v>
      </c>
      <c r="E1191" s="87">
        <f t="shared" si="268"/>
        <v>41275</v>
      </c>
      <c r="F1191" s="83"/>
      <c r="G1191" s="92">
        <v>3110</v>
      </c>
      <c r="H1191" s="52">
        <v>1006</v>
      </c>
      <c r="I1191" s="52" t="s">
        <v>92</v>
      </c>
      <c r="J1191" s="157">
        <f t="shared" si="267"/>
        <v>0.39</v>
      </c>
      <c r="K1191" s="101">
        <f t="shared" si="256"/>
        <v>30.883813306852034</v>
      </c>
      <c r="L1191" s="101">
        <f t="shared" si="257"/>
        <v>0.78450450450450449</v>
      </c>
      <c r="M1191" s="133">
        <f t="shared" si="258"/>
        <v>392.34000000000003</v>
      </c>
      <c r="N1191" s="133">
        <f t="shared" si="259"/>
        <v>3502.34</v>
      </c>
      <c r="O1191" s="134">
        <f t="shared" si="260"/>
        <v>34.779940417080439</v>
      </c>
      <c r="P1191" s="134">
        <f t="shared" si="261"/>
        <v>0.88347315315315322</v>
      </c>
      <c r="R1191" s="149">
        <f t="shared" si="266"/>
        <v>1.6856933814904718</v>
      </c>
    </row>
    <row r="1192" spans="1:18" ht="14.65" x14ac:dyDescent="0.35">
      <c r="A1192" s="82" t="s">
        <v>134</v>
      </c>
      <c r="B1192" s="82" t="s">
        <v>14</v>
      </c>
      <c r="C1192" s="82" t="s">
        <v>15</v>
      </c>
      <c r="D1192" s="82" t="s">
        <v>90</v>
      </c>
      <c r="E1192" s="87">
        <f t="shared" si="268"/>
        <v>41275</v>
      </c>
      <c r="F1192" s="83"/>
      <c r="G1192" s="92">
        <v>4508</v>
      </c>
      <c r="H1192" s="52">
        <v>866</v>
      </c>
      <c r="I1192" s="52" t="s">
        <v>94</v>
      </c>
      <c r="J1192" s="157">
        <f t="shared" si="267"/>
        <v>0.51</v>
      </c>
      <c r="K1192" s="101">
        <f t="shared" si="256"/>
        <v>44.766633565044685</v>
      </c>
      <c r="L1192" s="101">
        <f t="shared" si="257"/>
        <v>1.1371531531531531</v>
      </c>
      <c r="M1192" s="133">
        <f t="shared" si="258"/>
        <v>441.66</v>
      </c>
      <c r="N1192" s="133">
        <f t="shared" si="259"/>
        <v>4949.66</v>
      </c>
      <c r="O1192" s="134">
        <f t="shared" si="260"/>
        <v>49.15253227408143</v>
      </c>
      <c r="P1192" s="134">
        <f t="shared" si="261"/>
        <v>1.248562882882883</v>
      </c>
      <c r="R1192" s="149">
        <f t="shared" si="266"/>
        <v>13.135085714285722</v>
      </c>
    </row>
    <row r="1193" spans="1:18" ht="14.65" x14ac:dyDescent="0.35">
      <c r="A1193" s="82" t="s">
        <v>134</v>
      </c>
      <c r="B1193" s="82" t="s">
        <v>16</v>
      </c>
      <c r="C1193" s="82" t="s">
        <v>17</v>
      </c>
      <c r="D1193" s="82" t="s">
        <v>90</v>
      </c>
      <c r="E1193" s="87">
        <f t="shared" si="268"/>
        <v>41275</v>
      </c>
      <c r="F1193" s="83"/>
      <c r="G1193" s="92">
        <v>2006</v>
      </c>
      <c r="H1193" s="52">
        <v>213</v>
      </c>
      <c r="I1193" s="52" t="s">
        <v>92</v>
      </c>
      <c r="J1193" s="157">
        <f t="shared" si="267"/>
        <v>0.39</v>
      </c>
      <c r="K1193" s="101">
        <f t="shared" si="256"/>
        <v>19.920556107249254</v>
      </c>
      <c r="L1193" s="101">
        <f t="shared" si="257"/>
        <v>0.50601801801801805</v>
      </c>
      <c r="M1193" s="133">
        <f t="shared" si="258"/>
        <v>83.070000000000007</v>
      </c>
      <c r="N1193" s="133">
        <f t="shared" si="259"/>
        <v>2089.0700000000002</v>
      </c>
      <c r="O1193" s="134">
        <f t="shared" si="260"/>
        <v>20.745481628599801</v>
      </c>
      <c r="P1193" s="134">
        <f t="shared" si="261"/>
        <v>0.52697261261261263</v>
      </c>
      <c r="R1193" s="149">
        <f t="shared" si="266"/>
        <v>3.6790177375008781</v>
      </c>
    </row>
    <row r="1194" spans="1:18" ht="14.65" x14ac:dyDescent="0.35">
      <c r="A1194" s="82" t="s">
        <v>134</v>
      </c>
      <c r="B1194" s="82" t="s">
        <v>18</v>
      </c>
      <c r="C1194" s="82" t="s">
        <v>19</v>
      </c>
      <c r="D1194" s="82" t="s">
        <v>90</v>
      </c>
      <c r="E1194" s="87">
        <f t="shared" si="268"/>
        <v>41275</v>
      </c>
      <c r="F1194" s="83"/>
      <c r="G1194" s="92">
        <v>3920</v>
      </c>
      <c r="H1194" s="52">
        <v>650</v>
      </c>
      <c r="I1194" s="52" t="s">
        <v>94</v>
      </c>
      <c r="J1194" s="157">
        <f t="shared" si="267"/>
        <v>0.51</v>
      </c>
      <c r="K1194" s="101">
        <f t="shared" si="256"/>
        <v>38.927507447864947</v>
      </c>
      <c r="L1194" s="101">
        <f t="shared" si="257"/>
        <v>0.98882882882882883</v>
      </c>
      <c r="M1194" s="133">
        <f t="shared" si="258"/>
        <v>331.5</v>
      </c>
      <c r="N1194" s="133">
        <f t="shared" si="259"/>
        <v>4251.5</v>
      </c>
      <c r="O1194" s="134">
        <f t="shared" si="260"/>
        <v>42.219463753723929</v>
      </c>
      <c r="P1194" s="134">
        <f t="shared" si="261"/>
        <v>1.0724504504504504</v>
      </c>
      <c r="R1194" s="149">
        <f t="shared" si="266"/>
        <v>14.719373988127371</v>
      </c>
    </row>
    <row r="1195" spans="1:18" ht="14.65" x14ac:dyDescent="0.35">
      <c r="A1195" s="82" t="s">
        <v>134</v>
      </c>
      <c r="B1195" s="82" t="s">
        <v>18</v>
      </c>
      <c r="C1195" s="82" t="s">
        <v>20</v>
      </c>
      <c r="D1195" s="82" t="s">
        <v>90</v>
      </c>
      <c r="E1195" s="87">
        <f t="shared" si="268"/>
        <v>41275</v>
      </c>
      <c r="F1195" s="83"/>
      <c r="G1195" s="92">
        <v>3354</v>
      </c>
      <c r="H1195" s="52">
        <v>417</v>
      </c>
      <c r="I1195" s="52" t="s">
        <v>94</v>
      </c>
      <c r="J1195" s="157">
        <f t="shared" si="267"/>
        <v>0.51</v>
      </c>
      <c r="K1195" s="101">
        <f t="shared" si="256"/>
        <v>33.306852035749749</v>
      </c>
      <c r="L1195" s="101">
        <f t="shared" si="257"/>
        <v>0.84605405405405409</v>
      </c>
      <c r="M1195" s="133">
        <f t="shared" si="258"/>
        <v>212.67000000000002</v>
      </c>
      <c r="N1195" s="133">
        <f t="shared" si="259"/>
        <v>3566.67</v>
      </c>
      <c r="O1195" s="134">
        <f t="shared" si="260"/>
        <v>35.418768619662366</v>
      </c>
      <c r="P1195" s="134">
        <f t="shared" si="261"/>
        <v>0.89970054054054061</v>
      </c>
      <c r="R1195" s="149">
        <f t="shared" si="266"/>
        <v>17.266809140226869</v>
      </c>
    </row>
    <row r="1196" spans="1:18" ht="14.65" x14ac:dyDescent="0.35">
      <c r="A1196" s="82" t="s">
        <v>134</v>
      </c>
      <c r="B1196" s="82" t="s">
        <v>16</v>
      </c>
      <c r="C1196" s="82" t="s">
        <v>21</v>
      </c>
      <c r="D1196" s="82" t="s">
        <v>90</v>
      </c>
      <c r="E1196" s="87">
        <f t="shared" si="268"/>
        <v>41275</v>
      </c>
      <c r="F1196" s="83"/>
      <c r="G1196" s="92">
        <v>3154</v>
      </c>
      <c r="H1196" s="52">
        <v>626</v>
      </c>
      <c r="I1196" s="52" t="s">
        <v>92</v>
      </c>
      <c r="J1196" s="157">
        <f t="shared" si="267"/>
        <v>0.39</v>
      </c>
      <c r="K1196" s="101">
        <f t="shared" si="256"/>
        <v>31.320754716981131</v>
      </c>
      <c r="L1196" s="101">
        <f t="shared" si="257"/>
        <v>0.7956036036036036</v>
      </c>
      <c r="M1196" s="133">
        <f t="shared" si="258"/>
        <v>244.14000000000001</v>
      </c>
      <c r="N1196" s="133">
        <f t="shared" si="259"/>
        <v>3398.14</v>
      </c>
      <c r="O1196" s="134">
        <f t="shared" si="260"/>
        <v>33.745183714001982</v>
      </c>
      <c r="P1196" s="134">
        <f t="shared" si="261"/>
        <v>0.85718846846846841</v>
      </c>
      <c r="R1196" s="149">
        <f t="shared" si="266"/>
        <v>2.6045629672572623</v>
      </c>
    </row>
    <row r="1197" spans="1:18" ht="14.65" x14ac:dyDescent="0.35">
      <c r="A1197" s="82" t="s">
        <v>134</v>
      </c>
      <c r="B1197" s="82" t="s">
        <v>16</v>
      </c>
      <c r="C1197" s="82" t="s">
        <v>6</v>
      </c>
      <c r="D1197" s="82" t="s">
        <v>90</v>
      </c>
      <c r="E1197" s="87">
        <f t="shared" si="268"/>
        <v>41275</v>
      </c>
      <c r="F1197" s="83"/>
      <c r="G1197" s="92">
        <v>5065</v>
      </c>
      <c r="H1197" s="52">
        <v>1823</v>
      </c>
      <c r="I1197" s="52" t="s">
        <v>92</v>
      </c>
      <c r="J1197" s="157">
        <f t="shared" si="267"/>
        <v>0.39</v>
      </c>
      <c r="K1197" s="101">
        <f t="shared" si="256"/>
        <v>50.297914597815293</v>
      </c>
      <c r="L1197" s="101">
        <f t="shared" si="257"/>
        <v>1.2776576576576577</v>
      </c>
      <c r="M1197" s="133">
        <f t="shared" si="258"/>
        <v>710.97</v>
      </c>
      <c r="N1197" s="133">
        <f t="shared" si="259"/>
        <v>5775.97</v>
      </c>
      <c r="O1197" s="134">
        <f t="shared" si="260"/>
        <v>57.358192651439921</v>
      </c>
      <c r="P1197" s="134">
        <f t="shared" si="261"/>
        <v>1.4570014414414416</v>
      </c>
      <c r="R1197" s="149">
        <f t="shared" si="266"/>
        <v>1.7300897892471356</v>
      </c>
    </row>
    <row r="1198" spans="1:18" ht="14.65" x14ac:dyDescent="0.35">
      <c r="A1198" s="82" t="s">
        <v>22</v>
      </c>
      <c r="B1198" s="82" t="s">
        <v>23</v>
      </c>
      <c r="C1198" s="82" t="s">
        <v>7</v>
      </c>
      <c r="D1198" s="82" t="s">
        <v>90</v>
      </c>
      <c r="E1198" s="87">
        <f t="shared" si="268"/>
        <v>41275</v>
      </c>
      <c r="F1198" s="83"/>
      <c r="G1198" s="92">
        <v>3674</v>
      </c>
      <c r="H1198" s="52">
        <v>1295</v>
      </c>
      <c r="I1198" s="52" t="s">
        <v>95</v>
      </c>
      <c r="J1198" s="157">
        <f t="shared" si="267"/>
        <v>0.32779999999999998</v>
      </c>
      <c r="K1198" s="101">
        <f t="shared" si="256"/>
        <v>36.484607745779542</v>
      </c>
      <c r="L1198" s="101">
        <f t="shared" si="257"/>
        <v>0.99297297297297293</v>
      </c>
      <c r="M1198" s="133">
        <f t="shared" si="258"/>
        <v>424.50099999999998</v>
      </c>
      <c r="N1198" s="133">
        <f t="shared" si="259"/>
        <v>4098.5010000000002</v>
      </c>
      <c r="O1198" s="134">
        <f t="shared" si="260"/>
        <v>40.700109235352535</v>
      </c>
      <c r="P1198" s="134">
        <f t="shared" si="261"/>
        <v>1.107702972972973</v>
      </c>
      <c r="R1198" s="149">
        <f t="shared" si="266"/>
        <v>4.9286096482582087</v>
      </c>
    </row>
    <row r="1199" spans="1:18" ht="14.65" x14ac:dyDescent="0.35">
      <c r="A1199" s="82" t="s">
        <v>22</v>
      </c>
      <c r="B1199" s="82" t="s">
        <v>14</v>
      </c>
      <c r="C1199" s="82" t="s">
        <v>24</v>
      </c>
      <c r="D1199" s="82" t="s">
        <v>90</v>
      </c>
      <c r="E1199" s="87">
        <f t="shared" si="268"/>
        <v>41275</v>
      </c>
      <c r="F1199" s="83"/>
      <c r="G1199" s="92">
        <v>3575</v>
      </c>
      <c r="H1199" s="52">
        <v>615</v>
      </c>
      <c r="I1199" s="52" t="s">
        <v>94</v>
      </c>
      <c r="J1199" s="157">
        <f t="shared" si="267"/>
        <v>0.51</v>
      </c>
      <c r="K1199" s="101">
        <f t="shared" si="256"/>
        <v>35.501489572989072</v>
      </c>
      <c r="L1199" s="101">
        <f t="shared" si="257"/>
        <v>0.96621621621621623</v>
      </c>
      <c r="M1199" s="133">
        <f t="shared" si="258"/>
        <v>313.64999999999998</v>
      </c>
      <c r="N1199" s="133">
        <f t="shared" si="259"/>
        <v>3888.65</v>
      </c>
      <c r="O1199" s="134">
        <f t="shared" si="260"/>
        <v>38.616186693147966</v>
      </c>
      <c r="P1199" s="134">
        <f t="shared" si="261"/>
        <v>1.0509864864864864</v>
      </c>
      <c r="R1199" s="149">
        <f t="shared" si="266"/>
        <v>2.2118543829675374</v>
      </c>
    </row>
    <row r="1200" spans="1:18" ht="14.65" x14ac:dyDescent="0.35">
      <c r="A1200" s="82" t="s">
        <v>22</v>
      </c>
      <c r="B1200" s="82" t="s">
        <v>18</v>
      </c>
      <c r="C1200" s="82" t="s">
        <v>15</v>
      </c>
      <c r="D1200" s="82" t="s">
        <v>90</v>
      </c>
      <c r="E1200" s="87">
        <f t="shared" si="268"/>
        <v>41275</v>
      </c>
      <c r="F1200" s="83"/>
      <c r="G1200" s="92">
        <v>4578</v>
      </c>
      <c r="H1200" s="52">
        <v>872</v>
      </c>
      <c r="I1200" s="52" t="s">
        <v>94</v>
      </c>
      <c r="J1200" s="157">
        <f t="shared" si="267"/>
        <v>0.51</v>
      </c>
      <c r="K1200" s="101">
        <f t="shared" si="256"/>
        <v>45.4617676266137</v>
      </c>
      <c r="L1200" s="101">
        <f t="shared" si="257"/>
        <v>1.2372972972972973</v>
      </c>
      <c r="M1200" s="133">
        <f t="shared" si="258"/>
        <v>444.72</v>
      </c>
      <c r="N1200" s="133">
        <f t="shared" si="259"/>
        <v>5022.72</v>
      </c>
      <c r="O1200" s="134">
        <f t="shared" si="260"/>
        <v>49.878053624627611</v>
      </c>
      <c r="P1200" s="134">
        <f t="shared" si="261"/>
        <v>1.3574918918918919</v>
      </c>
      <c r="R1200" s="149">
        <f t="shared" si="266"/>
        <v>2.7351196563714542</v>
      </c>
    </row>
    <row r="1201" spans="1:18" ht="14.65" x14ac:dyDescent="0.35">
      <c r="A1201" s="82" t="s">
        <v>22</v>
      </c>
      <c r="B1201" s="82" t="s">
        <v>18</v>
      </c>
      <c r="C1201" s="82" t="s">
        <v>24</v>
      </c>
      <c r="D1201" s="82" t="s">
        <v>90</v>
      </c>
      <c r="E1201" s="87">
        <f t="shared" si="268"/>
        <v>41275</v>
      </c>
      <c r="F1201" s="83"/>
      <c r="G1201" s="92">
        <v>3267</v>
      </c>
      <c r="H1201" s="52">
        <v>417</v>
      </c>
      <c r="I1201" s="52" t="s">
        <v>94</v>
      </c>
      <c r="J1201" s="157">
        <f t="shared" si="267"/>
        <v>0.51</v>
      </c>
      <c r="K1201" s="101">
        <f t="shared" si="256"/>
        <v>32.442899702085398</v>
      </c>
      <c r="L1201" s="101">
        <f t="shared" si="257"/>
        <v>0.88297297297297295</v>
      </c>
      <c r="M1201" s="133">
        <f t="shared" si="258"/>
        <v>212.67000000000002</v>
      </c>
      <c r="N1201" s="133">
        <f t="shared" si="259"/>
        <v>3479.67</v>
      </c>
      <c r="O1201" s="134">
        <f t="shared" si="260"/>
        <v>34.554816285998015</v>
      </c>
      <c r="P1201" s="134">
        <f t="shared" si="261"/>
        <v>0.94045135135135138</v>
      </c>
      <c r="R1201" s="149">
        <f t="shared" si="266"/>
        <v>2.4185430463576241</v>
      </c>
    </row>
    <row r="1202" spans="1:18" ht="14.65" x14ac:dyDescent="0.35">
      <c r="A1202" s="82" t="s">
        <v>22</v>
      </c>
      <c r="B1202" s="82" t="s">
        <v>13</v>
      </c>
      <c r="C1202" s="82" t="s">
        <v>7</v>
      </c>
      <c r="D1202" s="82" t="s">
        <v>90</v>
      </c>
      <c r="E1202" s="87">
        <f t="shared" si="268"/>
        <v>41275</v>
      </c>
      <c r="F1202" s="83"/>
      <c r="G1202" s="92">
        <v>3599</v>
      </c>
      <c r="H1202" s="52">
        <v>1006</v>
      </c>
      <c r="I1202" s="52" t="s">
        <v>92</v>
      </c>
      <c r="J1202" s="157">
        <f t="shared" si="267"/>
        <v>0.39</v>
      </c>
      <c r="K1202" s="101">
        <f t="shared" si="256"/>
        <v>35.73982125124131</v>
      </c>
      <c r="L1202" s="101">
        <f t="shared" si="257"/>
        <v>0.97270270270270265</v>
      </c>
      <c r="M1202" s="133">
        <f t="shared" si="258"/>
        <v>392.34000000000003</v>
      </c>
      <c r="N1202" s="133">
        <f t="shared" si="259"/>
        <v>3991.34</v>
      </c>
      <c r="O1202" s="134">
        <f t="shared" si="260"/>
        <v>39.635948361469715</v>
      </c>
      <c r="P1202" s="134">
        <f t="shared" si="261"/>
        <v>1.0787405405405406</v>
      </c>
      <c r="R1202" s="149">
        <f t="shared" si="266"/>
        <v>5.360216245895244</v>
      </c>
    </row>
    <row r="1203" spans="1:18" ht="14.65" x14ac:dyDescent="0.35">
      <c r="A1203" s="82" t="s">
        <v>1</v>
      </c>
      <c r="B1203" s="82" t="s">
        <v>25</v>
      </c>
      <c r="C1203" s="82" t="s">
        <v>26</v>
      </c>
      <c r="D1203" s="82" t="s">
        <v>91</v>
      </c>
      <c r="E1203" s="87">
        <f t="shared" si="268"/>
        <v>41275</v>
      </c>
      <c r="F1203" s="83"/>
      <c r="G1203" s="92">
        <v>3580</v>
      </c>
      <c r="H1203" s="52">
        <v>880</v>
      </c>
      <c r="I1203" s="52" t="s">
        <v>93</v>
      </c>
      <c r="J1203" s="157">
        <f t="shared" si="267"/>
        <v>0.38</v>
      </c>
      <c r="K1203" s="101">
        <f t="shared" si="256"/>
        <v>35.55114200595829</v>
      </c>
      <c r="L1203" s="101">
        <f t="shared" si="257"/>
        <v>0.96756756756756757</v>
      </c>
      <c r="M1203" s="133">
        <f t="shared" si="258"/>
        <v>334.4</v>
      </c>
      <c r="N1203" s="133">
        <f t="shared" si="259"/>
        <v>3914.4</v>
      </c>
      <c r="O1203" s="134">
        <f t="shared" si="260"/>
        <v>38.871896722939425</v>
      </c>
      <c r="P1203" s="134">
        <f t="shared" si="261"/>
        <v>1.0579459459459459</v>
      </c>
      <c r="R1203" s="149">
        <f t="shared" si="266"/>
        <v>9.8131627672109154</v>
      </c>
    </row>
    <row r="1204" spans="1:18" ht="14.65" x14ac:dyDescent="0.35">
      <c r="A1204" s="82" t="s">
        <v>1</v>
      </c>
      <c r="B1204" s="82" t="s">
        <v>2</v>
      </c>
      <c r="C1204" s="82" t="s">
        <v>9</v>
      </c>
      <c r="D1204" s="82" t="s">
        <v>91</v>
      </c>
      <c r="E1204" s="87">
        <f t="shared" si="268"/>
        <v>41275</v>
      </c>
      <c r="F1204" s="83"/>
      <c r="G1204" s="92">
        <v>3634</v>
      </c>
      <c r="H1204" s="52">
        <v>685</v>
      </c>
      <c r="I1204" s="52" t="s">
        <v>93</v>
      </c>
      <c r="J1204" s="157">
        <f t="shared" si="267"/>
        <v>0.38</v>
      </c>
      <c r="K1204" s="101">
        <f t="shared" si="256"/>
        <v>36.08738828202582</v>
      </c>
      <c r="L1204" s="101">
        <f t="shared" si="257"/>
        <v>0.98216216216216212</v>
      </c>
      <c r="M1204" s="133">
        <f t="shared" si="258"/>
        <v>260.3</v>
      </c>
      <c r="N1204" s="133">
        <f t="shared" si="259"/>
        <v>3894.3</v>
      </c>
      <c r="O1204" s="134">
        <f t="shared" si="260"/>
        <v>38.672293942403179</v>
      </c>
      <c r="P1204" s="134">
        <f t="shared" si="261"/>
        <v>1.0525135135135135</v>
      </c>
      <c r="R1204" s="149">
        <f t="shared" si="266"/>
        <v>14.624203446702676</v>
      </c>
    </row>
    <row r="1205" spans="1:18" ht="14.65" x14ac:dyDescent="0.35">
      <c r="A1205" s="82" t="s">
        <v>1</v>
      </c>
      <c r="B1205" s="82" t="s">
        <v>27</v>
      </c>
      <c r="C1205" s="82" t="s">
        <v>28</v>
      </c>
      <c r="D1205" s="82" t="s">
        <v>91</v>
      </c>
      <c r="E1205" s="87">
        <f t="shared" si="268"/>
        <v>41275</v>
      </c>
      <c r="F1205" s="83"/>
      <c r="G1205" s="92">
        <v>3771</v>
      </c>
      <c r="H1205" s="52">
        <v>812</v>
      </c>
      <c r="I1205" s="52" t="s">
        <v>94</v>
      </c>
      <c r="J1205" s="157">
        <f t="shared" si="267"/>
        <v>0.51</v>
      </c>
      <c r="K1205" s="101">
        <f t="shared" si="256"/>
        <v>37.447864945382321</v>
      </c>
      <c r="L1205" s="101">
        <f t="shared" si="257"/>
        <v>1.0191891891891891</v>
      </c>
      <c r="M1205" s="133">
        <f t="shared" si="258"/>
        <v>414.12</v>
      </c>
      <c r="N1205" s="133">
        <f t="shared" si="259"/>
        <v>4185.12</v>
      </c>
      <c r="O1205" s="134">
        <f t="shared" si="260"/>
        <v>41.560278053624629</v>
      </c>
      <c r="P1205" s="134">
        <f t="shared" si="261"/>
        <v>1.1311135135135135</v>
      </c>
      <c r="R1205" s="149">
        <f t="shared" si="266"/>
        <v>3.310787459886444</v>
      </c>
    </row>
    <row r="1206" spans="1:18" ht="14.65" x14ac:dyDescent="0.35">
      <c r="A1206" s="82" t="s">
        <v>1</v>
      </c>
      <c r="B1206" s="82" t="s">
        <v>4</v>
      </c>
      <c r="C1206" s="82" t="s">
        <v>26</v>
      </c>
      <c r="D1206" s="82" t="s">
        <v>91</v>
      </c>
      <c r="E1206" s="87">
        <f t="shared" si="268"/>
        <v>41275</v>
      </c>
      <c r="F1206" s="83"/>
      <c r="G1206" s="92">
        <v>5061</v>
      </c>
      <c r="H1206" s="52">
        <v>1520</v>
      </c>
      <c r="I1206" s="52" t="s">
        <v>93</v>
      </c>
      <c r="J1206" s="157">
        <f t="shared" si="267"/>
        <v>0.38</v>
      </c>
      <c r="K1206" s="101">
        <f t="shared" si="256"/>
        <v>50.25819265143992</v>
      </c>
      <c r="L1206" s="101">
        <f t="shared" si="257"/>
        <v>1.3678378378378377</v>
      </c>
      <c r="M1206" s="133">
        <f t="shared" si="258"/>
        <v>577.6</v>
      </c>
      <c r="N1206" s="133">
        <f t="shared" si="259"/>
        <v>5638.6</v>
      </c>
      <c r="O1206" s="134">
        <f t="shared" si="260"/>
        <v>55.994041708043696</v>
      </c>
      <c r="P1206" s="134">
        <f t="shared" si="261"/>
        <v>1.5239459459459461</v>
      </c>
      <c r="R1206" s="149">
        <f t="shared" si="266"/>
        <v>7.1081224830940037</v>
      </c>
    </row>
    <row r="1207" spans="1:18" ht="14.65" x14ac:dyDescent="0.35">
      <c r="A1207" s="82" t="s">
        <v>1</v>
      </c>
      <c r="B1207" s="82" t="s">
        <v>4</v>
      </c>
      <c r="C1207" s="82" t="s">
        <v>9</v>
      </c>
      <c r="D1207" s="82" t="s">
        <v>91</v>
      </c>
      <c r="E1207" s="87">
        <f t="shared" si="268"/>
        <v>41275</v>
      </c>
      <c r="F1207" s="83"/>
      <c r="G1207" s="92">
        <v>6082</v>
      </c>
      <c r="H1207" s="52">
        <v>1583</v>
      </c>
      <c r="I1207" s="52" t="s">
        <v>93</v>
      </c>
      <c r="J1207" s="157">
        <f t="shared" si="267"/>
        <v>0.38</v>
      </c>
      <c r="K1207" s="101">
        <f t="shared" si="256"/>
        <v>60.397219463753721</v>
      </c>
      <c r="L1207" s="101">
        <f t="shared" si="257"/>
        <v>1.6437837837837839</v>
      </c>
      <c r="M1207" s="133">
        <f t="shared" si="258"/>
        <v>601.54</v>
      </c>
      <c r="N1207" s="133">
        <f t="shared" si="259"/>
        <v>6683.54</v>
      </c>
      <c r="O1207" s="134">
        <f t="shared" si="260"/>
        <v>66.370804369414103</v>
      </c>
      <c r="P1207" s="134">
        <f t="shared" si="261"/>
        <v>1.8063621621621622</v>
      </c>
      <c r="R1207" s="149">
        <f t="shared" si="266"/>
        <v>5.5733085230566637</v>
      </c>
    </row>
    <row r="1208" spans="1:18" ht="14.45" x14ac:dyDescent="0.3">
      <c r="A1208" s="82" t="s">
        <v>1</v>
      </c>
      <c r="B1208" s="82" t="s">
        <v>10</v>
      </c>
      <c r="C1208" s="82" t="s">
        <v>26</v>
      </c>
      <c r="D1208" s="82" t="s">
        <v>91</v>
      </c>
      <c r="E1208" s="87">
        <f t="shared" si="268"/>
        <v>41275</v>
      </c>
      <c r="F1208" s="83"/>
      <c r="G1208" s="92">
        <v>4880</v>
      </c>
      <c r="H1208" s="52">
        <v>1599</v>
      </c>
      <c r="I1208" s="52" t="s">
        <v>92</v>
      </c>
      <c r="J1208" s="157">
        <f t="shared" si="267"/>
        <v>0.39</v>
      </c>
      <c r="K1208" s="101">
        <f t="shared" si="256"/>
        <v>48.460774577954318</v>
      </c>
      <c r="L1208" s="101">
        <f t="shared" si="257"/>
        <v>1.318918918918919</v>
      </c>
      <c r="M1208" s="133">
        <f t="shared" si="258"/>
        <v>623.61</v>
      </c>
      <c r="N1208" s="133">
        <f t="shared" si="259"/>
        <v>5503.61</v>
      </c>
      <c r="O1208" s="134">
        <f t="shared" si="260"/>
        <v>54.653525322740812</v>
      </c>
      <c r="P1208" s="134">
        <f t="shared" si="261"/>
        <v>1.487462162162162</v>
      </c>
      <c r="R1208" s="149">
        <f t="shared" si="266"/>
        <v>3.1677982686676875</v>
      </c>
    </row>
    <row r="1209" spans="1:18" ht="14.45" x14ac:dyDescent="0.3">
      <c r="A1209" s="82" t="s">
        <v>134</v>
      </c>
      <c r="B1209" s="82" t="s">
        <v>23</v>
      </c>
      <c r="C1209" s="82" t="s">
        <v>26</v>
      </c>
      <c r="D1209" s="82" t="s">
        <v>91</v>
      </c>
      <c r="E1209" s="87">
        <f t="shared" si="268"/>
        <v>41275</v>
      </c>
      <c r="F1209" s="83"/>
      <c r="G1209" s="92">
        <v>4800</v>
      </c>
      <c r="H1209" s="52">
        <v>1851</v>
      </c>
      <c r="I1209" s="52" t="s">
        <v>93</v>
      </c>
      <c r="J1209" s="157">
        <f t="shared" si="267"/>
        <v>0.38</v>
      </c>
      <c r="K1209" s="101">
        <f t="shared" si="256"/>
        <v>47.666335650446868</v>
      </c>
      <c r="L1209" s="101">
        <f t="shared" si="257"/>
        <v>1.2108108108108109</v>
      </c>
      <c r="M1209" s="133">
        <f t="shared" si="258"/>
        <v>703.38</v>
      </c>
      <c r="N1209" s="133">
        <f t="shared" si="259"/>
        <v>5503.38</v>
      </c>
      <c r="O1209" s="134">
        <f t="shared" si="260"/>
        <v>54.651241310824233</v>
      </c>
      <c r="P1209" s="134">
        <f t="shared" si="261"/>
        <v>1.3882400000000001</v>
      </c>
      <c r="R1209" s="149">
        <f t="shared" si="266"/>
        <v>0.33747381432924772</v>
      </c>
    </row>
    <row r="1210" spans="1:18" ht="14.45" x14ac:dyDescent="0.3">
      <c r="A1210" s="82" t="s">
        <v>134</v>
      </c>
      <c r="B1210" s="82" t="s">
        <v>8</v>
      </c>
      <c r="C1210" s="82" t="s">
        <v>29</v>
      </c>
      <c r="D1210" s="82" t="s">
        <v>91</v>
      </c>
      <c r="E1210" s="87">
        <f t="shared" si="268"/>
        <v>41275</v>
      </c>
      <c r="F1210" s="83"/>
      <c r="G1210" s="92">
        <v>4760</v>
      </c>
      <c r="H1210" s="52">
        <v>1695</v>
      </c>
      <c r="I1210" s="52" t="s">
        <v>93</v>
      </c>
      <c r="J1210" s="157">
        <f t="shared" si="267"/>
        <v>0.38</v>
      </c>
      <c r="K1210" s="101">
        <f t="shared" ref="K1210:K1247" si="269">G1210/100.7</f>
        <v>47.269116186693147</v>
      </c>
      <c r="L1210" s="101">
        <f t="shared" ref="L1210:L1247" si="270">IF(A1210="corn",G1210/(111*2000/56),G1210/(111*2000/60))</f>
        <v>1.2007207207207207</v>
      </c>
      <c r="M1210" s="133">
        <f t="shared" ref="M1210:M1247" si="271">H1210*J1210</f>
        <v>644.1</v>
      </c>
      <c r="N1210" s="133">
        <f t="shared" ref="N1210:N1247" si="272">G1210+M1210</f>
        <v>5404.1</v>
      </c>
      <c r="O1210" s="134">
        <f t="shared" ref="O1210:O1247" si="273">N1210/100.7</f>
        <v>53.665342601787486</v>
      </c>
      <c r="P1210" s="134">
        <f t="shared" ref="P1210:P1247" si="274">IF(A1210="corn",N1210/(111*2000/56),N1210/(111*2000/60))</f>
        <v>1.3631963963963964</v>
      </c>
      <c r="R1210" s="149">
        <f t="shared" si="266"/>
        <v>0.31463760986794043</v>
      </c>
    </row>
    <row r="1211" spans="1:18" ht="14.45" x14ac:dyDescent="0.3">
      <c r="A1211" s="82" t="s">
        <v>134</v>
      </c>
      <c r="B1211" s="82" t="s">
        <v>13</v>
      </c>
      <c r="C1211" s="82" t="s">
        <v>7</v>
      </c>
      <c r="D1211" s="82" t="s">
        <v>91</v>
      </c>
      <c r="E1211" s="87">
        <f t="shared" si="268"/>
        <v>41275</v>
      </c>
      <c r="F1211" s="83"/>
      <c r="G1211" s="92">
        <v>2929</v>
      </c>
      <c r="H1211" s="52">
        <v>1006</v>
      </c>
      <c r="I1211" s="52" t="s">
        <v>92</v>
      </c>
      <c r="J1211" s="157">
        <f t="shared" si="267"/>
        <v>0.39</v>
      </c>
      <c r="K1211" s="101">
        <f t="shared" si="269"/>
        <v>29.086395233366435</v>
      </c>
      <c r="L1211" s="101">
        <f t="shared" si="270"/>
        <v>0.73884684684684687</v>
      </c>
      <c r="M1211" s="133">
        <f t="shared" si="271"/>
        <v>392.34000000000003</v>
      </c>
      <c r="N1211" s="133">
        <f t="shared" si="272"/>
        <v>3321.34</v>
      </c>
      <c r="O1211" s="134">
        <f t="shared" si="273"/>
        <v>32.982522343594837</v>
      </c>
      <c r="P1211" s="134">
        <f t="shared" si="274"/>
        <v>0.8378154954954955</v>
      </c>
      <c r="R1211" s="149">
        <f t="shared" si="266"/>
        <v>1.9041015193539623</v>
      </c>
    </row>
    <row r="1212" spans="1:18" ht="14.45" x14ac:dyDescent="0.3">
      <c r="A1212" s="82" t="s">
        <v>134</v>
      </c>
      <c r="B1212" s="82" t="s">
        <v>30</v>
      </c>
      <c r="C1212" s="82" t="s">
        <v>9</v>
      </c>
      <c r="D1212" s="82" t="s">
        <v>91</v>
      </c>
      <c r="E1212" s="87">
        <f t="shared" si="268"/>
        <v>41275</v>
      </c>
      <c r="F1212" s="83"/>
      <c r="G1212" s="92">
        <v>3310</v>
      </c>
      <c r="H1212" s="52">
        <v>988</v>
      </c>
      <c r="I1212" s="52" t="s">
        <v>93</v>
      </c>
      <c r="J1212" s="157">
        <f t="shared" si="267"/>
        <v>0.38</v>
      </c>
      <c r="K1212" s="101">
        <f t="shared" si="269"/>
        <v>32.869910625620655</v>
      </c>
      <c r="L1212" s="101">
        <f t="shared" si="270"/>
        <v>0.83495495495495498</v>
      </c>
      <c r="M1212" s="133">
        <f t="shared" si="271"/>
        <v>375.44</v>
      </c>
      <c r="N1212" s="133">
        <f t="shared" si="272"/>
        <v>3685.44</v>
      </c>
      <c r="O1212" s="134">
        <f t="shared" si="273"/>
        <v>36.598212512413106</v>
      </c>
      <c r="P1212" s="134">
        <f t="shared" si="274"/>
        <v>0.92966054054054059</v>
      </c>
      <c r="R1212" s="149">
        <f t="shared" si="266"/>
        <v>0.26880257702228683</v>
      </c>
    </row>
    <row r="1213" spans="1:18" ht="14.45" x14ac:dyDescent="0.3">
      <c r="A1213" s="82" t="s">
        <v>134</v>
      </c>
      <c r="B1213" s="82" t="s">
        <v>16</v>
      </c>
      <c r="C1213" s="82" t="s">
        <v>11</v>
      </c>
      <c r="D1213" s="82" t="s">
        <v>91</v>
      </c>
      <c r="E1213" s="87">
        <f t="shared" si="268"/>
        <v>41275</v>
      </c>
      <c r="F1213" s="83"/>
      <c r="G1213" s="92">
        <v>3510</v>
      </c>
      <c r="H1213" s="52">
        <v>787</v>
      </c>
      <c r="I1213" s="52" t="s">
        <v>92</v>
      </c>
      <c r="J1213" s="157">
        <f t="shared" si="267"/>
        <v>0.39</v>
      </c>
      <c r="K1213" s="101">
        <f t="shared" si="269"/>
        <v>34.856007944389276</v>
      </c>
      <c r="L1213" s="101">
        <f t="shared" si="270"/>
        <v>0.88540540540540547</v>
      </c>
      <c r="M1213" s="133">
        <f t="shared" si="271"/>
        <v>306.93</v>
      </c>
      <c r="N1213" s="133">
        <f t="shared" si="272"/>
        <v>3816.93</v>
      </c>
      <c r="O1213" s="134">
        <f t="shared" si="273"/>
        <v>37.903972194637532</v>
      </c>
      <c r="P1213" s="134">
        <f t="shared" si="274"/>
        <v>0.96282918918918914</v>
      </c>
      <c r="R1213" s="149">
        <f t="shared" si="266"/>
        <v>2.3563579025277059</v>
      </c>
    </row>
    <row r="1214" spans="1:18" ht="14.45" x14ac:dyDescent="0.3">
      <c r="A1214" s="82" t="s">
        <v>134</v>
      </c>
      <c r="B1214" s="82" t="s">
        <v>23</v>
      </c>
      <c r="C1214" s="82" t="s">
        <v>29</v>
      </c>
      <c r="D1214" s="82" t="s">
        <v>91</v>
      </c>
      <c r="E1214" s="87">
        <f t="shared" si="268"/>
        <v>41275</v>
      </c>
      <c r="F1214" s="83"/>
      <c r="G1214" s="92">
        <v>4800</v>
      </c>
      <c r="H1214" s="52">
        <v>1836</v>
      </c>
      <c r="I1214" s="52" t="s">
        <v>93</v>
      </c>
      <c r="J1214" s="157">
        <f t="shared" si="267"/>
        <v>0.38</v>
      </c>
      <c r="K1214" s="101">
        <f t="shared" si="269"/>
        <v>47.666335650446868</v>
      </c>
      <c r="L1214" s="101">
        <f t="shared" si="270"/>
        <v>1.2108108108108109</v>
      </c>
      <c r="M1214" s="133">
        <f t="shared" si="271"/>
        <v>697.68000000000006</v>
      </c>
      <c r="N1214" s="133">
        <f t="shared" si="272"/>
        <v>5497.68</v>
      </c>
      <c r="O1214" s="134">
        <f t="shared" si="273"/>
        <v>54.594637537239329</v>
      </c>
      <c r="P1214" s="134">
        <f t="shared" si="274"/>
        <v>1.3868021621621622</v>
      </c>
      <c r="R1214" s="149">
        <f t="shared" si="266"/>
        <v>0.33507807538162293</v>
      </c>
    </row>
    <row r="1215" spans="1:18" ht="14.45" x14ac:dyDescent="0.3">
      <c r="A1215" s="82" t="s">
        <v>134</v>
      </c>
      <c r="B1215" s="82" t="s">
        <v>31</v>
      </c>
      <c r="C1215" s="82" t="s">
        <v>32</v>
      </c>
      <c r="D1215" s="82" t="s">
        <v>91</v>
      </c>
      <c r="E1215" s="87">
        <f t="shared" si="268"/>
        <v>41275</v>
      </c>
      <c r="F1215" s="83"/>
      <c r="G1215" s="92">
        <v>4200</v>
      </c>
      <c r="H1215" s="52">
        <v>1899</v>
      </c>
      <c r="I1215" s="52" t="s">
        <v>93</v>
      </c>
      <c r="J1215" s="157">
        <f t="shared" si="267"/>
        <v>0.38</v>
      </c>
      <c r="K1215" s="101">
        <f t="shared" si="269"/>
        <v>41.708043694141011</v>
      </c>
      <c r="L1215" s="101">
        <f t="shared" si="270"/>
        <v>1.0594594594594595</v>
      </c>
      <c r="M1215" s="133">
        <f t="shared" si="271"/>
        <v>721.62</v>
      </c>
      <c r="N1215" s="133">
        <f t="shared" si="272"/>
        <v>4921.62</v>
      </c>
      <c r="O1215" s="134">
        <f t="shared" si="273"/>
        <v>48.874081429990071</v>
      </c>
      <c r="P1215" s="134">
        <f t="shared" si="274"/>
        <v>1.2414897297297298</v>
      </c>
      <c r="R1215" s="149">
        <f t="shared" si="266"/>
        <v>0.38734311991726056</v>
      </c>
    </row>
    <row r="1216" spans="1:18" ht="14.45" x14ac:dyDescent="0.3">
      <c r="A1216" s="82" t="s">
        <v>22</v>
      </c>
      <c r="B1216" s="82" t="s">
        <v>8</v>
      </c>
      <c r="C1216" s="82" t="s">
        <v>29</v>
      </c>
      <c r="D1216" s="82" t="s">
        <v>91</v>
      </c>
      <c r="E1216" s="87">
        <f t="shared" si="268"/>
        <v>41275</v>
      </c>
      <c r="F1216" s="83"/>
      <c r="G1216" s="92">
        <v>5320</v>
      </c>
      <c r="H1216" s="52">
        <v>1695</v>
      </c>
      <c r="I1216" s="52" t="s">
        <v>93</v>
      </c>
      <c r="J1216" s="157">
        <f t="shared" si="267"/>
        <v>0.38</v>
      </c>
      <c r="K1216" s="101">
        <f t="shared" si="269"/>
        <v>52.830188679245282</v>
      </c>
      <c r="L1216" s="101">
        <f t="shared" si="270"/>
        <v>1.4378378378378378</v>
      </c>
      <c r="M1216" s="133">
        <f t="shared" si="271"/>
        <v>644.1</v>
      </c>
      <c r="N1216" s="133">
        <f t="shared" si="272"/>
        <v>5964.1</v>
      </c>
      <c r="O1216" s="134">
        <f t="shared" si="273"/>
        <v>59.226415094339622</v>
      </c>
      <c r="P1216" s="134">
        <f t="shared" si="274"/>
        <v>1.6119189189189189</v>
      </c>
      <c r="R1216" s="149">
        <f t="shared" si="266"/>
        <v>5.2398471895044318</v>
      </c>
    </row>
    <row r="1217" spans="1:18" ht="14.45" x14ac:dyDescent="0.3">
      <c r="A1217" s="82" t="s">
        <v>22</v>
      </c>
      <c r="B1217" s="82" t="s">
        <v>23</v>
      </c>
      <c r="C1217" s="82" t="s">
        <v>26</v>
      </c>
      <c r="D1217" s="82" t="s">
        <v>91</v>
      </c>
      <c r="E1217" s="87">
        <f t="shared" si="268"/>
        <v>41275</v>
      </c>
      <c r="F1217" s="83"/>
      <c r="G1217" s="92">
        <v>5330</v>
      </c>
      <c r="H1217" s="52">
        <v>1851</v>
      </c>
      <c r="I1217" s="52" t="s">
        <v>93</v>
      </c>
      <c r="J1217" s="157">
        <f t="shared" si="267"/>
        <v>0.38</v>
      </c>
      <c r="K1217" s="101">
        <f t="shared" si="269"/>
        <v>52.929493545183711</v>
      </c>
      <c r="L1217" s="101">
        <f t="shared" si="270"/>
        <v>1.4405405405405405</v>
      </c>
      <c r="M1217" s="133">
        <f t="shared" si="271"/>
        <v>703.38</v>
      </c>
      <c r="N1217" s="133">
        <f t="shared" si="272"/>
        <v>6033.38</v>
      </c>
      <c r="O1217" s="134">
        <f t="shared" si="273"/>
        <v>59.914399205561075</v>
      </c>
      <c r="P1217" s="134">
        <f t="shared" si="274"/>
        <v>1.6306432432432432</v>
      </c>
      <c r="R1217" s="149">
        <f t="shared" si="266"/>
        <v>5.5733551244385282</v>
      </c>
    </row>
    <row r="1218" spans="1:18" ht="14.45" x14ac:dyDescent="0.3">
      <c r="A1218" s="82" t="s">
        <v>22</v>
      </c>
      <c r="B1218" s="82" t="s">
        <v>33</v>
      </c>
      <c r="C1218" s="82" t="s">
        <v>29</v>
      </c>
      <c r="D1218" s="82" t="s">
        <v>91</v>
      </c>
      <c r="E1218" s="87">
        <f t="shared" si="268"/>
        <v>41275</v>
      </c>
      <c r="F1218" s="83"/>
      <c r="G1218" s="92">
        <v>5230</v>
      </c>
      <c r="H1218" s="52">
        <v>1507</v>
      </c>
      <c r="I1218" s="52" t="s">
        <v>93</v>
      </c>
      <c r="J1218" s="157">
        <f t="shared" si="267"/>
        <v>0.38</v>
      </c>
      <c r="K1218" s="101">
        <f t="shared" si="269"/>
        <v>51.936444885799403</v>
      </c>
      <c r="L1218" s="101">
        <f t="shared" si="270"/>
        <v>1.4135135135135135</v>
      </c>
      <c r="M1218" s="133">
        <f t="shared" si="271"/>
        <v>572.66</v>
      </c>
      <c r="N1218" s="133">
        <f t="shared" si="272"/>
        <v>5802.66</v>
      </c>
      <c r="O1218" s="134">
        <f t="shared" si="273"/>
        <v>57.623237338629593</v>
      </c>
      <c r="P1218" s="134">
        <f t="shared" si="274"/>
        <v>1.5682864864864865</v>
      </c>
      <c r="R1218" s="149">
        <f t="shared" si="266"/>
        <v>5.7415003671921427</v>
      </c>
    </row>
    <row r="1219" spans="1:18" ht="14.45" x14ac:dyDescent="0.3">
      <c r="A1219" s="82" t="s">
        <v>22</v>
      </c>
      <c r="B1219" s="82" t="s">
        <v>31</v>
      </c>
      <c r="C1219" s="82" t="s">
        <v>7</v>
      </c>
      <c r="D1219" s="82" t="s">
        <v>91</v>
      </c>
      <c r="E1219" s="87">
        <f t="shared" si="268"/>
        <v>41275</v>
      </c>
      <c r="F1219" s="83"/>
      <c r="G1219" s="92">
        <v>3950</v>
      </c>
      <c r="H1219" s="52">
        <v>1160</v>
      </c>
      <c r="I1219" s="52" t="s">
        <v>92</v>
      </c>
      <c r="J1219" s="157">
        <f t="shared" si="267"/>
        <v>0.39</v>
      </c>
      <c r="K1219" s="101">
        <f t="shared" si="269"/>
        <v>39.22542204568024</v>
      </c>
      <c r="L1219" s="101">
        <f t="shared" si="270"/>
        <v>1.0675675675675675</v>
      </c>
      <c r="M1219" s="133">
        <f t="shared" si="271"/>
        <v>452.40000000000003</v>
      </c>
      <c r="N1219" s="133">
        <f t="shared" si="272"/>
        <v>4402.3999999999996</v>
      </c>
      <c r="O1219" s="134">
        <f t="shared" si="273"/>
        <v>43.717974180734849</v>
      </c>
      <c r="P1219" s="134">
        <f t="shared" si="274"/>
        <v>1.1898378378378378</v>
      </c>
      <c r="R1219" s="149">
        <f t="shared" si="266"/>
        <v>6.0614821239278971</v>
      </c>
    </row>
    <row r="1220" spans="1:18" ht="14.45" x14ac:dyDescent="0.3">
      <c r="A1220" s="82" t="s">
        <v>22</v>
      </c>
      <c r="B1220" s="82" t="s">
        <v>14</v>
      </c>
      <c r="C1220" s="82" t="s">
        <v>24</v>
      </c>
      <c r="D1220" s="82" t="s">
        <v>91</v>
      </c>
      <c r="E1220" s="87">
        <f t="shared" si="268"/>
        <v>41275</v>
      </c>
      <c r="F1220" s="83"/>
      <c r="G1220" s="92">
        <v>2750</v>
      </c>
      <c r="H1220" s="52">
        <v>615</v>
      </c>
      <c r="I1220" s="52" t="s">
        <v>94</v>
      </c>
      <c r="J1220" s="157">
        <f t="shared" si="267"/>
        <v>0.51</v>
      </c>
      <c r="K1220" s="101">
        <f t="shared" si="269"/>
        <v>27.308838133068519</v>
      </c>
      <c r="L1220" s="101">
        <f t="shared" si="270"/>
        <v>0.7432432432432432</v>
      </c>
      <c r="M1220" s="133">
        <f t="shared" si="271"/>
        <v>313.64999999999998</v>
      </c>
      <c r="N1220" s="133">
        <f t="shared" si="272"/>
        <v>3063.65</v>
      </c>
      <c r="O1220" s="134">
        <f t="shared" si="273"/>
        <v>30.42353525322741</v>
      </c>
      <c r="P1220" s="134">
        <f t="shared" si="274"/>
        <v>0.82801351351351349</v>
      </c>
      <c r="R1220" s="149">
        <f t="shared" si="266"/>
        <v>2.8242993790904558</v>
      </c>
    </row>
    <row r="1221" spans="1:18" ht="14.45" x14ac:dyDescent="0.3">
      <c r="A1221" s="118" t="s">
        <v>22</v>
      </c>
      <c r="B1221" s="118" t="s">
        <v>34</v>
      </c>
      <c r="C1221" s="118" t="s">
        <v>26</v>
      </c>
      <c r="D1221" s="118" t="s">
        <v>91</v>
      </c>
      <c r="E1221" s="119">
        <f t="shared" si="268"/>
        <v>41275</v>
      </c>
      <c r="F1221" s="120"/>
      <c r="G1221" s="105">
        <v>4960</v>
      </c>
      <c r="H1221" s="158">
        <v>1637</v>
      </c>
      <c r="I1221" s="158" t="s">
        <v>92</v>
      </c>
      <c r="J1221" s="122">
        <f t="shared" si="267"/>
        <v>0.39</v>
      </c>
      <c r="K1221" s="123">
        <f t="shared" si="269"/>
        <v>49.255213505461768</v>
      </c>
      <c r="L1221" s="123">
        <f t="shared" si="270"/>
        <v>1.3405405405405406</v>
      </c>
      <c r="M1221" s="115">
        <f t="shared" si="271"/>
        <v>638.43000000000006</v>
      </c>
      <c r="N1221" s="115">
        <f t="shared" si="272"/>
        <v>5598.43</v>
      </c>
      <c r="O1221" s="116">
        <f t="shared" si="273"/>
        <v>55.59513406156902</v>
      </c>
      <c r="P1221" s="116">
        <f t="shared" si="274"/>
        <v>1.5130891891891893</v>
      </c>
      <c r="Q1221" s="106"/>
      <c r="R1221" s="152">
        <f t="shared" si="266"/>
        <v>8.8752367728109007</v>
      </c>
    </row>
    <row r="1222" spans="1:18" ht="14.45" x14ac:dyDescent="0.3">
      <c r="A1222" s="82" t="s">
        <v>1</v>
      </c>
      <c r="B1222" s="82" t="s">
        <v>2</v>
      </c>
      <c r="C1222" s="82" t="s">
        <v>3</v>
      </c>
      <c r="D1222" s="82" t="s">
        <v>90</v>
      </c>
      <c r="E1222" s="87">
        <v>41306</v>
      </c>
      <c r="F1222" s="83"/>
      <c r="G1222" s="92">
        <v>3144</v>
      </c>
      <c r="H1222" s="52">
        <v>506</v>
      </c>
      <c r="I1222" s="52" t="s">
        <v>92</v>
      </c>
      <c r="J1222" s="157">
        <f>IF(I1222="BNSF",0.37,IF(I1222="CN",0.322,IF(I1222="CSX",0.5,0.38)))</f>
        <v>0.38</v>
      </c>
      <c r="K1222" s="101">
        <f t="shared" si="269"/>
        <v>31.221449851042699</v>
      </c>
      <c r="L1222" s="101">
        <f t="shared" si="270"/>
        <v>0.84972972972972971</v>
      </c>
      <c r="M1222" s="133">
        <f t="shared" si="271"/>
        <v>192.28</v>
      </c>
      <c r="N1222" s="133">
        <f t="shared" si="272"/>
        <v>3336.28</v>
      </c>
      <c r="O1222" s="134">
        <f t="shared" si="273"/>
        <v>33.130883813306852</v>
      </c>
      <c r="P1222" s="134">
        <f t="shared" si="274"/>
        <v>0.90169729729729731</v>
      </c>
      <c r="Q1222" s="160"/>
      <c r="R1222" s="149">
        <f t="shared" ref="R1222:R1259" si="275">((N1222/N766)-1)*100</f>
        <v>5.1074930060236445</v>
      </c>
    </row>
    <row r="1223" spans="1:18" ht="14.45" x14ac:dyDescent="0.3">
      <c r="A1223" s="82" t="s">
        <v>1</v>
      </c>
      <c r="B1223" s="82" t="s">
        <v>4</v>
      </c>
      <c r="C1223" s="82" t="s">
        <v>5</v>
      </c>
      <c r="D1223" s="82" t="s">
        <v>90</v>
      </c>
      <c r="E1223" s="87">
        <f>E1222</f>
        <v>41306</v>
      </c>
      <c r="F1223" s="83"/>
      <c r="G1223" s="92">
        <v>3543</v>
      </c>
      <c r="H1223" s="52">
        <v>298</v>
      </c>
      <c r="I1223" s="52" t="s">
        <v>93</v>
      </c>
      <c r="J1223" s="157">
        <f>IF(I1223="BNSF",0.37,IF(I1223="CN",0.322,IF(I1223="CSX",0.5,0.38)))</f>
        <v>0.37</v>
      </c>
      <c r="K1223" s="101">
        <f t="shared" si="269"/>
        <v>35.183714001986097</v>
      </c>
      <c r="L1223" s="101">
        <f t="shared" si="270"/>
        <v>0.95756756756756756</v>
      </c>
      <c r="M1223" s="133">
        <f t="shared" si="271"/>
        <v>110.26</v>
      </c>
      <c r="N1223" s="133">
        <f t="shared" si="272"/>
        <v>3653.26</v>
      </c>
      <c r="O1223" s="134">
        <f t="shared" si="273"/>
        <v>36.278649453823242</v>
      </c>
      <c r="P1223" s="134">
        <f t="shared" si="274"/>
        <v>0.98736756756756761</v>
      </c>
      <c r="Q1223" s="160"/>
      <c r="R1223" s="149">
        <f t="shared" si="275"/>
        <v>8.5890081146152255</v>
      </c>
    </row>
    <row r="1224" spans="1:18" ht="14.45" x14ac:dyDescent="0.3">
      <c r="A1224" s="82" t="s">
        <v>1</v>
      </c>
      <c r="B1224" s="82" t="s">
        <v>2</v>
      </c>
      <c r="C1224" s="82" t="s">
        <v>6</v>
      </c>
      <c r="D1224" s="82" t="s">
        <v>90</v>
      </c>
      <c r="E1224" s="87">
        <f t="shared" ref="E1224:E1259" si="276">E1223</f>
        <v>41306</v>
      </c>
      <c r="F1224" s="83"/>
      <c r="G1224" s="92">
        <v>6026</v>
      </c>
      <c r="H1224" s="52">
        <v>1530</v>
      </c>
      <c r="I1224" s="52" t="s">
        <v>93</v>
      </c>
      <c r="J1224" s="157">
        <f t="shared" ref="J1224:J1259" si="277">IF(I1224="BNSF",0.37,IF(I1224="CN",0.322,IF(I1224="CSX",0.5,0.38)))</f>
        <v>0.37</v>
      </c>
      <c r="K1224" s="101">
        <f t="shared" si="269"/>
        <v>59.841112214498509</v>
      </c>
      <c r="L1224" s="101">
        <f t="shared" si="270"/>
        <v>1.6286486486486487</v>
      </c>
      <c r="M1224" s="133">
        <f t="shared" si="271"/>
        <v>566.1</v>
      </c>
      <c r="N1224" s="133">
        <f t="shared" si="272"/>
        <v>6592.1</v>
      </c>
      <c r="O1224" s="134">
        <f t="shared" si="273"/>
        <v>65.462760675273088</v>
      </c>
      <c r="P1224" s="134">
        <f t="shared" si="274"/>
        <v>1.7816486486486487</v>
      </c>
      <c r="R1224" s="149">
        <f t="shared" si="275"/>
        <v>2.5130238706166041</v>
      </c>
    </row>
    <row r="1225" spans="1:18" ht="14.45" x14ac:dyDescent="0.3">
      <c r="A1225" s="82" t="s">
        <v>1</v>
      </c>
      <c r="B1225" s="82" t="s">
        <v>2</v>
      </c>
      <c r="C1225" s="82" t="s">
        <v>7</v>
      </c>
      <c r="D1225" s="82" t="s">
        <v>90</v>
      </c>
      <c r="E1225" s="87">
        <f t="shared" si="276"/>
        <v>41306</v>
      </c>
      <c r="F1225" s="83"/>
      <c r="G1225" s="92">
        <v>3645</v>
      </c>
      <c r="H1225" s="52">
        <v>890</v>
      </c>
      <c r="I1225" s="52" t="s">
        <v>92</v>
      </c>
      <c r="J1225" s="157">
        <f t="shared" si="277"/>
        <v>0.38</v>
      </c>
      <c r="K1225" s="101">
        <f t="shared" si="269"/>
        <v>36.196623634558094</v>
      </c>
      <c r="L1225" s="101">
        <f t="shared" si="270"/>
        <v>0.98513513513513518</v>
      </c>
      <c r="M1225" s="133">
        <f t="shared" si="271"/>
        <v>338.2</v>
      </c>
      <c r="N1225" s="133">
        <f t="shared" si="272"/>
        <v>3983.2</v>
      </c>
      <c r="O1225" s="134">
        <f t="shared" si="273"/>
        <v>39.555114200595824</v>
      </c>
      <c r="P1225" s="134">
        <f t="shared" si="274"/>
        <v>1.0765405405405404</v>
      </c>
      <c r="R1225" s="149">
        <f t="shared" si="275"/>
        <v>4.4801175112789693</v>
      </c>
    </row>
    <row r="1226" spans="1:18" ht="14.45" x14ac:dyDescent="0.3">
      <c r="A1226" s="82" t="s">
        <v>1</v>
      </c>
      <c r="B1226" s="82" t="s">
        <v>8</v>
      </c>
      <c r="C1226" s="82" t="s">
        <v>9</v>
      </c>
      <c r="D1226" s="82" t="s">
        <v>90</v>
      </c>
      <c r="E1226" s="87">
        <f t="shared" si="276"/>
        <v>41306</v>
      </c>
      <c r="F1226" s="83"/>
      <c r="G1226" s="92">
        <v>5573</v>
      </c>
      <c r="H1226" s="52">
        <v>1256</v>
      </c>
      <c r="I1226" s="52" t="s">
        <v>93</v>
      </c>
      <c r="J1226" s="157">
        <f t="shared" si="277"/>
        <v>0.37</v>
      </c>
      <c r="K1226" s="101">
        <f t="shared" si="269"/>
        <v>55.342601787487588</v>
      </c>
      <c r="L1226" s="101">
        <f t="shared" si="270"/>
        <v>1.5062162162162163</v>
      </c>
      <c r="M1226" s="133">
        <f t="shared" si="271"/>
        <v>464.71999999999997</v>
      </c>
      <c r="N1226" s="133">
        <f t="shared" si="272"/>
        <v>6037.72</v>
      </c>
      <c r="O1226" s="134">
        <f t="shared" si="273"/>
        <v>59.95749751737835</v>
      </c>
      <c r="P1226" s="134">
        <f t="shared" si="274"/>
        <v>1.6318162162162162</v>
      </c>
      <c r="R1226" s="149">
        <f t="shared" si="275"/>
        <v>0.41778930911751111</v>
      </c>
    </row>
    <row r="1227" spans="1:18" ht="14.45" x14ac:dyDescent="0.3">
      <c r="A1227" s="82" t="s">
        <v>1</v>
      </c>
      <c r="B1227" s="82" t="s">
        <v>10</v>
      </c>
      <c r="C1227" s="82" t="s">
        <v>9</v>
      </c>
      <c r="D1227" s="82" t="s">
        <v>90</v>
      </c>
      <c r="E1227" s="87">
        <f t="shared" si="276"/>
        <v>41306</v>
      </c>
      <c r="F1227" s="83"/>
      <c r="G1227" s="92">
        <v>3912</v>
      </c>
      <c r="H1227" s="52">
        <v>975</v>
      </c>
      <c r="I1227" s="52" t="s">
        <v>92</v>
      </c>
      <c r="J1227" s="157">
        <f t="shared" si="277"/>
        <v>0.38</v>
      </c>
      <c r="K1227" s="101">
        <f t="shared" si="269"/>
        <v>38.848063555114202</v>
      </c>
      <c r="L1227" s="101">
        <f t="shared" si="270"/>
        <v>1.0572972972972974</v>
      </c>
      <c r="M1227" s="133">
        <f t="shared" si="271"/>
        <v>370.5</v>
      </c>
      <c r="N1227" s="133">
        <f t="shared" si="272"/>
        <v>4282.5</v>
      </c>
      <c r="O1227" s="134">
        <f t="shared" si="273"/>
        <v>42.527308838133067</v>
      </c>
      <c r="P1227" s="134">
        <f t="shared" si="274"/>
        <v>1.1574324324324323</v>
      </c>
      <c r="R1227" s="149">
        <f t="shared" si="275"/>
        <v>4.1717343711992205</v>
      </c>
    </row>
    <row r="1228" spans="1:18" ht="14.45" x14ac:dyDescent="0.3">
      <c r="A1228" s="82" t="s">
        <v>1</v>
      </c>
      <c r="B1228" s="82" t="s">
        <v>11</v>
      </c>
      <c r="C1228" s="82" t="s">
        <v>6</v>
      </c>
      <c r="D1228" s="82" t="s">
        <v>90</v>
      </c>
      <c r="E1228" s="87">
        <f t="shared" si="276"/>
        <v>41306</v>
      </c>
      <c r="F1228" s="83"/>
      <c r="G1228" s="92">
        <v>4112</v>
      </c>
      <c r="H1228" s="52">
        <v>1357</v>
      </c>
      <c r="I1228" s="52" t="s">
        <v>92</v>
      </c>
      <c r="J1228" s="157">
        <f t="shared" si="277"/>
        <v>0.38</v>
      </c>
      <c r="K1228" s="101">
        <f t="shared" si="269"/>
        <v>40.834160873882816</v>
      </c>
      <c r="L1228" s="101">
        <f t="shared" si="270"/>
        <v>1.1113513513513513</v>
      </c>
      <c r="M1228" s="133">
        <f t="shared" si="271"/>
        <v>515.66</v>
      </c>
      <c r="N1228" s="133">
        <f t="shared" si="272"/>
        <v>4627.66</v>
      </c>
      <c r="O1228" s="134">
        <f t="shared" si="273"/>
        <v>45.954915590863948</v>
      </c>
      <c r="P1228" s="134">
        <f t="shared" si="274"/>
        <v>1.250718918918919</v>
      </c>
      <c r="R1228" s="149">
        <f t="shared" si="275"/>
        <v>4.0503471597654217</v>
      </c>
    </row>
    <row r="1229" spans="1:18" ht="14.45" x14ac:dyDescent="0.3">
      <c r="A1229" s="82" t="s">
        <v>134</v>
      </c>
      <c r="B1229" s="82" t="s">
        <v>13</v>
      </c>
      <c r="C1229" s="82" t="s">
        <v>7</v>
      </c>
      <c r="D1229" s="82" t="s">
        <v>90</v>
      </c>
      <c r="E1229" s="87">
        <f t="shared" si="276"/>
        <v>41306</v>
      </c>
      <c r="F1229" s="83"/>
      <c r="G1229" s="92">
        <v>3110</v>
      </c>
      <c r="H1229" s="52">
        <v>1006</v>
      </c>
      <c r="I1229" s="52" t="s">
        <v>92</v>
      </c>
      <c r="J1229" s="157">
        <f t="shared" si="277"/>
        <v>0.38</v>
      </c>
      <c r="K1229" s="101">
        <f t="shared" si="269"/>
        <v>30.883813306852034</v>
      </c>
      <c r="L1229" s="101">
        <f t="shared" si="270"/>
        <v>0.78450450450450449</v>
      </c>
      <c r="M1229" s="133">
        <f t="shared" si="271"/>
        <v>382.28000000000003</v>
      </c>
      <c r="N1229" s="133">
        <f t="shared" si="272"/>
        <v>3492.28</v>
      </c>
      <c r="O1229" s="134">
        <f t="shared" si="273"/>
        <v>34.680039721946379</v>
      </c>
      <c r="P1229" s="134">
        <f t="shared" si="274"/>
        <v>0.88093549549549555</v>
      </c>
      <c r="R1229" s="149">
        <f t="shared" si="275"/>
        <v>2.7092842689755869</v>
      </c>
    </row>
    <row r="1230" spans="1:18" ht="14.45" x14ac:dyDescent="0.3">
      <c r="A1230" s="82" t="s">
        <v>134</v>
      </c>
      <c r="B1230" s="82" t="s">
        <v>14</v>
      </c>
      <c r="C1230" s="82" t="s">
        <v>15</v>
      </c>
      <c r="D1230" s="82" t="s">
        <v>90</v>
      </c>
      <c r="E1230" s="87">
        <f t="shared" si="276"/>
        <v>41306</v>
      </c>
      <c r="F1230" s="83"/>
      <c r="G1230" s="92">
        <v>4508</v>
      </c>
      <c r="H1230" s="52">
        <v>866</v>
      </c>
      <c r="I1230" s="52" t="s">
        <v>94</v>
      </c>
      <c r="J1230" s="157">
        <f t="shared" si="277"/>
        <v>0.5</v>
      </c>
      <c r="K1230" s="101">
        <f t="shared" si="269"/>
        <v>44.766633565044685</v>
      </c>
      <c r="L1230" s="101">
        <f t="shared" si="270"/>
        <v>1.1371531531531531</v>
      </c>
      <c r="M1230" s="133">
        <f t="shared" si="271"/>
        <v>433</v>
      </c>
      <c r="N1230" s="133">
        <f t="shared" si="272"/>
        <v>4941</v>
      </c>
      <c r="O1230" s="134">
        <f t="shared" si="273"/>
        <v>49.066534260178749</v>
      </c>
      <c r="P1230" s="134">
        <f t="shared" si="274"/>
        <v>1.2463783783783784</v>
      </c>
      <c r="R1230" s="149">
        <f t="shared" si="275"/>
        <v>3.1735094027588007</v>
      </c>
    </row>
    <row r="1231" spans="1:18" ht="14.45" x14ac:dyDescent="0.3">
      <c r="A1231" s="82" t="s">
        <v>134</v>
      </c>
      <c r="B1231" s="82" t="s">
        <v>16</v>
      </c>
      <c r="C1231" s="82" t="s">
        <v>17</v>
      </c>
      <c r="D1231" s="82" t="s">
        <v>90</v>
      </c>
      <c r="E1231" s="87">
        <f t="shared" si="276"/>
        <v>41306</v>
      </c>
      <c r="F1231" s="83"/>
      <c r="G1231" s="92">
        <v>2006</v>
      </c>
      <c r="H1231" s="52">
        <v>213</v>
      </c>
      <c r="I1231" s="52" t="s">
        <v>92</v>
      </c>
      <c r="J1231" s="157">
        <f t="shared" si="277"/>
        <v>0.38</v>
      </c>
      <c r="K1231" s="101">
        <f t="shared" si="269"/>
        <v>19.920556107249254</v>
      </c>
      <c r="L1231" s="101">
        <f t="shared" si="270"/>
        <v>0.50601801801801805</v>
      </c>
      <c r="M1231" s="133">
        <f t="shared" si="271"/>
        <v>80.94</v>
      </c>
      <c r="N1231" s="133">
        <f t="shared" si="272"/>
        <v>2086.94</v>
      </c>
      <c r="O1231" s="134">
        <f t="shared" si="273"/>
        <v>20.724329692154914</v>
      </c>
      <c r="P1231" s="134">
        <f t="shared" si="274"/>
        <v>0.52643531531531529</v>
      </c>
      <c r="R1231" s="149">
        <f t="shared" si="275"/>
        <v>3.7927467324487152</v>
      </c>
    </row>
    <row r="1232" spans="1:18" ht="14.45" x14ac:dyDescent="0.3">
      <c r="A1232" s="82" t="s">
        <v>134</v>
      </c>
      <c r="B1232" s="82" t="s">
        <v>18</v>
      </c>
      <c r="C1232" s="82" t="s">
        <v>19</v>
      </c>
      <c r="D1232" s="82" t="s">
        <v>90</v>
      </c>
      <c r="E1232" s="87">
        <f t="shared" si="276"/>
        <v>41306</v>
      </c>
      <c r="F1232" s="83"/>
      <c r="G1232" s="92">
        <v>3920</v>
      </c>
      <c r="H1232" s="52">
        <v>650</v>
      </c>
      <c r="I1232" s="52" t="s">
        <v>94</v>
      </c>
      <c r="J1232" s="157">
        <f t="shared" si="277"/>
        <v>0.5</v>
      </c>
      <c r="K1232" s="101">
        <f t="shared" si="269"/>
        <v>38.927507447864947</v>
      </c>
      <c r="L1232" s="101">
        <f t="shared" si="270"/>
        <v>0.98882882882882883</v>
      </c>
      <c r="M1232" s="133">
        <f t="shared" si="271"/>
        <v>325</v>
      </c>
      <c r="N1232" s="133">
        <f t="shared" si="272"/>
        <v>4245</v>
      </c>
      <c r="O1232" s="134">
        <f t="shared" si="273"/>
        <v>42.154915590863951</v>
      </c>
      <c r="P1232" s="134">
        <f t="shared" si="274"/>
        <v>1.0708108108108108</v>
      </c>
      <c r="R1232" s="149">
        <f t="shared" si="275"/>
        <v>2.8716830243547875</v>
      </c>
    </row>
    <row r="1233" spans="1:18" ht="14.45" x14ac:dyDescent="0.3">
      <c r="A1233" s="82" t="s">
        <v>134</v>
      </c>
      <c r="B1233" s="82" t="s">
        <v>18</v>
      </c>
      <c r="C1233" s="82" t="s">
        <v>20</v>
      </c>
      <c r="D1233" s="82" t="s">
        <v>90</v>
      </c>
      <c r="E1233" s="87">
        <f t="shared" si="276"/>
        <v>41306</v>
      </c>
      <c r="F1233" s="83"/>
      <c r="G1233" s="92">
        <v>3354</v>
      </c>
      <c r="H1233" s="52">
        <v>417</v>
      </c>
      <c r="I1233" s="52" t="s">
        <v>94</v>
      </c>
      <c r="J1233" s="157">
        <f t="shared" si="277"/>
        <v>0.5</v>
      </c>
      <c r="K1233" s="101">
        <f t="shared" si="269"/>
        <v>33.306852035749749</v>
      </c>
      <c r="L1233" s="101">
        <f t="shared" si="270"/>
        <v>0.84605405405405409</v>
      </c>
      <c r="M1233" s="133">
        <f t="shared" si="271"/>
        <v>208.5</v>
      </c>
      <c r="N1233" s="133">
        <f t="shared" si="272"/>
        <v>3562.5</v>
      </c>
      <c r="O1233" s="134">
        <f t="shared" si="273"/>
        <v>35.377358490566039</v>
      </c>
      <c r="P1233" s="134">
        <f t="shared" si="274"/>
        <v>0.89864864864864868</v>
      </c>
      <c r="R1233" s="149">
        <f t="shared" si="275"/>
        <v>2.6955972775937642</v>
      </c>
    </row>
    <row r="1234" spans="1:18" ht="14.45" x14ac:dyDescent="0.3">
      <c r="A1234" s="82" t="s">
        <v>134</v>
      </c>
      <c r="B1234" s="82" t="s">
        <v>16</v>
      </c>
      <c r="C1234" s="82" t="s">
        <v>21</v>
      </c>
      <c r="D1234" s="82" t="s">
        <v>90</v>
      </c>
      <c r="E1234" s="87">
        <f t="shared" si="276"/>
        <v>41306</v>
      </c>
      <c r="F1234" s="83"/>
      <c r="G1234" s="92">
        <v>3154</v>
      </c>
      <c r="H1234" s="52">
        <v>626</v>
      </c>
      <c r="I1234" s="52" t="s">
        <v>92</v>
      </c>
      <c r="J1234" s="157">
        <f t="shared" si="277"/>
        <v>0.38</v>
      </c>
      <c r="K1234" s="101">
        <f t="shared" si="269"/>
        <v>31.320754716981131</v>
      </c>
      <c r="L1234" s="101">
        <f t="shared" si="270"/>
        <v>0.7956036036036036</v>
      </c>
      <c r="M1234" s="133">
        <f t="shared" si="271"/>
        <v>237.88</v>
      </c>
      <c r="N1234" s="133">
        <f t="shared" si="272"/>
        <v>3391.88</v>
      </c>
      <c r="O1234" s="134">
        <f t="shared" si="273"/>
        <v>33.683018867924531</v>
      </c>
      <c r="P1234" s="134">
        <f t="shared" si="274"/>
        <v>0.85560936936936938</v>
      </c>
      <c r="R1234" s="149">
        <f t="shared" si="275"/>
        <v>2.8041802046457454</v>
      </c>
    </row>
    <row r="1235" spans="1:18" ht="14.45" x14ac:dyDescent="0.3">
      <c r="A1235" s="82" t="s">
        <v>134</v>
      </c>
      <c r="B1235" s="82" t="s">
        <v>16</v>
      </c>
      <c r="C1235" s="82" t="s">
        <v>6</v>
      </c>
      <c r="D1235" s="82" t="s">
        <v>90</v>
      </c>
      <c r="E1235" s="87">
        <f t="shared" si="276"/>
        <v>41306</v>
      </c>
      <c r="F1235" s="83"/>
      <c r="G1235" s="92">
        <v>5065</v>
      </c>
      <c r="H1235" s="52">
        <v>1823</v>
      </c>
      <c r="I1235" s="52" t="s">
        <v>92</v>
      </c>
      <c r="J1235" s="157">
        <f t="shared" si="277"/>
        <v>0.38</v>
      </c>
      <c r="K1235" s="101">
        <f t="shared" si="269"/>
        <v>50.297914597815293</v>
      </c>
      <c r="L1235" s="101">
        <f t="shared" si="270"/>
        <v>1.2776576576576577</v>
      </c>
      <c r="M1235" s="133">
        <f t="shared" si="271"/>
        <v>692.74</v>
      </c>
      <c r="N1235" s="133">
        <f t="shared" si="272"/>
        <v>5757.74</v>
      </c>
      <c r="O1235" s="134">
        <f t="shared" si="273"/>
        <v>57.177159880834154</v>
      </c>
      <c r="P1235" s="134">
        <f t="shared" si="274"/>
        <v>1.4524028828828828</v>
      </c>
      <c r="R1235" s="149">
        <f t="shared" si="275"/>
        <v>2.0644250950138998</v>
      </c>
    </row>
    <row r="1236" spans="1:18" ht="14.45" x14ac:dyDescent="0.3">
      <c r="A1236" s="82" t="s">
        <v>22</v>
      </c>
      <c r="B1236" s="82" t="s">
        <v>23</v>
      </c>
      <c r="C1236" s="82" t="s">
        <v>7</v>
      </c>
      <c r="D1236" s="82" t="s">
        <v>90</v>
      </c>
      <c r="E1236" s="87">
        <f t="shared" si="276"/>
        <v>41306</v>
      </c>
      <c r="F1236" s="83"/>
      <c r="G1236" s="92">
        <v>3659</v>
      </c>
      <c r="H1236" s="52">
        <v>1295</v>
      </c>
      <c r="I1236" s="52" t="s">
        <v>95</v>
      </c>
      <c r="J1236" s="157">
        <f t="shared" si="277"/>
        <v>0.32200000000000001</v>
      </c>
      <c r="K1236" s="101">
        <f t="shared" si="269"/>
        <v>36.335650446871895</v>
      </c>
      <c r="L1236" s="101">
        <f t="shared" si="270"/>
        <v>0.98891891891891892</v>
      </c>
      <c r="M1236" s="133">
        <f t="shared" si="271"/>
        <v>416.99</v>
      </c>
      <c r="N1236" s="133">
        <f t="shared" si="272"/>
        <v>4075.99</v>
      </c>
      <c r="O1236" s="134">
        <f t="shared" si="273"/>
        <v>40.476564051638526</v>
      </c>
      <c r="P1236" s="134">
        <f t="shared" si="274"/>
        <v>1.1016189189189189</v>
      </c>
      <c r="R1236" s="149">
        <f t="shared" si="275"/>
        <v>4.6812350977831985</v>
      </c>
    </row>
    <row r="1237" spans="1:18" ht="14.45" x14ac:dyDescent="0.3">
      <c r="A1237" s="82" t="s">
        <v>22</v>
      </c>
      <c r="B1237" s="82" t="s">
        <v>14</v>
      </c>
      <c r="C1237" s="82" t="s">
        <v>24</v>
      </c>
      <c r="D1237" s="82" t="s">
        <v>90</v>
      </c>
      <c r="E1237" s="87">
        <f t="shared" si="276"/>
        <v>41306</v>
      </c>
      <c r="F1237" s="83"/>
      <c r="G1237" s="92">
        <v>3575</v>
      </c>
      <c r="H1237" s="52">
        <v>615</v>
      </c>
      <c r="I1237" s="52" t="s">
        <v>94</v>
      </c>
      <c r="J1237" s="157">
        <f t="shared" si="277"/>
        <v>0.5</v>
      </c>
      <c r="K1237" s="101">
        <f t="shared" si="269"/>
        <v>35.501489572989072</v>
      </c>
      <c r="L1237" s="101">
        <f t="shared" si="270"/>
        <v>0.96621621621621623</v>
      </c>
      <c r="M1237" s="133">
        <f t="shared" si="271"/>
        <v>307.5</v>
      </c>
      <c r="N1237" s="133">
        <f t="shared" si="272"/>
        <v>3882.5</v>
      </c>
      <c r="O1237" s="134">
        <f t="shared" si="273"/>
        <v>38.555114200595831</v>
      </c>
      <c r="P1237" s="134">
        <f t="shared" si="274"/>
        <v>1.0493243243243244</v>
      </c>
      <c r="R1237" s="149">
        <f t="shared" si="275"/>
        <v>2.5475099377979538</v>
      </c>
    </row>
    <row r="1238" spans="1:18" ht="14.45" x14ac:dyDescent="0.3">
      <c r="A1238" s="82" t="s">
        <v>22</v>
      </c>
      <c r="B1238" s="82" t="s">
        <v>18</v>
      </c>
      <c r="C1238" s="82" t="s">
        <v>15</v>
      </c>
      <c r="D1238" s="82" t="s">
        <v>90</v>
      </c>
      <c r="E1238" s="87">
        <f t="shared" si="276"/>
        <v>41306</v>
      </c>
      <c r="F1238" s="83"/>
      <c r="G1238" s="92">
        <v>4578</v>
      </c>
      <c r="H1238" s="52">
        <v>872</v>
      </c>
      <c r="I1238" s="52" t="s">
        <v>94</v>
      </c>
      <c r="J1238" s="157">
        <f t="shared" si="277"/>
        <v>0.5</v>
      </c>
      <c r="K1238" s="101">
        <f t="shared" si="269"/>
        <v>45.4617676266137</v>
      </c>
      <c r="L1238" s="101">
        <f t="shared" si="270"/>
        <v>1.2372972972972973</v>
      </c>
      <c r="M1238" s="133">
        <f t="shared" si="271"/>
        <v>436</v>
      </c>
      <c r="N1238" s="133">
        <f t="shared" si="272"/>
        <v>5014</v>
      </c>
      <c r="O1238" s="134">
        <f t="shared" si="273"/>
        <v>49.791459781529291</v>
      </c>
      <c r="P1238" s="134">
        <f t="shared" si="274"/>
        <v>1.3551351351351351</v>
      </c>
      <c r="R1238" s="149">
        <f t="shared" si="275"/>
        <v>3.1084715927318207</v>
      </c>
    </row>
    <row r="1239" spans="1:18" ht="14.45" x14ac:dyDescent="0.3">
      <c r="A1239" s="82" t="s">
        <v>22</v>
      </c>
      <c r="B1239" s="82" t="s">
        <v>18</v>
      </c>
      <c r="C1239" s="82" t="s">
        <v>24</v>
      </c>
      <c r="D1239" s="82" t="s">
        <v>90</v>
      </c>
      <c r="E1239" s="87">
        <f t="shared" si="276"/>
        <v>41306</v>
      </c>
      <c r="F1239" s="83"/>
      <c r="G1239" s="92">
        <v>3267</v>
      </c>
      <c r="H1239" s="52">
        <v>417</v>
      </c>
      <c r="I1239" s="52" t="s">
        <v>94</v>
      </c>
      <c r="J1239" s="157">
        <f t="shared" si="277"/>
        <v>0.5</v>
      </c>
      <c r="K1239" s="101">
        <f t="shared" si="269"/>
        <v>32.442899702085398</v>
      </c>
      <c r="L1239" s="101">
        <f t="shared" si="270"/>
        <v>0.88297297297297295</v>
      </c>
      <c r="M1239" s="133">
        <f t="shared" si="271"/>
        <v>208.5</v>
      </c>
      <c r="N1239" s="133">
        <f t="shared" si="272"/>
        <v>3475.5</v>
      </c>
      <c r="O1239" s="134">
        <f t="shared" si="273"/>
        <v>34.513406156901688</v>
      </c>
      <c r="P1239" s="134">
        <f t="shared" si="274"/>
        <v>0.93932432432432433</v>
      </c>
      <c r="R1239" s="149">
        <f t="shared" si="275"/>
        <v>2.6738631428748771</v>
      </c>
    </row>
    <row r="1240" spans="1:18" ht="14.45" x14ac:dyDescent="0.3">
      <c r="A1240" s="82" t="s">
        <v>22</v>
      </c>
      <c r="B1240" s="82" t="s">
        <v>13</v>
      </c>
      <c r="C1240" s="82" t="s">
        <v>7</v>
      </c>
      <c r="D1240" s="82" t="s">
        <v>90</v>
      </c>
      <c r="E1240" s="87">
        <f t="shared" si="276"/>
        <v>41306</v>
      </c>
      <c r="F1240" s="83"/>
      <c r="G1240" s="92">
        <v>3599</v>
      </c>
      <c r="H1240" s="52">
        <v>1006</v>
      </c>
      <c r="I1240" s="52" t="s">
        <v>92</v>
      </c>
      <c r="J1240" s="157">
        <f t="shared" si="277"/>
        <v>0.38</v>
      </c>
      <c r="K1240" s="101">
        <f t="shared" si="269"/>
        <v>35.73982125124131</v>
      </c>
      <c r="L1240" s="101">
        <f t="shared" si="270"/>
        <v>0.97270270270270265</v>
      </c>
      <c r="M1240" s="133">
        <f t="shared" si="271"/>
        <v>382.28000000000003</v>
      </c>
      <c r="N1240" s="133">
        <f t="shared" si="272"/>
        <v>3981.28</v>
      </c>
      <c r="O1240" s="134">
        <f t="shared" si="273"/>
        <v>39.536047666335648</v>
      </c>
      <c r="P1240" s="134">
        <f t="shared" si="274"/>
        <v>1.0760216216216216</v>
      </c>
      <c r="R1240" s="149">
        <f t="shared" si="275"/>
        <v>6.3330626896286546</v>
      </c>
    </row>
    <row r="1241" spans="1:18" ht="14.45" x14ac:dyDescent="0.3">
      <c r="A1241" s="82" t="s">
        <v>1</v>
      </c>
      <c r="B1241" s="82" t="s">
        <v>25</v>
      </c>
      <c r="C1241" s="82" t="s">
        <v>26</v>
      </c>
      <c r="D1241" s="82" t="s">
        <v>91</v>
      </c>
      <c r="E1241" s="87">
        <f t="shared" si="276"/>
        <v>41306</v>
      </c>
      <c r="F1241" s="83"/>
      <c r="G1241" s="92">
        <v>3580</v>
      </c>
      <c r="H1241" s="52">
        <v>880</v>
      </c>
      <c r="I1241" s="52" t="s">
        <v>93</v>
      </c>
      <c r="J1241" s="157">
        <f t="shared" si="277"/>
        <v>0.37</v>
      </c>
      <c r="K1241" s="101">
        <f t="shared" si="269"/>
        <v>35.55114200595829</v>
      </c>
      <c r="L1241" s="101">
        <f t="shared" si="270"/>
        <v>0.96756756756756757</v>
      </c>
      <c r="M1241" s="133">
        <f t="shared" si="271"/>
        <v>325.60000000000002</v>
      </c>
      <c r="N1241" s="133">
        <f t="shared" si="272"/>
        <v>3905.6</v>
      </c>
      <c r="O1241" s="134">
        <f t="shared" si="273"/>
        <v>38.784508440913605</v>
      </c>
      <c r="P1241" s="134">
        <f t="shared" si="274"/>
        <v>1.0555675675675675</v>
      </c>
      <c r="R1241" s="149">
        <f t="shared" si="275"/>
        <v>6.7395463241322728</v>
      </c>
    </row>
    <row r="1242" spans="1:18" ht="14.45" x14ac:dyDescent="0.3">
      <c r="A1242" s="82" t="s">
        <v>1</v>
      </c>
      <c r="B1242" s="82" t="s">
        <v>2</v>
      </c>
      <c r="C1242" s="82" t="s">
        <v>9</v>
      </c>
      <c r="D1242" s="82" t="s">
        <v>91</v>
      </c>
      <c r="E1242" s="87">
        <f t="shared" si="276"/>
        <v>41306</v>
      </c>
      <c r="F1242" s="83"/>
      <c r="G1242" s="92">
        <v>3634</v>
      </c>
      <c r="H1242" s="52">
        <v>685</v>
      </c>
      <c r="I1242" s="52" t="s">
        <v>93</v>
      </c>
      <c r="J1242" s="157">
        <f t="shared" si="277"/>
        <v>0.37</v>
      </c>
      <c r="K1242" s="101">
        <f t="shared" si="269"/>
        <v>36.08738828202582</v>
      </c>
      <c r="L1242" s="101">
        <f t="shared" si="270"/>
        <v>0.98216216216216212</v>
      </c>
      <c r="M1242" s="133">
        <f t="shared" si="271"/>
        <v>253.45</v>
      </c>
      <c r="N1242" s="133">
        <f t="shared" si="272"/>
        <v>3887.45</v>
      </c>
      <c r="O1242" s="134">
        <f t="shared" si="273"/>
        <v>38.604270109235351</v>
      </c>
      <c r="P1242" s="134">
        <f t="shared" si="274"/>
        <v>1.0506621621621621</v>
      </c>
      <c r="R1242" s="149">
        <f t="shared" si="275"/>
        <v>11.492077149207702</v>
      </c>
    </row>
    <row r="1243" spans="1:18" ht="14.45" x14ac:dyDescent="0.3">
      <c r="A1243" s="82" t="s">
        <v>1</v>
      </c>
      <c r="B1243" s="82" t="s">
        <v>27</v>
      </c>
      <c r="C1243" s="82" t="s">
        <v>28</v>
      </c>
      <c r="D1243" s="82" t="s">
        <v>91</v>
      </c>
      <c r="E1243" s="87">
        <f t="shared" si="276"/>
        <v>41306</v>
      </c>
      <c r="F1243" s="83"/>
      <c r="G1243" s="92">
        <v>3771</v>
      </c>
      <c r="H1243" s="52">
        <v>812</v>
      </c>
      <c r="I1243" s="52" t="s">
        <v>94</v>
      </c>
      <c r="J1243" s="157">
        <f t="shared" si="277"/>
        <v>0.5</v>
      </c>
      <c r="K1243" s="101">
        <f t="shared" si="269"/>
        <v>37.447864945382321</v>
      </c>
      <c r="L1243" s="101">
        <f t="shared" si="270"/>
        <v>1.0191891891891891</v>
      </c>
      <c r="M1243" s="133">
        <f t="shared" si="271"/>
        <v>406</v>
      </c>
      <c r="N1243" s="133">
        <f t="shared" si="272"/>
        <v>4177</v>
      </c>
      <c r="O1243" s="134">
        <f t="shared" si="273"/>
        <v>41.479642502482619</v>
      </c>
      <c r="P1243" s="134">
        <f t="shared" si="274"/>
        <v>1.1289189189189188</v>
      </c>
      <c r="R1243" s="149">
        <f t="shared" si="275"/>
        <v>3.7341306896072179</v>
      </c>
    </row>
    <row r="1244" spans="1:18" ht="14.45" x14ac:dyDescent="0.3">
      <c r="A1244" s="82" t="s">
        <v>1</v>
      </c>
      <c r="B1244" s="82" t="s">
        <v>4</v>
      </c>
      <c r="C1244" s="82" t="s">
        <v>26</v>
      </c>
      <c r="D1244" s="82" t="s">
        <v>91</v>
      </c>
      <c r="E1244" s="87">
        <f t="shared" si="276"/>
        <v>41306</v>
      </c>
      <c r="F1244" s="83"/>
      <c r="G1244" s="92">
        <v>5061</v>
      </c>
      <c r="H1244" s="52">
        <v>1520</v>
      </c>
      <c r="I1244" s="52" t="s">
        <v>93</v>
      </c>
      <c r="J1244" s="157">
        <f t="shared" si="277"/>
        <v>0.37</v>
      </c>
      <c r="K1244" s="101">
        <f t="shared" si="269"/>
        <v>50.25819265143992</v>
      </c>
      <c r="L1244" s="101">
        <f t="shared" si="270"/>
        <v>1.3678378378378377</v>
      </c>
      <c r="M1244" s="133">
        <f t="shared" si="271"/>
        <v>562.4</v>
      </c>
      <c r="N1244" s="133">
        <f t="shared" si="272"/>
        <v>5623.4</v>
      </c>
      <c r="O1244" s="134">
        <f t="shared" si="273"/>
        <v>55.843098311817272</v>
      </c>
      <c r="P1244" s="134">
        <f t="shared" si="274"/>
        <v>1.5198378378378377</v>
      </c>
      <c r="R1244" s="149">
        <f t="shared" si="275"/>
        <v>4.8359433258762019</v>
      </c>
    </row>
    <row r="1245" spans="1:18" ht="14.45" x14ac:dyDescent="0.3">
      <c r="A1245" s="82" t="s">
        <v>1</v>
      </c>
      <c r="B1245" s="82" t="s">
        <v>4</v>
      </c>
      <c r="C1245" s="82" t="s">
        <v>9</v>
      </c>
      <c r="D1245" s="82" t="s">
        <v>91</v>
      </c>
      <c r="E1245" s="87">
        <f t="shared" si="276"/>
        <v>41306</v>
      </c>
      <c r="F1245" s="83"/>
      <c r="G1245" s="92">
        <v>6082</v>
      </c>
      <c r="H1245" s="52">
        <v>1583</v>
      </c>
      <c r="I1245" s="52" t="s">
        <v>93</v>
      </c>
      <c r="J1245" s="157">
        <f t="shared" si="277"/>
        <v>0.37</v>
      </c>
      <c r="K1245" s="101">
        <f t="shared" si="269"/>
        <v>60.397219463753721</v>
      </c>
      <c r="L1245" s="101">
        <f t="shared" si="270"/>
        <v>1.6437837837837839</v>
      </c>
      <c r="M1245" s="133">
        <f t="shared" si="271"/>
        <v>585.71</v>
      </c>
      <c r="N1245" s="133">
        <f t="shared" si="272"/>
        <v>6667.71</v>
      </c>
      <c r="O1245" s="134">
        <f t="shared" si="273"/>
        <v>66.213604766633566</v>
      </c>
      <c r="P1245" s="134">
        <f t="shared" si="274"/>
        <v>1.8020837837837838</v>
      </c>
      <c r="R1245" s="149">
        <f t="shared" si="275"/>
        <v>4.052090729629132</v>
      </c>
    </row>
    <row r="1246" spans="1:18" ht="14.45" x14ac:dyDescent="0.3">
      <c r="A1246" s="82" t="s">
        <v>1</v>
      </c>
      <c r="B1246" s="82" t="s">
        <v>10</v>
      </c>
      <c r="C1246" s="82" t="s">
        <v>26</v>
      </c>
      <c r="D1246" s="82" t="s">
        <v>91</v>
      </c>
      <c r="E1246" s="87">
        <f t="shared" si="276"/>
        <v>41306</v>
      </c>
      <c r="F1246" s="83"/>
      <c r="G1246" s="92">
        <v>4880</v>
      </c>
      <c r="H1246" s="52">
        <v>1599</v>
      </c>
      <c r="I1246" s="52" t="s">
        <v>92</v>
      </c>
      <c r="J1246" s="157">
        <f t="shared" si="277"/>
        <v>0.38</v>
      </c>
      <c r="K1246" s="101">
        <f t="shared" si="269"/>
        <v>48.460774577954318</v>
      </c>
      <c r="L1246" s="101">
        <f t="shared" si="270"/>
        <v>1.318918918918919</v>
      </c>
      <c r="M1246" s="133">
        <f t="shared" si="271"/>
        <v>607.62</v>
      </c>
      <c r="N1246" s="133">
        <f t="shared" si="272"/>
        <v>5487.62</v>
      </c>
      <c r="O1246" s="134">
        <f t="shared" si="273"/>
        <v>54.494736842105262</v>
      </c>
      <c r="P1246" s="134">
        <f t="shared" si="274"/>
        <v>1.4831405405405405</v>
      </c>
      <c r="R1246" s="149">
        <f t="shared" si="275"/>
        <v>3.4884510357105158</v>
      </c>
    </row>
    <row r="1247" spans="1:18" ht="14.45" x14ac:dyDescent="0.3">
      <c r="A1247" s="82" t="s">
        <v>134</v>
      </c>
      <c r="B1247" s="82" t="s">
        <v>23</v>
      </c>
      <c r="C1247" s="82" t="s">
        <v>26</v>
      </c>
      <c r="D1247" s="82" t="s">
        <v>91</v>
      </c>
      <c r="E1247" s="87">
        <f t="shared" si="276"/>
        <v>41306</v>
      </c>
      <c r="F1247" s="83"/>
      <c r="G1247" s="92">
        <v>4800</v>
      </c>
      <c r="H1247" s="52">
        <v>1851</v>
      </c>
      <c r="I1247" s="52" t="s">
        <v>93</v>
      </c>
      <c r="J1247" s="157">
        <f t="shared" si="277"/>
        <v>0.37</v>
      </c>
      <c r="K1247" s="101">
        <f t="shared" si="269"/>
        <v>47.666335650446868</v>
      </c>
      <c r="L1247" s="101">
        <f t="shared" si="270"/>
        <v>1.2108108108108109</v>
      </c>
      <c r="M1247" s="133">
        <f t="shared" si="271"/>
        <v>684.87</v>
      </c>
      <c r="N1247" s="133">
        <f t="shared" si="272"/>
        <v>5484.87</v>
      </c>
      <c r="O1247" s="134">
        <f t="shared" si="273"/>
        <v>54.467428003972195</v>
      </c>
      <c r="P1247" s="134">
        <f t="shared" si="274"/>
        <v>1.3835708108108109</v>
      </c>
      <c r="R1247" s="149">
        <f t="shared" si="275"/>
        <v>0.67953412814227843</v>
      </c>
    </row>
    <row r="1248" spans="1:18" ht="14.45" x14ac:dyDescent="0.3">
      <c r="A1248" s="82" t="s">
        <v>134</v>
      </c>
      <c r="B1248" s="82" t="s">
        <v>8</v>
      </c>
      <c r="C1248" s="82" t="s">
        <v>29</v>
      </c>
      <c r="D1248" s="82" t="s">
        <v>91</v>
      </c>
      <c r="E1248" s="87">
        <f t="shared" si="276"/>
        <v>41306</v>
      </c>
      <c r="F1248" s="83"/>
      <c r="G1248" s="92">
        <v>4760</v>
      </c>
      <c r="H1248" s="52">
        <v>1695</v>
      </c>
      <c r="I1248" s="52" t="s">
        <v>93</v>
      </c>
      <c r="J1248" s="157">
        <f t="shared" si="277"/>
        <v>0.37</v>
      </c>
      <c r="K1248" s="101">
        <f t="shared" ref="K1248:K1285" si="278">G1248/100.7</f>
        <v>47.269116186693147</v>
      </c>
      <c r="L1248" s="101">
        <f t="shared" ref="L1248:L1285" si="279">IF(A1248="corn",G1248/(111*2000/56),G1248/(111*2000/60))</f>
        <v>1.2007207207207207</v>
      </c>
      <c r="M1248" s="133">
        <f t="shared" ref="M1248:M1285" si="280">H1248*J1248</f>
        <v>627.15</v>
      </c>
      <c r="N1248" s="133">
        <f t="shared" ref="N1248:N1285" si="281">G1248+M1248</f>
        <v>5387.15</v>
      </c>
      <c r="O1248" s="134">
        <f t="shared" ref="O1248:O1285" si="282">N1248/100.7</f>
        <v>53.497020854021841</v>
      </c>
      <c r="P1248" s="134">
        <f t="shared" ref="P1248:P1285" si="283">IF(A1248="corn",N1248/(111*2000/56),N1248/(111*2000/60))</f>
        <v>1.3589207207207206</v>
      </c>
      <c r="R1248" s="149">
        <f t="shared" si="275"/>
        <v>0.63326016905618232</v>
      </c>
    </row>
    <row r="1249" spans="1:20" ht="14.45" x14ac:dyDescent="0.3">
      <c r="A1249" s="82" t="s">
        <v>134</v>
      </c>
      <c r="B1249" s="82" t="s">
        <v>13</v>
      </c>
      <c r="C1249" s="82" t="s">
        <v>7</v>
      </c>
      <c r="D1249" s="82" t="s">
        <v>91</v>
      </c>
      <c r="E1249" s="87">
        <f t="shared" si="276"/>
        <v>41306</v>
      </c>
      <c r="F1249" s="83"/>
      <c r="G1249" s="92">
        <v>2929</v>
      </c>
      <c r="H1249" s="52">
        <v>1006</v>
      </c>
      <c r="I1249" s="52" t="s">
        <v>92</v>
      </c>
      <c r="J1249" s="157">
        <f t="shared" si="277"/>
        <v>0.38</v>
      </c>
      <c r="K1249" s="101">
        <f t="shared" si="278"/>
        <v>29.086395233366435</v>
      </c>
      <c r="L1249" s="101">
        <f t="shared" si="279"/>
        <v>0.73884684684684687</v>
      </c>
      <c r="M1249" s="133">
        <f t="shared" si="280"/>
        <v>382.28000000000003</v>
      </c>
      <c r="N1249" s="133">
        <f t="shared" si="281"/>
        <v>3311.28</v>
      </c>
      <c r="O1249" s="134">
        <f t="shared" si="282"/>
        <v>32.882621648460777</v>
      </c>
      <c r="P1249" s="134">
        <f t="shared" si="283"/>
        <v>0.83527783783783793</v>
      </c>
      <c r="R1249" s="149">
        <f t="shared" si="275"/>
        <v>2.8616160737583884</v>
      </c>
    </row>
    <row r="1250" spans="1:20" ht="14.45" x14ac:dyDescent="0.3">
      <c r="A1250" s="82" t="s">
        <v>134</v>
      </c>
      <c r="B1250" s="82" t="s">
        <v>30</v>
      </c>
      <c r="C1250" s="82" t="s">
        <v>9</v>
      </c>
      <c r="D1250" s="82" t="s">
        <v>91</v>
      </c>
      <c r="E1250" s="87">
        <f t="shared" si="276"/>
        <v>41306</v>
      </c>
      <c r="F1250" s="83"/>
      <c r="G1250" s="92">
        <v>3310</v>
      </c>
      <c r="H1250" s="52">
        <v>988</v>
      </c>
      <c r="I1250" s="52" t="s">
        <v>93</v>
      </c>
      <c r="J1250" s="157">
        <f t="shared" si="277"/>
        <v>0.37</v>
      </c>
      <c r="K1250" s="101">
        <f t="shared" si="278"/>
        <v>32.869910625620655</v>
      </c>
      <c r="L1250" s="101">
        <f t="shared" si="279"/>
        <v>0.83495495495495498</v>
      </c>
      <c r="M1250" s="133">
        <f t="shared" si="280"/>
        <v>365.56</v>
      </c>
      <c r="N1250" s="133">
        <f t="shared" si="281"/>
        <v>3675.56</v>
      </c>
      <c r="O1250" s="134">
        <f t="shared" si="282"/>
        <v>36.500099304865934</v>
      </c>
      <c r="P1250" s="134">
        <f t="shared" si="283"/>
        <v>0.92716828828828834</v>
      </c>
      <c r="R1250" s="149">
        <f t="shared" si="275"/>
        <v>0.54051096887137717</v>
      </c>
    </row>
    <row r="1251" spans="1:20" ht="14.45" x14ac:dyDescent="0.3">
      <c r="A1251" s="82" t="s">
        <v>134</v>
      </c>
      <c r="B1251" s="82" t="s">
        <v>16</v>
      </c>
      <c r="C1251" s="82" t="s">
        <v>11</v>
      </c>
      <c r="D1251" s="82" t="s">
        <v>91</v>
      </c>
      <c r="E1251" s="87">
        <f t="shared" si="276"/>
        <v>41306</v>
      </c>
      <c r="F1251" s="83"/>
      <c r="G1251" s="92">
        <v>3510</v>
      </c>
      <c r="H1251" s="52">
        <v>787</v>
      </c>
      <c r="I1251" s="52" t="s">
        <v>92</v>
      </c>
      <c r="J1251" s="157">
        <f t="shared" si="277"/>
        <v>0.38</v>
      </c>
      <c r="K1251" s="101">
        <f t="shared" si="278"/>
        <v>34.856007944389276</v>
      </c>
      <c r="L1251" s="101">
        <f t="shared" si="279"/>
        <v>0.88540540540540547</v>
      </c>
      <c r="M1251" s="133">
        <f t="shared" si="280"/>
        <v>299.06</v>
      </c>
      <c r="N1251" s="133">
        <f t="shared" si="281"/>
        <v>3809.06</v>
      </c>
      <c r="O1251" s="134">
        <f t="shared" si="282"/>
        <v>37.825819265143991</v>
      </c>
      <c r="P1251" s="134">
        <f t="shared" si="283"/>
        <v>0.96084396396396399</v>
      </c>
      <c r="R1251" s="149">
        <f t="shared" si="275"/>
        <v>2.5782857389075042</v>
      </c>
    </row>
    <row r="1252" spans="1:20" ht="14.45" x14ac:dyDescent="0.3">
      <c r="A1252" s="82" t="s">
        <v>134</v>
      </c>
      <c r="B1252" s="82" t="s">
        <v>23</v>
      </c>
      <c r="C1252" s="82" t="s">
        <v>29</v>
      </c>
      <c r="D1252" s="82" t="s">
        <v>91</v>
      </c>
      <c r="E1252" s="87">
        <f t="shared" si="276"/>
        <v>41306</v>
      </c>
      <c r="F1252" s="83"/>
      <c r="G1252" s="92">
        <v>4800</v>
      </c>
      <c r="H1252" s="52">
        <v>1836</v>
      </c>
      <c r="I1252" s="52" t="s">
        <v>93</v>
      </c>
      <c r="J1252" s="157">
        <f t="shared" si="277"/>
        <v>0.37</v>
      </c>
      <c r="K1252" s="101">
        <f t="shared" si="278"/>
        <v>47.666335650446868</v>
      </c>
      <c r="L1252" s="101">
        <f t="shared" si="279"/>
        <v>1.2108108108108109</v>
      </c>
      <c r="M1252" s="133">
        <f t="shared" si="280"/>
        <v>679.31999999999994</v>
      </c>
      <c r="N1252" s="133">
        <f t="shared" si="281"/>
        <v>5479.32</v>
      </c>
      <c r="O1252" s="134">
        <f t="shared" si="282"/>
        <v>54.412313803376364</v>
      </c>
      <c r="P1252" s="134">
        <f t="shared" si="283"/>
        <v>1.3821708108108108</v>
      </c>
      <c r="R1252" s="149">
        <f t="shared" si="275"/>
        <v>0.67467754382095624</v>
      </c>
    </row>
    <row r="1253" spans="1:20" ht="14.45" x14ac:dyDescent="0.3">
      <c r="A1253" s="82" t="s">
        <v>134</v>
      </c>
      <c r="B1253" s="82" t="s">
        <v>31</v>
      </c>
      <c r="C1253" s="82" t="s">
        <v>32</v>
      </c>
      <c r="D1253" s="82" t="s">
        <v>91</v>
      </c>
      <c r="E1253" s="87">
        <f t="shared" si="276"/>
        <v>41306</v>
      </c>
      <c r="F1253" s="83"/>
      <c r="G1253" s="92">
        <v>4200</v>
      </c>
      <c r="H1253" s="52">
        <v>1899</v>
      </c>
      <c r="I1253" s="52" t="s">
        <v>93</v>
      </c>
      <c r="J1253" s="157">
        <f t="shared" si="277"/>
        <v>0.37</v>
      </c>
      <c r="K1253" s="101">
        <f t="shared" si="278"/>
        <v>41.708043694141011</v>
      </c>
      <c r="L1253" s="101">
        <f t="shared" si="279"/>
        <v>1.0594594594594595</v>
      </c>
      <c r="M1253" s="133">
        <f t="shared" si="280"/>
        <v>702.63</v>
      </c>
      <c r="N1253" s="133">
        <f t="shared" si="281"/>
        <v>4902.63</v>
      </c>
      <c r="O1253" s="134">
        <f t="shared" si="282"/>
        <v>48.685501489572992</v>
      </c>
      <c r="P1253" s="134">
        <f t="shared" si="283"/>
        <v>1.2366994594594596</v>
      </c>
      <c r="R1253" s="149">
        <f t="shared" si="275"/>
        <v>0.78073448243964894</v>
      </c>
    </row>
    <row r="1254" spans="1:20" ht="14.45" x14ac:dyDescent="0.3">
      <c r="A1254" s="82" t="s">
        <v>22</v>
      </c>
      <c r="B1254" s="82" t="s">
        <v>8</v>
      </c>
      <c r="C1254" s="82" t="s">
        <v>29</v>
      </c>
      <c r="D1254" s="82" t="s">
        <v>91</v>
      </c>
      <c r="E1254" s="87">
        <f t="shared" si="276"/>
        <v>41306</v>
      </c>
      <c r="F1254" s="83"/>
      <c r="G1254" s="92">
        <v>5320</v>
      </c>
      <c r="H1254" s="52">
        <v>1695</v>
      </c>
      <c r="I1254" s="52" t="s">
        <v>93</v>
      </c>
      <c r="J1254" s="157">
        <f t="shared" si="277"/>
        <v>0.37</v>
      </c>
      <c r="K1254" s="101">
        <f t="shared" si="278"/>
        <v>52.830188679245282</v>
      </c>
      <c r="L1254" s="101">
        <f t="shared" si="279"/>
        <v>1.4378378378378378</v>
      </c>
      <c r="M1254" s="133">
        <f t="shared" si="280"/>
        <v>627.15</v>
      </c>
      <c r="N1254" s="133">
        <f t="shared" si="281"/>
        <v>5947.15</v>
      </c>
      <c r="O1254" s="134">
        <f t="shared" si="282"/>
        <v>59.058093346573976</v>
      </c>
      <c r="P1254" s="134">
        <f t="shared" si="283"/>
        <v>1.6073378378378378</v>
      </c>
      <c r="R1254" s="149">
        <f t="shared" si="275"/>
        <v>5.5722717791683252</v>
      </c>
    </row>
    <row r="1255" spans="1:20" ht="14.45" x14ac:dyDescent="0.3">
      <c r="A1255" s="82" t="s">
        <v>22</v>
      </c>
      <c r="B1255" s="82" t="s">
        <v>23</v>
      </c>
      <c r="C1255" s="82" t="s">
        <v>26</v>
      </c>
      <c r="D1255" s="82" t="s">
        <v>91</v>
      </c>
      <c r="E1255" s="87">
        <f t="shared" si="276"/>
        <v>41306</v>
      </c>
      <c r="F1255" s="83"/>
      <c r="G1255" s="92">
        <v>5330</v>
      </c>
      <c r="H1255" s="52">
        <v>1851</v>
      </c>
      <c r="I1255" s="52" t="s">
        <v>93</v>
      </c>
      <c r="J1255" s="157">
        <f t="shared" si="277"/>
        <v>0.37</v>
      </c>
      <c r="K1255" s="101">
        <f t="shared" si="278"/>
        <v>52.929493545183711</v>
      </c>
      <c r="L1255" s="101">
        <f t="shared" si="279"/>
        <v>1.4405405405405405</v>
      </c>
      <c r="M1255" s="133">
        <f t="shared" si="280"/>
        <v>684.87</v>
      </c>
      <c r="N1255" s="133">
        <f t="shared" si="281"/>
        <v>6014.87</v>
      </c>
      <c r="O1255" s="134">
        <f t="shared" si="282"/>
        <v>59.730585898709037</v>
      </c>
      <c r="P1255" s="134">
        <f t="shared" si="283"/>
        <v>1.6256405405405405</v>
      </c>
      <c r="R1255" s="149">
        <f t="shared" si="275"/>
        <v>5.9356974911277893</v>
      </c>
    </row>
    <row r="1256" spans="1:20" ht="14.45" x14ac:dyDescent="0.3">
      <c r="A1256" s="82" t="s">
        <v>22</v>
      </c>
      <c r="B1256" s="82" t="s">
        <v>33</v>
      </c>
      <c r="C1256" s="82" t="s">
        <v>29</v>
      </c>
      <c r="D1256" s="82" t="s">
        <v>91</v>
      </c>
      <c r="E1256" s="87">
        <f t="shared" si="276"/>
        <v>41306</v>
      </c>
      <c r="F1256" s="83"/>
      <c r="G1256" s="92">
        <v>5230</v>
      </c>
      <c r="H1256" s="52">
        <v>1507</v>
      </c>
      <c r="I1256" s="52" t="s">
        <v>93</v>
      </c>
      <c r="J1256" s="157">
        <f t="shared" si="277"/>
        <v>0.37</v>
      </c>
      <c r="K1256" s="101">
        <f t="shared" si="278"/>
        <v>51.936444885799403</v>
      </c>
      <c r="L1256" s="101">
        <f t="shared" si="279"/>
        <v>1.4135135135135135</v>
      </c>
      <c r="M1256" s="133">
        <f t="shared" si="280"/>
        <v>557.59</v>
      </c>
      <c r="N1256" s="133">
        <f t="shared" si="281"/>
        <v>5787.59</v>
      </c>
      <c r="O1256" s="134">
        <f t="shared" si="282"/>
        <v>57.473584905660374</v>
      </c>
      <c r="P1256" s="134">
        <f t="shared" si="283"/>
        <v>1.5642135135135136</v>
      </c>
      <c r="R1256" s="149">
        <f t="shared" si="275"/>
        <v>6.0493453902463745</v>
      </c>
    </row>
    <row r="1257" spans="1:20" ht="14.45" x14ac:dyDescent="0.3">
      <c r="A1257" s="82" t="s">
        <v>22</v>
      </c>
      <c r="B1257" s="82" t="s">
        <v>31</v>
      </c>
      <c r="C1257" s="82" t="s">
        <v>7</v>
      </c>
      <c r="D1257" s="82" t="s">
        <v>91</v>
      </c>
      <c r="E1257" s="87">
        <f t="shared" si="276"/>
        <v>41306</v>
      </c>
      <c r="F1257" s="83"/>
      <c r="G1257" s="92">
        <v>3950</v>
      </c>
      <c r="H1257" s="52">
        <v>1160</v>
      </c>
      <c r="I1257" s="52" t="s">
        <v>92</v>
      </c>
      <c r="J1257" s="157">
        <f t="shared" si="277"/>
        <v>0.38</v>
      </c>
      <c r="K1257" s="101">
        <f t="shared" si="278"/>
        <v>39.22542204568024</v>
      </c>
      <c r="L1257" s="101">
        <f t="shared" si="279"/>
        <v>1.0675675675675675</v>
      </c>
      <c r="M1257" s="133">
        <f t="shared" si="280"/>
        <v>440.8</v>
      </c>
      <c r="N1257" s="133">
        <f t="shared" si="281"/>
        <v>4390.8</v>
      </c>
      <c r="O1257" s="134">
        <f t="shared" si="282"/>
        <v>43.602780536246279</v>
      </c>
      <c r="P1257" s="134">
        <f t="shared" si="283"/>
        <v>1.1867027027027028</v>
      </c>
      <c r="R1257" s="149">
        <f t="shared" si="275"/>
        <v>6.376586878573498</v>
      </c>
    </row>
    <row r="1258" spans="1:20" ht="14.45" x14ac:dyDescent="0.3">
      <c r="A1258" s="82" t="s">
        <v>22</v>
      </c>
      <c r="B1258" s="82" t="s">
        <v>14</v>
      </c>
      <c r="C1258" s="82" t="s">
        <v>24</v>
      </c>
      <c r="D1258" s="82" t="s">
        <v>91</v>
      </c>
      <c r="E1258" s="87">
        <f t="shared" si="276"/>
        <v>41306</v>
      </c>
      <c r="F1258" s="83"/>
      <c r="G1258" s="92">
        <v>2750</v>
      </c>
      <c r="H1258" s="52">
        <v>615</v>
      </c>
      <c r="I1258" s="52" t="s">
        <v>94</v>
      </c>
      <c r="J1258" s="157">
        <f t="shared" si="277"/>
        <v>0.5</v>
      </c>
      <c r="K1258" s="101">
        <f t="shared" si="278"/>
        <v>27.308838133068519</v>
      </c>
      <c r="L1258" s="101">
        <f t="shared" si="279"/>
        <v>0.7432432432432432</v>
      </c>
      <c r="M1258" s="133">
        <f t="shared" si="280"/>
        <v>307.5</v>
      </c>
      <c r="N1258" s="133">
        <f t="shared" si="281"/>
        <v>3057.5</v>
      </c>
      <c r="O1258" s="134">
        <f t="shared" si="282"/>
        <v>30.362462760675271</v>
      </c>
      <c r="P1258" s="134">
        <f t="shared" si="283"/>
        <v>0.8263513513513514</v>
      </c>
      <c r="R1258" s="149">
        <f t="shared" si="275"/>
        <v>3.2572904881714271</v>
      </c>
    </row>
    <row r="1259" spans="1:20" ht="14.45" x14ac:dyDescent="0.3">
      <c r="A1259" s="118" t="s">
        <v>22</v>
      </c>
      <c r="B1259" s="118" t="s">
        <v>34</v>
      </c>
      <c r="C1259" s="118" t="s">
        <v>26</v>
      </c>
      <c r="D1259" s="118" t="s">
        <v>91</v>
      </c>
      <c r="E1259" s="119">
        <f t="shared" si="276"/>
        <v>41306</v>
      </c>
      <c r="F1259" s="120"/>
      <c r="G1259" s="105">
        <v>5195</v>
      </c>
      <c r="H1259" s="158">
        <v>1637</v>
      </c>
      <c r="I1259" s="158" t="s">
        <v>92</v>
      </c>
      <c r="J1259" s="122">
        <f t="shared" si="277"/>
        <v>0.38</v>
      </c>
      <c r="K1259" s="123">
        <f t="shared" si="278"/>
        <v>51.588877855014893</v>
      </c>
      <c r="L1259" s="123">
        <f t="shared" si="279"/>
        <v>1.404054054054054</v>
      </c>
      <c r="M1259" s="115">
        <f t="shared" si="280"/>
        <v>622.06000000000006</v>
      </c>
      <c r="N1259" s="115">
        <f t="shared" si="281"/>
        <v>5817.06</v>
      </c>
      <c r="O1259" s="116">
        <f t="shared" si="282"/>
        <v>57.766236345580936</v>
      </c>
      <c r="P1259" s="116">
        <f t="shared" si="283"/>
        <v>1.5721783783783785</v>
      </c>
      <c r="Q1259" s="106"/>
      <c r="R1259" s="152">
        <f t="shared" si="275"/>
        <v>1.9763968360821504</v>
      </c>
    </row>
    <row r="1260" spans="1:20" ht="14.45" x14ac:dyDescent="0.3">
      <c r="A1260" s="60" t="s">
        <v>1</v>
      </c>
      <c r="B1260" s="60" t="s">
        <v>2</v>
      </c>
      <c r="C1260" s="60" t="s">
        <v>3</v>
      </c>
      <c r="D1260" s="60" t="s">
        <v>90</v>
      </c>
      <c r="E1260" s="89">
        <v>41334</v>
      </c>
      <c r="F1260" s="61"/>
      <c r="G1260" s="92">
        <v>3144</v>
      </c>
      <c r="H1260" s="138">
        <v>506</v>
      </c>
      <c r="I1260" s="138" t="s">
        <v>92</v>
      </c>
      <c r="J1260" s="141">
        <f>IF(I1260="BNSF",0.36,IF(I1260="CN",0.3105,IF(I1260="CSX",0.48,0.37)))</f>
        <v>0.37</v>
      </c>
      <c r="K1260" s="95">
        <f t="shared" si="278"/>
        <v>31.221449851042699</v>
      </c>
      <c r="L1260" s="95">
        <f t="shared" si="279"/>
        <v>0.84972972972972971</v>
      </c>
      <c r="M1260" s="133">
        <f t="shared" si="280"/>
        <v>187.22</v>
      </c>
      <c r="N1260" s="133">
        <f t="shared" si="281"/>
        <v>3331.22</v>
      </c>
      <c r="O1260" s="134">
        <f t="shared" si="282"/>
        <v>33.080635551142002</v>
      </c>
      <c r="P1260" s="134">
        <f t="shared" si="283"/>
        <v>0.90032972972972969</v>
      </c>
      <c r="Q1260" s="160"/>
      <c r="R1260" s="149">
        <f t="shared" ref="R1260:R1297" si="284">((N1260/N804)-1)*100</f>
        <v>5.1156479757659801</v>
      </c>
      <c r="S1260" s="140">
        <f>AVERAGE(O1184,O1222,O1260)</f>
        <v>33.130883813306845</v>
      </c>
      <c r="T1260" s="151">
        <f>(S1260/S1146)-1</f>
        <v>-2.5213919678220842E-3</v>
      </c>
    </row>
    <row r="1261" spans="1:20" ht="14.45" x14ac:dyDescent="0.3">
      <c r="A1261" s="60" t="s">
        <v>1</v>
      </c>
      <c r="B1261" s="60" t="s">
        <v>4</v>
      </c>
      <c r="C1261" s="60" t="s">
        <v>5</v>
      </c>
      <c r="D1261" s="60" t="s">
        <v>90</v>
      </c>
      <c r="E1261" s="89">
        <f>E1260</f>
        <v>41334</v>
      </c>
      <c r="F1261" s="61"/>
      <c r="G1261" s="92">
        <v>3543</v>
      </c>
      <c r="H1261" s="138">
        <v>298</v>
      </c>
      <c r="I1261" s="138" t="s">
        <v>93</v>
      </c>
      <c r="J1261" s="141">
        <f>IF(I1261="BNSF",0.36,IF(I1261="CN",0.3105,IF(I1261="CSX",0.48,0.37)))</f>
        <v>0.36</v>
      </c>
      <c r="K1261" s="95">
        <f t="shared" si="278"/>
        <v>35.183714001986097</v>
      </c>
      <c r="L1261" s="95">
        <f t="shared" si="279"/>
        <v>0.95756756756756756</v>
      </c>
      <c r="M1261" s="133">
        <f t="shared" si="280"/>
        <v>107.28</v>
      </c>
      <c r="N1261" s="133">
        <f t="shared" si="281"/>
        <v>3650.28</v>
      </c>
      <c r="O1261" s="134">
        <f t="shared" si="282"/>
        <v>36.249056603773589</v>
      </c>
      <c r="P1261" s="134">
        <f t="shared" si="283"/>
        <v>0.98656216216216219</v>
      </c>
      <c r="Q1261" s="160"/>
      <c r="R1261" s="149">
        <f t="shared" si="284"/>
        <v>8.5966227553461181</v>
      </c>
      <c r="S1261" s="140">
        <f t="shared" ref="S1261:S1296" si="285">AVERAGE(O1185,O1223,O1261)</f>
        <v>36.278649453823242</v>
      </c>
      <c r="T1261" s="151">
        <f t="shared" ref="T1261:T1297" si="286">(S1261/S1147)-1</f>
        <v>2.5273115414766956E-2</v>
      </c>
    </row>
    <row r="1262" spans="1:20" ht="14.45" x14ac:dyDescent="0.3">
      <c r="A1262" s="60" t="s">
        <v>1</v>
      </c>
      <c r="B1262" s="60" t="s">
        <v>2</v>
      </c>
      <c r="C1262" s="60" t="s">
        <v>6</v>
      </c>
      <c r="D1262" s="60" t="s">
        <v>90</v>
      </c>
      <c r="E1262" s="89">
        <f t="shared" ref="E1262:E1297" si="287">E1261</f>
        <v>41334</v>
      </c>
      <c r="F1262" s="61"/>
      <c r="G1262" s="92">
        <v>6026</v>
      </c>
      <c r="H1262" s="138">
        <v>1530</v>
      </c>
      <c r="I1262" s="138" t="s">
        <v>93</v>
      </c>
      <c r="J1262" s="141">
        <f t="shared" ref="J1262:J1297" si="288">IF(I1262="BNSF",0.36,IF(I1262="CN",0.3105,IF(I1262="CSX",0.48,0.37)))</f>
        <v>0.36</v>
      </c>
      <c r="K1262" s="95">
        <f t="shared" si="278"/>
        <v>59.841112214498509</v>
      </c>
      <c r="L1262" s="95">
        <f t="shared" si="279"/>
        <v>1.6286486486486487</v>
      </c>
      <c r="M1262" s="133">
        <f t="shared" si="280"/>
        <v>550.79999999999995</v>
      </c>
      <c r="N1262" s="133">
        <f t="shared" si="281"/>
        <v>6576.8</v>
      </c>
      <c r="O1262" s="134">
        <f t="shared" si="282"/>
        <v>65.310824230387283</v>
      </c>
      <c r="P1262" s="134">
        <f t="shared" si="283"/>
        <v>1.7775135135135136</v>
      </c>
      <c r="R1262" s="149">
        <f t="shared" si="284"/>
        <v>2.519017333832152</v>
      </c>
      <c r="S1262" s="140">
        <f t="shared" si="285"/>
        <v>65.462760675273088</v>
      </c>
      <c r="T1262" s="151">
        <f t="shared" si="286"/>
        <v>-6.1511556031298431E-3</v>
      </c>
    </row>
    <row r="1263" spans="1:20" ht="14.45" x14ac:dyDescent="0.3">
      <c r="A1263" s="60" t="s">
        <v>1</v>
      </c>
      <c r="B1263" s="60" t="s">
        <v>2</v>
      </c>
      <c r="C1263" s="60" t="s">
        <v>7</v>
      </c>
      <c r="D1263" s="60" t="s">
        <v>90</v>
      </c>
      <c r="E1263" s="89">
        <f t="shared" si="287"/>
        <v>41334</v>
      </c>
      <c r="F1263" s="61"/>
      <c r="G1263" s="92">
        <v>3645</v>
      </c>
      <c r="H1263" s="138">
        <v>890</v>
      </c>
      <c r="I1263" s="138" t="s">
        <v>92</v>
      </c>
      <c r="J1263" s="141">
        <f t="shared" si="288"/>
        <v>0.37</v>
      </c>
      <c r="K1263" s="95">
        <f t="shared" si="278"/>
        <v>36.196623634558094</v>
      </c>
      <c r="L1263" s="95">
        <f t="shared" si="279"/>
        <v>0.98513513513513518</v>
      </c>
      <c r="M1263" s="133">
        <f t="shared" si="280"/>
        <v>329.3</v>
      </c>
      <c r="N1263" s="133">
        <f t="shared" si="281"/>
        <v>3974.3</v>
      </c>
      <c r="O1263" s="134">
        <f t="shared" si="282"/>
        <v>39.466732869910629</v>
      </c>
      <c r="P1263" s="134">
        <f t="shared" si="283"/>
        <v>1.0741351351351351</v>
      </c>
      <c r="R1263" s="149">
        <f t="shared" si="284"/>
        <v>4.4906007624556432</v>
      </c>
      <c r="S1263" s="140">
        <f t="shared" si="285"/>
        <v>39.555114200595831</v>
      </c>
      <c r="T1263" s="151">
        <f t="shared" si="286"/>
        <v>-3.7101574941013071E-3</v>
      </c>
    </row>
    <row r="1264" spans="1:20" ht="14.45" x14ac:dyDescent="0.3">
      <c r="A1264" s="60" t="s">
        <v>1</v>
      </c>
      <c r="B1264" s="60" t="s">
        <v>8</v>
      </c>
      <c r="C1264" s="60" t="s">
        <v>9</v>
      </c>
      <c r="D1264" s="60" t="s">
        <v>90</v>
      </c>
      <c r="E1264" s="89">
        <f t="shared" si="287"/>
        <v>41334</v>
      </c>
      <c r="F1264" s="61"/>
      <c r="G1264" s="92">
        <v>5573</v>
      </c>
      <c r="H1264" s="138">
        <v>1256</v>
      </c>
      <c r="I1264" s="138" t="s">
        <v>93</v>
      </c>
      <c r="J1264" s="141">
        <f t="shared" si="288"/>
        <v>0.36</v>
      </c>
      <c r="K1264" s="95">
        <f t="shared" si="278"/>
        <v>55.342601787487588</v>
      </c>
      <c r="L1264" s="95">
        <f t="shared" si="279"/>
        <v>1.5062162162162163</v>
      </c>
      <c r="M1264" s="133">
        <f t="shared" si="280"/>
        <v>452.15999999999997</v>
      </c>
      <c r="N1264" s="133">
        <f t="shared" si="281"/>
        <v>6025.16</v>
      </c>
      <c r="O1264" s="134">
        <f t="shared" si="282"/>
        <v>59.832770605759677</v>
      </c>
      <c r="P1264" s="134">
        <f t="shared" si="283"/>
        <v>1.6284216216216216</v>
      </c>
      <c r="R1264" s="149">
        <f t="shared" si="284"/>
        <v>0.41866387557416562</v>
      </c>
      <c r="S1264" s="140">
        <f t="shared" si="285"/>
        <v>59.95749751737835</v>
      </c>
      <c r="T1264" s="151">
        <f t="shared" si="286"/>
        <v>-5.5167445936121773E-3</v>
      </c>
    </row>
    <row r="1265" spans="1:20" ht="14.45" x14ac:dyDescent="0.3">
      <c r="A1265" s="60" t="s">
        <v>1</v>
      </c>
      <c r="B1265" s="60" t="s">
        <v>10</v>
      </c>
      <c r="C1265" s="60" t="s">
        <v>9</v>
      </c>
      <c r="D1265" s="60" t="s">
        <v>90</v>
      </c>
      <c r="E1265" s="89">
        <f t="shared" si="287"/>
        <v>41334</v>
      </c>
      <c r="F1265" s="61"/>
      <c r="G1265" s="92">
        <v>3912</v>
      </c>
      <c r="H1265" s="138">
        <v>975</v>
      </c>
      <c r="I1265" s="138" t="s">
        <v>92</v>
      </c>
      <c r="J1265" s="141">
        <f t="shared" si="288"/>
        <v>0.37</v>
      </c>
      <c r="K1265" s="95">
        <f t="shared" si="278"/>
        <v>38.848063555114202</v>
      </c>
      <c r="L1265" s="95">
        <f t="shared" si="279"/>
        <v>1.0572972972972974</v>
      </c>
      <c r="M1265" s="133">
        <f t="shared" si="280"/>
        <v>360.75</v>
      </c>
      <c r="N1265" s="133">
        <f t="shared" si="281"/>
        <v>4272.75</v>
      </c>
      <c r="O1265" s="134">
        <f t="shared" si="282"/>
        <v>42.430486593843099</v>
      </c>
      <c r="P1265" s="134">
        <f t="shared" si="283"/>
        <v>1.1547972972972973</v>
      </c>
      <c r="R1265" s="149">
        <f t="shared" si="284"/>
        <v>4.1816519353855552</v>
      </c>
      <c r="S1265" s="140">
        <f t="shared" si="285"/>
        <v>42.527308838133067</v>
      </c>
      <c r="T1265" s="151">
        <f t="shared" si="286"/>
        <v>-3.7801686536784729E-3</v>
      </c>
    </row>
    <row r="1266" spans="1:20" ht="14.45" x14ac:dyDescent="0.3">
      <c r="A1266" s="60" t="s">
        <v>1</v>
      </c>
      <c r="B1266" s="60" t="s">
        <v>11</v>
      </c>
      <c r="C1266" s="60" t="s">
        <v>6</v>
      </c>
      <c r="D1266" s="60" t="s">
        <v>90</v>
      </c>
      <c r="E1266" s="89">
        <f t="shared" si="287"/>
        <v>41334</v>
      </c>
      <c r="F1266" s="61"/>
      <c r="G1266" s="92">
        <v>4112</v>
      </c>
      <c r="H1266" s="138">
        <v>1357</v>
      </c>
      <c r="I1266" s="138" t="s">
        <v>92</v>
      </c>
      <c r="J1266" s="141">
        <f t="shared" si="288"/>
        <v>0.37</v>
      </c>
      <c r="K1266" s="95">
        <f t="shared" si="278"/>
        <v>40.834160873882816</v>
      </c>
      <c r="L1266" s="95">
        <f t="shared" si="279"/>
        <v>1.1113513513513513</v>
      </c>
      <c r="M1266" s="133">
        <f t="shared" si="280"/>
        <v>502.09</v>
      </c>
      <c r="N1266" s="133">
        <f t="shared" si="281"/>
        <v>4614.09</v>
      </c>
      <c r="O1266" s="134">
        <f t="shared" si="282"/>
        <v>45.820158887785503</v>
      </c>
      <c r="P1266" s="134">
        <f t="shared" si="283"/>
        <v>1.2470513513513515</v>
      </c>
      <c r="R1266" s="149">
        <f t="shared" si="284"/>
        <v>4.0627431522683111</v>
      </c>
      <c r="S1266" s="140">
        <f t="shared" si="285"/>
        <v>45.954915590863948</v>
      </c>
      <c r="T1266" s="151">
        <f t="shared" si="286"/>
        <v>-4.8635099130301951E-3</v>
      </c>
    </row>
    <row r="1267" spans="1:20" ht="14.45" x14ac:dyDescent="0.3">
      <c r="A1267" s="60" t="s">
        <v>134</v>
      </c>
      <c r="B1267" s="60" t="s">
        <v>13</v>
      </c>
      <c r="C1267" s="60" t="s">
        <v>7</v>
      </c>
      <c r="D1267" s="60" t="s">
        <v>90</v>
      </c>
      <c r="E1267" s="89">
        <f t="shared" si="287"/>
        <v>41334</v>
      </c>
      <c r="F1267" s="61"/>
      <c r="G1267" s="92">
        <v>3110</v>
      </c>
      <c r="H1267" s="138">
        <v>1006</v>
      </c>
      <c r="I1267" s="138" t="s">
        <v>92</v>
      </c>
      <c r="J1267" s="141">
        <f t="shared" si="288"/>
        <v>0.37</v>
      </c>
      <c r="K1267" s="95">
        <f t="shared" si="278"/>
        <v>30.883813306852034</v>
      </c>
      <c r="L1267" s="95">
        <f t="shared" si="279"/>
        <v>0.78450450450450449</v>
      </c>
      <c r="M1267" s="133">
        <f t="shared" si="280"/>
        <v>372.21999999999997</v>
      </c>
      <c r="N1267" s="133">
        <f t="shared" si="281"/>
        <v>3482.22</v>
      </c>
      <c r="O1267" s="134">
        <f t="shared" si="282"/>
        <v>34.580139026812311</v>
      </c>
      <c r="P1267" s="134">
        <f t="shared" si="283"/>
        <v>0.87839783783783776</v>
      </c>
      <c r="R1267" s="149">
        <f t="shared" si="284"/>
        <v>2.7173239727441567</v>
      </c>
      <c r="S1267" s="140">
        <f t="shared" si="285"/>
        <v>34.680039721946372</v>
      </c>
      <c r="T1267" s="151">
        <f t="shared" si="286"/>
        <v>-4.7781258727443987E-3</v>
      </c>
    </row>
    <row r="1268" spans="1:20" ht="14.45" x14ac:dyDescent="0.3">
      <c r="A1268" s="60" t="s">
        <v>134</v>
      </c>
      <c r="B1268" s="60" t="s">
        <v>14</v>
      </c>
      <c r="C1268" s="60" t="s">
        <v>15</v>
      </c>
      <c r="D1268" s="60" t="s">
        <v>90</v>
      </c>
      <c r="E1268" s="89">
        <f t="shared" si="287"/>
        <v>41334</v>
      </c>
      <c r="F1268" s="61"/>
      <c r="G1268" s="92">
        <v>4508</v>
      </c>
      <c r="H1268" s="138">
        <v>866</v>
      </c>
      <c r="I1268" s="138" t="s">
        <v>94</v>
      </c>
      <c r="J1268" s="141">
        <f t="shared" si="288"/>
        <v>0.48</v>
      </c>
      <c r="K1268" s="95">
        <f t="shared" si="278"/>
        <v>44.766633565044685</v>
      </c>
      <c r="L1268" s="95">
        <f t="shared" si="279"/>
        <v>1.1371531531531531</v>
      </c>
      <c r="M1268" s="133">
        <f t="shared" si="280"/>
        <v>415.68</v>
      </c>
      <c r="N1268" s="133">
        <f t="shared" si="281"/>
        <v>4923.68</v>
      </c>
      <c r="O1268" s="134">
        <f t="shared" si="282"/>
        <v>48.894538232373385</v>
      </c>
      <c r="P1268" s="134">
        <f t="shared" si="283"/>
        <v>1.2420093693693695</v>
      </c>
      <c r="R1268" s="149">
        <f t="shared" si="284"/>
        <v>2.9981005614640122</v>
      </c>
      <c r="S1268" s="140">
        <f t="shared" si="285"/>
        <v>49.037868255544517</v>
      </c>
      <c r="T1268" s="151">
        <f t="shared" si="286"/>
        <v>-4.6547815652375757E-3</v>
      </c>
    </row>
    <row r="1269" spans="1:20" ht="14.45" x14ac:dyDescent="0.3">
      <c r="A1269" s="60" t="s">
        <v>134</v>
      </c>
      <c r="B1269" s="60" t="s">
        <v>16</v>
      </c>
      <c r="C1269" s="60" t="s">
        <v>17</v>
      </c>
      <c r="D1269" s="60" t="s">
        <v>90</v>
      </c>
      <c r="E1269" s="89">
        <f t="shared" si="287"/>
        <v>41334</v>
      </c>
      <c r="F1269" s="61"/>
      <c r="G1269" s="92">
        <v>2006</v>
      </c>
      <c r="H1269" s="138">
        <v>213</v>
      </c>
      <c r="I1269" s="138" t="s">
        <v>92</v>
      </c>
      <c r="J1269" s="141">
        <f t="shared" si="288"/>
        <v>0.37</v>
      </c>
      <c r="K1269" s="95">
        <f t="shared" si="278"/>
        <v>19.920556107249254</v>
      </c>
      <c r="L1269" s="95">
        <f t="shared" si="279"/>
        <v>0.50601801801801805</v>
      </c>
      <c r="M1269" s="133">
        <f t="shared" si="280"/>
        <v>78.81</v>
      </c>
      <c r="N1269" s="133">
        <f t="shared" si="281"/>
        <v>2084.81</v>
      </c>
      <c r="O1269" s="134">
        <f t="shared" si="282"/>
        <v>20.70317775571003</v>
      </c>
      <c r="P1269" s="134">
        <f t="shared" si="283"/>
        <v>0.52589801801801805</v>
      </c>
      <c r="R1269" s="149">
        <f t="shared" si="284"/>
        <v>3.7967688133230482</v>
      </c>
      <c r="S1269" s="140">
        <f t="shared" si="285"/>
        <v>20.724329692154914</v>
      </c>
      <c r="T1269" s="151">
        <f t="shared" si="286"/>
        <v>-1.6981664585815626E-3</v>
      </c>
    </row>
    <row r="1270" spans="1:20" ht="14.45" x14ac:dyDescent="0.3">
      <c r="A1270" s="60" t="s">
        <v>134</v>
      </c>
      <c r="B1270" s="60" t="s">
        <v>18</v>
      </c>
      <c r="C1270" s="60" t="s">
        <v>19</v>
      </c>
      <c r="D1270" s="60" t="s">
        <v>90</v>
      </c>
      <c r="E1270" s="89">
        <f t="shared" si="287"/>
        <v>41334</v>
      </c>
      <c r="F1270" s="61"/>
      <c r="G1270" s="92">
        <v>3920</v>
      </c>
      <c r="H1270" s="138">
        <v>650</v>
      </c>
      <c r="I1270" s="138" t="s">
        <v>94</v>
      </c>
      <c r="J1270" s="141">
        <f t="shared" si="288"/>
        <v>0.48</v>
      </c>
      <c r="K1270" s="95">
        <f t="shared" si="278"/>
        <v>38.927507447864947</v>
      </c>
      <c r="L1270" s="95">
        <f t="shared" si="279"/>
        <v>0.98882882882882883</v>
      </c>
      <c r="M1270" s="133">
        <f t="shared" si="280"/>
        <v>312</v>
      </c>
      <c r="N1270" s="133">
        <f t="shared" si="281"/>
        <v>4232</v>
      </c>
      <c r="O1270" s="134">
        <f t="shared" si="282"/>
        <v>42.025819265143994</v>
      </c>
      <c r="P1270" s="134">
        <f t="shared" si="283"/>
        <v>1.0675315315315315</v>
      </c>
      <c r="R1270" s="149">
        <f t="shared" si="284"/>
        <v>2.7184466019417375</v>
      </c>
      <c r="S1270" s="140">
        <f t="shared" si="285"/>
        <v>42.133399536577294</v>
      </c>
      <c r="T1270" s="151">
        <f t="shared" si="286"/>
        <v>-4.0686984077304977E-3</v>
      </c>
    </row>
    <row r="1271" spans="1:20" ht="14.45" x14ac:dyDescent="0.3">
      <c r="A1271" s="60" t="s">
        <v>134</v>
      </c>
      <c r="B1271" s="60" t="s">
        <v>18</v>
      </c>
      <c r="C1271" s="60" t="s">
        <v>20</v>
      </c>
      <c r="D1271" s="60" t="s">
        <v>90</v>
      </c>
      <c r="E1271" s="89">
        <f t="shared" si="287"/>
        <v>41334</v>
      </c>
      <c r="F1271" s="61"/>
      <c r="G1271" s="92">
        <v>3354</v>
      </c>
      <c r="H1271" s="138">
        <v>417</v>
      </c>
      <c r="I1271" s="138" t="s">
        <v>94</v>
      </c>
      <c r="J1271" s="141">
        <f t="shared" si="288"/>
        <v>0.48</v>
      </c>
      <c r="K1271" s="95">
        <f t="shared" si="278"/>
        <v>33.306852035749749</v>
      </c>
      <c r="L1271" s="95">
        <f t="shared" si="279"/>
        <v>0.84605405405405409</v>
      </c>
      <c r="M1271" s="133">
        <f t="shared" si="280"/>
        <v>200.16</v>
      </c>
      <c r="N1271" s="133">
        <f t="shared" si="281"/>
        <v>3554.16</v>
      </c>
      <c r="O1271" s="134">
        <f t="shared" si="282"/>
        <v>35.294538232373384</v>
      </c>
      <c r="P1271" s="134">
        <f t="shared" si="283"/>
        <v>0.89654486486486484</v>
      </c>
      <c r="R1271" s="149">
        <f t="shared" si="284"/>
        <v>2.5784889258316346</v>
      </c>
      <c r="S1271" s="140">
        <f t="shared" si="285"/>
        <v>35.363555114200601</v>
      </c>
      <c r="T1271" s="151">
        <f t="shared" si="286"/>
        <v>-3.1129014649111664E-3</v>
      </c>
    </row>
    <row r="1272" spans="1:20" ht="14.45" x14ac:dyDescent="0.3">
      <c r="A1272" s="60" t="s">
        <v>134</v>
      </c>
      <c r="B1272" s="60" t="s">
        <v>16</v>
      </c>
      <c r="C1272" s="60" t="s">
        <v>21</v>
      </c>
      <c r="D1272" s="60" t="s">
        <v>90</v>
      </c>
      <c r="E1272" s="89">
        <f t="shared" si="287"/>
        <v>41334</v>
      </c>
      <c r="F1272" s="61"/>
      <c r="G1272" s="92">
        <v>3154</v>
      </c>
      <c r="H1272" s="138">
        <v>626</v>
      </c>
      <c r="I1272" s="138" t="s">
        <v>92</v>
      </c>
      <c r="J1272" s="141">
        <f t="shared" si="288"/>
        <v>0.37</v>
      </c>
      <c r="K1272" s="95">
        <f t="shared" si="278"/>
        <v>31.320754716981131</v>
      </c>
      <c r="L1272" s="95">
        <f t="shared" si="279"/>
        <v>0.7956036036036036</v>
      </c>
      <c r="M1272" s="133">
        <f t="shared" si="280"/>
        <v>231.62</v>
      </c>
      <c r="N1272" s="133">
        <f t="shared" si="281"/>
        <v>3385.62</v>
      </c>
      <c r="O1272" s="134">
        <f t="shared" si="282"/>
        <v>33.620854021847066</v>
      </c>
      <c r="P1272" s="134">
        <f t="shared" si="283"/>
        <v>0.85403027027027023</v>
      </c>
      <c r="R1272" s="149">
        <f t="shared" si="284"/>
        <v>2.8095107952992526</v>
      </c>
      <c r="S1272" s="140">
        <f t="shared" si="285"/>
        <v>33.683018867924524</v>
      </c>
      <c r="T1272" s="151">
        <f t="shared" si="286"/>
        <v>-3.0665410005350502E-3</v>
      </c>
    </row>
    <row r="1273" spans="1:20" ht="14.45" x14ac:dyDescent="0.3">
      <c r="A1273" s="60" t="s">
        <v>134</v>
      </c>
      <c r="B1273" s="60" t="s">
        <v>16</v>
      </c>
      <c r="C1273" s="60" t="s">
        <v>6</v>
      </c>
      <c r="D1273" s="60" t="s">
        <v>90</v>
      </c>
      <c r="E1273" s="89">
        <f t="shared" si="287"/>
        <v>41334</v>
      </c>
      <c r="F1273" s="61"/>
      <c r="G1273" s="92">
        <v>5065</v>
      </c>
      <c r="H1273" s="138">
        <v>1823</v>
      </c>
      <c r="I1273" s="138" t="s">
        <v>92</v>
      </c>
      <c r="J1273" s="141">
        <f t="shared" si="288"/>
        <v>0.37</v>
      </c>
      <c r="K1273" s="95">
        <f t="shared" si="278"/>
        <v>50.297914597815293</v>
      </c>
      <c r="L1273" s="95">
        <f t="shared" si="279"/>
        <v>1.2776576576576577</v>
      </c>
      <c r="M1273" s="133">
        <f t="shared" si="280"/>
        <v>674.51</v>
      </c>
      <c r="N1273" s="133">
        <f t="shared" si="281"/>
        <v>5739.51</v>
      </c>
      <c r="O1273" s="134">
        <f t="shared" si="282"/>
        <v>56.9961271102284</v>
      </c>
      <c r="P1273" s="134">
        <f t="shared" si="283"/>
        <v>1.4478043243243244</v>
      </c>
      <c r="R1273" s="149">
        <f t="shared" si="284"/>
        <v>2.0711179875690267</v>
      </c>
      <c r="S1273" s="140">
        <f t="shared" si="285"/>
        <v>57.177159880834154</v>
      </c>
      <c r="T1273" s="151">
        <f t="shared" si="286"/>
        <v>-5.2492546519107286E-3</v>
      </c>
    </row>
    <row r="1274" spans="1:20" ht="14.45" x14ac:dyDescent="0.3">
      <c r="A1274" s="60" t="s">
        <v>22</v>
      </c>
      <c r="B1274" s="60" t="s">
        <v>23</v>
      </c>
      <c r="C1274" s="60" t="s">
        <v>7</v>
      </c>
      <c r="D1274" s="60" t="s">
        <v>90</v>
      </c>
      <c r="E1274" s="89">
        <f t="shared" si="287"/>
        <v>41334</v>
      </c>
      <c r="F1274" s="61"/>
      <c r="G1274" s="92">
        <v>3579</v>
      </c>
      <c r="H1274" s="138">
        <v>1295</v>
      </c>
      <c r="I1274" s="138" t="s">
        <v>95</v>
      </c>
      <c r="J1274" s="141">
        <f t="shared" si="288"/>
        <v>0.3105</v>
      </c>
      <c r="K1274" s="95">
        <f t="shared" si="278"/>
        <v>35.541211519364445</v>
      </c>
      <c r="L1274" s="95">
        <f t="shared" si="279"/>
        <v>0.9672972972972973</v>
      </c>
      <c r="M1274" s="133">
        <f t="shared" si="280"/>
        <v>402.09750000000003</v>
      </c>
      <c r="N1274" s="133">
        <f t="shared" si="281"/>
        <v>3981.0974999999999</v>
      </c>
      <c r="O1274" s="134">
        <f t="shared" si="282"/>
        <v>39.534235352532271</v>
      </c>
      <c r="P1274" s="134">
        <f t="shared" si="283"/>
        <v>1.0759722972972972</v>
      </c>
      <c r="R1274" s="149">
        <f t="shared" si="284"/>
        <v>2.4417780328109373</v>
      </c>
      <c r="S1274" s="140">
        <f t="shared" si="285"/>
        <v>40.236969546507773</v>
      </c>
      <c r="T1274" s="151">
        <f t="shared" si="286"/>
        <v>5.9535655592883208E-2</v>
      </c>
    </row>
    <row r="1275" spans="1:20" ht="14.45" x14ac:dyDescent="0.3">
      <c r="A1275" s="60" t="s">
        <v>22</v>
      </c>
      <c r="B1275" s="60" t="s">
        <v>14</v>
      </c>
      <c r="C1275" s="60" t="s">
        <v>24</v>
      </c>
      <c r="D1275" s="60" t="s">
        <v>90</v>
      </c>
      <c r="E1275" s="89">
        <f t="shared" si="287"/>
        <v>41334</v>
      </c>
      <c r="F1275" s="61"/>
      <c r="G1275" s="92">
        <v>3575</v>
      </c>
      <c r="H1275" s="138">
        <v>615</v>
      </c>
      <c r="I1275" s="138" t="s">
        <v>94</v>
      </c>
      <c r="J1275" s="141">
        <f t="shared" si="288"/>
        <v>0.48</v>
      </c>
      <c r="K1275" s="95">
        <f t="shared" si="278"/>
        <v>35.501489572989072</v>
      </c>
      <c r="L1275" s="95">
        <f t="shared" si="279"/>
        <v>0.96621621621621623</v>
      </c>
      <c r="M1275" s="133">
        <f t="shared" si="280"/>
        <v>295.2</v>
      </c>
      <c r="N1275" s="133">
        <f t="shared" si="281"/>
        <v>3870.2</v>
      </c>
      <c r="O1275" s="134">
        <f t="shared" si="282"/>
        <v>38.432969215491553</v>
      </c>
      <c r="P1275" s="134">
        <f t="shared" si="283"/>
        <v>1.046</v>
      </c>
      <c r="R1275" s="149">
        <f t="shared" si="284"/>
        <v>2.3889520886795967</v>
      </c>
      <c r="S1275" s="140">
        <f t="shared" si="285"/>
        <v>38.53475670307845</v>
      </c>
      <c r="T1275" s="151">
        <f t="shared" si="286"/>
        <v>-4.2085274003359485E-3</v>
      </c>
    </row>
    <row r="1276" spans="1:20" ht="14.45" x14ac:dyDescent="0.3">
      <c r="A1276" s="60" t="s">
        <v>22</v>
      </c>
      <c r="B1276" s="60" t="s">
        <v>18</v>
      </c>
      <c r="C1276" s="60" t="s">
        <v>15</v>
      </c>
      <c r="D1276" s="60" t="s">
        <v>90</v>
      </c>
      <c r="E1276" s="89">
        <f t="shared" si="287"/>
        <v>41334</v>
      </c>
      <c r="F1276" s="61"/>
      <c r="G1276" s="92">
        <v>4578</v>
      </c>
      <c r="H1276" s="138">
        <v>872</v>
      </c>
      <c r="I1276" s="138" t="s">
        <v>94</v>
      </c>
      <c r="J1276" s="141">
        <f t="shared" si="288"/>
        <v>0.48</v>
      </c>
      <c r="K1276" s="95">
        <f t="shared" si="278"/>
        <v>45.4617676266137</v>
      </c>
      <c r="L1276" s="95">
        <f t="shared" si="279"/>
        <v>1.2372972972972973</v>
      </c>
      <c r="M1276" s="133">
        <f t="shared" si="280"/>
        <v>418.56</v>
      </c>
      <c r="N1276" s="133">
        <f t="shared" si="281"/>
        <v>4996.5600000000004</v>
      </c>
      <c r="O1276" s="134">
        <f t="shared" si="282"/>
        <v>49.618272095332671</v>
      </c>
      <c r="P1276" s="134">
        <f t="shared" si="283"/>
        <v>1.3504216216216218</v>
      </c>
      <c r="R1276" s="149">
        <f t="shared" si="284"/>
        <v>2.9344144767743829</v>
      </c>
      <c r="S1276" s="140">
        <f t="shared" si="285"/>
        <v>49.762595167163191</v>
      </c>
      <c r="T1276" s="151">
        <f t="shared" si="286"/>
        <v>-4.6189376443418473E-3</v>
      </c>
    </row>
    <row r="1277" spans="1:20" ht="14.45" x14ac:dyDescent="0.3">
      <c r="A1277" s="60" t="s">
        <v>22</v>
      </c>
      <c r="B1277" s="60" t="s">
        <v>18</v>
      </c>
      <c r="C1277" s="60" t="s">
        <v>24</v>
      </c>
      <c r="D1277" s="60" t="s">
        <v>90</v>
      </c>
      <c r="E1277" s="89">
        <f t="shared" si="287"/>
        <v>41334</v>
      </c>
      <c r="F1277" s="61"/>
      <c r="G1277" s="92">
        <v>3267</v>
      </c>
      <c r="H1277" s="138">
        <v>417</v>
      </c>
      <c r="I1277" s="138" t="s">
        <v>94</v>
      </c>
      <c r="J1277" s="141">
        <f t="shared" si="288"/>
        <v>0.48</v>
      </c>
      <c r="K1277" s="95">
        <f t="shared" si="278"/>
        <v>32.442899702085398</v>
      </c>
      <c r="L1277" s="95">
        <f t="shared" si="279"/>
        <v>0.88297297297297295</v>
      </c>
      <c r="M1277" s="133">
        <f t="shared" si="280"/>
        <v>200.16</v>
      </c>
      <c r="N1277" s="133">
        <f t="shared" si="281"/>
        <v>3467.16</v>
      </c>
      <c r="O1277" s="134">
        <f t="shared" si="282"/>
        <v>34.430585898709033</v>
      </c>
      <c r="P1277" s="134">
        <f t="shared" si="283"/>
        <v>0.93707027027027023</v>
      </c>
      <c r="R1277" s="149">
        <f t="shared" si="284"/>
        <v>2.5538183044350182</v>
      </c>
      <c r="S1277" s="140">
        <f t="shared" si="285"/>
        <v>34.499602780536243</v>
      </c>
      <c r="T1277" s="151">
        <f t="shared" si="286"/>
        <v>-3.1906072196096202E-3</v>
      </c>
    </row>
    <row r="1278" spans="1:20" ht="14.45" x14ac:dyDescent="0.3">
      <c r="A1278" s="60" t="s">
        <v>22</v>
      </c>
      <c r="B1278" s="60" t="s">
        <v>13</v>
      </c>
      <c r="C1278" s="60" t="s">
        <v>7</v>
      </c>
      <c r="D1278" s="60" t="s">
        <v>90</v>
      </c>
      <c r="E1278" s="89">
        <f t="shared" si="287"/>
        <v>41334</v>
      </c>
      <c r="F1278" s="61"/>
      <c r="G1278" s="92">
        <v>3599</v>
      </c>
      <c r="H1278" s="138">
        <v>1006</v>
      </c>
      <c r="I1278" s="138" t="s">
        <v>92</v>
      </c>
      <c r="J1278" s="141">
        <f t="shared" si="288"/>
        <v>0.37</v>
      </c>
      <c r="K1278" s="95">
        <f t="shared" si="278"/>
        <v>35.73982125124131</v>
      </c>
      <c r="L1278" s="95">
        <f t="shared" si="279"/>
        <v>0.97270270270270265</v>
      </c>
      <c r="M1278" s="133">
        <f t="shared" si="280"/>
        <v>372.21999999999997</v>
      </c>
      <c r="N1278" s="133">
        <f t="shared" si="281"/>
        <v>3971.22</v>
      </c>
      <c r="O1278" s="134">
        <f t="shared" si="282"/>
        <v>39.436146971201588</v>
      </c>
      <c r="P1278" s="134">
        <f t="shared" si="283"/>
        <v>1.0733027027027027</v>
      </c>
      <c r="R1278" s="149">
        <f t="shared" si="284"/>
        <v>6.3501245279987018</v>
      </c>
      <c r="S1278" s="140">
        <f t="shared" si="285"/>
        <v>39.536047666335655</v>
      </c>
      <c r="T1278" s="151">
        <f t="shared" si="286"/>
        <v>-4.1937145972950063E-3</v>
      </c>
    </row>
    <row r="1279" spans="1:20" ht="14.45" x14ac:dyDescent="0.3">
      <c r="A1279" s="60" t="s">
        <v>1</v>
      </c>
      <c r="B1279" s="60" t="s">
        <v>25</v>
      </c>
      <c r="C1279" s="60" t="s">
        <v>26</v>
      </c>
      <c r="D1279" s="60" t="s">
        <v>91</v>
      </c>
      <c r="E1279" s="89">
        <f t="shared" si="287"/>
        <v>41334</v>
      </c>
      <c r="F1279" s="61"/>
      <c r="G1279" s="92">
        <v>3580</v>
      </c>
      <c r="H1279" s="138">
        <v>880</v>
      </c>
      <c r="I1279" s="138" t="s">
        <v>93</v>
      </c>
      <c r="J1279" s="141">
        <f t="shared" si="288"/>
        <v>0.36</v>
      </c>
      <c r="K1279" s="95">
        <f t="shared" si="278"/>
        <v>35.55114200595829</v>
      </c>
      <c r="L1279" s="95">
        <f t="shared" si="279"/>
        <v>0.96756756756756757</v>
      </c>
      <c r="M1279" s="133">
        <f t="shared" si="280"/>
        <v>316.8</v>
      </c>
      <c r="N1279" s="133">
        <f t="shared" si="281"/>
        <v>3896.8</v>
      </c>
      <c r="O1279" s="134">
        <f t="shared" si="282"/>
        <v>38.697120158887785</v>
      </c>
      <c r="P1279" s="134">
        <f t="shared" si="283"/>
        <v>1.0531891891891891</v>
      </c>
      <c r="R1279" s="149">
        <f t="shared" si="284"/>
        <v>6.7557942030573859</v>
      </c>
      <c r="S1279" s="140">
        <f t="shared" si="285"/>
        <v>38.784508440913605</v>
      </c>
      <c r="T1279" s="151">
        <f t="shared" si="286"/>
        <v>1.9721153678786907E-2</v>
      </c>
    </row>
    <row r="1280" spans="1:20" ht="14.45" x14ac:dyDescent="0.3">
      <c r="A1280" s="60" t="s">
        <v>1</v>
      </c>
      <c r="B1280" s="60" t="s">
        <v>2</v>
      </c>
      <c r="C1280" s="60" t="s">
        <v>9</v>
      </c>
      <c r="D1280" s="60" t="s">
        <v>91</v>
      </c>
      <c r="E1280" s="89">
        <f t="shared" si="287"/>
        <v>41334</v>
      </c>
      <c r="F1280" s="61"/>
      <c r="G1280" s="92">
        <v>3634</v>
      </c>
      <c r="H1280" s="138">
        <v>685</v>
      </c>
      <c r="I1280" s="138" t="s">
        <v>93</v>
      </c>
      <c r="J1280" s="141">
        <f t="shared" si="288"/>
        <v>0.36</v>
      </c>
      <c r="K1280" s="95">
        <f t="shared" si="278"/>
        <v>36.08738828202582</v>
      </c>
      <c r="L1280" s="95">
        <f t="shared" si="279"/>
        <v>0.98216216216216212</v>
      </c>
      <c r="M1280" s="133">
        <f t="shared" si="280"/>
        <v>246.6</v>
      </c>
      <c r="N1280" s="133">
        <f t="shared" si="281"/>
        <v>3880.6</v>
      </c>
      <c r="O1280" s="134">
        <f t="shared" si="282"/>
        <v>38.536246276067523</v>
      </c>
      <c r="P1280" s="134">
        <f t="shared" si="283"/>
        <v>1.0488108108108107</v>
      </c>
      <c r="R1280" s="149">
        <f t="shared" si="284"/>
        <v>11.514698698238446</v>
      </c>
      <c r="S1280" s="140">
        <f t="shared" si="285"/>
        <v>38.604270109235351</v>
      </c>
      <c r="T1280" s="151">
        <f t="shared" si="286"/>
        <v>-4.676905220126093E-3</v>
      </c>
    </row>
    <row r="1281" spans="1:20" ht="14.45" x14ac:dyDescent="0.3">
      <c r="A1281" s="60" t="s">
        <v>1</v>
      </c>
      <c r="B1281" s="60" t="s">
        <v>27</v>
      </c>
      <c r="C1281" s="60" t="s">
        <v>28</v>
      </c>
      <c r="D1281" s="60" t="s">
        <v>91</v>
      </c>
      <c r="E1281" s="89">
        <f t="shared" si="287"/>
        <v>41334</v>
      </c>
      <c r="F1281" s="61"/>
      <c r="G1281" s="92">
        <v>3771</v>
      </c>
      <c r="H1281" s="138">
        <v>812</v>
      </c>
      <c r="I1281" s="138" t="s">
        <v>94</v>
      </c>
      <c r="J1281" s="141">
        <f t="shared" si="288"/>
        <v>0.48</v>
      </c>
      <c r="K1281" s="95">
        <f t="shared" si="278"/>
        <v>37.447864945382321</v>
      </c>
      <c r="L1281" s="95">
        <f t="shared" si="279"/>
        <v>1.0191891891891891</v>
      </c>
      <c r="M1281" s="133">
        <f t="shared" si="280"/>
        <v>389.76</v>
      </c>
      <c r="N1281" s="133">
        <f t="shared" si="281"/>
        <v>4160.76</v>
      </c>
      <c r="O1281" s="134">
        <f t="shared" si="282"/>
        <v>41.318371400198608</v>
      </c>
      <c r="P1281" s="134">
        <f t="shared" si="283"/>
        <v>1.1245297297297299</v>
      </c>
      <c r="R1281" s="149">
        <f t="shared" si="284"/>
        <v>3.5396115982998744</v>
      </c>
      <c r="S1281" s="140">
        <f t="shared" si="285"/>
        <v>41.45276398543529</v>
      </c>
      <c r="T1281" s="151">
        <f t="shared" si="286"/>
        <v>-5.160535882248185E-3</v>
      </c>
    </row>
    <row r="1282" spans="1:20" ht="14.45" x14ac:dyDescent="0.3">
      <c r="A1282" s="60" t="s">
        <v>1</v>
      </c>
      <c r="B1282" s="60" t="s">
        <v>4</v>
      </c>
      <c r="C1282" s="60" t="s">
        <v>26</v>
      </c>
      <c r="D1282" s="60" t="s">
        <v>91</v>
      </c>
      <c r="E1282" s="89">
        <f t="shared" si="287"/>
        <v>41334</v>
      </c>
      <c r="F1282" s="61"/>
      <c r="G1282" s="92">
        <v>5061</v>
      </c>
      <c r="H1282" s="138">
        <v>1520</v>
      </c>
      <c r="I1282" s="138" t="s">
        <v>93</v>
      </c>
      <c r="J1282" s="141">
        <f t="shared" si="288"/>
        <v>0.36</v>
      </c>
      <c r="K1282" s="95">
        <f t="shared" si="278"/>
        <v>50.25819265143992</v>
      </c>
      <c r="L1282" s="95">
        <f t="shared" si="279"/>
        <v>1.3678378378378377</v>
      </c>
      <c r="M1282" s="133">
        <f t="shared" si="280"/>
        <v>547.19999999999993</v>
      </c>
      <c r="N1282" s="133">
        <f t="shared" si="281"/>
        <v>5608.2</v>
      </c>
      <c r="O1282" s="134">
        <f t="shared" si="282"/>
        <v>55.692154915590862</v>
      </c>
      <c r="P1282" s="134">
        <f t="shared" si="283"/>
        <v>1.5157297297297296</v>
      </c>
      <c r="R1282" s="149">
        <f t="shared" si="284"/>
        <v>4.8496859108585033</v>
      </c>
      <c r="S1282" s="140">
        <f t="shared" si="285"/>
        <v>55.843098311817279</v>
      </c>
      <c r="T1282" s="151">
        <f t="shared" si="286"/>
        <v>1.0324713435302835E-2</v>
      </c>
    </row>
    <row r="1283" spans="1:20" ht="14.45" x14ac:dyDescent="0.3">
      <c r="A1283" s="60" t="s">
        <v>1</v>
      </c>
      <c r="B1283" s="60" t="s">
        <v>4</v>
      </c>
      <c r="C1283" s="60" t="s">
        <v>9</v>
      </c>
      <c r="D1283" s="60" t="s">
        <v>91</v>
      </c>
      <c r="E1283" s="89">
        <f t="shared" si="287"/>
        <v>41334</v>
      </c>
      <c r="F1283" s="61"/>
      <c r="G1283" s="92">
        <v>6082</v>
      </c>
      <c r="H1283" s="138">
        <v>1583</v>
      </c>
      <c r="I1283" s="138" t="s">
        <v>93</v>
      </c>
      <c r="J1283" s="141">
        <f t="shared" si="288"/>
        <v>0.36</v>
      </c>
      <c r="K1283" s="95">
        <f t="shared" si="278"/>
        <v>60.397219463753721</v>
      </c>
      <c r="L1283" s="95">
        <f t="shared" si="279"/>
        <v>1.6437837837837839</v>
      </c>
      <c r="M1283" s="133">
        <f t="shared" si="280"/>
        <v>569.88</v>
      </c>
      <c r="N1283" s="133">
        <f t="shared" si="281"/>
        <v>6651.88</v>
      </c>
      <c r="O1283" s="134">
        <f t="shared" si="282"/>
        <v>66.056405163853029</v>
      </c>
      <c r="P1283" s="134">
        <f t="shared" si="283"/>
        <v>1.7978054054054053</v>
      </c>
      <c r="R1283" s="149">
        <f t="shared" si="284"/>
        <v>4.0621255213368679</v>
      </c>
      <c r="S1283" s="140">
        <f t="shared" si="285"/>
        <v>66.213604766633566</v>
      </c>
      <c r="T1283" s="151">
        <f t="shared" si="286"/>
        <v>8.4372827472791734E-3</v>
      </c>
    </row>
    <row r="1284" spans="1:20" ht="14.45" x14ac:dyDescent="0.3">
      <c r="A1284" s="60" t="s">
        <v>1</v>
      </c>
      <c r="B1284" s="60" t="s">
        <v>10</v>
      </c>
      <c r="C1284" s="60" t="s">
        <v>26</v>
      </c>
      <c r="D1284" s="60" t="s">
        <v>91</v>
      </c>
      <c r="E1284" s="89">
        <f t="shared" si="287"/>
        <v>41334</v>
      </c>
      <c r="F1284" s="61"/>
      <c r="G1284" s="92">
        <v>4880</v>
      </c>
      <c r="H1284" s="138">
        <v>1599</v>
      </c>
      <c r="I1284" s="138" t="s">
        <v>92</v>
      </c>
      <c r="J1284" s="141">
        <f t="shared" si="288"/>
        <v>0.37</v>
      </c>
      <c r="K1284" s="95">
        <f t="shared" si="278"/>
        <v>48.460774577954318</v>
      </c>
      <c r="L1284" s="95">
        <f t="shared" si="279"/>
        <v>1.318918918918919</v>
      </c>
      <c r="M1284" s="133">
        <f t="shared" si="280"/>
        <v>591.63</v>
      </c>
      <c r="N1284" s="133">
        <f t="shared" si="281"/>
        <v>5471.63</v>
      </c>
      <c r="O1284" s="134">
        <f t="shared" si="282"/>
        <v>54.335948361469711</v>
      </c>
      <c r="P1284" s="134">
        <f t="shared" si="283"/>
        <v>1.4788189189189189</v>
      </c>
      <c r="R1284" s="149">
        <f t="shared" si="284"/>
        <v>3.4990022036639479</v>
      </c>
      <c r="S1284" s="140">
        <f t="shared" si="285"/>
        <v>54.494736842105262</v>
      </c>
      <c r="T1284" s="151">
        <f t="shared" si="286"/>
        <v>1.1119771081961938E-2</v>
      </c>
    </row>
    <row r="1285" spans="1:20" ht="14.45" x14ac:dyDescent="0.3">
      <c r="A1285" s="60" t="s">
        <v>134</v>
      </c>
      <c r="B1285" s="60" t="s">
        <v>23</v>
      </c>
      <c r="C1285" s="60" t="s">
        <v>26</v>
      </c>
      <c r="D1285" s="60" t="s">
        <v>91</v>
      </c>
      <c r="E1285" s="89">
        <f t="shared" si="287"/>
        <v>41334</v>
      </c>
      <c r="F1285" s="61"/>
      <c r="G1285" s="92">
        <v>4800</v>
      </c>
      <c r="H1285" s="138">
        <v>1851</v>
      </c>
      <c r="I1285" s="138" t="s">
        <v>93</v>
      </c>
      <c r="J1285" s="141">
        <f t="shared" si="288"/>
        <v>0.36</v>
      </c>
      <c r="K1285" s="95">
        <f t="shared" si="278"/>
        <v>47.666335650446868</v>
      </c>
      <c r="L1285" s="95">
        <f t="shared" si="279"/>
        <v>1.2108108108108109</v>
      </c>
      <c r="M1285" s="133">
        <f t="shared" si="280"/>
        <v>666.36</v>
      </c>
      <c r="N1285" s="133">
        <f t="shared" si="281"/>
        <v>5466.36</v>
      </c>
      <c r="O1285" s="134">
        <f t="shared" si="282"/>
        <v>54.283614697120157</v>
      </c>
      <c r="P1285" s="134">
        <f t="shared" si="283"/>
        <v>1.3789016216216217</v>
      </c>
      <c r="R1285" s="149">
        <f t="shared" si="284"/>
        <v>0.68185083269789448</v>
      </c>
      <c r="S1285" s="140">
        <f t="shared" si="285"/>
        <v>54.467428003972195</v>
      </c>
      <c r="T1285" s="151">
        <f t="shared" si="286"/>
        <v>-8.9190366139462185E-3</v>
      </c>
    </row>
    <row r="1286" spans="1:20" ht="14.45" x14ac:dyDescent="0.3">
      <c r="A1286" s="60" t="s">
        <v>134</v>
      </c>
      <c r="B1286" s="60" t="s">
        <v>8</v>
      </c>
      <c r="C1286" s="60" t="s">
        <v>29</v>
      </c>
      <c r="D1286" s="60" t="s">
        <v>91</v>
      </c>
      <c r="E1286" s="89">
        <f t="shared" si="287"/>
        <v>41334</v>
      </c>
      <c r="F1286" s="61"/>
      <c r="G1286" s="92">
        <v>4760</v>
      </c>
      <c r="H1286" s="138">
        <v>1695</v>
      </c>
      <c r="I1286" s="138" t="s">
        <v>93</v>
      </c>
      <c r="J1286" s="141">
        <f t="shared" si="288"/>
        <v>0.36</v>
      </c>
      <c r="K1286" s="95">
        <f t="shared" ref="K1286:K1323" si="289">G1286/100.7</f>
        <v>47.269116186693147</v>
      </c>
      <c r="L1286" s="95">
        <f t="shared" ref="L1286:L1323" si="290">IF(A1286="corn",G1286/(111*2000/56),G1286/(111*2000/60))</f>
        <v>1.2007207207207207</v>
      </c>
      <c r="M1286" s="133">
        <f t="shared" ref="M1286:M1323" si="291">H1286*J1286</f>
        <v>610.19999999999993</v>
      </c>
      <c r="N1286" s="133">
        <f t="shared" ref="N1286:N1323" si="292">G1286+M1286</f>
        <v>5370.2</v>
      </c>
      <c r="O1286" s="134">
        <f t="shared" ref="O1286:O1323" si="293">N1286/100.7</f>
        <v>53.328699106256202</v>
      </c>
      <c r="P1286" s="134">
        <f t="shared" ref="P1286:P1323" si="294">IF(A1286="corn",N1286/(111*2000/56),N1286/(111*2000/60))</f>
        <v>1.3546450450450451</v>
      </c>
      <c r="R1286" s="149">
        <f t="shared" si="284"/>
        <v>0.63527163015570931</v>
      </c>
      <c r="S1286" s="140">
        <f t="shared" si="285"/>
        <v>53.497020854021848</v>
      </c>
      <c r="T1286" s="151">
        <f t="shared" si="286"/>
        <v>-8.3205242666617441E-3</v>
      </c>
    </row>
    <row r="1287" spans="1:20" ht="14.45" x14ac:dyDescent="0.3">
      <c r="A1287" s="60" t="s">
        <v>134</v>
      </c>
      <c r="B1287" s="60" t="s">
        <v>13</v>
      </c>
      <c r="C1287" s="60" t="s">
        <v>7</v>
      </c>
      <c r="D1287" s="60" t="s">
        <v>91</v>
      </c>
      <c r="E1287" s="89">
        <f t="shared" si="287"/>
        <v>41334</v>
      </c>
      <c r="F1287" s="61"/>
      <c r="G1287" s="92">
        <v>2929</v>
      </c>
      <c r="H1287" s="138">
        <v>1006</v>
      </c>
      <c r="I1287" s="138" t="s">
        <v>92</v>
      </c>
      <c r="J1287" s="141">
        <f t="shared" si="288"/>
        <v>0.37</v>
      </c>
      <c r="K1287" s="95">
        <f t="shared" si="289"/>
        <v>29.086395233366435</v>
      </c>
      <c r="L1287" s="95">
        <f t="shared" si="290"/>
        <v>0.73884684684684687</v>
      </c>
      <c r="M1287" s="133">
        <f t="shared" si="291"/>
        <v>372.21999999999997</v>
      </c>
      <c r="N1287" s="133">
        <f t="shared" si="292"/>
        <v>3301.22</v>
      </c>
      <c r="O1287" s="134">
        <f t="shared" si="293"/>
        <v>32.782720953326709</v>
      </c>
      <c r="P1287" s="134">
        <f t="shared" si="294"/>
        <v>0.83274018018018015</v>
      </c>
      <c r="R1287" s="149">
        <f t="shared" si="284"/>
        <v>2.8705867688760156</v>
      </c>
      <c r="S1287" s="140">
        <f t="shared" si="285"/>
        <v>32.88262164846077</v>
      </c>
      <c r="T1287" s="151">
        <f t="shared" si="286"/>
        <v>1.6963311336651632E-2</v>
      </c>
    </row>
    <row r="1288" spans="1:20" ht="14.45" x14ac:dyDescent="0.3">
      <c r="A1288" s="60" t="s">
        <v>134</v>
      </c>
      <c r="B1288" s="60" t="s">
        <v>30</v>
      </c>
      <c r="C1288" s="60" t="s">
        <v>9</v>
      </c>
      <c r="D1288" s="60" t="s">
        <v>91</v>
      </c>
      <c r="E1288" s="89">
        <f t="shared" si="287"/>
        <v>41334</v>
      </c>
      <c r="F1288" s="61"/>
      <c r="G1288" s="92">
        <v>3310</v>
      </c>
      <c r="H1288" s="138">
        <v>988</v>
      </c>
      <c r="I1288" s="138" t="s">
        <v>93</v>
      </c>
      <c r="J1288" s="141">
        <f t="shared" si="288"/>
        <v>0.36</v>
      </c>
      <c r="K1288" s="95">
        <f t="shared" si="289"/>
        <v>32.869910625620655</v>
      </c>
      <c r="L1288" s="95">
        <f t="shared" si="290"/>
        <v>0.83495495495495498</v>
      </c>
      <c r="M1288" s="133">
        <f t="shared" si="291"/>
        <v>355.68</v>
      </c>
      <c r="N1288" s="133">
        <f t="shared" si="292"/>
        <v>3665.68</v>
      </c>
      <c r="O1288" s="134">
        <f t="shared" si="293"/>
        <v>36.401986097318769</v>
      </c>
      <c r="P1288" s="134">
        <f t="shared" si="294"/>
        <v>0.92467603603603599</v>
      </c>
      <c r="R1288" s="149">
        <f t="shared" si="284"/>
        <v>0.54197568789220441</v>
      </c>
      <c r="S1288" s="140">
        <f t="shared" si="285"/>
        <v>36.500099304865934</v>
      </c>
      <c r="T1288" s="151">
        <f t="shared" si="286"/>
        <v>-7.1170531942099657E-3</v>
      </c>
    </row>
    <row r="1289" spans="1:20" ht="14.45" x14ac:dyDescent="0.3">
      <c r="A1289" s="60" t="s">
        <v>134</v>
      </c>
      <c r="B1289" s="60" t="s">
        <v>16</v>
      </c>
      <c r="C1289" s="60" t="s">
        <v>11</v>
      </c>
      <c r="D1289" s="60" t="s">
        <v>91</v>
      </c>
      <c r="E1289" s="89">
        <f t="shared" si="287"/>
        <v>41334</v>
      </c>
      <c r="F1289" s="61"/>
      <c r="G1289" s="92">
        <v>3510</v>
      </c>
      <c r="H1289" s="138">
        <v>787</v>
      </c>
      <c r="I1289" s="138" t="s">
        <v>92</v>
      </c>
      <c r="J1289" s="141">
        <f t="shared" si="288"/>
        <v>0.37</v>
      </c>
      <c r="K1289" s="95">
        <f t="shared" si="289"/>
        <v>34.856007944389276</v>
      </c>
      <c r="L1289" s="95">
        <f t="shared" si="290"/>
        <v>0.88540540540540547</v>
      </c>
      <c r="M1289" s="133">
        <f t="shared" si="291"/>
        <v>291.19</v>
      </c>
      <c r="N1289" s="133">
        <f t="shared" si="292"/>
        <v>3801.19</v>
      </c>
      <c r="O1289" s="134">
        <f t="shared" si="293"/>
        <v>37.747666335650443</v>
      </c>
      <c r="P1289" s="134">
        <f t="shared" si="294"/>
        <v>0.95885873873873873</v>
      </c>
      <c r="R1289" s="149">
        <f t="shared" si="284"/>
        <v>2.5837617563319037</v>
      </c>
      <c r="S1289" s="140">
        <f t="shared" si="285"/>
        <v>37.825819265143991</v>
      </c>
      <c r="T1289" s="151">
        <f t="shared" si="286"/>
        <v>1.7872842276286605E-2</v>
      </c>
    </row>
    <row r="1290" spans="1:20" ht="14.45" x14ac:dyDescent="0.3">
      <c r="A1290" s="60" t="s">
        <v>134</v>
      </c>
      <c r="B1290" s="60" t="s">
        <v>23</v>
      </c>
      <c r="C1290" s="60" t="s">
        <v>29</v>
      </c>
      <c r="D1290" s="60" t="s">
        <v>91</v>
      </c>
      <c r="E1290" s="89">
        <f t="shared" si="287"/>
        <v>41334</v>
      </c>
      <c r="F1290" s="61"/>
      <c r="G1290" s="92">
        <v>4800</v>
      </c>
      <c r="H1290" s="138">
        <v>1836</v>
      </c>
      <c r="I1290" s="138" t="s">
        <v>93</v>
      </c>
      <c r="J1290" s="141">
        <f t="shared" si="288"/>
        <v>0.36</v>
      </c>
      <c r="K1290" s="95">
        <f t="shared" si="289"/>
        <v>47.666335650446868</v>
      </c>
      <c r="L1290" s="95">
        <f t="shared" si="290"/>
        <v>1.2108108108108109</v>
      </c>
      <c r="M1290" s="133">
        <f t="shared" si="291"/>
        <v>660.95999999999992</v>
      </c>
      <c r="N1290" s="133">
        <f t="shared" si="292"/>
        <v>5460.96</v>
      </c>
      <c r="O1290" s="134">
        <f t="shared" si="293"/>
        <v>54.229990069513406</v>
      </c>
      <c r="P1290" s="134">
        <f t="shared" si="294"/>
        <v>1.3775394594594594</v>
      </c>
      <c r="R1290" s="149">
        <f t="shared" si="284"/>
        <v>0.67696119640723307</v>
      </c>
      <c r="S1290" s="140">
        <f t="shared" si="285"/>
        <v>54.412313803376371</v>
      </c>
      <c r="T1290" s="151">
        <f t="shared" si="286"/>
        <v>-8.8562807961969359E-3</v>
      </c>
    </row>
    <row r="1291" spans="1:20" ht="14.45" x14ac:dyDescent="0.3">
      <c r="A1291" s="60" t="s">
        <v>134</v>
      </c>
      <c r="B1291" s="60" t="s">
        <v>31</v>
      </c>
      <c r="C1291" s="60" t="s">
        <v>32</v>
      </c>
      <c r="D1291" s="60" t="s">
        <v>91</v>
      </c>
      <c r="E1291" s="89">
        <f t="shared" si="287"/>
        <v>41334</v>
      </c>
      <c r="F1291" s="61"/>
      <c r="G1291" s="92">
        <v>4200</v>
      </c>
      <c r="H1291" s="138">
        <v>1899</v>
      </c>
      <c r="I1291" s="138" t="s">
        <v>93</v>
      </c>
      <c r="J1291" s="141">
        <f t="shared" si="288"/>
        <v>0.36</v>
      </c>
      <c r="K1291" s="95">
        <f t="shared" si="289"/>
        <v>41.708043694141011</v>
      </c>
      <c r="L1291" s="95">
        <f t="shared" si="290"/>
        <v>1.0594594594594595</v>
      </c>
      <c r="M1291" s="133">
        <f t="shared" si="291"/>
        <v>683.64</v>
      </c>
      <c r="N1291" s="133">
        <f t="shared" si="292"/>
        <v>4883.6400000000003</v>
      </c>
      <c r="O1291" s="134">
        <f t="shared" si="293"/>
        <v>48.496921549155914</v>
      </c>
      <c r="P1291" s="134">
        <f t="shared" si="294"/>
        <v>1.2319091891891893</v>
      </c>
      <c r="R1291" s="149">
        <f t="shared" si="284"/>
        <v>0.78379415807134922</v>
      </c>
      <c r="S1291" s="140">
        <f t="shared" si="285"/>
        <v>48.685501489572992</v>
      </c>
      <c r="T1291" s="151">
        <f t="shared" si="286"/>
        <v>-1.0223549291680123E-2</v>
      </c>
    </row>
    <row r="1292" spans="1:20" ht="14.45" x14ac:dyDescent="0.3">
      <c r="A1292" s="60" t="s">
        <v>22</v>
      </c>
      <c r="B1292" s="60" t="s">
        <v>8</v>
      </c>
      <c r="C1292" s="60" t="s">
        <v>29</v>
      </c>
      <c r="D1292" s="60" t="s">
        <v>91</v>
      </c>
      <c r="E1292" s="89">
        <f t="shared" si="287"/>
        <v>41334</v>
      </c>
      <c r="F1292" s="61"/>
      <c r="G1292" s="92">
        <v>5320</v>
      </c>
      <c r="H1292" s="138">
        <v>1695</v>
      </c>
      <c r="I1292" s="138" t="s">
        <v>93</v>
      </c>
      <c r="J1292" s="141">
        <f t="shared" si="288"/>
        <v>0.36</v>
      </c>
      <c r="K1292" s="95">
        <f t="shared" si="289"/>
        <v>52.830188679245282</v>
      </c>
      <c r="L1292" s="95">
        <f t="shared" si="290"/>
        <v>1.4378378378378378</v>
      </c>
      <c r="M1292" s="133">
        <f t="shared" si="291"/>
        <v>610.19999999999993</v>
      </c>
      <c r="N1292" s="133">
        <f t="shared" si="292"/>
        <v>5930.2</v>
      </c>
      <c r="O1292" s="134">
        <f t="shared" si="293"/>
        <v>58.889771598808338</v>
      </c>
      <c r="P1292" s="134">
        <f t="shared" si="294"/>
        <v>1.6027567567567567</v>
      </c>
      <c r="R1292" s="149">
        <f t="shared" si="284"/>
        <v>5.5890889019461154</v>
      </c>
      <c r="S1292" s="140">
        <f t="shared" si="285"/>
        <v>59.058093346573976</v>
      </c>
      <c r="T1292" s="151">
        <f t="shared" si="286"/>
        <v>-9.7463236212366189E-3</v>
      </c>
    </row>
    <row r="1293" spans="1:20" ht="14.45" x14ac:dyDescent="0.3">
      <c r="A1293" s="60" t="s">
        <v>22</v>
      </c>
      <c r="B1293" s="60" t="s">
        <v>23</v>
      </c>
      <c r="C1293" s="60" t="s">
        <v>26</v>
      </c>
      <c r="D1293" s="60" t="s">
        <v>91</v>
      </c>
      <c r="E1293" s="89">
        <f t="shared" si="287"/>
        <v>41334</v>
      </c>
      <c r="F1293" s="61"/>
      <c r="G1293" s="92">
        <v>5330</v>
      </c>
      <c r="H1293" s="138">
        <v>1851</v>
      </c>
      <c r="I1293" s="138" t="s">
        <v>93</v>
      </c>
      <c r="J1293" s="141">
        <f t="shared" si="288"/>
        <v>0.36</v>
      </c>
      <c r="K1293" s="95">
        <f t="shared" si="289"/>
        <v>52.929493545183711</v>
      </c>
      <c r="L1293" s="95">
        <f t="shared" si="290"/>
        <v>1.4405405405405405</v>
      </c>
      <c r="M1293" s="133">
        <f t="shared" si="291"/>
        <v>666.36</v>
      </c>
      <c r="N1293" s="133">
        <f t="shared" si="292"/>
        <v>5996.36</v>
      </c>
      <c r="O1293" s="134">
        <f t="shared" si="293"/>
        <v>59.546772591856993</v>
      </c>
      <c r="P1293" s="134">
        <f t="shared" si="294"/>
        <v>1.6206378378378377</v>
      </c>
      <c r="R1293" s="149">
        <f t="shared" si="284"/>
        <v>5.9551113734110261</v>
      </c>
      <c r="S1293" s="140">
        <f t="shared" si="285"/>
        <v>59.730585898709045</v>
      </c>
      <c r="T1293" s="151">
        <f t="shared" si="286"/>
        <v>-8.1395329662625748E-3</v>
      </c>
    </row>
    <row r="1294" spans="1:20" ht="14.45" x14ac:dyDescent="0.3">
      <c r="A1294" s="60" t="s">
        <v>22</v>
      </c>
      <c r="B1294" s="60" t="s">
        <v>33</v>
      </c>
      <c r="C1294" s="60" t="s">
        <v>29</v>
      </c>
      <c r="D1294" s="60" t="s">
        <v>91</v>
      </c>
      <c r="E1294" s="89">
        <f t="shared" si="287"/>
        <v>41334</v>
      </c>
      <c r="F1294" s="61"/>
      <c r="G1294" s="92">
        <v>5230</v>
      </c>
      <c r="H1294" s="138">
        <v>1507</v>
      </c>
      <c r="I1294" s="138" t="s">
        <v>93</v>
      </c>
      <c r="J1294" s="141">
        <f t="shared" si="288"/>
        <v>0.36</v>
      </c>
      <c r="K1294" s="95">
        <f t="shared" si="289"/>
        <v>51.936444885799403</v>
      </c>
      <c r="L1294" s="95">
        <f t="shared" si="290"/>
        <v>1.4135135135135135</v>
      </c>
      <c r="M1294" s="133">
        <f t="shared" si="291"/>
        <v>542.52</v>
      </c>
      <c r="N1294" s="133">
        <f t="shared" si="292"/>
        <v>5772.52</v>
      </c>
      <c r="O1294" s="134">
        <f t="shared" si="293"/>
        <v>57.323932472691162</v>
      </c>
      <c r="P1294" s="134">
        <f t="shared" si="294"/>
        <v>1.5601405405405406</v>
      </c>
      <c r="R1294" s="149">
        <f t="shared" si="284"/>
        <v>6.0660960829637123</v>
      </c>
      <c r="S1294" s="140">
        <f t="shared" si="285"/>
        <v>57.473584905660374</v>
      </c>
      <c r="T1294" s="151">
        <f t="shared" si="286"/>
        <v>-6.8957115149116399E-3</v>
      </c>
    </row>
    <row r="1295" spans="1:20" ht="14.45" x14ac:dyDescent="0.3">
      <c r="A1295" s="60" t="s">
        <v>22</v>
      </c>
      <c r="B1295" s="60" t="s">
        <v>31</v>
      </c>
      <c r="C1295" s="60" t="s">
        <v>7</v>
      </c>
      <c r="D1295" s="60" t="s">
        <v>91</v>
      </c>
      <c r="E1295" s="89">
        <f t="shared" si="287"/>
        <v>41334</v>
      </c>
      <c r="F1295" s="61"/>
      <c r="G1295" s="92">
        <v>3950</v>
      </c>
      <c r="H1295" s="138">
        <v>1160</v>
      </c>
      <c r="I1295" s="138" t="s">
        <v>92</v>
      </c>
      <c r="J1295" s="141">
        <f t="shared" si="288"/>
        <v>0.37</v>
      </c>
      <c r="K1295" s="95">
        <f t="shared" si="289"/>
        <v>39.22542204568024</v>
      </c>
      <c r="L1295" s="95">
        <f t="shared" si="290"/>
        <v>1.0675675675675675</v>
      </c>
      <c r="M1295" s="133">
        <f t="shared" si="291"/>
        <v>429.2</v>
      </c>
      <c r="N1295" s="133">
        <f t="shared" si="292"/>
        <v>4379.2</v>
      </c>
      <c r="O1295" s="134">
        <f t="shared" si="293"/>
        <v>43.487586891757694</v>
      </c>
      <c r="P1295" s="134">
        <f t="shared" si="294"/>
        <v>1.1835675675675674</v>
      </c>
      <c r="R1295" s="149">
        <f t="shared" si="284"/>
        <v>6.3945578231292544</v>
      </c>
      <c r="S1295" s="140">
        <f t="shared" si="285"/>
        <v>43.602780536246279</v>
      </c>
      <c r="T1295" s="151">
        <f t="shared" si="286"/>
        <v>1.4010346101736681E-2</v>
      </c>
    </row>
    <row r="1296" spans="1:20" ht="14.45" x14ac:dyDescent="0.3">
      <c r="A1296" s="60" t="s">
        <v>22</v>
      </c>
      <c r="B1296" s="60" t="s">
        <v>14</v>
      </c>
      <c r="C1296" s="60" t="s">
        <v>24</v>
      </c>
      <c r="D1296" s="60" t="s">
        <v>91</v>
      </c>
      <c r="E1296" s="89">
        <f t="shared" si="287"/>
        <v>41334</v>
      </c>
      <c r="F1296" s="61"/>
      <c r="G1296" s="92">
        <v>2750</v>
      </c>
      <c r="H1296" s="138">
        <v>615</v>
      </c>
      <c r="I1296" s="138" t="s">
        <v>94</v>
      </c>
      <c r="J1296" s="141">
        <f t="shared" si="288"/>
        <v>0.48</v>
      </c>
      <c r="K1296" s="95">
        <f t="shared" si="289"/>
        <v>27.308838133068519</v>
      </c>
      <c r="L1296" s="95">
        <f t="shared" si="290"/>
        <v>0.7432432432432432</v>
      </c>
      <c r="M1296" s="133">
        <f t="shared" si="291"/>
        <v>295.2</v>
      </c>
      <c r="N1296" s="133">
        <f t="shared" si="292"/>
        <v>3045.2</v>
      </c>
      <c r="O1296" s="134">
        <f t="shared" si="293"/>
        <v>30.240317775571</v>
      </c>
      <c r="P1296" s="134">
        <f t="shared" si="294"/>
        <v>0.82302702702702701</v>
      </c>
      <c r="R1296" s="149">
        <f t="shared" si="284"/>
        <v>3.0559409793901482</v>
      </c>
      <c r="S1296" s="140">
        <f t="shared" si="285"/>
        <v>30.342105263157894</v>
      </c>
      <c r="T1296" s="151">
        <f t="shared" si="286"/>
        <v>-5.3388023503750937E-3</v>
      </c>
    </row>
    <row r="1297" spans="1:20" ht="14.45" x14ac:dyDescent="0.3">
      <c r="A1297" s="85" t="s">
        <v>22</v>
      </c>
      <c r="B1297" s="85" t="s">
        <v>34</v>
      </c>
      <c r="C1297" s="85" t="s">
        <v>26</v>
      </c>
      <c r="D1297" s="85" t="s">
        <v>91</v>
      </c>
      <c r="E1297" s="91">
        <f t="shared" si="287"/>
        <v>41334</v>
      </c>
      <c r="F1297" s="86"/>
      <c r="G1297" s="105">
        <v>5195</v>
      </c>
      <c r="H1297" s="143">
        <v>1637</v>
      </c>
      <c r="I1297" s="143" t="s">
        <v>92</v>
      </c>
      <c r="J1297" s="117">
        <f t="shared" si="288"/>
        <v>0.37</v>
      </c>
      <c r="K1297" s="108">
        <f t="shared" si="289"/>
        <v>51.588877855014893</v>
      </c>
      <c r="L1297" s="108">
        <f t="shared" si="290"/>
        <v>1.404054054054054</v>
      </c>
      <c r="M1297" s="115">
        <f t="shared" si="291"/>
        <v>605.68999999999994</v>
      </c>
      <c r="N1297" s="115">
        <f t="shared" si="292"/>
        <v>5800.69</v>
      </c>
      <c r="O1297" s="116">
        <f t="shared" si="293"/>
        <v>57.603674280039719</v>
      </c>
      <c r="P1297" s="116">
        <f t="shared" si="294"/>
        <v>1.567754054054054</v>
      </c>
      <c r="Q1297" s="106"/>
      <c r="R1297" s="152">
        <f t="shared" si="284"/>
        <v>1.9820849339392987</v>
      </c>
      <c r="S1297" s="108">
        <f>AVERAGE(O1221,O1259,O1297)</f>
        <v>56.988348229063227</v>
      </c>
      <c r="T1297" s="151">
        <f t="shared" si="286"/>
        <v>-4.7317526909134155E-3</v>
      </c>
    </row>
    <row r="1298" spans="1:20" ht="14.45" x14ac:dyDescent="0.3">
      <c r="A1298" s="161" t="s">
        <v>1</v>
      </c>
      <c r="B1298" s="161" t="s">
        <v>2</v>
      </c>
      <c r="C1298" s="161" t="s">
        <v>3</v>
      </c>
      <c r="D1298" s="161" t="s">
        <v>90</v>
      </c>
      <c r="E1298" s="162">
        <v>41365</v>
      </c>
      <c r="F1298" s="163"/>
      <c r="G1298" s="92">
        <v>3144</v>
      </c>
      <c r="H1298" s="167">
        <v>506</v>
      </c>
      <c r="I1298" s="167" t="s">
        <v>92</v>
      </c>
      <c r="J1298" s="168">
        <f>IF(I1298="BNSF",0.41,IF(I1298="CN",0.3508,IF(I1298="CSX",0.53,0.41)))</f>
        <v>0.41</v>
      </c>
      <c r="K1298" s="169">
        <f t="shared" si="289"/>
        <v>31.221449851042699</v>
      </c>
      <c r="L1298" s="169">
        <f t="shared" si="290"/>
        <v>0.84972972972972971</v>
      </c>
      <c r="M1298" s="133">
        <f t="shared" si="291"/>
        <v>207.45999999999998</v>
      </c>
      <c r="N1298" s="133">
        <f t="shared" si="292"/>
        <v>3351.46</v>
      </c>
      <c r="O1298" s="134">
        <f t="shared" si="293"/>
        <v>33.281628599801387</v>
      </c>
      <c r="P1298" s="134">
        <f t="shared" si="294"/>
        <v>0.90580000000000005</v>
      </c>
      <c r="Q1298" s="160"/>
      <c r="R1298" s="149">
        <f t="shared" ref="R1298:R1335" si="295">((N1298/N842)-1)*100</f>
        <v>5.2501664426495065</v>
      </c>
    </row>
    <row r="1299" spans="1:20" ht="14.45" x14ac:dyDescent="0.3">
      <c r="A1299" s="161" t="s">
        <v>1</v>
      </c>
      <c r="B1299" s="161" t="s">
        <v>4</v>
      </c>
      <c r="C1299" s="161" t="s">
        <v>5</v>
      </c>
      <c r="D1299" s="161" t="s">
        <v>90</v>
      </c>
      <c r="E1299" s="162">
        <f>E1298</f>
        <v>41365</v>
      </c>
      <c r="F1299" s="163"/>
      <c r="G1299" s="92">
        <v>3543</v>
      </c>
      <c r="H1299" s="167">
        <v>298</v>
      </c>
      <c r="I1299" s="167" t="s">
        <v>93</v>
      </c>
      <c r="J1299" s="168">
        <f t="shared" ref="J1299:J1335" si="296">IF(I1299="BNSF",0.41,IF(I1299="CN",0.3508,IF(I1299="CSX",0.53,0.41)))</f>
        <v>0.41</v>
      </c>
      <c r="K1299" s="169">
        <f t="shared" si="289"/>
        <v>35.183714001986097</v>
      </c>
      <c r="L1299" s="169">
        <f t="shared" si="290"/>
        <v>0.95756756756756756</v>
      </c>
      <c r="M1299" s="133">
        <f t="shared" si="291"/>
        <v>122.17999999999999</v>
      </c>
      <c r="N1299" s="133">
        <f t="shared" si="292"/>
        <v>3665.18</v>
      </c>
      <c r="O1299" s="134">
        <f t="shared" si="293"/>
        <v>36.397020854021847</v>
      </c>
      <c r="P1299" s="134">
        <f t="shared" si="294"/>
        <v>0.99058918918918915</v>
      </c>
      <c r="Q1299" s="160"/>
      <c r="R1299" s="149">
        <f t="shared" si="295"/>
        <v>8.75066018645445</v>
      </c>
    </row>
    <row r="1300" spans="1:20" ht="14.45" x14ac:dyDescent="0.3">
      <c r="A1300" s="161" t="s">
        <v>1</v>
      </c>
      <c r="B1300" s="161" t="s">
        <v>2</v>
      </c>
      <c r="C1300" s="161" t="s">
        <v>6</v>
      </c>
      <c r="D1300" s="161" t="s">
        <v>90</v>
      </c>
      <c r="E1300" s="162">
        <f t="shared" ref="E1300:E1335" si="297">E1299</f>
        <v>41365</v>
      </c>
      <c r="F1300" s="163"/>
      <c r="G1300" s="92">
        <v>6026</v>
      </c>
      <c r="H1300" s="167">
        <v>1530</v>
      </c>
      <c r="I1300" s="167" t="s">
        <v>93</v>
      </c>
      <c r="J1300" s="168">
        <f t="shared" si="296"/>
        <v>0.41</v>
      </c>
      <c r="K1300" s="169">
        <f t="shared" si="289"/>
        <v>59.841112214498509</v>
      </c>
      <c r="L1300" s="169">
        <f t="shared" si="290"/>
        <v>1.6286486486486487</v>
      </c>
      <c r="M1300" s="133">
        <f t="shared" si="291"/>
        <v>627.29999999999995</v>
      </c>
      <c r="N1300" s="133">
        <f t="shared" si="292"/>
        <v>6653.3</v>
      </c>
      <c r="O1300" s="134">
        <f t="shared" si="293"/>
        <v>66.070506454816282</v>
      </c>
      <c r="P1300" s="134">
        <f t="shared" si="294"/>
        <v>1.7981891891891892</v>
      </c>
      <c r="R1300" s="149">
        <f t="shared" si="295"/>
        <v>2.9747256659082844</v>
      </c>
    </row>
    <row r="1301" spans="1:20" ht="14.45" x14ac:dyDescent="0.3">
      <c r="A1301" s="161" t="s">
        <v>1</v>
      </c>
      <c r="B1301" s="161" t="s">
        <v>2</v>
      </c>
      <c r="C1301" s="161" t="s">
        <v>7</v>
      </c>
      <c r="D1301" s="161" t="s">
        <v>90</v>
      </c>
      <c r="E1301" s="162">
        <f t="shared" si="297"/>
        <v>41365</v>
      </c>
      <c r="F1301" s="163"/>
      <c r="G1301" s="92">
        <v>3645</v>
      </c>
      <c r="H1301" s="167">
        <v>890</v>
      </c>
      <c r="I1301" s="167" t="s">
        <v>92</v>
      </c>
      <c r="J1301" s="168">
        <f t="shared" si="296"/>
        <v>0.41</v>
      </c>
      <c r="K1301" s="169">
        <f t="shared" si="289"/>
        <v>36.196623634558094</v>
      </c>
      <c r="L1301" s="169">
        <f t="shared" si="290"/>
        <v>0.98513513513513518</v>
      </c>
      <c r="M1301" s="133">
        <f t="shared" si="291"/>
        <v>364.9</v>
      </c>
      <c r="N1301" s="133">
        <f t="shared" si="292"/>
        <v>4009.9</v>
      </c>
      <c r="O1301" s="134">
        <f t="shared" si="293"/>
        <v>39.820258192651437</v>
      </c>
      <c r="P1301" s="134">
        <f t="shared" si="294"/>
        <v>1.0837567567567568</v>
      </c>
      <c r="R1301" s="149">
        <f t="shared" si="295"/>
        <v>4.6916610098689526</v>
      </c>
    </row>
    <row r="1302" spans="1:20" ht="14.45" x14ac:dyDescent="0.3">
      <c r="A1302" s="161" t="s">
        <v>1</v>
      </c>
      <c r="B1302" s="161" t="s">
        <v>8</v>
      </c>
      <c r="C1302" s="161" t="s">
        <v>9</v>
      </c>
      <c r="D1302" s="161" t="s">
        <v>90</v>
      </c>
      <c r="E1302" s="162">
        <f t="shared" si="297"/>
        <v>41365</v>
      </c>
      <c r="F1302" s="163"/>
      <c r="G1302" s="92">
        <v>5573</v>
      </c>
      <c r="H1302" s="167">
        <v>1256</v>
      </c>
      <c r="I1302" s="167" t="s">
        <v>93</v>
      </c>
      <c r="J1302" s="168">
        <f t="shared" si="296"/>
        <v>0.41</v>
      </c>
      <c r="K1302" s="169">
        <f t="shared" si="289"/>
        <v>55.342601787487588</v>
      </c>
      <c r="L1302" s="169">
        <f t="shared" si="290"/>
        <v>1.5062162162162163</v>
      </c>
      <c r="M1302" s="133">
        <f t="shared" si="291"/>
        <v>514.95999999999992</v>
      </c>
      <c r="N1302" s="133">
        <f t="shared" si="292"/>
        <v>6087.96</v>
      </c>
      <c r="O1302" s="134">
        <f t="shared" si="293"/>
        <v>60.456405163853027</v>
      </c>
      <c r="P1302" s="134">
        <f t="shared" si="294"/>
        <v>1.6453945945945947</v>
      </c>
      <c r="R1302" s="149">
        <f t="shared" si="295"/>
        <v>0.83210218426823523</v>
      </c>
    </row>
    <row r="1303" spans="1:20" ht="14.45" x14ac:dyDescent="0.3">
      <c r="A1303" s="161" t="s">
        <v>1</v>
      </c>
      <c r="B1303" s="161" t="s">
        <v>10</v>
      </c>
      <c r="C1303" s="161" t="s">
        <v>9</v>
      </c>
      <c r="D1303" s="161" t="s">
        <v>90</v>
      </c>
      <c r="E1303" s="162">
        <f t="shared" si="297"/>
        <v>41365</v>
      </c>
      <c r="F1303" s="163"/>
      <c r="G1303" s="92">
        <v>3912</v>
      </c>
      <c r="H1303" s="167">
        <v>975</v>
      </c>
      <c r="I1303" s="167" t="s">
        <v>92</v>
      </c>
      <c r="J1303" s="168">
        <f t="shared" si="296"/>
        <v>0.41</v>
      </c>
      <c r="K1303" s="169">
        <f t="shared" si="289"/>
        <v>38.848063555114202</v>
      </c>
      <c r="L1303" s="169">
        <f t="shared" si="290"/>
        <v>1.0572972972972974</v>
      </c>
      <c r="M1303" s="133">
        <f t="shared" si="291"/>
        <v>399.75</v>
      </c>
      <c r="N1303" s="133">
        <f t="shared" si="292"/>
        <v>4311.75</v>
      </c>
      <c r="O1303" s="134">
        <f t="shared" si="293"/>
        <v>42.817775571002976</v>
      </c>
      <c r="P1303" s="134">
        <f t="shared" si="294"/>
        <v>1.1653378378378378</v>
      </c>
      <c r="R1303" s="149">
        <f t="shared" si="295"/>
        <v>4.3880886091272275</v>
      </c>
    </row>
    <row r="1304" spans="1:20" ht="14.45" x14ac:dyDescent="0.3">
      <c r="A1304" s="161" t="s">
        <v>1</v>
      </c>
      <c r="B1304" s="161" t="s">
        <v>11</v>
      </c>
      <c r="C1304" s="161" t="s">
        <v>6</v>
      </c>
      <c r="D1304" s="161" t="s">
        <v>90</v>
      </c>
      <c r="E1304" s="162">
        <f t="shared" si="297"/>
        <v>41365</v>
      </c>
      <c r="F1304" s="163"/>
      <c r="G1304" s="92">
        <v>4112</v>
      </c>
      <c r="H1304" s="167">
        <v>1357</v>
      </c>
      <c r="I1304" s="167" t="s">
        <v>92</v>
      </c>
      <c r="J1304" s="168">
        <f t="shared" si="296"/>
        <v>0.41</v>
      </c>
      <c r="K1304" s="169">
        <f t="shared" si="289"/>
        <v>40.834160873882816</v>
      </c>
      <c r="L1304" s="169">
        <f t="shared" si="290"/>
        <v>1.1113513513513513</v>
      </c>
      <c r="M1304" s="133">
        <f t="shared" si="291"/>
        <v>556.37</v>
      </c>
      <c r="N1304" s="133">
        <f t="shared" si="292"/>
        <v>4668.37</v>
      </c>
      <c r="O1304" s="134">
        <f t="shared" si="293"/>
        <v>46.359185700099303</v>
      </c>
      <c r="P1304" s="134">
        <f t="shared" si="294"/>
        <v>1.2617216216216216</v>
      </c>
      <c r="R1304" s="149">
        <f t="shared" si="295"/>
        <v>4.329043994404036</v>
      </c>
    </row>
    <row r="1305" spans="1:20" ht="14.45" x14ac:dyDescent="0.3">
      <c r="A1305" s="161" t="s">
        <v>134</v>
      </c>
      <c r="B1305" s="161" t="s">
        <v>13</v>
      </c>
      <c r="C1305" s="161" t="s">
        <v>7</v>
      </c>
      <c r="D1305" s="161" t="s">
        <v>90</v>
      </c>
      <c r="E1305" s="162">
        <f t="shared" si="297"/>
        <v>41365</v>
      </c>
      <c r="F1305" s="163"/>
      <c r="G1305" s="92">
        <v>3110</v>
      </c>
      <c r="H1305" s="167">
        <v>1006</v>
      </c>
      <c r="I1305" s="167" t="s">
        <v>92</v>
      </c>
      <c r="J1305" s="168">
        <f t="shared" si="296"/>
        <v>0.41</v>
      </c>
      <c r="K1305" s="169">
        <f t="shared" si="289"/>
        <v>30.883813306852034</v>
      </c>
      <c r="L1305" s="169">
        <f t="shared" si="290"/>
        <v>0.78450450450450449</v>
      </c>
      <c r="M1305" s="133">
        <f t="shared" si="291"/>
        <v>412.46</v>
      </c>
      <c r="N1305" s="133">
        <f t="shared" si="292"/>
        <v>3522.46</v>
      </c>
      <c r="O1305" s="134">
        <f t="shared" si="293"/>
        <v>34.97974180734856</v>
      </c>
      <c r="P1305" s="134">
        <f t="shared" si="294"/>
        <v>0.88854846846846847</v>
      </c>
      <c r="R1305" s="149">
        <f t="shared" si="295"/>
        <v>2.9874747096728882</v>
      </c>
    </row>
    <row r="1306" spans="1:20" ht="14.45" x14ac:dyDescent="0.3">
      <c r="A1306" s="161" t="s">
        <v>134</v>
      </c>
      <c r="B1306" s="161" t="s">
        <v>14</v>
      </c>
      <c r="C1306" s="161" t="s">
        <v>15</v>
      </c>
      <c r="D1306" s="161" t="s">
        <v>90</v>
      </c>
      <c r="E1306" s="162">
        <f t="shared" si="297"/>
        <v>41365</v>
      </c>
      <c r="F1306" s="163"/>
      <c r="G1306" s="92">
        <v>4508</v>
      </c>
      <c r="H1306" s="167">
        <v>866</v>
      </c>
      <c r="I1306" s="167" t="s">
        <v>94</v>
      </c>
      <c r="J1306" s="168">
        <f t="shared" si="296"/>
        <v>0.53</v>
      </c>
      <c r="K1306" s="169">
        <f t="shared" si="289"/>
        <v>44.766633565044685</v>
      </c>
      <c r="L1306" s="169">
        <f t="shared" si="290"/>
        <v>1.1371531531531531</v>
      </c>
      <c r="M1306" s="133">
        <f t="shared" si="291"/>
        <v>458.98</v>
      </c>
      <c r="N1306" s="133">
        <f t="shared" si="292"/>
        <v>4966.9799999999996</v>
      </c>
      <c r="O1306" s="134">
        <f t="shared" si="293"/>
        <v>49.324528301886787</v>
      </c>
      <c r="P1306" s="134">
        <f t="shared" si="294"/>
        <v>1.2529318918918917</v>
      </c>
      <c r="R1306" s="149">
        <f t="shared" si="295"/>
        <v>3.3422521086731161</v>
      </c>
    </row>
    <row r="1307" spans="1:20" ht="14.45" x14ac:dyDescent="0.3">
      <c r="A1307" s="161" t="s">
        <v>134</v>
      </c>
      <c r="B1307" s="161" t="s">
        <v>16</v>
      </c>
      <c r="C1307" s="161" t="s">
        <v>17</v>
      </c>
      <c r="D1307" s="161" t="s">
        <v>90</v>
      </c>
      <c r="E1307" s="162">
        <f t="shared" si="297"/>
        <v>41365</v>
      </c>
      <c r="F1307" s="163"/>
      <c r="G1307" s="92">
        <v>2006</v>
      </c>
      <c r="H1307" s="167">
        <v>213</v>
      </c>
      <c r="I1307" s="167" t="s">
        <v>92</v>
      </c>
      <c r="J1307" s="168">
        <f t="shared" si="296"/>
        <v>0.41</v>
      </c>
      <c r="K1307" s="169">
        <f t="shared" si="289"/>
        <v>19.920556107249254</v>
      </c>
      <c r="L1307" s="169">
        <f t="shared" si="290"/>
        <v>0.50601801801801805</v>
      </c>
      <c r="M1307" s="133">
        <f t="shared" si="291"/>
        <v>87.33</v>
      </c>
      <c r="N1307" s="133">
        <f t="shared" si="292"/>
        <v>2093.33</v>
      </c>
      <c r="O1307" s="134">
        <f t="shared" si="293"/>
        <v>20.787785501489573</v>
      </c>
      <c r="P1307" s="134">
        <f t="shared" si="294"/>
        <v>0.52804720720720721</v>
      </c>
      <c r="R1307" s="149">
        <f t="shared" si="295"/>
        <v>3.8904384249655033</v>
      </c>
    </row>
    <row r="1308" spans="1:20" ht="14.45" x14ac:dyDescent="0.3">
      <c r="A1308" s="161" t="s">
        <v>134</v>
      </c>
      <c r="B1308" s="161" t="s">
        <v>18</v>
      </c>
      <c r="C1308" s="161" t="s">
        <v>19</v>
      </c>
      <c r="D1308" s="161" t="s">
        <v>90</v>
      </c>
      <c r="E1308" s="162">
        <f t="shared" si="297"/>
        <v>41365</v>
      </c>
      <c r="F1308" s="163"/>
      <c r="G1308" s="92">
        <v>3920</v>
      </c>
      <c r="H1308" s="167">
        <v>650</v>
      </c>
      <c r="I1308" s="167" t="s">
        <v>94</v>
      </c>
      <c r="J1308" s="168">
        <f t="shared" si="296"/>
        <v>0.53</v>
      </c>
      <c r="K1308" s="169">
        <f t="shared" si="289"/>
        <v>38.927507447864947</v>
      </c>
      <c r="L1308" s="169">
        <f t="shared" si="290"/>
        <v>0.98882882882882883</v>
      </c>
      <c r="M1308" s="133">
        <f t="shared" si="291"/>
        <v>344.5</v>
      </c>
      <c r="N1308" s="133">
        <f t="shared" si="292"/>
        <v>4264.5</v>
      </c>
      <c r="O1308" s="134">
        <f t="shared" si="293"/>
        <v>42.348560079443892</v>
      </c>
      <c r="P1308" s="134">
        <f t="shared" si="294"/>
        <v>1.0757297297297297</v>
      </c>
      <c r="R1308" s="149">
        <f t="shared" si="295"/>
        <v>3.0196883681604003</v>
      </c>
    </row>
    <row r="1309" spans="1:20" ht="14.45" x14ac:dyDescent="0.3">
      <c r="A1309" s="161" t="s">
        <v>134</v>
      </c>
      <c r="B1309" s="161" t="s">
        <v>18</v>
      </c>
      <c r="C1309" s="161" t="s">
        <v>20</v>
      </c>
      <c r="D1309" s="161" t="s">
        <v>90</v>
      </c>
      <c r="E1309" s="162">
        <f t="shared" si="297"/>
        <v>41365</v>
      </c>
      <c r="F1309" s="163"/>
      <c r="G1309" s="92">
        <v>3354</v>
      </c>
      <c r="H1309" s="167">
        <v>417</v>
      </c>
      <c r="I1309" s="167" t="s">
        <v>94</v>
      </c>
      <c r="J1309" s="168">
        <f t="shared" si="296"/>
        <v>0.53</v>
      </c>
      <c r="K1309" s="169">
        <f t="shared" si="289"/>
        <v>33.306852035749749</v>
      </c>
      <c r="L1309" s="169">
        <f t="shared" si="290"/>
        <v>0.84605405405405409</v>
      </c>
      <c r="M1309" s="133">
        <f t="shared" si="291"/>
        <v>221.01000000000002</v>
      </c>
      <c r="N1309" s="133">
        <f t="shared" si="292"/>
        <v>3575.01</v>
      </c>
      <c r="O1309" s="134">
        <f t="shared" si="293"/>
        <v>35.501588877855013</v>
      </c>
      <c r="P1309" s="134">
        <f t="shared" si="294"/>
        <v>0.90180432432432445</v>
      </c>
      <c r="R1309" s="149">
        <f t="shared" si="295"/>
        <v>2.8090517724806086</v>
      </c>
    </row>
    <row r="1310" spans="1:20" ht="14.45" x14ac:dyDescent="0.3">
      <c r="A1310" s="161" t="s">
        <v>134</v>
      </c>
      <c r="B1310" s="161" t="s">
        <v>16</v>
      </c>
      <c r="C1310" s="161" t="s">
        <v>21</v>
      </c>
      <c r="D1310" s="161" t="s">
        <v>90</v>
      </c>
      <c r="E1310" s="162">
        <f t="shared" si="297"/>
        <v>41365</v>
      </c>
      <c r="F1310" s="163"/>
      <c r="G1310" s="92">
        <v>3154</v>
      </c>
      <c r="H1310" s="167">
        <v>626</v>
      </c>
      <c r="I1310" s="167" t="s">
        <v>92</v>
      </c>
      <c r="J1310" s="168">
        <f t="shared" si="296"/>
        <v>0.41</v>
      </c>
      <c r="K1310" s="169">
        <f t="shared" si="289"/>
        <v>31.320754716981131</v>
      </c>
      <c r="L1310" s="169">
        <f t="shared" si="290"/>
        <v>0.7956036036036036</v>
      </c>
      <c r="M1310" s="133">
        <f t="shared" si="291"/>
        <v>256.65999999999997</v>
      </c>
      <c r="N1310" s="133">
        <f t="shared" si="292"/>
        <v>3410.66</v>
      </c>
      <c r="O1310" s="134">
        <f t="shared" si="293"/>
        <v>33.869513406156898</v>
      </c>
      <c r="P1310" s="134">
        <f t="shared" si="294"/>
        <v>0.86034666666666659</v>
      </c>
      <c r="R1310" s="149">
        <f t="shared" si="295"/>
        <v>2.9825959877773256</v>
      </c>
    </row>
    <row r="1311" spans="1:20" ht="14.45" x14ac:dyDescent="0.3">
      <c r="A1311" s="161" t="s">
        <v>134</v>
      </c>
      <c r="B1311" s="161" t="s">
        <v>16</v>
      </c>
      <c r="C1311" s="161" t="s">
        <v>6</v>
      </c>
      <c r="D1311" s="161" t="s">
        <v>90</v>
      </c>
      <c r="E1311" s="162">
        <f t="shared" si="297"/>
        <v>41365</v>
      </c>
      <c r="F1311" s="163"/>
      <c r="G1311" s="92">
        <v>5065</v>
      </c>
      <c r="H1311" s="167">
        <v>1823</v>
      </c>
      <c r="I1311" s="167" t="s">
        <v>92</v>
      </c>
      <c r="J1311" s="168">
        <f t="shared" si="296"/>
        <v>0.41</v>
      </c>
      <c r="K1311" s="169">
        <f t="shared" si="289"/>
        <v>50.297914597815293</v>
      </c>
      <c r="L1311" s="169">
        <f t="shared" si="290"/>
        <v>1.2776576576576577</v>
      </c>
      <c r="M1311" s="133">
        <f t="shared" si="291"/>
        <v>747.43</v>
      </c>
      <c r="N1311" s="133">
        <f t="shared" si="292"/>
        <v>5812.43</v>
      </c>
      <c r="O1311" s="134">
        <f t="shared" si="293"/>
        <v>57.720258192651443</v>
      </c>
      <c r="P1311" s="134">
        <f t="shared" si="294"/>
        <v>1.4661985585585586</v>
      </c>
      <c r="R1311" s="149">
        <f t="shared" si="295"/>
        <v>2.3722467037941231</v>
      </c>
    </row>
    <row r="1312" spans="1:20" ht="14.45" x14ac:dyDescent="0.3">
      <c r="A1312" s="161" t="s">
        <v>22</v>
      </c>
      <c r="B1312" s="161" t="s">
        <v>23</v>
      </c>
      <c r="C1312" s="161" t="s">
        <v>7</v>
      </c>
      <c r="D1312" s="161" t="s">
        <v>90</v>
      </c>
      <c r="E1312" s="162">
        <f t="shared" si="297"/>
        <v>41365</v>
      </c>
      <c r="F1312" s="163"/>
      <c r="G1312" s="92">
        <v>3474</v>
      </c>
      <c r="H1312" s="167">
        <v>1295</v>
      </c>
      <c r="I1312" s="167" t="s">
        <v>95</v>
      </c>
      <c r="J1312" s="168">
        <f t="shared" si="296"/>
        <v>0.3508</v>
      </c>
      <c r="K1312" s="169">
        <f t="shared" si="289"/>
        <v>34.49851042701092</v>
      </c>
      <c r="L1312" s="169">
        <f t="shared" si="290"/>
        <v>0.93891891891891888</v>
      </c>
      <c r="M1312" s="133">
        <f t="shared" si="291"/>
        <v>454.286</v>
      </c>
      <c r="N1312" s="133">
        <f t="shared" si="292"/>
        <v>3928.2860000000001</v>
      </c>
      <c r="O1312" s="134">
        <f t="shared" si="293"/>
        <v>39.009791459781532</v>
      </c>
      <c r="P1312" s="134">
        <f t="shared" si="294"/>
        <v>1.061698918918919</v>
      </c>
      <c r="R1312" s="149">
        <f t="shared" si="295"/>
        <v>7.4479415972144469</v>
      </c>
    </row>
    <row r="1313" spans="1:18" ht="14.45" x14ac:dyDescent="0.3">
      <c r="A1313" s="161" t="s">
        <v>22</v>
      </c>
      <c r="B1313" s="161" t="s">
        <v>14</v>
      </c>
      <c r="C1313" s="161" t="s">
        <v>24</v>
      </c>
      <c r="D1313" s="161" t="s">
        <v>90</v>
      </c>
      <c r="E1313" s="162">
        <f t="shared" si="297"/>
        <v>41365</v>
      </c>
      <c r="F1313" s="163"/>
      <c r="G1313" s="92">
        <v>3575</v>
      </c>
      <c r="H1313" s="167">
        <v>615</v>
      </c>
      <c r="I1313" s="167" t="s">
        <v>94</v>
      </c>
      <c r="J1313" s="168">
        <f t="shared" si="296"/>
        <v>0.53</v>
      </c>
      <c r="K1313" s="169">
        <f t="shared" si="289"/>
        <v>35.501489572989072</v>
      </c>
      <c r="L1313" s="169">
        <f t="shared" si="290"/>
        <v>0.96621621621621623</v>
      </c>
      <c r="M1313" s="133">
        <f t="shared" si="291"/>
        <v>325.95</v>
      </c>
      <c r="N1313" s="133">
        <f t="shared" si="292"/>
        <v>3900.95</v>
      </c>
      <c r="O1313" s="134">
        <f t="shared" si="293"/>
        <v>38.73833167825223</v>
      </c>
      <c r="P1313" s="134">
        <f t="shared" si="294"/>
        <v>1.0543108108108108</v>
      </c>
      <c r="R1313" s="149">
        <f t="shared" si="295"/>
        <v>2.7011728776968891</v>
      </c>
    </row>
    <row r="1314" spans="1:18" ht="14.45" x14ac:dyDescent="0.3">
      <c r="A1314" s="161" t="s">
        <v>22</v>
      </c>
      <c r="B1314" s="161" t="s">
        <v>18</v>
      </c>
      <c r="C1314" s="161" t="s">
        <v>15</v>
      </c>
      <c r="D1314" s="161" t="s">
        <v>90</v>
      </c>
      <c r="E1314" s="162">
        <f t="shared" si="297"/>
        <v>41365</v>
      </c>
      <c r="F1314" s="163"/>
      <c r="G1314" s="92">
        <v>4578</v>
      </c>
      <c r="H1314" s="167">
        <v>872</v>
      </c>
      <c r="I1314" s="167" t="s">
        <v>94</v>
      </c>
      <c r="J1314" s="168">
        <f t="shared" si="296"/>
        <v>0.53</v>
      </c>
      <c r="K1314" s="169">
        <f t="shared" si="289"/>
        <v>45.4617676266137</v>
      </c>
      <c r="L1314" s="169">
        <f t="shared" si="290"/>
        <v>1.2372972972972973</v>
      </c>
      <c r="M1314" s="133">
        <f t="shared" si="291"/>
        <v>462.16</v>
      </c>
      <c r="N1314" s="133">
        <f t="shared" si="292"/>
        <v>5040.16</v>
      </c>
      <c r="O1314" s="134">
        <f t="shared" si="293"/>
        <v>50.051241310824224</v>
      </c>
      <c r="P1314" s="134">
        <f t="shared" si="294"/>
        <v>1.3622054054054054</v>
      </c>
      <c r="R1314" s="149">
        <f t="shared" si="295"/>
        <v>3.2760415386002384</v>
      </c>
    </row>
    <row r="1315" spans="1:18" ht="14.45" x14ac:dyDescent="0.3">
      <c r="A1315" s="161" t="s">
        <v>22</v>
      </c>
      <c r="B1315" s="161" t="s">
        <v>18</v>
      </c>
      <c r="C1315" s="161" t="s">
        <v>24</v>
      </c>
      <c r="D1315" s="161" t="s">
        <v>90</v>
      </c>
      <c r="E1315" s="162">
        <f t="shared" si="297"/>
        <v>41365</v>
      </c>
      <c r="F1315" s="163"/>
      <c r="G1315" s="92">
        <v>3267</v>
      </c>
      <c r="H1315" s="167">
        <v>417</v>
      </c>
      <c r="I1315" s="167" t="s">
        <v>94</v>
      </c>
      <c r="J1315" s="168">
        <f t="shared" si="296"/>
        <v>0.53</v>
      </c>
      <c r="K1315" s="169">
        <f t="shared" si="289"/>
        <v>32.442899702085398</v>
      </c>
      <c r="L1315" s="169">
        <f t="shared" si="290"/>
        <v>0.88297297297297295</v>
      </c>
      <c r="M1315" s="133">
        <f t="shared" si="291"/>
        <v>221.01000000000002</v>
      </c>
      <c r="N1315" s="133">
        <f t="shared" si="292"/>
        <v>3488.01</v>
      </c>
      <c r="O1315" s="134">
        <f t="shared" si="293"/>
        <v>34.63763654419067</v>
      </c>
      <c r="P1315" s="134">
        <f t="shared" si="294"/>
        <v>0.94270540540540548</v>
      </c>
      <c r="R1315" s="149">
        <f t="shared" si="295"/>
        <v>-5.7633337205815094</v>
      </c>
    </row>
    <row r="1316" spans="1:18" ht="14.45" x14ac:dyDescent="0.3">
      <c r="A1316" s="161" t="s">
        <v>22</v>
      </c>
      <c r="B1316" s="161" t="s">
        <v>13</v>
      </c>
      <c r="C1316" s="161" t="s">
        <v>7</v>
      </c>
      <c r="D1316" s="161" t="s">
        <v>90</v>
      </c>
      <c r="E1316" s="162">
        <f t="shared" si="297"/>
        <v>41365</v>
      </c>
      <c r="F1316" s="163"/>
      <c r="G1316" s="92">
        <v>3599</v>
      </c>
      <c r="H1316" s="167">
        <v>1006</v>
      </c>
      <c r="I1316" s="167" t="s">
        <v>92</v>
      </c>
      <c r="J1316" s="168">
        <f t="shared" si="296"/>
        <v>0.41</v>
      </c>
      <c r="K1316" s="169">
        <f t="shared" si="289"/>
        <v>35.73982125124131</v>
      </c>
      <c r="L1316" s="169">
        <f t="shared" si="290"/>
        <v>0.97270270270270265</v>
      </c>
      <c r="M1316" s="133">
        <f t="shared" si="291"/>
        <v>412.46</v>
      </c>
      <c r="N1316" s="133">
        <f t="shared" si="292"/>
        <v>4011.46</v>
      </c>
      <c r="O1316" s="134">
        <f t="shared" si="293"/>
        <v>39.835749751737836</v>
      </c>
      <c r="P1316" s="134">
        <f t="shared" si="294"/>
        <v>1.0841783783783785</v>
      </c>
      <c r="R1316" s="149">
        <f t="shared" si="295"/>
        <v>6.5664615809663429</v>
      </c>
    </row>
    <row r="1317" spans="1:18" ht="14.45" x14ac:dyDescent="0.3">
      <c r="A1317" s="161" t="s">
        <v>1</v>
      </c>
      <c r="B1317" s="161" t="s">
        <v>25</v>
      </c>
      <c r="C1317" s="161" t="s">
        <v>26</v>
      </c>
      <c r="D1317" s="161" t="s">
        <v>91</v>
      </c>
      <c r="E1317" s="162">
        <f t="shared" si="297"/>
        <v>41365</v>
      </c>
      <c r="F1317" s="163"/>
      <c r="G1317" s="92">
        <v>3580</v>
      </c>
      <c r="H1317" s="167">
        <v>880</v>
      </c>
      <c r="I1317" s="167" t="s">
        <v>93</v>
      </c>
      <c r="J1317" s="168">
        <f t="shared" si="296"/>
        <v>0.41</v>
      </c>
      <c r="K1317" s="169">
        <f t="shared" si="289"/>
        <v>35.55114200595829</v>
      </c>
      <c r="L1317" s="169">
        <f t="shared" si="290"/>
        <v>0.96756756756756757</v>
      </c>
      <c r="M1317" s="133">
        <f t="shared" si="291"/>
        <v>360.79999999999995</v>
      </c>
      <c r="N1317" s="133">
        <f t="shared" si="292"/>
        <v>3940.8</v>
      </c>
      <c r="O1317" s="134">
        <f t="shared" si="293"/>
        <v>39.134061569016886</v>
      </c>
      <c r="P1317" s="134">
        <f t="shared" si="294"/>
        <v>1.0650810810810811</v>
      </c>
      <c r="R1317" s="149">
        <f t="shared" si="295"/>
        <v>7.1859870532557268</v>
      </c>
    </row>
    <row r="1318" spans="1:18" ht="14.45" x14ac:dyDescent="0.3">
      <c r="A1318" s="161" t="s">
        <v>1</v>
      </c>
      <c r="B1318" s="161" t="s">
        <v>2</v>
      </c>
      <c r="C1318" s="161" t="s">
        <v>9</v>
      </c>
      <c r="D1318" s="161" t="s">
        <v>91</v>
      </c>
      <c r="E1318" s="162">
        <f t="shared" si="297"/>
        <v>41365</v>
      </c>
      <c r="F1318" s="163"/>
      <c r="G1318" s="92">
        <v>3634</v>
      </c>
      <c r="H1318" s="167">
        <v>685</v>
      </c>
      <c r="I1318" s="167" t="s">
        <v>93</v>
      </c>
      <c r="J1318" s="168">
        <f t="shared" si="296"/>
        <v>0.41</v>
      </c>
      <c r="K1318" s="169">
        <f t="shared" si="289"/>
        <v>36.08738828202582</v>
      </c>
      <c r="L1318" s="169">
        <f t="shared" si="290"/>
        <v>0.98216216216216212</v>
      </c>
      <c r="M1318" s="133">
        <f t="shared" si="291"/>
        <v>280.84999999999997</v>
      </c>
      <c r="N1318" s="133">
        <f t="shared" si="292"/>
        <v>3914.85</v>
      </c>
      <c r="O1318" s="134">
        <f t="shared" si="293"/>
        <v>38.87636544190665</v>
      </c>
      <c r="P1318" s="134">
        <f t="shared" si="294"/>
        <v>1.0580675675675675</v>
      </c>
      <c r="R1318" s="149">
        <f t="shared" si="295"/>
        <v>11.838477909983002</v>
      </c>
    </row>
    <row r="1319" spans="1:18" ht="14.45" x14ac:dyDescent="0.3">
      <c r="A1319" s="161" t="s">
        <v>1</v>
      </c>
      <c r="B1319" s="161" t="s">
        <v>27</v>
      </c>
      <c r="C1319" s="161" t="s">
        <v>28</v>
      </c>
      <c r="D1319" s="161" t="s">
        <v>91</v>
      </c>
      <c r="E1319" s="162">
        <f t="shared" si="297"/>
        <v>41365</v>
      </c>
      <c r="F1319" s="163"/>
      <c r="G1319" s="92">
        <v>3771</v>
      </c>
      <c r="H1319" s="167">
        <v>812</v>
      </c>
      <c r="I1319" s="167" t="s">
        <v>94</v>
      </c>
      <c r="J1319" s="168">
        <f t="shared" si="296"/>
        <v>0.53</v>
      </c>
      <c r="K1319" s="169">
        <f t="shared" si="289"/>
        <v>37.447864945382321</v>
      </c>
      <c r="L1319" s="169">
        <f t="shared" si="290"/>
        <v>1.0191891891891891</v>
      </c>
      <c r="M1319" s="133">
        <f t="shared" si="291"/>
        <v>430.36</v>
      </c>
      <c r="N1319" s="133">
        <f t="shared" si="292"/>
        <v>4201.3599999999997</v>
      </c>
      <c r="O1319" s="134">
        <f t="shared" si="293"/>
        <v>41.721549155908633</v>
      </c>
      <c r="P1319" s="134">
        <f t="shared" si="294"/>
        <v>1.1355027027027027</v>
      </c>
      <c r="R1319" s="149">
        <f t="shared" si="295"/>
        <v>3.9199778375811123</v>
      </c>
    </row>
    <row r="1320" spans="1:18" ht="14.45" x14ac:dyDescent="0.3">
      <c r="A1320" s="161" t="s">
        <v>1</v>
      </c>
      <c r="B1320" s="161" t="s">
        <v>4</v>
      </c>
      <c r="C1320" s="161" t="s">
        <v>26</v>
      </c>
      <c r="D1320" s="161" t="s">
        <v>91</v>
      </c>
      <c r="E1320" s="162">
        <f t="shared" si="297"/>
        <v>41365</v>
      </c>
      <c r="F1320" s="163"/>
      <c r="G1320" s="92">
        <v>5061</v>
      </c>
      <c r="H1320" s="167">
        <v>1520</v>
      </c>
      <c r="I1320" s="167" t="s">
        <v>93</v>
      </c>
      <c r="J1320" s="168">
        <f t="shared" si="296"/>
        <v>0.41</v>
      </c>
      <c r="K1320" s="169">
        <f t="shared" si="289"/>
        <v>50.25819265143992</v>
      </c>
      <c r="L1320" s="169">
        <f t="shared" si="290"/>
        <v>1.3678378378378377</v>
      </c>
      <c r="M1320" s="133">
        <f t="shared" si="291"/>
        <v>623.19999999999993</v>
      </c>
      <c r="N1320" s="133">
        <f t="shared" si="292"/>
        <v>5684.2</v>
      </c>
      <c r="O1320" s="134">
        <f t="shared" si="293"/>
        <v>56.446871896722939</v>
      </c>
      <c r="P1320" s="134">
        <f t="shared" si="294"/>
        <v>1.5362702702702702</v>
      </c>
      <c r="R1320" s="149">
        <f t="shared" si="295"/>
        <v>5.3722378763161771</v>
      </c>
    </row>
    <row r="1321" spans="1:18" ht="14.45" x14ac:dyDescent="0.3">
      <c r="A1321" s="161" t="s">
        <v>1</v>
      </c>
      <c r="B1321" s="161" t="s">
        <v>4</v>
      </c>
      <c r="C1321" s="161" t="s">
        <v>9</v>
      </c>
      <c r="D1321" s="161" t="s">
        <v>91</v>
      </c>
      <c r="E1321" s="162">
        <f t="shared" si="297"/>
        <v>41365</v>
      </c>
      <c r="F1321" s="163"/>
      <c r="G1321" s="92">
        <v>6082</v>
      </c>
      <c r="H1321" s="167">
        <v>1583</v>
      </c>
      <c r="I1321" s="167" t="s">
        <v>93</v>
      </c>
      <c r="J1321" s="168">
        <f t="shared" si="296"/>
        <v>0.41</v>
      </c>
      <c r="K1321" s="169">
        <f t="shared" si="289"/>
        <v>60.397219463753721</v>
      </c>
      <c r="L1321" s="169">
        <f t="shared" si="290"/>
        <v>1.6437837837837839</v>
      </c>
      <c r="M1321" s="133">
        <f t="shared" si="291"/>
        <v>649.03</v>
      </c>
      <c r="N1321" s="133">
        <f t="shared" si="292"/>
        <v>6731.03</v>
      </c>
      <c r="O1321" s="134">
        <f t="shared" si="293"/>
        <v>66.842403177755699</v>
      </c>
      <c r="P1321" s="134">
        <f t="shared" si="294"/>
        <v>1.8191972972972972</v>
      </c>
      <c r="R1321" s="149">
        <f t="shared" si="295"/>
        <v>4.5238061962417531</v>
      </c>
    </row>
    <row r="1322" spans="1:18" ht="14.45" x14ac:dyDescent="0.3">
      <c r="A1322" s="161" t="s">
        <v>1</v>
      </c>
      <c r="B1322" s="161" t="s">
        <v>10</v>
      </c>
      <c r="C1322" s="161" t="s">
        <v>26</v>
      </c>
      <c r="D1322" s="161" t="s">
        <v>91</v>
      </c>
      <c r="E1322" s="162">
        <f t="shared" si="297"/>
        <v>41365</v>
      </c>
      <c r="F1322" s="163"/>
      <c r="G1322" s="92">
        <v>4880</v>
      </c>
      <c r="H1322" s="167">
        <v>1599</v>
      </c>
      <c r="I1322" s="167" t="s">
        <v>92</v>
      </c>
      <c r="J1322" s="168">
        <f t="shared" si="296"/>
        <v>0.41</v>
      </c>
      <c r="K1322" s="169">
        <f t="shared" si="289"/>
        <v>48.460774577954318</v>
      </c>
      <c r="L1322" s="169">
        <f t="shared" si="290"/>
        <v>1.318918918918919</v>
      </c>
      <c r="M1322" s="133">
        <f t="shared" si="291"/>
        <v>655.58999999999992</v>
      </c>
      <c r="N1322" s="133">
        <f t="shared" si="292"/>
        <v>5535.59</v>
      </c>
      <c r="O1322" s="134">
        <f t="shared" si="293"/>
        <v>54.97110228401192</v>
      </c>
      <c r="P1322" s="134">
        <f t="shared" si="294"/>
        <v>1.4961054054054055</v>
      </c>
      <c r="R1322" s="149">
        <f t="shared" si="295"/>
        <v>3.7672786440271278</v>
      </c>
    </row>
    <row r="1323" spans="1:18" ht="14.45" x14ac:dyDescent="0.3">
      <c r="A1323" s="161" t="s">
        <v>134</v>
      </c>
      <c r="B1323" s="161" t="s">
        <v>23</v>
      </c>
      <c r="C1323" s="161" t="s">
        <v>26</v>
      </c>
      <c r="D1323" s="161" t="s">
        <v>91</v>
      </c>
      <c r="E1323" s="162">
        <f t="shared" si="297"/>
        <v>41365</v>
      </c>
      <c r="F1323" s="163"/>
      <c r="G1323" s="92">
        <v>4800</v>
      </c>
      <c r="H1323" s="167">
        <v>1851</v>
      </c>
      <c r="I1323" s="167" t="s">
        <v>93</v>
      </c>
      <c r="J1323" s="168">
        <f t="shared" si="296"/>
        <v>0.41</v>
      </c>
      <c r="K1323" s="169">
        <f t="shared" si="289"/>
        <v>47.666335650446868</v>
      </c>
      <c r="L1323" s="169">
        <f t="shared" si="290"/>
        <v>1.2108108108108109</v>
      </c>
      <c r="M1323" s="133">
        <f t="shared" si="291"/>
        <v>758.91</v>
      </c>
      <c r="N1323" s="133">
        <f t="shared" si="292"/>
        <v>5558.91</v>
      </c>
      <c r="O1323" s="134">
        <f t="shared" si="293"/>
        <v>55.202681231380332</v>
      </c>
      <c r="P1323" s="134">
        <f t="shared" si="294"/>
        <v>1.4022475675675676</v>
      </c>
      <c r="R1323" s="149">
        <f t="shared" si="295"/>
        <v>1.3498952573169465</v>
      </c>
    </row>
    <row r="1324" spans="1:18" ht="14.45" x14ac:dyDescent="0.3">
      <c r="A1324" s="161" t="s">
        <v>134</v>
      </c>
      <c r="B1324" s="161" t="s">
        <v>8</v>
      </c>
      <c r="C1324" s="161" t="s">
        <v>29</v>
      </c>
      <c r="D1324" s="161" t="s">
        <v>91</v>
      </c>
      <c r="E1324" s="162">
        <f t="shared" si="297"/>
        <v>41365</v>
      </c>
      <c r="F1324" s="163"/>
      <c r="G1324" s="92">
        <v>4760</v>
      </c>
      <c r="H1324" s="167">
        <v>1695</v>
      </c>
      <c r="I1324" s="167" t="s">
        <v>93</v>
      </c>
      <c r="J1324" s="168">
        <f t="shared" si="296"/>
        <v>0.41</v>
      </c>
      <c r="K1324" s="169">
        <f t="shared" ref="K1324:K1361" si="298">G1324/100.7</f>
        <v>47.269116186693147</v>
      </c>
      <c r="L1324" s="169">
        <f t="shared" ref="L1324:L1361" si="299">IF(A1324="corn",G1324/(111*2000/56),G1324/(111*2000/60))</f>
        <v>1.2007207207207207</v>
      </c>
      <c r="M1324" s="133">
        <f t="shared" ref="M1324:M1361" si="300">H1324*J1324</f>
        <v>694.94999999999993</v>
      </c>
      <c r="N1324" s="133">
        <f t="shared" ref="N1324:N1361" si="301">G1324+M1324</f>
        <v>5454.95</v>
      </c>
      <c r="O1324" s="134">
        <f t="shared" ref="O1324:O1361" si="302">N1324/100.7</f>
        <v>54.170307845084409</v>
      </c>
      <c r="P1324" s="134">
        <f t="shared" ref="P1324:P1361" si="303">IF(A1324="corn",N1324/(111*2000/56),N1324/(111*2000/60))</f>
        <v>1.3760234234234234</v>
      </c>
      <c r="R1324" s="149">
        <f t="shared" si="295"/>
        <v>1.2585504394717173</v>
      </c>
    </row>
    <row r="1325" spans="1:18" ht="14.45" x14ac:dyDescent="0.3">
      <c r="A1325" s="161" t="s">
        <v>134</v>
      </c>
      <c r="B1325" s="161" t="s">
        <v>13</v>
      </c>
      <c r="C1325" s="161" t="s">
        <v>7</v>
      </c>
      <c r="D1325" s="161" t="s">
        <v>91</v>
      </c>
      <c r="E1325" s="162">
        <f t="shared" si="297"/>
        <v>41365</v>
      </c>
      <c r="F1325" s="163"/>
      <c r="G1325" s="92">
        <v>2929</v>
      </c>
      <c r="H1325" s="167">
        <v>1006</v>
      </c>
      <c r="I1325" s="167" t="s">
        <v>92</v>
      </c>
      <c r="J1325" s="168">
        <f t="shared" si="296"/>
        <v>0.41</v>
      </c>
      <c r="K1325" s="169">
        <f t="shared" si="298"/>
        <v>29.086395233366435</v>
      </c>
      <c r="L1325" s="169">
        <f t="shared" si="299"/>
        <v>0.73884684684684687</v>
      </c>
      <c r="M1325" s="133">
        <f t="shared" si="300"/>
        <v>412.46</v>
      </c>
      <c r="N1325" s="133">
        <f t="shared" si="301"/>
        <v>3341.46</v>
      </c>
      <c r="O1325" s="134">
        <f t="shared" si="302"/>
        <v>33.182323733862958</v>
      </c>
      <c r="P1325" s="134">
        <f t="shared" si="303"/>
        <v>0.84289081081081085</v>
      </c>
      <c r="R1325" s="149">
        <f t="shared" si="295"/>
        <v>3.1544046825220384</v>
      </c>
    </row>
    <row r="1326" spans="1:18" ht="14.45" x14ac:dyDescent="0.3">
      <c r="A1326" s="161" t="s">
        <v>134</v>
      </c>
      <c r="B1326" s="161" t="s">
        <v>30</v>
      </c>
      <c r="C1326" s="161" t="s">
        <v>9</v>
      </c>
      <c r="D1326" s="161" t="s">
        <v>91</v>
      </c>
      <c r="E1326" s="162">
        <f t="shared" si="297"/>
        <v>41365</v>
      </c>
      <c r="F1326" s="163"/>
      <c r="G1326" s="92">
        <v>3310</v>
      </c>
      <c r="H1326" s="167">
        <v>988</v>
      </c>
      <c r="I1326" s="167" t="s">
        <v>93</v>
      </c>
      <c r="J1326" s="168">
        <f t="shared" si="296"/>
        <v>0.41</v>
      </c>
      <c r="K1326" s="169">
        <f t="shared" si="298"/>
        <v>32.869910625620655</v>
      </c>
      <c r="L1326" s="169">
        <f t="shared" si="299"/>
        <v>0.83495495495495498</v>
      </c>
      <c r="M1326" s="133">
        <f t="shared" si="300"/>
        <v>405.08</v>
      </c>
      <c r="N1326" s="133">
        <f t="shared" si="301"/>
        <v>3715.08</v>
      </c>
      <c r="O1326" s="134">
        <f t="shared" si="302"/>
        <v>36.892552135054615</v>
      </c>
      <c r="P1326" s="134">
        <f t="shared" si="303"/>
        <v>0.93713729729729733</v>
      </c>
      <c r="R1326" s="149">
        <f t="shared" si="295"/>
        <v>1.0752103080891029</v>
      </c>
    </row>
    <row r="1327" spans="1:18" ht="14.45" x14ac:dyDescent="0.3">
      <c r="A1327" s="161" t="s">
        <v>134</v>
      </c>
      <c r="B1327" s="161" t="s">
        <v>16</v>
      </c>
      <c r="C1327" s="161" t="s">
        <v>11</v>
      </c>
      <c r="D1327" s="161" t="s">
        <v>91</v>
      </c>
      <c r="E1327" s="162">
        <f t="shared" si="297"/>
        <v>41365</v>
      </c>
      <c r="F1327" s="163"/>
      <c r="G1327" s="92">
        <v>3510</v>
      </c>
      <c r="H1327" s="167">
        <v>787</v>
      </c>
      <c r="I1327" s="167" t="s">
        <v>92</v>
      </c>
      <c r="J1327" s="168">
        <f t="shared" si="296"/>
        <v>0.41</v>
      </c>
      <c r="K1327" s="169">
        <f t="shared" si="298"/>
        <v>34.856007944389276</v>
      </c>
      <c r="L1327" s="169">
        <f t="shared" si="299"/>
        <v>0.88540540540540547</v>
      </c>
      <c r="M1327" s="133">
        <f t="shared" si="300"/>
        <v>322.66999999999996</v>
      </c>
      <c r="N1327" s="133">
        <f t="shared" si="301"/>
        <v>3832.67</v>
      </c>
      <c r="O1327" s="134">
        <f t="shared" si="302"/>
        <v>38.060278053624629</v>
      </c>
      <c r="P1327" s="134">
        <f t="shared" si="303"/>
        <v>0.96679963963963966</v>
      </c>
      <c r="R1327" s="149">
        <f t="shared" si="295"/>
        <v>2.7784481880152034</v>
      </c>
    </row>
    <row r="1328" spans="1:18" ht="14.45" x14ac:dyDescent="0.3">
      <c r="A1328" s="161" t="s">
        <v>134</v>
      </c>
      <c r="B1328" s="161" t="s">
        <v>23</v>
      </c>
      <c r="C1328" s="161" t="s">
        <v>29</v>
      </c>
      <c r="D1328" s="161" t="s">
        <v>91</v>
      </c>
      <c r="E1328" s="162">
        <f t="shared" si="297"/>
        <v>41365</v>
      </c>
      <c r="F1328" s="163"/>
      <c r="G1328" s="92">
        <v>4800</v>
      </c>
      <c r="H1328" s="167">
        <v>1836</v>
      </c>
      <c r="I1328" s="167" t="s">
        <v>93</v>
      </c>
      <c r="J1328" s="168">
        <f t="shared" si="296"/>
        <v>0.41</v>
      </c>
      <c r="K1328" s="169">
        <f t="shared" si="298"/>
        <v>47.666335650446868</v>
      </c>
      <c r="L1328" s="169">
        <f t="shared" si="299"/>
        <v>1.2108108108108109</v>
      </c>
      <c r="M1328" s="133">
        <f t="shared" si="300"/>
        <v>752.76</v>
      </c>
      <c r="N1328" s="133">
        <f t="shared" si="301"/>
        <v>5552.76</v>
      </c>
      <c r="O1328" s="134">
        <f t="shared" si="302"/>
        <v>55.141608738828204</v>
      </c>
      <c r="P1328" s="134">
        <f t="shared" si="303"/>
        <v>1.4006962162162162</v>
      </c>
      <c r="R1328" s="149">
        <f t="shared" si="295"/>
        <v>1.3403123015264695</v>
      </c>
    </row>
    <row r="1329" spans="1:18" ht="14.45" x14ac:dyDescent="0.3">
      <c r="A1329" s="161" t="s">
        <v>134</v>
      </c>
      <c r="B1329" s="161" t="s">
        <v>31</v>
      </c>
      <c r="C1329" s="161" t="s">
        <v>32</v>
      </c>
      <c r="D1329" s="161" t="s">
        <v>91</v>
      </c>
      <c r="E1329" s="162">
        <f t="shared" si="297"/>
        <v>41365</v>
      </c>
      <c r="F1329" s="163"/>
      <c r="G1329" s="92">
        <v>4200</v>
      </c>
      <c r="H1329" s="167">
        <v>1899</v>
      </c>
      <c r="I1329" s="167" t="s">
        <v>93</v>
      </c>
      <c r="J1329" s="168">
        <f t="shared" si="296"/>
        <v>0.41</v>
      </c>
      <c r="K1329" s="169">
        <f t="shared" si="298"/>
        <v>41.708043694141011</v>
      </c>
      <c r="L1329" s="169">
        <f t="shared" si="299"/>
        <v>1.0594594594594595</v>
      </c>
      <c r="M1329" s="133">
        <f t="shared" si="300"/>
        <v>778.58999999999992</v>
      </c>
      <c r="N1329" s="133">
        <f t="shared" si="301"/>
        <v>4978.59</v>
      </c>
      <c r="O1329" s="134">
        <f t="shared" si="302"/>
        <v>49.439821251241312</v>
      </c>
      <c r="P1329" s="134">
        <f t="shared" si="303"/>
        <v>1.2558605405405405</v>
      </c>
      <c r="R1329" s="149">
        <f t="shared" si="295"/>
        <v>1.5493724796690866</v>
      </c>
    </row>
    <row r="1330" spans="1:18" ht="14.45" x14ac:dyDescent="0.3">
      <c r="A1330" s="161" t="s">
        <v>22</v>
      </c>
      <c r="B1330" s="161" t="s">
        <v>8</v>
      </c>
      <c r="C1330" s="161" t="s">
        <v>29</v>
      </c>
      <c r="D1330" s="161" t="s">
        <v>91</v>
      </c>
      <c r="E1330" s="162">
        <f t="shared" si="297"/>
        <v>41365</v>
      </c>
      <c r="F1330" s="163"/>
      <c r="G1330" s="92">
        <v>5320</v>
      </c>
      <c r="H1330" s="167">
        <v>1695</v>
      </c>
      <c r="I1330" s="167" t="s">
        <v>93</v>
      </c>
      <c r="J1330" s="168">
        <f t="shared" si="296"/>
        <v>0.41</v>
      </c>
      <c r="K1330" s="169">
        <f t="shared" si="298"/>
        <v>52.830188679245282</v>
      </c>
      <c r="L1330" s="169">
        <f t="shared" si="299"/>
        <v>1.4378378378378378</v>
      </c>
      <c r="M1330" s="133">
        <f t="shared" si="300"/>
        <v>694.94999999999993</v>
      </c>
      <c r="N1330" s="133">
        <f t="shared" si="301"/>
        <v>6014.95</v>
      </c>
      <c r="O1330" s="134">
        <f t="shared" si="302"/>
        <v>59.731380337636544</v>
      </c>
      <c r="P1330" s="134">
        <f t="shared" si="303"/>
        <v>1.6256621621621621</v>
      </c>
      <c r="R1330" s="149">
        <f t="shared" si="295"/>
        <v>6.1371235982813355</v>
      </c>
    </row>
    <row r="1331" spans="1:18" ht="14.45" x14ac:dyDescent="0.3">
      <c r="A1331" s="161" t="s">
        <v>22</v>
      </c>
      <c r="B1331" s="161" t="s">
        <v>23</v>
      </c>
      <c r="C1331" s="161" t="s">
        <v>26</v>
      </c>
      <c r="D1331" s="161" t="s">
        <v>91</v>
      </c>
      <c r="E1331" s="162">
        <f t="shared" si="297"/>
        <v>41365</v>
      </c>
      <c r="F1331" s="163"/>
      <c r="G1331" s="92">
        <v>5330</v>
      </c>
      <c r="H1331" s="167">
        <v>1851</v>
      </c>
      <c r="I1331" s="167" t="s">
        <v>93</v>
      </c>
      <c r="J1331" s="168">
        <f t="shared" si="296"/>
        <v>0.41</v>
      </c>
      <c r="K1331" s="169">
        <f t="shared" si="298"/>
        <v>52.929493545183711</v>
      </c>
      <c r="L1331" s="169">
        <f t="shared" si="299"/>
        <v>1.4405405405405405</v>
      </c>
      <c r="M1331" s="133">
        <f t="shared" si="300"/>
        <v>758.91</v>
      </c>
      <c r="N1331" s="133">
        <f t="shared" si="301"/>
        <v>6088.91</v>
      </c>
      <c r="O1331" s="134">
        <f t="shared" si="302"/>
        <v>60.465839126117174</v>
      </c>
      <c r="P1331" s="134">
        <f t="shared" si="303"/>
        <v>1.6456513513513513</v>
      </c>
      <c r="R1331" s="149">
        <f t="shared" si="295"/>
        <v>6.5450307706037103</v>
      </c>
    </row>
    <row r="1332" spans="1:18" ht="14.45" x14ac:dyDescent="0.3">
      <c r="A1332" s="161" t="s">
        <v>22</v>
      </c>
      <c r="B1332" s="161" t="s">
        <v>33</v>
      </c>
      <c r="C1332" s="161" t="s">
        <v>29</v>
      </c>
      <c r="D1332" s="161" t="s">
        <v>91</v>
      </c>
      <c r="E1332" s="162">
        <f t="shared" si="297"/>
        <v>41365</v>
      </c>
      <c r="F1332" s="163"/>
      <c r="G1332" s="92">
        <v>5230</v>
      </c>
      <c r="H1332" s="167">
        <v>1507</v>
      </c>
      <c r="I1332" s="167" t="s">
        <v>93</v>
      </c>
      <c r="J1332" s="168">
        <f t="shared" si="296"/>
        <v>0.41</v>
      </c>
      <c r="K1332" s="169">
        <f t="shared" si="298"/>
        <v>51.936444885799403</v>
      </c>
      <c r="L1332" s="169">
        <f t="shared" si="299"/>
        <v>1.4135135135135135</v>
      </c>
      <c r="M1332" s="133">
        <f t="shared" si="300"/>
        <v>617.87</v>
      </c>
      <c r="N1332" s="133">
        <f t="shared" si="301"/>
        <v>5847.87</v>
      </c>
      <c r="O1332" s="134">
        <f t="shared" si="302"/>
        <v>58.072194637537237</v>
      </c>
      <c r="P1332" s="134">
        <f t="shared" si="303"/>
        <v>1.5805054054054053</v>
      </c>
      <c r="R1332" s="149">
        <f t="shared" si="295"/>
        <v>6.5653592925127402</v>
      </c>
    </row>
    <row r="1333" spans="1:18" ht="14.45" x14ac:dyDescent="0.3">
      <c r="A1333" s="161" t="s">
        <v>22</v>
      </c>
      <c r="B1333" s="161" t="s">
        <v>31</v>
      </c>
      <c r="C1333" s="161" t="s">
        <v>7</v>
      </c>
      <c r="D1333" s="161" t="s">
        <v>91</v>
      </c>
      <c r="E1333" s="162">
        <f t="shared" si="297"/>
        <v>41365</v>
      </c>
      <c r="F1333" s="163"/>
      <c r="G1333" s="92">
        <v>3950</v>
      </c>
      <c r="H1333" s="167">
        <v>1160</v>
      </c>
      <c r="I1333" s="167" t="s">
        <v>92</v>
      </c>
      <c r="J1333" s="168">
        <f t="shared" si="296"/>
        <v>0.41</v>
      </c>
      <c r="K1333" s="169">
        <f t="shared" si="298"/>
        <v>39.22542204568024</v>
      </c>
      <c r="L1333" s="169">
        <f t="shared" si="299"/>
        <v>1.0675675675675675</v>
      </c>
      <c r="M1333" s="133">
        <f t="shared" si="300"/>
        <v>475.59999999999997</v>
      </c>
      <c r="N1333" s="133">
        <f t="shared" si="301"/>
        <v>4425.6000000000004</v>
      </c>
      <c r="O1333" s="134">
        <f t="shared" si="302"/>
        <v>43.948361469712019</v>
      </c>
      <c r="P1333" s="134">
        <f t="shared" si="303"/>
        <v>1.1961081081081082</v>
      </c>
      <c r="R1333" s="149">
        <f t="shared" si="295"/>
        <v>6.620410523272624</v>
      </c>
    </row>
    <row r="1334" spans="1:18" ht="14.45" x14ac:dyDescent="0.3">
      <c r="A1334" s="161" t="s">
        <v>22</v>
      </c>
      <c r="B1334" s="161" t="s">
        <v>14</v>
      </c>
      <c r="C1334" s="161" t="s">
        <v>24</v>
      </c>
      <c r="D1334" s="161" t="s">
        <v>91</v>
      </c>
      <c r="E1334" s="162">
        <f t="shared" si="297"/>
        <v>41365</v>
      </c>
      <c r="F1334" s="163"/>
      <c r="G1334" s="92">
        <v>2750</v>
      </c>
      <c r="H1334" s="167">
        <v>615</v>
      </c>
      <c r="I1334" s="167" t="s">
        <v>94</v>
      </c>
      <c r="J1334" s="168">
        <f t="shared" si="296"/>
        <v>0.53</v>
      </c>
      <c r="K1334" s="169">
        <f t="shared" si="298"/>
        <v>27.308838133068519</v>
      </c>
      <c r="L1334" s="169">
        <f t="shared" si="299"/>
        <v>0.7432432432432432</v>
      </c>
      <c r="M1334" s="133">
        <f t="shared" si="300"/>
        <v>325.95</v>
      </c>
      <c r="N1334" s="133">
        <f t="shared" si="301"/>
        <v>3075.95</v>
      </c>
      <c r="O1334" s="134">
        <f t="shared" si="302"/>
        <v>30.545680238331677</v>
      </c>
      <c r="P1334" s="134">
        <f t="shared" si="303"/>
        <v>0.83133783783783777</v>
      </c>
      <c r="R1334" s="149">
        <f t="shared" si="295"/>
        <v>3.4506533035128628</v>
      </c>
    </row>
    <row r="1335" spans="1:18" ht="14.45" x14ac:dyDescent="0.3">
      <c r="A1335" s="164" t="s">
        <v>22</v>
      </c>
      <c r="B1335" s="164" t="s">
        <v>34</v>
      </c>
      <c r="C1335" s="164" t="s">
        <v>26</v>
      </c>
      <c r="D1335" s="164" t="s">
        <v>91</v>
      </c>
      <c r="E1335" s="165">
        <f t="shared" si="297"/>
        <v>41365</v>
      </c>
      <c r="F1335" s="166"/>
      <c r="G1335" s="105">
        <v>5195</v>
      </c>
      <c r="H1335" s="170">
        <v>1637</v>
      </c>
      <c r="I1335" s="170" t="s">
        <v>92</v>
      </c>
      <c r="J1335" s="171">
        <f t="shared" si="296"/>
        <v>0.41</v>
      </c>
      <c r="K1335" s="172">
        <f t="shared" si="298"/>
        <v>51.588877855014893</v>
      </c>
      <c r="L1335" s="172">
        <f t="shared" si="299"/>
        <v>1.404054054054054</v>
      </c>
      <c r="M1335" s="115">
        <f t="shared" si="300"/>
        <v>671.17</v>
      </c>
      <c r="N1335" s="115">
        <f t="shared" si="301"/>
        <v>5866.17</v>
      </c>
      <c r="O1335" s="116">
        <f t="shared" si="302"/>
        <v>58.25392254220457</v>
      </c>
      <c r="P1335" s="116">
        <f t="shared" si="303"/>
        <v>1.5854513513513513</v>
      </c>
      <c r="Q1335" s="106"/>
      <c r="R1335" s="152">
        <f t="shared" si="295"/>
        <v>2.2504558083757065</v>
      </c>
    </row>
    <row r="1336" spans="1:18" ht="14.45" x14ac:dyDescent="0.3">
      <c r="A1336" s="161" t="s">
        <v>1</v>
      </c>
      <c r="B1336" s="161" t="s">
        <v>2</v>
      </c>
      <c r="C1336" s="161" t="s">
        <v>3</v>
      </c>
      <c r="D1336" s="161" t="s">
        <v>90</v>
      </c>
      <c r="E1336" s="162">
        <v>41395</v>
      </c>
      <c r="F1336" s="163"/>
      <c r="G1336" s="92">
        <v>3144</v>
      </c>
      <c r="H1336" s="167">
        <v>506</v>
      </c>
      <c r="I1336" s="167" t="s">
        <v>92</v>
      </c>
      <c r="J1336" s="168">
        <f>IF(I1336="BNSF",0.4,IF(I1336="CN",0.3393,IF(I1336="CSX",0.52,0.4)))</f>
        <v>0.4</v>
      </c>
      <c r="K1336" s="169">
        <f t="shared" si="298"/>
        <v>31.221449851042699</v>
      </c>
      <c r="L1336" s="169">
        <f t="shared" si="299"/>
        <v>0.84972972972972971</v>
      </c>
      <c r="M1336" s="133">
        <f t="shared" si="300"/>
        <v>202.4</v>
      </c>
      <c r="N1336" s="133">
        <f t="shared" si="301"/>
        <v>3346.4</v>
      </c>
      <c r="O1336" s="134">
        <f t="shared" si="302"/>
        <v>33.231380337636544</v>
      </c>
      <c r="P1336" s="134">
        <f t="shared" si="303"/>
        <v>0.90443243243243243</v>
      </c>
      <c r="Q1336" s="160"/>
      <c r="R1336" s="149">
        <f t="shared" ref="R1336:R1373" si="304">((N1336/N880)-1)*100</f>
        <v>4.5926500096891365</v>
      </c>
    </row>
    <row r="1337" spans="1:18" ht="14.45" x14ac:dyDescent="0.3">
      <c r="A1337" s="161" t="s">
        <v>1</v>
      </c>
      <c r="B1337" s="161" t="s">
        <v>4</v>
      </c>
      <c r="C1337" s="161" t="s">
        <v>5</v>
      </c>
      <c r="D1337" s="161" t="s">
        <v>90</v>
      </c>
      <c r="E1337" s="162">
        <f>E1336</f>
        <v>41395</v>
      </c>
      <c r="F1337" s="163"/>
      <c r="G1337" s="92">
        <v>3543</v>
      </c>
      <c r="H1337" s="167">
        <v>298</v>
      </c>
      <c r="I1337" s="167" t="s">
        <v>93</v>
      </c>
      <c r="J1337" s="168">
        <f t="shared" ref="J1337:J1373" si="305">IF(I1337="BNSF",0.4,IF(I1337="CN",0.3393,IF(I1337="CSX",0.52,0.4)))</f>
        <v>0.4</v>
      </c>
      <c r="K1337" s="169">
        <f t="shared" si="298"/>
        <v>35.183714001986097</v>
      </c>
      <c r="L1337" s="169">
        <f t="shared" si="299"/>
        <v>0.95756756756756756</v>
      </c>
      <c r="M1337" s="133">
        <f t="shared" si="300"/>
        <v>119.2</v>
      </c>
      <c r="N1337" s="133">
        <f t="shared" si="301"/>
        <v>3662.2</v>
      </c>
      <c r="O1337" s="134">
        <f t="shared" si="302"/>
        <v>36.367428003972194</v>
      </c>
      <c r="P1337" s="134">
        <f t="shared" si="303"/>
        <v>0.98978378378378373</v>
      </c>
      <c r="Q1337" s="160"/>
      <c r="R1337" s="149">
        <f t="shared" si="304"/>
        <v>8.2792754968688875</v>
      </c>
    </row>
    <row r="1338" spans="1:18" ht="14.45" x14ac:dyDescent="0.3">
      <c r="A1338" s="161" t="s">
        <v>1</v>
      </c>
      <c r="B1338" s="161" t="s">
        <v>2</v>
      </c>
      <c r="C1338" s="161" t="s">
        <v>6</v>
      </c>
      <c r="D1338" s="161" t="s">
        <v>90</v>
      </c>
      <c r="E1338" s="162">
        <f t="shared" ref="E1338:E1373" si="306">E1337</f>
        <v>41395</v>
      </c>
      <c r="F1338" s="163"/>
      <c r="G1338" s="92">
        <v>6026</v>
      </c>
      <c r="H1338" s="167">
        <v>1530</v>
      </c>
      <c r="I1338" s="167" t="s">
        <v>93</v>
      </c>
      <c r="J1338" s="168">
        <f t="shared" si="305"/>
        <v>0.4</v>
      </c>
      <c r="K1338" s="169">
        <f t="shared" si="298"/>
        <v>59.841112214498509</v>
      </c>
      <c r="L1338" s="169">
        <f t="shared" si="299"/>
        <v>1.6286486486486487</v>
      </c>
      <c r="M1338" s="133">
        <f t="shared" si="300"/>
        <v>612</v>
      </c>
      <c r="N1338" s="133">
        <f t="shared" si="301"/>
        <v>6638</v>
      </c>
      <c r="O1338" s="134">
        <f t="shared" si="302"/>
        <v>65.918570009930491</v>
      </c>
      <c r="P1338" s="134">
        <f t="shared" si="303"/>
        <v>1.7940540540540542</v>
      </c>
      <c r="R1338" s="149">
        <f t="shared" si="304"/>
        <v>1.7739141100532096</v>
      </c>
    </row>
    <row r="1339" spans="1:18" ht="14.45" x14ac:dyDescent="0.3">
      <c r="A1339" s="161" t="s">
        <v>1</v>
      </c>
      <c r="B1339" s="161" t="s">
        <v>2</v>
      </c>
      <c r="C1339" s="161" t="s">
        <v>7</v>
      </c>
      <c r="D1339" s="161" t="s">
        <v>90</v>
      </c>
      <c r="E1339" s="162">
        <f t="shared" si="306"/>
        <v>41395</v>
      </c>
      <c r="F1339" s="163"/>
      <c r="G1339" s="92">
        <v>3645</v>
      </c>
      <c r="H1339" s="167">
        <v>890</v>
      </c>
      <c r="I1339" s="167" t="s">
        <v>92</v>
      </c>
      <c r="J1339" s="168">
        <f t="shared" si="305"/>
        <v>0.4</v>
      </c>
      <c r="K1339" s="169">
        <f t="shared" si="298"/>
        <v>36.196623634558094</v>
      </c>
      <c r="L1339" s="169">
        <f t="shared" si="299"/>
        <v>0.98513513513513518</v>
      </c>
      <c r="M1339" s="133">
        <f t="shared" si="300"/>
        <v>356</v>
      </c>
      <c r="N1339" s="133">
        <f t="shared" si="301"/>
        <v>4001</v>
      </c>
      <c r="O1339" s="134">
        <f t="shared" si="302"/>
        <v>39.731876861966235</v>
      </c>
      <c r="P1339" s="134">
        <f t="shared" si="303"/>
        <v>1.0813513513513513</v>
      </c>
      <c r="R1339" s="149">
        <f t="shared" si="304"/>
        <v>3.7361611657030336</v>
      </c>
    </row>
    <row r="1340" spans="1:18" ht="14.45" x14ac:dyDescent="0.3">
      <c r="A1340" s="161" t="s">
        <v>1</v>
      </c>
      <c r="B1340" s="161" t="s">
        <v>8</v>
      </c>
      <c r="C1340" s="161" t="s">
        <v>9</v>
      </c>
      <c r="D1340" s="161" t="s">
        <v>90</v>
      </c>
      <c r="E1340" s="162">
        <f t="shared" si="306"/>
        <v>41395</v>
      </c>
      <c r="F1340" s="163"/>
      <c r="G1340" s="92">
        <v>5573</v>
      </c>
      <c r="H1340" s="167">
        <v>1256</v>
      </c>
      <c r="I1340" s="167" t="s">
        <v>93</v>
      </c>
      <c r="J1340" s="168">
        <f t="shared" si="305"/>
        <v>0.4</v>
      </c>
      <c r="K1340" s="169">
        <f t="shared" si="298"/>
        <v>55.342601787487588</v>
      </c>
      <c r="L1340" s="169">
        <f t="shared" si="299"/>
        <v>1.5062162162162163</v>
      </c>
      <c r="M1340" s="133">
        <f t="shared" si="300"/>
        <v>502.40000000000003</v>
      </c>
      <c r="N1340" s="133">
        <f t="shared" si="301"/>
        <v>6075.4</v>
      </c>
      <c r="O1340" s="134">
        <f t="shared" si="302"/>
        <v>60.331678252234354</v>
      </c>
      <c r="P1340" s="134">
        <f t="shared" si="303"/>
        <v>1.6419999999999999</v>
      </c>
      <c r="R1340" s="149">
        <f t="shared" si="304"/>
        <v>-0.20630884565602248</v>
      </c>
    </row>
    <row r="1341" spans="1:18" ht="14.45" x14ac:dyDescent="0.3">
      <c r="A1341" s="161" t="s">
        <v>1</v>
      </c>
      <c r="B1341" s="161" t="s">
        <v>10</v>
      </c>
      <c r="C1341" s="161" t="s">
        <v>9</v>
      </c>
      <c r="D1341" s="161" t="s">
        <v>90</v>
      </c>
      <c r="E1341" s="162">
        <f t="shared" si="306"/>
        <v>41395</v>
      </c>
      <c r="F1341" s="163"/>
      <c r="G1341" s="92">
        <v>3912</v>
      </c>
      <c r="H1341" s="167">
        <v>975</v>
      </c>
      <c r="I1341" s="167" t="s">
        <v>92</v>
      </c>
      <c r="J1341" s="168">
        <f t="shared" si="305"/>
        <v>0.4</v>
      </c>
      <c r="K1341" s="169">
        <f t="shared" si="298"/>
        <v>38.848063555114202</v>
      </c>
      <c r="L1341" s="169">
        <f t="shared" si="299"/>
        <v>1.0572972972972974</v>
      </c>
      <c r="M1341" s="133">
        <f t="shared" si="300"/>
        <v>390</v>
      </c>
      <c r="N1341" s="133">
        <f t="shared" si="301"/>
        <v>4302</v>
      </c>
      <c r="O1341" s="134">
        <f t="shared" si="302"/>
        <v>42.720953326713008</v>
      </c>
      <c r="P1341" s="134">
        <f t="shared" si="303"/>
        <v>1.1627027027027026</v>
      </c>
      <c r="R1341" s="149">
        <f t="shared" si="304"/>
        <v>3.4196766632610176</v>
      </c>
    </row>
    <row r="1342" spans="1:18" ht="14.45" x14ac:dyDescent="0.3">
      <c r="A1342" s="161" t="s">
        <v>1</v>
      </c>
      <c r="B1342" s="161" t="s">
        <v>11</v>
      </c>
      <c r="C1342" s="161" t="s">
        <v>6</v>
      </c>
      <c r="D1342" s="161" t="s">
        <v>90</v>
      </c>
      <c r="E1342" s="162">
        <f t="shared" si="306"/>
        <v>41395</v>
      </c>
      <c r="F1342" s="163"/>
      <c r="G1342" s="92">
        <v>4112</v>
      </c>
      <c r="H1342" s="167">
        <v>1357</v>
      </c>
      <c r="I1342" s="167" t="s">
        <v>92</v>
      </c>
      <c r="J1342" s="168">
        <f t="shared" si="305"/>
        <v>0.4</v>
      </c>
      <c r="K1342" s="169">
        <f t="shared" si="298"/>
        <v>40.834160873882816</v>
      </c>
      <c r="L1342" s="169">
        <f t="shared" si="299"/>
        <v>1.1113513513513513</v>
      </c>
      <c r="M1342" s="133">
        <f t="shared" si="300"/>
        <v>542.80000000000007</v>
      </c>
      <c r="N1342" s="133">
        <f t="shared" si="301"/>
        <v>4654.8</v>
      </c>
      <c r="O1342" s="134">
        <f t="shared" si="302"/>
        <v>46.224428997020851</v>
      </c>
      <c r="P1342" s="134">
        <f t="shared" si="303"/>
        <v>1.2580540540540541</v>
      </c>
      <c r="R1342" s="149">
        <f t="shared" si="304"/>
        <v>3.0878975587825597</v>
      </c>
    </row>
    <row r="1343" spans="1:18" ht="14.45" x14ac:dyDescent="0.3">
      <c r="A1343" s="161" t="s">
        <v>134</v>
      </c>
      <c r="B1343" s="161" t="s">
        <v>13</v>
      </c>
      <c r="C1343" s="161" t="s">
        <v>7</v>
      </c>
      <c r="D1343" s="161" t="s">
        <v>90</v>
      </c>
      <c r="E1343" s="162">
        <f t="shared" si="306"/>
        <v>41395</v>
      </c>
      <c r="F1343" s="163"/>
      <c r="G1343" s="92">
        <v>3110</v>
      </c>
      <c r="H1343" s="167">
        <v>1006</v>
      </c>
      <c r="I1343" s="167" t="s">
        <v>92</v>
      </c>
      <c r="J1343" s="168">
        <f t="shared" si="305"/>
        <v>0.4</v>
      </c>
      <c r="K1343" s="169">
        <f t="shared" si="298"/>
        <v>30.883813306852034</v>
      </c>
      <c r="L1343" s="169">
        <f t="shared" si="299"/>
        <v>0.78450450450450449</v>
      </c>
      <c r="M1343" s="133">
        <f t="shared" si="300"/>
        <v>402.40000000000003</v>
      </c>
      <c r="N1343" s="133">
        <f t="shared" si="301"/>
        <v>3512.4</v>
      </c>
      <c r="O1343" s="134">
        <f t="shared" si="302"/>
        <v>34.8798411122145</v>
      </c>
      <c r="P1343" s="134">
        <f t="shared" si="303"/>
        <v>0.8860108108108109</v>
      </c>
      <c r="R1343" s="149">
        <f t="shared" si="304"/>
        <v>1.7951229691113735</v>
      </c>
    </row>
    <row r="1344" spans="1:18" ht="14.45" x14ac:dyDescent="0.3">
      <c r="A1344" s="161" t="s">
        <v>134</v>
      </c>
      <c r="B1344" s="161" t="s">
        <v>14</v>
      </c>
      <c r="C1344" s="161" t="s">
        <v>15</v>
      </c>
      <c r="D1344" s="161" t="s">
        <v>90</v>
      </c>
      <c r="E1344" s="162">
        <f t="shared" si="306"/>
        <v>41395</v>
      </c>
      <c r="F1344" s="163"/>
      <c r="G1344" s="92">
        <v>4508</v>
      </c>
      <c r="H1344" s="167">
        <v>866</v>
      </c>
      <c r="I1344" s="167" t="s">
        <v>94</v>
      </c>
      <c r="J1344" s="168">
        <f t="shared" si="305"/>
        <v>0.52</v>
      </c>
      <c r="K1344" s="169">
        <f t="shared" si="298"/>
        <v>44.766633565044685</v>
      </c>
      <c r="L1344" s="169">
        <f t="shared" si="299"/>
        <v>1.1371531531531531</v>
      </c>
      <c r="M1344" s="133">
        <f t="shared" si="300"/>
        <v>450.32</v>
      </c>
      <c r="N1344" s="133">
        <f t="shared" si="301"/>
        <v>4958.32</v>
      </c>
      <c r="O1344" s="134">
        <f t="shared" si="302"/>
        <v>49.238530287984105</v>
      </c>
      <c r="P1344" s="134">
        <f t="shared" si="303"/>
        <v>1.2507473873873873</v>
      </c>
      <c r="R1344" s="149">
        <f t="shared" si="304"/>
        <v>2.2409910838742553</v>
      </c>
    </row>
    <row r="1345" spans="1:18" ht="14.45" x14ac:dyDescent="0.3">
      <c r="A1345" s="161" t="s">
        <v>134</v>
      </c>
      <c r="B1345" s="161" t="s">
        <v>16</v>
      </c>
      <c r="C1345" s="161" t="s">
        <v>17</v>
      </c>
      <c r="D1345" s="161" t="s">
        <v>90</v>
      </c>
      <c r="E1345" s="162">
        <f t="shared" si="306"/>
        <v>41395</v>
      </c>
      <c r="F1345" s="163"/>
      <c r="G1345" s="92">
        <v>2006</v>
      </c>
      <c r="H1345" s="167">
        <v>213</v>
      </c>
      <c r="I1345" s="167" t="s">
        <v>92</v>
      </c>
      <c r="J1345" s="168">
        <f t="shared" si="305"/>
        <v>0.4</v>
      </c>
      <c r="K1345" s="169">
        <f t="shared" si="298"/>
        <v>19.920556107249254</v>
      </c>
      <c r="L1345" s="169">
        <f t="shared" si="299"/>
        <v>0.50601801801801805</v>
      </c>
      <c r="M1345" s="133">
        <f t="shared" si="300"/>
        <v>85.2</v>
      </c>
      <c r="N1345" s="133">
        <f t="shared" si="301"/>
        <v>2091.1999999999998</v>
      </c>
      <c r="O1345" s="134">
        <f t="shared" si="302"/>
        <v>20.766633565044685</v>
      </c>
      <c r="P1345" s="134">
        <f t="shared" si="303"/>
        <v>0.52750990990990987</v>
      </c>
      <c r="R1345" s="149">
        <f t="shared" si="304"/>
        <v>3.4566349878545344</v>
      </c>
    </row>
    <row r="1346" spans="1:18" ht="14.45" x14ac:dyDescent="0.3">
      <c r="A1346" s="161" t="s">
        <v>134</v>
      </c>
      <c r="B1346" s="161" t="s">
        <v>18</v>
      </c>
      <c r="C1346" s="161" t="s">
        <v>19</v>
      </c>
      <c r="D1346" s="161" t="s">
        <v>90</v>
      </c>
      <c r="E1346" s="162">
        <f t="shared" si="306"/>
        <v>41395</v>
      </c>
      <c r="F1346" s="163"/>
      <c r="G1346" s="92">
        <v>3920</v>
      </c>
      <c r="H1346" s="167">
        <v>650</v>
      </c>
      <c r="I1346" s="167" t="s">
        <v>94</v>
      </c>
      <c r="J1346" s="168">
        <f t="shared" si="305"/>
        <v>0.52</v>
      </c>
      <c r="K1346" s="169">
        <f t="shared" si="298"/>
        <v>38.927507447864947</v>
      </c>
      <c r="L1346" s="169">
        <f t="shared" si="299"/>
        <v>0.98882882882882883</v>
      </c>
      <c r="M1346" s="133">
        <f t="shared" si="300"/>
        <v>338</v>
      </c>
      <c r="N1346" s="133">
        <f t="shared" si="301"/>
        <v>4258</v>
      </c>
      <c r="O1346" s="134">
        <f t="shared" si="302"/>
        <v>42.284011916583914</v>
      </c>
      <c r="P1346" s="134">
        <f t="shared" si="303"/>
        <v>1.07409009009009</v>
      </c>
      <c r="R1346" s="149">
        <f t="shared" si="304"/>
        <v>2.0613614573346206</v>
      </c>
    </row>
    <row r="1347" spans="1:18" ht="14.45" x14ac:dyDescent="0.3">
      <c r="A1347" s="161" t="s">
        <v>134</v>
      </c>
      <c r="B1347" s="161" t="s">
        <v>18</v>
      </c>
      <c r="C1347" s="161" t="s">
        <v>20</v>
      </c>
      <c r="D1347" s="161" t="s">
        <v>90</v>
      </c>
      <c r="E1347" s="162">
        <f t="shared" si="306"/>
        <v>41395</v>
      </c>
      <c r="F1347" s="163"/>
      <c r="G1347" s="92">
        <v>3354</v>
      </c>
      <c r="H1347" s="167">
        <v>417</v>
      </c>
      <c r="I1347" s="167" t="s">
        <v>94</v>
      </c>
      <c r="J1347" s="168">
        <f t="shared" si="305"/>
        <v>0.52</v>
      </c>
      <c r="K1347" s="169">
        <f t="shared" si="298"/>
        <v>33.306852035749749</v>
      </c>
      <c r="L1347" s="169">
        <f t="shared" si="299"/>
        <v>0.84605405405405409</v>
      </c>
      <c r="M1347" s="133">
        <f t="shared" si="300"/>
        <v>216.84</v>
      </c>
      <c r="N1347" s="133">
        <f t="shared" si="301"/>
        <v>3570.84</v>
      </c>
      <c r="O1347" s="134">
        <f t="shared" si="302"/>
        <v>35.460178748758686</v>
      </c>
      <c r="P1347" s="134">
        <f t="shared" si="303"/>
        <v>0.90075243243243253</v>
      </c>
      <c r="R1347" s="149">
        <f t="shared" si="304"/>
        <v>2.0770800816424684</v>
      </c>
    </row>
    <row r="1348" spans="1:18" ht="14.45" x14ac:dyDescent="0.3">
      <c r="A1348" s="161" t="s">
        <v>134</v>
      </c>
      <c r="B1348" s="161" t="s">
        <v>16</v>
      </c>
      <c r="C1348" s="161" t="s">
        <v>21</v>
      </c>
      <c r="D1348" s="161" t="s">
        <v>90</v>
      </c>
      <c r="E1348" s="162">
        <f t="shared" si="306"/>
        <v>41395</v>
      </c>
      <c r="F1348" s="163"/>
      <c r="G1348" s="92">
        <v>3154</v>
      </c>
      <c r="H1348" s="167">
        <v>626</v>
      </c>
      <c r="I1348" s="167" t="s">
        <v>92</v>
      </c>
      <c r="J1348" s="168">
        <f t="shared" si="305"/>
        <v>0.4</v>
      </c>
      <c r="K1348" s="169">
        <f t="shared" si="298"/>
        <v>31.320754716981131</v>
      </c>
      <c r="L1348" s="169">
        <f t="shared" si="299"/>
        <v>0.7956036036036036</v>
      </c>
      <c r="M1348" s="133">
        <f t="shared" si="300"/>
        <v>250.4</v>
      </c>
      <c r="N1348" s="133">
        <f t="shared" si="301"/>
        <v>3404.4</v>
      </c>
      <c r="O1348" s="134">
        <f t="shared" si="302"/>
        <v>33.807348560079447</v>
      </c>
      <c r="P1348" s="134">
        <f t="shared" si="303"/>
        <v>0.85876756756756756</v>
      </c>
      <c r="R1348" s="149">
        <f t="shared" si="304"/>
        <v>2.213975608437968</v>
      </c>
    </row>
    <row r="1349" spans="1:18" ht="14.45" x14ac:dyDescent="0.3">
      <c r="A1349" s="161" t="s">
        <v>134</v>
      </c>
      <c r="B1349" s="161" t="s">
        <v>16</v>
      </c>
      <c r="C1349" s="161" t="s">
        <v>6</v>
      </c>
      <c r="D1349" s="161" t="s">
        <v>90</v>
      </c>
      <c r="E1349" s="162">
        <f t="shared" si="306"/>
        <v>41395</v>
      </c>
      <c r="F1349" s="163"/>
      <c r="G1349" s="92">
        <v>5065</v>
      </c>
      <c r="H1349" s="167">
        <v>1823</v>
      </c>
      <c r="I1349" s="167" t="s">
        <v>92</v>
      </c>
      <c r="J1349" s="168">
        <f t="shared" si="305"/>
        <v>0.4</v>
      </c>
      <c r="K1349" s="169">
        <f t="shared" si="298"/>
        <v>50.297914597815293</v>
      </c>
      <c r="L1349" s="169">
        <f t="shared" si="299"/>
        <v>1.2776576576576577</v>
      </c>
      <c r="M1349" s="133">
        <f t="shared" si="300"/>
        <v>729.2</v>
      </c>
      <c r="N1349" s="133">
        <f t="shared" si="301"/>
        <v>5794.2</v>
      </c>
      <c r="O1349" s="134">
        <f t="shared" si="302"/>
        <v>57.539225422045675</v>
      </c>
      <c r="P1349" s="134">
        <f t="shared" si="303"/>
        <v>1.4616</v>
      </c>
      <c r="R1349" s="149">
        <f t="shared" si="304"/>
        <v>1.0775534982546686</v>
      </c>
    </row>
    <row r="1350" spans="1:18" ht="14.45" x14ac:dyDescent="0.3">
      <c r="A1350" s="161" t="s">
        <v>22</v>
      </c>
      <c r="B1350" s="161" t="s">
        <v>23</v>
      </c>
      <c r="C1350" s="161" t="s">
        <v>7</v>
      </c>
      <c r="D1350" s="161" t="s">
        <v>90</v>
      </c>
      <c r="E1350" s="162">
        <f t="shared" si="306"/>
        <v>41395</v>
      </c>
      <c r="F1350" s="163"/>
      <c r="G1350" s="92">
        <v>3299</v>
      </c>
      <c r="H1350" s="167">
        <v>1295</v>
      </c>
      <c r="I1350" s="167" t="s">
        <v>95</v>
      </c>
      <c r="J1350" s="168">
        <f t="shared" si="305"/>
        <v>0.33929999999999999</v>
      </c>
      <c r="K1350" s="169">
        <f t="shared" si="298"/>
        <v>32.760675273088381</v>
      </c>
      <c r="L1350" s="169">
        <f t="shared" si="299"/>
        <v>0.89162162162162162</v>
      </c>
      <c r="M1350" s="133">
        <f t="shared" si="300"/>
        <v>439.39349999999996</v>
      </c>
      <c r="N1350" s="133">
        <f t="shared" si="301"/>
        <v>3738.3935000000001</v>
      </c>
      <c r="O1350" s="134">
        <f t="shared" si="302"/>
        <v>37.12406653426018</v>
      </c>
      <c r="P1350" s="134">
        <f t="shared" si="303"/>
        <v>1.0103766216216217</v>
      </c>
      <c r="R1350" s="149">
        <f t="shared" si="304"/>
        <v>-0.79326516087154797</v>
      </c>
    </row>
    <row r="1351" spans="1:18" ht="14.45" x14ac:dyDescent="0.3">
      <c r="A1351" s="161" t="s">
        <v>22</v>
      </c>
      <c r="B1351" s="161" t="s">
        <v>14</v>
      </c>
      <c r="C1351" s="161" t="s">
        <v>24</v>
      </c>
      <c r="D1351" s="161" t="s">
        <v>90</v>
      </c>
      <c r="E1351" s="162">
        <f t="shared" si="306"/>
        <v>41395</v>
      </c>
      <c r="F1351" s="163"/>
      <c r="G1351" s="92">
        <v>3575</v>
      </c>
      <c r="H1351" s="167">
        <v>615</v>
      </c>
      <c r="I1351" s="167" t="s">
        <v>94</v>
      </c>
      <c r="J1351" s="168">
        <f t="shared" si="305"/>
        <v>0.52</v>
      </c>
      <c r="K1351" s="169">
        <f t="shared" si="298"/>
        <v>35.501489572989072</v>
      </c>
      <c r="L1351" s="169">
        <f t="shared" si="299"/>
        <v>0.96621621621621623</v>
      </c>
      <c r="M1351" s="133">
        <f t="shared" si="300"/>
        <v>319.8</v>
      </c>
      <c r="N1351" s="133">
        <f t="shared" si="301"/>
        <v>3894.8</v>
      </c>
      <c r="O1351" s="134">
        <f t="shared" si="302"/>
        <v>38.677259185700102</v>
      </c>
      <c r="P1351" s="134">
        <f t="shared" si="303"/>
        <v>1.0526486486486486</v>
      </c>
      <c r="R1351" s="149">
        <f t="shared" si="304"/>
        <v>1.7158078921939879</v>
      </c>
    </row>
    <row r="1352" spans="1:18" ht="14.45" x14ac:dyDescent="0.3">
      <c r="A1352" s="161" t="s">
        <v>22</v>
      </c>
      <c r="B1352" s="161" t="s">
        <v>18</v>
      </c>
      <c r="C1352" s="161" t="s">
        <v>15</v>
      </c>
      <c r="D1352" s="161" t="s">
        <v>90</v>
      </c>
      <c r="E1352" s="162">
        <f t="shared" si="306"/>
        <v>41395</v>
      </c>
      <c r="F1352" s="163"/>
      <c r="G1352" s="92">
        <v>4578</v>
      </c>
      <c r="H1352" s="167">
        <v>872</v>
      </c>
      <c r="I1352" s="167" t="s">
        <v>94</v>
      </c>
      <c r="J1352" s="168">
        <f t="shared" si="305"/>
        <v>0.52</v>
      </c>
      <c r="K1352" s="169">
        <f t="shared" si="298"/>
        <v>45.4617676266137</v>
      </c>
      <c r="L1352" s="169">
        <f t="shared" si="299"/>
        <v>1.2372972972972973</v>
      </c>
      <c r="M1352" s="133">
        <f t="shared" si="300"/>
        <v>453.44</v>
      </c>
      <c r="N1352" s="133">
        <f t="shared" si="301"/>
        <v>5031.4399999999996</v>
      </c>
      <c r="O1352" s="134">
        <f t="shared" si="302"/>
        <v>49.964647467725911</v>
      </c>
      <c r="P1352" s="134">
        <f t="shared" si="303"/>
        <v>1.3598486486486485</v>
      </c>
      <c r="R1352" s="149">
        <f t="shared" si="304"/>
        <v>2.1844561605887991</v>
      </c>
    </row>
    <row r="1353" spans="1:18" ht="14.45" x14ac:dyDescent="0.3">
      <c r="A1353" s="161" t="s">
        <v>22</v>
      </c>
      <c r="B1353" s="161" t="s">
        <v>18</v>
      </c>
      <c r="C1353" s="161" t="s">
        <v>24</v>
      </c>
      <c r="D1353" s="161" t="s">
        <v>90</v>
      </c>
      <c r="E1353" s="162">
        <f t="shared" si="306"/>
        <v>41395</v>
      </c>
      <c r="F1353" s="163"/>
      <c r="G1353" s="92">
        <v>3267</v>
      </c>
      <c r="H1353" s="167">
        <v>417</v>
      </c>
      <c r="I1353" s="167" t="s">
        <v>94</v>
      </c>
      <c r="J1353" s="168">
        <f t="shared" si="305"/>
        <v>0.52</v>
      </c>
      <c r="K1353" s="169">
        <f t="shared" si="298"/>
        <v>32.442899702085398</v>
      </c>
      <c r="L1353" s="169">
        <f t="shared" si="299"/>
        <v>0.88297297297297295</v>
      </c>
      <c r="M1353" s="133">
        <f t="shared" si="300"/>
        <v>216.84</v>
      </c>
      <c r="N1353" s="133">
        <f t="shared" si="301"/>
        <v>3483.84</v>
      </c>
      <c r="O1353" s="134">
        <f t="shared" si="302"/>
        <v>34.596226415094343</v>
      </c>
      <c r="P1353" s="134">
        <f t="shared" si="303"/>
        <v>0.94157837837837843</v>
      </c>
      <c r="R1353" s="149">
        <f t="shared" si="304"/>
        <v>2.0403142189339807</v>
      </c>
    </row>
    <row r="1354" spans="1:18" ht="14.45" x14ac:dyDescent="0.3">
      <c r="A1354" s="161" t="s">
        <v>22</v>
      </c>
      <c r="B1354" s="161" t="s">
        <v>13</v>
      </c>
      <c r="C1354" s="161" t="s">
        <v>7</v>
      </c>
      <c r="D1354" s="161" t="s">
        <v>90</v>
      </c>
      <c r="E1354" s="162">
        <f t="shared" si="306"/>
        <v>41395</v>
      </c>
      <c r="F1354" s="163"/>
      <c r="G1354" s="92">
        <v>3599</v>
      </c>
      <c r="H1354" s="167">
        <v>1006</v>
      </c>
      <c r="I1354" s="167" t="s">
        <v>92</v>
      </c>
      <c r="J1354" s="168">
        <f t="shared" si="305"/>
        <v>0.4</v>
      </c>
      <c r="K1354" s="169">
        <f t="shared" si="298"/>
        <v>35.73982125124131</v>
      </c>
      <c r="L1354" s="169">
        <f t="shared" si="299"/>
        <v>0.97270270270270265</v>
      </c>
      <c r="M1354" s="133">
        <f t="shared" si="300"/>
        <v>402.40000000000003</v>
      </c>
      <c r="N1354" s="133">
        <f t="shared" si="301"/>
        <v>4001.4</v>
      </c>
      <c r="O1354" s="134">
        <f t="shared" si="302"/>
        <v>39.735849056603776</v>
      </c>
      <c r="P1354" s="134">
        <f t="shared" si="303"/>
        <v>1.0814594594594595</v>
      </c>
      <c r="R1354" s="149">
        <f t="shared" si="304"/>
        <v>5.453740453187006</v>
      </c>
    </row>
    <row r="1355" spans="1:18" ht="14.45" x14ac:dyDescent="0.3">
      <c r="A1355" s="161" t="s">
        <v>1</v>
      </c>
      <c r="B1355" s="161" t="s">
        <v>25</v>
      </c>
      <c r="C1355" s="161" t="s">
        <v>26</v>
      </c>
      <c r="D1355" s="161" t="s">
        <v>91</v>
      </c>
      <c r="E1355" s="162">
        <f t="shared" si="306"/>
        <v>41395</v>
      </c>
      <c r="F1355" s="163"/>
      <c r="G1355" s="92">
        <v>3580</v>
      </c>
      <c r="H1355" s="167">
        <v>880</v>
      </c>
      <c r="I1355" s="167" t="s">
        <v>93</v>
      </c>
      <c r="J1355" s="168">
        <f t="shared" si="305"/>
        <v>0.4</v>
      </c>
      <c r="K1355" s="169">
        <f t="shared" si="298"/>
        <v>35.55114200595829</v>
      </c>
      <c r="L1355" s="169">
        <f t="shared" si="299"/>
        <v>0.96756756756756757</v>
      </c>
      <c r="M1355" s="133">
        <f t="shared" si="300"/>
        <v>352</v>
      </c>
      <c r="N1355" s="133">
        <f t="shared" si="301"/>
        <v>3932</v>
      </c>
      <c r="O1355" s="134">
        <f t="shared" si="302"/>
        <v>39.046673286991059</v>
      </c>
      <c r="P1355" s="134">
        <f t="shared" si="303"/>
        <v>1.0627027027027027</v>
      </c>
      <c r="R1355" s="149">
        <f t="shared" si="304"/>
        <v>5.9324317042944053</v>
      </c>
    </row>
    <row r="1356" spans="1:18" ht="14.45" x14ac:dyDescent="0.3">
      <c r="A1356" s="161" t="s">
        <v>1</v>
      </c>
      <c r="B1356" s="161" t="s">
        <v>2</v>
      </c>
      <c r="C1356" s="161" t="s">
        <v>9</v>
      </c>
      <c r="D1356" s="161" t="s">
        <v>91</v>
      </c>
      <c r="E1356" s="162">
        <f t="shared" si="306"/>
        <v>41395</v>
      </c>
      <c r="F1356" s="163"/>
      <c r="G1356" s="92">
        <v>3634</v>
      </c>
      <c r="H1356" s="167">
        <v>685</v>
      </c>
      <c r="I1356" s="167" t="s">
        <v>93</v>
      </c>
      <c r="J1356" s="168">
        <f t="shared" si="305"/>
        <v>0.4</v>
      </c>
      <c r="K1356" s="169">
        <f t="shared" si="298"/>
        <v>36.08738828202582</v>
      </c>
      <c r="L1356" s="169">
        <f t="shared" si="299"/>
        <v>0.98216216216216212</v>
      </c>
      <c r="M1356" s="133">
        <f t="shared" si="300"/>
        <v>274</v>
      </c>
      <c r="N1356" s="133">
        <f t="shared" si="301"/>
        <v>3908</v>
      </c>
      <c r="O1356" s="134">
        <f t="shared" si="302"/>
        <v>38.808341608738829</v>
      </c>
      <c r="P1356" s="134">
        <f t="shared" si="303"/>
        <v>1.0562162162162163</v>
      </c>
      <c r="R1356" s="149">
        <f t="shared" si="304"/>
        <v>10.775684907238126</v>
      </c>
    </row>
    <row r="1357" spans="1:18" ht="14.45" x14ac:dyDescent="0.3">
      <c r="A1357" s="161" t="s">
        <v>1</v>
      </c>
      <c r="B1357" s="161" t="s">
        <v>27</v>
      </c>
      <c r="C1357" s="161" t="s">
        <v>28</v>
      </c>
      <c r="D1357" s="161" t="s">
        <v>91</v>
      </c>
      <c r="E1357" s="162">
        <f t="shared" si="306"/>
        <v>41395</v>
      </c>
      <c r="F1357" s="163"/>
      <c r="G1357" s="92">
        <v>3771</v>
      </c>
      <c r="H1357" s="167">
        <v>812</v>
      </c>
      <c r="I1357" s="167" t="s">
        <v>94</v>
      </c>
      <c r="J1357" s="168">
        <f t="shared" si="305"/>
        <v>0.52</v>
      </c>
      <c r="K1357" s="169">
        <f t="shared" si="298"/>
        <v>37.447864945382321</v>
      </c>
      <c r="L1357" s="169">
        <f t="shared" si="299"/>
        <v>1.0191891891891891</v>
      </c>
      <c r="M1357" s="133">
        <f t="shared" si="300"/>
        <v>422.24</v>
      </c>
      <c r="N1357" s="133">
        <f t="shared" si="301"/>
        <v>4193.24</v>
      </c>
      <c r="O1357" s="134">
        <f t="shared" si="302"/>
        <v>41.640913604766631</v>
      </c>
      <c r="P1357" s="134">
        <f t="shared" si="303"/>
        <v>1.133308108108108</v>
      </c>
      <c r="R1357" s="149">
        <f t="shared" si="304"/>
        <v>2.6879034548963121</v>
      </c>
    </row>
    <row r="1358" spans="1:18" ht="14.45" x14ac:dyDescent="0.3">
      <c r="A1358" s="161" t="s">
        <v>1</v>
      </c>
      <c r="B1358" s="161" t="s">
        <v>4</v>
      </c>
      <c r="C1358" s="161" t="s">
        <v>26</v>
      </c>
      <c r="D1358" s="161" t="s">
        <v>91</v>
      </c>
      <c r="E1358" s="162">
        <f t="shared" si="306"/>
        <v>41395</v>
      </c>
      <c r="F1358" s="163"/>
      <c r="G1358" s="92">
        <v>5061</v>
      </c>
      <c r="H1358" s="167">
        <v>1520</v>
      </c>
      <c r="I1358" s="167" t="s">
        <v>93</v>
      </c>
      <c r="J1358" s="168">
        <f t="shared" si="305"/>
        <v>0.4</v>
      </c>
      <c r="K1358" s="169">
        <f t="shared" si="298"/>
        <v>50.25819265143992</v>
      </c>
      <c r="L1358" s="169">
        <f t="shared" si="299"/>
        <v>1.3678378378378377</v>
      </c>
      <c r="M1358" s="133">
        <f t="shared" si="300"/>
        <v>608</v>
      </c>
      <c r="N1358" s="133">
        <f t="shared" si="301"/>
        <v>5669</v>
      </c>
      <c r="O1358" s="134">
        <f t="shared" si="302"/>
        <v>56.295928500496522</v>
      </c>
      <c r="P1358" s="134">
        <f t="shared" si="303"/>
        <v>1.5321621621621622</v>
      </c>
      <c r="R1358" s="149">
        <f t="shared" si="304"/>
        <v>3.9191963631030946</v>
      </c>
    </row>
    <row r="1359" spans="1:18" ht="14.45" x14ac:dyDescent="0.3">
      <c r="A1359" s="161" t="s">
        <v>1</v>
      </c>
      <c r="B1359" s="161" t="s">
        <v>4</v>
      </c>
      <c r="C1359" s="161" t="s">
        <v>9</v>
      </c>
      <c r="D1359" s="161" t="s">
        <v>91</v>
      </c>
      <c r="E1359" s="162">
        <f t="shared" si="306"/>
        <v>41395</v>
      </c>
      <c r="F1359" s="163"/>
      <c r="G1359" s="92">
        <v>6082</v>
      </c>
      <c r="H1359" s="167">
        <v>1583</v>
      </c>
      <c r="I1359" s="167" t="s">
        <v>93</v>
      </c>
      <c r="J1359" s="168">
        <f t="shared" si="305"/>
        <v>0.4</v>
      </c>
      <c r="K1359" s="169">
        <f t="shared" si="298"/>
        <v>60.397219463753721</v>
      </c>
      <c r="L1359" s="169">
        <f t="shared" si="299"/>
        <v>1.6437837837837839</v>
      </c>
      <c r="M1359" s="133">
        <f t="shared" si="300"/>
        <v>633.20000000000005</v>
      </c>
      <c r="N1359" s="133">
        <f t="shared" si="301"/>
        <v>6715.2</v>
      </c>
      <c r="O1359" s="134">
        <f t="shared" si="302"/>
        <v>66.685203574975176</v>
      </c>
      <c r="P1359" s="134">
        <f t="shared" si="303"/>
        <v>1.8149189189189188</v>
      </c>
      <c r="R1359" s="149">
        <f t="shared" si="304"/>
        <v>3.2626329572522428</v>
      </c>
    </row>
    <row r="1360" spans="1:18" ht="14.45" x14ac:dyDescent="0.3">
      <c r="A1360" s="161" t="s">
        <v>1</v>
      </c>
      <c r="B1360" s="161" t="s">
        <v>10</v>
      </c>
      <c r="C1360" s="161" t="s">
        <v>26</v>
      </c>
      <c r="D1360" s="161" t="s">
        <v>91</v>
      </c>
      <c r="E1360" s="162">
        <f t="shared" si="306"/>
        <v>41395</v>
      </c>
      <c r="F1360" s="163"/>
      <c r="G1360" s="92">
        <v>4880</v>
      </c>
      <c r="H1360" s="167">
        <v>1599</v>
      </c>
      <c r="I1360" s="167" t="s">
        <v>92</v>
      </c>
      <c r="J1360" s="168">
        <f t="shared" si="305"/>
        <v>0.4</v>
      </c>
      <c r="K1360" s="169">
        <f t="shared" si="298"/>
        <v>48.460774577954318</v>
      </c>
      <c r="L1360" s="169">
        <f t="shared" si="299"/>
        <v>1.318918918918919</v>
      </c>
      <c r="M1360" s="133">
        <f t="shared" si="300"/>
        <v>639.6</v>
      </c>
      <c r="N1360" s="133">
        <f t="shared" si="301"/>
        <v>5519.6</v>
      </c>
      <c r="O1360" s="134">
        <f t="shared" si="302"/>
        <v>54.812313803376369</v>
      </c>
      <c r="P1360" s="134">
        <f t="shared" si="303"/>
        <v>1.491783783783784</v>
      </c>
      <c r="R1360" s="149">
        <f t="shared" si="304"/>
        <v>2.5454288734605424</v>
      </c>
    </row>
    <row r="1361" spans="1:20" ht="14.45" x14ac:dyDescent="0.3">
      <c r="A1361" s="161" t="s">
        <v>134</v>
      </c>
      <c r="B1361" s="161" t="s">
        <v>23</v>
      </c>
      <c r="C1361" s="161" t="s">
        <v>26</v>
      </c>
      <c r="D1361" s="161" t="s">
        <v>91</v>
      </c>
      <c r="E1361" s="162">
        <f t="shared" si="306"/>
        <v>41395</v>
      </c>
      <c r="F1361" s="163"/>
      <c r="G1361" s="92">
        <v>4800</v>
      </c>
      <c r="H1361" s="167">
        <v>1851</v>
      </c>
      <c r="I1361" s="167" t="s">
        <v>93</v>
      </c>
      <c r="J1361" s="168">
        <f t="shared" si="305"/>
        <v>0.4</v>
      </c>
      <c r="K1361" s="169">
        <f t="shared" si="298"/>
        <v>47.666335650446868</v>
      </c>
      <c r="L1361" s="169">
        <f t="shared" si="299"/>
        <v>1.2108108108108109</v>
      </c>
      <c r="M1361" s="133">
        <f t="shared" si="300"/>
        <v>740.40000000000009</v>
      </c>
      <c r="N1361" s="133">
        <f t="shared" si="301"/>
        <v>5540.4</v>
      </c>
      <c r="O1361" s="134">
        <f t="shared" si="302"/>
        <v>55.018867924528294</v>
      </c>
      <c r="P1361" s="134">
        <f t="shared" si="303"/>
        <v>1.3975783783783784</v>
      </c>
      <c r="R1361" s="149">
        <f t="shared" si="304"/>
        <v>-0.33297894731161293</v>
      </c>
    </row>
    <row r="1362" spans="1:20" ht="14.45" x14ac:dyDescent="0.3">
      <c r="A1362" s="161" t="s">
        <v>134</v>
      </c>
      <c r="B1362" s="161" t="s">
        <v>8</v>
      </c>
      <c r="C1362" s="161" t="s">
        <v>29</v>
      </c>
      <c r="D1362" s="161" t="s">
        <v>91</v>
      </c>
      <c r="E1362" s="162">
        <f t="shared" si="306"/>
        <v>41395</v>
      </c>
      <c r="F1362" s="163"/>
      <c r="G1362" s="92">
        <v>4760</v>
      </c>
      <c r="H1362" s="167">
        <v>1695</v>
      </c>
      <c r="I1362" s="167" t="s">
        <v>93</v>
      </c>
      <c r="J1362" s="168">
        <f t="shared" si="305"/>
        <v>0.4</v>
      </c>
      <c r="K1362" s="169">
        <f t="shared" ref="K1362:K1399" si="307">G1362/100.7</f>
        <v>47.269116186693147</v>
      </c>
      <c r="L1362" s="169">
        <f t="shared" ref="L1362:L1399" si="308">IF(A1362="corn",G1362/(111*2000/56),G1362/(111*2000/60))</f>
        <v>1.2007207207207207</v>
      </c>
      <c r="M1362" s="133">
        <f t="shared" ref="M1362:M1399" si="309">H1362*J1362</f>
        <v>678</v>
      </c>
      <c r="N1362" s="133">
        <f t="shared" ref="N1362:N1399" si="310">G1362+M1362</f>
        <v>5438</v>
      </c>
      <c r="O1362" s="134">
        <f t="shared" ref="O1362:O1399" si="311">N1362/100.7</f>
        <v>54.00198609731877</v>
      </c>
      <c r="P1362" s="134">
        <f t="shared" ref="P1362:P1399" si="312">IF(A1362="corn",N1362/(111*2000/56),N1362/(111*2000/60))</f>
        <v>1.3717477477477478</v>
      </c>
      <c r="R1362" s="149">
        <f t="shared" si="304"/>
        <v>-0.3107269544175395</v>
      </c>
    </row>
    <row r="1363" spans="1:20" ht="14.45" x14ac:dyDescent="0.3">
      <c r="A1363" s="161" t="s">
        <v>134</v>
      </c>
      <c r="B1363" s="161" t="s">
        <v>13</v>
      </c>
      <c r="C1363" s="161" t="s">
        <v>7</v>
      </c>
      <c r="D1363" s="161" t="s">
        <v>91</v>
      </c>
      <c r="E1363" s="162">
        <f t="shared" si="306"/>
        <v>41395</v>
      </c>
      <c r="F1363" s="163"/>
      <c r="G1363" s="92">
        <v>2929</v>
      </c>
      <c r="H1363" s="167">
        <v>1006</v>
      </c>
      <c r="I1363" s="167" t="s">
        <v>92</v>
      </c>
      <c r="J1363" s="168">
        <f t="shared" si="305"/>
        <v>0.4</v>
      </c>
      <c r="K1363" s="169">
        <f t="shared" si="307"/>
        <v>29.086395233366435</v>
      </c>
      <c r="L1363" s="169">
        <f t="shared" si="308"/>
        <v>0.73884684684684687</v>
      </c>
      <c r="M1363" s="133">
        <f t="shared" si="309"/>
        <v>402.40000000000003</v>
      </c>
      <c r="N1363" s="133">
        <f t="shared" si="310"/>
        <v>3331.4</v>
      </c>
      <c r="O1363" s="134">
        <f t="shared" si="311"/>
        <v>33.082423038728898</v>
      </c>
      <c r="P1363" s="134">
        <f t="shared" si="312"/>
        <v>0.84035315315315318</v>
      </c>
      <c r="R1363" s="149">
        <f t="shared" si="304"/>
        <v>1.8945024560630852</v>
      </c>
    </row>
    <row r="1364" spans="1:20" ht="14.45" x14ac:dyDescent="0.3">
      <c r="A1364" s="161" t="s">
        <v>134</v>
      </c>
      <c r="B1364" s="161" t="s">
        <v>30</v>
      </c>
      <c r="C1364" s="161" t="s">
        <v>9</v>
      </c>
      <c r="D1364" s="161" t="s">
        <v>91</v>
      </c>
      <c r="E1364" s="162">
        <f t="shared" si="306"/>
        <v>41395</v>
      </c>
      <c r="F1364" s="163"/>
      <c r="G1364" s="92">
        <v>3310</v>
      </c>
      <c r="H1364" s="167">
        <v>988</v>
      </c>
      <c r="I1364" s="167" t="s">
        <v>93</v>
      </c>
      <c r="J1364" s="168">
        <f t="shared" si="305"/>
        <v>0.4</v>
      </c>
      <c r="K1364" s="169">
        <f t="shared" si="307"/>
        <v>32.869910625620655</v>
      </c>
      <c r="L1364" s="169">
        <f t="shared" si="308"/>
        <v>0.83495495495495498</v>
      </c>
      <c r="M1364" s="133">
        <f t="shared" si="309"/>
        <v>395.20000000000005</v>
      </c>
      <c r="N1364" s="133">
        <f t="shared" si="310"/>
        <v>3705.2</v>
      </c>
      <c r="O1364" s="134">
        <f t="shared" si="311"/>
        <v>36.794438927507443</v>
      </c>
      <c r="P1364" s="134">
        <f t="shared" si="312"/>
        <v>0.93464504504504498</v>
      </c>
      <c r="R1364" s="149">
        <f t="shared" si="304"/>
        <v>-0.2659431290847114</v>
      </c>
    </row>
    <row r="1365" spans="1:20" ht="14.45" x14ac:dyDescent="0.3">
      <c r="A1365" s="161" t="s">
        <v>134</v>
      </c>
      <c r="B1365" s="161" t="s">
        <v>16</v>
      </c>
      <c r="C1365" s="161" t="s">
        <v>11</v>
      </c>
      <c r="D1365" s="161" t="s">
        <v>91</v>
      </c>
      <c r="E1365" s="162">
        <f t="shared" si="306"/>
        <v>41395</v>
      </c>
      <c r="F1365" s="163"/>
      <c r="G1365" s="92">
        <v>3510</v>
      </c>
      <c r="H1365" s="167">
        <v>787</v>
      </c>
      <c r="I1365" s="167" t="s">
        <v>92</v>
      </c>
      <c r="J1365" s="168">
        <f t="shared" si="305"/>
        <v>0.4</v>
      </c>
      <c r="K1365" s="169">
        <f t="shared" si="307"/>
        <v>34.856007944389276</v>
      </c>
      <c r="L1365" s="169">
        <f t="shared" si="308"/>
        <v>0.88540540540540547</v>
      </c>
      <c r="M1365" s="133">
        <f t="shared" si="309"/>
        <v>314.8</v>
      </c>
      <c r="N1365" s="133">
        <f t="shared" si="310"/>
        <v>3824.8</v>
      </c>
      <c r="O1365" s="134">
        <f t="shared" si="311"/>
        <v>37.98212512413108</v>
      </c>
      <c r="P1365" s="134">
        <f t="shared" si="312"/>
        <v>0.96481441441441451</v>
      </c>
      <c r="R1365" s="149">
        <f t="shared" si="304"/>
        <v>1.9220981327961129</v>
      </c>
    </row>
    <row r="1366" spans="1:20" ht="14.45" x14ac:dyDescent="0.3">
      <c r="A1366" s="161" t="s">
        <v>134</v>
      </c>
      <c r="B1366" s="161" t="s">
        <v>23</v>
      </c>
      <c r="C1366" s="161" t="s">
        <v>29</v>
      </c>
      <c r="D1366" s="161" t="s">
        <v>91</v>
      </c>
      <c r="E1366" s="162">
        <f t="shared" si="306"/>
        <v>41395</v>
      </c>
      <c r="F1366" s="163"/>
      <c r="G1366" s="92">
        <v>4800</v>
      </c>
      <c r="H1366" s="167">
        <v>1836</v>
      </c>
      <c r="I1366" s="167" t="s">
        <v>93</v>
      </c>
      <c r="J1366" s="168">
        <f t="shared" si="305"/>
        <v>0.4</v>
      </c>
      <c r="K1366" s="169">
        <f t="shared" si="307"/>
        <v>47.666335650446868</v>
      </c>
      <c r="L1366" s="169">
        <f t="shared" si="308"/>
        <v>1.2108108108108109</v>
      </c>
      <c r="M1366" s="133">
        <f t="shared" si="309"/>
        <v>734.40000000000009</v>
      </c>
      <c r="N1366" s="133">
        <f t="shared" si="310"/>
        <v>5534.4</v>
      </c>
      <c r="O1366" s="134">
        <f t="shared" si="311"/>
        <v>54.959285004965238</v>
      </c>
      <c r="P1366" s="134">
        <f t="shared" si="312"/>
        <v>1.3960648648648648</v>
      </c>
      <c r="R1366" s="149">
        <f t="shared" si="304"/>
        <v>-0.33064638125905876</v>
      </c>
    </row>
    <row r="1367" spans="1:20" ht="14.45" x14ac:dyDescent="0.3">
      <c r="A1367" s="161" t="s">
        <v>134</v>
      </c>
      <c r="B1367" s="161" t="s">
        <v>31</v>
      </c>
      <c r="C1367" s="161" t="s">
        <v>32</v>
      </c>
      <c r="D1367" s="161" t="s">
        <v>91</v>
      </c>
      <c r="E1367" s="162">
        <f t="shared" si="306"/>
        <v>41395</v>
      </c>
      <c r="F1367" s="163"/>
      <c r="G1367" s="92">
        <v>4200</v>
      </c>
      <c r="H1367" s="167">
        <v>1899</v>
      </c>
      <c r="I1367" s="167" t="s">
        <v>93</v>
      </c>
      <c r="J1367" s="168">
        <f t="shared" si="305"/>
        <v>0.4</v>
      </c>
      <c r="K1367" s="169">
        <f t="shared" si="307"/>
        <v>41.708043694141011</v>
      </c>
      <c r="L1367" s="169">
        <f t="shared" si="308"/>
        <v>1.0594594594594595</v>
      </c>
      <c r="M1367" s="133">
        <f t="shared" si="309"/>
        <v>759.6</v>
      </c>
      <c r="N1367" s="133">
        <f t="shared" si="310"/>
        <v>4959.6000000000004</v>
      </c>
      <c r="O1367" s="134">
        <f t="shared" si="311"/>
        <v>49.251241310824234</v>
      </c>
      <c r="P1367" s="134">
        <f t="shared" si="312"/>
        <v>1.2510702702702703</v>
      </c>
      <c r="R1367" s="149">
        <f t="shared" si="304"/>
        <v>-0.38143329737937437</v>
      </c>
    </row>
    <row r="1368" spans="1:20" ht="14.45" x14ac:dyDescent="0.3">
      <c r="A1368" s="161" t="s">
        <v>22</v>
      </c>
      <c r="B1368" s="161" t="s">
        <v>8</v>
      </c>
      <c r="C1368" s="161" t="s">
        <v>29</v>
      </c>
      <c r="D1368" s="161" t="s">
        <v>91</v>
      </c>
      <c r="E1368" s="162">
        <f t="shared" si="306"/>
        <v>41395</v>
      </c>
      <c r="F1368" s="163"/>
      <c r="G1368" s="92">
        <v>5320</v>
      </c>
      <c r="H1368" s="167">
        <v>1695</v>
      </c>
      <c r="I1368" s="167" t="s">
        <v>93</v>
      </c>
      <c r="J1368" s="168">
        <f t="shared" si="305"/>
        <v>0.4</v>
      </c>
      <c r="K1368" s="169">
        <f t="shared" si="307"/>
        <v>52.830188679245282</v>
      </c>
      <c r="L1368" s="169">
        <f t="shared" si="308"/>
        <v>1.4378378378378378</v>
      </c>
      <c r="M1368" s="133">
        <f t="shared" si="309"/>
        <v>678</v>
      </c>
      <c r="N1368" s="133">
        <f t="shared" si="310"/>
        <v>5998</v>
      </c>
      <c r="O1368" s="134">
        <f t="shared" si="311"/>
        <v>59.563058589870899</v>
      </c>
      <c r="P1368" s="134">
        <f t="shared" si="312"/>
        <v>1.6210810810810812</v>
      </c>
      <c r="R1368" s="149">
        <f t="shared" si="304"/>
        <v>4.5867880277944861</v>
      </c>
    </row>
    <row r="1369" spans="1:20" ht="14.45" x14ac:dyDescent="0.3">
      <c r="A1369" s="161" t="s">
        <v>22</v>
      </c>
      <c r="B1369" s="161" t="s">
        <v>23</v>
      </c>
      <c r="C1369" s="161" t="s">
        <v>26</v>
      </c>
      <c r="D1369" s="161" t="s">
        <v>91</v>
      </c>
      <c r="E1369" s="162">
        <f t="shared" si="306"/>
        <v>41395</v>
      </c>
      <c r="F1369" s="163"/>
      <c r="G1369" s="92">
        <v>5330</v>
      </c>
      <c r="H1369" s="167">
        <v>1851</v>
      </c>
      <c r="I1369" s="167" t="s">
        <v>93</v>
      </c>
      <c r="J1369" s="168">
        <f t="shared" si="305"/>
        <v>0.4</v>
      </c>
      <c r="K1369" s="169">
        <f t="shared" si="307"/>
        <v>52.929493545183711</v>
      </c>
      <c r="L1369" s="169">
        <f t="shared" si="308"/>
        <v>1.4405405405405405</v>
      </c>
      <c r="M1369" s="133">
        <f t="shared" si="309"/>
        <v>740.40000000000009</v>
      </c>
      <c r="N1369" s="133">
        <f t="shared" si="310"/>
        <v>6070.4</v>
      </c>
      <c r="O1369" s="134">
        <f t="shared" si="311"/>
        <v>60.282025819265137</v>
      </c>
      <c r="P1369" s="134">
        <f t="shared" si="312"/>
        <v>1.6406486486486485</v>
      </c>
      <c r="R1369" s="149">
        <f t="shared" si="304"/>
        <v>4.8625734378319851</v>
      </c>
    </row>
    <row r="1370" spans="1:20" ht="14.45" x14ac:dyDescent="0.3">
      <c r="A1370" s="161" t="s">
        <v>22</v>
      </c>
      <c r="B1370" s="161" t="s">
        <v>33</v>
      </c>
      <c r="C1370" s="161" t="s">
        <v>29</v>
      </c>
      <c r="D1370" s="161" t="s">
        <v>91</v>
      </c>
      <c r="E1370" s="162">
        <f t="shared" si="306"/>
        <v>41395</v>
      </c>
      <c r="F1370" s="163"/>
      <c r="G1370" s="92">
        <v>5230</v>
      </c>
      <c r="H1370" s="167">
        <v>1507</v>
      </c>
      <c r="I1370" s="167" t="s">
        <v>93</v>
      </c>
      <c r="J1370" s="168">
        <f t="shared" si="305"/>
        <v>0.4</v>
      </c>
      <c r="K1370" s="169">
        <f t="shared" si="307"/>
        <v>51.936444885799403</v>
      </c>
      <c r="L1370" s="169">
        <f t="shared" si="308"/>
        <v>1.4135135135135135</v>
      </c>
      <c r="M1370" s="133">
        <f t="shared" si="309"/>
        <v>602.80000000000007</v>
      </c>
      <c r="N1370" s="133">
        <f t="shared" si="310"/>
        <v>5832.8</v>
      </c>
      <c r="O1370" s="134">
        <f t="shared" si="311"/>
        <v>57.922542204568025</v>
      </c>
      <c r="P1370" s="134">
        <f t="shared" si="312"/>
        <v>1.5764324324324326</v>
      </c>
      <c r="R1370" s="149">
        <f t="shared" si="304"/>
        <v>5.1358449278732232</v>
      </c>
    </row>
    <row r="1371" spans="1:20" ht="14.45" x14ac:dyDescent="0.3">
      <c r="A1371" s="161" t="s">
        <v>22</v>
      </c>
      <c r="B1371" s="161" t="s">
        <v>31</v>
      </c>
      <c r="C1371" s="161" t="s">
        <v>7</v>
      </c>
      <c r="D1371" s="161" t="s">
        <v>91</v>
      </c>
      <c r="E1371" s="162">
        <f t="shared" si="306"/>
        <v>41395</v>
      </c>
      <c r="F1371" s="163"/>
      <c r="G1371" s="92">
        <v>3500</v>
      </c>
      <c r="H1371" s="167">
        <v>1160</v>
      </c>
      <c r="I1371" s="167" t="s">
        <v>92</v>
      </c>
      <c r="J1371" s="168">
        <f t="shared" si="305"/>
        <v>0.4</v>
      </c>
      <c r="K1371" s="169">
        <f t="shared" si="307"/>
        <v>34.75670307845084</v>
      </c>
      <c r="L1371" s="169">
        <f t="shared" si="308"/>
        <v>0.94594594594594594</v>
      </c>
      <c r="M1371" s="133">
        <f t="shared" si="309"/>
        <v>464</v>
      </c>
      <c r="N1371" s="133">
        <f t="shared" si="310"/>
        <v>3964</v>
      </c>
      <c r="O1371" s="134">
        <f t="shared" si="311"/>
        <v>39.364448857994041</v>
      </c>
      <c r="P1371" s="134">
        <f t="shared" si="312"/>
        <v>1.0713513513513513</v>
      </c>
      <c r="R1371" s="149">
        <f t="shared" si="304"/>
        <v>-5.2943425076452666</v>
      </c>
    </row>
    <row r="1372" spans="1:20" ht="14.45" x14ac:dyDescent="0.3">
      <c r="A1372" s="161" t="s">
        <v>22</v>
      </c>
      <c r="B1372" s="161" t="s">
        <v>14</v>
      </c>
      <c r="C1372" s="161" t="s">
        <v>24</v>
      </c>
      <c r="D1372" s="161" t="s">
        <v>91</v>
      </c>
      <c r="E1372" s="162">
        <f t="shared" si="306"/>
        <v>41395</v>
      </c>
      <c r="F1372" s="163"/>
      <c r="G1372" s="92">
        <v>2750</v>
      </c>
      <c r="H1372" s="167">
        <v>615</v>
      </c>
      <c r="I1372" s="167" t="s">
        <v>94</v>
      </c>
      <c r="J1372" s="168">
        <f t="shared" si="305"/>
        <v>0.52</v>
      </c>
      <c r="K1372" s="169">
        <f t="shared" si="307"/>
        <v>27.308838133068519</v>
      </c>
      <c r="L1372" s="169">
        <f t="shared" si="308"/>
        <v>0.7432432432432432</v>
      </c>
      <c r="M1372" s="133">
        <f t="shared" si="309"/>
        <v>319.8</v>
      </c>
      <c r="N1372" s="133">
        <f t="shared" si="310"/>
        <v>3069.8</v>
      </c>
      <c r="O1372" s="134">
        <f t="shared" si="311"/>
        <v>30.484607745779545</v>
      </c>
      <c r="P1372" s="134">
        <f t="shared" si="312"/>
        <v>0.82967567567567568</v>
      </c>
      <c r="R1372" s="149">
        <f t="shared" si="304"/>
        <v>2.1870110848507096</v>
      </c>
    </row>
    <row r="1373" spans="1:20" ht="14.45" x14ac:dyDescent="0.3">
      <c r="A1373" s="164" t="s">
        <v>22</v>
      </c>
      <c r="B1373" s="164" t="s">
        <v>34</v>
      </c>
      <c r="C1373" s="164" t="s">
        <v>26</v>
      </c>
      <c r="D1373" s="164" t="s">
        <v>91</v>
      </c>
      <c r="E1373" s="165">
        <f t="shared" si="306"/>
        <v>41395</v>
      </c>
      <c r="F1373" s="166"/>
      <c r="G1373" s="105">
        <v>4800</v>
      </c>
      <c r="H1373" s="170">
        <v>1637</v>
      </c>
      <c r="I1373" s="170" t="s">
        <v>92</v>
      </c>
      <c r="J1373" s="171">
        <f t="shared" si="305"/>
        <v>0.4</v>
      </c>
      <c r="K1373" s="172">
        <f t="shared" si="307"/>
        <v>47.666335650446868</v>
      </c>
      <c r="L1373" s="172">
        <f t="shared" si="308"/>
        <v>1.2972972972972974</v>
      </c>
      <c r="M1373" s="115">
        <f t="shared" si="309"/>
        <v>654.80000000000007</v>
      </c>
      <c r="N1373" s="115">
        <f t="shared" si="310"/>
        <v>5454.8</v>
      </c>
      <c r="O1373" s="116">
        <f t="shared" si="311"/>
        <v>54.168818272095336</v>
      </c>
      <c r="P1373" s="116">
        <f t="shared" si="312"/>
        <v>1.4742702702702704</v>
      </c>
      <c r="Q1373" s="106"/>
      <c r="R1373" s="152">
        <f t="shared" si="304"/>
        <v>-5.7269316318047991</v>
      </c>
    </row>
    <row r="1374" spans="1:20" ht="14.45" x14ac:dyDescent="0.3">
      <c r="A1374" s="60" t="s">
        <v>1</v>
      </c>
      <c r="B1374" s="60" t="s">
        <v>2</v>
      </c>
      <c r="C1374" s="60" t="s">
        <v>3</v>
      </c>
      <c r="D1374" s="60" t="s">
        <v>90</v>
      </c>
      <c r="E1374" s="89">
        <v>41426</v>
      </c>
      <c r="F1374" s="61"/>
      <c r="G1374" s="92">
        <v>3191</v>
      </c>
      <c r="H1374" s="138">
        <v>506</v>
      </c>
      <c r="I1374" s="138" t="s">
        <v>92</v>
      </c>
      <c r="J1374" s="141">
        <f>IF(I1374="BNSF",0.36,IF(I1374="CN",0.3163,IF(I1374="CSX",0.49,0.37)))</f>
        <v>0.37</v>
      </c>
      <c r="K1374" s="95">
        <f t="shared" si="307"/>
        <v>31.688182720953325</v>
      </c>
      <c r="L1374" s="95">
        <f t="shared" si="308"/>
        <v>0.86243243243243239</v>
      </c>
      <c r="M1374" s="133">
        <f t="shared" si="309"/>
        <v>187.22</v>
      </c>
      <c r="N1374" s="133">
        <f t="shared" si="310"/>
        <v>3378.22</v>
      </c>
      <c r="O1374" s="134">
        <f t="shared" si="311"/>
        <v>33.547368421052632</v>
      </c>
      <c r="P1374" s="134">
        <f t="shared" si="312"/>
        <v>0.91303243243243237</v>
      </c>
      <c r="Q1374" s="160"/>
      <c r="R1374" s="149">
        <f t="shared" ref="R1374:R1411" si="313">((N1374/N918)-1)*100</f>
        <v>5.5871928387915437</v>
      </c>
      <c r="S1374" s="140">
        <f>AVERAGE(O1298,O1336,O1374)</f>
        <v>33.353459119496854</v>
      </c>
      <c r="T1374" s="151">
        <f>(S1374/S1260)-1</f>
        <v>6.7180612338695322E-3</v>
      </c>
    </row>
    <row r="1375" spans="1:20" ht="14.45" x14ac:dyDescent="0.3">
      <c r="A1375" s="60" t="s">
        <v>1</v>
      </c>
      <c r="B1375" s="60" t="s">
        <v>4</v>
      </c>
      <c r="C1375" s="60" t="s">
        <v>5</v>
      </c>
      <c r="D1375" s="60" t="s">
        <v>90</v>
      </c>
      <c r="E1375" s="89">
        <f>E1374</f>
        <v>41426</v>
      </c>
      <c r="F1375" s="61"/>
      <c r="G1375" s="92">
        <v>3543</v>
      </c>
      <c r="H1375" s="138">
        <v>298</v>
      </c>
      <c r="I1375" s="138" t="s">
        <v>93</v>
      </c>
      <c r="J1375" s="141">
        <f t="shared" ref="J1375:J1411" si="314">IF(I1375="BNSF",0.36,IF(I1375="CN",0.3163,IF(I1375="CSX",0.49,0.37)))</f>
        <v>0.36</v>
      </c>
      <c r="K1375" s="95">
        <f t="shared" si="307"/>
        <v>35.183714001986097</v>
      </c>
      <c r="L1375" s="95">
        <f t="shared" si="308"/>
        <v>0.95756756756756756</v>
      </c>
      <c r="M1375" s="133">
        <f t="shared" si="309"/>
        <v>107.28</v>
      </c>
      <c r="N1375" s="133">
        <f t="shared" si="310"/>
        <v>3650.28</v>
      </c>
      <c r="O1375" s="134">
        <f t="shared" si="311"/>
        <v>36.249056603773589</v>
      </c>
      <c r="P1375" s="134">
        <f t="shared" si="312"/>
        <v>0.98656216216216219</v>
      </c>
      <c r="Q1375" s="160"/>
      <c r="R1375" s="149">
        <f t="shared" si="313"/>
        <v>7.9268400853887311</v>
      </c>
      <c r="S1375" s="140">
        <f t="shared" ref="S1375:S1410" si="315">AVERAGE(O1299,O1337,O1375)</f>
        <v>36.337835153922548</v>
      </c>
      <c r="T1375" s="151">
        <f t="shared" ref="T1375:T1411" si="316">(S1375/S1261)-1</f>
        <v>1.6314196087878763E-3</v>
      </c>
    </row>
    <row r="1376" spans="1:20" ht="14.45" x14ac:dyDescent="0.3">
      <c r="A1376" s="60" t="s">
        <v>1</v>
      </c>
      <c r="B1376" s="60" t="s">
        <v>2</v>
      </c>
      <c r="C1376" s="60" t="s">
        <v>6</v>
      </c>
      <c r="D1376" s="60" t="s">
        <v>90</v>
      </c>
      <c r="E1376" s="89">
        <f t="shared" ref="E1376:E1411" si="317">E1375</f>
        <v>41426</v>
      </c>
      <c r="F1376" s="61"/>
      <c r="G1376" s="92">
        <v>6244</v>
      </c>
      <c r="H1376" s="138">
        <v>1530</v>
      </c>
      <c r="I1376" s="138" t="s">
        <v>93</v>
      </c>
      <c r="J1376" s="141">
        <f t="shared" si="314"/>
        <v>0.36</v>
      </c>
      <c r="K1376" s="95">
        <f t="shared" si="307"/>
        <v>62.005958291956304</v>
      </c>
      <c r="L1376" s="95">
        <f t="shared" si="308"/>
        <v>1.6875675675675677</v>
      </c>
      <c r="M1376" s="133">
        <f t="shared" si="309"/>
        <v>550.79999999999995</v>
      </c>
      <c r="N1376" s="133">
        <f t="shared" si="310"/>
        <v>6794.8</v>
      </c>
      <c r="O1376" s="134">
        <f t="shared" si="311"/>
        <v>67.475670307845078</v>
      </c>
      <c r="P1376" s="134">
        <f t="shared" si="312"/>
        <v>1.8364324324324324</v>
      </c>
      <c r="R1376" s="149">
        <f t="shared" si="313"/>
        <v>2.1267641621451006</v>
      </c>
      <c r="S1376" s="140">
        <f t="shared" si="315"/>
        <v>66.488248924197293</v>
      </c>
      <c r="T1376" s="151">
        <f t="shared" si="316"/>
        <v>1.5665215434636615E-2</v>
      </c>
    </row>
    <row r="1377" spans="1:20" ht="14.45" x14ac:dyDescent="0.3">
      <c r="A1377" s="60" t="s">
        <v>1</v>
      </c>
      <c r="B1377" s="60" t="s">
        <v>2</v>
      </c>
      <c r="C1377" s="60" t="s">
        <v>7</v>
      </c>
      <c r="D1377" s="60" t="s">
        <v>90</v>
      </c>
      <c r="E1377" s="89">
        <f t="shared" si="317"/>
        <v>41426</v>
      </c>
      <c r="F1377" s="61"/>
      <c r="G1377" s="92">
        <v>3808</v>
      </c>
      <c r="H1377" s="138">
        <v>890</v>
      </c>
      <c r="I1377" s="138" t="s">
        <v>92</v>
      </c>
      <c r="J1377" s="141">
        <f t="shared" si="314"/>
        <v>0.37</v>
      </c>
      <c r="K1377" s="95">
        <f t="shared" si="307"/>
        <v>37.815292949354514</v>
      </c>
      <c r="L1377" s="95">
        <f t="shared" si="308"/>
        <v>1.0291891891891891</v>
      </c>
      <c r="M1377" s="133">
        <f t="shared" si="309"/>
        <v>329.3</v>
      </c>
      <c r="N1377" s="133">
        <f t="shared" si="310"/>
        <v>4137.3</v>
      </c>
      <c r="O1377" s="134">
        <f t="shared" si="311"/>
        <v>41.08540218470705</v>
      </c>
      <c r="P1377" s="134">
        <f t="shared" si="312"/>
        <v>1.1181891891891893</v>
      </c>
      <c r="R1377" s="149">
        <f t="shared" si="313"/>
        <v>3.1771365869473156</v>
      </c>
      <c r="S1377" s="140">
        <f t="shared" si="315"/>
        <v>40.212512413108243</v>
      </c>
      <c r="T1377" s="151">
        <f t="shared" si="316"/>
        <v>1.6619803173328007E-2</v>
      </c>
    </row>
    <row r="1378" spans="1:20" ht="14.45" x14ac:dyDescent="0.3">
      <c r="A1378" s="60" t="s">
        <v>1</v>
      </c>
      <c r="B1378" s="60" t="s">
        <v>8</v>
      </c>
      <c r="C1378" s="60" t="s">
        <v>9</v>
      </c>
      <c r="D1378" s="60" t="s">
        <v>90</v>
      </c>
      <c r="E1378" s="89">
        <f t="shared" si="317"/>
        <v>41426</v>
      </c>
      <c r="F1378" s="61"/>
      <c r="G1378" s="92">
        <v>5824</v>
      </c>
      <c r="H1378" s="138">
        <v>1256</v>
      </c>
      <c r="I1378" s="138" t="s">
        <v>93</v>
      </c>
      <c r="J1378" s="141">
        <f t="shared" si="314"/>
        <v>0.36</v>
      </c>
      <c r="K1378" s="95">
        <f t="shared" si="307"/>
        <v>57.835153922542204</v>
      </c>
      <c r="L1378" s="95">
        <f t="shared" si="308"/>
        <v>1.574054054054054</v>
      </c>
      <c r="M1378" s="133">
        <f t="shared" si="309"/>
        <v>452.15999999999997</v>
      </c>
      <c r="N1378" s="133">
        <f t="shared" si="310"/>
        <v>6276.16</v>
      </c>
      <c r="O1378" s="134">
        <f t="shared" si="311"/>
        <v>62.325322740814293</v>
      </c>
      <c r="P1378" s="134">
        <f t="shared" si="312"/>
        <v>1.6962594594594593</v>
      </c>
      <c r="R1378" s="149">
        <f t="shared" si="313"/>
        <v>3.0913475121387091</v>
      </c>
      <c r="S1378" s="140">
        <f t="shared" si="315"/>
        <v>61.037802052300556</v>
      </c>
      <c r="T1378" s="151">
        <f t="shared" si="316"/>
        <v>1.801783896349396E-2</v>
      </c>
    </row>
    <row r="1379" spans="1:20" ht="14.45" x14ac:dyDescent="0.3">
      <c r="A1379" s="60" t="s">
        <v>1</v>
      </c>
      <c r="B1379" s="60" t="s">
        <v>10</v>
      </c>
      <c r="C1379" s="60" t="s">
        <v>9</v>
      </c>
      <c r="D1379" s="60" t="s">
        <v>90</v>
      </c>
      <c r="E1379" s="89">
        <f t="shared" si="317"/>
        <v>41426</v>
      </c>
      <c r="F1379" s="61"/>
      <c r="G1379" s="92">
        <v>4076</v>
      </c>
      <c r="H1379" s="138">
        <v>975</v>
      </c>
      <c r="I1379" s="138" t="s">
        <v>92</v>
      </c>
      <c r="J1379" s="141">
        <f t="shared" si="314"/>
        <v>0.37</v>
      </c>
      <c r="K1379" s="95">
        <f t="shared" si="307"/>
        <v>40.476663356504467</v>
      </c>
      <c r="L1379" s="95">
        <f t="shared" si="308"/>
        <v>1.1016216216216217</v>
      </c>
      <c r="M1379" s="133">
        <f t="shared" si="309"/>
        <v>360.75</v>
      </c>
      <c r="N1379" s="133">
        <f t="shared" si="310"/>
        <v>4436.75</v>
      </c>
      <c r="O1379" s="134">
        <f t="shared" si="311"/>
        <v>44.059086395233365</v>
      </c>
      <c r="P1379" s="134">
        <f t="shared" si="312"/>
        <v>1.1991216216216216</v>
      </c>
      <c r="R1379" s="149">
        <f t="shared" si="313"/>
        <v>2.8990549080999628</v>
      </c>
      <c r="S1379" s="140">
        <f t="shared" si="315"/>
        <v>43.19927176431645</v>
      </c>
      <c r="T1379" s="151">
        <f t="shared" si="316"/>
        <v>1.5800739443471601E-2</v>
      </c>
    </row>
    <row r="1380" spans="1:20" ht="14.45" x14ac:dyDescent="0.3">
      <c r="A1380" s="60" t="s">
        <v>1</v>
      </c>
      <c r="B1380" s="60" t="s">
        <v>11</v>
      </c>
      <c r="C1380" s="60" t="s">
        <v>6</v>
      </c>
      <c r="D1380" s="60" t="s">
        <v>90</v>
      </c>
      <c r="E1380" s="89">
        <f t="shared" si="317"/>
        <v>41426</v>
      </c>
      <c r="F1380" s="61"/>
      <c r="G1380" s="92">
        <v>4275</v>
      </c>
      <c r="H1380" s="138">
        <v>1357</v>
      </c>
      <c r="I1380" s="138" t="s">
        <v>92</v>
      </c>
      <c r="J1380" s="141">
        <f t="shared" si="314"/>
        <v>0.37</v>
      </c>
      <c r="K1380" s="95">
        <f t="shared" si="307"/>
        <v>42.452830188679243</v>
      </c>
      <c r="L1380" s="95">
        <f t="shared" si="308"/>
        <v>1.1554054054054055</v>
      </c>
      <c r="M1380" s="133">
        <f t="shared" si="309"/>
        <v>502.09</v>
      </c>
      <c r="N1380" s="133">
        <f t="shared" si="310"/>
        <v>4777.09</v>
      </c>
      <c r="O1380" s="134">
        <f t="shared" si="311"/>
        <v>47.438828202581924</v>
      </c>
      <c r="P1380" s="134">
        <f t="shared" si="312"/>
        <v>1.2911054054054054</v>
      </c>
      <c r="R1380" s="149">
        <f t="shared" si="313"/>
        <v>2.328864250262952</v>
      </c>
      <c r="S1380" s="140">
        <f t="shared" si="315"/>
        <v>46.674147633234021</v>
      </c>
      <c r="T1380" s="151">
        <f t="shared" si="316"/>
        <v>1.56508184842159E-2</v>
      </c>
    </row>
    <row r="1381" spans="1:20" ht="14.45" x14ac:dyDescent="0.3">
      <c r="A1381" s="60" t="s">
        <v>134</v>
      </c>
      <c r="B1381" s="60" t="s">
        <v>13</v>
      </c>
      <c r="C1381" s="60" t="s">
        <v>7</v>
      </c>
      <c r="D1381" s="60" t="s">
        <v>90</v>
      </c>
      <c r="E1381" s="89">
        <f t="shared" si="317"/>
        <v>41426</v>
      </c>
      <c r="F1381" s="61"/>
      <c r="G1381" s="92">
        <v>3110</v>
      </c>
      <c r="H1381" s="138">
        <v>1006</v>
      </c>
      <c r="I1381" s="138" t="s">
        <v>92</v>
      </c>
      <c r="J1381" s="141">
        <f t="shared" si="314"/>
        <v>0.37</v>
      </c>
      <c r="K1381" s="95">
        <f t="shared" si="307"/>
        <v>30.883813306852034</v>
      </c>
      <c r="L1381" s="95">
        <f t="shared" si="308"/>
        <v>0.78450450450450449</v>
      </c>
      <c r="M1381" s="133">
        <f t="shared" si="309"/>
        <v>372.21999999999997</v>
      </c>
      <c r="N1381" s="133">
        <f t="shared" si="310"/>
        <v>3482.22</v>
      </c>
      <c r="O1381" s="134">
        <f t="shared" si="311"/>
        <v>34.580139026812311</v>
      </c>
      <c r="P1381" s="134">
        <f t="shared" si="312"/>
        <v>0.87839783783783776</v>
      </c>
      <c r="R1381" s="149">
        <f t="shared" si="313"/>
        <v>0.9204569825472575</v>
      </c>
      <c r="S1381" s="140">
        <f t="shared" si="315"/>
        <v>34.813240648791783</v>
      </c>
      <c r="T1381" s="151">
        <f t="shared" si="316"/>
        <v>3.8408527762185951E-3</v>
      </c>
    </row>
    <row r="1382" spans="1:20" ht="14.45" x14ac:dyDescent="0.3">
      <c r="A1382" s="60" t="s">
        <v>134</v>
      </c>
      <c r="B1382" s="60" t="s">
        <v>14</v>
      </c>
      <c r="C1382" s="60" t="s">
        <v>15</v>
      </c>
      <c r="D1382" s="60" t="s">
        <v>90</v>
      </c>
      <c r="E1382" s="89">
        <f t="shared" si="317"/>
        <v>41426</v>
      </c>
      <c r="F1382" s="61"/>
      <c r="G1382" s="92">
        <v>4508</v>
      </c>
      <c r="H1382" s="138">
        <v>866</v>
      </c>
      <c r="I1382" s="138" t="s">
        <v>94</v>
      </c>
      <c r="J1382" s="141">
        <f t="shared" si="314"/>
        <v>0.49</v>
      </c>
      <c r="K1382" s="95">
        <f t="shared" si="307"/>
        <v>44.766633565044685</v>
      </c>
      <c r="L1382" s="95">
        <f t="shared" si="308"/>
        <v>1.1371531531531531</v>
      </c>
      <c r="M1382" s="133">
        <f t="shared" si="309"/>
        <v>424.34</v>
      </c>
      <c r="N1382" s="133">
        <f t="shared" si="310"/>
        <v>4932.34</v>
      </c>
      <c r="O1382" s="134">
        <f t="shared" si="311"/>
        <v>48.980536246276067</v>
      </c>
      <c r="P1382" s="134">
        <f t="shared" si="312"/>
        <v>1.244193873873874</v>
      </c>
      <c r="R1382" s="149">
        <f t="shared" si="313"/>
        <v>1.8872211824878526</v>
      </c>
      <c r="S1382" s="140">
        <f t="shared" si="315"/>
        <v>49.181198278715648</v>
      </c>
      <c r="T1382" s="151">
        <f t="shared" si="316"/>
        <v>2.922843677139797E-3</v>
      </c>
    </row>
    <row r="1383" spans="1:20" ht="14.45" x14ac:dyDescent="0.3">
      <c r="A1383" s="60" t="s">
        <v>134</v>
      </c>
      <c r="B1383" s="60" t="s">
        <v>16</v>
      </c>
      <c r="C1383" s="60" t="s">
        <v>17</v>
      </c>
      <c r="D1383" s="60" t="s">
        <v>90</v>
      </c>
      <c r="E1383" s="89">
        <f t="shared" si="317"/>
        <v>41426</v>
      </c>
      <c r="F1383" s="61"/>
      <c r="G1383" s="92">
        <v>2006</v>
      </c>
      <c r="H1383" s="138">
        <v>213</v>
      </c>
      <c r="I1383" s="138" t="s">
        <v>92</v>
      </c>
      <c r="J1383" s="141">
        <f t="shared" si="314"/>
        <v>0.37</v>
      </c>
      <c r="K1383" s="95">
        <f t="shared" si="307"/>
        <v>19.920556107249254</v>
      </c>
      <c r="L1383" s="95">
        <f t="shared" si="308"/>
        <v>0.50601801801801805</v>
      </c>
      <c r="M1383" s="133">
        <f t="shared" si="309"/>
        <v>78.81</v>
      </c>
      <c r="N1383" s="133">
        <f t="shared" si="310"/>
        <v>2084.81</v>
      </c>
      <c r="O1383" s="134">
        <f t="shared" si="311"/>
        <v>20.70317775571003</v>
      </c>
      <c r="P1383" s="134">
        <f t="shared" si="312"/>
        <v>0.52589801801801805</v>
      </c>
      <c r="R1383" s="149">
        <f t="shared" si="313"/>
        <v>3.1405064981967268</v>
      </c>
      <c r="S1383" s="140">
        <f t="shared" si="315"/>
        <v>20.752532274081428</v>
      </c>
      <c r="T1383" s="151">
        <f t="shared" si="316"/>
        <v>1.3608441066825794E-3</v>
      </c>
    </row>
    <row r="1384" spans="1:20" ht="14.45" x14ac:dyDescent="0.3">
      <c r="A1384" s="60" t="s">
        <v>134</v>
      </c>
      <c r="B1384" s="60" t="s">
        <v>18</v>
      </c>
      <c r="C1384" s="60" t="s">
        <v>19</v>
      </c>
      <c r="D1384" s="60" t="s">
        <v>90</v>
      </c>
      <c r="E1384" s="89">
        <f t="shared" si="317"/>
        <v>41426</v>
      </c>
      <c r="F1384" s="61"/>
      <c r="G1384" s="92">
        <v>3920</v>
      </c>
      <c r="H1384" s="138">
        <v>650</v>
      </c>
      <c r="I1384" s="138" t="s">
        <v>94</v>
      </c>
      <c r="J1384" s="141">
        <f t="shared" si="314"/>
        <v>0.49</v>
      </c>
      <c r="K1384" s="95">
        <f t="shared" si="307"/>
        <v>38.927507447864947</v>
      </c>
      <c r="L1384" s="95">
        <f t="shared" si="308"/>
        <v>0.98882882882882883</v>
      </c>
      <c r="M1384" s="133">
        <f t="shared" si="309"/>
        <v>318.5</v>
      </c>
      <c r="N1384" s="133">
        <f t="shared" si="310"/>
        <v>4238.5</v>
      </c>
      <c r="O1384" s="134">
        <f t="shared" si="311"/>
        <v>42.090367428003972</v>
      </c>
      <c r="P1384" s="134">
        <f t="shared" si="312"/>
        <v>1.0691711711711711</v>
      </c>
      <c r="R1384" s="149">
        <f t="shared" si="313"/>
        <v>1.7524906973952703</v>
      </c>
      <c r="S1384" s="140">
        <f t="shared" si="315"/>
        <v>42.240979808010593</v>
      </c>
      <c r="T1384" s="151">
        <f t="shared" si="316"/>
        <v>2.5533252150684582E-3</v>
      </c>
    </row>
    <row r="1385" spans="1:20" ht="14.45" x14ac:dyDescent="0.3">
      <c r="A1385" s="60" t="s">
        <v>134</v>
      </c>
      <c r="B1385" s="60" t="s">
        <v>18</v>
      </c>
      <c r="C1385" s="60" t="s">
        <v>20</v>
      </c>
      <c r="D1385" s="60" t="s">
        <v>90</v>
      </c>
      <c r="E1385" s="89">
        <f t="shared" si="317"/>
        <v>41426</v>
      </c>
      <c r="F1385" s="61"/>
      <c r="G1385" s="92">
        <v>3354</v>
      </c>
      <c r="H1385" s="138">
        <v>417</v>
      </c>
      <c r="I1385" s="138" t="s">
        <v>94</v>
      </c>
      <c r="J1385" s="141">
        <f t="shared" si="314"/>
        <v>0.49</v>
      </c>
      <c r="K1385" s="95">
        <f t="shared" si="307"/>
        <v>33.306852035749749</v>
      </c>
      <c r="L1385" s="95">
        <f t="shared" si="308"/>
        <v>0.84605405405405409</v>
      </c>
      <c r="M1385" s="133">
        <f t="shared" si="309"/>
        <v>204.32999999999998</v>
      </c>
      <c r="N1385" s="133">
        <f t="shared" si="310"/>
        <v>3558.33</v>
      </c>
      <c r="O1385" s="134">
        <f t="shared" si="311"/>
        <v>35.335948361469711</v>
      </c>
      <c r="P1385" s="134">
        <f t="shared" si="312"/>
        <v>0.89759675675675676</v>
      </c>
      <c r="R1385" s="149">
        <f t="shared" si="313"/>
        <v>1.840864794319419</v>
      </c>
      <c r="S1385" s="140">
        <f t="shared" si="315"/>
        <v>35.432571996027804</v>
      </c>
      <c r="T1385" s="151">
        <f t="shared" si="316"/>
        <v>1.9516386744580227E-3</v>
      </c>
    </row>
    <row r="1386" spans="1:20" ht="14.45" x14ac:dyDescent="0.3">
      <c r="A1386" s="60" t="s">
        <v>134</v>
      </c>
      <c r="B1386" s="60" t="s">
        <v>16</v>
      </c>
      <c r="C1386" s="60" t="s">
        <v>21</v>
      </c>
      <c r="D1386" s="60" t="s">
        <v>90</v>
      </c>
      <c r="E1386" s="89">
        <f t="shared" si="317"/>
        <v>41426</v>
      </c>
      <c r="F1386" s="61"/>
      <c r="G1386" s="92">
        <v>3146</v>
      </c>
      <c r="H1386" s="138">
        <v>626</v>
      </c>
      <c r="I1386" s="138" t="s">
        <v>92</v>
      </c>
      <c r="J1386" s="141">
        <f t="shared" si="314"/>
        <v>0.37</v>
      </c>
      <c r="K1386" s="95">
        <f t="shared" si="307"/>
        <v>31.241310824230386</v>
      </c>
      <c r="L1386" s="95">
        <f t="shared" si="308"/>
        <v>0.79358558558558556</v>
      </c>
      <c r="M1386" s="133">
        <f t="shared" si="309"/>
        <v>231.62</v>
      </c>
      <c r="N1386" s="133">
        <f t="shared" si="310"/>
        <v>3377.62</v>
      </c>
      <c r="O1386" s="134">
        <f t="shared" si="311"/>
        <v>33.54141012909632</v>
      </c>
      <c r="P1386" s="134">
        <f t="shared" si="312"/>
        <v>0.85201225225225219</v>
      </c>
      <c r="R1386" s="149">
        <f t="shared" si="313"/>
        <v>1.4099307644731107</v>
      </c>
      <c r="S1386" s="140">
        <f t="shared" si="315"/>
        <v>33.739424031777553</v>
      </c>
      <c r="T1386" s="151">
        <f t="shared" si="316"/>
        <v>1.6745875443706648E-3</v>
      </c>
    </row>
    <row r="1387" spans="1:20" ht="14.45" x14ac:dyDescent="0.3">
      <c r="A1387" s="60" t="s">
        <v>134</v>
      </c>
      <c r="B1387" s="60" t="s">
        <v>16</v>
      </c>
      <c r="C1387" s="60" t="s">
        <v>6</v>
      </c>
      <c r="D1387" s="60" t="s">
        <v>90</v>
      </c>
      <c r="E1387" s="89">
        <f t="shared" si="317"/>
        <v>41426</v>
      </c>
      <c r="F1387" s="61"/>
      <c r="G1387" s="92">
        <v>5065</v>
      </c>
      <c r="H1387" s="138">
        <v>1823</v>
      </c>
      <c r="I1387" s="138" t="s">
        <v>92</v>
      </c>
      <c r="J1387" s="141">
        <f t="shared" si="314"/>
        <v>0.37</v>
      </c>
      <c r="K1387" s="95">
        <f t="shared" si="307"/>
        <v>50.297914597815293</v>
      </c>
      <c r="L1387" s="95">
        <f t="shared" si="308"/>
        <v>1.2776576576576577</v>
      </c>
      <c r="M1387" s="133">
        <f t="shared" si="309"/>
        <v>674.51</v>
      </c>
      <c r="N1387" s="133">
        <f t="shared" si="310"/>
        <v>5739.51</v>
      </c>
      <c r="O1387" s="134">
        <f t="shared" si="311"/>
        <v>56.9961271102284</v>
      </c>
      <c r="P1387" s="134">
        <f t="shared" si="312"/>
        <v>1.4478043243243244</v>
      </c>
      <c r="R1387" s="149">
        <f t="shared" si="313"/>
        <v>0.12350783175720803</v>
      </c>
      <c r="S1387" s="140">
        <f t="shared" si="315"/>
        <v>57.418536908308511</v>
      </c>
      <c r="T1387" s="151">
        <f t="shared" si="316"/>
        <v>4.2215637848648235E-3</v>
      </c>
    </row>
    <row r="1388" spans="1:20" ht="14.45" x14ac:dyDescent="0.3">
      <c r="A1388" s="60" t="s">
        <v>22</v>
      </c>
      <c r="B1388" s="60" t="s">
        <v>23</v>
      </c>
      <c r="C1388" s="60" t="s">
        <v>7</v>
      </c>
      <c r="D1388" s="60" t="s">
        <v>90</v>
      </c>
      <c r="E1388" s="89">
        <f t="shared" si="317"/>
        <v>41426</v>
      </c>
      <c r="F1388" s="61"/>
      <c r="G1388" s="92">
        <v>3299</v>
      </c>
      <c r="H1388" s="138">
        <v>1295</v>
      </c>
      <c r="I1388" s="138" t="s">
        <v>95</v>
      </c>
      <c r="J1388" s="141">
        <f t="shared" si="314"/>
        <v>0.31630000000000003</v>
      </c>
      <c r="K1388" s="95">
        <f t="shared" si="307"/>
        <v>32.760675273088381</v>
      </c>
      <c r="L1388" s="95">
        <f t="shared" si="308"/>
        <v>0.89162162162162162</v>
      </c>
      <c r="M1388" s="133">
        <f t="shared" si="309"/>
        <v>409.60850000000005</v>
      </c>
      <c r="N1388" s="133">
        <f t="shared" si="310"/>
        <v>3708.6085000000003</v>
      </c>
      <c r="O1388" s="134">
        <f t="shared" si="311"/>
        <v>36.828286991062562</v>
      </c>
      <c r="P1388" s="134">
        <f t="shared" si="312"/>
        <v>1.0023266216216218</v>
      </c>
      <c r="R1388" s="149">
        <f t="shared" si="313"/>
        <v>0.14372370915991528</v>
      </c>
      <c r="S1388" s="140">
        <f t="shared" si="315"/>
        <v>37.654048328368084</v>
      </c>
      <c r="T1388" s="151">
        <f t="shared" si="316"/>
        <v>-6.4192737356977836E-2</v>
      </c>
    </row>
    <row r="1389" spans="1:20" ht="14.45" x14ac:dyDescent="0.3">
      <c r="A1389" s="60" t="s">
        <v>22</v>
      </c>
      <c r="B1389" s="60" t="s">
        <v>14</v>
      </c>
      <c r="C1389" s="60" t="s">
        <v>24</v>
      </c>
      <c r="D1389" s="60" t="s">
        <v>90</v>
      </c>
      <c r="E1389" s="89">
        <f t="shared" si="317"/>
        <v>41426</v>
      </c>
      <c r="F1389" s="61"/>
      <c r="G1389" s="92">
        <v>3575</v>
      </c>
      <c r="H1389" s="138">
        <v>615</v>
      </c>
      <c r="I1389" s="138" t="s">
        <v>94</v>
      </c>
      <c r="J1389" s="141">
        <f t="shared" si="314"/>
        <v>0.49</v>
      </c>
      <c r="K1389" s="95">
        <f t="shared" si="307"/>
        <v>35.501489572989072</v>
      </c>
      <c r="L1389" s="95">
        <f t="shared" si="308"/>
        <v>0.96621621621621623</v>
      </c>
      <c r="M1389" s="133">
        <f t="shared" si="309"/>
        <v>301.35000000000002</v>
      </c>
      <c r="N1389" s="133">
        <f t="shared" si="310"/>
        <v>3876.35</v>
      </c>
      <c r="O1389" s="134">
        <f t="shared" si="311"/>
        <v>38.494041708043689</v>
      </c>
      <c r="P1389" s="134">
        <f t="shared" si="312"/>
        <v>1.0476621621621622</v>
      </c>
      <c r="R1389" s="149">
        <f t="shared" si="313"/>
        <v>1.3968270576387276</v>
      </c>
      <c r="S1389" s="140">
        <f t="shared" si="315"/>
        <v>38.63654419066534</v>
      </c>
      <c r="T1389" s="151">
        <f t="shared" si="316"/>
        <v>2.6414462240202941E-3</v>
      </c>
    </row>
    <row r="1390" spans="1:20" ht="14.45" x14ac:dyDescent="0.3">
      <c r="A1390" s="60" t="s">
        <v>22</v>
      </c>
      <c r="B1390" s="60" t="s">
        <v>18</v>
      </c>
      <c r="C1390" s="60" t="s">
        <v>15</v>
      </c>
      <c r="D1390" s="60" t="s">
        <v>90</v>
      </c>
      <c r="E1390" s="89">
        <f t="shared" si="317"/>
        <v>41426</v>
      </c>
      <c r="F1390" s="61"/>
      <c r="G1390" s="92">
        <v>4578</v>
      </c>
      <c r="H1390" s="138">
        <v>872</v>
      </c>
      <c r="I1390" s="138" t="s">
        <v>94</v>
      </c>
      <c r="J1390" s="141">
        <f t="shared" si="314"/>
        <v>0.49</v>
      </c>
      <c r="K1390" s="95">
        <f t="shared" si="307"/>
        <v>45.4617676266137</v>
      </c>
      <c r="L1390" s="95">
        <f t="shared" si="308"/>
        <v>1.2372972972972973</v>
      </c>
      <c r="M1390" s="133">
        <f t="shared" si="309"/>
        <v>427.28</v>
      </c>
      <c r="N1390" s="133">
        <f t="shared" si="310"/>
        <v>5005.28</v>
      </c>
      <c r="O1390" s="134">
        <f t="shared" si="311"/>
        <v>49.704865938430977</v>
      </c>
      <c r="P1390" s="134">
        <f t="shared" si="312"/>
        <v>1.3527783783783782</v>
      </c>
      <c r="R1390" s="149">
        <f t="shared" si="313"/>
        <v>1.8335110149008349</v>
      </c>
      <c r="S1390" s="140">
        <f t="shared" si="315"/>
        <v>49.906918238993704</v>
      </c>
      <c r="T1390" s="151">
        <f t="shared" si="316"/>
        <v>2.9002320185613772E-3</v>
      </c>
    </row>
    <row r="1391" spans="1:20" ht="14.45" x14ac:dyDescent="0.3">
      <c r="A1391" s="60" t="s">
        <v>22</v>
      </c>
      <c r="B1391" s="60" t="s">
        <v>18</v>
      </c>
      <c r="C1391" s="60" t="s">
        <v>24</v>
      </c>
      <c r="D1391" s="60" t="s">
        <v>90</v>
      </c>
      <c r="E1391" s="89">
        <f t="shared" si="317"/>
        <v>41426</v>
      </c>
      <c r="F1391" s="61"/>
      <c r="G1391" s="92">
        <v>3267</v>
      </c>
      <c r="H1391" s="138">
        <v>417</v>
      </c>
      <c r="I1391" s="138" t="s">
        <v>94</v>
      </c>
      <c r="J1391" s="141">
        <f t="shared" si="314"/>
        <v>0.49</v>
      </c>
      <c r="K1391" s="95">
        <f t="shared" si="307"/>
        <v>32.442899702085398</v>
      </c>
      <c r="L1391" s="95">
        <f t="shared" si="308"/>
        <v>0.88297297297297295</v>
      </c>
      <c r="M1391" s="133">
        <f t="shared" si="309"/>
        <v>204.32999999999998</v>
      </c>
      <c r="N1391" s="133">
        <f t="shared" si="310"/>
        <v>3471.33</v>
      </c>
      <c r="O1391" s="134">
        <f t="shared" si="311"/>
        <v>34.471996027805361</v>
      </c>
      <c r="P1391" s="134">
        <f t="shared" si="312"/>
        <v>0.93819729729729728</v>
      </c>
      <c r="R1391" s="149">
        <f t="shared" si="313"/>
        <v>1.7982351957912091</v>
      </c>
      <c r="S1391" s="140">
        <f t="shared" si="315"/>
        <v>34.568619662363453</v>
      </c>
      <c r="T1391" s="151">
        <f t="shared" si="316"/>
        <v>2.0005123614392772E-3</v>
      </c>
    </row>
    <row r="1392" spans="1:20" ht="14.45" x14ac:dyDescent="0.3">
      <c r="A1392" s="60" t="s">
        <v>22</v>
      </c>
      <c r="B1392" s="60" t="s">
        <v>13</v>
      </c>
      <c r="C1392" s="60" t="s">
        <v>7</v>
      </c>
      <c r="D1392" s="60" t="s">
        <v>90</v>
      </c>
      <c r="E1392" s="89">
        <f t="shared" si="317"/>
        <v>41426</v>
      </c>
      <c r="F1392" s="61"/>
      <c r="G1392" s="92">
        <v>3599</v>
      </c>
      <c r="H1392" s="138">
        <v>1006</v>
      </c>
      <c r="I1392" s="138" t="s">
        <v>92</v>
      </c>
      <c r="J1392" s="141">
        <f t="shared" si="314"/>
        <v>0.37</v>
      </c>
      <c r="K1392" s="95">
        <f t="shared" si="307"/>
        <v>35.73982125124131</v>
      </c>
      <c r="L1392" s="95">
        <f t="shared" si="308"/>
        <v>0.97270270270270265</v>
      </c>
      <c r="M1392" s="133">
        <f t="shared" si="309"/>
        <v>372.21999999999997</v>
      </c>
      <c r="N1392" s="133">
        <f t="shared" si="310"/>
        <v>3971.22</v>
      </c>
      <c r="O1392" s="134">
        <f t="shared" si="311"/>
        <v>39.436146971201588</v>
      </c>
      <c r="P1392" s="134">
        <f t="shared" si="312"/>
        <v>1.0733027027027027</v>
      </c>
      <c r="R1392" s="149">
        <f t="shared" si="313"/>
        <v>4.658370360999986</v>
      </c>
      <c r="S1392" s="140">
        <f t="shared" si="315"/>
        <v>39.669248593181067</v>
      </c>
      <c r="T1392" s="151">
        <f t="shared" si="316"/>
        <v>3.3691007247249605E-3</v>
      </c>
    </row>
    <row r="1393" spans="1:20" ht="14.45" x14ac:dyDescent="0.3">
      <c r="A1393" s="60" t="s">
        <v>1</v>
      </c>
      <c r="B1393" s="60" t="s">
        <v>25</v>
      </c>
      <c r="C1393" s="60" t="s">
        <v>26</v>
      </c>
      <c r="D1393" s="60" t="s">
        <v>91</v>
      </c>
      <c r="E1393" s="89">
        <f t="shared" si="317"/>
        <v>41426</v>
      </c>
      <c r="F1393" s="61"/>
      <c r="G1393" s="92">
        <v>3580</v>
      </c>
      <c r="H1393" s="138">
        <v>880</v>
      </c>
      <c r="I1393" s="138" t="s">
        <v>93</v>
      </c>
      <c r="J1393" s="141">
        <f t="shared" si="314"/>
        <v>0.36</v>
      </c>
      <c r="K1393" s="95">
        <f t="shared" si="307"/>
        <v>35.55114200595829</v>
      </c>
      <c r="L1393" s="95">
        <f t="shared" si="308"/>
        <v>0.96756756756756757</v>
      </c>
      <c r="M1393" s="133">
        <f t="shared" si="309"/>
        <v>316.8</v>
      </c>
      <c r="N1393" s="133">
        <f t="shared" si="310"/>
        <v>3896.8</v>
      </c>
      <c r="O1393" s="134">
        <f t="shared" si="311"/>
        <v>38.697120158887785</v>
      </c>
      <c r="P1393" s="134">
        <f t="shared" si="312"/>
        <v>1.0531891891891891</v>
      </c>
      <c r="R1393" s="149">
        <f t="shared" si="313"/>
        <v>4.9841047470229993</v>
      </c>
      <c r="S1393" s="140">
        <f t="shared" si="315"/>
        <v>38.959285004965245</v>
      </c>
      <c r="T1393" s="151">
        <f t="shared" si="316"/>
        <v>4.506349856616243E-3</v>
      </c>
    </row>
    <row r="1394" spans="1:20" ht="14.45" x14ac:dyDescent="0.3">
      <c r="A1394" s="60" t="s">
        <v>1</v>
      </c>
      <c r="B1394" s="60" t="s">
        <v>2</v>
      </c>
      <c r="C1394" s="60" t="s">
        <v>9</v>
      </c>
      <c r="D1394" s="60" t="s">
        <v>91</v>
      </c>
      <c r="E1394" s="89">
        <f t="shared" si="317"/>
        <v>41426</v>
      </c>
      <c r="F1394" s="61"/>
      <c r="G1394" s="92">
        <v>3798</v>
      </c>
      <c r="H1394" s="138">
        <v>685</v>
      </c>
      <c r="I1394" s="138" t="s">
        <v>93</v>
      </c>
      <c r="J1394" s="141">
        <f t="shared" si="314"/>
        <v>0.36</v>
      </c>
      <c r="K1394" s="95">
        <f t="shared" si="307"/>
        <v>37.715988083416086</v>
      </c>
      <c r="L1394" s="95">
        <f t="shared" si="308"/>
        <v>1.0264864864864864</v>
      </c>
      <c r="M1394" s="133">
        <f t="shared" si="309"/>
        <v>246.6</v>
      </c>
      <c r="N1394" s="133">
        <f t="shared" si="310"/>
        <v>4044.6</v>
      </c>
      <c r="O1394" s="134">
        <f t="shared" si="311"/>
        <v>40.164846077457796</v>
      </c>
      <c r="P1394" s="134">
        <f t="shared" si="312"/>
        <v>1.093135135135135</v>
      </c>
      <c r="R1394" s="149">
        <f t="shared" si="313"/>
        <v>3.3143032300088082</v>
      </c>
      <c r="S1394" s="140">
        <f t="shared" si="315"/>
        <v>39.28318437603442</v>
      </c>
      <c r="T1394" s="151">
        <f t="shared" si="316"/>
        <v>1.7586507007592678E-2</v>
      </c>
    </row>
    <row r="1395" spans="1:20" ht="14.45" x14ac:dyDescent="0.3">
      <c r="A1395" s="60" t="s">
        <v>1</v>
      </c>
      <c r="B1395" s="60" t="s">
        <v>27</v>
      </c>
      <c r="C1395" s="60" t="s">
        <v>28</v>
      </c>
      <c r="D1395" s="60" t="s">
        <v>91</v>
      </c>
      <c r="E1395" s="89">
        <f t="shared" si="317"/>
        <v>41426</v>
      </c>
      <c r="F1395" s="61"/>
      <c r="G1395" s="92">
        <v>3771</v>
      </c>
      <c r="H1395" s="138">
        <v>812</v>
      </c>
      <c r="I1395" s="138" t="s">
        <v>94</v>
      </c>
      <c r="J1395" s="141">
        <f t="shared" si="314"/>
        <v>0.49</v>
      </c>
      <c r="K1395" s="95">
        <f t="shared" si="307"/>
        <v>37.447864945382321</v>
      </c>
      <c r="L1395" s="95">
        <f t="shared" si="308"/>
        <v>1.0191891891891891</v>
      </c>
      <c r="M1395" s="133">
        <f t="shared" si="309"/>
        <v>397.88</v>
      </c>
      <c r="N1395" s="133">
        <f t="shared" si="310"/>
        <v>4168.88</v>
      </c>
      <c r="O1395" s="134">
        <f t="shared" si="311"/>
        <v>41.399006951340617</v>
      </c>
      <c r="P1395" s="134">
        <f t="shared" si="312"/>
        <v>1.1267243243243243</v>
      </c>
      <c r="R1395" s="149">
        <f t="shared" si="313"/>
        <v>2.294766597306741</v>
      </c>
      <c r="S1395" s="140">
        <f t="shared" si="315"/>
        <v>41.587156570671965</v>
      </c>
      <c r="T1395" s="151">
        <f t="shared" si="316"/>
        <v>3.2420657229008665E-3</v>
      </c>
    </row>
    <row r="1396" spans="1:20" ht="14.45" x14ac:dyDescent="0.3">
      <c r="A1396" s="60" t="s">
        <v>1</v>
      </c>
      <c r="B1396" s="60" t="s">
        <v>4</v>
      </c>
      <c r="C1396" s="60" t="s">
        <v>26</v>
      </c>
      <c r="D1396" s="60" t="s">
        <v>91</v>
      </c>
      <c r="E1396" s="89">
        <f t="shared" si="317"/>
        <v>41426</v>
      </c>
      <c r="F1396" s="61"/>
      <c r="G1396" s="92">
        <v>5061</v>
      </c>
      <c r="H1396" s="138">
        <v>1520</v>
      </c>
      <c r="I1396" s="138" t="s">
        <v>93</v>
      </c>
      <c r="J1396" s="141">
        <f t="shared" si="314"/>
        <v>0.36</v>
      </c>
      <c r="K1396" s="95">
        <f t="shared" si="307"/>
        <v>50.25819265143992</v>
      </c>
      <c r="L1396" s="95">
        <f t="shared" si="308"/>
        <v>1.3678378378378377</v>
      </c>
      <c r="M1396" s="133">
        <f t="shared" si="309"/>
        <v>547.19999999999993</v>
      </c>
      <c r="N1396" s="133">
        <f t="shared" si="310"/>
        <v>5608.2</v>
      </c>
      <c r="O1396" s="134">
        <f t="shared" si="311"/>
        <v>55.692154915590862</v>
      </c>
      <c r="P1396" s="134">
        <f t="shared" si="312"/>
        <v>1.5157297297297296</v>
      </c>
      <c r="R1396" s="149">
        <f t="shared" si="313"/>
        <v>2.8046634403871451</v>
      </c>
      <c r="S1396" s="140">
        <f t="shared" si="315"/>
        <v>56.144985104270113</v>
      </c>
      <c r="T1396" s="151">
        <f t="shared" si="316"/>
        <v>5.4059821460326063E-3</v>
      </c>
    </row>
    <row r="1397" spans="1:20" ht="14.45" x14ac:dyDescent="0.3">
      <c r="A1397" s="60" t="s">
        <v>1</v>
      </c>
      <c r="B1397" s="60" t="s">
        <v>4</v>
      </c>
      <c r="C1397" s="60" t="s">
        <v>9</v>
      </c>
      <c r="D1397" s="60" t="s">
        <v>91</v>
      </c>
      <c r="E1397" s="89">
        <f t="shared" si="317"/>
        <v>41426</v>
      </c>
      <c r="F1397" s="61"/>
      <c r="G1397" s="92">
        <v>6082</v>
      </c>
      <c r="H1397" s="138">
        <v>1583</v>
      </c>
      <c r="I1397" s="138" t="s">
        <v>93</v>
      </c>
      <c r="J1397" s="141">
        <f t="shared" si="314"/>
        <v>0.36</v>
      </c>
      <c r="K1397" s="95">
        <f t="shared" si="307"/>
        <v>60.397219463753721</v>
      </c>
      <c r="L1397" s="95">
        <f t="shared" si="308"/>
        <v>1.6437837837837839</v>
      </c>
      <c r="M1397" s="133">
        <f t="shared" si="309"/>
        <v>569.88</v>
      </c>
      <c r="N1397" s="133">
        <f t="shared" si="310"/>
        <v>6651.88</v>
      </c>
      <c r="O1397" s="134">
        <f t="shared" si="311"/>
        <v>66.056405163853029</v>
      </c>
      <c r="P1397" s="134">
        <f t="shared" si="312"/>
        <v>1.7978054054054053</v>
      </c>
      <c r="R1397" s="149">
        <f t="shared" si="313"/>
        <v>2.2889330050761103</v>
      </c>
      <c r="S1397" s="140">
        <f t="shared" si="315"/>
        <v>66.528003972194639</v>
      </c>
      <c r="T1397" s="151">
        <f t="shared" si="316"/>
        <v>4.7482568977954553E-3</v>
      </c>
    </row>
    <row r="1398" spans="1:20" ht="14.45" x14ac:dyDescent="0.3">
      <c r="A1398" s="60" t="s">
        <v>1</v>
      </c>
      <c r="B1398" s="60" t="s">
        <v>10</v>
      </c>
      <c r="C1398" s="60" t="s">
        <v>26</v>
      </c>
      <c r="D1398" s="60" t="s">
        <v>91</v>
      </c>
      <c r="E1398" s="89">
        <f t="shared" si="317"/>
        <v>41426</v>
      </c>
      <c r="F1398" s="61"/>
      <c r="G1398" s="92">
        <v>5043</v>
      </c>
      <c r="H1398" s="138">
        <v>1599</v>
      </c>
      <c r="I1398" s="138" t="s">
        <v>92</v>
      </c>
      <c r="J1398" s="141">
        <f t="shared" si="314"/>
        <v>0.37</v>
      </c>
      <c r="K1398" s="95">
        <f t="shared" si="307"/>
        <v>50.079443892750746</v>
      </c>
      <c r="L1398" s="95">
        <f t="shared" si="308"/>
        <v>1.3629729729729729</v>
      </c>
      <c r="M1398" s="133">
        <f t="shared" si="309"/>
        <v>591.63</v>
      </c>
      <c r="N1398" s="133">
        <f t="shared" si="310"/>
        <v>5634.63</v>
      </c>
      <c r="O1398" s="134">
        <f t="shared" si="311"/>
        <v>55.954617676266139</v>
      </c>
      <c r="P1398" s="134">
        <f t="shared" si="312"/>
        <v>1.5228729729729731</v>
      </c>
      <c r="R1398" s="149">
        <f t="shared" si="313"/>
        <v>3.4144613560572523</v>
      </c>
      <c r="S1398" s="140">
        <f t="shared" si="315"/>
        <v>55.246011254551469</v>
      </c>
      <c r="T1398" s="151">
        <f t="shared" si="316"/>
        <v>1.3786182959704352E-2</v>
      </c>
    </row>
    <row r="1399" spans="1:20" ht="14.45" x14ac:dyDescent="0.3">
      <c r="A1399" s="60" t="s">
        <v>134</v>
      </c>
      <c r="B1399" s="60" t="s">
        <v>23</v>
      </c>
      <c r="C1399" s="60" t="s">
        <v>26</v>
      </c>
      <c r="D1399" s="60" t="s">
        <v>91</v>
      </c>
      <c r="E1399" s="89">
        <f t="shared" si="317"/>
        <v>41426</v>
      </c>
      <c r="F1399" s="61"/>
      <c r="G1399" s="92">
        <v>4800</v>
      </c>
      <c r="H1399" s="138">
        <v>1851</v>
      </c>
      <c r="I1399" s="138" t="s">
        <v>93</v>
      </c>
      <c r="J1399" s="141">
        <f t="shared" si="314"/>
        <v>0.36</v>
      </c>
      <c r="K1399" s="95">
        <f t="shared" si="307"/>
        <v>47.666335650446868</v>
      </c>
      <c r="L1399" s="95">
        <f t="shared" si="308"/>
        <v>1.2108108108108109</v>
      </c>
      <c r="M1399" s="133">
        <f t="shared" si="309"/>
        <v>666.36</v>
      </c>
      <c r="N1399" s="133">
        <f t="shared" si="310"/>
        <v>5466.36</v>
      </c>
      <c r="O1399" s="134">
        <f t="shared" si="311"/>
        <v>54.283614697120157</v>
      </c>
      <c r="P1399" s="134">
        <f t="shared" si="312"/>
        <v>1.3789016216216217</v>
      </c>
      <c r="R1399" s="149">
        <f t="shared" si="313"/>
        <v>-1.6648947365580646</v>
      </c>
      <c r="S1399" s="140">
        <f t="shared" si="315"/>
        <v>54.835054617676263</v>
      </c>
      <c r="T1399" s="151">
        <f t="shared" si="316"/>
        <v>6.7494762865847324E-3</v>
      </c>
    </row>
    <row r="1400" spans="1:20" ht="14.45" x14ac:dyDescent="0.3">
      <c r="A1400" s="60" t="s">
        <v>134</v>
      </c>
      <c r="B1400" s="60" t="s">
        <v>8</v>
      </c>
      <c r="C1400" s="60" t="s">
        <v>29</v>
      </c>
      <c r="D1400" s="60" t="s">
        <v>91</v>
      </c>
      <c r="E1400" s="89">
        <f t="shared" si="317"/>
        <v>41426</v>
      </c>
      <c r="F1400" s="61"/>
      <c r="G1400" s="92">
        <v>4760</v>
      </c>
      <c r="H1400" s="138">
        <v>1695</v>
      </c>
      <c r="I1400" s="138" t="s">
        <v>93</v>
      </c>
      <c r="J1400" s="141">
        <f t="shared" si="314"/>
        <v>0.36</v>
      </c>
      <c r="K1400" s="95">
        <f t="shared" ref="K1400:K1437" si="318">G1400/100.7</f>
        <v>47.269116186693147</v>
      </c>
      <c r="L1400" s="95">
        <f t="shared" ref="L1400:L1437" si="319">IF(A1400="corn",G1400/(111*2000/56),G1400/(111*2000/60))</f>
        <v>1.2007207207207207</v>
      </c>
      <c r="M1400" s="133">
        <f t="shared" ref="M1400:M1437" si="320">H1400*J1400</f>
        <v>610.19999999999993</v>
      </c>
      <c r="N1400" s="133">
        <f t="shared" ref="N1400:N1437" si="321">G1400+M1400</f>
        <v>5370.2</v>
      </c>
      <c r="O1400" s="134">
        <f t="shared" ref="O1400:O1437" si="322">N1400/100.7</f>
        <v>53.328699106256202</v>
      </c>
      <c r="P1400" s="134">
        <f t="shared" ref="P1400:P1436" si="323">IF(A1400="corn",N1400/(111*2000/56),N1400/(111*2000/60))</f>
        <v>1.3546450450450451</v>
      </c>
      <c r="R1400" s="149">
        <f t="shared" si="313"/>
        <v>-1.5536347720877419</v>
      </c>
      <c r="S1400" s="140">
        <f t="shared" si="315"/>
        <v>53.833664349553125</v>
      </c>
      <c r="T1400" s="151">
        <f t="shared" si="316"/>
        <v>6.2927521973583644E-3</v>
      </c>
    </row>
    <row r="1401" spans="1:20" ht="14.45" x14ac:dyDescent="0.3">
      <c r="A1401" s="60" t="s">
        <v>134</v>
      </c>
      <c r="B1401" s="60" t="s">
        <v>13</v>
      </c>
      <c r="C1401" s="60" t="s">
        <v>7</v>
      </c>
      <c r="D1401" s="60" t="s">
        <v>91</v>
      </c>
      <c r="E1401" s="89">
        <f t="shared" si="317"/>
        <v>41426</v>
      </c>
      <c r="F1401" s="61"/>
      <c r="G1401" s="92">
        <v>2929</v>
      </c>
      <c r="H1401" s="138">
        <v>1006</v>
      </c>
      <c r="I1401" s="138" t="s">
        <v>92</v>
      </c>
      <c r="J1401" s="141">
        <f t="shared" si="314"/>
        <v>0.37</v>
      </c>
      <c r="K1401" s="95">
        <f t="shared" si="318"/>
        <v>29.086395233366435</v>
      </c>
      <c r="L1401" s="95">
        <f t="shared" si="319"/>
        <v>0.73884684684684687</v>
      </c>
      <c r="M1401" s="133">
        <f t="shared" si="320"/>
        <v>372.21999999999997</v>
      </c>
      <c r="N1401" s="133">
        <f t="shared" si="321"/>
        <v>3301.22</v>
      </c>
      <c r="O1401" s="134">
        <f t="shared" si="322"/>
        <v>32.782720953326709</v>
      </c>
      <c r="P1401" s="134">
        <f t="shared" si="323"/>
        <v>0.83274018018018015</v>
      </c>
      <c r="R1401" s="149">
        <f t="shared" si="313"/>
        <v>0.971414239660362</v>
      </c>
      <c r="S1401" s="140">
        <f t="shared" si="315"/>
        <v>33.015822575306181</v>
      </c>
      <c r="T1401" s="151">
        <f t="shared" si="316"/>
        <v>4.0508000934178501E-3</v>
      </c>
    </row>
    <row r="1402" spans="1:20" ht="14.45" x14ac:dyDescent="0.3">
      <c r="A1402" s="60" t="s">
        <v>134</v>
      </c>
      <c r="B1402" s="60" t="s">
        <v>30</v>
      </c>
      <c r="C1402" s="60" t="s">
        <v>9</v>
      </c>
      <c r="D1402" s="60" t="s">
        <v>91</v>
      </c>
      <c r="E1402" s="89">
        <f t="shared" si="317"/>
        <v>41426</v>
      </c>
      <c r="F1402" s="61"/>
      <c r="G1402" s="92">
        <v>3310</v>
      </c>
      <c r="H1402" s="138">
        <v>988</v>
      </c>
      <c r="I1402" s="138" t="s">
        <v>93</v>
      </c>
      <c r="J1402" s="141">
        <f t="shared" si="314"/>
        <v>0.36</v>
      </c>
      <c r="K1402" s="95">
        <f t="shared" si="318"/>
        <v>32.869910625620655</v>
      </c>
      <c r="L1402" s="95">
        <f t="shared" si="319"/>
        <v>0.83495495495495498</v>
      </c>
      <c r="M1402" s="133">
        <f t="shared" si="320"/>
        <v>355.68</v>
      </c>
      <c r="N1402" s="133">
        <f t="shared" si="321"/>
        <v>3665.68</v>
      </c>
      <c r="O1402" s="134">
        <f t="shared" si="322"/>
        <v>36.401986097318769</v>
      </c>
      <c r="P1402" s="134">
        <f t="shared" si="323"/>
        <v>0.92467603603603599</v>
      </c>
      <c r="R1402" s="149">
        <f t="shared" si="313"/>
        <v>-1.3297156454235237</v>
      </c>
      <c r="S1402" s="140">
        <f t="shared" si="315"/>
        <v>36.696325719960278</v>
      </c>
      <c r="T1402" s="151">
        <f t="shared" si="316"/>
        <v>5.3760515404457365E-3</v>
      </c>
    </row>
    <row r="1403" spans="1:20" ht="14.45" x14ac:dyDescent="0.3">
      <c r="A1403" s="60" t="s">
        <v>134</v>
      </c>
      <c r="B1403" s="60" t="s">
        <v>16</v>
      </c>
      <c r="C1403" s="60" t="s">
        <v>11</v>
      </c>
      <c r="D1403" s="60" t="s">
        <v>91</v>
      </c>
      <c r="E1403" s="89">
        <f t="shared" si="317"/>
        <v>41426</v>
      </c>
      <c r="F1403" s="61"/>
      <c r="G1403" s="92">
        <v>3510</v>
      </c>
      <c r="H1403" s="138">
        <v>787</v>
      </c>
      <c r="I1403" s="138" t="s">
        <v>92</v>
      </c>
      <c r="J1403" s="141">
        <f t="shared" si="314"/>
        <v>0.37</v>
      </c>
      <c r="K1403" s="95">
        <f t="shared" si="318"/>
        <v>34.856007944389276</v>
      </c>
      <c r="L1403" s="95">
        <f t="shared" si="319"/>
        <v>0.88540540540540547</v>
      </c>
      <c r="M1403" s="133">
        <f t="shared" si="320"/>
        <v>291.19</v>
      </c>
      <c r="N1403" s="133">
        <f t="shared" si="321"/>
        <v>3801.19</v>
      </c>
      <c r="O1403" s="134">
        <f t="shared" si="322"/>
        <v>37.747666335650443</v>
      </c>
      <c r="P1403" s="134">
        <f t="shared" si="323"/>
        <v>0.95885873873873873</v>
      </c>
      <c r="R1403" s="149">
        <f t="shared" si="313"/>
        <v>1.2929460890512612</v>
      </c>
      <c r="S1403" s="140">
        <f t="shared" si="315"/>
        <v>37.930023171135389</v>
      </c>
      <c r="T1403" s="151">
        <f t="shared" si="316"/>
        <v>2.7548354012101317E-3</v>
      </c>
    </row>
    <row r="1404" spans="1:20" ht="14.45" x14ac:dyDescent="0.3">
      <c r="A1404" s="60" t="s">
        <v>134</v>
      </c>
      <c r="B1404" s="60" t="s">
        <v>23</v>
      </c>
      <c r="C1404" s="60" t="s">
        <v>29</v>
      </c>
      <c r="D1404" s="60" t="s">
        <v>91</v>
      </c>
      <c r="E1404" s="89">
        <f t="shared" si="317"/>
        <v>41426</v>
      </c>
      <c r="F1404" s="61"/>
      <c r="G1404" s="92">
        <v>4800</v>
      </c>
      <c r="H1404" s="138">
        <v>1836</v>
      </c>
      <c r="I1404" s="138" t="s">
        <v>93</v>
      </c>
      <c r="J1404" s="141">
        <f t="shared" si="314"/>
        <v>0.36</v>
      </c>
      <c r="K1404" s="95">
        <f t="shared" si="318"/>
        <v>47.666335650446868</v>
      </c>
      <c r="L1404" s="95">
        <f t="shared" si="319"/>
        <v>1.2108108108108109</v>
      </c>
      <c r="M1404" s="133">
        <f t="shared" si="320"/>
        <v>660.95999999999992</v>
      </c>
      <c r="N1404" s="133">
        <f t="shared" si="321"/>
        <v>5460.96</v>
      </c>
      <c r="O1404" s="134">
        <f t="shared" si="322"/>
        <v>54.229990069513406</v>
      </c>
      <c r="P1404" s="134">
        <f t="shared" si="323"/>
        <v>1.3775394594594594</v>
      </c>
      <c r="R1404" s="149">
        <f t="shared" si="313"/>
        <v>-1.6532319062952494</v>
      </c>
      <c r="S1404" s="140">
        <f t="shared" si="315"/>
        <v>54.776961271102287</v>
      </c>
      <c r="T1404" s="151">
        <f t="shared" si="316"/>
        <v>6.7015615076322366E-3</v>
      </c>
    </row>
    <row r="1405" spans="1:20" ht="14.45" x14ac:dyDescent="0.3">
      <c r="A1405" s="60" t="s">
        <v>134</v>
      </c>
      <c r="B1405" s="60" t="s">
        <v>31</v>
      </c>
      <c r="C1405" s="60" t="s">
        <v>32</v>
      </c>
      <c r="D1405" s="60" t="s">
        <v>91</v>
      </c>
      <c r="E1405" s="89">
        <f t="shared" si="317"/>
        <v>41426</v>
      </c>
      <c r="F1405" s="61"/>
      <c r="G1405" s="92">
        <v>4200</v>
      </c>
      <c r="H1405" s="138">
        <v>1899</v>
      </c>
      <c r="I1405" s="138" t="s">
        <v>93</v>
      </c>
      <c r="J1405" s="141">
        <f t="shared" si="314"/>
        <v>0.36</v>
      </c>
      <c r="K1405" s="95">
        <f t="shared" si="318"/>
        <v>41.708043694141011</v>
      </c>
      <c r="L1405" s="95">
        <f t="shared" si="319"/>
        <v>1.0594594594594595</v>
      </c>
      <c r="M1405" s="133">
        <f t="shared" si="320"/>
        <v>683.64</v>
      </c>
      <c r="N1405" s="133">
        <f t="shared" si="321"/>
        <v>4883.6400000000003</v>
      </c>
      <c r="O1405" s="134">
        <f t="shared" si="322"/>
        <v>48.496921549155914</v>
      </c>
      <c r="P1405" s="134">
        <f t="shared" si="323"/>
        <v>1.2319091891891893</v>
      </c>
      <c r="R1405" s="149">
        <f t="shared" si="313"/>
        <v>-1.9071664868968941</v>
      </c>
      <c r="S1405" s="140">
        <f t="shared" si="315"/>
        <v>49.062661370407149</v>
      </c>
      <c r="T1405" s="151">
        <f t="shared" si="316"/>
        <v>7.7468623983452112E-3</v>
      </c>
    </row>
    <row r="1406" spans="1:20" ht="14.45" x14ac:dyDescent="0.3">
      <c r="A1406" s="60" t="s">
        <v>22</v>
      </c>
      <c r="B1406" s="60" t="s">
        <v>8</v>
      </c>
      <c r="C1406" s="60" t="s">
        <v>29</v>
      </c>
      <c r="D1406" s="60" t="s">
        <v>91</v>
      </c>
      <c r="E1406" s="89">
        <f t="shared" si="317"/>
        <v>41426</v>
      </c>
      <c r="F1406" s="61"/>
      <c r="G1406" s="92">
        <v>5320</v>
      </c>
      <c r="H1406" s="138">
        <v>1695</v>
      </c>
      <c r="I1406" s="138" t="s">
        <v>93</v>
      </c>
      <c r="J1406" s="141">
        <f t="shared" si="314"/>
        <v>0.36</v>
      </c>
      <c r="K1406" s="95">
        <f t="shared" si="318"/>
        <v>52.830188679245282</v>
      </c>
      <c r="L1406" s="95">
        <f t="shared" si="319"/>
        <v>1.4378378378378378</v>
      </c>
      <c r="M1406" s="133">
        <f t="shared" si="320"/>
        <v>610.19999999999993</v>
      </c>
      <c r="N1406" s="133">
        <f t="shared" si="321"/>
        <v>5930.2</v>
      </c>
      <c r="O1406" s="134">
        <f t="shared" si="322"/>
        <v>58.889771598808338</v>
      </c>
      <c r="P1406" s="134">
        <f t="shared" si="323"/>
        <v>1.6027567567567567</v>
      </c>
      <c r="R1406" s="149">
        <f t="shared" si="313"/>
        <v>3.4045632481538579</v>
      </c>
      <c r="S1406" s="140">
        <f t="shared" si="315"/>
        <v>59.39473684210526</v>
      </c>
      <c r="T1406" s="151">
        <f t="shared" si="316"/>
        <v>5.7002093439715296E-3</v>
      </c>
    </row>
    <row r="1407" spans="1:20" ht="14.45" x14ac:dyDescent="0.3">
      <c r="A1407" s="60" t="s">
        <v>22</v>
      </c>
      <c r="B1407" s="60" t="s">
        <v>23</v>
      </c>
      <c r="C1407" s="60" t="s">
        <v>26</v>
      </c>
      <c r="D1407" s="60" t="s">
        <v>91</v>
      </c>
      <c r="E1407" s="89">
        <f t="shared" si="317"/>
        <v>41426</v>
      </c>
      <c r="F1407" s="61"/>
      <c r="G1407" s="92">
        <v>5330</v>
      </c>
      <c r="H1407" s="138">
        <v>1851</v>
      </c>
      <c r="I1407" s="138" t="s">
        <v>93</v>
      </c>
      <c r="J1407" s="141">
        <f t="shared" si="314"/>
        <v>0.36</v>
      </c>
      <c r="K1407" s="95">
        <f t="shared" si="318"/>
        <v>52.929493545183711</v>
      </c>
      <c r="L1407" s="95">
        <f t="shared" si="319"/>
        <v>1.4405405405405405</v>
      </c>
      <c r="M1407" s="133">
        <f t="shared" si="320"/>
        <v>666.36</v>
      </c>
      <c r="N1407" s="133">
        <f t="shared" si="321"/>
        <v>5996.36</v>
      </c>
      <c r="O1407" s="134">
        <f t="shared" si="322"/>
        <v>59.546772591856993</v>
      </c>
      <c r="P1407" s="134">
        <f t="shared" si="323"/>
        <v>1.6206378378378377</v>
      </c>
      <c r="R1407" s="149">
        <f t="shared" si="313"/>
        <v>3.583576182735615</v>
      </c>
      <c r="S1407" s="140">
        <f t="shared" si="315"/>
        <v>60.098212512413092</v>
      </c>
      <c r="T1407" s="151">
        <f t="shared" si="316"/>
        <v>6.154746486623619E-3</v>
      </c>
    </row>
    <row r="1408" spans="1:20" ht="14.45" x14ac:dyDescent="0.3">
      <c r="A1408" s="60" t="s">
        <v>22</v>
      </c>
      <c r="B1408" s="60" t="s">
        <v>33</v>
      </c>
      <c r="C1408" s="60" t="s">
        <v>29</v>
      </c>
      <c r="D1408" s="60" t="s">
        <v>91</v>
      </c>
      <c r="E1408" s="89">
        <f t="shared" si="317"/>
        <v>41426</v>
      </c>
      <c r="F1408" s="61"/>
      <c r="G1408" s="92">
        <v>5230</v>
      </c>
      <c r="H1408" s="138">
        <v>1507</v>
      </c>
      <c r="I1408" s="138" t="s">
        <v>93</v>
      </c>
      <c r="J1408" s="141">
        <f t="shared" si="314"/>
        <v>0.36</v>
      </c>
      <c r="K1408" s="95">
        <f t="shared" si="318"/>
        <v>51.936444885799403</v>
      </c>
      <c r="L1408" s="95">
        <f t="shared" si="319"/>
        <v>1.4135135135135135</v>
      </c>
      <c r="M1408" s="133">
        <f t="shared" si="320"/>
        <v>542.52</v>
      </c>
      <c r="N1408" s="133">
        <f t="shared" si="321"/>
        <v>5772.52</v>
      </c>
      <c r="O1408" s="134">
        <f t="shared" si="322"/>
        <v>57.323932472691162</v>
      </c>
      <c r="P1408" s="134">
        <f t="shared" si="323"/>
        <v>1.5601405405405406</v>
      </c>
      <c r="R1408" s="149">
        <f t="shared" si="313"/>
        <v>4.0493018041158235</v>
      </c>
      <c r="S1408" s="140">
        <f t="shared" si="315"/>
        <v>57.772889771598805</v>
      </c>
      <c r="T1408" s="151">
        <f t="shared" si="316"/>
        <v>5.2076943943852871E-3</v>
      </c>
    </row>
    <row r="1409" spans="1:20" ht="14.45" x14ac:dyDescent="0.3">
      <c r="A1409" s="60" t="s">
        <v>22</v>
      </c>
      <c r="B1409" s="60" t="s">
        <v>31</v>
      </c>
      <c r="C1409" s="60" t="s">
        <v>7</v>
      </c>
      <c r="D1409" s="60" t="s">
        <v>91</v>
      </c>
      <c r="E1409" s="89">
        <f t="shared" si="317"/>
        <v>41426</v>
      </c>
      <c r="F1409" s="61"/>
      <c r="G1409" s="92">
        <v>3950</v>
      </c>
      <c r="H1409" s="138">
        <v>1160</v>
      </c>
      <c r="I1409" s="138" t="s">
        <v>92</v>
      </c>
      <c r="J1409" s="141">
        <f t="shared" si="314"/>
        <v>0.37</v>
      </c>
      <c r="K1409" s="95">
        <f t="shared" si="318"/>
        <v>39.22542204568024</v>
      </c>
      <c r="L1409" s="95">
        <f t="shared" si="319"/>
        <v>1.0675675675675675</v>
      </c>
      <c r="M1409" s="133">
        <f t="shared" si="320"/>
        <v>429.2</v>
      </c>
      <c r="N1409" s="133">
        <f t="shared" si="321"/>
        <v>4379.2</v>
      </c>
      <c r="O1409" s="134">
        <f t="shared" si="322"/>
        <v>43.487586891757694</v>
      </c>
      <c r="P1409" s="134">
        <f t="shared" si="323"/>
        <v>1.1835675675675674</v>
      </c>
      <c r="R1409" s="149">
        <f t="shared" si="313"/>
        <v>4.6253822629969354</v>
      </c>
      <c r="S1409" s="140">
        <f t="shared" si="315"/>
        <v>42.26679907315458</v>
      </c>
      <c r="T1409" s="151">
        <f t="shared" si="316"/>
        <v>-3.0639822659500382E-2</v>
      </c>
    </row>
    <row r="1410" spans="1:20" ht="14.45" x14ac:dyDescent="0.3">
      <c r="A1410" s="60" t="s">
        <v>22</v>
      </c>
      <c r="B1410" s="60" t="s">
        <v>14</v>
      </c>
      <c r="C1410" s="60" t="s">
        <v>24</v>
      </c>
      <c r="D1410" s="60" t="s">
        <v>91</v>
      </c>
      <c r="E1410" s="89">
        <f t="shared" si="317"/>
        <v>41426</v>
      </c>
      <c r="F1410" s="61"/>
      <c r="G1410" s="92">
        <v>2750</v>
      </c>
      <c r="H1410" s="138">
        <v>615</v>
      </c>
      <c r="I1410" s="138" t="s">
        <v>94</v>
      </c>
      <c r="J1410" s="141">
        <f t="shared" si="314"/>
        <v>0.49</v>
      </c>
      <c r="K1410" s="95">
        <f t="shared" si="318"/>
        <v>27.308838133068519</v>
      </c>
      <c r="L1410" s="95">
        <f t="shared" si="319"/>
        <v>0.7432432432432432</v>
      </c>
      <c r="M1410" s="133">
        <f t="shared" si="320"/>
        <v>301.35000000000002</v>
      </c>
      <c r="N1410" s="133">
        <f t="shared" si="321"/>
        <v>3051.35</v>
      </c>
      <c r="O1410" s="134">
        <f t="shared" si="322"/>
        <v>30.301390268123136</v>
      </c>
      <c r="P1410" s="134">
        <f t="shared" si="323"/>
        <v>0.82468918918918921</v>
      </c>
      <c r="R1410" s="149">
        <f t="shared" si="313"/>
        <v>1.7812171650627873</v>
      </c>
      <c r="S1410" s="140">
        <f t="shared" si="315"/>
        <v>30.443892750744784</v>
      </c>
      <c r="T1410" s="151">
        <f t="shared" si="316"/>
        <v>3.3546613428463434E-3</v>
      </c>
    </row>
    <row r="1411" spans="1:20" ht="14.45" x14ac:dyDescent="0.3">
      <c r="A1411" s="85" t="s">
        <v>22</v>
      </c>
      <c r="B1411" s="85" t="s">
        <v>34</v>
      </c>
      <c r="C1411" s="85" t="s">
        <v>26</v>
      </c>
      <c r="D1411" s="85" t="s">
        <v>91</v>
      </c>
      <c r="E1411" s="91">
        <f t="shared" si="317"/>
        <v>41426</v>
      </c>
      <c r="F1411" s="86"/>
      <c r="G1411" s="105">
        <v>4960</v>
      </c>
      <c r="H1411" s="143">
        <v>1637</v>
      </c>
      <c r="I1411" s="143" t="s">
        <v>92</v>
      </c>
      <c r="J1411" s="117">
        <f t="shared" si="314"/>
        <v>0.37</v>
      </c>
      <c r="K1411" s="108">
        <f t="shared" si="318"/>
        <v>49.255213505461768</v>
      </c>
      <c r="L1411" s="108">
        <f t="shared" si="319"/>
        <v>1.3405405405405406</v>
      </c>
      <c r="M1411" s="115">
        <f t="shared" si="320"/>
        <v>605.68999999999994</v>
      </c>
      <c r="N1411" s="115">
        <f t="shared" si="321"/>
        <v>5565.69</v>
      </c>
      <c r="O1411" s="116">
        <f t="shared" si="322"/>
        <v>55.270009930486587</v>
      </c>
      <c r="P1411" s="116">
        <f t="shared" si="323"/>
        <v>1.5042405405405403</v>
      </c>
      <c r="Q1411" s="106"/>
      <c r="R1411" s="152">
        <f t="shared" si="313"/>
        <v>-3.8104652991529875</v>
      </c>
      <c r="S1411" s="108">
        <f>AVERAGE(O1335,O1373,O1411)</f>
        <v>55.897583581595505</v>
      </c>
      <c r="T1411" s="151">
        <f t="shared" si="316"/>
        <v>-1.9140134454913804E-2</v>
      </c>
    </row>
    <row r="1412" spans="1:20" ht="14.45" x14ac:dyDescent="0.3">
      <c r="A1412" s="82" t="s">
        <v>1</v>
      </c>
      <c r="B1412" s="82" t="s">
        <v>2</v>
      </c>
      <c r="C1412" s="82" t="s">
        <v>3</v>
      </c>
      <c r="D1412" s="82" t="s">
        <v>90</v>
      </c>
      <c r="E1412" s="87">
        <v>41456</v>
      </c>
      <c r="F1412" s="83"/>
      <c r="G1412" s="92">
        <v>3191</v>
      </c>
      <c r="H1412" s="52">
        <v>506</v>
      </c>
      <c r="I1412" s="52" t="s">
        <v>92</v>
      </c>
      <c r="J1412" s="157">
        <f>IF(I1412="BNSF",0.35,IF(I1412="CN",0.3048,IF(I1412="CSX",0.47,0.36)))</f>
        <v>0.36</v>
      </c>
      <c r="K1412" s="101">
        <f t="shared" si="318"/>
        <v>31.688182720953325</v>
      </c>
      <c r="L1412" s="101">
        <f t="shared" si="319"/>
        <v>0.86243243243243239</v>
      </c>
      <c r="M1412" s="133">
        <f t="shared" si="320"/>
        <v>182.16</v>
      </c>
      <c r="N1412" s="133">
        <f t="shared" si="321"/>
        <v>3373.16</v>
      </c>
      <c r="O1412" s="134">
        <f t="shared" si="322"/>
        <v>33.497120158887782</v>
      </c>
      <c r="P1412" s="134">
        <f t="shared" si="323"/>
        <v>0.91166486486486487</v>
      </c>
      <c r="Q1412" s="160"/>
      <c r="R1412" s="149">
        <f t="shared" ref="R1412:R1449" si="324">((N1412/N956)-1)*100</f>
        <v>1.1054228062392646</v>
      </c>
    </row>
    <row r="1413" spans="1:20" ht="14.45" x14ac:dyDescent="0.3">
      <c r="A1413" s="82" t="s">
        <v>1</v>
      </c>
      <c r="B1413" s="82" t="s">
        <v>4</v>
      </c>
      <c r="C1413" s="82" t="s">
        <v>5</v>
      </c>
      <c r="D1413" s="82" t="s">
        <v>90</v>
      </c>
      <c r="E1413" s="87">
        <f>E1412</f>
        <v>41456</v>
      </c>
      <c r="F1413" s="83"/>
      <c r="G1413" s="92">
        <v>3543</v>
      </c>
      <c r="H1413" s="52">
        <v>298</v>
      </c>
      <c r="I1413" s="52" t="s">
        <v>93</v>
      </c>
      <c r="J1413" s="157">
        <f t="shared" ref="J1413:J1449" si="325">IF(I1413="BNSF",0.35,IF(I1413="CN",0.3048,IF(I1413="CSX",0.47,0.36)))</f>
        <v>0.35</v>
      </c>
      <c r="K1413" s="101">
        <f t="shared" si="318"/>
        <v>35.183714001986097</v>
      </c>
      <c r="L1413" s="101">
        <f t="shared" si="319"/>
        <v>0.95756756756756756</v>
      </c>
      <c r="M1413" s="133">
        <f t="shared" si="320"/>
        <v>104.3</v>
      </c>
      <c r="N1413" s="133">
        <f t="shared" si="321"/>
        <v>3647.3</v>
      </c>
      <c r="O1413" s="134">
        <f t="shared" si="322"/>
        <v>36.219463753723936</v>
      </c>
      <c r="P1413" s="134">
        <f t="shared" si="323"/>
        <v>0.98575675675675678</v>
      </c>
      <c r="Q1413" s="160"/>
      <c r="R1413" s="149">
        <f t="shared" si="324"/>
        <v>8.2201373187825268</v>
      </c>
    </row>
    <row r="1414" spans="1:20" ht="14.45" x14ac:dyDescent="0.3">
      <c r="A1414" s="82" t="s">
        <v>1</v>
      </c>
      <c r="B1414" s="82" t="s">
        <v>2</v>
      </c>
      <c r="C1414" s="82" t="s">
        <v>6</v>
      </c>
      <c r="D1414" s="82" t="s">
        <v>90</v>
      </c>
      <c r="E1414" s="87">
        <f t="shared" ref="E1414:E1449" si="326">E1413</f>
        <v>41456</v>
      </c>
      <c r="F1414" s="83"/>
      <c r="G1414" s="92">
        <v>6244</v>
      </c>
      <c r="H1414" s="52">
        <v>1530</v>
      </c>
      <c r="I1414" s="52" t="s">
        <v>93</v>
      </c>
      <c r="J1414" s="157">
        <f t="shared" si="325"/>
        <v>0.35</v>
      </c>
      <c r="K1414" s="101">
        <f t="shared" si="318"/>
        <v>62.005958291956304</v>
      </c>
      <c r="L1414" s="101">
        <f t="shared" si="319"/>
        <v>1.6875675675675677</v>
      </c>
      <c r="M1414" s="133">
        <f t="shared" si="320"/>
        <v>535.5</v>
      </c>
      <c r="N1414" s="133">
        <f t="shared" si="321"/>
        <v>6779.5</v>
      </c>
      <c r="O1414" s="134">
        <f t="shared" si="322"/>
        <v>67.323733862959287</v>
      </c>
      <c r="P1414" s="134">
        <f t="shared" si="323"/>
        <v>1.8322972972972973</v>
      </c>
      <c r="R1414" s="149">
        <f t="shared" si="324"/>
        <v>2.8427966808755922</v>
      </c>
    </row>
    <row r="1415" spans="1:20" ht="14.45" x14ac:dyDescent="0.3">
      <c r="A1415" s="82" t="s">
        <v>1</v>
      </c>
      <c r="B1415" s="82" t="s">
        <v>2</v>
      </c>
      <c r="C1415" s="82" t="s">
        <v>7</v>
      </c>
      <c r="D1415" s="82" t="s">
        <v>90</v>
      </c>
      <c r="E1415" s="87">
        <f t="shared" si="326"/>
        <v>41456</v>
      </c>
      <c r="F1415" s="83"/>
      <c r="G1415" s="92">
        <v>3808</v>
      </c>
      <c r="H1415" s="52">
        <v>890</v>
      </c>
      <c r="I1415" s="52" t="s">
        <v>92</v>
      </c>
      <c r="J1415" s="157">
        <f t="shared" si="325"/>
        <v>0.36</v>
      </c>
      <c r="K1415" s="101">
        <f t="shared" si="318"/>
        <v>37.815292949354514</v>
      </c>
      <c r="L1415" s="101">
        <f t="shared" si="319"/>
        <v>1.0291891891891891</v>
      </c>
      <c r="M1415" s="133">
        <f t="shared" si="320"/>
        <v>320.39999999999998</v>
      </c>
      <c r="N1415" s="133">
        <f t="shared" si="321"/>
        <v>4128.3999999999996</v>
      </c>
      <c r="O1415" s="134">
        <f t="shared" si="322"/>
        <v>40.997020854021841</v>
      </c>
      <c r="P1415" s="134">
        <f t="shared" si="323"/>
        <v>1.1157837837837836</v>
      </c>
      <c r="R1415" s="149">
        <f t="shared" si="324"/>
        <v>3.6453103032737522</v>
      </c>
    </row>
    <row r="1416" spans="1:20" ht="14.45" x14ac:dyDescent="0.3">
      <c r="A1416" s="82" t="s">
        <v>1</v>
      </c>
      <c r="B1416" s="82" t="s">
        <v>8</v>
      </c>
      <c r="C1416" s="82" t="s">
        <v>9</v>
      </c>
      <c r="D1416" s="82" t="s">
        <v>90</v>
      </c>
      <c r="E1416" s="87">
        <f t="shared" si="326"/>
        <v>41456</v>
      </c>
      <c r="F1416" s="83"/>
      <c r="G1416" s="92">
        <v>5824</v>
      </c>
      <c r="H1416" s="52">
        <v>1256</v>
      </c>
      <c r="I1416" s="52" t="s">
        <v>93</v>
      </c>
      <c r="J1416" s="157">
        <f t="shared" si="325"/>
        <v>0.35</v>
      </c>
      <c r="K1416" s="101">
        <f t="shared" si="318"/>
        <v>57.835153922542204</v>
      </c>
      <c r="L1416" s="101">
        <f t="shared" si="319"/>
        <v>1.574054054054054</v>
      </c>
      <c r="M1416" s="133">
        <f t="shared" si="320"/>
        <v>439.59999999999997</v>
      </c>
      <c r="N1416" s="133">
        <f t="shared" si="321"/>
        <v>6263.6</v>
      </c>
      <c r="O1416" s="134">
        <f t="shared" si="322"/>
        <v>62.200595829195635</v>
      </c>
      <c r="P1416" s="134">
        <f t="shared" si="323"/>
        <v>1.692864864864865</v>
      </c>
      <c r="R1416" s="149">
        <f t="shared" si="324"/>
        <v>3.7411473205117174</v>
      </c>
    </row>
    <row r="1417" spans="1:20" ht="14.45" x14ac:dyDescent="0.3">
      <c r="A1417" s="82" t="s">
        <v>1</v>
      </c>
      <c r="B1417" s="82" t="s">
        <v>10</v>
      </c>
      <c r="C1417" s="82" t="s">
        <v>9</v>
      </c>
      <c r="D1417" s="82" t="s">
        <v>90</v>
      </c>
      <c r="E1417" s="87">
        <f t="shared" si="326"/>
        <v>41456</v>
      </c>
      <c r="F1417" s="83"/>
      <c r="G1417" s="92">
        <v>4076</v>
      </c>
      <c r="H1417" s="52">
        <v>975</v>
      </c>
      <c r="I1417" s="52" t="s">
        <v>92</v>
      </c>
      <c r="J1417" s="157">
        <f t="shared" si="325"/>
        <v>0.36</v>
      </c>
      <c r="K1417" s="101">
        <f t="shared" si="318"/>
        <v>40.476663356504467</v>
      </c>
      <c r="L1417" s="101">
        <f t="shared" si="319"/>
        <v>1.1016216216216217</v>
      </c>
      <c r="M1417" s="133">
        <f t="shared" si="320"/>
        <v>351</v>
      </c>
      <c r="N1417" s="133">
        <f t="shared" si="321"/>
        <v>4427</v>
      </c>
      <c r="O1417" s="134">
        <f t="shared" si="322"/>
        <v>43.962264150943398</v>
      </c>
      <c r="P1417" s="134">
        <f t="shared" si="323"/>
        <v>1.1964864864864866</v>
      </c>
      <c r="R1417" s="149">
        <f t="shared" si="324"/>
        <v>3.3741973146526494</v>
      </c>
    </row>
    <row r="1418" spans="1:20" ht="14.45" x14ac:dyDescent="0.3">
      <c r="A1418" s="82" t="s">
        <v>1</v>
      </c>
      <c r="B1418" s="82" t="s">
        <v>11</v>
      </c>
      <c r="C1418" s="82" t="s">
        <v>6</v>
      </c>
      <c r="D1418" s="82" t="s">
        <v>90</v>
      </c>
      <c r="E1418" s="87">
        <f t="shared" si="326"/>
        <v>41456</v>
      </c>
      <c r="F1418" s="83"/>
      <c r="G1418" s="92">
        <v>4275</v>
      </c>
      <c r="H1418" s="52">
        <v>1357</v>
      </c>
      <c r="I1418" s="52" t="s">
        <v>92</v>
      </c>
      <c r="J1418" s="157">
        <f t="shared" si="325"/>
        <v>0.36</v>
      </c>
      <c r="K1418" s="101">
        <f t="shared" si="318"/>
        <v>42.452830188679243</v>
      </c>
      <c r="L1418" s="101">
        <f t="shared" si="319"/>
        <v>1.1554054054054055</v>
      </c>
      <c r="M1418" s="133">
        <f t="shared" si="320"/>
        <v>488.52</v>
      </c>
      <c r="N1418" s="133">
        <f t="shared" si="321"/>
        <v>4763.5200000000004</v>
      </c>
      <c r="O1418" s="134">
        <f t="shared" si="322"/>
        <v>47.304071499503479</v>
      </c>
      <c r="P1418" s="134">
        <f t="shared" si="323"/>
        <v>1.2874378378378379</v>
      </c>
      <c r="R1418" s="149">
        <f t="shared" si="324"/>
        <v>2.9358250173954215</v>
      </c>
    </row>
    <row r="1419" spans="1:20" ht="14.45" x14ac:dyDescent="0.3">
      <c r="A1419" s="82" t="s">
        <v>134</v>
      </c>
      <c r="B1419" s="82" t="s">
        <v>13</v>
      </c>
      <c r="C1419" s="82" t="s">
        <v>7</v>
      </c>
      <c r="D1419" s="82" t="s">
        <v>90</v>
      </c>
      <c r="E1419" s="87">
        <f t="shared" si="326"/>
        <v>41456</v>
      </c>
      <c r="F1419" s="83"/>
      <c r="G1419" s="92">
        <v>3110</v>
      </c>
      <c r="H1419" s="52">
        <v>1006</v>
      </c>
      <c r="I1419" s="52" t="s">
        <v>92</v>
      </c>
      <c r="J1419" s="157">
        <f t="shared" si="325"/>
        <v>0.36</v>
      </c>
      <c r="K1419" s="101">
        <f t="shared" si="318"/>
        <v>30.883813306852034</v>
      </c>
      <c r="L1419" s="101">
        <f t="shared" si="319"/>
        <v>0.78450450450450449</v>
      </c>
      <c r="M1419" s="133">
        <f t="shared" si="320"/>
        <v>362.15999999999997</v>
      </c>
      <c r="N1419" s="133">
        <f t="shared" si="321"/>
        <v>3472.16</v>
      </c>
      <c r="O1419" s="134">
        <f t="shared" si="322"/>
        <v>34.480238331678251</v>
      </c>
      <c r="P1419" s="134">
        <f t="shared" si="323"/>
        <v>0.87586018018018019</v>
      </c>
      <c r="R1419" s="149">
        <f t="shared" si="324"/>
        <v>43.461087146941658</v>
      </c>
    </row>
    <row r="1420" spans="1:20" ht="14.45" x14ac:dyDescent="0.3">
      <c r="A1420" s="82" t="s">
        <v>134</v>
      </c>
      <c r="B1420" s="82" t="s">
        <v>14</v>
      </c>
      <c r="C1420" s="82" t="s">
        <v>15</v>
      </c>
      <c r="D1420" s="82" t="s">
        <v>90</v>
      </c>
      <c r="E1420" s="87">
        <f t="shared" si="326"/>
        <v>41456</v>
      </c>
      <c r="F1420" s="83"/>
      <c r="G1420" s="92">
        <v>4508</v>
      </c>
      <c r="H1420" s="52">
        <v>866</v>
      </c>
      <c r="I1420" s="52" t="s">
        <v>94</v>
      </c>
      <c r="J1420" s="157">
        <f t="shared" si="325"/>
        <v>0.47</v>
      </c>
      <c r="K1420" s="101">
        <f t="shared" si="318"/>
        <v>44.766633565044685</v>
      </c>
      <c r="L1420" s="101">
        <f t="shared" si="319"/>
        <v>1.1371531531531531</v>
      </c>
      <c r="M1420" s="133">
        <f t="shared" si="320"/>
        <v>407.02</v>
      </c>
      <c r="N1420" s="133">
        <f t="shared" si="321"/>
        <v>4915.0200000000004</v>
      </c>
      <c r="O1420" s="134">
        <f t="shared" si="322"/>
        <v>48.808540218470711</v>
      </c>
      <c r="P1420" s="134">
        <f t="shared" si="323"/>
        <v>1.2398248648648651</v>
      </c>
      <c r="R1420" s="149">
        <f t="shared" si="324"/>
        <v>2.0772585669782018</v>
      </c>
    </row>
    <row r="1421" spans="1:20" ht="14.45" x14ac:dyDescent="0.3">
      <c r="A1421" s="82" t="s">
        <v>134</v>
      </c>
      <c r="B1421" s="82" t="s">
        <v>16</v>
      </c>
      <c r="C1421" s="82" t="s">
        <v>17</v>
      </c>
      <c r="D1421" s="82" t="s">
        <v>90</v>
      </c>
      <c r="E1421" s="87">
        <f t="shared" si="326"/>
        <v>41456</v>
      </c>
      <c r="F1421" s="83"/>
      <c r="G1421" s="92">
        <v>2006</v>
      </c>
      <c r="H1421" s="52">
        <v>213</v>
      </c>
      <c r="I1421" s="52" t="s">
        <v>92</v>
      </c>
      <c r="J1421" s="157">
        <f t="shared" si="325"/>
        <v>0.36</v>
      </c>
      <c r="K1421" s="101">
        <f t="shared" si="318"/>
        <v>19.920556107249254</v>
      </c>
      <c r="L1421" s="101">
        <f t="shared" si="319"/>
        <v>0.50601801801801805</v>
      </c>
      <c r="M1421" s="133">
        <f t="shared" si="320"/>
        <v>76.679999999999993</v>
      </c>
      <c r="N1421" s="133">
        <f t="shared" si="321"/>
        <v>2082.6799999999998</v>
      </c>
      <c r="O1421" s="134">
        <f t="shared" si="322"/>
        <v>20.682025819265142</v>
      </c>
      <c r="P1421" s="134">
        <f t="shared" si="323"/>
        <v>0.52536072072072071</v>
      </c>
      <c r="R1421" s="149">
        <f t="shared" si="324"/>
        <v>3.3618867063039071</v>
      </c>
    </row>
    <row r="1422" spans="1:20" ht="14.45" x14ac:dyDescent="0.3">
      <c r="A1422" s="82" t="s">
        <v>134</v>
      </c>
      <c r="B1422" s="82" t="s">
        <v>18</v>
      </c>
      <c r="C1422" s="82" t="s">
        <v>19</v>
      </c>
      <c r="D1422" s="82" t="s">
        <v>90</v>
      </c>
      <c r="E1422" s="87">
        <f t="shared" si="326"/>
        <v>41456</v>
      </c>
      <c r="F1422" s="83"/>
      <c r="G1422" s="92">
        <v>3920</v>
      </c>
      <c r="H1422" s="52">
        <v>650</v>
      </c>
      <c r="I1422" s="52" t="s">
        <v>94</v>
      </c>
      <c r="J1422" s="157">
        <f t="shared" si="325"/>
        <v>0.47</v>
      </c>
      <c r="K1422" s="101">
        <f t="shared" si="318"/>
        <v>38.927507447864947</v>
      </c>
      <c r="L1422" s="101">
        <f t="shared" si="319"/>
        <v>0.98882882882882883</v>
      </c>
      <c r="M1422" s="133">
        <f t="shared" si="320"/>
        <v>305.5</v>
      </c>
      <c r="N1422" s="133">
        <f t="shared" si="321"/>
        <v>4225.5</v>
      </c>
      <c r="O1422" s="134">
        <f t="shared" si="322"/>
        <v>41.961271102284009</v>
      </c>
      <c r="P1422" s="134">
        <f t="shared" si="323"/>
        <v>1.0658918918918918</v>
      </c>
      <c r="R1422" s="149">
        <f t="shared" si="324"/>
        <v>1.917510853835025</v>
      </c>
    </row>
    <row r="1423" spans="1:20" ht="14.45" x14ac:dyDescent="0.3">
      <c r="A1423" s="82" t="s">
        <v>134</v>
      </c>
      <c r="B1423" s="82" t="s">
        <v>18</v>
      </c>
      <c r="C1423" s="82" t="s">
        <v>20</v>
      </c>
      <c r="D1423" s="82" t="s">
        <v>90</v>
      </c>
      <c r="E1423" s="87">
        <f t="shared" si="326"/>
        <v>41456</v>
      </c>
      <c r="F1423" s="83"/>
      <c r="G1423" s="92">
        <v>3354</v>
      </c>
      <c r="H1423" s="52">
        <v>417</v>
      </c>
      <c r="I1423" s="52" t="s">
        <v>94</v>
      </c>
      <c r="J1423" s="157">
        <f t="shared" si="325"/>
        <v>0.47</v>
      </c>
      <c r="K1423" s="101">
        <f t="shared" si="318"/>
        <v>33.306852035749749</v>
      </c>
      <c r="L1423" s="101">
        <f t="shared" si="319"/>
        <v>0.84605405405405409</v>
      </c>
      <c r="M1423" s="133">
        <f t="shared" si="320"/>
        <v>195.98999999999998</v>
      </c>
      <c r="N1423" s="133">
        <f t="shared" si="321"/>
        <v>3549.99</v>
      </c>
      <c r="O1423" s="134">
        <f t="shared" si="322"/>
        <v>35.253128103277056</v>
      </c>
      <c r="P1423" s="134">
        <f t="shared" si="323"/>
        <v>0.89549297297297292</v>
      </c>
      <c r="R1423" s="149">
        <f t="shared" si="324"/>
        <v>1.96725549332184</v>
      </c>
    </row>
    <row r="1424" spans="1:20" ht="14.45" x14ac:dyDescent="0.3">
      <c r="A1424" s="82" t="s">
        <v>134</v>
      </c>
      <c r="B1424" s="82" t="s">
        <v>16</v>
      </c>
      <c r="C1424" s="82" t="s">
        <v>21</v>
      </c>
      <c r="D1424" s="82" t="s">
        <v>90</v>
      </c>
      <c r="E1424" s="87">
        <f t="shared" si="326"/>
        <v>41456</v>
      </c>
      <c r="F1424" s="83"/>
      <c r="G1424" s="92">
        <v>3146</v>
      </c>
      <c r="H1424" s="52">
        <v>626</v>
      </c>
      <c r="I1424" s="52" t="s">
        <v>92</v>
      </c>
      <c r="J1424" s="157">
        <f t="shared" si="325"/>
        <v>0.36</v>
      </c>
      <c r="K1424" s="101">
        <f t="shared" si="318"/>
        <v>31.241310824230386</v>
      </c>
      <c r="L1424" s="101">
        <f t="shared" si="319"/>
        <v>0.79358558558558556</v>
      </c>
      <c r="M1424" s="133">
        <f t="shared" si="320"/>
        <v>225.35999999999999</v>
      </c>
      <c r="N1424" s="133">
        <f t="shared" si="321"/>
        <v>3371.36</v>
      </c>
      <c r="O1424" s="134">
        <f t="shared" si="322"/>
        <v>33.479245283018869</v>
      </c>
      <c r="P1424" s="134">
        <f t="shared" si="323"/>
        <v>0.85043315315315315</v>
      </c>
      <c r="R1424" s="149">
        <f t="shared" si="324"/>
        <v>1.7959587907774521</v>
      </c>
    </row>
    <row r="1425" spans="1:18" ht="14.45" x14ac:dyDescent="0.3">
      <c r="A1425" s="82" t="s">
        <v>134</v>
      </c>
      <c r="B1425" s="82" t="s">
        <v>16</v>
      </c>
      <c r="C1425" s="82" t="s">
        <v>6</v>
      </c>
      <c r="D1425" s="82" t="s">
        <v>90</v>
      </c>
      <c r="E1425" s="87">
        <f t="shared" si="326"/>
        <v>41456</v>
      </c>
      <c r="F1425" s="83"/>
      <c r="G1425" s="92">
        <v>5065</v>
      </c>
      <c r="H1425" s="52">
        <v>1823</v>
      </c>
      <c r="I1425" s="52" t="s">
        <v>92</v>
      </c>
      <c r="J1425" s="157">
        <f t="shared" si="325"/>
        <v>0.36</v>
      </c>
      <c r="K1425" s="101">
        <f t="shared" si="318"/>
        <v>50.297914597815293</v>
      </c>
      <c r="L1425" s="101">
        <f t="shared" si="319"/>
        <v>1.2776576576576577</v>
      </c>
      <c r="M1425" s="133">
        <f t="shared" si="320"/>
        <v>656.28</v>
      </c>
      <c r="N1425" s="133">
        <f t="shared" si="321"/>
        <v>5721.28</v>
      </c>
      <c r="O1425" s="134">
        <f t="shared" si="322"/>
        <v>56.81509433962264</v>
      </c>
      <c r="P1425" s="134">
        <f t="shared" si="323"/>
        <v>1.4432057657657658</v>
      </c>
      <c r="R1425" s="149">
        <f t="shared" si="324"/>
        <v>0.7668544174266545</v>
      </c>
    </row>
    <row r="1426" spans="1:18" ht="14.45" x14ac:dyDescent="0.3">
      <c r="A1426" s="82" t="s">
        <v>22</v>
      </c>
      <c r="B1426" s="82" t="s">
        <v>23</v>
      </c>
      <c r="C1426" s="82" t="s">
        <v>7</v>
      </c>
      <c r="D1426" s="82" t="s">
        <v>90</v>
      </c>
      <c r="E1426" s="87">
        <f t="shared" si="326"/>
        <v>41456</v>
      </c>
      <c r="F1426" s="83"/>
      <c r="G1426" s="92">
        <v>3319</v>
      </c>
      <c r="H1426" s="52">
        <v>1295</v>
      </c>
      <c r="I1426" s="52" t="s">
        <v>95</v>
      </c>
      <c r="J1426" s="157">
        <f t="shared" si="325"/>
        <v>0.30480000000000002</v>
      </c>
      <c r="K1426" s="101">
        <f t="shared" si="318"/>
        <v>32.959285004965245</v>
      </c>
      <c r="L1426" s="101">
        <f t="shared" si="319"/>
        <v>0.89702702702702708</v>
      </c>
      <c r="M1426" s="133">
        <f t="shared" si="320"/>
        <v>394.71600000000001</v>
      </c>
      <c r="N1426" s="133">
        <f t="shared" si="321"/>
        <v>3713.7159999999999</v>
      </c>
      <c r="O1426" s="134">
        <f t="shared" si="322"/>
        <v>36.879006951340614</v>
      </c>
      <c r="P1426" s="134">
        <f t="shared" si="323"/>
        <v>1.003707027027027</v>
      </c>
      <c r="R1426" s="149">
        <f t="shared" si="324"/>
        <v>0.75219954476273276</v>
      </c>
    </row>
    <row r="1427" spans="1:18" ht="14.45" x14ac:dyDescent="0.3">
      <c r="A1427" s="82" t="s">
        <v>22</v>
      </c>
      <c r="B1427" s="82" t="s">
        <v>14</v>
      </c>
      <c r="C1427" s="82" t="s">
        <v>24</v>
      </c>
      <c r="D1427" s="82" t="s">
        <v>90</v>
      </c>
      <c r="E1427" s="87">
        <f t="shared" si="326"/>
        <v>41456</v>
      </c>
      <c r="F1427" s="83"/>
      <c r="G1427" s="92">
        <v>3575</v>
      </c>
      <c r="H1427" s="52">
        <v>615</v>
      </c>
      <c r="I1427" s="52" t="s">
        <v>94</v>
      </c>
      <c r="J1427" s="157">
        <f t="shared" si="325"/>
        <v>0.47</v>
      </c>
      <c r="K1427" s="101">
        <f t="shared" si="318"/>
        <v>35.501489572989072</v>
      </c>
      <c r="L1427" s="101">
        <f t="shared" si="319"/>
        <v>0.96621621621621623</v>
      </c>
      <c r="M1427" s="133">
        <f t="shared" si="320"/>
        <v>289.05</v>
      </c>
      <c r="N1427" s="133">
        <f t="shared" si="321"/>
        <v>3864.05</v>
      </c>
      <c r="O1427" s="134">
        <f t="shared" si="322"/>
        <v>38.371896722939425</v>
      </c>
      <c r="P1427" s="134">
        <f t="shared" si="323"/>
        <v>1.0443378378378378</v>
      </c>
      <c r="R1427" s="149">
        <f t="shared" si="324"/>
        <v>1.5652516756472723</v>
      </c>
    </row>
    <row r="1428" spans="1:18" ht="14.45" x14ac:dyDescent="0.3">
      <c r="A1428" s="82" t="s">
        <v>22</v>
      </c>
      <c r="B1428" s="82" t="s">
        <v>18</v>
      </c>
      <c r="C1428" s="82" t="s">
        <v>15</v>
      </c>
      <c r="D1428" s="82" t="s">
        <v>90</v>
      </c>
      <c r="E1428" s="87">
        <f t="shared" si="326"/>
        <v>41456</v>
      </c>
      <c r="F1428" s="83"/>
      <c r="G1428" s="92">
        <v>4578</v>
      </c>
      <c r="H1428" s="52">
        <v>872</v>
      </c>
      <c r="I1428" s="52" t="s">
        <v>94</v>
      </c>
      <c r="J1428" s="157">
        <f t="shared" si="325"/>
        <v>0.47</v>
      </c>
      <c r="K1428" s="101">
        <f t="shared" si="318"/>
        <v>45.4617676266137</v>
      </c>
      <c r="L1428" s="101">
        <f t="shared" si="319"/>
        <v>1.2372972972972973</v>
      </c>
      <c r="M1428" s="133">
        <f t="shared" si="320"/>
        <v>409.84</v>
      </c>
      <c r="N1428" s="133">
        <f t="shared" si="321"/>
        <v>4987.84</v>
      </c>
      <c r="O1428" s="134">
        <f t="shared" si="322"/>
        <v>49.531678252234357</v>
      </c>
      <c r="P1428" s="134">
        <f t="shared" si="323"/>
        <v>1.348064864864865</v>
      </c>
      <c r="R1428" s="149">
        <f t="shared" si="324"/>
        <v>2.0216813254244181</v>
      </c>
    </row>
    <row r="1429" spans="1:18" ht="14.45" x14ac:dyDescent="0.3">
      <c r="A1429" s="82" t="s">
        <v>22</v>
      </c>
      <c r="B1429" s="82" t="s">
        <v>18</v>
      </c>
      <c r="C1429" s="82" t="s">
        <v>24</v>
      </c>
      <c r="D1429" s="82" t="s">
        <v>90</v>
      </c>
      <c r="E1429" s="87">
        <f t="shared" si="326"/>
        <v>41456</v>
      </c>
      <c r="F1429" s="83"/>
      <c r="G1429" s="92">
        <v>3267</v>
      </c>
      <c r="H1429" s="52">
        <v>417</v>
      </c>
      <c r="I1429" s="52" t="s">
        <v>94</v>
      </c>
      <c r="J1429" s="157">
        <f t="shared" si="325"/>
        <v>0.47</v>
      </c>
      <c r="K1429" s="101">
        <f t="shared" si="318"/>
        <v>32.442899702085398</v>
      </c>
      <c r="L1429" s="101">
        <f t="shared" si="319"/>
        <v>0.88297297297297295</v>
      </c>
      <c r="M1429" s="133">
        <f t="shared" si="320"/>
        <v>195.98999999999998</v>
      </c>
      <c r="N1429" s="133">
        <f t="shared" si="321"/>
        <v>3462.99</v>
      </c>
      <c r="O1429" s="134">
        <f t="shared" si="322"/>
        <v>34.389175769612706</v>
      </c>
      <c r="P1429" s="134">
        <f t="shared" si="323"/>
        <v>0.93594324324324318</v>
      </c>
      <c r="R1429" s="149">
        <f t="shared" si="324"/>
        <v>1.9275938189845521</v>
      </c>
    </row>
    <row r="1430" spans="1:18" ht="14.45" x14ac:dyDescent="0.3">
      <c r="A1430" s="82" t="s">
        <v>22</v>
      </c>
      <c r="B1430" s="82" t="s">
        <v>13</v>
      </c>
      <c r="C1430" s="82" t="s">
        <v>7</v>
      </c>
      <c r="D1430" s="82" t="s">
        <v>90</v>
      </c>
      <c r="E1430" s="87">
        <f t="shared" si="326"/>
        <v>41456</v>
      </c>
      <c r="F1430" s="83"/>
      <c r="G1430" s="92">
        <v>3599</v>
      </c>
      <c r="H1430" s="52">
        <v>1006</v>
      </c>
      <c r="I1430" s="52" t="s">
        <v>92</v>
      </c>
      <c r="J1430" s="157">
        <f t="shared" si="325"/>
        <v>0.36</v>
      </c>
      <c r="K1430" s="101">
        <f t="shared" si="318"/>
        <v>35.73982125124131</v>
      </c>
      <c r="L1430" s="101">
        <f t="shared" si="319"/>
        <v>0.97270270270270265</v>
      </c>
      <c r="M1430" s="133">
        <f t="shared" si="320"/>
        <v>362.15999999999997</v>
      </c>
      <c r="N1430" s="133">
        <f t="shared" si="321"/>
        <v>3961.16</v>
      </c>
      <c r="O1430" s="134">
        <f t="shared" si="322"/>
        <v>39.336246276067527</v>
      </c>
      <c r="P1430" s="134">
        <f t="shared" si="323"/>
        <v>1.0705837837837837</v>
      </c>
      <c r="R1430" s="149">
        <f t="shared" si="324"/>
        <v>5.2302166682605788</v>
      </c>
    </row>
    <row r="1431" spans="1:18" ht="14.45" x14ac:dyDescent="0.3">
      <c r="A1431" s="82" t="s">
        <v>1</v>
      </c>
      <c r="B1431" s="82" t="s">
        <v>25</v>
      </c>
      <c r="C1431" s="82" t="s">
        <v>26</v>
      </c>
      <c r="D1431" s="82" t="s">
        <v>91</v>
      </c>
      <c r="E1431" s="87">
        <f t="shared" si="326"/>
        <v>41456</v>
      </c>
      <c r="F1431" s="83"/>
      <c r="G1431" s="92">
        <v>3580</v>
      </c>
      <c r="H1431" s="52">
        <v>880</v>
      </c>
      <c r="I1431" s="52" t="s">
        <v>93</v>
      </c>
      <c r="J1431" s="157">
        <f t="shared" si="325"/>
        <v>0.35</v>
      </c>
      <c r="K1431" s="101">
        <f t="shared" si="318"/>
        <v>35.55114200595829</v>
      </c>
      <c r="L1431" s="101">
        <f t="shared" si="319"/>
        <v>0.96756756756756757</v>
      </c>
      <c r="M1431" s="133">
        <f t="shared" si="320"/>
        <v>308</v>
      </c>
      <c r="N1431" s="133">
        <f t="shared" si="321"/>
        <v>3888</v>
      </c>
      <c r="O1431" s="134">
        <f t="shared" si="322"/>
        <v>38.609731876861964</v>
      </c>
      <c r="P1431" s="134">
        <f t="shared" si="323"/>
        <v>1.0508108108108107</v>
      </c>
      <c r="R1431" s="149">
        <f t="shared" si="324"/>
        <v>5.7498776043083399</v>
      </c>
    </row>
    <row r="1432" spans="1:18" ht="14.45" x14ac:dyDescent="0.3">
      <c r="A1432" s="82" t="s">
        <v>1</v>
      </c>
      <c r="B1432" s="82" t="s">
        <v>2</v>
      </c>
      <c r="C1432" s="82" t="s">
        <v>9</v>
      </c>
      <c r="D1432" s="82" t="s">
        <v>91</v>
      </c>
      <c r="E1432" s="87">
        <f t="shared" si="326"/>
        <v>41456</v>
      </c>
      <c r="F1432" s="83"/>
      <c r="G1432" s="92">
        <v>3798</v>
      </c>
      <c r="H1432" s="52">
        <v>685</v>
      </c>
      <c r="I1432" s="52" t="s">
        <v>93</v>
      </c>
      <c r="J1432" s="157">
        <f t="shared" si="325"/>
        <v>0.35</v>
      </c>
      <c r="K1432" s="101">
        <f t="shared" si="318"/>
        <v>37.715988083416086</v>
      </c>
      <c r="L1432" s="101">
        <f t="shared" si="319"/>
        <v>1.0264864864864864</v>
      </c>
      <c r="M1432" s="133">
        <f t="shared" si="320"/>
        <v>239.74999999999997</v>
      </c>
      <c r="N1432" s="133">
        <f t="shared" si="321"/>
        <v>4037.75</v>
      </c>
      <c r="O1432" s="134">
        <f t="shared" si="322"/>
        <v>40.096822244289967</v>
      </c>
      <c r="P1432" s="134">
        <f t="shared" si="323"/>
        <v>1.0912837837837839</v>
      </c>
      <c r="R1432" s="149">
        <f t="shared" si="324"/>
        <v>3.8662876692947767</v>
      </c>
    </row>
    <row r="1433" spans="1:18" ht="14.45" x14ac:dyDescent="0.3">
      <c r="A1433" s="82" t="s">
        <v>1</v>
      </c>
      <c r="B1433" s="82" t="s">
        <v>27</v>
      </c>
      <c r="C1433" s="82" t="s">
        <v>28</v>
      </c>
      <c r="D1433" s="82" t="s">
        <v>91</v>
      </c>
      <c r="E1433" s="87">
        <f t="shared" si="326"/>
        <v>41456</v>
      </c>
      <c r="F1433" s="83"/>
      <c r="G1433" s="92">
        <v>3771</v>
      </c>
      <c r="H1433" s="52">
        <v>812</v>
      </c>
      <c r="I1433" s="52" t="s">
        <v>94</v>
      </c>
      <c r="J1433" s="157">
        <f t="shared" si="325"/>
        <v>0.47</v>
      </c>
      <c r="K1433" s="101">
        <f t="shared" si="318"/>
        <v>37.447864945382321</v>
      </c>
      <c r="L1433" s="101">
        <f t="shared" si="319"/>
        <v>1.0191891891891891</v>
      </c>
      <c r="M1433" s="133">
        <f t="shared" si="320"/>
        <v>381.64</v>
      </c>
      <c r="N1433" s="133">
        <f t="shared" si="321"/>
        <v>4152.6400000000003</v>
      </c>
      <c r="O1433" s="134">
        <f t="shared" si="322"/>
        <v>41.237735849056605</v>
      </c>
      <c r="P1433" s="134">
        <f t="shared" si="323"/>
        <v>1.1223351351351352</v>
      </c>
      <c r="R1433" s="149">
        <f t="shared" si="324"/>
        <v>2.5090101209577886</v>
      </c>
    </row>
    <row r="1434" spans="1:18" ht="14.45" x14ac:dyDescent="0.3">
      <c r="A1434" s="82" t="s">
        <v>1</v>
      </c>
      <c r="B1434" s="82" t="s">
        <v>4</v>
      </c>
      <c r="C1434" s="82" t="s">
        <v>26</v>
      </c>
      <c r="D1434" s="82" t="s">
        <v>91</v>
      </c>
      <c r="E1434" s="87">
        <f t="shared" si="326"/>
        <v>41456</v>
      </c>
      <c r="F1434" s="83"/>
      <c r="G1434" s="92">
        <v>5061</v>
      </c>
      <c r="H1434" s="52">
        <v>1520</v>
      </c>
      <c r="I1434" s="52" t="s">
        <v>93</v>
      </c>
      <c r="J1434" s="157">
        <f t="shared" si="325"/>
        <v>0.35</v>
      </c>
      <c r="K1434" s="101">
        <f t="shared" si="318"/>
        <v>50.25819265143992</v>
      </c>
      <c r="L1434" s="101">
        <f t="shared" si="319"/>
        <v>1.3678378378378377</v>
      </c>
      <c r="M1434" s="133">
        <f t="shared" si="320"/>
        <v>532</v>
      </c>
      <c r="N1434" s="133">
        <f t="shared" si="321"/>
        <v>5593</v>
      </c>
      <c r="O1434" s="134">
        <f t="shared" si="322"/>
        <v>55.541211519364445</v>
      </c>
      <c r="P1434" s="134">
        <f t="shared" si="323"/>
        <v>1.5116216216216216</v>
      </c>
      <c r="R1434" s="149">
        <f t="shared" si="324"/>
        <v>3.6815957289040524</v>
      </c>
    </row>
    <row r="1435" spans="1:18" ht="14.45" x14ac:dyDescent="0.3">
      <c r="A1435" s="82" t="s">
        <v>1</v>
      </c>
      <c r="B1435" s="82" t="s">
        <v>4</v>
      </c>
      <c r="C1435" s="82" t="s">
        <v>9</v>
      </c>
      <c r="D1435" s="82" t="s">
        <v>91</v>
      </c>
      <c r="E1435" s="87">
        <f t="shared" si="326"/>
        <v>41456</v>
      </c>
      <c r="F1435" s="83"/>
      <c r="G1435" s="92">
        <v>6082</v>
      </c>
      <c r="H1435" s="52">
        <v>1583</v>
      </c>
      <c r="I1435" s="52" t="s">
        <v>93</v>
      </c>
      <c r="J1435" s="157">
        <f t="shared" si="325"/>
        <v>0.35</v>
      </c>
      <c r="K1435" s="101">
        <f t="shared" si="318"/>
        <v>60.397219463753721</v>
      </c>
      <c r="L1435" s="101">
        <f t="shared" si="319"/>
        <v>1.6437837837837839</v>
      </c>
      <c r="M1435" s="133">
        <f t="shared" si="320"/>
        <v>554.04999999999995</v>
      </c>
      <c r="N1435" s="133">
        <f t="shared" si="321"/>
        <v>6636.05</v>
      </c>
      <c r="O1435" s="134">
        <f t="shared" si="322"/>
        <v>65.899205561072492</v>
      </c>
      <c r="P1435" s="134">
        <f t="shared" si="323"/>
        <v>1.7935270270270272</v>
      </c>
      <c r="R1435" s="149">
        <f t="shared" si="324"/>
        <v>3.048895058938994</v>
      </c>
    </row>
    <row r="1436" spans="1:18" ht="14.45" x14ac:dyDescent="0.3">
      <c r="A1436" s="82" t="s">
        <v>1</v>
      </c>
      <c r="B1436" s="82" t="s">
        <v>10</v>
      </c>
      <c r="C1436" s="82" t="s">
        <v>26</v>
      </c>
      <c r="D1436" s="82" t="s">
        <v>91</v>
      </c>
      <c r="E1436" s="87">
        <f t="shared" si="326"/>
        <v>41456</v>
      </c>
      <c r="F1436" s="83"/>
      <c r="G1436" s="92">
        <v>5043</v>
      </c>
      <c r="H1436" s="52">
        <v>1599</v>
      </c>
      <c r="I1436" s="52" t="s">
        <v>92</v>
      </c>
      <c r="J1436" s="157">
        <f t="shared" si="325"/>
        <v>0.36</v>
      </c>
      <c r="K1436" s="101">
        <f t="shared" si="318"/>
        <v>50.079443892750746</v>
      </c>
      <c r="L1436" s="101">
        <f t="shared" si="319"/>
        <v>1.3629729729729729</v>
      </c>
      <c r="M1436" s="133">
        <f t="shared" si="320"/>
        <v>575.64</v>
      </c>
      <c r="N1436" s="133">
        <f t="shared" si="321"/>
        <v>5618.64</v>
      </c>
      <c r="O1436" s="134">
        <f t="shared" si="322"/>
        <v>55.795829195630589</v>
      </c>
      <c r="P1436" s="134">
        <f t="shared" si="323"/>
        <v>1.5185513513513513</v>
      </c>
      <c r="R1436" s="149">
        <f t="shared" si="324"/>
        <v>2.3875559896640253</v>
      </c>
    </row>
    <row r="1437" spans="1:18" ht="14.45" x14ac:dyDescent="0.3">
      <c r="A1437" s="82" t="s">
        <v>134</v>
      </c>
      <c r="B1437" s="82" t="s">
        <v>23</v>
      </c>
      <c r="C1437" s="82" t="s">
        <v>26</v>
      </c>
      <c r="D1437" s="82" t="s">
        <v>91</v>
      </c>
      <c r="E1437" s="87">
        <f t="shared" si="326"/>
        <v>41456</v>
      </c>
      <c r="F1437" s="83"/>
      <c r="G1437" s="92">
        <v>4800</v>
      </c>
      <c r="H1437" s="52">
        <v>1851</v>
      </c>
      <c r="I1437" s="52" t="s">
        <v>93</v>
      </c>
      <c r="J1437" s="157">
        <f t="shared" si="325"/>
        <v>0.35</v>
      </c>
      <c r="K1437" s="101">
        <f t="shared" si="318"/>
        <v>47.666335650446868</v>
      </c>
      <c r="L1437" s="101">
        <f t="shared" si="319"/>
        <v>1.2108108108108109</v>
      </c>
      <c r="M1437" s="133">
        <f t="shared" si="320"/>
        <v>647.84999999999991</v>
      </c>
      <c r="N1437" s="133">
        <f t="shared" si="321"/>
        <v>5447.85</v>
      </c>
      <c r="O1437" s="134">
        <f t="shared" si="322"/>
        <v>54.099801390268127</v>
      </c>
      <c r="P1437" s="134">
        <f>IF(A1437="corn",N1437/(111*2000/56),N1437/(111*2000/60))</f>
        <v>1.3742324324324326</v>
      </c>
      <c r="R1437" s="149">
        <f t="shared" si="324"/>
        <v>-0.67494762865846214</v>
      </c>
    </row>
    <row r="1438" spans="1:18" ht="14.45" x14ac:dyDescent="0.3">
      <c r="A1438" s="82" t="s">
        <v>134</v>
      </c>
      <c r="B1438" s="82" t="s">
        <v>8</v>
      </c>
      <c r="C1438" s="82" t="s">
        <v>29</v>
      </c>
      <c r="D1438" s="82" t="s">
        <v>91</v>
      </c>
      <c r="E1438" s="87">
        <f t="shared" si="326"/>
        <v>41456</v>
      </c>
      <c r="F1438" s="83"/>
      <c r="G1438" s="92">
        <v>4760</v>
      </c>
      <c r="H1438" s="52">
        <v>1695</v>
      </c>
      <c r="I1438" s="52" t="s">
        <v>93</v>
      </c>
      <c r="J1438" s="157">
        <f t="shared" si="325"/>
        <v>0.35</v>
      </c>
      <c r="K1438" s="101">
        <f t="shared" ref="K1438:K1475" si="327">G1438/100.7</f>
        <v>47.269116186693147</v>
      </c>
      <c r="L1438" s="101">
        <f t="shared" ref="L1438:L1475" si="328">IF(A1438="corn",G1438/(111*2000/56),G1438/(111*2000/60))</f>
        <v>1.2007207207207207</v>
      </c>
      <c r="M1438" s="133">
        <f t="shared" ref="M1438:M1475" si="329">H1438*J1438</f>
        <v>593.25</v>
      </c>
      <c r="N1438" s="133">
        <f t="shared" ref="N1438:N1475" si="330">G1438+M1438</f>
        <v>5353.25</v>
      </c>
      <c r="O1438" s="134">
        <f t="shared" ref="O1438:O1475" si="331">N1438/100.7</f>
        <v>53.160377358490564</v>
      </c>
      <c r="P1438" s="134">
        <f t="shared" ref="P1438:P1474" si="332">IF(A1438="corn",N1438/(111*2000/56),N1438/(111*2000/60))</f>
        <v>1.3503693693693695</v>
      </c>
      <c r="R1438" s="149">
        <f t="shared" si="324"/>
        <v>-0.62927521973584755</v>
      </c>
    </row>
    <row r="1439" spans="1:18" ht="14.45" x14ac:dyDescent="0.3">
      <c r="A1439" s="82" t="s">
        <v>134</v>
      </c>
      <c r="B1439" s="82" t="s">
        <v>13</v>
      </c>
      <c r="C1439" s="82" t="s">
        <v>7</v>
      </c>
      <c r="D1439" s="82" t="s">
        <v>91</v>
      </c>
      <c r="E1439" s="87">
        <f t="shared" si="326"/>
        <v>41456</v>
      </c>
      <c r="F1439" s="83"/>
      <c r="G1439" s="92">
        <v>2929</v>
      </c>
      <c r="H1439" s="52">
        <v>1006</v>
      </c>
      <c r="I1439" s="52" t="s">
        <v>92</v>
      </c>
      <c r="J1439" s="157">
        <f t="shared" si="325"/>
        <v>0.36</v>
      </c>
      <c r="K1439" s="101">
        <f t="shared" si="327"/>
        <v>29.086395233366435</v>
      </c>
      <c r="L1439" s="101">
        <f t="shared" si="328"/>
        <v>0.73884684684684687</v>
      </c>
      <c r="M1439" s="133">
        <f t="shared" si="329"/>
        <v>362.15999999999997</v>
      </c>
      <c r="N1439" s="133">
        <f t="shared" si="330"/>
        <v>3291.16</v>
      </c>
      <c r="O1439" s="134">
        <f t="shared" si="331"/>
        <v>32.682820258192649</v>
      </c>
      <c r="P1439" s="134">
        <f t="shared" si="332"/>
        <v>0.83020252252252247</v>
      </c>
      <c r="R1439" s="149">
        <f t="shared" si="324"/>
        <v>1.6015904768960976</v>
      </c>
    </row>
    <row r="1440" spans="1:18" ht="14.45" x14ac:dyDescent="0.3">
      <c r="A1440" s="82" t="s">
        <v>134</v>
      </c>
      <c r="B1440" s="82" t="s">
        <v>30</v>
      </c>
      <c r="C1440" s="82" t="s">
        <v>9</v>
      </c>
      <c r="D1440" s="82" t="s">
        <v>91</v>
      </c>
      <c r="E1440" s="87">
        <f t="shared" si="326"/>
        <v>41456</v>
      </c>
      <c r="F1440" s="83"/>
      <c r="G1440" s="92">
        <v>3310</v>
      </c>
      <c r="H1440" s="52">
        <v>988</v>
      </c>
      <c r="I1440" s="52" t="s">
        <v>93</v>
      </c>
      <c r="J1440" s="157">
        <f t="shared" si="325"/>
        <v>0.35</v>
      </c>
      <c r="K1440" s="101">
        <f t="shared" si="327"/>
        <v>32.869910625620655</v>
      </c>
      <c r="L1440" s="101">
        <f t="shared" si="328"/>
        <v>0.83495495495495498</v>
      </c>
      <c r="M1440" s="133">
        <f t="shared" si="329"/>
        <v>345.79999999999995</v>
      </c>
      <c r="N1440" s="133">
        <f t="shared" si="330"/>
        <v>3655.8</v>
      </c>
      <c r="O1440" s="134">
        <f t="shared" si="331"/>
        <v>36.303872889771597</v>
      </c>
      <c r="P1440" s="134">
        <f t="shared" si="332"/>
        <v>0.92218378378378385</v>
      </c>
      <c r="R1440" s="149">
        <f t="shared" si="324"/>
        <v>-0.53760515404455145</v>
      </c>
    </row>
    <row r="1441" spans="1:18" ht="14.45" x14ac:dyDescent="0.3">
      <c r="A1441" s="82" t="s">
        <v>134</v>
      </c>
      <c r="B1441" s="82" t="s">
        <v>16</v>
      </c>
      <c r="C1441" s="82" t="s">
        <v>11</v>
      </c>
      <c r="D1441" s="82" t="s">
        <v>91</v>
      </c>
      <c r="E1441" s="87">
        <f t="shared" si="326"/>
        <v>41456</v>
      </c>
      <c r="F1441" s="83"/>
      <c r="G1441" s="92">
        <v>3510</v>
      </c>
      <c r="H1441" s="52">
        <v>787</v>
      </c>
      <c r="I1441" s="52" t="s">
        <v>92</v>
      </c>
      <c r="J1441" s="157">
        <f t="shared" si="325"/>
        <v>0.36</v>
      </c>
      <c r="K1441" s="101">
        <f t="shared" si="327"/>
        <v>34.856007944389276</v>
      </c>
      <c r="L1441" s="101">
        <f t="shared" si="328"/>
        <v>0.88540540540540547</v>
      </c>
      <c r="M1441" s="133">
        <f t="shared" si="329"/>
        <v>283.32</v>
      </c>
      <c r="N1441" s="133">
        <f t="shared" si="330"/>
        <v>3793.32</v>
      </c>
      <c r="O1441" s="134">
        <f t="shared" si="331"/>
        <v>37.669513406156902</v>
      </c>
      <c r="P1441" s="134">
        <f t="shared" si="332"/>
        <v>0.95687351351351357</v>
      </c>
      <c r="R1441" s="149">
        <f t="shared" si="324"/>
        <v>1.7232224742964819</v>
      </c>
    </row>
    <row r="1442" spans="1:18" ht="14.45" x14ac:dyDescent="0.3">
      <c r="A1442" s="82" t="s">
        <v>134</v>
      </c>
      <c r="B1442" s="82" t="s">
        <v>23</v>
      </c>
      <c r="C1442" s="82" t="s">
        <v>29</v>
      </c>
      <c r="D1442" s="82" t="s">
        <v>91</v>
      </c>
      <c r="E1442" s="87">
        <f t="shared" si="326"/>
        <v>41456</v>
      </c>
      <c r="F1442" s="83"/>
      <c r="G1442" s="92">
        <v>4800</v>
      </c>
      <c r="H1442" s="52">
        <v>1836</v>
      </c>
      <c r="I1442" s="52" t="s">
        <v>93</v>
      </c>
      <c r="J1442" s="157">
        <f t="shared" si="325"/>
        <v>0.35</v>
      </c>
      <c r="K1442" s="101">
        <f t="shared" si="327"/>
        <v>47.666335650446868</v>
      </c>
      <c r="L1442" s="101">
        <f t="shared" si="328"/>
        <v>1.2108108108108109</v>
      </c>
      <c r="M1442" s="133">
        <f t="shared" si="329"/>
        <v>642.59999999999991</v>
      </c>
      <c r="N1442" s="133">
        <f t="shared" si="330"/>
        <v>5442.6</v>
      </c>
      <c r="O1442" s="134">
        <f t="shared" si="331"/>
        <v>54.047666335650447</v>
      </c>
      <c r="P1442" s="134">
        <f t="shared" si="332"/>
        <v>1.3729081081081083</v>
      </c>
      <c r="R1442" s="149">
        <f t="shared" si="324"/>
        <v>-0.67015615076322366</v>
      </c>
    </row>
    <row r="1443" spans="1:18" ht="14.45" x14ac:dyDescent="0.3">
      <c r="A1443" s="82" t="s">
        <v>134</v>
      </c>
      <c r="B1443" s="82" t="s">
        <v>31</v>
      </c>
      <c r="C1443" s="82" t="s">
        <v>32</v>
      </c>
      <c r="D1443" s="82" t="s">
        <v>91</v>
      </c>
      <c r="E1443" s="87">
        <f t="shared" si="326"/>
        <v>41456</v>
      </c>
      <c r="F1443" s="83"/>
      <c r="G1443" s="92">
        <v>4200</v>
      </c>
      <c r="H1443" s="52">
        <v>1899</v>
      </c>
      <c r="I1443" s="52" t="s">
        <v>93</v>
      </c>
      <c r="J1443" s="157">
        <f t="shared" si="325"/>
        <v>0.35</v>
      </c>
      <c r="K1443" s="101">
        <f t="shared" si="327"/>
        <v>41.708043694141011</v>
      </c>
      <c r="L1443" s="101">
        <f t="shared" si="328"/>
        <v>1.0594594594594595</v>
      </c>
      <c r="M1443" s="133">
        <f t="shared" si="329"/>
        <v>664.65</v>
      </c>
      <c r="N1443" s="133">
        <f t="shared" si="330"/>
        <v>4864.6499999999996</v>
      </c>
      <c r="O1443" s="134">
        <f t="shared" si="331"/>
        <v>48.308341608738822</v>
      </c>
      <c r="P1443" s="134">
        <f>IF(A1443="corn",N1443/(111*2000/56),N1443/(111*2000/60))</f>
        <v>1.2271189189189189</v>
      </c>
      <c r="R1443" s="149">
        <f t="shared" si="324"/>
        <v>-0.77468623983454332</v>
      </c>
    </row>
    <row r="1444" spans="1:18" ht="14.45" x14ac:dyDescent="0.3">
      <c r="A1444" s="82" t="s">
        <v>22</v>
      </c>
      <c r="B1444" s="82" t="s">
        <v>8</v>
      </c>
      <c r="C1444" s="82" t="s">
        <v>29</v>
      </c>
      <c r="D1444" s="82" t="s">
        <v>91</v>
      </c>
      <c r="E1444" s="87">
        <f t="shared" si="326"/>
        <v>41456</v>
      </c>
      <c r="F1444" s="83"/>
      <c r="G1444" s="92">
        <v>5320</v>
      </c>
      <c r="H1444" s="52">
        <v>1695</v>
      </c>
      <c r="I1444" s="52" t="s">
        <v>93</v>
      </c>
      <c r="J1444" s="157">
        <f t="shared" si="325"/>
        <v>0.35</v>
      </c>
      <c r="K1444" s="101">
        <f t="shared" si="327"/>
        <v>52.830188679245282</v>
      </c>
      <c r="L1444" s="101">
        <f t="shared" si="328"/>
        <v>1.4378378378378378</v>
      </c>
      <c r="M1444" s="133">
        <f t="shared" si="329"/>
        <v>593.25</v>
      </c>
      <c r="N1444" s="133">
        <f t="shared" si="330"/>
        <v>5913.25</v>
      </c>
      <c r="O1444" s="134">
        <f t="shared" si="331"/>
        <v>58.721449851042699</v>
      </c>
      <c r="P1444" s="134">
        <f t="shared" si="332"/>
        <v>1.5981756756756758</v>
      </c>
      <c r="R1444" s="149">
        <f t="shared" si="324"/>
        <v>4.3425707807275282</v>
      </c>
    </row>
    <row r="1445" spans="1:18" ht="14.45" x14ac:dyDescent="0.3">
      <c r="A1445" s="82" t="s">
        <v>22</v>
      </c>
      <c r="B1445" s="82" t="s">
        <v>23</v>
      </c>
      <c r="C1445" s="82" t="s">
        <v>26</v>
      </c>
      <c r="D1445" s="82" t="s">
        <v>91</v>
      </c>
      <c r="E1445" s="87">
        <f t="shared" si="326"/>
        <v>41456</v>
      </c>
      <c r="F1445" s="83"/>
      <c r="G1445" s="92">
        <v>5330</v>
      </c>
      <c r="H1445" s="52">
        <v>1851</v>
      </c>
      <c r="I1445" s="52" t="s">
        <v>93</v>
      </c>
      <c r="J1445" s="157">
        <f t="shared" si="325"/>
        <v>0.35</v>
      </c>
      <c r="K1445" s="101">
        <f t="shared" si="327"/>
        <v>52.929493545183711</v>
      </c>
      <c r="L1445" s="101">
        <f t="shared" si="328"/>
        <v>1.4405405405405405</v>
      </c>
      <c r="M1445" s="133">
        <f t="shared" si="329"/>
        <v>647.84999999999991</v>
      </c>
      <c r="N1445" s="133">
        <f t="shared" si="330"/>
        <v>5977.85</v>
      </c>
      <c r="O1445" s="134">
        <f t="shared" si="331"/>
        <v>59.362959285004969</v>
      </c>
      <c r="P1445" s="134">
        <f t="shared" si="332"/>
        <v>1.6156351351351352</v>
      </c>
      <c r="R1445" s="149">
        <f t="shared" si="324"/>
        <v>4.6016794782733461</v>
      </c>
    </row>
    <row r="1446" spans="1:18" ht="14.45" x14ac:dyDescent="0.3">
      <c r="A1446" s="82" t="s">
        <v>22</v>
      </c>
      <c r="B1446" s="82" t="s">
        <v>33</v>
      </c>
      <c r="C1446" s="82" t="s">
        <v>29</v>
      </c>
      <c r="D1446" s="82" t="s">
        <v>91</v>
      </c>
      <c r="E1446" s="87">
        <f t="shared" si="326"/>
        <v>41456</v>
      </c>
      <c r="F1446" s="83"/>
      <c r="G1446" s="92">
        <v>5230</v>
      </c>
      <c r="H1446" s="52">
        <v>1507</v>
      </c>
      <c r="I1446" s="52" t="s">
        <v>93</v>
      </c>
      <c r="J1446" s="157">
        <f t="shared" si="325"/>
        <v>0.35</v>
      </c>
      <c r="K1446" s="101">
        <f t="shared" si="327"/>
        <v>51.936444885799403</v>
      </c>
      <c r="L1446" s="101">
        <f t="shared" si="328"/>
        <v>1.4135135135135135</v>
      </c>
      <c r="M1446" s="133">
        <f t="shared" si="329"/>
        <v>527.44999999999993</v>
      </c>
      <c r="N1446" s="133">
        <f t="shared" si="330"/>
        <v>5757.45</v>
      </c>
      <c r="O1446" s="134">
        <f t="shared" si="331"/>
        <v>57.174280039721943</v>
      </c>
      <c r="P1446" s="134">
        <f t="shared" si="332"/>
        <v>1.5560675675675675</v>
      </c>
      <c r="R1446" s="149">
        <f t="shared" si="324"/>
        <v>4.9176414418715675</v>
      </c>
    </row>
    <row r="1447" spans="1:18" ht="14.45" x14ac:dyDescent="0.3">
      <c r="A1447" s="82" t="s">
        <v>22</v>
      </c>
      <c r="B1447" s="82" t="s">
        <v>31</v>
      </c>
      <c r="C1447" s="82" t="s">
        <v>7</v>
      </c>
      <c r="D1447" s="82" t="s">
        <v>91</v>
      </c>
      <c r="E1447" s="87">
        <f t="shared" si="326"/>
        <v>41456</v>
      </c>
      <c r="F1447" s="83"/>
      <c r="G1447" s="92">
        <v>3950</v>
      </c>
      <c r="H1447" s="52">
        <v>1160</v>
      </c>
      <c r="I1447" s="52" t="s">
        <v>92</v>
      </c>
      <c r="J1447" s="157">
        <f t="shared" si="325"/>
        <v>0.36</v>
      </c>
      <c r="K1447" s="101">
        <f t="shared" si="327"/>
        <v>39.22542204568024</v>
      </c>
      <c r="L1447" s="101">
        <f t="shared" si="328"/>
        <v>1.0675675675675675</v>
      </c>
      <c r="M1447" s="133">
        <f t="shared" si="329"/>
        <v>417.59999999999997</v>
      </c>
      <c r="N1447" s="133">
        <f t="shared" si="330"/>
        <v>4367.6000000000004</v>
      </c>
      <c r="O1447" s="134">
        <f t="shared" si="331"/>
        <v>43.372393247269116</v>
      </c>
      <c r="P1447" s="134">
        <f t="shared" si="332"/>
        <v>1.1804324324324325</v>
      </c>
      <c r="R1447" s="149">
        <f t="shared" si="324"/>
        <v>5.2230895249108622</v>
      </c>
    </row>
    <row r="1448" spans="1:18" ht="14.45" x14ac:dyDescent="0.3">
      <c r="A1448" s="82" t="s">
        <v>22</v>
      </c>
      <c r="B1448" s="82" t="s">
        <v>14</v>
      </c>
      <c r="C1448" s="82" t="s">
        <v>24</v>
      </c>
      <c r="D1448" s="82" t="s">
        <v>91</v>
      </c>
      <c r="E1448" s="87">
        <f t="shared" si="326"/>
        <v>41456</v>
      </c>
      <c r="F1448" s="83"/>
      <c r="G1448" s="92">
        <v>2750</v>
      </c>
      <c r="H1448" s="52">
        <v>615</v>
      </c>
      <c r="I1448" s="52" t="s">
        <v>94</v>
      </c>
      <c r="J1448" s="157">
        <f t="shared" si="325"/>
        <v>0.47</v>
      </c>
      <c r="K1448" s="101">
        <f t="shared" si="327"/>
        <v>27.308838133068519</v>
      </c>
      <c r="L1448" s="101">
        <f t="shared" si="328"/>
        <v>0.7432432432432432</v>
      </c>
      <c r="M1448" s="133">
        <f t="shared" si="329"/>
        <v>289.05</v>
      </c>
      <c r="N1448" s="133">
        <f t="shared" si="330"/>
        <v>3039.05</v>
      </c>
      <c r="O1448" s="134">
        <f t="shared" si="331"/>
        <v>30.179245283018869</v>
      </c>
      <c r="P1448" s="134">
        <f t="shared" si="332"/>
        <v>0.82136486486486493</v>
      </c>
      <c r="R1448" s="149">
        <f t="shared" si="324"/>
        <v>1.998657492867939</v>
      </c>
    </row>
    <row r="1449" spans="1:18" ht="14.45" x14ac:dyDescent="0.3">
      <c r="A1449" s="118" t="s">
        <v>22</v>
      </c>
      <c r="B1449" s="118" t="s">
        <v>34</v>
      </c>
      <c r="C1449" s="118" t="s">
        <v>26</v>
      </c>
      <c r="D1449" s="118" t="s">
        <v>91</v>
      </c>
      <c r="E1449" s="119">
        <f t="shared" si="326"/>
        <v>41456</v>
      </c>
      <c r="F1449" s="120"/>
      <c r="G1449" s="105">
        <v>4960</v>
      </c>
      <c r="H1449" s="158">
        <v>1637</v>
      </c>
      <c r="I1449" s="158" t="s">
        <v>92</v>
      </c>
      <c r="J1449" s="122">
        <f t="shared" si="325"/>
        <v>0.36</v>
      </c>
      <c r="K1449" s="123">
        <f t="shared" si="327"/>
        <v>49.255213505461768</v>
      </c>
      <c r="L1449" s="123">
        <f t="shared" si="328"/>
        <v>1.3405405405405406</v>
      </c>
      <c r="M1449" s="115">
        <f t="shared" si="329"/>
        <v>589.31999999999994</v>
      </c>
      <c r="N1449" s="115">
        <f t="shared" si="330"/>
        <v>5549.32</v>
      </c>
      <c r="O1449" s="116">
        <f t="shared" si="331"/>
        <v>55.107447864945378</v>
      </c>
      <c r="P1449" s="116">
        <f t="shared" si="332"/>
        <v>1.4998162162162161</v>
      </c>
      <c r="Q1449" s="106"/>
      <c r="R1449" s="152">
        <f t="shared" si="324"/>
        <v>3.8797767153494922</v>
      </c>
    </row>
    <row r="1450" spans="1:18" ht="14.45" x14ac:dyDescent="0.3">
      <c r="A1450" s="82" t="s">
        <v>1</v>
      </c>
      <c r="B1450" s="82" t="s">
        <v>2</v>
      </c>
      <c r="C1450" s="82" t="s">
        <v>3</v>
      </c>
      <c r="D1450" s="82" t="s">
        <v>90</v>
      </c>
      <c r="E1450" s="87">
        <v>41487</v>
      </c>
      <c r="F1450" s="83"/>
      <c r="G1450" s="92">
        <v>3191</v>
      </c>
      <c r="H1450" s="52">
        <v>506</v>
      </c>
      <c r="I1450" s="52" t="s">
        <v>92</v>
      </c>
      <c r="J1450" s="157">
        <f>IF(I1450="BNSF",0.34,IF(I1450="CN",0.299,IF(I1450="CSX",0.47,0.35)))</f>
        <v>0.35</v>
      </c>
      <c r="K1450" s="101">
        <f t="shared" si="327"/>
        <v>31.688182720953325</v>
      </c>
      <c r="L1450" s="101">
        <f t="shared" si="328"/>
        <v>0.86243243243243239</v>
      </c>
      <c r="M1450" s="133">
        <f t="shared" si="329"/>
        <v>177.1</v>
      </c>
      <c r="N1450" s="133">
        <f t="shared" si="330"/>
        <v>3368.1</v>
      </c>
      <c r="O1450" s="134">
        <f t="shared" si="331"/>
        <v>33.446871896722939</v>
      </c>
      <c r="P1450" s="134">
        <f t="shared" si="332"/>
        <v>0.91029729729729725</v>
      </c>
      <c r="Q1450" s="160"/>
      <c r="R1450" s="149">
        <f t="shared" ref="R1450:R1513" si="333">((N1450/N994)-1)*100</f>
        <v>1.569944874006346</v>
      </c>
    </row>
    <row r="1451" spans="1:18" ht="14.45" x14ac:dyDescent="0.3">
      <c r="A1451" s="82" t="s">
        <v>1</v>
      </c>
      <c r="B1451" s="82" t="s">
        <v>4</v>
      </c>
      <c r="C1451" s="82" t="s">
        <v>5</v>
      </c>
      <c r="D1451" s="82" t="s">
        <v>90</v>
      </c>
      <c r="E1451" s="87">
        <f>E1450</f>
        <v>41487</v>
      </c>
      <c r="F1451" s="83"/>
      <c r="G1451" s="92">
        <v>3707</v>
      </c>
      <c r="H1451" s="52">
        <v>298</v>
      </c>
      <c r="I1451" s="52" t="s">
        <v>93</v>
      </c>
      <c r="J1451" s="157">
        <f t="shared" ref="J1451:J1487" si="334">IF(I1451="BNSF",0.34,IF(I1451="CN",0.299,IF(I1451="CSX",0.47,0.35)))</f>
        <v>0.34</v>
      </c>
      <c r="K1451" s="101">
        <f t="shared" si="327"/>
        <v>36.812313803376362</v>
      </c>
      <c r="L1451" s="101">
        <f t="shared" si="328"/>
        <v>1.001891891891892</v>
      </c>
      <c r="M1451" s="133">
        <f t="shared" si="329"/>
        <v>101.32000000000001</v>
      </c>
      <c r="N1451" s="133">
        <f t="shared" si="330"/>
        <v>3808.32</v>
      </c>
      <c r="O1451" s="134">
        <f t="shared" si="331"/>
        <v>37.818470705064549</v>
      </c>
      <c r="P1451" s="134">
        <f t="shared" si="332"/>
        <v>1.0292756756756758</v>
      </c>
      <c r="Q1451" s="160"/>
      <c r="R1451" s="149">
        <f t="shared" si="333"/>
        <v>7.5687218248991606</v>
      </c>
    </row>
    <row r="1452" spans="1:18" ht="14.45" x14ac:dyDescent="0.3">
      <c r="A1452" s="82" t="s">
        <v>1</v>
      </c>
      <c r="B1452" s="82" t="s">
        <v>2</v>
      </c>
      <c r="C1452" s="82" t="s">
        <v>6</v>
      </c>
      <c r="D1452" s="82" t="s">
        <v>90</v>
      </c>
      <c r="E1452" s="87">
        <f t="shared" ref="E1452:E1487" si="335">E1451</f>
        <v>41487</v>
      </c>
      <c r="F1452" s="83"/>
      <c r="G1452" s="92">
        <v>6244</v>
      </c>
      <c r="H1452" s="52">
        <v>1530</v>
      </c>
      <c r="I1452" s="52" t="s">
        <v>93</v>
      </c>
      <c r="J1452" s="157">
        <f t="shared" si="334"/>
        <v>0.34</v>
      </c>
      <c r="K1452" s="101">
        <f t="shared" si="327"/>
        <v>62.005958291956304</v>
      </c>
      <c r="L1452" s="101">
        <f t="shared" si="328"/>
        <v>1.6875675675675677</v>
      </c>
      <c r="M1452" s="133">
        <f t="shared" si="329"/>
        <v>520.20000000000005</v>
      </c>
      <c r="N1452" s="133">
        <f t="shared" si="330"/>
        <v>6764.2</v>
      </c>
      <c r="O1452" s="134">
        <f t="shared" si="331"/>
        <v>67.171797418073481</v>
      </c>
      <c r="P1452" s="134">
        <f t="shared" si="332"/>
        <v>1.8281621621621622</v>
      </c>
      <c r="R1452" s="149">
        <f t="shared" si="333"/>
        <v>3.8154582847320206</v>
      </c>
    </row>
    <row r="1453" spans="1:18" ht="14.45" x14ac:dyDescent="0.3">
      <c r="A1453" s="82" t="s">
        <v>1</v>
      </c>
      <c r="B1453" s="82" t="s">
        <v>2</v>
      </c>
      <c r="C1453" s="82" t="s">
        <v>7</v>
      </c>
      <c r="D1453" s="82" t="s">
        <v>90</v>
      </c>
      <c r="E1453" s="87">
        <f t="shared" si="335"/>
        <v>41487</v>
      </c>
      <c r="F1453" s="83"/>
      <c r="G1453" s="92">
        <v>3808</v>
      </c>
      <c r="H1453" s="52">
        <v>890</v>
      </c>
      <c r="I1453" s="52" t="s">
        <v>92</v>
      </c>
      <c r="J1453" s="157">
        <f t="shared" si="334"/>
        <v>0.35</v>
      </c>
      <c r="K1453" s="101">
        <f t="shared" si="327"/>
        <v>37.815292949354514</v>
      </c>
      <c r="L1453" s="101">
        <f t="shared" si="328"/>
        <v>1.0291891891891891</v>
      </c>
      <c r="M1453" s="133">
        <f t="shared" si="329"/>
        <v>311.5</v>
      </c>
      <c r="N1453" s="133">
        <f t="shared" si="330"/>
        <v>4119.5</v>
      </c>
      <c r="O1453" s="134">
        <f t="shared" si="331"/>
        <v>40.908639523336639</v>
      </c>
      <c r="P1453" s="134">
        <f t="shared" si="332"/>
        <v>1.1133783783783784</v>
      </c>
      <c r="R1453" s="149">
        <f t="shared" si="333"/>
        <v>4.3545445333873722</v>
      </c>
    </row>
    <row r="1454" spans="1:18" ht="14.45" x14ac:dyDescent="0.3">
      <c r="A1454" s="82" t="s">
        <v>1</v>
      </c>
      <c r="B1454" s="82" t="s">
        <v>8</v>
      </c>
      <c r="C1454" s="82" t="s">
        <v>9</v>
      </c>
      <c r="D1454" s="82" t="s">
        <v>90</v>
      </c>
      <c r="E1454" s="87">
        <f t="shared" si="335"/>
        <v>41487</v>
      </c>
      <c r="F1454" s="83"/>
      <c r="G1454" s="92">
        <v>5824</v>
      </c>
      <c r="H1454" s="52">
        <v>1256</v>
      </c>
      <c r="I1454" s="52" t="s">
        <v>93</v>
      </c>
      <c r="J1454" s="157">
        <f t="shared" si="334"/>
        <v>0.34</v>
      </c>
      <c r="K1454" s="101">
        <f t="shared" si="327"/>
        <v>57.835153922542204</v>
      </c>
      <c r="L1454" s="101">
        <f t="shared" si="328"/>
        <v>1.574054054054054</v>
      </c>
      <c r="M1454" s="133">
        <f t="shared" si="329"/>
        <v>427.04</v>
      </c>
      <c r="N1454" s="133">
        <f t="shared" si="330"/>
        <v>6251.04</v>
      </c>
      <c r="O1454" s="134">
        <f t="shared" si="331"/>
        <v>62.075868917576962</v>
      </c>
      <c r="P1454" s="134">
        <f t="shared" si="332"/>
        <v>1.6894702702702702</v>
      </c>
      <c r="R1454" s="149">
        <f t="shared" si="333"/>
        <v>4.6213171055009994</v>
      </c>
    </row>
    <row r="1455" spans="1:18" ht="14.45" x14ac:dyDescent="0.3">
      <c r="A1455" s="82" t="s">
        <v>1</v>
      </c>
      <c r="B1455" s="82" t="s">
        <v>10</v>
      </c>
      <c r="C1455" s="82" t="s">
        <v>9</v>
      </c>
      <c r="D1455" s="82" t="s">
        <v>90</v>
      </c>
      <c r="E1455" s="87">
        <f t="shared" si="335"/>
        <v>41487</v>
      </c>
      <c r="F1455" s="83"/>
      <c r="G1455" s="92">
        <v>4076</v>
      </c>
      <c r="H1455" s="52">
        <v>975</v>
      </c>
      <c r="I1455" s="52" t="s">
        <v>92</v>
      </c>
      <c r="J1455" s="157">
        <f t="shared" si="334"/>
        <v>0.35</v>
      </c>
      <c r="K1455" s="101">
        <f t="shared" si="327"/>
        <v>40.476663356504467</v>
      </c>
      <c r="L1455" s="101">
        <f t="shared" si="328"/>
        <v>1.1016216216216217</v>
      </c>
      <c r="M1455" s="133">
        <f t="shared" si="329"/>
        <v>341.25</v>
      </c>
      <c r="N1455" s="133">
        <f t="shared" si="330"/>
        <v>4417.25</v>
      </c>
      <c r="O1455" s="134">
        <f t="shared" si="331"/>
        <v>43.865441906653423</v>
      </c>
      <c r="P1455" s="134">
        <f t="shared" si="332"/>
        <v>1.1938513513513513</v>
      </c>
      <c r="R1455" s="149">
        <f t="shared" si="333"/>
        <v>4.0944974667137979</v>
      </c>
    </row>
    <row r="1456" spans="1:18" ht="14.45" x14ac:dyDescent="0.3">
      <c r="A1456" s="82" t="s">
        <v>1</v>
      </c>
      <c r="B1456" s="82" t="s">
        <v>11</v>
      </c>
      <c r="C1456" s="82" t="s">
        <v>6</v>
      </c>
      <c r="D1456" s="82" t="s">
        <v>90</v>
      </c>
      <c r="E1456" s="87">
        <f t="shared" si="335"/>
        <v>41487</v>
      </c>
      <c r="F1456" s="83"/>
      <c r="G1456" s="92">
        <v>4275</v>
      </c>
      <c r="H1456" s="52">
        <v>1357</v>
      </c>
      <c r="I1456" s="52" t="s">
        <v>92</v>
      </c>
      <c r="J1456" s="157">
        <f t="shared" si="334"/>
        <v>0.35</v>
      </c>
      <c r="K1456" s="101">
        <f t="shared" si="327"/>
        <v>42.452830188679243</v>
      </c>
      <c r="L1456" s="101">
        <f t="shared" si="328"/>
        <v>1.1554054054054055</v>
      </c>
      <c r="M1456" s="133">
        <f t="shared" si="329"/>
        <v>474.95</v>
      </c>
      <c r="N1456" s="133">
        <f t="shared" si="330"/>
        <v>4749.95</v>
      </c>
      <c r="O1456" s="134">
        <f t="shared" si="331"/>
        <v>47.16931479642502</v>
      </c>
      <c r="P1456" s="134">
        <f t="shared" si="332"/>
        <v>1.2837702702702702</v>
      </c>
      <c r="R1456" s="149">
        <f t="shared" si="333"/>
        <v>3.8608206621798313</v>
      </c>
    </row>
    <row r="1457" spans="1:18" ht="14.45" x14ac:dyDescent="0.3">
      <c r="A1457" s="82" t="s">
        <v>134</v>
      </c>
      <c r="B1457" s="82" t="s">
        <v>13</v>
      </c>
      <c r="C1457" s="82" t="s">
        <v>7</v>
      </c>
      <c r="D1457" s="82" t="s">
        <v>90</v>
      </c>
      <c r="E1457" s="87">
        <f t="shared" si="335"/>
        <v>41487</v>
      </c>
      <c r="F1457" s="83"/>
      <c r="G1457" s="92">
        <v>3110</v>
      </c>
      <c r="H1457" s="52">
        <v>1006</v>
      </c>
      <c r="I1457" s="52" t="s">
        <v>92</v>
      </c>
      <c r="J1457" s="157">
        <f t="shared" si="334"/>
        <v>0.35</v>
      </c>
      <c r="K1457" s="101">
        <f t="shared" si="327"/>
        <v>30.883813306852034</v>
      </c>
      <c r="L1457" s="101">
        <f t="shared" si="328"/>
        <v>0.78450450450450449</v>
      </c>
      <c r="M1457" s="133">
        <f t="shared" si="329"/>
        <v>352.09999999999997</v>
      </c>
      <c r="N1457" s="133">
        <f t="shared" si="330"/>
        <v>3462.1</v>
      </c>
      <c r="O1457" s="134">
        <f t="shared" si="331"/>
        <v>34.380337636544191</v>
      </c>
      <c r="P1457" s="134">
        <f t="shared" si="332"/>
        <v>0.87332252252252252</v>
      </c>
      <c r="R1457" s="149">
        <f t="shared" si="333"/>
        <v>2.4277819197406014</v>
      </c>
    </row>
    <row r="1458" spans="1:18" ht="14.45" x14ac:dyDescent="0.3">
      <c r="A1458" s="82" t="s">
        <v>134</v>
      </c>
      <c r="B1458" s="82" t="s">
        <v>14</v>
      </c>
      <c r="C1458" s="82" t="s">
        <v>15</v>
      </c>
      <c r="D1458" s="82" t="s">
        <v>90</v>
      </c>
      <c r="E1458" s="87">
        <f t="shared" si="335"/>
        <v>41487</v>
      </c>
      <c r="F1458" s="83"/>
      <c r="G1458" s="92">
        <v>4508</v>
      </c>
      <c r="H1458" s="52">
        <v>866</v>
      </c>
      <c r="I1458" s="52" t="s">
        <v>94</v>
      </c>
      <c r="J1458" s="157">
        <f t="shared" si="334"/>
        <v>0.47</v>
      </c>
      <c r="K1458" s="101">
        <f t="shared" si="327"/>
        <v>44.766633565044685</v>
      </c>
      <c r="L1458" s="101">
        <f t="shared" si="328"/>
        <v>1.1371531531531531</v>
      </c>
      <c r="M1458" s="133">
        <f t="shared" si="329"/>
        <v>407.02</v>
      </c>
      <c r="N1458" s="133">
        <f t="shared" si="330"/>
        <v>4915.0200000000004</v>
      </c>
      <c r="O1458" s="134">
        <f t="shared" si="331"/>
        <v>48.808540218470711</v>
      </c>
      <c r="P1458" s="134">
        <f t="shared" si="332"/>
        <v>1.2398248648648651</v>
      </c>
      <c r="R1458" s="149">
        <f t="shared" si="333"/>
        <v>3.1908193086768177</v>
      </c>
    </row>
    <row r="1459" spans="1:18" ht="14.45" x14ac:dyDescent="0.3">
      <c r="A1459" s="82" t="s">
        <v>134</v>
      </c>
      <c r="B1459" s="82" t="s">
        <v>16</v>
      </c>
      <c r="C1459" s="82" t="s">
        <v>17</v>
      </c>
      <c r="D1459" s="82" t="s">
        <v>90</v>
      </c>
      <c r="E1459" s="87">
        <f t="shared" si="335"/>
        <v>41487</v>
      </c>
      <c r="F1459" s="83"/>
      <c r="G1459" s="92">
        <v>2006</v>
      </c>
      <c r="H1459" s="52">
        <v>213</v>
      </c>
      <c r="I1459" s="52" t="s">
        <v>92</v>
      </c>
      <c r="J1459" s="157">
        <f t="shared" si="334"/>
        <v>0.35</v>
      </c>
      <c r="K1459" s="101">
        <f t="shared" si="327"/>
        <v>19.920556107249254</v>
      </c>
      <c r="L1459" s="101">
        <f t="shared" si="328"/>
        <v>0.50601801801801805</v>
      </c>
      <c r="M1459" s="133">
        <f t="shared" si="329"/>
        <v>74.55</v>
      </c>
      <c r="N1459" s="133">
        <f t="shared" si="330"/>
        <v>2080.5500000000002</v>
      </c>
      <c r="O1459" s="134">
        <f t="shared" si="331"/>
        <v>20.660873882820258</v>
      </c>
      <c r="P1459" s="134">
        <f t="shared" si="332"/>
        <v>0.52482342342342347</v>
      </c>
      <c r="R1459" s="149">
        <f t="shared" si="333"/>
        <v>3.6946402049421456</v>
      </c>
    </row>
    <row r="1460" spans="1:18" ht="14.45" x14ac:dyDescent="0.3">
      <c r="A1460" s="82" t="s">
        <v>134</v>
      </c>
      <c r="B1460" s="82" t="s">
        <v>18</v>
      </c>
      <c r="C1460" s="82" t="s">
        <v>19</v>
      </c>
      <c r="D1460" s="82" t="s">
        <v>90</v>
      </c>
      <c r="E1460" s="87">
        <f t="shared" si="335"/>
        <v>41487</v>
      </c>
      <c r="F1460" s="83"/>
      <c r="G1460" s="92">
        <v>3920</v>
      </c>
      <c r="H1460" s="52">
        <v>650</v>
      </c>
      <c r="I1460" s="52" t="s">
        <v>94</v>
      </c>
      <c r="J1460" s="157">
        <f t="shared" si="334"/>
        <v>0.47</v>
      </c>
      <c r="K1460" s="101">
        <f t="shared" si="327"/>
        <v>38.927507447864947</v>
      </c>
      <c r="L1460" s="101">
        <f t="shared" si="328"/>
        <v>0.98882882882882883</v>
      </c>
      <c r="M1460" s="133">
        <f t="shared" si="329"/>
        <v>305.5</v>
      </c>
      <c r="N1460" s="133">
        <f t="shared" si="330"/>
        <v>4225.5</v>
      </c>
      <c r="O1460" s="134">
        <f t="shared" si="331"/>
        <v>41.961271102284009</v>
      </c>
      <c r="P1460" s="134">
        <f t="shared" si="332"/>
        <v>1.0658918918918918</v>
      </c>
      <c r="R1460" s="149">
        <f t="shared" si="333"/>
        <v>2.8853177501826144</v>
      </c>
    </row>
    <row r="1461" spans="1:18" ht="14.45" x14ac:dyDescent="0.3">
      <c r="A1461" s="82" t="s">
        <v>134</v>
      </c>
      <c r="B1461" s="82" t="s">
        <v>18</v>
      </c>
      <c r="C1461" s="82" t="s">
        <v>20</v>
      </c>
      <c r="D1461" s="82" t="s">
        <v>90</v>
      </c>
      <c r="E1461" s="87">
        <f t="shared" si="335"/>
        <v>41487</v>
      </c>
      <c r="F1461" s="83"/>
      <c r="G1461" s="92">
        <v>3354</v>
      </c>
      <c r="H1461" s="52">
        <v>417</v>
      </c>
      <c r="I1461" s="52" t="s">
        <v>94</v>
      </c>
      <c r="J1461" s="157">
        <f t="shared" si="334"/>
        <v>0.47</v>
      </c>
      <c r="K1461" s="101">
        <f t="shared" si="327"/>
        <v>33.306852035749749</v>
      </c>
      <c r="L1461" s="101">
        <f t="shared" si="328"/>
        <v>0.84605405405405409</v>
      </c>
      <c r="M1461" s="133">
        <f t="shared" si="329"/>
        <v>195.98999999999998</v>
      </c>
      <c r="N1461" s="133">
        <f t="shared" si="330"/>
        <v>3549.99</v>
      </c>
      <c r="O1461" s="134">
        <f t="shared" si="331"/>
        <v>35.253128103277056</v>
      </c>
      <c r="P1461" s="134">
        <f t="shared" si="332"/>
        <v>0.89549297297297292</v>
      </c>
      <c r="R1461" s="149">
        <f t="shared" si="333"/>
        <v>2.7053534231356702</v>
      </c>
    </row>
    <row r="1462" spans="1:18" ht="14.45" x14ac:dyDescent="0.3">
      <c r="A1462" s="82" t="s">
        <v>134</v>
      </c>
      <c r="B1462" s="82" t="s">
        <v>16</v>
      </c>
      <c r="C1462" s="82" t="s">
        <v>21</v>
      </c>
      <c r="D1462" s="82" t="s">
        <v>90</v>
      </c>
      <c r="E1462" s="87">
        <f t="shared" si="335"/>
        <v>41487</v>
      </c>
      <c r="F1462" s="83"/>
      <c r="G1462" s="92">
        <v>3146</v>
      </c>
      <c r="H1462" s="52">
        <v>626</v>
      </c>
      <c r="I1462" s="52" t="s">
        <v>92</v>
      </c>
      <c r="J1462" s="157">
        <f t="shared" si="334"/>
        <v>0.35</v>
      </c>
      <c r="K1462" s="101">
        <f t="shared" si="327"/>
        <v>31.241310824230386</v>
      </c>
      <c r="L1462" s="101">
        <f t="shared" si="328"/>
        <v>0.79358558558558556</v>
      </c>
      <c r="M1462" s="133">
        <f t="shared" si="329"/>
        <v>219.1</v>
      </c>
      <c r="N1462" s="133">
        <f t="shared" si="330"/>
        <v>3365.1</v>
      </c>
      <c r="O1462" s="134">
        <f t="shared" si="331"/>
        <v>33.417080436941411</v>
      </c>
      <c r="P1462" s="134">
        <f t="shared" si="332"/>
        <v>0.84885405405405401</v>
      </c>
      <c r="R1462" s="149">
        <f t="shared" si="333"/>
        <v>2.3810103321122877</v>
      </c>
    </row>
    <row r="1463" spans="1:18" ht="14.45" x14ac:dyDescent="0.3">
      <c r="A1463" s="82" t="s">
        <v>134</v>
      </c>
      <c r="B1463" s="82" t="s">
        <v>16</v>
      </c>
      <c r="C1463" s="82" t="s">
        <v>6</v>
      </c>
      <c r="D1463" s="82" t="s">
        <v>90</v>
      </c>
      <c r="E1463" s="87">
        <f t="shared" si="335"/>
        <v>41487</v>
      </c>
      <c r="F1463" s="83"/>
      <c r="G1463" s="92">
        <v>5065</v>
      </c>
      <c r="H1463" s="52">
        <v>1823</v>
      </c>
      <c r="I1463" s="52" t="s">
        <v>92</v>
      </c>
      <c r="J1463" s="157">
        <f t="shared" si="334"/>
        <v>0.35</v>
      </c>
      <c r="K1463" s="101">
        <f t="shared" si="327"/>
        <v>50.297914597815293</v>
      </c>
      <c r="L1463" s="101">
        <f t="shared" si="328"/>
        <v>1.2776576576576577</v>
      </c>
      <c r="M1463" s="133">
        <f t="shared" si="329"/>
        <v>638.04999999999995</v>
      </c>
      <c r="N1463" s="133">
        <f t="shared" si="330"/>
        <v>5703.05</v>
      </c>
      <c r="O1463" s="134">
        <f t="shared" si="331"/>
        <v>56.634061569016879</v>
      </c>
      <c r="P1463" s="134">
        <f t="shared" si="332"/>
        <v>1.4386072072072074</v>
      </c>
      <c r="R1463" s="149">
        <f t="shared" si="333"/>
        <v>1.7525986561566675</v>
      </c>
    </row>
    <row r="1464" spans="1:18" ht="14.45" x14ac:dyDescent="0.3">
      <c r="A1464" s="82" t="s">
        <v>22</v>
      </c>
      <c r="B1464" s="82" t="s">
        <v>23</v>
      </c>
      <c r="C1464" s="82" t="s">
        <v>7</v>
      </c>
      <c r="D1464" s="82" t="s">
        <v>90</v>
      </c>
      <c r="E1464" s="87">
        <f t="shared" si="335"/>
        <v>41487</v>
      </c>
      <c r="F1464" s="83"/>
      <c r="G1464" s="92">
        <v>3399</v>
      </c>
      <c r="H1464" s="52">
        <v>1295</v>
      </c>
      <c r="I1464" s="52" t="s">
        <v>95</v>
      </c>
      <c r="J1464" s="157">
        <f t="shared" si="334"/>
        <v>0.29899999999999999</v>
      </c>
      <c r="K1464" s="101">
        <f t="shared" si="327"/>
        <v>33.753723932472688</v>
      </c>
      <c r="L1464" s="101">
        <f t="shared" si="328"/>
        <v>0.9186486486486487</v>
      </c>
      <c r="M1464" s="133">
        <f t="shared" si="329"/>
        <v>387.20499999999998</v>
      </c>
      <c r="N1464" s="133">
        <f t="shared" si="330"/>
        <v>3786.2049999999999</v>
      </c>
      <c r="O1464" s="134">
        <f t="shared" si="331"/>
        <v>37.598857994041708</v>
      </c>
      <c r="P1464" s="134">
        <f t="shared" si="332"/>
        <v>1.0232986486486486</v>
      </c>
      <c r="R1464" s="149">
        <f t="shared" si="333"/>
        <v>8.2103362426981121</v>
      </c>
    </row>
    <row r="1465" spans="1:18" ht="14.45" x14ac:dyDescent="0.3">
      <c r="A1465" s="82" t="s">
        <v>22</v>
      </c>
      <c r="B1465" s="82" t="s">
        <v>14</v>
      </c>
      <c r="C1465" s="82" t="s">
        <v>24</v>
      </c>
      <c r="D1465" s="82" t="s">
        <v>90</v>
      </c>
      <c r="E1465" s="87">
        <f t="shared" si="335"/>
        <v>41487</v>
      </c>
      <c r="F1465" s="83"/>
      <c r="G1465" s="92">
        <v>3575</v>
      </c>
      <c r="H1465" s="52">
        <v>615</v>
      </c>
      <c r="I1465" s="52" t="s">
        <v>94</v>
      </c>
      <c r="J1465" s="157">
        <f t="shared" si="334"/>
        <v>0.47</v>
      </c>
      <c r="K1465" s="101">
        <f t="shared" si="327"/>
        <v>35.501489572989072</v>
      </c>
      <c r="L1465" s="101">
        <f t="shared" si="328"/>
        <v>0.96621621621621623</v>
      </c>
      <c r="M1465" s="133">
        <f t="shared" si="329"/>
        <v>289.05</v>
      </c>
      <c r="N1465" s="133">
        <f t="shared" si="330"/>
        <v>3864.05</v>
      </c>
      <c r="O1465" s="134">
        <f t="shared" si="331"/>
        <v>38.371896722939425</v>
      </c>
      <c r="P1465" s="134">
        <f t="shared" si="332"/>
        <v>1.0443378378378378</v>
      </c>
      <c r="R1465" s="149">
        <f t="shared" si="333"/>
        <v>2.5599851364263904</v>
      </c>
    </row>
    <row r="1466" spans="1:18" ht="14.45" x14ac:dyDescent="0.3">
      <c r="A1466" s="82" t="s">
        <v>22</v>
      </c>
      <c r="B1466" s="82" t="s">
        <v>18</v>
      </c>
      <c r="C1466" s="82" t="s">
        <v>15</v>
      </c>
      <c r="D1466" s="82" t="s">
        <v>90</v>
      </c>
      <c r="E1466" s="87">
        <f t="shared" si="335"/>
        <v>41487</v>
      </c>
      <c r="F1466" s="83"/>
      <c r="G1466" s="92">
        <v>4578</v>
      </c>
      <c r="H1466" s="52">
        <v>872</v>
      </c>
      <c r="I1466" s="52" t="s">
        <v>94</v>
      </c>
      <c r="J1466" s="157">
        <f t="shared" si="334"/>
        <v>0.47</v>
      </c>
      <c r="K1466" s="101">
        <f t="shared" si="327"/>
        <v>45.4617676266137</v>
      </c>
      <c r="L1466" s="101">
        <f t="shared" si="328"/>
        <v>1.2372972972972973</v>
      </c>
      <c r="M1466" s="133">
        <f t="shared" si="329"/>
        <v>409.84</v>
      </c>
      <c r="N1466" s="133">
        <f t="shared" si="330"/>
        <v>4987.84</v>
      </c>
      <c r="O1466" s="134">
        <f t="shared" si="331"/>
        <v>49.531678252234357</v>
      </c>
      <c r="P1466" s="134">
        <f t="shared" si="332"/>
        <v>1.348064864864865</v>
      </c>
      <c r="R1466" s="149">
        <f t="shared" si="333"/>
        <v>3.1252842859151198</v>
      </c>
    </row>
    <row r="1467" spans="1:18" ht="14.45" x14ac:dyDescent="0.3">
      <c r="A1467" s="82" t="s">
        <v>22</v>
      </c>
      <c r="B1467" s="82" t="s">
        <v>18</v>
      </c>
      <c r="C1467" s="82" t="s">
        <v>24</v>
      </c>
      <c r="D1467" s="82" t="s">
        <v>90</v>
      </c>
      <c r="E1467" s="87">
        <f t="shared" si="335"/>
        <v>41487</v>
      </c>
      <c r="F1467" s="83"/>
      <c r="G1467" s="92">
        <v>3267</v>
      </c>
      <c r="H1467" s="52">
        <v>417</v>
      </c>
      <c r="I1467" s="52" t="s">
        <v>94</v>
      </c>
      <c r="J1467" s="157">
        <f t="shared" si="334"/>
        <v>0.47</v>
      </c>
      <c r="K1467" s="101">
        <f t="shared" si="327"/>
        <v>32.442899702085398</v>
      </c>
      <c r="L1467" s="101">
        <f t="shared" si="328"/>
        <v>0.88297297297297295</v>
      </c>
      <c r="M1467" s="133">
        <f t="shared" si="329"/>
        <v>195.98999999999998</v>
      </c>
      <c r="N1467" s="133">
        <f t="shared" si="330"/>
        <v>3462.99</v>
      </c>
      <c r="O1467" s="134">
        <f t="shared" si="331"/>
        <v>34.389175769612706</v>
      </c>
      <c r="P1467" s="134">
        <f t="shared" si="332"/>
        <v>0.93594324324324318</v>
      </c>
      <c r="R1467" s="149">
        <f t="shared" si="333"/>
        <v>2.6837816680899351</v>
      </c>
    </row>
    <row r="1468" spans="1:18" ht="14.45" x14ac:dyDescent="0.3">
      <c r="A1468" s="82" t="s">
        <v>22</v>
      </c>
      <c r="B1468" s="82" t="s">
        <v>13</v>
      </c>
      <c r="C1468" s="82" t="s">
        <v>7</v>
      </c>
      <c r="D1468" s="82" t="s">
        <v>90</v>
      </c>
      <c r="E1468" s="87">
        <f t="shared" si="335"/>
        <v>41487</v>
      </c>
      <c r="F1468" s="83"/>
      <c r="G1468" s="92">
        <v>3599</v>
      </c>
      <c r="H1468" s="52">
        <v>1006</v>
      </c>
      <c r="I1468" s="52" t="s">
        <v>92</v>
      </c>
      <c r="J1468" s="157">
        <f t="shared" si="334"/>
        <v>0.35</v>
      </c>
      <c r="K1468" s="101">
        <f t="shared" si="327"/>
        <v>35.73982125124131</v>
      </c>
      <c r="L1468" s="101">
        <f t="shared" si="328"/>
        <v>0.97270270270270265</v>
      </c>
      <c r="M1468" s="133">
        <f t="shared" si="329"/>
        <v>352.09999999999997</v>
      </c>
      <c r="N1468" s="133">
        <f t="shared" si="330"/>
        <v>3951.1</v>
      </c>
      <c r="O1468" s="134">
        <f t="shared" si="331"/>
        <v>39.236345580933467</v>
      </c>
      <c r="P1468" s="134">
        <f t="shared" si="332"/>
        <v>1.0678648648648648</v>
      </c>
      <c r="R1468" s="149">
        <f t="shared" si="333"/>
        <v>6.0971418137291788</v>
      </c>
    </row>
    <row r="1469" spans="1:18" ht="14.45" x14ac:dyDescent="0.3">
      <c r="A1469" s="82" t="s">
        <v>1</v>
      </c>
      <c r="B1469" s="82" t="s">
        <v>25</v>
      </c>
      <c r="C1469" s="82" t="s">
        <v>26</v>
      </c>
      <c r="D1469" s="82" t="s">
        <v>91</v>
      </c>
      <c r="E1469" s="87">
        <f t="shared" si="335"/>
        <v>41487</v>
      </c>
      <c r="F1469" s="83"/>
      <c r="G1469" s="92">
        <v>3678</v>
      </c>
      <c r="H1469" s="52">
        <v>880</v>
      </c>
      <c r="I1469" s="52" t="s">
        <v>93</v>
      </c>
      <c r="J1469" s="157">
        <f t="shared" si="334"/>
        <v>0.34</v>
      </c>
      <c r="K1469" s="101">
        <f t="shared" si="327"/>
        <v>36.524329692154915</v>
      </c>
      <c r="L1469" s="101">
        <f t="shared" si="328"/>
        <v>0.994054054054054</v>
      </c>
      <c r="M1469" s="133">
        <f t="shared" si="329"/>
        <v>299.20000000000005</v>
      </c>
      <c r="N1469" s="133">
        <f t="shared" si="330"/>
        <v>3977.2</v>
      </c>
      <c r="O1469" s="134">
        <f t="shared" si="331"/>
        <v>39.495531281032768</v>
      </c>
      <c r="P1469" s="134">
        <f t="shared" si="332"/>
        <v>1.0749189189189188</v>
      </c>
      <c r="R1469" s="149">
        <f t="shared" si="333"/>
        <v>5.7035028969329771</v>
      </c>
    </row>
    <row r="1470" spans="1:18" ht="14.45" x14ac:dyDescent="0.3">
      <c r="A1470" s="82" t="s">
        <v>1</v>
      </c>
      <c r="B1470" s="82" t="s">
        <v>2</v>
      </c>
      <c r="C1470" s="82" t="s">
        <v>9</v>
      </c>
      <c r="D1470" s="82" t="s">
        <v>91</v>
      </c>
      <c r="E1470" s="87">
        <f t="shared" si="335"/>
        <v>41487</v>
      </c>
      <c r="F1470" s="83"/>
      <c r="G1470" s="92">
        <v>3798</v>
      </c>
      <c r="H1470" s="52">
        <v>685</v>
      </c>
      <c r="I1470" s="52" t="s">
        <v>93</v>
      </c>
      <c r="J1470" s="157">
        <f t="shared" si="334"/>
        <v>0.34</v>
      </c>
      <c r="K1470" s="101">
        <f t="shared" si="327"/>
        <v>37.715988083416086</v>
      </c>
      <c r="L1470" s="101">
        <f t="shared" si="328"/>
        <v>1.0264864864864864</v>
      </c>
      <c r="M1470" s="133">
        <f t="shared" si="329"/>
        <v>232.9</v>
      </c>
      <c r="N1470" s="133">
        <f t="shared" si="330"/>
        <v>4030.9</v>
      </c>
      <c r="O1470" s="134">
        <f t="shared" si="331"/>
        <v>40.028798411122146</v>
      </c>
      <c r="P1470" s="134">
        <f t="shared" si="332"/>
        <v>1.0894324324324325</v>
      </c>
      <c r="R1470" s="149">
        <f t="shared" si="333"/>
        <v>4.6117512716703057</v>
      </c>
    </row>
    <row r="1471" spans="1:18" ht="14.45" x14ac:dyDescent="0.3">
      <c r="A1471" s="82" t="s">
        <v>1</v>
      </c>
      <c r="B1471" s="82" t="s">
        <v>27</v>
      </c>
      <c r="C1471" s="82" t="s">
        <v>28</v>
      </c>
      <c r="D1471" s="82" t="s">
        <v>91</v>
      </c>
      <c r="E1471" s="87">
        <f t="shared" si="335"/>
        <v>41487</v>
      </c>
      <c r="F1471" s="83"/>
      <c r="G1471" s="92">
        <v>3771</v>
      </c>
      <c r="H1471" s="52">
        <v>812</v>
      </c>
      <c r="I1471" s="52" t="s">
        <v>94</v>
      </c>
      <c r="J1471" s="157">
        <f t="shared" si="334"/>
        <v>0.47</v>
      </c>
      <c r="K1471" s="101">
        <f t="shared" si="327"/>
        <v>37.447864945382321</v>
      </c>
      <c r="L1471" s="101">
        <f t="shared" si="328"/>
        <v>1.0191891891891891</v>
      </c>
      <c r="M1471" s="133">
        <f t="shared" si="329"/>
        <v>381.64</v>
      </c>
      <c r="N1471" s="133">
        <f t="shared" si="330"/>
        <v>4152.6400000000003</v>
      </c>
      <c r="O1471" s="134">
        <f t="shared" si="331"/>
        <v>41.237735849056605</v>
      </c>
      <c r="P1471" s="134">
        <f t="shared" si="332"/>
        <v>1.1223351351351352</v>
      </c>
      <c r="R1471" s="149">
        <f t="shared" si="333"/>
        <v>3.7568585906033514</v>
      </c>
    </row>
    <row r="1472" spans="1:18" ht="14.45" x14ac:dyDescent="0.3">
      <c r="A1472" s="82" t="s">
        <v>1</v>
      </c>
      <c r="B1472" s="82" t="s">
        <v>4</v>
      </c>
      <c r="C1472" s="82" t="s">
        <v>26</v>
      </c>
      <c r="D1472" s="82" t="s">
        <v>91</v>
      </c>
      <c r="E1472" s="87">
        <f t="shared" si="335"/>
        <v>41487</v>
      </c>
      <c r="F1472" s="83"/>
      <c r="G1472" s="92">
        <v>5159</v>
      </c>
      <c r="H1472" s="52">
        <v>1520</v>
      </c>
      <c r="I1472" s="52" t="s">
        <v>93</v>
      </c>
      <c r="J1472" s="157">
        <f t="shared" si="334"/>
        <v>0.34</v>
      </c>
      <c r="K1472" s="101">
        <f t="shared" si="327"/>
        <v>51.231380337636544</v>
      </c>
      <c r="L1472" s="101">
        <f t="shared" si="328"/>
        <v>1.3943243243243244</v>
      </c>
      <c r="M1472" s="133">
        <f t="shared" si="329"/>
        <v>516.80000000000007</v>
      </c>
      <c r="N1472" s="133">
        <f t="shared" si="330"/>
        <v>5675.8</v>
      </c>
      <c r="O1472" s="134">
        <f t="shared" si="331"/>
        <v>56.36345580933466</v>
      </c>
      <c r="P1472" s="134">
        <f t="shared" si="332"/>
        <v>1.534</v>
      </c>
      <c r="R1472" s="149">
        <f t="shared" si="333"/>
        <v>4.154585825962509</v>
      </c>
    </row>
    <row r="1473" spans="1:19" ht="14.45" x14ac:dyDescent="0.3">
      <c r="A1473" s="82" t="s">
        <v>1</v>
      </c>
      <c r="B1473" s="82" t="s">
        <v>4</v>
      </c>
      <c r="C1473" s="82" t="s">
        <v>9</v>
      </c>
      <c r="D1473" s="82" t="s">
        <v>91</v>
      </c>
      <c r="E1473" s="87">
        <f t="shared" si="335"/>
        <v>41487</v>
      </c>
      <c r="F1473" s="83"/>
      <c r="G1473" s="92">
        <v>6181</v>
      </c>
      <c r="H1473" s="52">
        <v>1583</v>
      </c>
      <c r="I1473" s="52" t="s">
        <v>93</v>
      </c>
      <c r="J1473" s="157">
        <f t="shared" si="334"/>
        <v>0.34</v>
      </c>
      <c r="K1473" s="101">
        <f t="shared" si="327"/>
        <v>61.380337636544191</v>
      </c>
      <c r="L1473" s="101">
        <f t="shared" si="328"/>
        <v>1.6705405405405405</v>
      </c>
      <c r="M1473" s="133">
        <f t="shared" si="329"/>
        <v>538.22</v>
      </c>
      <c r="N1473" s="133">
        <f t="shared" si="330"/>
        <v>6719.22</v>
      </c>
      <c r="O1473" s="134">
        <f t="shared" si="331"/>
        <v>66.725124131082424</v>
      </c>
      <c r="P1473" s="134">
        <f t="shared" si="332"/>
        <v>1.8160054054054056</v>
      </c>
      <c r="R1473" s="149">
        <f t="shared" si="333"/>
        <v>3.5229625795000663</v>
      </c>
    </row>
    <row r="1474" spans="1:19" ht="14.45" x14ac:dyDescent="0.3">
      <c r="A1474" s="82" t="s">
        <v>1</v>
      </c>
      <c r="B1474" s="82" t="s">
        <v>10</v>
      </c>
      <c r="C1474" s="82" t="s">
        <v>26</v>
      </c>
      <c r="D1474" s="82" t="s">
        <v>91</v>
      </c>
      <c r="E1474" s="87">
        <f t="shared" si="335"/>
        <v>41487</v>
      </c>
      <c r="F1474" s="83"/>
      <c r="G1474" s="92">
        <v>5043</v>
      </c>
      <c r="H1474" s="52">
        <v>1599</v>
      </c>
      <c r="I1474" s="52" t="s">
        <v>92</v>
      </c>
      <c r="J1474" s="157">
        <f t="shared" si="334"/>
        <v>0.35</v>
      </c>
      <c r="K1474" s="101">
        <f t="shared" si="327"/>
        <v>50.079443892750746</v>
      </c>
      <c r="L1474" s="101">
        <f t="shared" si="328"/>
        <v>1.3629729729729729</v>
      </c>
      <c r="M1474" s="133">
        <f t="shared" si="329"/>
        <v>559.65</v>
      </c>
      <c r="N1474" s="133">
        <f t="shared" si="330"/>
        <v>5602.65</v>
      </c>
      <c r="O1474" s="134">
        <f t="shared" si="331"/>
        <v>55.637040714995031</v>
      </c>
      <c r="P1474" s="134">
        <f t="shared" si="332"/>
        <v>1.5142297297297296</v>
      </c>
      <c r="R1474" s="149">
        <f t="shared" si="333"/>
        <v>3.3001699959068098</v>
      </c>
    </row>
    <row r="1475" spans="1:19" ht="14.45" x14ac:dyDescent="0.3">
      <c r="A1475" s="82" t="s">
        <v>134</v>
      </c>
      <c r="B1475" s="82" t="s">
        <v>23</v>
      </c>
      <c r="C1475" s="82" t="s">
        <v>26</v>
      </c>
      <c r="D1475" s="82" t="s">
        <v>91</v>
      </c>
      <c r="E1475" s="87">
        <f t="shared" si="335"/>
        <v>41487</v>
      </c>
      <c r="F1475" s="83"/>
      <c r="G1475" s="92">
        <v>4800</v>
      </c>
      <c r="H1475" s="52">
        <v>1851</v>
      </c>
      <c r="I1475" s="52" t="s">
        <v>93</v>
      </c>
      <c r="J1475" s="157">
        <f t="shared" si="334"/>
        <v>0.34</v>
      </c>
      <c r="K1475" s="101">
        <f t="shared" si="327"/>
        <v>47.666335650446868</v>
      </c>
      <c r="L1475" s="101">
        <f t="shared" si="328"/>
        <v>1.2108108108108109</v>
      </c>
      <c r="M1475" s="133">
        <f t="shared" si="329"/>
        <v>629.34</v>
      </c>
      <c r="N1475" s="133">
        <f t="shared" si="330"/>
        <v>5429.34</v>
      </c>
      <c r="O1475" s="134">
        <f t="shared" si="331"/>
        <v>53.915988083416089</v>
      </c>
      <c r="P1475" s="134">
        <f>IF(A1475="corn",N1475/(111*2000/56),N1475/(111*2000/60))</f>
        <v>1.3695632432432434</v>
      </c>
      <c r="R1475" s="149">
        <f t="shared" si="333"/>
        <v>0.6865319565604544</v>
      </c>
    </row>
    <row r="1476" spans="1:19" ht="14.45" x14ac:dyDescent="0.3">
      <c r="A1476" s="82" t="s">
        <v>134</v>
      </c>
      <c r="B1476" s="82" t="s">
        <v>8</v>
      </c>
      <c r="C1476" s="82" t="s">
        <v>29</v>
      </c>
      <c r="D1476" s="82" t="s">
        <v>91</v>
      </c>
      <c r="E1476" s="87">
        <f t="shared" si="335"/>
        <v>41487</v>
      </c>
      <c r="F1476" s="83"/>
      <c r="G1476" s="92">
        <v>4760</v>
      </c>
      <c r="H1476" s="52">
        <v>1695</v>
      </c>
      <c r="I1476" s="52" t="s">
        <v>93</v>
      </c>
      <c r="J1476" s="157">
        <f t="shared" si="334"/>
        <v>0.34</v>
      </c>
      <c r="K1476" s="101">
        <f t="shared" ref="K1476:K1525" si="336">G1476/100.7</f>
        <v>47.269116186693147</v>
      </c>
      <c r="L1476" s="101">
        <f t="shared" ref="L1476:L1525" si="337">IF(A1476="corn",G1476/(111*2000/56),G1476/(111*2000/60))</f>
        <v>1.2007207207207207</v>
      </c>
      <c r="M1476" s="133">
        <f t="shared" ref="M1476:M1525" si="338">H1476*J1476</f>
        <v>576.30000000000007</v>
      </c>
      <c r="N1476" s="133">
        <f t="shared" ref="N1476:N1525" si="339">G1476+M1476</f>
        <v>5336.3</v>
      </c>
      <c r="O1476" s="134">
        <f t="shared" ref="O1476:O1525" si="340">N1476/100.7</f>
        <v>52.992055610724925</v>
      </c>
      <c r="P1476" s="134">
        <f t="shared" ref="P1476:P1480" si="341">IF(A1476="corn",N1476/(111*2000/56),N1476/(111*2000/60))</f>
        <v>1.3460936936936938</v>
      </c>
      <c r="R1476" s="149">
        <f t="shared" si="333"/>
        <v>0.63933313216657517</v>
      </c>
    </row>
    <row r="1477" spans="1:19" ht="14.45" x14ac:dyDescent="0.3">
      <c r="A1477" s="82" t="s">
        <v>134</v>
      </c>
      <c r="B1477" s="82" t="s">
        <v>13</v>
      </c>
      <c r="C1477" s="82" t="s">
        <v>7</v>
      </c>
      <c r="D1477" s="82" t="s">
        <v>91</v>
      </c>
      <c r="E1477" s="87">
        <f t="shared" si="335"/>
        <v>41487</v>
      </c>
      <c r="F1477" s="83"/>
      <c r="G1477" s="92">
        <v>2929</v>
      </c>
      <c r="H1477" s="52">
        <v>1006</v>
      </c>
      <c r="I1477" s="52" t="s">
        <v>92</v>
      </c>
      <c r="J1477" s="157">
        <f t="shared" si="334"/>
        <v>0.35</v>
      </c>
      <c r="K1477" s="101">
        <f t="shared" si="336"/>
        <v>29.086395233366435</v>
      </c>
      <c r="L1477" s="101">
        <f t="shared" si="337"/>
        <v>0.73884684684684687</v>
      </c>
      <c r="M1477" s="133">
        <f t="shared" si="338"/>
        <v>352.09999999999997</v>
      </c>
      <c r="N1477" s="133">
        <f t="shared" si="339"/>
        <v>3281.1</v>
      </c>
      <c r="O1477" s="134">
        <f t="shared" si="340"/>
        <v>32.582919563058589</v>
      </c>
      <c r="P1477" s="134">
        <f t="shared" si="341"/>
        <v>0.8276648648648649</v>
      </c>
      <c r="R1477" s="149">
        <f t="shared" si="333"/>
        <v>2.5651445433630071</v>
      </c>
    </row>
    <row r="1478" spans="1:19" ht="14.45" x14ac:dyDescent="0.3">
      <c r="A1478" s="82" t="s">
        <v>134</v>
      </c>
      <c r="B1478" s="82" t="s">
        <v>30</v>
      </c>
      <c r="C1478" s="82" t="s">
        <v>9</v>
      </c>
      <c r="D1478" s="82" t="s">
        <v>91</v>
      </c>
      <c r="E1478" s="87">
        <f t="shared" si="335"/>
        <v>41487</v>
      </c>
      <c r="F1478" s="83"/>
      <c r="G1478" s="92">
        <v>3310</v>
      </c>
      <c r="H1478" s="52">
        <v>988</v>
      </c>
      <c r="I1478" s="52" t="s">
        <v>93</v>
      </c>
      <c r="J1478" s="157">
        <f t="shared" si="334"/>
        <v>0.34</v>
      </c>
      <c r="K1478" s="101">
        <f t="shared" si="336"/>
        <v>32.869910625620655</v>
      </c>
      <c r="L1478" s="101">
        <f t="shared" si="337"/>
        <v>0.83495495495495498</v>
      </c>
      <c r="M1478" s="133">
        <f t="shared" si="338"/>
        <v>335.92</v>
      </c>
      <c r="N1478" s="133">
        <f t="shared" si="339"/>
        <v>3645.92</v>
      </c>
      <c r="O1478" s="134">
        <f t="shared" si="340"/>
        <v>36.205759682224432</v>
      </c>
      <c r="P1478" s="134">
        <f t="shared" si="341"/>
        <v>0.9196915315315316</v>
      </c>
      <c r="R1478" s="149">
        <f t="shared" si="333"/>
        <v>0.54492907097316579</v>
      </c>
    </row>
    <row r="1479" spans="1:19" ht="14.45" x14ac:dyDescent="0.3">
      <c r="A1479" s="82" t="s">
        <v>134</v>
      </c>
      <c r="B1479" s="82" t="s">
        <v>16</v>
      </c>
      <c r="C1479" s="82" t="s">
        <v>11</v>
      </c>
      <c r="D1479" s="82" t="s">
        <v>91</v>
      </c>
      <c r="E1479" s="87">
        <f t="shared" si="335"/>
        <v>41487</v>
      </c>
      <c r="F1479" s="83"/>
      <c r="G1479" s="92">
        <v>3510</v>
      </c>
      <c r="H1479" s="52">
        <v>787</v>
      </c>
      <c r="I1479" s="52" t="s">
        <v>92</v>
      </c>
      <c r="J1479" s="157">
        <f t="shared" si="334"/>
        <v>0.35</v>
      </c>
      <c r="K1479" s="101">
        <f t="shared" si="336"/>
        <v>34.856007944389276</v>
      </c>
      <c r="L1479" s="101">
        <f t="shared" si="337"/>
        <v>0.88540540540540547</v>
      </c>
      <c r="M1479" s="133">
        <f t="shared" si="338"/>
        <v>275.45</v>
      </c>
      <c r="N1479" s="133">
        <f t="shared" si="339"/>
        <v>3785.45</v>
      </c>
      <c r="O1479" s="134">
        <f t="shared" si="340"/>
        <v>37.591360476663354</v>
      </c>
      <c r="P1479" s="134">
        <f t="shared" si="341"/>
        <v>0.95488828828828831</v>
      </c>
      <c r="R1479" s="149">
        <f t="shared" si="333"/>
        <v>2.3764191714580774</v>
      </c>
    </row>
    <row r="1480" spans="1:19" ht="14.45" x14ac:dyDescent="0.3">
      <c r="A1480" s="82" t="s">
        <v>134</v>
      </c>
      <c r="B1480" s="82" t="s">
        <v>23</v>
      </c>
      <c r="C1480" s="82" t="s">
        <v>29</v>
      </c>
      <c r="D1480" s="82" t="s">
        <v>91</v>
      </c>
      <c r="E1480" s="87">
        <f t="shared" si="335"/>
        <v>41487</v>
      </c>
      <c r="F1480" s="83"/>
      <c r="G1480" s="92">
        <v>4800</v>
      </c>
      <c r="H1480" s="52">
        <v>1836</v>
      </c>
      <c r="I1480" s="52" t="s">
        <v>93</v>
      </c>
      <c r="J1480" s="157">
        <f t="shared" si="334"/>
        <v>0.34</v>
      </c>
      <c r="K1480" s="101">
        <f t="shared" si="336"/>
        <v>47.666335650446868</v>
      </c>
      <c r="L1480" s="101">
        <f t="shared" si="337"/>
        <v>1.2108108108108109</v>
      </c>
      <c r="M1480" s="133">
        <f t="shared" si="338"/>
        <v>624.24</v>
      </c>
      <c r="N1480" s="133">
        <f t="shared" si="339"/>
        <v>5424.24</v>
      </c>
      <c r="O1480" s="134">
        <f t="shared" si="340"/>
        <v>53.865342601787482</v>
      </c>
      <c r="P1480" s="134">
        <f t="shared" si="341"/>
        <v>1.3682767567567566</v>
      </c>
      <c r="R1480" s="149">
        <f t="shared" si="333"/>
        <v>0.68157519600853256</v>
      </c>
    </row>
    <row r="1481" spans="1:19" ht="14.45" x14ac:dyDescent="0.3">
      <c r="A1481" s="82" t="s">
        <v>134</v>
      </c>
      <c r="B1481" s="82" t="s">
        <v>31</v>
      </c>
      <c r="C1481" s="82" t="s">
        <v>32</v>
      </c>
      <c r="D1481" s="82" t="s">
        <v>91</v>
      </c>
      <c r="E1481" s="87">
        <f t="shared" si="335"/>
        <v>41487</v>
      </c>
      <c r="F1481" s="83"/>
      <c r="G1481" s="92">
        <v>4200</v>
      </c>
      <c r="H1481" s="52">
        <v>1899</v>
      </c>
      <c r="I1481" s="52" t="s">
        <v>93</v>
      </c>
      <c r="J1481" s="157">
        <f t="shared" si="334"/>
        <v>0.34</v>
      </c>
      <c r="K1481" s="101">
        <f t="shared" si="336"/>
        <v>41.708043694141011</v>
      </c>
      <c r="L1481" s="101">
        <f t="shared" si="337"/>
        <v>1.0594594594594595</v>
      </c>
      <c r="M1481" s="133">
        <f t="shared" si="338"/>
        <v>645.66000000000008</v>
      </c>
      <c r="N1481" s="133">
        <f t="shared" si="339"/>
        <v>4845.66</v>
      </c>
      <c r="O1481" s="134">
        <f t="shared" si="340"/>
        <v>48.119761668321743</v>
      </c>
      <c r="P1481" s="134">
        <f>IF(A1481="corn",N1481/(111*2000/56),N1481/(111*2000/60))</f>
        <v>1.2223286486486487</v>
      </c>
      <c r="R1481" s="149">
        <f t="shared" si="333"/>
        <v>0.78998602236419746</v>
      </c>
    </row>
    <row r="1482" spans="1:19" ht="14.45" x14ac:dyDescent="0.3">
      <c r="A1482" s="82" t="s">
        <v>22</v>
      </c>
      <c r="B1482" s="82" t="s">
        <v>8</v>
      </c>
      <c r="C1482" s="82" t="s">
        <v>29</v>
      </c>
      <c r="D1482" s="82" t="s">
        <v>91</v>
      </c>
      <c r="E1482" s="87">
        <f t="shared" si="335"/>
        <v>41487</v>
      </c>
      <c r="F1482" s="83"/>
      <c r="G1482" s="92">
        <v>5320</v>
      </c>
      <c r="H1482" s="52">
        <v>1695</v>
      </c>
      <c r="I1482" s="52" t="s">
        <v>93</v>
      </c>
      <c r="J1482" s="157">
        <f t="shared" si="334"/>
        <v>0.34</v>
      </c>
      <c r="K1482" s="101">
        <f t="shared" si="336"/>
        <v>52.830188679245282</v>
      </c>
      <c r="L1482" s="101">
        <f t="shared" si="337"/>
        <v>1.4378378378378378</v>
      </c>
      <c r="M1482" s="133">
        <f t="shared" si="338"/>
        <v>576.30000000000007</v>
      </c>
      <c r="N1482" s="133">
        <f t="shared" si="339"/>
        <v>5896.3</v>
      </c>
      <c r="O1482" s="134">
        <f t="shared" si="340"/>
        <v>58.553128103277061</v>
      </c>
      <c r="P1482" s="134">
        <f t="shared" ref="P1482:P1525" si="342">IF(A1482="corn",N1482/(111*2000/56),N1482/(111*2000/60))</f>
        <v>1.5935945945945946</v>
      </c>
      <c r="R1482" s="149">
        <f t="shared" si="333"/>
        <v>5.6230295213528292</v>
      </c>
    </row>
    <row r="1483" spans="1:19" ht="14.45" x14ac:dyDescent="0.3">
      <c r="A1483" s="82" t="s">
        <v>22</v>
      </c>
      <c r="B1483" s="82" t="s">
        <v>23</v>
      </c>
      <c r="C1483" s="82" t="s">
        <v>26</v>
      </c>
      <c r="D1483" s="82" t="s">
        <v>91</v>
      </c>
      <c r="E1483" s="87">
        <f t="shared" si="335"/>
        <v>41487</v>
      </c>
      <c r="F1483" s="83"/>
      <c r="G1483" s="92">
        <v>5330</v>
      </c>
      <c r="H1483" s="52">
        <v>1851</v>
      </c>
      <c r="I1483" s="52" t="s">
        <v>93</v>
      </c>
      <c r="J1483" s="157">
        <f t="shared" si="334"/>
        <v>0.34</v>
      </c>
      <c r="K1483" s="101">
        <f t="shared" si="336"/>
        <v>52.929493545183711</v>
      </c>
      <c r="L1483" s="101">
        <f t="shared" si="337"/>
        <v>1.4405405405405405</v>
      </c>
      <c r="M1483" s="133">
        <f t="shared" si="338"/>
        <v>629.34</v>
      </c>
      <c r="N1483" s="133">
        <f t="shared" si="339"/>
        <v>5959.34</v>
      </c>
      <c r="O1483" s="134">
        <f t="shared" si="340"/>
        <v>59.179145978152931</v>
      </c>
      <c r="P1483" s="134">
        <f t="shared" si="342"/>
        <v>1.6106324324324324</v>
      </c>
      <c r="R1483" s="149">
        <f t="shared" si="333"/>
        <v>5.9943226283811768</v>
      </c>
    </row>
    <row r="1484" spans="1:19" ht="14.45" x14ac:dyDescent="0.3">
      <c r="A1484" s="82" t="s">
        <v>22</v>
      </c>
      <c r="B1484" s="82" t="s">
        <v>33</v>
      </c>
      <c r="C1484" s="82" t="s">
        <v>29</v>
      </c>
      <c r="D1484" s="82" t="s">
        <v>91</v>
      </c>
      <c r="E1484" s="87">
        <f t="shared" si="335"/>
        <v>41487</v>
      </c>
      <c r="F1484" s="83"/>
      <c r="G1484" s="92">
        <v>5230</v>
      </c>
      <c r="H1484" s="52">
        <v>1507</v>
      </c>
      <c r="I1484" s="52" t="s">
        <v>93</v>
      </c>
      <c r="J1484" s="157">
        <f t="shared" si="334"/>
        <v>0.34</v>
      </c>
      <c r="K1484" s="101">
        <f t="shared" si="336"/>
        <v>51.936444885799403</v>
      </c>
      <c r="L1484" s="101">
        <f t="shared" si="337"/>
        <v>1.4135135135135135</v>
      </c>
      <c r="M1484" s="133">
        <f t="shared" si="338"/>
        <v>512.38</v>
      </c>
      <c r="N1484" s="133">
        <f t="shared" si="339"/>
        <v>5742.38</v>
      </c>
      <c r="O1484" s="134">
        <f t="shared" si="340"/>
        <v>57.02462760675273</v>
      </c>
      <c r="P1484" s="134">
        <f t="shared" si="342"/>
        <v>1.5519945945945945</v>
      </c>
      <c r="R1484" s="149">
        <f t="shared" si="333"/>
        <v>6.0998773151227592</v>
      </c>
    </row>
    <row r="1485" spans="1:19" ht="14.45" x14ac:dyDescent="0.3">
      <c r="A1485" s="82" t="s">
        <v>22</v>
      </c>
      <c r="B1485" s="82" t="s">
        <v>31</v>
      </c>
      <c r="C1485" s="82" t="s">
        <v>7</v>
      </c>
      <c r="D1485" s="82" t="s">
        <v>91</v>
      </c>
      <c r="E1485" s="87">
        <f t="shared" si="335"/>
        <v>41487</v>
      </c>
      <c r="F1485" s="83"/>
      <c r="G1485" s="92">
        <v>3950</v>
      </c>
      <c r="H1485" s="52">
        <v>1160</v>
      </c>
      <c r="I1485" s="52" t="s">
        <v>92</v>
      </c>
      <c r="J1485" s="157">
        <f t="shared" si="334"/>
        <v>0.35</v>
      </c>
      <c r="K1485" s="101">
        <f t="shared" si="336"/>
        <v>39.22542204568024</v>
      </c>
      <c r="L1485" s="101">
        <f t="shared" si="337"/>
        <v>1.0675675675675675</v>
      </c>
      <c r="M1485" s="133">
        <f t="shared" si="338"/>
        <v>406</v>
      </c>
      <c r="N1485" s="133">
        <f t="shared" si="339"/>
        <v>4356</v>
      </c>
      <c r="O1485" s="134">
        <f t="shared" si="340"/>
        <v>43.257199602780538</v>
      </c>
      <c r="P1485" s="134">
        <f t="shared" si="342"/>
        <v>1.1772972972972973</v>
      </c>
      <c r="R1485" s="149">
        <f t="shared" si="333"/>
        <v>6.1300068219471981</v>
      </c>
    </row>
    <row r="1486" spans="1:19" ht="14.45" x14ac:dyDescent="0.3">
      <c r="A1486" s="82" t="s">
        <v>22</v>
      </c>
      <c r="B1486" s="82" t="s">
        <v>14</v>
      </c>
      <c r="C1486" s="82" t="s">
        <v>24</v>
      </c>
      <c r="D1486" s="82" t="s">
        <v>91</v>
      </c>
      <c r="E1486" s="87">
        <f t="shared" si="335"/>
        <v>41487</v>
      </c>
      <c r="F1486" s="83"/>
      <c r="G1486" s="92">
        <v>2750</v>
      </c>
      <c r="H1486" s="52">
        <v>615</v>
      </c>
      <c r="I1486" s="52" t="s">
        <v>94</v>
      </c>
      <c r="J1486" s="157">
        <f t="shared" si="334"/>
        <v>0.47</v>
      </c>
      <c r="K1486" s="101">
        <f t="shared" si="336"/>
        <v>27.308838133068519</v>
      </c>
      <c r="L1486" s="101">
        <f t="shared" si="337"/>
        <v>0.7432432432432432</v>
      </c>
      <c r="M1486" s="133">
        <f t="shared" si="338"/>
        <v>289.05</v>
      </c>
      <c r="N1486" s="133">
        <f t="shared" si="339"/>
        <v>3039.05</v>
      </c>
      <c r="O1486" s="134">
        <f t="shared" si="340"/>
        <v>30.179245283018869</v>
      </c>
      <c r="P1486" s="134">
        <f t="shared" si="342"/>
        <v>0.82136486486486493</v>
      </c>
      <c r="R1486" s="149">
        <f t="shared" si="333"/>
        <v>3.2777135866240759</v>
      </c>
    </row>
    <row r="1487" spans="1:19" ht="14.45" x14ac:dyDescent="0.3">
      <c r="A1487" s="118" t="s">
        <v>22</v>
      </c>
      <c r="B1487" s="118" t="s">
        <v>34</v>
      </c>
      <c r="C1487" s="118" t="s">
        <v>26</v>
      </c>
      <c r="D1487" s="118" t="s">
        <v>91</v>
      </c>
      <c r="E1487" s="119">
        <f t="shared" si="335"/>
        <v>41487</v>
      </c>
      <c r="F1487" s="120"/>
      <c r="G1487" s="105">
        <v>4960</v>
      </c>
      <c r="H1487" s="158">
        <v>1637</v>
      </c>
      <c r="I1487" s="158" t="s">
        <v>92</v>
      </c>
      <c r="J1487" s="122">
        <f t="shared" si="334"/>
        <v>0.35</v>
      </c>
      <c r="K1487" s="123">
        <f t="shared" si="336"/>
        <v>49.255213505461768</v>
      </c>
      <c r="L1487" s="123">
        <f t="shared" si="337"/>
        <v>1.3405405405405406</v>
      </c>
      <c r="M1487" s="115">
        <f t="shared" si="338"/>
        <v>572.94999999999993</v>
      </c>
      <c r="N1487" s="115">
        <f t="shared" si="339"/>
        <v>5532.95</v>
      </c>
      <c r="O1487" s="116">
        <f t="shared" si="340"/>
        <v>54.944885799404169</v>
      </c>
      <c r="P1487" s="116">
        <f t="shared" si="342"/>
        <v>1.4953918918918918</v>
      </c>
      <c r="Q1487" s="106"/>
      <c r="R1487" s="152">
        <f t="shared" si="333"/>
        <v>-2.4442924193963655</v>
      </c>
    </row>
    <row r="1488" spans="1:19" ht="14.45" x14ac:dyDescent="0.3">
      <c r="A1488" s="60" t="s">
        <v>1</v>
      </c>
      <c r="B1488" s="60" t="s">
        <v>2</v>
      </c>
      <c r="C1488" s="60" t="s">
        <v>3</v>
      </c>
      <c r="D1488" s="60" t="s">
        <v>90</v>
      </c>
      <c r="E1488" s="89">
        <v>41518</v>
      </c>
      <c r="F1488" s="61"/>
      <c r="G1488" s="92">
        <v>3191</v>
      </c>
      <c r="H1488" s="138">
        <v>506</v>
      </c>
      <c r="I1488" s="138" t="s">
        <v>92</v>
      </c>
      <c r="J1488" s="141">
        <f>IF(I1488="BNSF",0.35,IF(I1488="CN",0.3048,IF(I1488="CSX",0.47,0.36)))</f>
        <v>0.36</v>
      </c>
      <c r="K1488" s="95">
        <f t="shared" si="336"/>
        <v>31.688182720953325</v>
      </c>
      <c r="L1488" s="95">
        <f t="shared" si="337"/>
        <v>0.86243243243243239</v>
      </c>
      <c r="M1488" s="133">
        <f t="shared" si="338"/>
        <v>182.16</v>
      </c>
      <c r="N1488" s="133">
        <f t="shared" si="339"/>
        <v>3373.16</v>
      </c>
      <c r="O1488" s="134">
        <f t="shared" si="340"/>
        <v>33.497120158887782</v>
      </c>
      <c r="P1488" s="134">
        <f t="shared" si="342"/>
        <v>0.91166486486486487</v>
      </c>
      <c r="Q1488" s="160"/>
      <c r="R1488" s="149">
        <f t="shared" si="333"/>
        <v>1.8779938266011875</v>
      </c>
      <c r="S1488" s="140">
        <f>AVERAGE(O1412,O1450,O1488)</f>
        <v>33.480370738166165</v>
      </c>
    </row>
    <row r="1489" spans="1:19" ht="14.45" x14ac:dyDescent="0.3">
      <c r="A1489" s="60" t="s">
        <v>1</v>
      </c>
      <c r="B1489" s="60" t="s">
        <v>4</v>
      </c>
      <c r="C1489" s="60" t="s">
        <v>5</v>
      </c>
      <c r="D1489" s="60" t="s">
        <v>90</v>
      </c>
      <c r="E1489" s="89">
        <f>E1488</f>
        <v>41518</v>
      </c>
      <c r="F1489" s="61"/>
      <c r="G1489" s="92">
        <v>3701</v>
      </c>
      <c r="H1489" s="138">
        <v>298</v>
      </c>
      <c r="I1489" s="138" t="s">
        <v>93</v>
      </c>
      <c r="J1489" s="141">
        <f t="shared" ref="J1489:J1525" si="343">IF(I1489="BNSF",0.35,IF(I1489="CN",0.3048,IF(I1489="CSX",0.47,0.36)))</f>
        <v>0.35</v>
      </c>
      <c r="K1489" s="95">
        <f t="shared" si="336"/>
        <v>36.752730883813307</v>
      </c>
      <c r="L1489" s="95">
        <f t="shared" si="337"/>
        <v>1.0002702702702704</v>
      </c>
      <c r="M1489" s="133">
        <f t="shared" si="338"/>
        <v>104.3</v>
      </c>
      <c r="N1489" s="133">
        <f t="shared" si="339"/>
        <v>3805.3</v>
      </c>
      <c r="O1489" s="134">
        <f t="shared" si="340"/>
        <v>37.788480635551146</v>
      </c>
      <c r="P1489" s="134">
        <f t="shared" si="342"/>
        <v>1.0284594594594596</v>
      </c>
      <c r="Q1489" s="160"/>
      <c r="R1489" s="149">
        <f t="shared" si="333"/>
        <v>4.8471088725898115</v>
      </c>
      <c r="S1489" s="140">
        <f t="shared" ref="S1489:S1524" si="344">AVERAGE(O1413,O1451,O1489)</f>
        <v>37.275471698113215</v>
      </c>
    </row>
    <row r="1490" spans="1:19" ht="14.45" x14ac:dyDescent="0.3">
      <c r="A1490" s="60" t="s">
        <v>1</v>
      </c>
      <c r="B1490" s="60" t="s">
        <v>2</v>
      </c>
      <c r="C1490" s="60" t="s">
        <v>6</v>
      </c>
      <c r="D1490" s="60" t="s">
        <v>90</v>
      </c>
      <c r="E1490" s="89">
        <f t="shared" ref="E1490:E1525" si="345">E1489</f>
        <v>41518</v>
      </c>
      <c r="F1490" s="61"/>
      <c r="G1490" s="92">
        <v>6244</v>
      </c>
      <c r="H1490" s="138">
        <v>1530</v>
      </c>
      <c r="I1490" s="138" t="s">
        <v>93</v>
      </c>
      <c r="J1490" s="141">
        <f t="shared" si="343"/>
        <v>0.35</v>
      </c>
      <c r="K1490" s="95">
        <f t="shared" si="336"/>
        <v>62.005958291956304</v>
      </c>
      <c r="L1490" s="95">
        <f t="shared" si="337"/>
        <v>1.6875675675675677</v>
      </c>
      <c r="M1490" s="133">
        <f t="shared" si="338"/>
        <v>535.5</v>
      </c>
      <c r="N1490" s="133">
        <f t="shared" si="339"/>
        <v>6779.5</v>
      </c>
      <c r="O1490" s="134">
        <f t="shared" si="340"/>
        <v>67.323733862959287</v>
      </c>
      <c r="P1490" s="134">
        <f t="shared" si="342"/>
        <v>1.8322972972972973</v>
      </c>
      <c r="R1490" s="149">
        <f t="shared" si="333"/>
        <v>4.2951863760134046</v>
      </c>
      <c r="S1490" s="140">
        <f t="shared" si="344"/>
        <v>67.27308838133068</v>
      </c>
    </row>
    <row r="1491" spans="1:19" ht="14.45" x14ac:dyDescent="0.3">
      <c r="A1491" s="60" t="s">
        <v>1</v>
      </c>
      <c r="B1491" s="60" t="s">
        <v>2</v>
      </c>
      <c r="C1491" s="60" t="s">
        <v>7</v>
      </c>
      <c r="D1491" s="60" t="s">
        <v>90</v>
      </c>
      <c r="E1491" s="89">
        <f t="shared" si="345"/>
        <v>41518</v>
      </c>
      <c r="F1491" s="61"/>
      <c r="G1491" s="92">
        <v>3808</v>
      </c>
      <c r="H1491" s="138">
        <v>890</v>
      </c>
      <c r="I1491" s="138" t="s">
        <v>92</v>
      </c>
      <c r="J1491" s="141">
        <f t="shared" si="343"/>
        <v>0.36</v>
      </c>
      <c r="K1491" s="95">
        <f t="shared" si="336"/>
        <v>37.815292949354514</v>
      </c>
      <c r="L1491" s="95">
        <f t="shared" si="337"/>
        <v>1.0291891891891891</v>
      </c>
      <c r="M1491" s="133">
        <f t="shared" si="338"/>
        <v>320.39999999999998</v>
      </c>
      <c r="N1491" s="133">
        <f t="shared" si="339"/>
        <v>4128.3999999999996</v>
      </c>
      <c r="O1491" s="134">
        <f t="shared" si="340"/>
        <v>40.997020854021841</v>
      </c>
      <c r="P1491" s="134">
        <f t="shared" si="342"/>
        <v>1.1157837837837836</v>
      </c>
      <c r="R1491" s="149">
        <f t="shared" si="333"/>
        <v>4.8163099499834994</v>
      </c>
      <c r="S1491" s="140">
        <f t="shared" si="344"/>
        <v>40.967560410460109</v>
      </c>
    </row>
    <row r="1492" spans="1:19" ht="14.45" x14ac:dyDescent="0.3">
      <c r="A1492" s="60" t="s">
        <v>1</v>
      </c>
      <c r="B1492" s="60" t="s">
        <v>8</v>
      </c>
      <c r="C1492" s="60" t="s">
        <v>9</v>
      </c>
      <c r="D1492" s="60" t="s">
        <v>90</v>
      </c>
      <c r="E1492" s="89">
        <f t="shared" si="345"/>
        <v>41518</v>
      </c>
      <c r="F1492" s="61"/>
      <c r="G1492" s="92">
        <v>5824</v>
      </c>
      <c r="H1492" s="138">
        <v>1256</v>
      </c>
      <c r="I1492" s="138" t="s">
        <v>93</v>
      </c>
      <c r="J1492" s="141">
        <f t="shared" si="343"/>
        <v>0.35</v>
      </c>
      <c r="K1492" s="95">
        <f t="shared" si="336"/>
        <v>57.835153922542204</v>
      </c>
      <c r="L1492" s="95">
        <f t="shared" si="337"/>
        <v>1.574054054054054</v>
      </c>
      <c r="M1492" s="133">
        <f t="shared" si="338"/>
        <v>439.59999999999997</v>
      </c>
      <c r="N1492" s="133">
        <f t="shared" si="339"/>
        <v>6263.6</v>
      </c>
      <c r="O1492" s="134">
        <f t="shared" si="340"/>
        <v>62.200595829195635</v>
      </c>
      <c r="P1492" s="134">
        <f t="shared" si="342"/>
        <v>1.692864864864865</v>
      </c>
      <c r="R1492" s="149">
        <f t="shared" si="333"/>
        <v>5.0523618164619588</v>
      </c>
      <c r="S1492" s="140">
        <f t="shared" si="344"/>
        <v>62.159020191989413</v>
      </c>
    </row>
    <row r="1493" spans="1:19" ht="14.45" x14ac:dyDescent="0.3">
      <c r="A1493" s="60" t="s">
        <v>1</v>
      </c>
      <c r="B1493" s="60" t="s">
        <v>10</v>
      </c>
      <c r="C1493" s="60" t="s">
        <v>9</v>
      </c>
      <c r="D1493" s="60" t="s">
        <v>90</v>
      </c>
      <c r="E1493" s="89">
        <f t="shared" si="345"/>
        <v>41518</v>
      </c>
      <c r="F1493" s="61"/>
      <c r="G1493" s="92">
        <v>4076</v>
      </c>
      <c r="H1493" s="138">
        <v>975</v>
      </c>
      <c r="I1493" s="138" t="s">
        <v>92</v>
      </c>
      <c r="J1493" s="141">
        <f t="shared" si="343"/>
        <v>0.36</v>
      </c>
      <c r="K1493" s="95">
        <f t="shared" si="336"/>
        <v>40.476663356504467</v>
      </c>
      <c r="L1493" s="95">
        <f t="shared" si="337"/>
        <v>1.1016216216216217</v>
      </c>
      <c r="M1493" s="133">
        <f t="shared" si="338"/>
        <v>351</v>
      </c>
      <c r="N1493" s="133">
        <f t="shared" si="339"/>
        <v>4427</v>
      </c>
      <c r="O1493" s="134">
        <f t="shared" si="340"/>
        <v>43.962264150943398</v>
      </c>
      <c r="P1493" s="134">
        <f t="shared" si="342"/>
        <v>1.1964864864864866</v>
      </c>
      <c r="R1493" s="149">
        <f t="shared" si="333"/>
        <v>4.5645113669914306</v>
      </c>
      <c r="S1493" s="140">
        <f t="shared" si="344"/>
        <v>43.929990069513416</v>
      </c>
    </row>
    <row r="1494" spans="1:19" ht="14.45" x14ac:dyDescent="0.3">
      <c r="A1494" s="60" t="s">
        <v>1</v>
      </c>
      <c r="B1494" s="60" t="s">
        <v>11</v>
      </c>
      <c r="C1494" s="60" t="s">
        <v>6</v>
      </c>
      <c r="D1494" s="60" t="s">
        <v>90</v>
      </c>
      <c r="E1494" s="89">
        <f t="shared" si="345"/>
        <v>41518</v>
      </c>
      <c r="F1494" s="61"/>
      <c r="G1494" s="92">
        <v>4275</v>
      </c>
      <c r="H1494" s="138">
        <v>1357</v>
      </c>
      <c r="I1494" s="138" t="s">
        <v>92</v>
      </c>
      <c r="J1494" s="141">
        <f t="shared" si="343"/>
        <v>0.36</v>
      </c>
      <c r="K1494" s="95">
        <f t="shared" si="336"/>
        <v>42.452830188679243</v>
      </c>
      <c r="L1494" s="95">
        <f t="shared" si="337"/>
        <v>1.1554054054054055</v>
      </c>
      <c r="M1494" s="133">
        <f t="shared" si="338"/>
        <v>488.52</v>
      </c>
      <c r="N1494" s="133">
        <f t="shared" si="339"/>
        <v>4763.5200000000004</v>
      </c>
      <c r="O1494" s="134">
        <f t="shared" si="340"/>
        <v>47.304071499503479</v>
      </c>
      <c r="P1494" s="134">
        <f t="shared" si="342"/>
        <v>1.2874378378378379</v>
      </c>
      <c r="R1494" s="149">
        <f t="shared" si="333"/>
        <v>4.4675107076829867</v>
      </c>
      <c r="S1494" s="140">
        <f t="shared" si="344"/>
        <v>47.259152598477328</v>
      </c>
    </row>
    <row r="1495" spans="1:19" ht="14.45" x14ac:dyDescent="0.3">
      <c r="A1495" s="60" t="s">
        <v>134</v>
      </c>
      <c r="B1495" s="60" t="s">
        <v>13</v>
      </c>
      <c r="C1495" s="60" t="s">
        <v>7</v>
      </c>
      <c r="D1495" s="60" t="s">
        <v>90</v>
      </c>
      <c r="E1495" s="89">
        <f t="shared" si="345"/>
        <v>41518</v>
      </c>
      <c r="F1495" s="61"/>
      <c r="G1495" s="92">
        <v>3110</v>
      </c>
      <c r="H1495" s="138">
        <v>1006</v>
      </c>
      <c r="I1495" s="138" t="s">
        <v>92</v>
      </c>
      <c r="J1495" s="141">
        <f t="shared" si="343"/>
        <v>0.36</v>
      </c>
      <c r="K1495" s="95">
        <f t="shared" si="336"/>
        <v>30.883813306852034</v>
      </c>
      <c r="L1495" s="95">
        <f t="shared" si="337"/>
        <v>0.78450450450450449</v>
      </c>
      <c r="M1495" s="133">
        <f t="shared" si="338"/>
        <v>362.15999999999997</v>
      </c>
      <c r="N1495" s="133">
        <f t="shared" si="339"/>
        <v>3472.16</v>
      </c>
      <c r="O1495" s="134">
        <f t="shared" si="340"/>
        <v>34.480238331678251</v>
      </c>
      <c r="P1495" s="134">
        <f t="shared" si="342"/>
        <v>0.87586018018018019</v>
      </c>
      <c r="R1495" s="149">
        <f t="shared" si="333"/>
        <v>3.0320654721986529</v>
      </c>
      <c r="S1495" s="140">
        <f t="shared" si="344"/>
        <v>34.446938099966893</v>
      </c>
    </row>
    <row r="1496" spans="1:19" ht="14.45" x14ac:dyDescent="0.3">
      <c r="A1496" s="60" t="s">
        <v>134</v>
      </c>
      <c r="B1496" s="60" t="s">
        <v>14</v>
      </c>
      <c r="C1496" s="60" t="s">
        <v>15</v>
      </c>
      <c r="D1496" s="60" t="s">
        <v>90</v>
      </c>
      <c r="E1496" s="89">
        <f t="shared" si="345"/>
        <v>41518</v>
      </c>
      <c r="F1496" s="61"/>
      <c r="G1496" s="92">
        <v>4508</v>
      </c>
      <c r="H1496" s="138">
        <v>866</v>
      </c>
      <c r="I1496" s="138" t="s">
        <v>94</v>
      </c>
      <c r="J1496" s="141">
        <f t="shared" si="343"/>
        <v>0.47</v>
      </c>
      <c r="K1496" s="95">
        <f t="shared" si="336"/>
        <v>44.766633565044685</v>
      </c>
      <c r="L1496" s="95">
        <f t="shared" si="337"/>
        <v>1.1371531531531531</v>
      </c>
      <c r="M1496" s="133">
        <f t="shared" si="338"/>
        <v>407.02</v>
      </c>
      <c r="N1496" s="133">
        <f t="shared" si="339"/>
        <v>4915.0200000000004</v>
      </c>
      <c r="O1496" s="134">
        <f t="shared" si="340"/>
        <v>48.808540218470711</v>
      </c>
      <c r="P1496" s="134">
        <f t="shared" si="342"/>
        <v>1.2398248648648651</v>
      </c>
      <c r="R1496" s="149">
        <f t="shared" si="333"/>
        <v>3.1908193086768177</v>
      </c>
      <c r="S1496" s="140">
        <f t="shared" si="344"/>
        <v>48.808540218470711</v>
      </c>
    </row>
    <row r="1497" spans="1:19" ht="14.45" x14ac:dyDescent="0.3">
      <c r="A1497" s="60" t="s">
        <v>134</v>
      </c>
      <c r="B1497" s="60" t="s">
        <v>16</v>
      </c>
      <c r="C1497" s="60" t="s">
        <v>17</v>
      </c>
      <c r="D1497" s="60" t="s">
        <v>90</v>
      </c>
      <c r="E1497" s="89">
        <f t="shared" si="345"/>
        <v>41518</v>
      </c>
      <c r="F1497" s="61"/>
      <c r="G1497" s="92">
        <v>2006</v>
      </c>
      <c r="H1497" s="138">
        <v>213</v>
      </c>
      <c r="I1497" s="138" t="s">
        <v>92</v>
      </c>
      <c r="J1497" s="141">
        <f t="shared" si="343"/>
        <v>0.36</v>
      </c>
      <c r="K1497" s="95">
        <f t="shared" si="336"/>
        <v>19.920556107249254</v>
      </c>
      <c r="L1497" s="95">
        <f t="shared" si="337"/>
        <v>0.50601801801801805</v>
      </c>
      <c r="M1497" s="133">
        <f t="shared" si="338"/>
        <v>76.679999999999993</v>
      </c>
      <c r="N1497" s="133">
        <f t="shared" si="339"/>
        <v>2082.6799999999998</v>
      </c>
      <c r="O1497" s="134">
        <f t="shared" si="340"/>
        <v>20.682025819265142</v>
      </c>
      <c r="P1497" s="134">
        <f t="shared" si="342"/>
        <v>0.52536072072072071</v>
      </c>
      <c r="R1497" s="149">
        <f t="shared" si="333"/>
        <v>3.9111106676179563</v>
      </c>
      <c r="S1497" s="140">
        <f t="shared" si="344"/>
        <v>20.674975173783515</v>
      </c>
    </row>
    <row r="1498" spans="1:19" ht="14.45" x14ac:dyDescent="0.3">
      <c r="A1498" s="60" t="s">
        <v>134</v>
      </c>
      <c r="B1498" s="60" t="s">
        <v>18</v>
      </c>
      <c r="C1498" s="60" t="s">
        <v>19</v>
      </c>
      <c r="D1498" s="60" t="s">
        <v>90</v>
      </c>
      <c r="E1498" s="89">
        <f t="shared" si="345"/>
        <v>41518</v>
      </c>
      <c r="F1498" s="61"/>
      <c r="G1498" s="92">
        <v>3920</v>
      </c>
      <c r="H1498" s="138">
        <v>650</v>
      </c>
      <c r="I1498" s="138" t="s">
        <v>94</v>
      </c>
      <c r="J1498" s="141">
        <f t="shared" si="343"/>
        <v>0.47</v>
      </c>
      <c r="K1498" s="95">
        <f t="shared" si="336"/>
        <v>38.927507447864947</v>
      </c>
      <c r="L1498" s="95">
        <f t="shared" si="337"/>
        <v>0.98882882882882883</v>
      </c>
      <c r="M1498" s="133">
        <f t="shared" si="338"/>
        <v>305.5</v>
      </c>
      <c r="N1498" s="133">
        <f t="shared" si="339"/>
        <v>4225.5</v>
      </c>
      <c r="O1498" s="134">
        <f t="shared" si="340"/>
        <v>41.961271102284009</v>
      </c>
      <c r="P1498" s="134">
        <f t="shared" si="342"/>
        <v>1.0658918918918918</v>
      </c>
      <c r="R1498" s="149">
        <f t="shared" si="333"/>
        <v>2.8853177501826144</v>
      </c>
      <c r="S1498" s="140">
        <f t="shared" si="344"/>
        <v>41.961271102284009</v>
      </c>
    </row>
    <row r="1499" spans="1:19" ht="14.45" x14ac:dyDescent="0.3">
      <c r="A1499" s="60" t="s">
        <v>134</v>
      </c>
      <c r="B1499" s="60" t="s">
        <v>18</v>
      </c>
      <c r="C1499" s="60" t="s">
        <v>20</v>
      </c>
      <c r="D1499" s="60" t="s">
        <v>90</v>
      </c>
      <c r="E1499" s="89">
        <f t="shared" si="345"/>
        <v>41518</v>
      </c>
      <c r="F1499" s="61"/>
      <c r="G1499" s="92">
        <v>3354</v>
      </c>
      <c r="H1499" s="138">
        <v>417</v>
      </c>
      <c r="I1499" s="138" t="s">
        <v>94</v>
      </c>
      <c r="J1499" s="141">
        <f t="shared" si="343"/>
        <v>0.47</v>
      </c>
      <c r="K1499" s="95">
        <f t="shared" si="336"/>
        <v>33.306852035749749</v>
      </c>
      <c r="L1499" s="95">
        <f t="shared" si="337"/>
        <v>0.84605405405405409</v>
      </c>
      <c r="M1499" s="133">
        <f t="shared" si="338"/>
        <v>195.98999999999998</v>
      </c>
      <c r="N1499" s="133">
        <f t="shared" si="339"/>
        <v>3549.99</v>
      </c>
      <c r="O1499" s="134">
        <f t="shared" si="340"/>
        <v>35.253128103277056</v>
      </c>
      <c r="P1499" s="134">
        <f t="shared" si="342"/>
        <v>0.89549297297297292</v>
      </c>
      <c r="R1499" s="149">
        <f t="shared" si="333"/>
        <v>2.7053534231356702</v>
      </c>
      <c r="S1499" s="140">
        <f t="shared" si="344"/>
        <v>35.253128103277056</v>
      </c>
    </row>
    <row r="1500" spans="1:19" ht="14.45" x14ac:dyDescent="0.3">
      <c r="A1500" s="60" t="s">
        <v>134</v>
      </c>
      <c r="B1500" s="60" t="s">
        <v>16</v>
      </c>
      <c r="C1500" s="60" t="s">
        <v>21</v>
      </c>
      <c r="D1500" s="60" t="s">
        <v>90</v>
      </c>
      <c r="E1500" s="89">
        <f t="shared" si="345"/>
        <v>41518</v>
      </c>
      <c r="F1500" s="61"/>
      <c r="G1500" s="92">
        <v>3146</v>
      </c>
      <c r="H1500" s="138">
        <v>626</v>
      </c>
      <c r="I1500" s="138" t="s">
        <v>92</v>
      </c>
      <c r="J1500" s="141">
        <f t="shared" si="343"/>
        <v>0.36</v>
      </c>
      <c r="K1500" s="95">
        <f t="shared" si="336"/>
        <v>31.241310824230386</v>
      </c>
      <c r="L1500" s="95">
        <f t="shared" si="337"/>
        <v>0.79358558558558556</v>
      </c>
      <c r="M1500" s="133">
        <f t="shared" si="338"/>
        <v>225.35999999999999</v>
      </c>
      <c r="N1500" s="133">
        <f t="shared" si="339"/>
        <v>3371.36</v>
      </c>
      <c r="O1500" s="134">
        <f t="shared" si="340"/>
        <v>33.479245283018869</v>
      </c>
      <c r="P1500" s="134">
        <f t="shared" si="342"/>
        <v>0.85043315315315315</v>
      </c>
      <c r="R1500" s="149">
        <f t="shared" si="333"/>
        <v>2.7671936060086999</v>
      </c>
      <c r="S1500" s="140">
        <f t="shared" si="344"/>
        <v>33.458523667659719</v>
      </c>
    </row>
    <row r="1501" spans="1:19" ht="14.45" x14ac:dyDescent="0.3">
      <c r="A1501" s="60" t="s">
        <v>134</v>
      </c>
      <c r="B1501" s="60" t="s">
        <v>16</v>
      </c>
      <c r="C1501" s="60" t="s">
        <v>6</v>
      </c>
      <c r="D1501" s="60" t="s">
        <v>90</v>
      </c>
      <c r="E1501" s="89">
        <f t="shared" si="345"/>
        <v>41518</v>
      </c>
      <c r="F1501" s="61"/>
      <c r="G1501" s="92">
        <v>5065</v>
      </c>
      <c r="H1501" s="138">
        <v>1823</v>
      </c>
      <c r="I1501" s="138" t="s">
        <v>92</v>
      </c>
      <c r="J1501" s="141">
        <f t="shared" si="343"/>
        <v>0.36</v>
      </c>
      <c r="K1501" s="95">
        <f t="shared" si="336"/>
        <v>50.297914597815293</v>
      </c>
      <c r="L1501" s="95">
        <f t="shared" si="337"/>
        <v>1.2776576576576577</v>
      </c>
      <c r="M1501" s="133">
        <f t="shared" si="338"/>
        <v>656.28</v>
      </c>
      <c r="N1501" s="133">
        <f t="shared" si="339"/>
        <v>5721.28</v>
      </c>
      <c r="O1501" s="134">
        <f t="shared" si="340"/>
        <v>56.81509433962264</v>
      </c>
      <c r="P1501" s="134">
        <f t="shared" si="342"/>
        <v>1.4432057657657658</v>
      </c>
      <c r="R1501" s="149">
        <f t="shared" si="333"/>
        <v>2.4109519402712554</v>
      </c>
      <c r="S1501" s="140">
        <f t="shared" si="344"/>
        <v>56.75475008275405</v>
      </c>
    </row>
    <row r="1502" spans="1:19" ht="14.45" x14ac:dyDescent="0.3">
      <c r="A1502" s="60" t="s">
        <v>22</v>
      </c>
      <c r="B1502" s="60" t="s">
        <v>23</v>
      </c>
      <c r="C1502" s="60" t="s">
        <v>7</v>
      </c>
      <c r="D1502" s="60" t="s">
        <v>90</v>
      </c>
      <c r="E1502" s="89">
        <f t="shared" si="345"/>
        <v>41518</v>
      </c>
      <c r="F1502" s="61"/>
      <c r="G1502" s="92">
        <v>3444</v>
      </c>
      <c r="H1502" s="138">
        <v>1295</v>
      </c>
      <c r="I1502" s="138" t="s">
        <v>95</v>
      </c>
      <c r="J1502" s="141">
        <f t="shared" si="343"/>
        <v>0.30480000000000002</v>
      </c>
      <c r="K1502" s="95">
        <f t="shared" si="336"/>
        <v>34.200595829195628</v>
      </c>
      <c r="L1502" s="95">
        <f t="shared" si="337"/>
        <v>0.93081081081081085</v>
      </c>
      <c r="M1502" s="133">
        <f t="shared" si="338"/>
        <v>394.71600000000001</v>
      </c>
      <c r="N1502" s="133">
        <f t="shared" si="339"/>
        <v>3838.7159999999999</v>
      </c>
      <c r="O1502" s="134">
        <f t="shared" si="340"/>
        <v>38.120317775571003</v>
      </c>
      <c r="P1502" s="134">
        <f t="shared" si="342"/>
        <v>1.0374908108108107</v>
      </c>
      <c r="R1502" s="149">
        <f t="shared" si="333"/>
        <v>8.5480796964161563</v>
      </c>
      <c r="S1502" s="140">
        <f t="shared" si="344"/>
        <v>37.532727573651108</v>
      </c>
    </row>
    <row r="1503" spans="1:19" ht="14.45" x14ac:dyDescent="0.3">
      <c r="A1503" s="60" t="s">
        <v>22</v>
      </c>
      <c r="B1503" s="60" t="s">
        <v>14</v>
      </c>
      <c r="C1503" s="60" t="s">
        <v>24</v>
      </c>
      <c r="D1503" s="60" t="s">
        <v>90</v>
      </c>
      <c r="E1503" s="89">
        <f t="shared" si="345"/>
        <v>41518</v>
      </c>
      <c r="F1503" s="61"/>
      <c r="G1503" s="92">
        <v>3575</v>
      </c>
      <c r="H1503" s="138">
        <v>615</v>
      </c>
      <c r="I1503" s="138" t="s">
        <v>94</v>
      </c>
      <c r="J1503" s="141">
        <f t="shared" si="343"/>
        <v>0.47</v>
      </c>
      <c r="K1503" s="95">
        <f t="shared" si="336"/>
        <v>35.501489572989072</v>
      </c>
      <c r="L1503" s="95">
        <f t="shared" si="337"/>
        <v>0.96621621621621623</v>
      </c>
      <c r="M1503" s="133">
        <f t="shared" si="338"/>
        <v>289.05</v>
      </c>
      <c r="N1503" s="133">
        <f t="shared" si="339"/>
        <v>3864.05</v>
      </c>
      <c r="O1503" s="134">
        <f t="shared" si="340"/>
        <v>38.371896722939425</v>
      </c>
      <c r="P1503" s="134">
        <f t="shared" si="342"/>
        <v>1.0443378378378378</v>
      </c>
      <c r="R1503" s="149">
        <f t="shared" si="333"/>
        <v>2.5599851364263904</v>
      </c>
      <c r="S1503" s="140">
        <f t="shared" si="344"/>
        <v>38.371896722939425</v>
      </c>
    </row>
    <row r="1504" spans="1:19" ht="14.45" x14ac:dyDescent="0.3">
      <c r="A1504" s="60" t="s">
        <v>22</v>
      </c>
      <c r="B1504" s="60" t="s">
        <v>18</v>
      </c>
      <c r="C1504" s="60" t="s">
        <v>15</v>
      </c>
      <c r="D1504" s="60" t="s">
        <v>90</v>
      </c>
      <c r="E1504" s="89">
        <f t="shared" si="345"/>
        <v>41518</v>
      </c>
      <c r="F1504" s="61"/>
      <c r="G1504" s="92">
        <v>4578</v>
      </c>
      <c r="H1504" s="138">
        <v>872</v>
      </c>
      <c r="I1504" s="138" t="s">
        <v>94</v>
      </c>
      <c r="J1504" s="141">
        <f t="shared" si="343"/>
        <v>0.47</v>
      </c>
      <c r="K1504" s="95">
        <f t="shared" si="336"/>
        <v>45.4617676266137</v>
      </c>
      <c r="L1504" s="95">
        <f t="shared" si="337"/>
        <v>1.2372972972972973</v>
      </c>
      <c r="M1504" s="133">
        <f t="shared" si="338"/>
        <v>409.84</v>
      </c>
      <c r="N1504" s="133">
        <f t="shared" si="339"/>
        <v>4987.84</v>
      </c>
      <c r="O1504" s="134">
        <f t="shared" si="340"/>
        <v>49.531678252234357</v>
      </c>
      <c r="P1504" s="134">
        <f t="shared" si="342"/>
        <v>1.348064864864865</v>
      </c>
      <c r="R1504" s="149">
        <f t="shared" si="333"/>
        <v>3.1252842859151198</v>
      </c>
      <c r="S1504" s="140">
        <f t="shared" si="344"/>
        <v>49.53167825223435</v>
      </c>
    </row>
    <row r="1505" spans="1:19" ht="14.45" x14ac:dyDescent="0.3">
      <c r="A1505" s="60" t="s">
        <v>22</v>
      </c>
      <c r="B1505" s="60" t="s">
        <v>18</v>
      </c>
      <c r="C1505" s="60" t="s">
        <v>24</v>
      </c>
      <c r="D1505" s="60" t="s">
        <v>90</v>
      </c>
      <c r="E1505" s="89">
        <f t="shared" si="345"/>
        <v>41518</v>
      </c>
      <c r="F1505" s="61"/>
      <c r="G1505" s="92">
        <v>3267</v>
      </c>
      <c r="H1505" s="138">
        <v>417</v>
      </c>
      <c r="I1505" s="138" t="s">
        <v>94</v>
      </c>
      <c r="J1505" s="141">
        <f t="shared" si="343"/>
        <v>0.47</v>
      </c>
      <c r="K1505" s="95">
        <f t="shared" si="336"/>
        <v>32.442899702085398</v>
      </c>
      <c r="L1505" s="95">
        <f t="shared" si="337"/>
        <v>0.88297297297297295</v>
      </c>
      <c r="M1505" s="133">
        <f t="shared" si="338"/>
        <v>195.98999999999998</v>
      </c>
      <c r="N1505" s="133">
        <f t="shared" si="339"/>
        <v>3462.99</v>
      </c>
      <c r="O1505" s="134">
        <f t="shared" si="340"/>
        <v>34.389175769612706</v>
      </c>
      <c r="P1505" s="134">
        <f t="shared" si="342"/>
        <v>0.93594324324324318</v>
      </c>
      <c r="R1505" s="149">
        <f t="shared" si="333"/>
        <v>2.6837816680899351</v>
      </c>
      <c r="S1505" s="140">
        <f t="shared" si="344"/>
        <v>34.389175769612706</v>
      </c>
    </row>
    <row r="1506" spans="1:19" ht="14.45" x14ac:dyDescent="0.3">
      <c r="A1506" s="60" t="s">
        <v>22</v>
      </c>
      <c r="B1506" s="60" t="s">
        <v>13</v>
      </c>
      <c r="C1506" s="60" t="s">
        <v>7</v>
      </c>
      <c r="D1506" s="60" t="s">
        <v>90</v>
      </c>
      <c r="E1506" s="89">
        <f t="shared" si="345"/>
        <v>41518</v>
      </c>
      <c r="F1506" s="61"/>
      <c r="G1506" s="92">
        <v>3599</v>
      </c>
      <c r="H1506" s="138">
        <v>1006</v>
      </c>
      <c r="I1506" s="138" t="s">
        <v>92</v>
      </c>
      <c r="J1506" s="141">
        <f t="shared" si="343"/>
        <v>0.36</v>
      </c>
      <c r="K1506" s="95">
        <f t="shared" si="336"/>
        <v>35.73982125124131</v>
      </c>
      <c r="L1506" s="95">
        <f t="shared" si="337"/>
        <v>0.97270270270270265</v>
      </c>
      <c r="M1506" s="133">
        <f t="shared" si="338"/>
        <v>362.15999999999997</v>
      </c>
      <c r="N1506" s="133">
        <f t="shared" si="339"/>
        <v>3961.16</v>
      </c>
      <c r="O1506" s="134">
        <f t="shared" si="340"/>
        <v>39.336246276067527</v>
      </c>
      <c r="P1506" s="134">
        <f t="shared" si="342"/>
        <v>1.0705837837837837</v>
      </c>
      <c r="R1506" s="149">
        <f t="shared" si="333"/>
        <v>6.6553939439630838</v>
      </c>
      <c r="S1506" s="140">
        <f t="shared" si="344"/>
        <v>39.302946044356169</v>
      </c>
    </row>
    <row r="1507" spans="1:19" ht="14.45" x14ac:dyDescent="0.3">
      <c r="A1507" s="60" t="s">
        <v>1</v>
      </c>
      <c r="B1507" s="60" t="s">
        <v>25</v>
      </c>
      <c r="C1507" s="60" t="s">
        <v>26</v>
      </c>
      <c r="D1507" s="60" t="s">
        <v>91</v>
      </c>
      <c r="E1507" s="89">
        <f t="shared" si="345"/>
        <v>41518</v>
      </c>
      <c r="F1507" s="61"/>
      <c r="G1507" s="92">
        <v>3678</v>
      </c>
      <c r="H1507" s="138">
        <v>880</v>
      </c>
      <c r="I1507" s="138" t="s">
        <v>93</v>
      </c>
      <c r="J1507" s="141">
        <f t="shared" si="343"/>
        <v>0.35</v>
      </c>
      <c r="K1507" s="95">
        <f t="shared" si="336"/>
        <v>36.524329692154915</v>
      </c>
      <c r="L1507" s="95">
        <f t="shared" si="337"/>
        <v>0.994054054054054</v>
      </c>
      <c r="M1507" s="133">
        <f t="shared" si="338"/>
        <v>308</v>
      </c>
      <c r="N1507" s="133">
        <f t="shared" si="339"/>
        <v>3986</v>
      </c>
      <c r="O1507" s="134">
        <f t="shared" si="340"/>
        <v>39.582919563058589</v>
      </c>
      <c r="P1507" s="134">
        <f t="shared" si="342"/>
        <v>1.0772972972972974</v>
      </c>
      <c r="R1507" s="149">
        <f t="shared" si="333"/>
        <v>6.1857317917843213</v>
      </c>
      <c r="S1507" s="140">
        <f t="shared" si="344"/>
        <v>39.229394240317781</v>
      </c>
    </row>
    <row r="1508" spans="1:19" ht="14.45" x14ac:dyDescent="0.3">
      <c r="A1508" s="60" t="s">
        <v>1</v>
      </c>
      <c r="B1508" s="60" t="s">
        <v>2</v>
      </c>
      <c r="C1508" s="60" t="s">
        <v>9</v>
      </c>
      <c r="D1508" s="60" t="s">
        <v>91</v>
      </c>
      <c r="E1508" s="89">
        <f t="shared" si="345"/>
        <v>41518</v>
      </c>
      <c r="F1508" s="61"/>
      <c r="G1508" s="92">
        <v>3798</v>
      </c>
      <c r="H1508" s="138">
        <v>685</v>
      </c>
      <c r="I1508" s="138" t="s">
        <v>93</v>
      </c>
      <c r="J1508" s="141">
        <f t="shared" si="343"/>
        <v>0.35</v>
      </c>
      <c r="K1508" s="95">
        <f t="shared" si="336"/>
        <v>37.715988083416086</v>
      </c>
      <c r="L1508" s="95">
        <f t="shared" si="337"/>
        <v>1.0264864864864864</v>
      </c>
      <c r="M1508" s="133">
        <f t="shared" si="338"/>
        <v>239.74999999999997</v>
      </c>
      <c r="N1508" s="133">
        <f t="shared" si="339"/>
        <v>4037.75</v>
      </c>
      <c r="O1508" s="134">
        <f t="shared" si="340"/>
        <v>40.096822244289967</v>
      </c>
      <c r="P1508" s="134">
        <f t="shared" si="342"/>
        <v>1.0912837837837839</v>
      </c>
      <c r="R1508" s="149">
        <f t="shared" si="333"/>
        <v>4.9761462165429649</v>
      </c>
      <c r="S1508" s="140">
        <f t="shared" si="344"/>
        <v>40.074147633234027</v>
      </c>
    </row>
    <row r="1509" spans="1:19" ht="14.45" x14ac:dyDescent="0.3">
      <c r="A1509" s="60" t="s">
        <v>1</v>
      </c>
      <c r="B1509" s="60" t="s">
        <v>27</v>
      </c>
      <c r="C1509" s="60" t="s">
        <v>28</v>
      </c>
      <c r="D1509" s="60" t="s">
        <v>91</v>
      </c>
      <c r="E1509" s="89">
        <f t="shared" si="345"/>
        <v>41518</v>
      </c>
      <c r="F1509" s="61"/>
      <c r="G1509" s="92">
        <v>3771</v>
      </c>
      <c r="H1509" s="138">
        <v>812</v>
      </c>
      <c r="I1509" s="138" t="s">
        <v>94</v>
      </c>
      <c r="J1509" s="141">
        <f t="shared" si="343"/>
        <v>0.47</v>
      </c>
      <c r="K1509" s="95">
        <f t="shared" si="336"/>
        <v>37.447864945382321</v>
      </c>
      <c r="L1509" s="95">
        <f t="shared" si="337"/>
        <v>1.0191891891891891</v>
      </c>
      <c r="M1509" s="133">
        <f t="shared" si="338"/>
        <v>381.64</v>
      </c>
      <c r="N1509" s="133">
        <f t="shared" si="339"/>
        <v>4152.6400000000003</v>
      </c>
      <c r="O1509" s="134">
        <f t="shared" si="340"/>
        <v>41.237735849056605</v>
      </c>
      <c r="P1509" s="134">
        <f t="shared" si="342"/>
        <v>1.1223351351351352</v>
      </c>
      <c r="R1509" s="149">
        <f t="shared" si="333"/>
        <v>3.7568585906033514</v>
      </c>
      <c r="S1509" s="140">
        <f t="shared" si="344"/>
        <v>41.237735849056605</v>
      </c>
    </row>
    <row r="1510" spans="1:19" ht="14.45" x14ac:dyDescent="0.3">
      <c r="A1510" s="60" t="s">
        <v>1</v>
      </c>
      <c r="B1510" s="60" t="s">
        <v>4</v>
      </c>
      <c r="C1510" s="60" t="s">
        <v>26</v>
      </c>
      <c r="D1510" s="60" t="s">
        <v>91</v>
      </c>
      <c r="E1510" s="89">
        <f t="shared" si="345"/>
        <v>41518</v>
      </c>
      <c r="F1510" s="61"/>
      <c r="G1510" s="92">
        <v>5159</v>
      </c>
      <c r="H1510" s="138">
        <v>1520</v>
      </c>
      <c r="I1510" s="138" t="s">
        <v>93</v>
      </c>
      <c r="J1510" s="141">
        <f t="shared" si="343"/>
        <v>0.35</v>
      </c>
      <c r="K1510" s="95">
        <f t="shared" si="336"/>
        <v>51.231380337636544</v>
      </c>
      <c r="L1510" s="95">
        <f t="shared" si="337"/>
        <v>1.3943243243243244</v>
      </c>
      <c r="M1510" s="133">
        <f t="shared" si="338"/>
        <v>532</v>
      </c>
      <c r="N1510" s="133">
        <f t="shared" si="339"/>
        <v>5691</v>
      </c>
      <c r="O1510" s="134">
        <f t="shared" si="340"/>
        <v>56.51439920556107</v>
      </c>
      <c r="P1510" s="134">
        <f t="shared" si="342"/>
        <v>1.5381081081081081</v>
      </c>
      <c r="R1510" s="149">
        <f t="shared" si="333"/>
        <v>4.7256265871701508</v>
      </c>
      <c r="S1510" s="140">
        <f t="shared" si="344"/>
        <v>56.139688844753387</v>
      </c>
    </row>
    <row r="1511" spans="1:19" ht="14.45" x14ac:dyDescent="0.3">
      <c r="A1511" s="60" t="s">
        <v>1</v>
      </c>
      <c r="B1511" s="60" t="s">
        <v>4</v>
      </c>
      <c r="C1511" s="60" t="s">
        <v>9</v>
      </c>
      <c r="D1511" s="60" t="s">
        <v>91</v>
      </c>
      <c r="E1511" s="89">
        <f t="shared" si="345"/>
        <v>41518</v>
      </c>
      <c r="F1511" s="61"/>
      <c r="G1511" s="92">
        <v>6084</v>
      </c>
      <c r="H1511" s="138">
        <v>1583</v>
      </c>
      <c r="I1511" s="138" t="s">
        <v>93</v>
      </c>
      <c r="J1511" s="141">
        <f t="shared" si="343"/>
        <v>0.35</v>
      </c>
      <c r="K1511" s="95">
        <f t="shared" si="336"/>
        <v>60.417080436941411</v>
      </c>
      <c r="L1511" s="95">
        <f t="shared" si="337"/>
        <v>1.6443243243243244</v>
      </c>
      <c r="M1511" s="133">
        <f t="shared" si="338"/>
        <v>554.04999999999995</v>
      </c>
      <c r="N1511" s="133">
        <f t="shared" si="339"/>
        <v>6638.05</v>
      </c>
      <c r="O1511" s="134">
        <f t="shared" si="340"/>
        <v>65.919066534260182</v>
      </c>
      <c r="P1511" s="134">
        <f t="shared" si="342"/>
        <v>1.7940675675675677</v>
      </c>
      <c r="R1511" s="149">
        <f t="shared" si="333"/>
        <v>2.5224217843832886</v>
      </c>
      <c r="S1511" s="140">
        <f t="shared" si="344"/>
        <v>66.181132075471695</v>
      </c>
    </row>
    <row r="1512" spans="1:19" ht="14.45" x14ac:dyDescent="0.3">
      <c r="A1512" s="60" t="s">
        <v>1</v>
      </c>
      <c r="B1512" s="60" t="s">
        <v>10</v>
      </c>
      <c r="C1512" s="60" t="s">
        <v>26</v>
      </c>
      <c r="D1512" s="60" t="s">
        <v>91</v>
      </c>
      <c r="E1512" s="89">
        <f t="shared" si="345"/>
        <v>41518</v>
      </c>
      <c r="F1512" s="61"/>
      <c r="G1512" s="92">
        <v>5043</v>
      </c>
      <c r="H1512" s="138">
        <v>1599</v>
      </c>
      <c r="I1512" s="138" t="s">
        <v>92</v>
      </c>
      <c r="J1512" s="141">
        <f t="shared" si="343"/>
        <v>0.36</v>
      </c>
      <c r="K1512" s="95">
        <f t="shared" si="336"/>
        <v>50.079443892750746</v>
      </c>
      <c r="L1512" s="95">
        <f t="shared" si="337"/>
        <v>1.3629729729729729</v>
      </c>
      <c r="M1512" s="133">
        <f t="shared" si="338"/>
        <v>575.64</v>
      </c>
      <c r="N1512" s="133">
        <f t="shared" si="339"/>
        <v>5618.64</v>
      </c>
      <c r="O1512" s="134">
        <f t="shared" si="340"/>
        <v>55.795829195630589</v>
      </c>
      <c r="P1512" s="134">
        <f t="shared" si="342"/>
        <v>1.5185513513513513</v>
      </c>
      <c r="R1512" s="149">
        <f t="shared" si="333"/>
        <v>3.901310545946779</v>
      </c>
      <c r="S1512" s="140">
        <f t="shared" si="344"/>
        <v>55.742899702085403</v>
      </c>
    </row>
    <row r="1513" spans="1:19" ht="14.45" x14ac:dyDescent="0.3">
      <c r="A1513" s="60" t="s">
        <v>134</v>
      </c>
      <c r="B1513" s="60" t="s">
        <v>23</v>
      </c>
      <c r="C1513" s="60" t="s">
        <v>26</v>
      </c>
      <c r="D1513" s="60" t="s">
        <v>91</v>
      </c>
      <c r="E1513" s="89">
        <f t="shared" si="345"/>
        <v>41518</v>
      </c>
      <c r="F1513" s="61"/>
      <c r="G1513" s="92">
        <v>4800</v>
      </c>
      <c r="H1513" s="138">
        <v>1851</v>
      </c>
      <c r="I1513" s="138" t="s">
        <v>93</v>
      </c>
      <c r="J1513" s="141">
        <f t="shared" si="343"/>
        <v>0.35</v>
      </c>
      <c r="K1513" s="95">
        <f t="shared" si="336"/>
        <v>47.666335650446868</v>
      </c>
      <c r="L1513" s="95">
        <f t="shared" si="337"/>
        <v>1.2108108108108109</v>
      </c>
      <c r="M1513" s="133">
        <f t="shared" si="338"/>
        <v>647.84999999999991</v>
      </c>
      <c r="N1513" s="133">
        <f t="shared" si="339"/>
        <v>5447.85</v>
      </c>
      <c r="O1513" s="134">
        <f t="shared" si="340"/>
        <v>54.099801390268127</v>
      </c>
      <c r="P1513" s="134">
        <f t="shared" si="342"/>
        <v>1.3742324324324326</v>
      </c>
      <c r="R1513" s="149">
        <f t="shared" si="333"/>
        <v>1.377793409145478</v>
      </c>
      <c r="S1513" s="140">
        <f t="shared" si="344"/>
        <v>54.038530287984109</v>
      </c>
    </row>
    <row r="1514" spans="1:19" ht="14.45" x14ac:dyDescent="0.3">
      <c r="A1514" s="60" t="s">
        <v>134</v>
      </c>
      <c r="B1514" s="60" t="s">
        <v>8</v>
      </c>
      <c r="C1514" s="60" t="s">
        <v>29</v>
      </c>
      <c r="D1514" s="60" t="s">
        <v>91</v>
      </c>
      <c r="E1514" s="89">
        <f t="shared" si="345"/>
        <v>41518</v>
      </c>
      <c r="F1514" s="61"/>
      <c r="G1514" s="92">
        <v>4760</v>
      </c>
      <c r="H1514" s="138">
        <v>1695</v>
      </c>
      <c r="I1514" s="138" t="s">
        <v>93</v>
      </c>
      <c r="J1514" s="141">
        <f t="shared" si="343"/>
        <v>0.35</v>
      </c>
      <c r="K1514" s="95">
        <f t="shared" si="336"/>
        <v>47.269116186693147</v>
      </c>
      <c r="L1514" s="95">
        <f t="shared" si="337"/>
        <v>1.2007207207207207</v>
      </c>
      <c r="M1514" s="133">
        <f t="shared" si="338"/>
        <v>593.25</v>
      </c>
      <c r="N1514" s="133">
        <f t="shared" si="339"/>
        <v>5353.25</v>
      </c>
      <c r="O1514" s="134">
        <f t="shared" si="340"/>
        <v>53.160377358490564</v>
      </c>
      <c r="P1514" s="134">
        <f t="shared" si="342"/>
        <v>1.3503693693693695</v>
      </c>
      <c r="R1514" s="149">
        <f t="shared" ref="R1514:R1551" si="346">((N1514/N1058)-1)*100</f>
        <v>1.2827668410447579</v>
      </c>
      <c r="S1514" s="140">
        <f t="shared" si="344"/>
        <v>53.104270109235351</v>
      </c>
    </row>
    <row r="1515" spans="1:19" ht="14.45" x14ac:dyDescent="0.3">
      <c r="A1515" s="60" t="s">
        <v>134</v>
      </c>
      <c r="B1515" s="60" t="s">
        <v>13</v>
      </c>
      <c r="C1515" s="60" t="s">
        <v>7</v>
      </c>
      <c r="D1515" s="60" t="s">
        <v>91</v>
      </c>
      <c r="E1515" s="89">
        <f t="shared" si="345"/>
        <v>41518</v>
      </c>
      <c r="F1515" s="61"/>
      <c r="G1515" s="92">
        <v>2929</v>
      </c>
      <c r="H1515" s="138">
        <v>1006</v>
      </c>
      <c r="I1515" s="138" t="s">
        <v>92</v>
      </c>
      <c r="J1515" s="141">
        <f t="shared" si="343"/>
        <v>0.36</v>
      </c>
      <c r="K1515" s="95">
        <f t="shared" si="336"/>
        <v>29.086395233366435</v>
      </c>
      <c r="L1515" s="95">
        <f t="shared" si="337"/>
        <v>0.73884684684684687</v>
      </c>
      <c r="M1515" s="133">
        <f t="shared" si="338"/>
        <v>362.15999999999997</v>
      </c>
      <c r="N1515" s="133">
        <f t="shared" si="339"/>
        <v>3291.16</v>
      </c>
      <c r="O1515" s="134">
        <f t="shared" si="340"/>
        <v>32.682820258192649</v>
      </c>
      <c r="P1515" s="134">
        <f t="shared" si="342"/>
        <v>0.83020252252252247</v>
      </c>
      <c r="R1515" s="149">
        <f t="shared" si="346"/>
        <v>3.2041593236708854</v>
      </c>
      <c r="S1515" s="140">
        <f t="shared" si="344"/>
        <v>32.649520026481291</v>
      </c>
    </row>
    <row r="1516" spans="1:19" ht="14.45" x14ac:dyDescent="0.3">
      <c r="A1516" s="60" t="s">
        <v>134</v>
      </c>
      <c r="B1516" s="60" t="s">
        <v>30</v>
      </c>
      <c r="C1516" s="60" t="s">
        <v>9</v>
      </c>
      <c r="D1516" s="60" t="s">
        <v>91</v>
      </c>
      <c r="E1516" s="89">
        <f t="shared" si="345"/>
        <v>41518</v>
      </c>
      <c r="F1516" s="61"/>
      <c r="G1516" s="92">
        <v>3310</v>
      </c>
      <c r="H1516" s="138">
        <v>988</v>
      </c>
      <c r="I1516" s="138" t="s">
        <v>93</v>
      </c>
      <c r="J1516" s="141">
        <f t="shared" si="343"/>
        <v>0.35</v>
      </c>
      <c r="K1516" s="95">
        <f t="shared" si="336"/>
        <v>32.869910625620655</v>
      </c>
      <c r="L1516" s="95">
        <f t="shared" si="337"/>
        <v>0.83495495495495498</v>
      </c>
      <c r="M1516" s="133">
        <f t="shared" si="338"/>
        <v>345.79999999999995</v>
      </c>
      <c r="N1516" s="133">
        <f t="shared" si="339"/>
        <v>3655.8</v>
      </c>
      <c r="O1516" s="134">
        <f t="shared" si="340"/>
        <v>36.303872889771597</v>
      </c>
      <c r="P1516" s="134">
        <f t="shared" si="342"/>
        <v>0.92218378378378385</v>
      </c>
      <c r="R1516" s="149">
        <f t="shared" si="346"/>
        <v>1.0928357317464554</v>
      </c>
      <c r="S1516" s="140">
        <f t="shared" si="344"/>
        <v>36.271168487255878</v>
      </c>
    </row>
    <row r="1517" spans="1:19" ht="14.45" x14ac:dyDescent="0.3">
      <c r="A1517" s="60" t="s">
        <v>134</v>
      </c>
      <c r="B1517" s="60" t="s">
        <v>16</v>
      </c>
      <c r="C1517" s="60" t="s">
        <v>11</v>
      </c>
      <c r="D1517" s="60" t="s">
        <v>91</v>
      </c>
      <c r="E1517" s="89">
        <f t="shared" si="345"/>
        <v>41518</v>
      </c>
      <c r="F1517" s="61"/>
      <c r="G1517" s="92">
        <v>3510</v>
      </c>
      <c r="H1517" s="138">
        <v>787</v>
      </c>
      <c r="I1517" s="138" t="s">
        <v>92</v>
      </c>
      <c r="J1517" s="141">
        <f t="shared" si="343"/>
        <v>0.36</v>
      </c>
      <c r="K1517" s="95">
        <f t="shared" si="336"/>
        <v>34.856007944389276</v>
      </c>
      <c r="L1517" s="95">
        <f t="shared" si="337"/>
        <v>0.88540540540540547</v>
      </c>
      <c r="M1517" s="133">
        <f t="shared" si="338"/>
        <v>283.32</v>
      </c>
      <c r="N1517" s="133">
        <f t="shared" si="339"/>
        <v>3793.32</v>
      </c>
      <c r="O1517" s="134">
        <f t="shared" si="340"/>
        <v>37.669513406156902</v>
      </c>
      <c r="P1517" s="134">
        <f t="shared" si="342"/>
        <v>0.95687351351351357</v>
      </c>
      <c r="R1517" s="149">
        <f t="shared" si="346"/>
        <v>2.8080797677866309</v>
      </c>
      <c r="S1517" s="140">
        <f t="shared" si="344"/>
        <v>37.643462429659053</v>
      </c>
    </row>
    <row r="1518" spans="1:19" ht="14.45" x14ac:dyDescent="0.3">
      <c r="A1518" s="60" t="s">
        <v>134</v>
      </c>
      <c r="B1518" s="60" t="s">
        <v>23</v>
      </c>
      <c r="C1518" s="60" t="s">
        <v>29</v>
      </c>
      <c r="D1518" s="60" t="s">
        <v>91</v>
      </c>
      <c r="E1518" s="89">
        <f t="shared" si="345"/>
        <v>41518</v>
      </c>
      <c r="F1518" s="61"/>
      <c r="G1518" s="92">
        <v>4800</v>
      </c>
      <c r="H1518" s="138">
        <v>1836</v>
      </c>
      <c r="I1518" s="138" t="s">
        <v>93</v>
      </c>
      <c r="J1518" s="141">
        <f t="shared" si="343"/>
        <v>0.35</v>
      </c>
      <c r="K1518" s="95">
        <f t="shared" si="336"/>
        <v>47.666335650446868</v>
      </c>
      <c r="L1518" s="95">
        <f t="shared" si="337"/>
        <v>1.2108108108108109</v>
      </c>
      <c r="M1518" s="133">
        <f t="shared" si="338"/>
        <v>642.59999999999991</v>
      </c>
      <c r="N1518" s="133">
        <f t="shared" si="339"/>
        <v>5442.6</v>
      </c>
      <c r="O1518" s="134">
        <f t="shared" si="340"/>
        <v>54.047666335650447</v>
      </c>
      <c r="P1518" s="134">
        <f t="shared" si="342"/>
        <v>1.3729081081081083</v>
      </c>
      <c r="R1518" s="149">
        <f t="shared" si="346"/>
        <v>1.3678117247390764</v>
      </c>
      <c r="S1518" s="140">
        <f t="shared" si="344"/>
        <v>53.986891757696128</v>
      </c>
    </row>
    <row r="1519" spans="1:19" ht="14.45" x14ac:dyDescent="0.3">
      <c r="A1519" s="60" t="s">
        <v>134</v>
      </c>
      <c r="B1519" s="60" t="s">
        <v>31</v>
      </c>
      <c r="C1519" s="60" t="s">
        <v>32</v>
      </c>
      <c r="D1519" s="60" t="s">
        <v>91</v>
      </c>
      <c r="E1519" s="89">
        <f t="shared" si="345"/>
        <v>41518</v>
      </c>
      <c r="F1519" s="61"/>
      <c r="G1519" s="92">
        <v>4200</v>
      </c>
      <c r="H1519" s="138">
        <v>1899</v>
      </c>
      <c r="I1519" s="138" t="s">
        <v>93</v>
      </c>
      <c r="J1519" s="141">
        <f t="shared" si="343"/>
        <v>0.35</v>
      </c>
      <c r="K1519" s="95">
        <f t="shared" si="336"/>
        <v>41.708043694141011</v>
      </c>
      <c r="L1519" s="95">
        <f t="shared" si="337"/>
        <v>1.0594594594594595</v>
      </c>
      <c r="M1519" s="133">
        <f t="shared" si="338"/>
        <v>664.65</v>
      </c>
      <c r="N1519" s="133">
        <f t="shared" si="339"/>
        <v>4864.6499999999996</v>
      </c>
      <c r="O1519" s="134">
        <f t="shared" si="340"/>
        <v>48.308341608738822</v>
      </c>
      <c r="P1519" s="134">
        <f t="shared" si="342"/>
        <v>1.2271189189189189</v>
      </c>
      <c r="R1519" s="149">
        <f t="shared" si="346"/>
        <v>1.5862375722796918</v>
      </c>
      <c r="S1519" s="140">
        <f t="shared" si="344"/>
        <v>48.245481628599798</v>
      </c>
    </row>
    <row r="1520" spans="1:19" ht="14.45" x14ac:dyDescent="0.3">
      <c r="A1520" s="60" t="s">
        <v>22</v>
      </c>
      <c r="B1520" s="60" t="s">
        <v>8</v>
      </c>
      <c r="C1520" s="60" t="s">
        <v>29</v>
      </c>
      <c r="D1520" s="60" t="s">
        <v>91</v>
      </c>
      <c r="E1520" s="89">
        <f t="shared" si="345"/>
        <v>41518</v>
      </c>
      <c r="F1520" s="61"/>
      <c r="G1520" s="92">
        <v>5320</v>
      </c>
      <c r="H1520" s="138">
        <v>1695</v>
      </c>
      <c r="I1520" s="138" t="s">
        <v>93</v>
      </c>
      <c r="J1520" s="141">
        <f t="shared" si="343"/>
        <v>0.35</v>
      </c>
      <c r="K1520" s="95">
        <f t="shared" si="336"/>
        <v>52.830188679245282</v>
      </c>
      <c r="L1520" s="95">
        <f t="shared" si="337"/>
        <v>1.4378378378378378</v>
      </c>
      <c r="M1520" s="133">
        <f t="shared" si="338"/>
        <v>593.25</v>
      </c>
      <c r="N1520" s="133">
        <f t="shared" si="339"/>
        <v>5913.25</v>
      </c>
      <c r="O1520" s="134">
        <f t="shared" si="340"/>
        <v>58.721449851042699</v>
      </c>
      <c r="P1520" s="134">
        <f t="shared" si="342"/>
        <v>1.5981756756756758</v>
      </c>
      <c r="R1520" s="149">
        <f t="shared" si="346"/>
        <v>6.2492700500408782</v>
      </c>
      <c r="S1520" s="140">
        <f t="shared" si="344"/>
        <v>58.665342601787493</v>
      </c>
    </row>
    <row r="1521" spans="1:19" ht="14.45" x14ac:dyDescent="0.3">
      <c r="A1521" s="60" t="s">
        <v>22</v>
      </c>
      <c r="B1521" s="60" t="s">
        <v>23</v>
      </c>
      <c r="C1521" s="60" t="s">
        <v>26</v>
      </c>
      <c r="D1521" s="60" t="s">
        <v>91</v>
      </c>
      <c r="E1521" s="89">
        <f t="shared" si="345"/>
        <v>41518</v>
      </c>
      <c r="F1521" s="61"/>
      <c r="G1521" s="92">
        <v>5330</v>
      </c>
      <c r="H1521" s="138">
        <v>1851</v>
      </c>
      <c r="I1521" s="138" t="s">
        <v>93</v>
      </c>
      <c r="J1521" s="141">
        <f t="shared" si="343"/>
        <v>0.35</v>
      </c>
      <c r="K1521" s="95">
        <f t="shared" si="336"/>
        <v>52.929493545183711</v>
      </c>
      <c r="L1521" s="95">
        <f t="shared" si="337"/>
        <v>1.4405405405405405</v>
      </c>
      <c r="M1521" s="133">
        <f t="shared" si="338"/>
        <v>647.84999999999991</v>
      </c>
      <c r="N1521" s="133">
        <f t="shared" si="339"/>
        <v>5977.85</v>
      </c>
      <c r="O1521" s="134">
        <f t="shared" si="340"/>
        <v>59.362959285004969</v>
      </c>
      <c r="P1521" s="134">
        <f t="shared" si="342"/>
        <v>1.6156351351351352</v>
      </c>
      <c r="R1521" s="149">
        <f t="shared" si="346"/>
        <v>6.6747445041855702</v>
      </c>
      <c r="S1521" s="140">
        <f t="shared" si="344"/>
        <v>59.301688182720959</v>
      </c>
    </row>
    <row r="1522" spans="1:19" ht="14.45" x14ac:dyDescent="0.3">
      <c r="A1522" s="60" t="s">
        <v>22</v>
      </c>
      <c r="B1522" s="60" t="s">
        <v>33</v>
      </c>
      <c r="C1522" s="60" t="s">
        <v>29</v>
      </c>
      <c r="D1522" s="60" t="s">
        <v>91</v>
      </c>
      <c r="E1522" s="89">
        <f t="shared" si="345"/>
        <v>41518</v>
      </c>
      <c r="F1522" s="61"/>
      <c r="G1522" s="92">
        <v>5230</v>
      </c>
      <c r="H1522" s="138">
        <v>1507</v>
      </c>
      <c r="I1522" s="138" t="s">
        <v>93</v>
      </c>
      <c r="J1522" s="141">
        <f t="shared" si="343"/>
        <v>0.35</v>
      </c>
      <c r="K1522" s="95">
        <f t="shared" si="336"/>
        <v>51.936444885799403</v>
      </c>
      <c r="L1522" s="95">
        <f t="shared" si="337"/>
        <v>1.4135135135135135</v>
      </c>
      <c r="M1522" s="133">
        <f t="shared" si="338"/>
        <v>527.44999999999993</v>
      </c>
      <c r="N1522" s="133">
        <f t="shared" si="339"/>
        <v>5757.45</v>
      </c>
      <c r="O1522" s="134">
        <f t="shared" si="340"/>
        <v>57.174280039721943</v>
      </c>
      <c r="P1522" s="134">
        <f t="shared" si="342"/>
        <v>1.5560675675675675</v>
      </c>
      <c r="R1522" s="149">
        <f t="shared" si="346"/>
        <v>6.6753502298426692</v>
      </c>
      <c r="S1522" s="140">
        <f t="shared" si="344"/>
        <v>57.12439589539887</v>
      </c>
    </row>
    <row r="1523" spans="1:19" ht="14.45" x14ac:dyDescent="0.3">
      <c r="A1523" s="60" t="s">
        <v>22</v>
      </c>
      <c r="B1523" s="60" t="s">
        <v>31</v>
      </c>
      <c r="C1523" s="60" t="s">
        <v>7</v>
      </c>
      <c r="D1523" s="60" t="s">
        <v>91</v>
      </c>
      <c r="E1523" s="89">
        <f t="shared" si="345"/>
        <v>41518</v>
      </c>
      <c r="F1523" s="61"/>
      <c r="G1523" s="92">
        <v>3950</v>
      </c>
      <c r="H1523" s="138">
        <v>1160</v>
      </c>
      <c r="I1523" s="138" t="s">
        <v>92</v>
      </c>
      <c r="J1523" s="141">
        <f t="shared" si="343"/>
        <v>0.36</v>
      </c>
      <c r="K1523" s="95">
        <f t="shared" si="336"/>
        <v>39.22542204568024</v>
      </c>
      <c r="L1523" s="95">
        <f t="shared" si="337"/>
        <v>1.0675675675675675</v>
      </c>
      <c r="M1523" s="133">
        <f t="shared" si="338"/>
        <v>417.59999999999997</v>
      </c>
      <c r="N1523" s="133">
        <f t="shared" si="339"/>
        <v>4367.6000000000004</v>
      </c>
      <c r="O1523" s="134">
        <f t="shared" si="340"/>
        <v>43.372393247269116</v>
      </c>
      <c r="P1523" s="134">
        <f t="shared" si="342"/>
        <v>1.1804324324324325</v>
      </c>
      <c r="R1523" s="149">
        <f t="shared" si="346"/>
        <v>14.852214157988852</v>
      </c>
      <c r="S1523" s="140">
        <f t="shared" si="344"/>
        <v>43.333995365772921</v>
      </c>
    </row>
    <row r="1524" spans="1:19" ht="14.45" x14ac:dyDescent="0.3">
      <c r="A1524" s="60" t="s">
        <v>22</v>
      </c>
      <c r="B1524" s="60" t="s">
        <v>14</v>
      </c>
      <c r="C1524" s="60" t="s">
        <v>24</v>
      </c>
      <c r="D1524" s="60" t="s">
        <v>91</v>
      </c>
      <c r="E1524" s="89">
        <f t="shared" si="345"/>
        <v>41518</v>
      </c>
      <c r="F1524" s="61"/>
      <c r="G1524" s="92">
        <v>2750</v>
      </c>
      <c r="H1524" s="138">
        <v>615</v>
      </c>
      <c r="I1524" s="138" t="s">
        <v>94</v>
      </c>
      <c r="J1524" s="141">
        <f t="shared" si="343"/>
        <v>0.47</v>
      </c>
      <c r="K1524" s="95">
        <f t="shared" si="336"/>
        <v>27.308838133068519</v>
      </c>
      <c r="L1524" s="95">
        <f t="shared" si="337"/>
        <v>0.7432432432432432</v>
      </c>
      <c r="M1524" s="133">
        <f t="shared" si="338"/>
        <v>289.05</v>
      </c>
      <c r="N1524" s="133">
        <f t="shared" si="339"/>
        <v>3039.05</v>
      </c>
      <c r="O1524" s="134">
        <f t="shared" si="340"/>
        <v>30.179245283018869</v>
      </c>
      <c r="P1524" s="134">
        <f t="shared" si="342"/>
        <v>0.82136486486486493</v>
      </c>
      <c r="R1524" s="149">
        <f t="shared" si="346"/>
        <v>3.2777135866240759</v>
      </c>
      <c r="S1524" s="140">
        <f t="shared" si="344"/>
        <v>30.179245283018869</v>
      </c>
    </row>
    <row r="1525" spans="1:19" ht="14.45" x14ac:dyDescent="0.3">
      <c r="A1525" s="85" t="s">
        <v>22</v>
      </c>
      <c r="B1525" s="85" t="s">
        <v>34</v>
      </c>
      <c r="C1525" s="85" t="s">
        <v>26</v>
      </c>
      <c r="D1525" s="85" t="s">
        <v>91</v>
      </c>
      <c r="E1525" s="91">
        <f t="shared" si="345"/>
        <v>41518</v>
      </c>
      <c r="F1525" s="86"/>
      <c r="G1525" s="105">
        <v>4960</v>
      </c>
      <c r="H1525" s="143">
        <v>1637</v>
      </c>
      <c r="I1525" s="143" t="s">
        <v>92</v>
      </c>
      <c r="J1525" s="117">
        <f t="shared" si="343"/>
        <v>0.36</v>
      </c>
      <c r="K1525" s="108">
        <f t="shared" si="336"/>
        <v>49.255213505461768</v>
      </c>
      <c r="L1525" s="108">
        <f t="shared" si="337"/>
        <v>1.3405405405405406</v>
      </c>
      <c r="M1525" s="115">
        <f t="shared" si="338"/>
        <v>589.31999999999994</v>
      </c>
      <c r="N1525" s="115">
        <f t="shared" si="339"/>
        <v>5549.32</v>
      </c>
      <c r="O1525" s="116">
        <f t="shared" si="340"/>
        <v>55.107447864945378</v>
      </c>
      <c r="P1525" s="116">
        <f t="shared" si="342"/>
        <v>1.4998162162162161</v>
      </c>
      <c r="Q1525" s="106"/>
      <c r="R1525" s="152">
        <f t="shared" si="346"/>
        <v>5.4961684039230407</v>
      </c>
      <c r="S1525" s="108">
        <f>AVERAGE(O1449,O1487,O1525)</f>
        <v>55.053260509764975</v>
      </c>
    </row>
    <row r="1526" spans="1:19" ht="14.45" x14ac:dyDescent="0.3">
      <c r="A1526" s="161" t="s">
        <v>1</v>
      </c>
      <c r="B1526" s="161" t="s">
        <v>2</v>
      </c>
      <c r="C1526" s="161" t="s">
        <v>3</v>
      </c>
      <c r="D1526" s="161" t="s">
        <v>90</v>
      </c>
      <c r="E1526" s="162">
        <v>41548</v>
      </c>
      <c r="F1526" s="163"/>
      <c r="G1526" s="92">
        <v>3191</v>
      </c>
      <c r="H1526" s="167">
        <v>506</v>
      </c>
      <c r="I1526" s="167" t="s">
        <v>92</v>
      </c>
      <c r="J1526" s="168">
        <f>IF(I1526="BNSF",0.36,IF(I1526="CN",0.3105,IF(I1526="CSX",0.48,0.37)))</f>
        <v>0.37</v>
      </c>
      <c r="K1526" s="169">
        <f t="shared" ref="K1526:K1563" si="347">G1526/100.7</f>
        <v>31.688182720953325</v>
      </c>
      <c r="L1526" s="169">
        <f t="shared" ref="L1526:L1563" si="348">IF(A1526="corn",G1526/(111*2000/56),G1526/(111*2000/60))</f>
        <v>0.86243243243243239</v>
      </c>
      <c r="M1526" s="133">
        <f t="shared" ref="M1526:M1563" si="349">H1526*J1526</f>
        <v>187.22</v>
      </c>
      <c r="N1526" s="133">
        <f t="shared" ref="N1526:N1563" si="350">G1526+M1526</f>
        <v>3378.22</v>
      </c>
      <c r="O1526" s="134">
        <f t="shared" ref="O1526:O1563" si="351">N1526/100.7</f>
        <v>33.547368421052632</v>
      </c>
      <c r="P1526" s="134">
        <f t="shared" ref="P1526:P1563" si="352">IF(A1526="corn",N1526/(111*2000/56),N1526/(111*2000/60))</f>
        <v>0.91303243243243237</v>
      </c>
      <c r="Q1526" s="160"/>
      <c r="R1526" s="149">
        <f t="shared" si="346"/>
        <v>1.2570887335595193</v>
      </c>
    </row>
    <row r="1527" spans="1:19" ht="14.45" x14ac:dyDescent="0.3">
      <c r="A1527" s="161" t="s">
        <v>1</v>
      </c>
      <c r="B1527" s="161" t="s">
        <v>4</v>
      </c>
      <c r="C1527" s="161" t="s">
        <v>5</v>
      </c>
      <c r="D1527" s="161" t="s">
        <v>90</v>
      </c>
      <c r="E1527" s="162">
        <f>E1526</f>
        <v>41548</v>
      </c>
      <c r="F1527" s="163"/>
      <c r="G1527" s="92">
        <v>3596</v>
      </c>
      <c r="H1527" s="167">
        <v>298</v>
      </c>
      <c r="I1527" s="167" t="s">
        <v>93</v>
      </c>
      <c r="J1527" s="168">
        <f t="shared" ref="J1527:J1563" si="353">IF(I1527="BNSF",0.36,IF(I1527="CN",0.3105,IF(I1527="CSX",0.48,0.37)))</f>
        <v>0.36</v>
      </c>
      <c r="K1527" s="169">
        <f t="shared" si="347"/>
        <v>35.710029791459782</v>
      </c>
      <c r="L1527" s="169">
        <f t="shared" si="348"/>
        <v>0.97189189189189185</v>
      </c>
      <c r="M1527" s="133">
        <f t="shared" si="349"/>
        <v>107.28</v>
      </c>
      <c r="N1527" s="133">
        <f t="shared" si="350"/>
        <v>3703.28</v>
      </c>
      <c r="O1527" s="134">
        <f t="shared" si="351"/>
        <v>36.775372393247267</v>
      </c>
      <c r="P1527" s="134">
        <f t="shared" si="352"/>
        <v>1.0008864864864866</v>
      </c>
      <c r="Q1527" s="160"/>
      <c r="R1527" s="149">
        <f t="shared" si="346"/>
        <v>4.0761724897702356</v>
      </c>
    </row>
    <row r="1528" spans="1:19" ht="14.45" x14ac:dyDescent="0.3">
      <c r="A1528" s="161" t="s">
        <v>1</v>
      </c>
      <c r="B1528" s="161" t="s">
        <v>2</v>
      </c>
      <c r="C1528" s="161" t="s">
        <v>6</v>
      </c>
      <c r="D1528" s="161" t="s">
        <v>90</v>
      </c>
      <c r="E1528" s="162">
        <f t="shared" ref="E1528:E1563" si="354">E1527</f>
        <v>41548</v>
      </c>
      <c r="F1528" s="163"/>
      <c r="G1528" s="92">
        <v>6244</v>
      </c>
      <c r="H1528" s="167">
        <v>1530</v>
      </c>
      <c r="I1528" s="167" t="s">
        <v>93</v>
      </c>
      <c r="J1528" s="168">
        <f t="shared" si="353"/>
        <v>0.36</v>
      </c>
      <c r="K1528" s="169">
        <f t="shared" si="347"/>
        <v>62.005958291956304</v>
      </c>
      <c r="L1528" s="169">
        <f t="shared" si="348"/>
        <v>1.6875675675675677</v>
      </c>
      <c r="M1528" s="133">
        <f t="shared" si="349"/>
        <v>550.79999999999995</v>
      </c>
      <c r="N1528" s="133">
        <f t="shared" si="350"/>
        <v>6794.8</v>
      </c>
      <c r="O1528" s="134">
        <f t="shared" si="351"/>
        <v>67.475670307845078</v>
      </c>
      <c r="P1528" s="134">
        <f t="shared" si="352"/>
        <v>1.8364324324324324</v>
      </c>
      <c r="R1528" s="149">
        <f t="shared" si="346"/>
        <v>2.8362139419438881</v>
      </c>
    </row>
    <row r="1529" spans="1:19" ht="14.45" x14ac:dyDescent="0.3">
      <c r="A1529" s="161" t="s">
        <v>1</v>
      </c>
      <c r="B1529" s="161" t="s">
        <v>2</v>
      </c>
      <c r="C1529" s="161" t="s">
        <v>7</v>
      </c>
      <c r="D1529" s="161" t="s">
        <v>90</v>
      </c>
      <c r="E1529" s="162">
        <f t="shared" si="354"/>
        <v>41548</v>
      </c>
      <c r="F1529" s="163"/>
      <c r="G1529" s="92">
        <v>3808</v>
      </c>
      <c r="H1529" s="167">
        <v>890</v>
      </c>
      <c r="I1529" s="167" t="s">
        <v>92</v>
      </c>
      <c r="J1529" s="168">
        <f t="shared" si="353"/>
        <v>0.37</v>
      </c>
      <c r="K1529" s="169">
        <f t="shared" si="347"/>
        <v>37.815292949354514</v>
      </c>
      <c r="L1529" s="169">
        <f t="shared" si="348"/>
        <v>1.0291891891891891</v>
      </c>
      <c r="M1529" s="133">
        <f t="shared" si="349"/>
        <v>329.3</v>
      </c>
      <c r="N1529" s="133">
        <f t="shared" si="350"/>
        <v>4137.3</v>
      </c>
      <c r="O1529" s="134">
        <f t="shared" si="351"/>
        <v>41.08540218470705</v>
      </c>
      <c r="P1529" s="134">
        <f t="shared" si="352"/>
        <v>1.1181891891891893</v>
      </c>
      <c r="R1529" s="149">
        <f t="shared" si="346"/>
        <v>3.8687487447278679</v>
      </c>
    </row>
    <row r="1530" spans="1:19" ht="14.45" x14ac:dyDescent="0.3">
      <c r="A1530" s="161" t="s">
        <v>1</v>
      </c>
      <c r="B1530" s="161" t="s">
        <v>8</v>
      </c>
      <c r="C1530" s="161" t="s">
        <v>9</v>
      </c>
      <c r="D1530" s="161" t="s">
        <v>90</v>
      </c>
      <c r="E1530" s="162">
        <f t="shared" si="354"/>
        <v>41548</v>
      </c>
      <c r="F1530" s="163"/>
      <c r="G1530" s="92">
        <v>5824</v>
      </c>
      <c r="H1530" s="167">
        <v>1256</v>
      </c>
      <c r="I1530" s="167" t="s">
        <v>93</v>
      </c>
      <c r="J1530" s="168">
        <f t="shared" si="353"/>
        <v>0.36</v>
      </c>
      <c r="K1530" s="169">
        <f t="shared" si="347"/>
        <v>57.835153922542204</v>
      </c>
      <c r="L1530" s="169">
        <f t="shared" si="348"/>
        <v>1.574054054054054</v>
      </c>
      <c r="M1530" s="133">
        <f t="shared" si="349"/>
        <v>452.15999999999997</v>
      </c>
      <c r="N1530" s="133">
        <f t="shared" si="350"/>
        <v>6276.16</v>
      </c>
      <c r="O1530" s="134">
        <f t="shared" si="351"/>
        <v>62.325322740814293</v>
      </c>
      <c r="P1530" s="134">
        <f t="shared" si="352"/>
        <v>1.6962594594594593</v>
      </c>
      <c r="R1530" s="149">
        <f t="shared" si="346"/>
        <v>3.7333809344360924</v>
      </c>
    </row>
    <row r="1531" spans="1:19" ht="14.45" x14ac:dyDescent="0.3">
      <c r="A1531" s="161" t="s">
        <v>1</v>
      </c>
      <c r="B1531" s="161" t="s">
        <v>10</v>
      </c>
      <c r="C1531" s="161" t="s">
        <v>9</v>
      </c>
      <c r="D1531" s="161" t="s">
        <v>90</v>
      </c>
      <c r="E1531" s="162">
        <f t="shared" si="354"/>
        <v>41548</v>
      </c>
      <c r="F1531" s="163"/>
      <c r="G1531" s="92">
        <v>4076</v>
      </c>
      <c r="H1531" s="167">
        <v>975</v>
      </c>
      <c r="I1531" s="167" t="s">
        <v>92</v>
      </c>
      <c r="J1531" s="168">
        <f t="shared" si="353"/>
        <v>0.37</v>
      </c>
      <c r="K1531" s="169">
        <f t="shared" si="347"/>
        <v>40.476663356504467</v>
      </c>
      <c r="L1531" s="169">
        <f t="shared" si="348"/>
        <v>1.1016216216216217</v>
      </c>
      <c r="M1531" s="133">
        <f t="shared" si="349"/>
        <v>360.75</v>
      </c>
      <c r="N1531" s="133">
        <f t="shared" si="350"/>
        <v>4436.75</v>
      </c>
      <c r="O1531" s="134">
        <f t="shared" si="351"/>
        <v>44.059086395233365</v>
      </c>
      <c r="P1531" s="134">
        <f t="shared" si="352"/>
        <v>1.1991216216216216</v>
      </c>
      <c r="R1531" s="149">
        <f t="shared" si="346"/>
        <v>3.6018680677174508</v>
      </c>
    </row>
    <row r="1532" spans="1:19" ht="14.45" x14ac:dyDescent="0.3">
      <c r="A1532" s="161" t="s">
        <v>1</v>
      </c>
      <c r="B1532" s="161" t="s">
        <v>11</v>
      </c>
      <c r="C1532" s="161" t="s">
        <v>6</v>
      </c>
      <c r="D1532" s="161" t="s">
        <v>90</v>
      </c>
      <c r="E1532" s="162">
        <f t="shared" si="354"/>
        <v>41548</v>
      </c>
      <c r="F1532" s="163"/>
      <c r="G1532" s="92">
        <v>4275</v>
      </c>
      <c r="H1532" s="167">
        <v>1357</v>
      </c>
      <c r="I1532" s="167" t="s">
        <v>92</v>
      </c>
      <c r="J1532" s="168">
        <f t="shared" si="353"/>
        <v>0.37</v>
      </c>
      <c r="K1532" s="169">
        <f t="shared" si="347"/>
        <v>42.452830188679243</v>
      </c>
      <c r="L1532" s="169">
        <f t="shared" si="348"/>
        <v>1.1554054054054055</v>
      </c>
      <c r="M1532" s="133">
        <f t="shared" si="349"/>
        <v>502.09</v>
      </c>
      <c r="N1532" s="133">
        <f t="shared" si="350"/>
        <v>4777.09</v>
      </c>
      <c r="O1532" s="134">
        <f t="shared" si="351"/>
        <v>47.438828202581924</v>
      </c>
      <c r="P1532" s="134">
        <f t="shared" si="352"/>
        <v>1.2911054054054054</v>
      </c>
      <c r="R1532" s="149">
        <f t="shared" si="346"/>
        <v>3.2290617720402981</v>
      </c>
    </row>
    <row r="1533" spans="1:19" ht="14.45" x14ac:dyDescent="0.3">
      <c r="A1533" s="161" t="s">
        <v>134</v>
      </c>
      <c r="B1533" s="161" t="s">
        <v>13</v>
      </c>
      <c r="C1533" s="161" t="s">
        <v>7</v>
      </c>
      <c r="D1533" s="161" t="s">
        <v>90</v>
      </c>
      <c r="E1533" s="162">
        <f t="shared" si="354"/>
        <v>41548</v>
      </c>
      <c r="F1533" s="163"/>
      <c r="G1533" s="92">
        <v>3192</v>
      </c>
      <c r="H1533" s="167">
        <v>1006</v>
      </c>
      <c r="I1533" s="167" t="s">
        <v>92</v>
      </c>
      <c r="J1533" s="168">
        <f t="shared" si="353"/>
        <v>0.37</v>
      </c>
      <c r="K1533" s="169">
        <f t="shared" si="347"/>
        <v>31.69811320754717</v>
      </c>
      <c r="L1533" s="169">
        <f t="shared" si="348"/>
        <v>0.80518918918918925</v>
      </c>
      <c r="M1533" s="133">
        <f t="shared" si="349"/>
        <v>372.21999999999997</v>
      </c>
      <c r="N1533" s="133">
        <f t="shared" si="350"/>
        <v>3564.22</v>
      </c>
      <c r="O1533" s="134">
        <f t="shared" si="351"/>
        <v>35.394438927507444</v>
      </c>
      <c r="P1533" s="134">
        <f t="shared" si="352"/>
        <v>0.89908252252252252</v>
      </c>
      <c r="R1533" s="149">
        <f t="shared" si="346"/>
        <v>2.0599722817185251</v>
      </c>
    </row>
    <row r="1534" spans="1:19" ht="14.45" x14ac:dyDescent="0.3">
      <c r="A1534" s="161" t="s">
        <v>134</v>
      </c>
      <c r="B1534" s="161" t="s">
        <v>14</v>
      </c>
      <c r="C1534" s="161" t="s">
        <v>15</v>
      </c>
      <c r="D1534" s="161" t="s">
        <v>90</v>
      </c>
      <c r="E1534" s="162">
        <f t="shared" si="354"/>
        <v>41548</v>
      </c>
      <c r="F1534" s="163"/>
      <c r="G1534" s="92">
        <v>4686</v>
      </c>
      <c r="H1534" s="167">
        <v>866</v>
      </c>
      <c r="I1534" s="167" t="s">
        <v>94</v>
      </c>
      <c r="J1534" s="168">
        <f t="shared" si="353"/>
        <v>0.48</v>
      </c>
      <c r="K1534" s="169">
        <f t="shared" si="347"/>
        <v>46.53426017874876</v>
      </c>
      <c r="L1534" s="169">
        <f t="shared" si="348"/>
        <v>1.1820540540540541</v>
      </c>
      <c r="M1534" s="133">
        <f t="shared" si="349"/>
        <v>415.68</v>
      </c>
      <c r="N1534" s="133">
        <f t="shared" si="350"/>
        <v>5101.68</v>
      </c>
      <c r="O1534" s="134">
        <f t="shared" si="351"/>
        <v>50.662164846077459</v>
      </c>
      <c r="P1534" s="134">
        <f t="shared" si="352"/>
        <v>1.2869102702702704</v>
      </c>
      <c r="R1534" s="149">
        <f t="shared" si="346"/>
        <v>3.2519732847601679</v>
      </c>
    </row>
    <row r="1535" spans="1:19" ht="14.45" x14ac:dyDescent="0.3">
      <c r="A1535" s="161" t="s">
        <v>134</v>
      </c>
      <c r="B1535" s="161" t="s">
        <v>16</v>
      </c>
      <c r="C1535" s="161" t="s">
        <v>17</v>
      </c>
      <c r="D1535" s="161" t="s">
        <v>90</v>
      </c>
      <c r="E1535" s="162">
        <f t="shared" si="354"/>
        <v>41548</v>
      </c>
      <c r="F1535" s="163"/>
      <c r="G1535" s="92">
        <v>2078</v>
      </c>
      <c r="H1535" s="167">
        <v>213</v>
      </c>
      <c r="I1535" s="167" t="s">
        <v>92</v>
      </c>
      <c r="J1535" s="168">
        <f t="shared" si="353"/>
        <v>0.37</v>
      </c>
      <c r="K1535" s="169">
        <f t="shared" si="347"/>
        <v>20.635551142005959</v>
      </c>
      <c r="L1535" s="169">
        <f t="shared" si="348"/>
        <v>0.5241801801801802</v>
      </c>
      <c r="M1535" s="133">
        <f t="shared" si="349"/>
        <v>78.81</v>
      </c>
      <c r="N1535" s="133">
        <f t="shared" si="350"/>
        <v>2156.81</v>
      </c>
      <c r="O1535" s="134">
        <f t="shared" si="351"/>
        <v>21.418172790466731</v>
      </c>
      <c r="P1535" s="134">
        <f t="shared" si="352"/>
        <v>0.54406018018018021</v>
      </c>
      <c r="R1535" s="149">
        <f t="shared" si="346"/>
        <v>3.3479640047150427</v>
      </c>
    </row>
    <row r="1536" spans="1:19" ht="14.45" x14ac:dyDescent="0.3">
      <c r="A1536" s="161" t="s">
        <v>134</v>
      </c>
      <c r="B1536" s="161" t="s">
        <v>18</v>
      </c>
      <c r="C1536" s="161" t="s">
        <v>19</v>
      </c>
      <c r="D1536" s="161" t="s">
        <v>90</v>
      </c>
      <c r="E1536" s="162">
        <f t="shared" si="354"/>
        <v>41548</v>
      </c>
      <c r="F1536" s="163"/>
      <c r="G1536" s="92">
        <v>4061</v>
      </c>
      <c r="H1536" s="167">
        <v>650</v>
      </c>
      <c r="I1536" s="167" t="s">
        <v>94</v>
      </c>
      <c r="J1536" s="168">
        <f t="shared" si="353"/>
        <v>0.48</v>
      </c>
      <c r="K1536" s="169">
        <f t="shared" si="347"/>
        <v>40.327706057596821</v>
      </c>
      <c r="L1536" s="169">
        <f t="shared" si="348"/>
        <v>1.0243963963963965</v>
      </c>
      <c r="M1536" s="133">
        <f t="shared" si="349"/>
        <v>312</v>
      </c>
      <c r="N1536" s="133">
        <f t="shared" si="350"/>
        <v>4373</v>
      </c>
      <c r="O1536" s="134">
        <f t="shared" si="351"/>
        <v>43.426017874875868</v>
      </c>
      <c r="P1536" s="134">
        <f t="shared" si="352"/>
        <v>1.1030990990990992</v>
      </c>
      <c r="R1536" s="149">
        <f t="shared" si="346"/>
        <v>3.0153121319199006</v>
      </c>
    </row>
    <row r="1537" spans="1:18" ht="14.45" x14ac:dyDescent="0.3">
      <c r="A1537" s="161" t="s">
        <v>134</v>
      </c>
      <c r="B1537" s="161" t="s">
        <v>18</v>
      </c>
      <c r="C1537" s="161" t="s">
        <v>20</v>
      </c>
      <c r="D1537" s="161" t="s">
        <v>90</v>
      </c>
      <c r="E1537" s="162">
        <f t="shared" si="354"/>
        <v>41548</v>
      </c>
      <c r="F1537" s="163"/>
      <c r="G1537" s="92">
        <v>3469</v>
      </c>
      <c r="H1537" s="167">
        <v>417</v>
      </c>
      <c r="I1537" s="167" t="s">
        <v>94</v>
      </c>
      <c r="J1537" s="168">
        <f t="shared" si="353"/>
        <v>0.48</v>
      </c>
      <c r="K1537" s="169">
        <f t="shared" si="347"/>
        <v>34.44885799404171</v>
      </c>
      <c r="L1537" s="169">
        <f t="shared" si="348"/>
        <v>0.87506306306306303</v>
      </c>
      <c r="M1537" s="133">
        <f t="shared" si="349"/>
        <v>200.16</v>
      </c>
      <c r="N1537" s="133">
        <f t="shared" si="350"/>
        <v>3669.16</v>
      </c>
      <c r="O1537" s="134">
        <f t="shared" si="351"/>
        <v>36.436544190665337</v>
      </c>
      <c r="P1537" s="134">
        <f t="shared" si="352"/>
        <v>0.92555387387387389</v>
      </c>
      <c r="R1537" s="149">
        <f t="shared" si="346"/>
        <v>2.9939649122806999</v>
      </c>
    </row>
    <row r="1538" spans="1:18" ht="14.45" x14ac:dyDescent="0.3">
      <c r="A1538" s="161" t="s">
        <v>134</v>
      </c>
      <c r="B1538" s="161" t="s">
        <v>16</v>
      </c>
      <c r="C1538" s="161" t="s">
        <v>21</v>
      </c>
      <c r="D1538" s="161" t="s">
        <v>90</v>
      </c>
      <c r="E1538" s="162">
        <f t="shared" si="354"/>
        <v>41548</v>
      </c>
      <c r="F1538" s="163"/>
      <c r="G1538" s="92">
        <v>3218</v>
      </c>
      <c r="H1538" s="167">
        <v>626</v>
      </c>
      <c r="I1538" s="167" t="s">
        <v>92</v>
      </c>
      <c r="J1538" s="168">
        <f t="shared" si="353"/>
        <v>0.37</v>
      </c>
      <c r="K1538" s="169">
        <f t="shared" si="347"/>
        <v>31.95630585898709</v>
      </c>
      <c r="L1538" s="169">
        <f t="shared" si="348"/>
        <v>0.81174774774774772</v>
      </c>
      <c r="M1538" s="133">
        <f t="shared" si="349"/>
        <v>231.62</v>
      </c>
      <c r="N1538" s="133">
        <f t="shared" si="350"/>
        <v>3449.62</v>
      </c>
      <c r="O1538" s="134">
        <f t="shared" si="351"/>
        <v>34.256405163853024</v>
      </c>
      <c r="P1538" s="134">
        <f t="shared" si="352"/>
        <v>0.87017441441441445</v>
      </c>
      <c r="R1538" s="149">
        <f t="shared" si="346"/>
        <v>1.7023007889430009</v>
      </c>
    </row>
    <row r="1539" spans="1:18" ht="14.45" x14ac:dyDescent="0.3">
      <c r="A1539" s="161" t="s">
        <v>134</v>
      </c>
      <c r="B1539" s="161" t="s">
        <v>16</v>
      </c>
      <c r="C1539" s="161" t="s">
        <v>6</v>
      </c>
      <c r="D1539" s="161" t="s">
        <v>90</v>
      </c>
      <c r="E1539" s="162">
        <f t="shared" si="354"/>
        <v>41548</v>
      </c>
      <c r="F1539" s="163"/>
      <c r="G1539" s="92">
        <v>5215</v>
      </c>
      <c r="H1539" s="167">
        <v>1823</v>
      </c>
      <c r="I1539" s="167" t="s">
        <v>92</v>
      </c>
      <c r="J1539" s="168">
        <f t="shared" si="353"/>
        <v>0.37</v>
      </c>
      <c r="K1539" s="169">
        <f t="shared" si="347"/>
        <v>51.787487586891757</v>
      </c>
      <c r="L1539" s="169">
        <f t="shared" si="348"/>
        <v>1.3154954954954956</v>
      </c>
      <c r="M1539" s="133">
        <f t="shared" si="349"/>
        <v>674.51</v>
      </c>
      <c r="N1539" s="133">
        <f t="shared" si="350"/>
        <v>5889.51</v>
      </c>
      <c r="O1539" s="134">
        <f t="shared" si="351"/>
        <v>58.485700099304864</v>
      </c>
      <c r="P1539" s="134">
        <f t="shared" si="352"/>
        <v>1.4856421621621623</v>
      </c>
      <c r="R1539" s="149">
        <f t="shared" si="346"/>
        <v>2.2885715575903021</v>
      </c>
    </row>
    <row r="1540" spans="1:18" ht="14.45" x14ac:dyDescent="0.3">
      <c r="A1540" s="161" t="s">
        <v>22</v>
      </c>
      <c r="B1540" s="161" t="s">
        <v>23</v>
      </c>
      <c r="C1540" s="161" t="s">
        <v>7</v>
      </c>
      <c r="D1540" s="161" t="s">
        <v>90</v>
      </c>
      <c r="E1540" s="162">
        <f t="shared" si="354"/>
        <v>41548</v>
      </c>
      <c r="F1540" s="163"/>
      <c r="G1540" s="92">
        <v>3534</v>
      </c>
      <c r="H1540" s="167">
        <v>1295</v>
      </c>
      <c r="I1540" s="167" t="s">
        <v>95</v>
      </c>
      <c r="J1540" s="168">
        <f t="shared" si="353"/>
        <v>0.3105</v>
      </c>
      <c r="K1540" s="169">
        <f t="shared" si="347"/>
        <v>35.094339622641506</v>
      </c>
      <c r="L1540" s="169">
        <f t="shared" si="348"/>
        <v>0.95513513513513515</v>
      </c>
      <c r="M1540" s="133">
        <f t="shared" si="349"/>
        <v>402.09750000000003</v>
      </c>
      <c r="N1540" s="133">
        <f t="shared" si="350"/>
        <v>3936.0974999999999</v>
      </c>
      <c r="O1540" s="134">
        <f t="shared" si="351"/>
        <v>39.087363455809331</v>
      </c>
      <c r="P1540" s="134">
        <f t="shared" si="352"/>
        <v>1.063810135135135</v>
      </c>
      <c r="R1540" s="149">
        <f t="shared" si="346"/>
        <v>6.5681991151484542</v>
      </c>
    </row>
    <row r="1541" spans="1:18" ht="14.45" x14ac:dyDescent="0.3">
      <c r="A1541" s="161" t="s">
        <v>22</v>
      </c>
      <c r="B1541" s="161" t="s">
        <v>14</v>
      </c>
      <c r="C1541" s="161" t="s">
        <v>24</v>
      </c>
      <c r="D1541" s="161" t="s">
        <v>90</v>
      </c>
      <c r="E1541" s="162">
        <f t="shared" si="354"/>
        <v>41548</v>
      </c>
      <c r="F1541" s="163"/>
      <c r="G1541" s="92">
        <v>3687</v>
      </c>
      <c r="H1541" s="167">
        <v>615</v>
      </c>
      <c r="I1541" s="167" t="s">
        <v>94</v>
      </c>
      <c r="J1541" s="168">
        <f t="shared" si="353"/>
        <v>0.48</v>
      </c>
      <c r="K1541" s="169">
        <f t="shared" si="347"/>
        <v>36.613704071499505</v>
      </c>
      <c r="L1541" s="169">
        <f t="shared" si="348"/>
        <v>0.99648648648648652</v>
      </c>
      <c r="M1541" s="133">
        <f t="shared" si="349"/>
        <v>295.2</v>
      </c>
      <c r="N1541" s="133">
        <f t="shared" si="350"/>
        <v>3982.2</v>
      </c>
      <c r="O1541" s="134">
        <f t="shared" si="351"/>
        <v>39.545183714001986</v>
      </c>
      <c r="P1541" s="134">
        <f t="shared" si="352"/>
        <v>1.0762702702702702</v>
      </c>
      <c r="R1541" s="149">
        <f t="shared" si="346"/>
        <v>2.5679330328396643</v>
      </c>
    </row>
    <row r="1542" spans="1:18" ht="14.45" x14ac:dyDescent="0.3">
      <c r="A1542" s="161" t="s">
        <v>22</v>
      </c>
      <c r="B1542" s="161" t="s">
        <v>18</v>
      </c>
      <c r="C1542" s="161" t="s">
        <v>15</v>
      </c>
      <c r="D1542" s="161" t="s">
        <v>90</v>
      </c>
      <c r="E1542" s="162">
        <f t="shared" si="354"/>
        <v>41548</v>
      </c>
      <c r="F1542" s="163"/>
      <c r="G1542" s="92">
        <v>4756</v>
      </c>
      <c r="H1542" s="167">
        <v>872</v>
      </c>
      <c r="I1542" s="167" t="s">
        <v>94</v>
      </c>
      <c r="J1542" s="168">
        <f t="shared" si="353"/>
        <v>0.48</v>
      </c>
      <c r="K1542" s="169">
        <f t="shared" si="347"/>
        <v>47.229394240317774</v>
      </c>
      <c r="L1542" s="169">
        <f t="shared" si="348"/>
        <v>1.2854054054054054</v>
      </c>
      <c r="M1542" s="133">
        <f t="shared" si="349"/>
        <v>418.56</v>
      </c>
      <c r="N1542" s="133">
        <f t="shared" si="350"/>
        <v>5174.5600000000004</v>
      </c>
      <c r="O1542" s="134">
        <f t="shared" si="351"/>
        <v>51.385898709036745</v>
      </c>
      <c r="P1542" s="134">
        <f t="shared" si="352"/>
        <v>1.3985297297297299</v>
      </c>
      <c r="R1542" s="149">
        <f t="shared" si="346"/>
        <v>3.2022337455125838</v>
      </c>
    </row>
    <row r="1543" spans="1:18" ht="14.45" x14ac:dyDescent="0.3">
      <c r="A1543" s="161" t="s">
        <v>22</v>
      </c>
      <c r="B1543" s="161" t="s">
        <v>18</v>
      </c>
      <c r="C1543" s="161" t="s">
        <v>24</v>
      </c>
      <c r="D1543" s="161" t="s">
        <v>90</v>
      </c>
      <c r="E1543" s="162">
        <f t="shared" si="354"/>
        <v>41548</v>
      </c>
      <c r="F1543" s="163"/>
      <c r="G1543" s="92">
        <v>3379</v>
      </c>
      <c r="H1543" s="167">
        <v>417</v>
      </c>
      <c r="I1543" s="167" t="s">
        <v>94</v>
      </c>
      <c r="J1543" s="168">
        <f t="shared" si="353"/>
        <v>0.48</v>
      </c>
      <c r="K1543" s="169">
        <f t="shared" si="347"/>
        <v>33.555114200595831</v>
      </c>
      <c r="L1543" s="169">
        <f t="shared" si="348"/>
        <v>0.91324324324324324</v>
      </c>
      <c r="M1543" s="133">
        <f t="shared" si="349"/>
        <v>200.16</v>
      </c>
      <c r="N1543" s="133">
        <f t="shared" si="350"/>
        <v>3579.16</v>
      </c>
      <c r="O1543" s="134">
        <f t="shared" si="351"/>
        <v>35.542800397219459</v>
      </c>
      <c r="P1543" s="134">
        <f t="shared" si="352"/>
        <v>0.96734054054054053</v>
      </c>
      <c r="R1543" s="149">
        <f t="shared" si="346"/>
        <v>2.9825924327434805</v>
      </c>
    </row>
    <row r="1544" spans="1:18" ht="14.45" x14ac:dyDescent="0.3">
      <c r="A1544" s="161" t="s">
        <v>22</v>
      </c>
      <c r="B1544" s="161" t="s">
        <v>13</v>
      </c>
      <c r="C1544" s="161" t="s">
        <v>7</v>
      </c>
      <c r="D1544" s="161" t="s">
        <v>90</v>
      </c>
      <c r="E1544" s="162">
        <f t="shared" si="354"/>
        <v>41548</v>
      </c>
      <c r="F1544" s="163"/>
      <c r="G1544" s="92">
        <v>3748</v>
      </c>
      <c r="H1544" s="167">
        <v>1006</v>
      </c>
      <c r="I1544" s="167" t="s">
        <v>92</v>
      </c>
      <c r="J1544" s="168">
        <f t="shared" si="353"/>
        <v>0.37</v>
      </c>
      <c r="K1544" s="169">
        <f t="shared" si="347"/>
        <v>37.219463753723929</v>
      </c>
      <c r="L1544" s="169">
        <f t="shared" si="348"/>
        <v>1.0129729729729731</v>
      </c>
      <c r="M1544" s="133">
        <f t="shared" si="349"/>
        <v>372.21999999999997</v>
      </c>
      <c r="N1544" s="133">
        <f t="shared" si="350"/>
        <v>4120.22</v>
      </c>
      <c r="O1544" s="134">
        <f t="shared" si="351"/>
        <v>40.915789473684214</v>
      </c>
      <c r="P1544" s="134">
        <f t="shared" si="352"/>
        <v>1.1135729729729731</v>
      </c>
      <c r="R1544" s="149">
        <f t="shared" si="346"/>
        <v>3.4898324157055072</v>
      </c>
    </row>
    <row r="1545" spans="1:18" ht="14.45" x14ac:dyDescent="0.3">
      <c r="A1545" s="161" t="s">
        <v>1</v>
      </c>
      <c r="B1545" s="161" t="s">
        <v>25</v>
      </c>
      <c r="C1545" s="161" t="s">
        <v>26</v>
      </c>
      <c r="D1545" s="161" t="s">
        <v>91</v>
      </c>
      <c r="E1545" s="162">
        <f t="shared" si="354"/>
        <v>41548</v>
      </c>
      <c r="F1545" s="163"/>
      <c r="G1545" s="92">
        <v>3678</v>
      </c>
      <c r="H1545" s="167">
        <v>880</v>
      </c>
      <c r="I1545" s="167" t="s">
        <v>93</v>
      </c>
      <c r="J1545" s="168">
        <f t="shared" si="353"/>
        <v>0.36</v>
      </c>
      <c r="K1545" s="169">
        <f t="shared" si="347"/>
        <v>36.524329692154915</v>
      </c>
      <c r="L1545" s="169">
        <f t="shared" si="348"/>
        <v>0.994054054054054</v>
      </c>
      <c r="M1545" s="133">
        <f t="shared" si="349"/>
        <v>316.8</v>
      </c>
      <c r="N1545" s="133">
        <f t="shared" si="350"/>
        <v>3994.8</v>
      </c>
      <c r="O1545" s="134">
        <f t="shared" si="351"/>
        <v>39.670307845084409</v>
      </c>
      <c r="P1545" s="134">
        <f t="shared" si="352"/>
        <v>1.0796756756756758</v>
      </c>
      <c r="R1545" s="149">
        <f t="shared" si="346"/>
        <v>4.7019971693662566</v>
      </c>
    </row>
    <row r="1546" spans="1:18" ht="14.45" x14ac:dyDescent="0.3">
      <c r="A1546" s="161" t="s">
        <v>1</v>
      </c>
      <c r="B1546" s="161" t="s">
        <v>2</v>
      </c>
      <c r="C1546" s="161" t="s">
        <v>9</v>
      </c>
      <c r="D1546" s="161" t="s">
        <v>91</v>
      </c>
      <c r="E1546" s="162">
        <f t="shared" si="354"/>
        <v>41548</v>
      </c>
      <c r="F1546" s="163"/>
      <c r="G1546" s="92">
        <v>3798</v>
      </c>
      <c r="H1546" s="167">
        <v>685</v>
      </c>
      <c r="I1546" s="167" t="s">
        <v>93</v>
      </c>
      <c r="J1546" s="168">
        <f t="shared" si="353"/>
        <v>0.36</v>
      </c>
      <c r="K1546" s="169">
        <f t="shared" si="347"/>
        <v>37.715988083416086</v>
      </c>
      <c r="L1546" s="169">
        <f t="shared" si="348"/>
        <v>1.0264864864864864</v>
      </c>
      <c r="M1546" s="133">
        <f t="shared" si="349"/>
        <v>246.6</v>
      </c>
      <c r="N1546" s="133">
        <f t="shared" si="350"/>
        <v>4044.6</v>
      </c>
      <c r="O1546" s="134">
        <f t="shared" si="351"/>
        <v>40.164846077457796</v>
      </c>
      <c r="P1546" s="134">
        <f t="shared" si="352"/>
        <v>1.093135135135135</v>
      </c>
      <c r="R1546" s="149">
        <f t="shared" si="346"/>
        <v>3.8594869424543488</v>
      </c>
    </row>
    <row r="1547" spans="1:18" ht="14.45" x14ac:dyDescent="0.3">
      <c r="A1547" s="161" t="s">
        <v>1</v>
      </c>
      <c r="B1547" s="161" t="s">
        <v>27</v>
      </c>
      <c r="C1547" s="161" t="s">
        <v>28</v>
      </c>
      <c r="D1547" s="161" t="s">
        <v>91</v>
      </c>
      <c r="E1547" s="162">
        <f t="shared" si="354"/>
        <v>41548</v>
      </c>
      <c r="F1547" s="163"/>
      <c r="G1547" s="92">
        <v>3950</v>
      </c>
      <c r="H1547" s="167">
        <v>812</v>
      </c>
      <c r="I1547" s="167" t="s">
        <v>94</v>
      </c>
      <c r="J1547" s="168">
        <f t="shared" si="353"/>
        <v>0.48</v>
      </c>
      <c r="K1547" s="169">
        <f t="shared" si="347"/>
        <v>39.22542204568024</v>
      </c>
      <c r="L1547" s="169">
        <f t="shared" si="348"/>
        <v>1.0675675675675675</v>
      </c>
      <c r="M1547" s="133">
        <f t="shared" si="349"/>
        <v>389.76</v>
      </c>
      <c r="N1547" s="133">
        <f t="shared" si="350"/>
        <v>4339.76</v>
      </c>
      <c r="O1547" s="134">
        <f t="shared" si="351"/>
        <v>43.095928500496527</v>
      </c>
      <c r="P1547" s="134">
        <f t="shared" si="352"/>
        <v>1.1729081081081081</v>
      </c>
      <c r="R1547" s="149">
        <f t="shared" si="346"/>
        <v>3.8965764903040601</v>
      </c>
    </row>
    <row r="1548" spans="1:18" ht="14.45" x14ac:dyDescent="0.3">
      <c r="A1548" s="161" t="s">
        <v>1</v>
      </c>
      <c r="B1548" s="161" t="s">
        <v>4</v>
      </c>
      <c r="C1548" s="161" t="s">
        <v>26</v>
      </c>
      <c r="D1548" s="161" t="s">
        <v>91</v>
      </c>
      <c r="E1548" s="162">
        <f t="shared" si="354"/>
        <v>41548</v>
      </c>
      <c r="F1548" s="163"/>
      <c r="G1548" s="92">
        <v>5159</v>
      </c>
      <c r="H1548" s="167">
        <v>1520</v>
      </c>
      <c r="I1548" s="167" t="s">
        <v>93</v>
      </c>
      <c r="J1548" s="168">
        <f t="shared" si="353"/>
        <v>0.36</v>
      </c>
      <c r="K1548" s="169">
        <f t="shared" si="347"/>
        <v>51.231380337636544</v>
      </c>
      <c r="L1548" s="169">
        <f t="shared" si="348"/>
        <v>1.3943243243243244</v>
      </c>
      <c r="M1548" s="133">
        <f t="shared" si="349"/>
        <v>547.19999999999993</v>
      </c>
      <c r="N1548" s="133">
        <f t="shared" si="350"/>
        <v>5706.2</v>
      </c>
      <c r="O1548" s="134">
        <f t="shared" si="351"/>
        <v>56.665342601787486</v>
      </c>
      <c r="P1548" s="134">
        <f t="shared" si="352"/>
        <v>1.5422162162162161</v>
      </c>
      <c r="R1548" s="149">
        <f t="shared" si="346"/>
        <v>2.9888459733602657</v>
      </c>
    </row>
    <row r="1549" spans="1:18" ht="14.45" x14ac:dyDescent="0.3">
      <c r="A1549" s="161" t="s">
        <v>1</v>
      </c>
      <c r="B1549" s="161" t="s">
        <v>4</v>
      </c>
      <c r="C1549" s="161" t="s">
        <v>9</v>
      </c>
      <c r="D1549" s="161" t="s">
        <v>91</v>
      </c>
      <c r="E1549" s="162">
        <f t="shared" si="354"/>
        <v>41548</v>
      </c>
      <c r="F1549" s="163"/>
      <c r="G1549" s="92">
        <v>6084</v>
      </c>
      <c r="H1549" s="167">
        <v>1583</v>
      </c>
      <c r="I1549" s="167" t="s">
        <v>93</v>
      </c>
      <c r="J1549" s="168">
        <f t="shared" si="353"/>
        <v>0.36</v>
      </c>
      <c r="K1549" s="169">
        <f t="shared" si="347"/>
        <v>60.417080436941411</v>
      </c>
      <c r="L1549" s="169">
        <f t="shared" si="348"/>
        <v>1.6443243243243244</v>
      </c>
      <c r="M1549" s="133">
        <f t="shared" si="349"/>
        <v>569.88</v>
      </c>
      <c r="N1549" s="133">
        <f t="shared" si="350"/>
        <v>6653.88</v>
      </c>
      <c r="O1549" s="134">
        <f t="shared" si="351"/>
        <v>66.076266137040719</v>
      </c>
      <c r="P1549" s="134">
        <f t="shared" si="352"/>
        <v>1.7983459459459459</v>
      </c>
      <c r="R1549" s="149">
        <f t="shared" si="346"/>
        <v>1.0377281134121175</v>
      </c>
    </row>
    <row r="1550" spans="1:18" ht="14.45" x14ac:dyDescent="0.3">
      <c r="A1550" s="161" t="s">
        <v>1</v>
      </c>
      <c r="B1550" s="161" t="s">
        <v>10</v>
      </c>
      <c r="C1550" s="161" t="s">
        <v>26</v>
      </c>
      <c r="D1550" s="161" t="s">
        <v>91</v>
      </c>
      <c r="E1550" s="162">
        <f t="shared" si="354"/>
        <v>41548</v>
      </c>
      <c r="F1550" s="163"/>
      <c r="G1550" s="92">
        <v>5043</v>
      </c>
      <c r="H1550" s="167">
        <v>1599</v>
      </c>
      <c r="I1550" s="167" t="s">
        <v>92</v>
      </c>
      <c r="J1550" s="168">
        <f t="shared" si="353"/>
        <v>0.37</v>
      </c>
      <c r="K1550" s="169">
        <f t="shared" si="347"/>
        <v>50.079443892750746</v>
      </c>
      <c r="L1550" s="169">
        <f t="shared" si="348"/>
        <v>1.3629729729729729</v>
      </c>
      <c r="M1550" s="133">
        <f t="shared" si="349"/>
        <v>591.63</v>
      </c>
      <c r="N1550" s="133">
        <f t="shared" si="350"/>
        <v>5634.63</v>
      </c>
      <c r="O1550" s="134">
        <f t="shared" si="351"/>
        <v>55.954617676266139</v>
      </c>
      <c r="P1550" s="134">
        <f t="shared" si="352"/>
        <v>1.5228729729729731</v>
      </c>
      <c r="R1550" s="149">
        <f t="shared" si="346"/>
        <v>4.333021023512118</v>
      </c>
    </row>
    <row r="1551" spans="1:18" ht="14.45" x14ac:dyDescent="0.3">
      <c r="A1551" s="161" t="s">
        <v>134</v>
      </c>
      <c r="B1551" s="161" t="s">
        <v>23</v>
      </c>
      <c r="C1551" s="161" t="s">
        <v>26</v>
      </c>
      <c r="D1551" s="161" t="s">
        <v>91</v>
      </c>
      <c r="E1551" s="162">
        <f t="shared" si="354"/>
        <v>41548</v>
      </c>
      <c r="F1551" s="163"/>
      <c r="G1551" s="92">
        <v>5000</v>
      </c>
      <c r="H1551" s="167">
        <v>1851</v>
      </c>
      <c r="I1551" s="167" t="s">
        <v>93</v>
      </c>
      <c r="J1551" s="168">
        <f t="shared" si="353"/>
        <v>0.36</v>
      </c>
      <c r="K1551" s="169">
        <f t="shared" si="347"/>
        <v>49.652432969215489</v>
      </c>
      <c r="L1551" s="169">
        <f t="shared" si="348"/>
        <v>1.2612612612612613</v>
      </c>
      <c r="M1551" s="133">
        <f t="shared" si="349"/>
        <v>666.36</v>
      </c>
      <c r="N1551" s="133">
        <f t="shared" si="350"/>
        <v>5666.36</v>
      </c>
      <c r="O1551" s="134">
        <f t="shared" si="351"/>
        <v>56.269712015888771</v>
      </c>
      <c r="P1551" s="134">
        <f t="shared" si="352"/>
        <v>1.429352072072072</v>
      </c>
      <c r="R1551" s="149">
        <f t="shared" si="346"/>
        <v>2.9614527799279644</v>
      </c>
    </row>
    <row r="1552" spans="1:18" ht="14.45" x14ac:dyDescent="0.3">
      <c r="A1552" s="161" t="s">
        <v>134</v>
      </c>
      <c r="B1552" s="161" t="s">
        <v>8</v>
      </c>
      <c r="C1552" s="161" t="s">
        <v>29</v>
      </c>
      <c r="D1552" s="161" t="s">
        <v>91</v>
      </c>
      <c r="E1552" s="162">
        <f t="shared" si="354"/>
        <v>41548</v>
      </c>
      <c r="F1552" s="163"/>
      <c r="G1552" s="92">
        <v>4960</v>
      </c>
      <c r="H1552" s="167">
        <v>1695</v>
      </c>
      <c r="I1552" s="167" t="s">
        <v>93</v>
      </c>
      <c r="J1552" s="168">
        <f t="shared" si="353"/>
        <v>0.36</v>
      </c>
      <c r="K1552" s="169">
        <f t="shared" si="347"/>
        <v>49.255213505461768</v>
      </c>
      <c r="L1552" s="169">
        <f t="shared" si="348"/>
        <v>1.2511711711711713</v>
      </c>
      <c r="M1552" s="133">
        <f t="shared" si="349"/>
        <v>610.19999999999993</v>
      </c>
      <c r="N1552" s="133">
        <f t="shared" si="350"/>
        <v>5570.2</v>
      </c>
      <c r="O1552" s="134">
        <f t="shared" si="351"/>
        <v>55.314796425024824</v>
      </c>
      <c r="P1552" s="134">
        <f t="shared" si="352"/>
        <v>1.4050954954954955</v>
      </c>
      <c r="R1552" s="149">
        <f t="shared" ref="R1552:R1589" si="355">((N1552/N1096)-1)*100</f>
        <v>3.0735922725338094</v>
      </c>
    </row>
    <row r="1553" spans="1:18" ht="14.45" x14ac:dyDescent="0.3">
      <c r="A1553" s="161" t="s">
        <v>134</v>
      </c>
      <c r="B1553" s="161" t="s">
        <v>13</v>
      </c>
      <c r="C1553" s="161" t="s">
        <v>7</v>
      </c>
      <c r="D1553" s="161" t="s">
        <v>91</v>
      </c>
      <c r="E1553" s="162">
        <f t="shared" si="354"/>
        <v>41548</v>
      </c>
      <c r="F1553" s="163"/>
      <c r="G1553" s="92">
        <v>3011</v>
      </c>
      <c r="H1553" s="167">
        <v>1006</v>
      </c>
      <c r="I1553" s="167" t="s">
        <v>92</v>
      </c>
      <c r="J1553" s="168">
        <f t="shared" si="353"/>
        <v>0.37</v>
      </c>
      <c r="K1553" s="169">
        <f t="shared" si="347"/>
        <v>29.900695134061568</v>
      </c>
      <c r="L1553" s="169">
        <f t="shared" si="348"/>
        <v>0.75953153153153152</v>
      </c>
      <c r="M1553" s="133">
        <f t="shared" si="349"/>
        <v>372.21999999999997</v>
      </c>
      <c r="N1553" s="133">
        <f t="shared" si="350"/>
        <v>3383.22</v>
      </c>
      <c r="O1553" s="134">
        <f t="shared" si="351"/>
        <v>33.597020854021842</v>
      </c>
      <c r="P1553" s="134">
        <f t="shared" si="352"/>
        <v>0.8534248648648648</v>
      </c>
      <c r="R1553" s="149">
        <f t="shared" si="355"/>
        <v>4.4435800548269899</v>
      </c>
    </row>
    <row r="1554" spans="1:18" ht="14.45" x14ac:dyDescent="0.3">
      <c r="A1554" s="161" t="s">
        <v>134</v>
      </c>
      <c r="B1554" s="161" t="s">
        <v>30</v>
      </c>
      <c r="C1554" s="161" t="s">
        <v>9</v>
      </c>
      <c r="D1554" s="161" t="s">
        <v>91</v>
      </c>
      <c r="E1554" s="162">
        <f t="shared" si="354"/>
        <v>41548</v>
      </c>
      <c r="F1554" s="163"/>
      <c r="G1554" s="92">
        <v>3510</v>
      </c>
      <c r="H1554" s="167">
        <v>988</v>
      </c>
      <c r="I1554" s="167" t="s">
        <v>93</v>
      </c>
      <c r="J1554" s="168">
        <f t="shared" si="353"/>
        <v>0.36</v>
      </c>
      <c r="K1554" s="169">
        <f t="shared" si="347"/>
        <v>34.856007944389276</v>
      </c>
      <c r="L1554" s="169">
        <f t="shared" si="348"/>
        <v>0.88540540540540547</v>
      </c>
      <c r="M1554" s="133">
        <f t="shared" si="349"/>
        <v>355.68</v>
      </c>
      <c r="N1554" s="133">
        <f t="shared" si="350"/>
        <v>3865.68</v>
      </c>
      <c r="O1554" s="134">
        <f t="shared" si="351"/>
        <v>38.388083416087383</v>
      </c>
      <c r="P1554" s="134">
        <f t="shared" si="352"/>
        <v>0.97512648648648648</v>
      </c>
      <c r="R1554" s="149">
        <f t="shared" si="355"/>
        <v>4.890596509507672</v>
      </c>
    </row>
    <row r="1555" spans="1:18" ht="14.45" x14ac:dyDescent="0.3">
      <c r="A1555" s="161" t="s">
        <v>134</v>
      </c>
      <c r="B1555" s="161" t="s">
        <v>16</v>
      </c>
      <c r="C1555" s="161" t="s">
        <v>11</v>
      </c>
      <c r="D1555" s="161" t="s">
        <v>91</v>
      </c>
      <c r="E1555" s="162">
        <f t="shared" si="354"/>
        <v>41548</v>
      </c>
      <c r="F1555" s="163"/>
      <c r="G1555" s="92">
        <v>3590</v>
      </c>
      <c r="H1555" s="167">
        <v>787</v>
      </c>
      <c r="I1555" s="167" t="s">
        <v>92</v>
      </c>
      <c r="J1555" s="168">
        <f t="shared" si="353"/>
        <v>0.37</v>
      </c>
      <c r="K1555" s="169">
        <f t="shared" si="347"/>
        <v>35.650446871896719</v>
      </c>
      <c r="L1555" s="169">
        <f t="shared" si="348"/>
        <v>0.90558558558558555</v>
      </c>
      <c r="M1555" s="133">
        <f t="shared" si="349"/>
        <v>291.19</v>
      </c>
      <c r="N1555" s="133">
        <f t="shared" si="350"/>
        <v>3881.19</v>
      </c>
      <c r="O1555" s="134">
        <f t="shared" si="351"/>
        <v>38.542105263157893</v>
      </c>
      <c r="P1555" s="134">
        <f t="shared" si="352"/>
        <v>0.97903891891891892</v>
      </c>
      <c r="R1555" s="149">
        <f t="shared" si="355"/>
        <v>4.0795803768241878</v>
      </c>
    </row>
    <row r="1556" spans="1:18" ht="14.45" x14ac:dyDescent="0.3">
      <c r="A1556" s="161" t="s">
        <v>134</v>
      </c>
      <c r="B1556" s="161" t="s">
        <v>23</v>
      </c>
      <c r="C1556" s="161" t="s">
        <v>29</v>
      </c>
      <c r="D1556" s="161" t="s">
        <v>91</v>
      </c>
      <c r="E1556" s="162">
        <f t="shared" si="354"/>
        <v>41548</v>
      </c>
      <c r="F1556" s="163"/>
      <c r="G1556" s="92">
        <v>5000</v>
      </c>
      <c r="H1556" s="167">
        <v>1836</v>
      </c>
      <c r="I1556" s="167" t="s">
        <v>93</v>
      </c>
      <c r="J1556" s="168">
        <f t="shared" si="353"/>
        <v>0.36</v>
      </c>
      <c r="K1556" s="169">
        <f t="shared" si="347"/>
        <v>49.652432969215489</v>
      </c>
      <c r="L1556" s="169">
        <f t="shared" si="348"/>
        <v>1.2612612612612613</v>
      </c>
      <c r="M1556" s="133">
        <f t="shared" si="349"/>
        <v>660.95999999999992</v>
      </c>
      <c r="N1556" s="133">
        <f t="shared" si="350"/>
        <v>5660.96</v>
      </c>
      <c r="O1556" s="134">
        <f t="shared" si="351"/>
        <v>56.216087388282027</v>
      </c>
      <c r="P1556" s="134">
        <f t="shared" si="352"/>
        <v>1.42798990990991</v>
      </c>
      <c r="R1556" s="149">
        <f t="shared" si="355"/>
        <v>2.9699800643180341</v>
      </c>
    </row>
    <row r="1557" spans="1:18" ht="14.45" x14ac:dyDescent="0.3">
      <c r="A1557" s="161" t="s">
        <v>134</v>
      </c>
      <c r="B1557" s="161" t="s">
        <v>31</v>
      </c>
      <c r="C1557" s="161" t="s">
        <v>32</v>
      </c>
      <c r="D1557" s="161" t="s">
        <v>91</v>
      </c>
      <c r="E1557" s="162">
        <f t="shared" si="354"/>
        <v>41548</v>
      </c>
      <c r="F1557" s="163"/>
      <c r="G1557" s="92">
        <v>4400</v>
      </c>
      <c r="H1557" s="167">
        <v>1899</v>
      </c>
      <c r="I1557" s="167" t="s">
        <v>93</v>
      </c>
      <c r="J1557" s="168">
        <f t="shared" si="353"/>
        <v>0.36</v>
      </c>
      <c r="K1557" s="169">
        <f t="shared" si="347"/>
        <v>43.694141012909633</v>
      </c>
      <c r="L1557" s="169">
        <f t="shared" si="348"/>
        <v>1.1099099099099099</v>
      </c>
      <c r="M1557" s="133">
        <f t="shared" si="349"/>
        <v>683.64</v>
      </c>
      <c r="N1557" s="133">
        <f t="shared" si="350"/>
        <v>5083.6400000000003</v>
      </c>
      <c r="O1557" s="134">
        <f t="shared" si="351"/>
        <v>50.483018867924528</v>
      </c>
      <c r="P1557" s="134">
        <f t="shared" si="352"/>
        <v>1.2823596396396397</v>
      </c>
      <c r="R1557" s="149">
        <f t="shared" si="355"/>
        <v>3.2920054778711183</v>
      </c>
    </row>
    <row r="1558" spans="1:18" ht="14.45" x14ac:dyDescent="0.3">
      <c r="A1558" s="161" t="s">
        <v>22</v>
      </c>
      <c r="B1558" s="161" t="s">
        <v>8</v>
      </c>
      <c r="C1558" s="161" t="s">
        <v>29</v>
      </c>
      <c r="D1558" s="161" t="s">
        <v>91</v>
      </c>
      <c r="E1558" s="162">
        <f t="shared" si="354"/>
        <v>41548</v>
      </c>
      <c r="F1558" s="163"/>
      <c r="G1558" s="92">
        <v>5520</v>
      </c>
      <c r="H1558" s="167">
        <v>1695</v>
      </c>
      <c r="I1558" s="167" t="s">
        <v>93</v>
      </c>
      <c r="J1558" s="168">
        <f t="shared" si="353"/>
        <v>0.36</v>
      </c>
      <c r="K1558" s="169">
        <f t="shared" si="347"/>
        <v>54.816285998013903</v>
      </c>
      <c r="L1558" s="169">
        <f t="shared" si="348"/>
        <v>1.491891891891892</v>
      </c>
      <c r="M1558" s="133">
        <f t="shared" si="349"/>
        <v>610.19999999999993</v>
      </c>
      <c r="N1558" s="133">
        <f t="shared" si="350"/>
        <v>6130.2</v>
      </c>
      <c r="O1558" s="134">
        <f t="shared" si="351"/>
        <v>60.875868917576959</v>
      </c>
      <c r="P1558" s="134">
        <f t="shared" si="352"/>
        <v>1.6568108108108108</v>
      </c>
      <c r="R1558" s="149">
        <f t="shared" si="355"/>
        <v>2.4414698952223368</v>
      </c>
    </row>
    <row r="1559" spans="1:18" ht="14.45" x14ac:dyDescent="0.3">
      <c r="A1559" s="161" t="s">
        <v>22</v>
      </c>
      <c r="B1559" s="161" t="s">
        <v>23</v>
      </c>
      <c r="C1559" s="161" t="s">
        <v>26</v>
      </c>
      <c r="D1559" s="161" t="s">
        <v>91</v>
      </c>
      <c r="E1559" s="162">
        <f t="shared" si="354"/>
        <v>41548</v>
      </c>
      <c r="F1559" s="163"/>
      <c r="G1559" s="92">
        <v>5530</v>
      </c>
      <c r="H1559" s="167">
        <v>1851</v>
      </c>
      <c r="I1559" s="167" t="s">
        <v>93</v>
      </c>
      <c r="J1559" s="168">
        <f t="shared" si="353"/>
        <v>0.36</v>
      </c>
      <c r="K1559" s="169">
        <f t="shared" si="347"/>
        <v>54.915590863952332</v>
      </c>
      <c r="L1559" s="169">
        <f t="shared" si="348"/>
        <v>1.4945945945945946</v>
      </c>
      <c r="M1559" s="133">
        <f t="shared" si="349"/>
        <v>666.36</v>
      </c>
      <c r="N1559" s="133">
        <f t="shared" si="350"/>
        <v>6196.36</v>
      </c>
      <c r="O1559" s="134">
        <f t="shared" si="351"/>
        <v>61.532869910625614</v>
      </c>
      <c r="P1559" s="134">
        <f t="shared" si="352"/>
        <v>1.6746918918918918</v>
      </c>
      <c r="R1559" s="149">
        <f t="shared" si="355"/>
        <v>2.7013050727784371</v>
      </c>
    </row>
    <row r="1560" spans="1:18" ht="14.45" x14ac:dyDescent="0.3">
      <c r="A1560" s="161" t="s">
        <v>22</v>
      </c>
      <c r="B1560" s="161" t="s">
        <v>33</v>
      </c>
      <c r="C1560" s="161" t="s">
        <v>29</v>
      </c>
      <c r="D1560" s="161" t="s">
        <v>91</v>
      </c>
      <c r="E1560" s="162">
        <f t="shared" si="354"/>
        <v>41548</v>
      </c>
      <c r="F1560" s="163"/>
      <c r="G1560" s="92">
        <v>5430</v>
      </c>
      <c r="H1560" s="167">
        <v>1507</v>
      </c>
      <c r="I1560" s="167" t="s">
        <v>93</v>
      </c>
      <c r="J1560" s="168">
        <f t="shared" si="353"/>
        <v>0.36</v>
      </c>
      <c r="K1560" s="169">
        <f t="shared" si="347"/>
        <v>53.922542204568025</v>
      </c>
      <c r="L1560" s="169">
        <f t="shared" si="348"/>
        <v>1.4675675675675677</v>
      </c>
      <c r="M1560" s="133">
        <f t="shared" si="349"/>
        <v>542.52</v>
      </c>
      <c r="N1560" s="133">
        <f t="shared" si="350"/>
        <v>5972.52</v>
      </c>
      <c r="O1560" s="134">
        <f t="shared" si="351"/>
        <v>59.310029791459783</v>
      </c>
      <c r="P1560" s="134">
        <f t="shared" si="352"/>
        <v>1.6141945945945948</v>
      </c>
      <c r="R1560" s="149">
        <f t="shared" si="355"/>
        <v>2.9272781793177716</v>
      </c>
    </row>
    <row r="1561" spans="1:18" ht="14.45" x14ac:dyDescent="0.3">
      <c r="A1561" s="161" t="s">
        <v>22</v>
      </c>
      <c r="B1561" s="161" t="s">
        <v>31</v>
      </c>
      <c r="C1561" s="161" t="s">
        <v>7</v>
      </c>
      <c r="D1561" s="161" t="s">
        <v>91</v>
      </c>
      <c r="E1561" s="162">
        <f t="shared" si="354"/>
        <v>41548</v>
      </c>
      <c r="F1561" s="163"/>
      <c r="G1561" s="92">
        <v>4175</v>
      </c>
      <c r="H1561" s="167">
        <v>1160</v>
      </c>
      <c r="I1561" s="167" t="s">
        <v>92</v>
      </c>
      <c r="J1561" s="168">
        <f t="shared" si="353"/>
        <v>0.37</v>
      </c>
      <c r="K1561" s="169">
        <f t="shared" si="347"/>
        <v>41.459781529294936</v>
      </c>
      <c r="L1561" s="169">
        <f t="shared" si="348"/>
        <v>1.1283783783783783</v>
      </c>
      <c r="M1561" s="133">
        <f t="shared" si="349"/>
        <v>429.2</v>
      </c>
      <c r="N1561" s="133">
        <f t="shared" si="350"/>
        <v>4604.2</v>
      </c>
      <c r="O1561" s="134">
        <f t="shared" si="351"/>
        <v>45.72194637537239</v>
      </c>
      <c r="P1561" s="134">
        <f t="shared" si="352"/>
        <v>1.2443783783783784</v>
      </c>
      <c r="R1561" s="149">
        <f t="shared" si="355"/>
        <v>6.806161269369948</v>
      </c>
    </row>
    <row r="1562" spans="1:18" ht="14.45" x14ac:dyDescent="0.3">
      <c r="A1562" s="161" t="s">
        <v>22</v>
      </c>
      <c r="B1562" s="161" t="s">
        <v>14</v>
      </c>
      <c r="C1562" s="161" t="s">
        <v>24</v>
      </c>
      <c r="D1562" s="161" t="s">
        <v>91</v>
      </c>
      <c r="E1562" s="162">
        <f t="shared" si="354"/>
        <v>41548</v>
      </c>
      <c r="F1562" s="163"/>
      <c r="G1562" s="92">
        <v>2862</v>
      </c>
      <c r="H1562" s="167">
        <v>615</v>
      </c>
      <c r="I1562" s="167" t="s">
        <v>94</v>
      </c>
      <c r="J1562" s="168">
        <f t="shared" si="353"/>
        <v>0.48</v>
      </c>
      <c r="K1562" s="169">
        <f t="shared" si="347"/>
        <v>28.421052631578945</v>
      </c>
      <c r="L1562" s="169">
        <f t="shared" si="348"/>
        <v>0.7735135135135135</v>
      </c>
      <c r="M1562" s="133">
        <f t="shared" si="349"/>
        <v>295.2</v>
      </c>
      <c r="N1562" s="133">
        <f t="shared" si="350"/>
        <v>3157.2</v>
      </c>
      <c r="O1562" s="134">
        <f t="shared" si="351"/>
        <v>31.352532274081426</v>
      </c>
      <c r="P1562" s="134">
        <f t="shared" si="352"/>
        <v>0.8532972972972972</v>
      </c>
      <c r="R1562" s="149">
        <f t="shared" si="355"/>
        <v>3.260834014717906</v>
      </c>
    </row>
    <row r="1563" spans="1:18" ht="14.45" x14ac:dyDescent="0.3">
      <c r="A1563" s="164" t="s">
        <v>22</v>
      </c>
      <c r="B1563" s="164" t="s">
        <v>34</v>
      </c>
      <c r="C1563" s="164" t="s">
        <v>26</v>
      </c>
      <c r="D1563" s="164" t="s">
        <v>91</v>
      </c>
      <c r="E1563" s="165">
        <f t="shared" si="354"/>
        <v>41548</v>
      </c>
      <c r="F1563" s="166"/>
      <c r="G1563" s="105">
        <v>5110</v>
      </c>
      <c r="H1563" s="170">
        <v>1637</v>
      </c>
      <c r="I1563" s="170" t="s">
        <v>92</v>
      </c>
      <c r="J1563" s="171">
        <f t="shared" si="353"/>
        <v>0.37</v>
      </c>
      <c r="K1563" s="172">
        <f t="shared" si="347"/>
        <v>50.744786494538232</v>
      </c>
      <c r="L1563" s="172">
        <f t="shared" si="348"/>
        <v>1.3810810810810812</v>
      </c>
      <c r="M1563" s="115">
        <f t="shared" si="349"/>
        <v>605.68999999999994</v>
      </c>
      <c r="N1563" s="115">
        <f t="shared" si="350"/>
        <v>5715.69</v>
      </c>
      <c r="O1563" s="116">
        <f t="shared" si="351"/>
        <v>56.759582919563051</v>
      </c>
      <c r="P1563" s="116">
        <f t="shared" si="352"/>
        <v>1.5447810810810809</v>
      </c>
      <c r="Q1563" s="106"/>
      <c r="R1563" s="152">
        <f t="shared" si="355"/>
        <v>-1.7426328764014953</v>
      </c>
    </row>
    <row r="1564" spans="1:18" ht="14.45" x14ac:dyDescent="0.3">
      <c r="A1564" s="161" t="s">
        <v>1</v>
      </c>
      <c r="B1564" s="161" t="s">
        <v>2</v>
      </c>
      <c r="C1564" s="161" t="s">
        <v>3</v>
      </c>
      <c r="D1564" s="161" t="s">
        <v>90</v>
      </c>
      <c r="E1564" s="162">
        <v>41579</v>
      </c>
      <c r="F1564" s="163"/>
      <c r="G1564" s="92">
        <v>3191</v>
      </c>
      <c r="H1564" s="167">
        <v>506</v>
      </c>
      <c r="I1564" s="167" t="s">
        <v>92</v>
      </c>
      <c r="J1564" s="168">
        <f>IF(I1564="BNSF",0.37,IF(I1564="CN",0.322,IF(I1564="CSX",0.5,0.38)))</f>
        <v>0.38</v>
      </c>
      <c r="K1564" s="169">
        <f t="shared" ref="K1564:K1601" si="356">G1564/100.7</f>
        <v>31.688182720953325</v>
      </c>
      <c r="L1564" s="169">
        <f t="shared" ref="L1564:L1601" si="357">IF(A1564="corn",G1564/(111*2000/56),G1564/(111*2000/60))</f>
        <v>0.86243243243243239</v>
      </c>
      <c r="M1564" s="133">
        <f t="shared" ref="M1564:M1601" si="358">H1564*J1564</f>
        <v>192.28</v>
      </c>
      <c r="N1564" s="133">
        <f t="shared" ref="N1564:N1601" si="359">G1564+M1564</f>
        <v>3383.28</v>
      </c>
      <c r="O1564" s="134">
        <f t="shared" ref="O1564:O1601" si="360">N1564/100.7</f>
        <v>33.597616683217481</v>
      </c>
      <c r="P1564" s="134">
        <f t="shared" ref="P1564:P1601" si="361">IF(A1564="corn",N1564/(111*2000/56),N1564/(111*2000/60))</f>
        <v>0.9144000000000001</v>
      </c>
      <c r="Q1564" s="160"/>
      <c r="R1564" s="149">
        <f t="shared" si="355"/>
        <v>0.94943696180171955</v>
      </c>
    </row>
    <row r="1565" spans="1:18" ht="14.45" x14ac:dyDescent="0.3">
      <c r="A1565" s="161" t="s">
        <v>1</v>
      </c>
      <c r="B1565" s="161" t="s">
        <v>4</v>
      </c>
      <c r="C1565" s="161" t="s">
        <v>5</v>
      </c>
      <c r="D1565" s="161" t="s">
        <v>90</v>
      </c>
      <c r="E1565" s="162">
        <f>E1564</f>
        <v>41579</v>
      </c>
      <c r="F1565" s="163"/>
      <c r="G1565" s="92">
        <v>3596</v>
      </c>
      <c r="H1565" s="167">
        <v>298</v>
      </c>
      <c r="I1565" s="167" t="s">
        <v>93</v>
      </c>
      <c r="J1565" s="168">
        <f t="shared" ref="J1565:J1601" si="362">IF(I1565="BNSF",0.37,IF(I1565="CN",0.322,IF(I1565="CSX",0.5,0.38)))</f>
        <v>0.37</v>
      </c>
      <c r="K1565" s="169">
        <f t="shared" si="356"/>
        <v>35.710029791459782</v>
      </c>
      <c r="L1565" s="169">
        <f t="shared" si="357"/>
        <v>0.97189189189189185</v>
      </c>
      <c r="M1565" s="133">
        <f t="shared" si="358"/>
        <v>110.26</v>
      </c>
      <c r="N1565" s="133">
        <f t="shared" si="359"/>
        <v>3706.26</v>
      </c>
      <c r="O1565" s="134">
        <f t="shared" si="360"/>
        <v>36.80496524329692</v>
      </c>
      <c r="P1565" s="134">
        <f t="shared" si="361"/>
        <v>1.001691891891892</v>
      </c>
      <c r="Q1565" s="160"/>
      <c r="R1565" s="149">
        <f t="shared" si="355"/>
        <v>3.8988781053941768</v>
      </c>
    </row>
    <row r="1566" spans="1:18" ht="14.45" x14ac:dyDescent="0.3">
      <c r="A1566" s="161" t="s">
        <v>1</v>
      </c>
      <c r="B1566" s="161" t="s">
        <v>2</v>
      </c>
      <c r="C1566" s="161" t="s">
        <v>6</v>
      </c>
      <c r="D1566" s="161" t="s">
        <v>90</v>
      </c>
      <c r="E1566" s="162">
        <f t="shared" ref="E1566:E1601" si="363">E1565</f>
        <v>41579</v>
      </c>
      <c r="F1566" s="163"/>
      <c r="G1566" s="92">
        <v>6244</v>
      </c>
      <c r="H1566" s="167">
        <v>1530</v>
      </c>
      <c r="I1566" s="167" t="s">
        <v>93</v>
      </c>
      <c r="J1566" s="168">
        <f t="shared" si="362"/>
        <v>0.37</v>
      </c>
      <c r="K1566" s="169">
        <f t="shared" si="356"/>
        <v>62.005958291956304</v>
      </c>
      <c r="L1566" s="169">
        <f t="shared" si="357"/>
        <v>1.6875675675675677</v>
      </c>
      <c r="M1566" s="133">
        <f t="shared" si="358"/>
        <v>566.1</v>
      </c>
      <c r="N1566" s="133">
        <f t="shared" si="359"/>
        <v>6810.1</v>
      </c>
      <c r="O1566" s="134">
        <f t="shared" si="360"/>
        <v>67.627606752730884</v>
      </c>
      <c r="P1566" s="134">
        <f t="shared" si="361"/>
        <v>1.8405675675675677</v>
      </c>
      <c r="R1566" s="149">
        <f t="shared" si="355"/>
        <v>2.356725234094359</v>
      </c>
    </row>
    <row r="1567" spans="1:18" ht="14.45" x14ac:dyDescent="0.3">
      <c r="A1567" s="161" t="s">
        <v>1</v>
      </c>
      <c r="B1567" s="161" t="s">
        <v>2</v>
      </c>
      <c r="C1567" s="161" t="s">
        <v>7</v>
      </c>
      <c r="D1567" s="161" t="s">
        <v>90</v>
      </c>
      <c r="E1567" s="162">
        <f t="shared" si="363"/>
        <v>41579</v>
      </c>
      <c r="F1567" s="163"/>
      <c r="G1567" s="92">
        <v>3808</v>
      </c>
      <c r="H1567" s="167">
        <v>890</v>
      </c>
      <c r="I1567" s="167" t="s">
        <v>92</v>
      </c>
      <c r="J1567" s="168">
        <f t="shared" si="362"/>
        <v>0.38</v>
      </c>
      <c r="K1567" s="169">
        <f t="shared" si="356"/>
        <v>37.815292949354514</v>
      </c>
      <c r="L1567" s="169">
        <f t="shared" si="357"/>
        <v>1.0291891891891891</v>
      </c>
      <c r="M1567" s="133">
        <f t="shared" si="358"/>
        <v>338.2</v>
      </c>
      <c r="N1567" s="133">
        <f t="shared" si="359"/>
        <v>4146.2</v>
      </c>
      <c r="O1567" s="134">
        <f t="shared" si="360"/>
        <v>41.173783515392252</v>
      </c>
      <c r="P1567" s="134">
        <f t="shared" si="361"/>
        <v>1.1205945945945945</v>
      </c>
      <c r="R1567" s="149">
        <f t="shared" si="355"/>
        <v>3.3990872590338839</v>
      </c>
    </row>
    <row r="1568" spans="1:18" ht="14.45" x14ac:dyDescent="0.3">
      <c r="A1568" s="161" t="s">
        <v>1</v>
      </c>
      <c r="B1568" s="161" t="s">
        <v>8</v>
      </c>
      <c r="C1568" s="161" t="s">
        <v>9</v>
      </c>
      <c r="D1568" s="161" t="s">
        <v>90</v>
      </c>
      <c r="E1568" s="162">
        <f t="shared" si="363"/>
        <v>41579</v>
      </c>
      <c r="F1568" s="163"/>
      <c r="G1568" s="92">
        <v>5824</v>
      </c>
      <c r="H1568" s="167">
        <v>1256</v>
      </c>
      <c r="I1568" s="167" t="s">
        <v>93</v>
      </c>
      <c r="J1568" s="168">
        <f t="shared" si="362"/>
        <v>0.37</v>
      </c>
      <c r="K1568" s="169">
        <f t="shared" si="356"/>
        <v>57.835153922542204</v>
      </c>
      <c r="L1568" s="169">
        <f t="shared" si="357"/>
        <v>1.574054054054054</v>
      </c>
      <c r="M1568" s="133">
        <f t="shared" si="358"/>
        <v>464.71999999999997</v>
      </c>
      <c r="N1568" s="133">
        <f t="shared" si="359"/>
        <v>6288.72</v>
      </c>
      <c r="O1568" s="134">
        <f t="shared" si="360"/>
        <v>62.450049652432973</v>
      </c>
      <c r="P1568" s="134">
        <f t="shared" si="361"/>
        <v>1.6996540540540541</v>
      </c>
      <c r="R1568" s="149">
        <f t="shared" si="355"/>
        <v>3.2976563577947315</v>
      </c>
    </row>
    <row r="1569" spans="1:18" ht="14.45" x14ac:dyDescent="0.3">
      <c r="A1569" s="161" t="s">
        <v>1</v>
      </c>
      <c r="B1569" s="161" t="s">
        <v>10</v>
      </c>
      <c r="C1569" s="161" t="s">
        <v>9</v>
      </c>
      <c r="D1569" s="161" t="s">
        <v>90</v>
      </c>
      <c r="E1569" s="162">
        <f t="shared" si="363"/>
        <v>41579</v>
      </c>
      <c r="F1569" s="163"/>
      <c r="G1569" s="92">
        <v>4076</v>
      </c>
      <c r="H1569" s="167">
        <v>975</v>
      </c>
      <c r="I1569" s="167" t="s">
        <v>92</v>
      </c>
      <c r="J1569" s="168">
        <f t="shared" si="362"/>
        <v>0.38</v>
      </c>
      <c r="K1569" s="169">
        <f t="shared" si="356"/>
        <v>40.476663356504467</v>
      </c>
      <c r="L1569" s="169">
        <f t="shared" si="357"/>
        <v>1.1016216216216217</v>
      </c>
      <c r="M1569" s="133">
        <f t="shared" si="358"/>
        <v>370.5</v>
      </c>
      <c r="N1569" s="133">
        <f t="shared" si="359"/>
        <v>4446.5</v>
      </c>
      <c r="O1569" s="134">
        <f t="shared" si="360"/>
        <v>44.155908639523332</v>
      </c>
      <c r="P1569" s="134">
        <f t="shared" si="361"/>
        <v>1.2017567567567569</v>
      </c>
      <c r="R1569" s="149">
        <f t="shared" si="355"/>
        <v>3.1251811909317473</v>
      </c>
    </row>
    <row r="1570" spans="1:18" ht="14.45" x14ac:dyDescent="0.3">
      <c r="A1570" s="161" t="s">
        <v>1</v>
      </c>
      <c r="B1570" s="161" t="s">
        <v>11</v>
      </c>
      <c r="C1570" s="161" t="s">
        <v>6</v>
      </c>
      <c r="D1570" s="161" t="s">
        <v>90</v>
      </c>
      <c r="E1570" s="162">
        <f t="shared" si="363"/>
        <v>41579</v>
      </c>
      <c r="F1570" s="163"/>
      <c r="G1570" s="92">
        <v>4275</v>
      </c>
      <c r="H1570" s="167">
        <v>1357</v>
      </c>
      <c r="I1570" s="167" t="s">
        <v>92</v>
      </c>
      <c r="J1570" s="168">
        <f t="shared" si="362"/>
        <v>0.38</v>
      </c>
      <c r="K1570" s="169">
        <f t="shared" si="356"/>
        <v>42.452830188679243</v>
      </c>
      <c r="L1570" s="169">
        <f t="shared" si="357"/>
        <v>1.1554054054054055</v>
      </c>
      <c r="M1570" s="133">
        <f t="shared" si="358"/>
        <v>515.66</v>
      </c>
      <c r="N1570" s="133">
        <f t="shared" si="359"/>
        <v>4790.66</v>
      </c>
      <c r="O1570" s="134">
        <f t="shared" si="360"/>
        <v>47.573584905660375</v>
      </c>
      <c r="P1570" s="134">
        <f t="shared" si="361"/>
        <v>1.2947729729729729</v>
      </c>
      <c r="R1570" s="149">
        <f t="shared" si="355"/>
        <v>2.6195438664887272</v>
      </c>
    </row>
    <row r="1571" spans="1:18" ht="14.45" x14ac:dyDescent="0.3">
      <c r="A1571" s="161" t="s">
        <v>134</v>
      </c>
      <c r="B1571" s="161" t="s">
        <v>13</v>
      </c>
      <c r="C1571" s="161" t="s">
        <v>7</v>
      </c>
      <c r="D1571" s="161" t="s">
        <v>90</v>
      </c>
      <c r="E1571" s="162">
        <f t="shared" si="363"/>
        <v>41579</v>
      </c>
      <c r="F1571" s="163"/>
      <c r="G1571" s="92">
        <v>3192</v>
      </c>
      <c r="H1571" s="167">
        <v>1006</v>
      </c>
      <c r="I1571" s="167" t="s">
        <v>92</v>
      </c>
      <c r="J1571" s="168">
        <f t="shared" si="362"/>
        <v>0.38</v>
      </c>
      <c r="K1571" s="169">
        <f t="shared" si="356"/>
        <v>31.69811320754717</v>
      </c>
      <c r="L1571" s="169">
        <f t="shared" si="357"/>
        <v>0.80518918918918925</v>
      </c>
      <c r="M1571" s="133">
        <f t="shared" si="358"/>
        <v>382.28000000000003</v>
      </c>
      <c r="N1571" s="133">
        <f t="shared" si="359"/>
        <v>3574.28</v>
      </c>
      <c r="O1571" s="134">
        <f t="shared" si="360"/>
        <v>35.494339622641512</v>
      </c>
      <c r="P1571" s="134">
        <f t="shared" si="361"/>
        <v>0.9016201801801802</v>
      </c>
      <c r="R1571" s="149">
        <f t="shared" si="355"/>
        <v>1.4711309709691589</v>
      </c>
    </row>
    <row r="1572" spans="1:18" ht="14.45" x14ac:dyDescent="0.3">
      <c r="A1572" s="161" t="s">
        <v>134</v>
      </c>
      <c r="B1572" s="161" t="s">
        <v>14</v>
      </c>
      <c r="C1572" s="161" t="s">
        <v>15</v>
      </c>
      <c r="D1572" s="161" t="s">
        <v>90</v>
      </c>
      <c r="E1572" s="162">
        <f t="shared" si="363"/>
        <v>41579</v>
      </c>
      <c r="F1572" s="163"/>
      <c r="G1572" s="92">
        <v>4686</v>
      </c>
      <c r="H1572" s="167">
        <v>866</v>
      </c>
      <c r="I1572" s="167" t="s">
        <v>94</v>
      </c>
      <c r="J1572" s="168">
        <f t="shared" si="362"/>
        <v>0.5</v>
      </c>
      <c r="K1572" s="169">
        <f t="shared" si="356"/>
        <v>46.53426017874876</v>
      </c>
      <c r="L1572" s="169">
        <f t="shared" si="357"/>
        <v>1.1820540540540541</v>
      </c>
      <c r="M1572" s="133">
        <f t="shared" si="358"/>
        <v>433</v>
      </c>
      <c r="N1572" s="133">
        <f t="shared" si="359"/>
        <v>5119</v>
      </c>
      <c r="O1572" s="134">
        <f t="shared" si="360"/>
        <v>50.834160873882816</v>
      </c>
      <c r="P1572" s="134">
        <f t="shared" si="361"/>
        <v>1.2912792792792793</v>
      </c>
      <c r="R1572" s="149">
        <f t="shared" si="355"/>
        <v>2.8812373885570342</v>
      </c>
    </row>
    <row r="1573" spans="1:18" ht="14.45" x14ac:dyDescent="0.3">
      <c r="A1573" s="161" t="s">
        <v>134</v>
      </c>
      <c r="B1573" s="161" t="s">
        <v>16</v>
      </c>
      <c r="C1573" s="161" t="s">
        <v>17</v>
      </c>
      <c r="D1573" s="161" t="s">
        <v>90</v>
      </c>
      <c r="E1573" s="162">
        <f t="shared" si="363"/>
        <v>41579</v>
      </c>
      <c r="F1573" s="163"/>
      <c r="G1573" s="92">
        <v>2078</v>
      </c>
      <c r="H1573" s="167">
        <v>213</v>
      </c>
      <c r="I1573" s="167" t="s">
        <v>92</v>
      </c>
      <c r="J1573" s="168">
        <f t="shared" si="362"/>
        <v>0.38</v>
      </c>
      <c r="K1573" s="169">
        <f t="shared" si="356"/>
        <v>20.635551142005959</v>
      </c>
      <c r="L1573" s="169">
        <f t="shared" si="357"/>
        <v>0.5241801801801802</v>
      </c>
      <c r="M1573" s="133">
        <f t="shared" si="358"/>
        <v>80.94</v>
      </c>
      <c r="N1573" s="133">
        <f t="shared" si="359"/>
        <v>2158.94</v>
      </c>
      <c r="O1573" s="134">
        <f t="shared" si="360"/>
        <v>21.439324726911618</v>
      </c>
      <c r="P1573" s="134">
        <f t="shared" si="361"/>
        <v>0.54459747747747755</v>
      </c>
      <c r="R1573" s="149">
        <f t="shared" si="355"/>
        <v>3.1342406596188921</v>
      </c>
    </row>
    <row r="1574" spans="1:18" ht="14.45" x14ac:dyDescent="0.3">
      <c r="A1574" s="161" t="s">
        <v>134</v>
      </c>
      <c r="B1574" s="161" t="s">
        <v>18</v>
      </c>
      <c r="C1574" s="161" t="s">
        <v>19</v>
      </c>
      <c r="D1574" s="161" t="s">
        <v>90</v>
      </c>
      <c r="E1574" s="162">
        <f t="shared" si="363"/>
        <v>41579</v>
      </c>
      <c r="F1574" s="163"/>
      <c r="G1574" s="92">
        <v>4061</v>
      </c>
      <c r="H1574" s="167">
        <v>650</v>
      </c>
      <c r="I1574" s="167" t="s">
        <v>94</v>
      </c>
      <c r="J1574" s="168">
        <f t="shared" si="362"/>
        <v>0.5</v>
      </c>
      <c r="K1574" s="169">
        <f t="shared" si="356"/>
        <v>40.327706057596821</v>
      </c>
      <c r="L1574" s="169">
        <f t="shared" si="357"/>
        <v>1.0243963963963965</v>
      </c>
      <c r="M1574" s="133">
        <f t="shared" si="358"/>
        <v>325</v>
      </c>
      <c r="N1574" s="133">
        <f t="shared" si="359"/>
        <v>4386</v>
      </c>
      <c r="O1574" s="134">
        <f t="shared" si="360"/>
        <v>43.555114200595831</v>
      </c>
      <c r="P1574" s="134">
        <f t="shared" si="361"/>
        <v>1.1063783783783785</v>
      </c>
      <c r="R1574" s="149">
        <f t="shared" si="355"/>
        <v>2.6925778506204701</v>
      </c>
    </row>
    <row r="1575" spans="1:18" ht="14.45" x14ac:dyDescent="0.3">
      <c r="A1575" s="161" t="s">
        <v>134</v>
      </c>
      <c r="B1575" s="161" t="s">
        <v>18</v>
      </c>
      <c r="C1575" s="161" t="s">
        <v>20</v>
      </c>
      <c r="D1575" s="161" t="s">
        <v>90</v>
      </c>
      <c r="E1575" s="162">
        <f t="shared" si="363"/>
        <v>41579</v>
      </c>
      <c r="F1575" s="163"/>
      <c r="G1575" s="92">
        <v>3469</v>
      </c>
      <c r="H1575" s="167">
        <v>417</v>
      </c>
      <c r="I1575" s="167" t="s">
        <v>94</v>
      </c>
      <c r="J1575" s="168">
        <f t="shared" si="362"/>
        <v>0.5</v>
      </c>
      <c r="K1575" s="169">
        <f t="shared" si="356"/>
        <v>34.44885799404171</v>
      </c>
      <c r="L1575" s="169">
        <f t="shared" si="357"/>
        <v>0.87506306306306303</v>
      </c>
      <c r="M1575" s="133">
        <f t="shared" si="358"/>
        <v>208.5</v>
      </c>
      <c r="N1575" s="133">
        <f t="shared" si="359"/>
        <v>3677.5</v>
      </c>
      <c r="O1575" s="134">
        <f t="shared" si="360"/>
        <v>36.519364448857992</v>
      </c>
      <c r="P1575" s="134">
        <f t="shared" si="361"/>
        <v>0.92765765765765762</v>
      </c>
      <c r="R1575" s="149">
        <f t="shared" si="355"/>
        <v>2.7469979157237256</v>
      </c>
    </row>
    <row r="1576" spans="1:18" ht="14.45" x14ac:dyDescent="0.3">
      <c r="A1576" s="161" t="s">
        <v>134</v>
      </c>
      <c r="B1576" s="161" t="s">
        <v>16</v>
      </c>
      <c r="C1576" s="161" t="s">
        <v>21</v>
      </c>
      <c r="D1576" s="161" t="s">
        <v>90</v>
      </c>
      <c r="E1576" s="162">
        <f t="shared" si="363"/>
        <v>41579</v>
      </c>
      <c r="F1576" s="163"/>
      <c r="G1576" s="92">
        <v>3218</v>
      </c>
      <c r="H1576" s="167">
        <v>626</v>
      </c>
      <c r="I1576" s="167" t="s">
        <v>92</v>
      </c>
      <c r="J1576" s="168">
        <f t="shared" si="362"/>
        <v>0.38</v>
      </c>
      <c r="K1576" s="169">
        <f t="shared" si="356"/>
        <v>31.95630585898709</v>
      </c>
      <c r="L1576" s="169">
        <f t="shared" si="357"/>
        <v>0.81174774774774772</v>
      </c>
      <c r="M1576" s="133">
        <f t="shared" si="358"/>
        <v>237.88</v>
      </c>
      <c r="N1576" s="133">
        <f t="shared" si="359"/>
        <v>3455.88</v>
      </c>
      <c r="O1576" s="134">
        <f t="shared" si="360"/>
        <v>34.31857000993049</v>
      </c>
      <c r="P1576" s="134">
        <f t="shared" si="361"/>
        <v>0.8717535135135136</v>
      </c>
      <c r="R1576" s="149">
        <f t="shared" si="355"/>
        <v>1.3258430919528941</v>
      </c>
    </row>
    <row r="1577" spans="1:18" ht="14.45" x14ac:dyDescent="0.3">
      <c r="A1577" s="161" t="s">
        <v>134</v>
      </c>
      <c r="B1577" s="161" t="s">
        <v>16</v>
      </c>
      <c r="C1577" s="161" t="s">
        <v>6</v>
      </c>
      <c r="D1577" s="161" t="s">
        <v>90</v>
      </c>
      <c r="E1577" s="162">
        <f t="shared" si="363"/>
        <v>41579</v>
      </c>
      <c r="F1577" s="163"/>
      <c r="G1577" s="92">
        <v>5215</v>
      </c>
      <c r="H1577" s="167">
        <v>1823</v>
      </c>
      <c r="I1577" s="167" t="s">
        <v>92</v>
      </c>
      <c r="J1577" s="168">
        <f t="shared" si="362"/>
        <v>0.38</v>
      </c>
      <c r="K1577" s="169">
        <f t="shared" si="356"/>
        <v>51.787487586891757</v>
      </c>
      <c r="L1577" s="169">
        <f t="shared" si="357"/>
        <v>1.3154954954954956</v>
      </c>
      <c r="M1577" s="133">
        <f t="shared" si="358"/>
        <v>692.74</v>
      </c>
      <c r="N1577" s="133">
        <f t="shared" si="359"/>
        <v>5907.74</v>
      </c>
      <c r="O1577" s="134">
        <f t="shared" si="360"/>
        <v>58.666732869910625</v>
      </c>
      <c r="P1577" s="134">
        <f t="shared" si="361"/>
        <v>1.4902407207207207</v>
      </c>
      <c r="R1577" s="149">
        <f t="shared" si="355"/>
        <v>1.6397616831514528</v>
      </c>
    </row>
    <row r="1578" spans="1:18" ht="14.45" x14ac:dyDescent="0.3">
      <c r="A1578" s="161" t="s">
        <v>22</v>
      </c>
      <c r="B1578" s="161" t="s">
        <v>23</v>
      </c>
      <c r="C1578" s="161" t="s">
        <v>7</v>
      </c>
      <c r="D1578" s="161" t="s">
        <v>90</v>
      </c>
      <c r="E1578" s="162">
        <f t="shared" si="363"/>
        <v>41579</v>
      </c>
      <c r="F1578" s="163"/>
      <c r="G1578" s="92">
        <v>3459</v>
      </c>
      <c r="H1578" s="167">
        <v>1295</v>
      </c>
      <c r="I1578" s="167" t="s">
        <v>95</v>
      </c>
      <c r="J1578" s="168">
        <f t="shared" si="362"/>
        <v>0.32200000000000001</v>
      </c>
      <c r="K1578" s="169">
        <f t="shared" si="356"/>
        <v>34.349553128103274</v>
      </c>
      <c r="L1578" s="169">
        <f t="shared" si="357"/>
        <v>0.93486486486486486</v>
      </c>
      <c r="M1578" s="133">
        <f t="shared" si="358"/>
        <v>416.99</v>
      </c>
      <c r="N1578" s="133">
        <f t="shared" si="359"/>
        <v>3875.99</v>
      </c>
      <c r="O1578" s="134">
        <f t="shared" si="360"/>
        <v>38.490466732869905</v>
      </c>
      <c r="P1578" s="134">
        <f t="shared" si="361"/>
        <v>1.0475648648648648</v>
      </c>
      <c r="R1578" s="149">
        <f t="shared" si="355"/>
        <v>1.3785000651272084</v>
      </c>
    </row>
    <row r="1579" spans="1:18" ht="14.45" x14ac:dyDescent="0.3">
      <c r="A1579" s="161" t="s">
        <v>22</v>
      </c>
      <c r="B1579" s="161" t="s">
        <v>14</v>
      </c>
      <c r="C1579" s="161" t="s">
        <v>24</v>
      </c>
      <c r="D1579" s="161" t="s">
        <v>90</v>
      </c>
      <c r="E1579" s="162">
        <f t="shared" si="363"/>
        <v>41579</v>
      </c>
      <c r="F1579" s="163"/>
      <c r="G1579" s="92">
        <v>3687</v>
      </c>
      <c r="H1579" s="167">
        <v>615</v>
      </c>
      <c r="I1579" s="167" t="s">
        <v>94</v>
      </c>
      <c r="J1579" s="168">
        <f t="shared" si="362"/>
        <v>0.5</v>
      </c>
      <c r="K1579" s="169">
        <f t="shared" si="356"/>
        <v>36.613704071499505</v>
      </c>
      <c r="L1579" s="169">
        <f t="shared" si="357"/>
        <v>0.99648648648648652</v>
      </c>
      <c r="M1579" s="133">
        <f t="shared" si="358"/>
        <v>307.5</v>
      </c>
      <c r="N1579" s="133">
        <f t="shared" si="359"/>
        <v>3994.5</v>
      </c>
      <c r="O1579" s="134">
        <f t="shared" si="360"/>
        <v>39.667328699106257</v>
      </c>
      <c r="P1579" s="134">
        <f t="shared" si="361"/>
        <v>1.0795945945945946</v>
      </c>
      <c r="R1579" s="149">
        <f t="shared" si="355"/>
        <v>2.2369532389751923</v>
      </c>
    </row>
    <row r="1580" spans="1:18" ht="14.45" x14ac:dyDescent="0.3">
      <c r="A1580" s="161" t="s">
        <v>22</v>
      </c>
      <c r="B1580" s="161" t="s">
        <v>18</v>
      </c>
      <c r="C1580" s="161" t="s">
        <v>15</v>
      </c>
      <c r="D1580" s="161" t="s">
        <v>90</v>
      </c>
      <c r="E1580" s="162">
        <f t="shared" si="363"/>
        <v>41579</v>
      </c>
      <c r="F1580" s="163"/>
      <c r="G1580" s="92">
        <v>4756</v>
      </c>
      <c r="H1580" s="167">
        <v>872</v>
      </c>
      <c r="I1580" s="167" t="s">
        <v>94</v>
      </c>
      <c r="J1580" s="168">
        <f t="shared" si="362"/>
        <v>0.5</v>
      </c>
      <c r="K1580" s="169">
        <f t="shared" si="356"/>
        <v>47.229394240317774</v>
      </c>
      <c r="L1580" s="169">
        <f t="shared" si="357"/>
        <v>1.2854054054054054</v>
      </c>
      <c r="M1580" s="133">
        <f t="shared" si="358"/>
        <v>436</v>
      </c>
      <c r="N1580" s="133">
        <f t="shared" si="359"/>
        <v>5192</v>
      </c>
      <c r="O1580" s="134">
        <f t="shared" si="360"/>
        <v>51.559086395233365</v>
      </c>
      <c r="P1580" s="134">
        <f t="shared" si="361"/>
        <v>1.4032432432432433</v>
      </c>
      <c r="R1580" s="149">
        <f t="shared" si="355"/>
        <v>2.8346880892395898</v>
      </c>
    </row>
    <row r="1581" spans="1:18" ht="14.45" x14ac:dyDescent="0.3">
      <c r="A1581" s="161" t="s">
        <v>22</v>
      </c>
      <c r="B1581" s="161" t="s">
        <v>18</v>
      </c>
      <c r="C1581" s="161" t="s">
        <v>24</v>
      </c>
      <c r="D1581" s="161" t="s">
        <v>90</v>
      </c>
      <c r="E1581" s="162">
        <f t="shared" si="363"/>
        <v>41579</v>
      </c>
      <c r="F1581" s="163"/>
      <c r="G1581" s="92">
        <v>3379</v>
      </c>
      <c r="H1581" s="167">
        <v>417</v>
      </c>
      <c r="I1581" s="167" t="s">
        <v>94</v>
      </c>
      <c r="J1581" s="168">
        <f t="shared" si="362"/>
        <v>0.5</v>
      </c>
      <c r="K1581" s="169">
        <f t="shared" si="356"/>
        <v>33.555114200595831</v>
      </c>
      <c r="L1581" s="169">
        <f t="shared" si="357"/>
        <v>0.91324324324324324</v>
      </c>
      <c r="M1581" s="133">
        <f t="shared" si="358"/>
        <v>208.5</v>
      </c>
      <c r="N1581" s="133">
        <f t="shared" si="359"/>
        <v>3587.5</v>
      </c>
      <c r="O1581" s="134">
        <f t="shared" si="360"/>
        <v>35.625620655412114</v>
      </c>
      <c r="P1581" s="134">
        <f t="shared" si="361"/>
        <v>0.96959459459459463</v>
      </c>
      <c r="R1581" s="149">
        <f t="shared" si="355"/>
        <v>2.7295271148680911</v>
      </c>
    </row>
    <row r="1582" spans="1:18" ht="14.45" x14ac:dyDescent="0.3">
      <c r="A1582" s="161" t="s">
        <v>22</v>
      </c>
      <c r="B1582" s="161" t="s">
        <v>13</v>
      </c>
      <c r="C1582" s="161" t="s">
        <v>7</v>
      </c>
      <c r="D1582" s="161" t="s">
        <v>90</v>
      </c>
      <c r="E1582" s="162">
        <f t="shared" si="363"/>
        <v>41579</v>
      </c>
      <c r="F1582" s="163"/>
      <c r="G1582" s="92">
        <v>3748</v>
      </c>
      <c r="H1582" s="167">
        <v>1006</v>
      </c>
      <c r="I1582" s="167" t="s">
        <v>92</v>
      </c>
      <c r="J1582" s="168">
        <f t="shared" si="362"/>
        <v>0.38</v>
      </c>
      <c r="K1582" s="169">
        <f t="shared" si="356"/>
        <v>37.219463753723929</v>
      </c>
      <c r="L1582" s="169">
        <f t="shared" si="357"/>
        <v>1.0129729729729731</v>
      </c>
      <c r="M1582" s="133">
        <f t="shared" si="358"/>
        <v>382.28000000000003</v>
      </c>
      <c r="N1582" s="133">
        <f t="shared" si="359"/>
        <v>4130.28</v>
      </c>
      <c r="O1582" s="134">
        <f t="shared" si="360"/>
        <v>41.015690168818267</v>
      </c>
      <c r="P1582" s="134">
        <f t="shared" si="361"/>
        <v>1.1162918918918918</v>
      </c>
      <c r="R1582" s="149">
        <f t="shared" si="355"/>
        <v>2.9620138303759758</v>
      </c>
    </row>
    <row r="1583" spans="1:18" ht="14.45" x14ac:dyDescent="0.3">
      <c r="A1583" s="161" t="s">
        <v>1</v>
      </c>
      <c r="B1583" s="161" t="s">
        <v>25</v>
      </c>
      <c r="C1583" s="161" t="s">
        <v>26</v>
      </c>
      <c r="D1583" s="161" t="s">
        <v>91</v>
      </c>
      <c r="E1583" s="162">
        <f t="shared" si="363"/>
        <v>41579</v>
      </c>
      <c r="F1583" s="163"/>
      <c r="G1583" s="92">
        <v>3678</v>
      </c>
      <c r="H1583" s="167">
        <v>880</v>
      </c>
      <c r="I1583" s="167" t="s">
        <v>93</v>
      </c>
      <c r="J1583" s="168">
        <f t="shared" si="362"/>
        <v>0.37</v>
      </c>
      <c r="K1583" s="169">
        <f t="shared" si="356"/>
        <v>36.524329692154915</v>
      </c>
      <c r="L1583" s="169">
        <f t="shared" si="357"/>
        <v>0.994054054054054</v>
      </c>
      <c r="M1583" s="133">
        <f t="shared" si="358"/>
        <v>325.60000000000002</v>
      </c>
      <c r="N1583" s="133">
        <f t="shared" si="359"/>
        <v>4003.6</v>
      </c>
      <c r="O1583" s="134">
        <f t="shared" si="360"/>
        <v>39.757696127110229</v>
      </c>
      <c r="P1583" s="134">
        <f t="shared" si="361"/>
        <v>1.082054054054054</v>
      </c>
      <c r="R1583" s="149">
        <f t="shared" si="355"/>
        <v>4.2115674944036563</v>
      </c>
    </row>
    <row r="1584" spans="1:18" ht="14.45" x14ac:dyDescent="0.3">
      <c r="A1584" s="161" t="s">
        <v>1</v>
      </c>
      <c r="B1584" s="161" t="s">
        <v>2</v>
      </c>
      <c r="C1584" s="161" t="s">
        <v>9</v>
      </c>
      <c r="D1584" s="161" t="s">
        <v>91</v>
      </c>
      <c r="E1584" s="162">
        <f t="shared" si="363"/>
        <v>41579</v>
      </c>
      <c r="F1584" s="163"/>
      <c r="G1584" s="92">
        <v>3798</v>
      </c>
      <c r="H1584" s="167">
        <v>685</v>
      </c>
      <c r="I1584" s="167" t="s">
        <v>93</v>
      </c>
      <c r="J1584" s="168">
        <f t="shared" si="362"/>
        <v>0.37</v>
      </c>
      <c r="K1584" s="169">
        <f t="shared" si="356"/>
        <v>37.715988083416086</v>
      </c>
      <c r="L1584" s="169">
        <f t="shared" si="357"/>
        <v>1.0264864864864864</v>
      </c>
      <c r="M1584" s="133">
        <f t="shared" si="358"/>
        <v>253.45</v>
      </c>
      <c r="N1584" s="133">
        <f t="shared" si="359"/>
        <v>4051.45</v>
      </c>
      <c r="O1584" s="134">
        <f t="shared" si="360"/>
        <v>40.232869910625617</v>
      </c>
      <c r="P1584" s="134">
        <f t="shared" si="361"/>
        <v>1.0949864864864864</v>
      </c>
      <c r="R1584" s="149">
        <f t="shared" si="355"/>
        <v>3.4892780055429951</v>
      </c>
    </row>
    <row r="1585" spans="1:18" ht="14.45" x14ac:dyDescent="0.3">
      <c r="A1585" s="161" t="s">
        <v>1</v>
      </c>
      <c r="B1585" s="161" t="s">
        <v>27</v>
      </c>
      <c r="C1585" s="161" t="s">
        <v>28</v>
      </c>
      <c r="D1585" s="161" t="s">
        <v>91</v>
      </c>
      <c r="E1585" s="162">
        <f t="shared" si="363"/>
        <v>41579</v>
      </c>
      <c r="F1585" s="163"/>
      <c r="G1585" s="92">
        <v>3950</v>
      </c>
      <c r="H1585" s="167">
        <v>812</v>
      </c>
      <c r="I1585" s="167" t="s">
        <v>94</v>
      </c>
      <c r="J1585" s="168">
        <f t="shared" si="362"/>
        <v>0.5</v>
      </c>
      <c r="K1585" s="169">
        <f t="shared" si="356"/>
        <v>39.22542204568024</v>
      </c>
      <c r="L1585" s="169">
        <f t="shared" si="357"/>
        <v>1.0675675675675675</v>
      </c>
      <c r="M1585" s="133">
        <f t="shared" si="358"/>
        <v>406</v>
      </c>
      <c r="N1585" s="133">
        <f t="shared" si="359"/>
        <v>4356</v>
      </c>
      <c r="O1585" s="134">
        <f t="shared" si="360"/>
        <v>43.257199602780538</v>
      </c>
      <c r="P1585" s="134">
        <f t="shared" si="361"/>
        <v>1.1772972972972973</v>
      </c>
      <c r="R1585" s="149">
        <f t="shared" si="355"/>
        <v>3.4807149576669971</v>
      </c>
    </row>
    <row r="1586" spans="1:18" ht="14.45" x14ac:dyDescent="0.3">
      <c r="A1586" s="161" t="s">
        <v>1</v>
      </c>
      <c r="B1586" s="161" t="s">
        <v>4</v>
      </c>
      <c r="C1586" s="161" t="s">
        <v>26</v>
      </c>
      <c r="D1586" s="161" t="s">
        <v>91</v>
      </c>
      <c r="E1586" s="162">
        <f t="shared" si="363"/>
        <v>41579</v>
      </c>
      <c r="F1586" s="163"/>
      <c r="G1586" s="92">
        <v>5159</v>
      </c>
      <c r="H1586" s="167">
        <v>1520</v>
      </c>
      <c r="I1586" s="167" t="s">
        <v>93</v>
      </c>
      <c r="J1586" s="168">
        <f t="shared" si="362"/>
        <v>0.37</v>
      </c>
      <c r="K1586" s="169">
        <f t="shared" si="356"/>
        <v>51.231380337636544</v>
      </c>
      <c r="L1586" s="169">
        <f t="shared" si="357"/>
        <v>1.3943243243243244</v>
      </c>
      <c r="M1586" s="133">
        <f t="shared" si="358"/>
        <v>562.4</v>
      </c>
      <c r="N1586" s="133">
        <f t="shared" si="359"/>
        <v>5721.4</v>
      </c>
      <c r="O1586" s="134">
        <f t="shared" si="360"/>
        <v>56.816285998013896</v>
      </c>
      <c r="P1586" s="134">
        <f t="shared" si="361"/>
        <v>1.5463243243243243</v>
      </c>
      <c r="R1586" s="149">
        <f t="shared" si="355"/>
        <v>2.4202499015430812</v>
      </c>
    </row>
    <row r="1587" spans="1:18" ht="14.45" x14ac:dyDescent="0.3">
      <c r="A1587" s="161" t="s">
        <v>1</v>
      </c>
      <c r="B1587" s="161" t="s">
        <v>4</v>
      </c>
      <c r="C1587" s="161" t="s">
        <v>9</v>
      </c>
      <c r="D1587" s="161" t="s">
        <v>91</v>
      </c>
      <c r="E1587" s="162">
        <f t="shared" si="363"/>
        <v>41579</v>
      </c>
      <c r="F1587" s="163"/>
      <c r="G1587" s="92">
        <v>6084</v>
      </c>
      <c r="H1587" s="167">
        <v>1583</v>
      </c>
      <c r="I1587" s="167" t="s">
        <v>93</v>
      </c>
      <c r="J1587" s="168">
        <f t="shared" si="362"/>
        <v>0.37</v>
      </c>
      <c r="K1587" s="169">
        <f t="shared" si="356"/>
        <v>60.417080436941411</v>
      </c>
      <c r="L1587" s="169">
        <f t="shared" si="357"/>
        <v>1.6443243243243244</v>
      </c>
      <c r="M1587" s="133">
        <f t="shared" si="358"/>
        <v>585.71</v>
      </c>
      <c r="N1587" s="133">
        <f t="shared" si="359"/>
        <v>6669.71</v>
      </c>
      <c r="O1587" s="134">
        <f t="shared" si="360"/>
        <v>66.233465739821256</v>
      </c>
      <c r="P1587" s="134">
        <f t="shared" si="361"/>
        <v>1.8026243243243243</v>
      </c>
      <c r="R1587" s="149">
        <f t="shared" si="355"/>
        <v>0.55299011160812039</v>
      </c>
    </row>
    <row r="1588" spans="1:18" ht="14.45" x14ac:dyDescent="0.3">
      <c r="A1588" s="161" t="s">
        <v>1</v>
      </c>
      <c r="B1588" s="161" t="s">
        <v>10</v>
      </c>
      <c r="C1588" s="161" t="s">
        <v>26</v>
      </c>
      <c r="D1588" s="161" t="s">
        <v>91</v>
      </c>
      <c r="E1588" s="162">
        <f t="shared" si="363"/>
        <v>41579</v>
      </c>
      <c r="F1588" s="163"/>
      <c r="G1588" s="92">
        <v>5043</v>
      </c>
      <c r="H1588" s="167">
        <v>1599</v>
      </c>
      <c r="I1588" s="167" t="s">
        <v>92</v>
      </c>
      <c r="J1588" s="168">
        <f t="shared" si="362"/>
        <v>0.38</v>
      </c>
      <c r="K1588" s="169">
        <f t="shared" si="356"/>
        <v>50.079443892750746</v>
      </c>
      <c r="L1588" s="169">
        <f t="shared" si="357"/>
        <v>1.3629729729729729</v>
      </c>
      <c r="M1588" s="133">
        <f t="shared" si="358"/>
        <v>607.62</v>
      </c>
      <c r="N1588" s="133">
        <f t="shared" si="359"/>
        <v>5650.62</v>
      </c>
      <c r="O1588" s="134">
        <f t="shared" si="360"/>
        <v>56.113406156901682</v>
      </c>
      <c r="P1588" s="134">
        <f t="shared" si="361"/>
        <v>1.5271945945945946</v>
      </c>
      <c r="R1588" s="149">
        <f t="shared" si="355"/>
        <v>3.7079317768450082</v>
      </c>
    </row>
    <row r="1589" spans="1:18" ht="14.45" x14ac:dyDescent="0.3">
      <c r="A1589" s="161" t="s">
        <v>134</v>
      </c>
      <c r="B1589" s="161" t="s">
        <v>23</v>
      </c>
      <c r="C1589" s="161" t="s">
        <v>26</v>
      </c>
      <c r="D1589" s="161" t="s">
        <v>91</v>
      </c>
      <c r="E1589" s="162">
        <f t="shared" si="363"/>
        <v>41579</v>
      </c>
      <c r="F1589" s="163"/>
      <c r="G1589" s="92">
        <v>5000</v>
      </c>
      <c r="H1589" s="167">
        <v>1851</v>
      </c>
      <c r="I1589" s="167" t="s">
        <v>93</v>
      </c>
      <c r="J1589" s="168">
        <f t="shared" si="362"/>
        <v>0.37</v>
      </c>
      <c r="K1589" s="169">
        <f t="shared" si="356"/>
        <v>49.652432969215489</v>
      </c>
      <c r="L1589" s="169">
        <f t="shared" si="357"/>
        <v>1.2612612612612613</v>
      </c>
      <c r="M1589" s="133">
        <f t="shared" si="358"/>
        <v>684.87</v>
      </c>
      <c r="N1589" s="133">
        <f t="shared" si="359"/>
        <v>5684.87</v>
      </c>
      <c r="O1589" s="134">
        <f t="shared" si="360"/>
        <v>56.453525322740809</v>
      </c>
      <c r="P1589" s="134">
        <f t="shared" si="361"/>
        <v>1.4340212612612613</v>
      </c>
      <c r="R1589" s="149">
        <f t="shared" si="355"/>
        <v>2.2659118424295466</v>
      </c>
    </row>
    <row r="1590" spans="1:18" ht="14.45" x14ac:dyDescent="0.3">
      <c r="A1590" s="161" t="s">
        <v>134</v>
      </c>
      <c r="B1590" s="161" t="s">
        <v>8</v>
      </c>
      <c r="C1590" s="161" t="s">
        <v>29</v>
      </c>
      <c r="D1590" s="161" t="s">
        <v>91</v>
      </c>
      <c r="E1590" s="162">
        <f t="shared" si="363"/>
        <v>41579</v>
      </c>
      <c r="F1590" s="163"/>
      <c r="G1590" s="92">
        <v>4960</v>
      </c>
      <c r="H1590" s="167">
        <v>1695</v>
      </c>
      <c r="I1590" s="167" t="s">
        <v>93</v>
      </c>
      <c r="J1590" s="168">
        <f t="shared" si="362"/>
        <v>0.37</v>
      </c>
      <c r="K1590" s="169">
        <f t="shared" si="356"/>
        <v>49.255213505461768</v>
      </c>
      <c r="L1590" s="169">
        <f t="shared" si="357"/>
        <v>1.2511711711711713</v>
      </c>
      <c r="M1590" s="133">
        <f t="shared" si="358"/>
        <v>627.15</v>
      </c>
      <c r="N1590" s="133">
        <f t="shared" si="359"/>
        <v>5587.15</v>
      </c>
      <c r="O1590" s="134">
        <f t="shared" si="360"/>
        <v>55.483118172790462</v>
      </c>
      <c r="P1590" s="134">
        <f t="shared" si="361"/>
        <v>1.4093711711711712</v>
      </c>
      <c r="R1590" s="149">
        <f t="shared" ref="R1590:R1627" si="364">((N1590/N1134)-1)*100</f>
        <v>2.4234869247197421</v>
      </c>
    </row>
    <row r="1591" spans="1:18" ht="14.45" x14ac:dyDescent="0.3">
      <c r="A1591" s="161" t="s">
        <v>134</v>
      </c>
      <c r="B1591" s="161" t="s">
        <v>13</v>
      </c>
      <c r="C1591" s="161" t="s">
        <v>7</v>
      </c>
      <c r="D1591" s="161" t="s">
        <v>91</v>
      </c>
      <c r="E1591" s="162">
        <f t="shared" si="363"/>
        <v>41579</v>
      </c>
      <c r="F1591" s="163"/>
      <c r="G1591" s="92">
        <v>3011</v>
      </c>
      <c r="H1591" s="167">
        <v>1006</v>
      </c>
      <c r="I1591" s="167" t="s">
        <v>92</v>
      </c>
      <c r="J1591" s="168">
        <f t="shared" si="362"/>
        <v>0.38</v>
      </c>
      <c r="K1591" s="169">
        <f t="shared" si="356"/>
        <v>29.900695134061568</v>
      </c>
      <c r="L1591" s="169">
        <f t="shared" si="357"/>
        <v>0.75953153153153152</v>
      </c>
      <c r="M1591" s="133">
        <f t="shared" si="358"/>
        <v>382.28000000000003</v>
      </c>
      <c r="N1591" s="133">
        <f t="shared" si="359"/>
        <v>3393.28</v>
      </c>
      <c r="O1591" s="134">
        <f t="shared" si="360"/>
        <v>33.69692154915591</v>
      </c>
      <c r="P1591" s="134">
        <f t="shared" si="361"/>
        <v>0.85596252252252258</v>
      </c>
      <c r="R1591" s="149">
        <f t="shared" si="364"/>
        <v>3.7871697466860033</v>
      </c>
    </row>
    <row r="1592" spans="1:18" ht="14.45" x14ac:dyDescent="0.3">
      <c r="A1592" s="161" t="s">
        <v>134</v>
      </c>
      <c r="B1592" s="161" t="s">
        <v>30</v>
      </c>
      <c r="C1592" s="161" t="s">
        <v>9</v>
      </c>
      <c r="D1592" s="161" t="s">
        <v>91</v>
      </c>
      <c r="E1592" s="162">
        <f t="shared" si="363"/>
        <v>41579</v>
      </c>
      <c r="F1592" s="163"/>
      <c r="G1592" s="92">
        <v>3510</v>
      </c>
      <c r="H1592" s="167">
        <v>988</v>
      </c>
      <c r="I1592" s="167" t="s">
        <v>93</v>
      </c>
      <c r="J1592" s="168">
        <f t="shared" si="362"/>
        <v>0.37</v>
      </c>
      <c r="K1592" s="169">
        <f t="shared" si="356"/>
        <v>34.856007944389276</v>
      </c>
      <c r="L1592" s="169">
        <f t="shared" si="357"/>
        <v>0.88540540540540547</v>
      </c>
      <c r="M1592" s="133">
        <f t="shared" si="358"/>
        <v>365.56</v>
      </c>
      <c r="N1592" s="133">
        <f t="shared" si="359"/>
        <v>3875.56</v>
      </c>
      <c r="O1592" s="134">
        <f t="shared" si="360"/>
        <v>38.486196623634555</v>
      </c>
      <c r="P1592" s="134">
        <f t="shared" si="361"/>
        <v>0.97761873873873872</v>
      </c>
      <c r="R1592" s="149">
        <f t="shared" si="364"/>
        <v>4.319691635173406</v>
      </c>
    </row>
    <row r="1593" spans="1:18" ht="14.45" x14ac:dyDescent="0.3">
      <c r="A1593" s="161" t="s">
        <v>134</v>
      </c>
      <c r="B1593" s="161" t="s">
        <v>16</v>
      </c>
      <c r="C1593" s="161" t="s">
        <v>11</v>
      </c>
      <c r="D1593" s="161" t="s">
        <v>91</v>
      </c>
      <c r="E1593" s="162">
        <f t="shared" si="363"/>
        <v>41579</v>
      </c>
      <c r="F1593" s="163"/>
      <c r="G1593" s="92">
        <v>3590</v>
      </c>
      <c r="H1593" s="167">
        <v>787</v>
      </c>
      <c r="I1593" s="167" t="s">
        <v>92</v>
      </c>
      <c r="J1593" s="168">
        <f t="shared" si="362"/>
        <v>0.38</v>
      </c>
      <c r="K1593" s="169">
        <f t="shared" si="356"/>
        <v>35.650446871896719</v>
      </c>
      <c r="L1593" s="169">
        <f t="shared" si="357"/>
        <v>0.90558558558558555</v>
      </c>
      <c r="M1593" s="133">
        <f t="shared" si="358"/>
        <v>299.06</v>
      </c>
      <c r="N1593" s="133">
        <f t="shared" si="359"/>
        <v>3889.06</v>
      </c>
      <c r="O1593" s="134">
        <f t="shared" si="360"/>
        <v>38.620258192651441</v>
      </c>
      <c r="P1593" s="134">
        <f t="shared" si="361"/>
        <v>0.98102414414414418</v>
      </c>
      <c r="R1593" s="149">
        <f t="shared" si="364"/>
        <v>3.6344789176772752</v>
      </c>
    </row>
    <row r="1594" spans="1:18" ht="14.45" x14ac:dyDescent="0.3">
      <c r="A1594" s="161" t="s">
        <v>134</v>
      </c>
      <c r="B1594" s="161" t="s">
        <v>23</v>
      </c>
      <c r="C1594" s="161" t="s">
        <v>29</v>
      </c>
      <c r="D1594" s="161" t="s">
        <v>91</v>
      </c>
      <c r="E1594" s="162">
        <f t="shared" si="363"/>
        <v>41579</v>
      </c>
      <c r="F1594" s="163"/>
      <c r="G1594" s="92">
        <v>5000</v>
      </c>
      <c r="H1594" s="167">
        <v>1836</v>
      </c>
      <c r="I1594" s="167" t="s">
        <v>93</v>
      </c>
      <c r="J1594" s="168">
        <f t="shared" si="362"/>
        <v>0.37</v>
      </c>
      <c r="K1594" s="169">
        <f t="shared" si="356"/>
        <v>49.652432969215489</v>
      </c>
      <c r="L1594" s="169">
        <f t="shared" si="357"/>
        <v>1.2612612612612613</v>
      </c>
      <c r="M1594" s="133">
        <f t="shared" si="358"/>
        <v>679.31999999999994</v>
      </c>
      <c r="N1594" s="133">
        <f t="shared" si="359"/>
        <v>5679.32</v>
      </c>
      <c r="O1594" s="134">
        <f t="shared" si="360"/>
        <v>56.398411122144978</v>
      </c>
      <c r="P1594" s="134">
        <f t="shared" si="361"/>
        <v>1.4326212612612612</v>
      </c>
      <c r="R1594" s="149">
        <f t="shared" si="364"/>
        <v>2.2792269069795923</v>
      </c>
    </row>
    <row r="1595" spans="1:18" ht="14.45" x14ac:dyDescent="0.3">
      <c r="A1595" s="161" t="s">
        <v>134</v>
      </c>
      <c r="B1595" s="161" t="s">
        <v>31</v>
      </c>
      <c r="C1595" s="161" t="s">
        <v>32</v>
      </c>
      <c r="D1595" s="161" t="s">
        <v>91</v>
      </c>
      <c r="E1595" s="162">
        <f t="shared" si="363"/>
        <v>41579</v>
      </c>
      <c r="F1595" s="163"/>
      <c r="G1595" s="92">
        <v>4400</v>
      </c>
      <c r="H1595" s="167">
        <v>1899</v>
      </c>
      <c r="I1595" s="167" t="s">
        <v>93</v>
      </c>
      <c r="J1595" s="168">
        <f t="shared" si="362"/>
        <v>0.37</v>
      </c>
      <c r="K1595" s="169">
        <f t="shared" si="356"/>
        <v>43.694141012909633</v>
      </c>
      <c r="L1595" s="169">
        <f t="shared" si="357"/>
        <v>1.1099099099099099</v>
      </c>
      <c r="M1595" s="133">
        <f t="shared" si="358"/>
        <v>702.63</v>
      </c>
      <c r="N1595" s="133">
        <f t="shared" si="359"/>
        <v>5102.63</v>
      </c>
      <c r="O1595" s="134">
        <f t="shared" si="360"/>
        <v>50.671598808341606</v>
      </c>
      <c r="P1595" s="134">
        <f t="shared" si="361"/>
        <v>1.28714990990991</v>
      </c>
      <c r="R1595" s="149">
        <f t="shared" si="364"/>
        <v>2.491468467979896</v>
      </c>
    </row>
    <row r="1596" spans="1:18" ht="14.45" x14ac:dyDescent="0.3">
      <c r="A1596" s="161" t="s">
        <v>22</v>
      </c>
      <c r="B1596" s="161" t="s">
        <v>8</v>
      </c>
      <c r="C1596" s="161" t="s">
        <v>29</v>
      </c>
      <c r="D1596" s="161" t="s">
        <v>91</v>
      </c>
      <c r="E1596" s="162">
        <f t="shared" si="363"/>
        <v>41579</v>
      </c>
      <c r="F1596" s="163"/>
      <c r="G1596" s="92">
        <v>5520</v>
      </c>
      <c r="H1596" s="167">
        <v>1695</v>
      </c>
      <c r="I1596" s="167" t="s">
        <v>93</v>
      </c>
      <c r="J1596" s="168">
        <f t="shared" si="362"/>
        <v>0.37</v>
      </c>
      <c r="K1596" s="169">
        <f t="shared" si="356"/>
        <v>54.816285998013903</v>
      </c>
      <c r="L1596" s="169">
        <f t="shared" si="357"/>
        <v>1.491891891891892</v>
      </c>
      <c r="M1596" s="133">
        <f t="shared" si="358"/>
        <v>627.15</v>
      </c>
      <c r="N1596" s="133">
        <f t="shared" si="359"/>
        <v>6147.15</v>
      </c>
      <c r="O1596" s="134">
        <f t="shared" si="360"/>
        <v>61.044190665342597</v>
      </c>
      <c r="P1596" s="134">
        <f t="shared" si="361"/>
        <v>1.6613918918918917</v>
      </c>
      <c r="R1596" s="149">
        <f t="shared" si="364"/>
        <v>1.8591703328113773</v>
      </c>
    </row>
    <row r="1597" spans="1:18" ht="14.45" x14ac:dyDescent="0.3">
      <c r="A1597" s="161" t="s">
        <v>22</v>
      </c>
      <c r="B1597" s="161" t="s">
        <v>23</v>
      </c>
      <c r="C1597" s="161" t="s">
        <v>26</v>
      </c>
      <c r="D1597" s="161" t="s">
        <v>91</v>
      </c>
      <c r="E1597" s="162">
        <f t="shared" si="363"/>
        <v>41579</v>
      </c>
      <c r="F1597" s="163"/>
      <c r="G1597" s="92">
        <v>5530</v>
      </c>
      <c r="H1597" s="167">
        <v>1851</v>
      </c>
      <c r="I1597" s="167" t="s">
        <v>93</v>
      </c>
      <c r="J1597" s="168">
        <f t="shared" si="362"/>
        <v>0.37</v>
      </c>
      <c r="K1597" s="169">
        <f t="shared" si="356"/>
        <v>54.915590863952332</v>
      </c>
      <c r="L1597" s="169">
        <f t="shared" si="357"/>
        <v>1.4945945945945946</v>
      </c>
      <c r="M1597" s="133">
        <f t="shared" si="358"/>
        <v>684.87</v>
      </c>
      <c r="N1597" s="133">
        <f t="shared" si="359"/>
        <v>6214.87</v>
      </c>
      <c r="O1597" s="134">
        <f t="shared" si="360"/>
        <v>61.716683217477652</v>
      </c>
      <c r="P1597" s="134">
        <f t="shared" si="361"/>
        <v>1.6796945945945945</v>
      </c>
      <c r="R1597" s="149">
        <f t="shared" si="364"/>
        <v>2.0686789589598131</v>
      </c>
    </row>
    <row r="1598" spans="1:18" ht="14.45" x14ac:dyDescent="0.3">
      <c r="A1598" s="161" t="s">
        <v>22</v>
      </c>
      <c r="B1598" s="161" t="s">
        <v>33</v>
      </c>
      <c r="C1598" s="161" t="s">
        <v>29</v>
      </c>
      <c r="D1598" s="161" t="s">
        <v>91</v>
      </c>
      <c r="E1598" s="162">
        <f t="shared" si="363"/>
        <v>41579</v>
      </c>
      <c r="F1598" s="163"/>
      <c r="G1598" s="92">
        <v>5430</v>
      </c>
      <c r="H1598" s="167">
        <v>1507</v>
      </c>
      <c r="I1598" s="167" t="s">
        <v>93</v>
      </c>
      <c r="J1598" s="168">
        <f t="shared" si="362"/>
        <v>0.37</v>
      </c>
      <c r="K1598" s="169">
        <f t="shared" si="356"/>
        <v>53.922542204568025</v>
      </c>
      <c r="L1598" s="169">
        <f t="shared" si="357"/>
        <v>1.4675675675675677</v>
      </c>
      <c r="M1598" s="133">
        <f t="shared" si="358"/>
        <v>557.59</v>
      </c>
      <c r="N1598" s="133">
        <f t="shared" si="359"/>
        <v>5987.59</v>
      </c>
      <c r="O1598" s="134">
        <f t="shared" si="360"/>
        <v>59.459682224428995</v>
      </c>
      <c r="P1598" s="134">
        <f t="shared" si="361"/>
        <v>1.6182675675675675</v>
      </c>
      <c r="R1598" s="149">
        <f t="shared" si="364"/>
        <v>2.3892459989705683</v>
      </c>
    </row>
    <row r="1599" spans="1:18" ht="14.45" x14ac:dyDescent="0.3">
      <c r="A1599" s="161" t="s">
        <v>22</v>
      </c>
      <c r="B1599" s="161" t="s">
        <v>31</v>
      </c>
      <c r="C1599" s="161" t="s">
        <v>7</v>
      </c>
      <c r="D1599" s="161" t="s">
        <v>91</v>
      </c>
      <c r="E1599" s="162">
        <f t="shared" si="363"/>
        <v>41579</v>
      </c>
      <c r="F1599" s="163"/>
      <c r="G1599" s="92">
        <v>4175</v>
      </c>
      <c r="H1599" s="167">
        <v>1160</v>
      </c>
      <c r="I1599" s="167" t="s">
        <v>92</v>
      </c>
      <c r="J1599" s="168">
        <f t="shared" si="362"/>
        <v>0.38</v>
      </c>
      <c r="K1599" s="169">
        <f t="shared" si="356"/>
        <v>41.459781529294936</v>
      </c>
      <c r="L1599" s="169">
        <f t="shared" si="357"/>
        <v>1.1283783783783783</v>
      </c>
      <c r="M1599" s="133">
        <f t="shared" si="358"/>
        <v>440.8</v>
      </c>
      <c r="N1599" s="133">
        <f t="shared" si="359"/>
        <v>4615.8</v>
      </c>
      <c r="O1599" s="134">
        <f t="shared" si="360"/>
        <v>45.837140019860975</v>
      </c>
      <c r="P1599" s="134">
        <f t="shared" si="361"/>
        <v>1.2475135135135136</v>
      </c>
      <c r="R1599" s="149">
        <f t="shared" si="364"/>
        <v>6.2177835051546282</v>
      </c>
    </row>
    <row r="1600" spans="1:18" ht="14.45" x14ac:dyDescent="0.3">
      <c r="A1600" s="161" t="s">
        <v>22</v>
      </c>
      <c r="B1600" s="161" t="s">
        <v>14</v>
      </c>
      <c r="C1600" s="161" t="s">
        <v>24</v>
      </c>
      <c r="D1600" s="161" t="s">
        <v>91</v>
      </c>
      <c r="E1600" s="162">
        <f t="shared" si="363"/>
        <v>41579</v>
      </c>
      <c r="F1600" s="163"/>
      <c r="G1600" s="92">
        <v>2862</v>
      </c>
      <c r="H1600" s="167">
        <v>615</v>
      </c>
      <c r="I1600" s="167" t="s">
        <v>94</v>
      </c>
      <c r="J1600" s="168">
        <f t="shared" si="362"/>
        <v>0.5</v>
      </c>
      <c r="K1600" s="169">
        <f t="shared" si="356"/>
        <v>28.421052631578945</v>
      </c>
      <c r="L1600" s="169">
        <f t="shared" si="357"/>
        <v>0.7735135135135135</v>
      </c>
      <c r="M1600" s="133">
        <f t="shared" si="358"/>
        <v>307.5</v>
      </c>
      <c r="N1600" s="133">
        <f t="shared" si="359"/>
        <v>3169.5</v>
      </c>
      <c r="O1600" s="134">
        <f t="shared" si="360"/>
        <v>31.4746772591857</v>
      </c>
      <c r="P1600" s="134">
        <f t="shared" si="361"/>
        <v>0.85662162162162159</v>
      </c>
      <c r="R1600" s="149">
        <f t="shared" si="364"/>
        <v>2.8357288861490471</v>
      </c>
    </row>
    <row r="1601" spans="1:19" ht="14.45" x14ac:dyDescent="0.3">
      <c r="A1601" s="164" t="s">
        <v>22</v>
      </c>
      <c r="B1601" s="164" t="s">
        <v>34</v>
      </c>
      <c r="C1601" s="164" t="s">
        <v>26</v>
      </c>
      <c r="D1601" s="164" t="s">
        <v>91</v>
      </c>
      <c r="E1601" s="165">
        <f t="shared" si="363"/>
        <v>41579</v>
      </c>
      <c r="F1601" s="166"/>
      <c r="G1601" s="105">
        <v>5110</v>
      </c>
      <c r="H1601" s="170">
        <v>1637</v>
      </c>
      <c r="I1601" s="170" t="s">
        <v>92</v>
      </c>
      <c r="J1601" s="171">
        <f t="shared" si="362"/>
        <v>0.38</v>
      </c>
      <c r="K1601" s="172">
        <f t="shared" si="356"/>
        <v>50.744786494538232</v>
      </c>
      <c r="L1601" s="172">
        <f t="shared" si="357"/>
        <v>1.3810810810810812</v>
      </c>
      <c r="M1601" s="115">
        <f t="shared" si="358"/>
        <v>622.06000000000006</v>
      </c>
      <c r="N1601" s="115">
        <f t="shared" si="359"/>
        <v>5732.06</v>
      </c>
      <c r="O1601" s="116">
        <f t="shared" si="360"/>
        <v>56.922144985104275</v>
      </c>
      <c r="P1601" s="116">
        <f t="shared" si="361"/>
        <v>1.5492054054054054</v>
      </c>
      <c r="Q1601" s="106"/>
      <c r="R1601" s="152">
        <f t="shared" si="364"/>
        <v>1.7916347757215734</v>
      </c>
    </row>
    <row r="1602" spans="1:19" ht="14.45" x14ac:dyDescent="0.3">
      <c r="A1602" s="60" t="s">
        <v>1</v>
      </c>
      <c r="B1602" s="60" t="s">
        <v>2</v>
      </c>
      <c r="C1602" s="60" t="s">
        <v>3</v>
      </c>
      <c r="D1602" s="60" t="s">
        <v>90</v>
      </c>
      <c r="E1602" s="89">
        <v>41609</v>
      </c>
      <c r="F1602" s="61"/>
      <c r="G1602" s="92">
        <v>3191</v>
      </c>
      <c r="H1602" s="138">
        <v>506</v>
      </c>
      <c r="I1602" s="138" t="s">
        <v>92</v>
      </c>
      <c r="J1602" s="141">
        <f>IF(I1602="BNSF",0.35,IF(I1602="CN",0.3048,IF(I1602="CSX",0.48,0.36)))</f>
        <v>0.36</v>
      </c>
      <c r="K1602" s="95">
        <f t="shared" ref="K1602:K1639" si="365">G1602/100.7</f>
        <v>31.688182720953325</v>
      </c>
      <c r="L1602" s="95">
        <f t="shared" ref="L1602:L1639" si="366">IF(A1602="corn",G1602/(111*2000/56),G1602/(111*2000/60))</f>
        <v>0.86243243243243239</v>
      </c>
      <c r="M1602" s="133">
        <f t="shared" ref="M1602:M1639" si="367">H1602*J1602</f>
        <v>182.16</v>
      </c>
      <c r="N1602" s="133">
        <f t="shared" ref="N1602:N1639" si="368">G1602+M1602</f>
        <v>3373.16</v>
      </c>
      <c r="O1602" s="134">
        <f t="shared" ref="O1602:O1639" si="369">N1602/100.7</f>
        <v>33.497120158887782</v>
      </c>
      <c r="P1602" s="134">
        <f t="shared" ref="P1602:P1639" si="370">IF(A1602="corn",N1602/(111*2000/56),N1602/(111*2000/60))</f>
        <v>0.91166486486486487</v>
      </c>
      <c r="Q1602" s="160"/>
      <c r="R1602" s="149">
        <f t="shared" si="364"/>
        <v>0.79966531197703805</v>
      </c>
      <c r="S1602" s="140">
        <f>AVERAGE(O1526,O1564,O1602)</f>
        <v>33.547368421052632</v>
      </c>
    </row>
    <row r="1603" spans="1:19" ht="14.45" x14ac:dyDescent="0.3">
      <c r="A1603" s="60" t="s">
        <v>1</v>
      </c>
      <c r="B1603" s="60" t="s">
        <v>4</v>
      </c>
      <c r="C1603" s="60" t="s">
        <v>5</v>
      </c>
      <c r="D1603" s="60" t="s">
        <v>90</v>
      </c>
      <c r="E1603" s="89">
        <f>E1602</f>
        <v>41609</v>
      </c>
      <c r="F1603" s="61"/>
      <c r="G1603" s="92">
        <v>3596</v>
      </c>
      <c r="H1603" s="138">
        <v>298</v>
      </c>
      <c r="I1603" s="138" t="s">
        <v>93</v>
      </c>
      <c r="J1603" s="141">
        <f t="shared" ref="J1603:J1639" si="371">IF(I1603="BNSF",0.35,IF(I1603="CN",0.3048,IF(I1603="CSX",0.48,0.36)))</f>
        <v>0.35</v>
      </c>
      <c r="K1603" s="95">
        <f t="shared" si="365"/>
        <v>35.710029791459782</v>
      </c>
      <c r="L1603" s="95">
        <f t="shared" si="366"/>
        <v>0.97189189189189185</v>
      </c>
      <c r="M1603" s="133">
        <f t="shared" si="367"/>
        <v>104.3</v>
      </c>
      <c r="N1603" s="133">
        <f t="shared" si="368"/>
        <v>3700.3</v>
      </c>
      <c r="O1603" s="134">
        <f t="shared" si="369"/>
        <v>36.745779543197621</v>
      </c>
      <c r="P1603" s="134">
        <f t="shared" si="370"/>
        <v>1.0000810810810812</v>
      </c>
      <c r="Q1603" s="160"/>
      <c r="R1603" s="149">
        <f t="shared" si="364"/>
        <v>3.8185287020930492</v>
      </c>
      <c r="S1603" s="140">
        <f t="shared" ref="S1603:S1638" si="372">AVERAGE(O1527,O1565,O1603)</f>
        <v>36.775372393247267</v>
      </c>
    </row>
    <row r="1604" spans="1:19" ht="14.45" x14ac:dyDescent="0.3">
      <c r="A1604" s="60" t="s">
        <v>1</v>
      </c>
      <c r="B1604" s="60" t="s">
        <v>2</v>
      </c>
      <c r="C1604" s="60" t="s">
        <v>6</v>
      </c>
      <c r="D1604" s="60" t="s">
        <v>90</v>
      </c>
      <c r="E1604" s="89">
        <f t="shared" ref="E1604:E1639" si="373">E1603</f>
        <v>41609</v>
      </c>
      <c r="F1604" s="61"/>
      <c r="G1604" s="92">
        <v>6244</v>
      </c>
      <c r="H1604" s="138">
        <v>1530</v>
      </c>
      <c r="I1604" s="138" t="s">
        <v>93</v>
      </c>
      <c r="J1604" s="141">
        <f t="shared" si="371"/>
        <v>0.35</v>
      </c>
      <c r="K1604" s="95">
        <f t="shared" si="365"/>
        <v>62.005958291956304</v>
      </c>
      <c r="L1604" s="95">
        <f t="shared" si="366"/>
        <v>1.6875675675675677</v>
      </c>
      <c r="M1604" s="133">
        <f t="shared" si="367"/>
        <v>535.5</v>
      </c>
      <c r="N1604" s="133">
        <f t="shared" si="368"/>
        <v>6779.5</v>
      </c>
      <c r="O1604" s="134">
        <f t="shared" si="369"/>
        <v>67.323733862959287</v>
      </c>
      <c r="P1604" s="134">
        <f t="shared" si="370"/>
        <v>1.8322972972972973</v>
      </c>
      <c r="R1604" s="149">
        <f t="shared" si="364"/>
        <v>2.1316661645073731</v>
      </c>
      <c r="S1604" s="140">
        <f t="shared" si="372"/>
        <v>67.475670307845078</v>
      </c>
    </row>
    <row r="1605" spans="1:19" ht="14.45" x14ac:dyDescent="0.3">
      <c r="A1605" s="60" t="s">
        <v>1</v>
      </c>
      <c r="B1605" s="60" t="s">
        <v>2</v>
      </c>
      <c r="C1605" s="60" t="s">
        <v>7</v>
      </c>
      <c r="D1605" s="60" t="s">
        <v>90</v>
      </c>
      <c r="E1605" s="89">
        <f t="shared" si="373"/>
        <v>41609</v>
      </c>
      <c r="F1605" s="61"/>
      <c r="G1605" s="92">
        <v>3808</v>
      </c>
      <c r="H1605" s="138">
        <v>890</v>
      </c>
      <c r="I1605" s="138" t="s">
        <v>92</v>
      </c>
      <c r="J1605" s="141">
        <f t="shared" si="371"/>
        <v>0.36</v>
      </c>
      <c r="K1605" s="95">
        <f t="shared" si="365"/>
        <v>37.815292949354514</v>
      </c>
      <c r="L1605" s="95">
        <f t="shared" si="366"/>
        <v>1.0291891891891891</v>
      </c>
      <c r="M1605" s="133">
        <f t="shared" si="367"/>
        <v>320.39999999999998</v>
      </c>
      <c r="N1605" s="133">
        <f t="shared" si="368"/>
        <v>4128.3999999999996</v>
      </c>
      <c r="O1605" s="134">
        <f t="shared" si="369"/>
        <v>40.997020854021841</v>
      </c>
      <c r="P1605" s="134">
        <f t="shared" si="370"/>
        <v>1.1157837837837836</v>
      </c>
      <c r="R1605" s="149">
        <f t="shared" si="364"/>
        <v>3.1842039490127316</v>
      </c>
      <c r="S1605" s="140">
        <f t="shared" si="372"/>
        <v>41.085402184707043</v>
      </c>
    </row>
    <row r="1606" spans="1:19" ht="14.45" x14ac:dyDescent="0.3">
      <c r="A1606" s="60" t="s">
        <v>1</v>
      </c>
      <c r="B1606" s="60" t="s">
        <v>8</v>
      </c>
      <c r="C1606" s="60" t="s">
        <v>9</v>
      </c>
      <c r="D1606" s="60" t="s">
        <v>90</v>
      </c>
      <c r="E1606" s="89">
        <f t="shared" si="373"/>
        <v>41609</v>
      </c>
      <c r="F1606" s="61"/>
      <c r="G1606" s="92">
        <v>5824</v>
      </c>
      <c r="H1606" s="138">
        <v>1256</v>
      </c>
      <c r="I1606" s="138" t="s">
        <v>93</v>
      </c>
      <c r="J1606" s="141">
        <f t="shared" si="371"/>
        <v>0.35</v>
      </c>
      <c r="K1606" s="95">
        <f t="shared" si="365"/>
        <v>57.835153922542204</v>
      </c>
      <c r="L1606" s="95">
        <f t="shared" si="366"/>
        <v>1.574054054054054</v>
      </c>
      <c r="M1606" s="133">
        <f t="shared" si="367"/>
        <v>439.59999999999997</v>
      </c>
      <c r="N1606" s="133">
        <f t="shared" si="368"/>
        <v>6263.6</v>
      </c>
      <c r="O1606" s="134">
        <f t="shared" si="369"/>
        <v>62.200595829195635</v>
      </c>
      <c r="P1606" s="134">
        <f t="shared" si="370"/>
        <v>1.692864864864865</v>
      </c>
      <c r="R1606" s="149">
        <f t="shared" si="364"/>
        <v>3.0977384205155278</v>
      </c>
      <c r="S1606" s="140">
        <f t="shared" si="372"/>
        <v>62.3253227408143</v>
      </c>
    </row>
    <row r="1607" spans="1:19" ht="14.45" x14ac:dyDescent="0.3">
      <c r="A1607" s="60" t="s">
        <v>1</v>
      </c>
      <c r="B1607" s="60" t="s">
        <v>10</v>
      </c>
      <c r="C1607" s="60" t="s">
        <v>9</v>
      </c>
      <c r="D1607" s="60" t="s">
        <v>90</v>
      </c>
      <c r="E1607" s="89">
        <f t="shared" si="373"/>
        <v>41609</v>
      </c>
      <c r="F1607" s="61"/>
      <c r="G1607" s="92">
        <v>4076</v>
      </c>
      <c r="H1607" s="138">
        <v>975</v>
      </c>
      <c r="I1607" s="138" t="s">
        <v>92</v>
      </c>
      <c r="J1607" s="141">
        <f t="shared" si="371"/>
        <v>0.36</v>
      </c>
      <c r="K1607" s="95">
        <f t="shared" si="365"/>
        <v>40.476663356504467</v>
      </c>
      <c r="L1607" s="95">
        <f t="shared" si="366"/>
        <v>1.1016216216216217</v>
      </c>
      <c r="M1607" s="133">
        <f t="shared" si="367"/>
        <v>351</v>
      </c>
      <c r="N1607" s="133">
        <f t="shared" si="368"/>
        <v>4427</v>
      </c>
      <c r="O1607" s="134">
        <f t="shared" si="369"/>
        <v>43.962264150943398</v>
      </c>
      <c r="P1607" s="134">
        <f t="shared" si="370"/>
        <v>1.1964864864864866</v>
      </c>
      <c r="R1607" s="149">
        <f t="shared" si="364"/>
        <v>2.9056252905625302</v>
      </c>
      <c r="S1607" s="140">
        <f t="shared" si="372"/>
        <v>44.059086395233372</v>
      </c>
    </row>
    <row r="1608" spans="1:19" ht="14.45" x14ac:dyDescent="0.3">
      <c r="A1608" s="60" t="s">
        <v>1</v>
      </c>
      <c r="B1608" s="60" t="s">
        <v>11</v>
      </c>
      <c r="C1608" s="60" t="s">
        <v>6</v>
      </c>
      <c r="D1608" s="60" t="s">
        <v>90</v>
      </c>
      <c r="E1608" s="89">
        <f t="shared" si="373"/>
        <v>41609</v>
      </c>
      <c r="F1608" s="61"/>
      <c r="G1608" s="92">
        <v>4275</v>
      </c>
      <c r="H1608" s="138">
        <v>1357</v>
      </c>
      <c r="I1608" s="138" t="s">
        <v>92</v>
      </c>
      <c r="J1608" s="141">
        <f t="shared" si="371"/>
        <v>0.36</v>
      </c>
      <c r="K1608" s="95">
        <f t="shared" si="365"/>
        <v>42.452830188679243</v>
      </c>
      <c r="L1608" s="95">
        <f t="shared" si="366"/>
        <v>1.1554054054054055</v>
      </c>
      <c r="M1608" s="133">
        <f t="shared" si="367"/>
        <v>488.52</v>
      </c>
      <c r="N1608" s="133">
        <f t="shared" si="368"/>
        <v>4763.5200000000004</v>
      </c>
      <c r="O1608" s="134">
        <f t="shared" si="369"/>
        <v>47.304071499503479</v>
      </c>
      <c r="P1608" s="134">
        <f t="shared" si="370"/>
        <v>1.2874378378378379</v>
      </c>
      <c r="R1608" s="149">
        <f t="shared" si="364"/>
        <v>2.3356535189481775</v>
      </c>
      <c r="S1608" s="140">
        <f t="shared" si="372"/>
        <v>47.438828202581931</v>
      </c>
    </row>
    <row r="1609" spans="1:19" ht="14.45" x14ac:dyDescent="0.3">
      <c r="A1609" s="60" t="s">
        <v>134</v>
      </c>
      <c r="B1609" s="60" t="s">
        <v>13</v>
      </c>
      <c r="C1609" s="60" t="s">
        <v>7</v>
      </c>
      <c r="D1609" s="60" t="s">
        <v>90</v>
      </c>
      <c r="E1609" s="89">
        <f t="shared" si="373"/>
        <v>41609</v>
      </c>
      <c r="F1609" s="61"/>
      <c r="G1609" s="92">
        <v>3192</v>
      </c>
      <c r="H1609" s="138">
        <v>1006</v>
      </c>
      <c r="I1609" s="138" t="s">
        <v>92</v>
      </c>
      <c r="J1609" s="141">
        <f t="shared" si="371"/>
        <v>0.36</v>
      </c>
      <c r="K1609" s="95">
        <f t="shared" si="365"/>
        <v>31.69811320754717</v>
      </c>
      <c r="L1609" s="95">
        <f t="shared" si="366"/>
        <v>0.80518918918918925</v>
      </c>
      <c r="M1609" s="133">
        <f t="shared" si="367"/>
        <v>362.15999999999997</v>
      </c>
      <c r="N1609" s="133">
        <f t="shared" si="368"/>
        <v>3554.16</v>
      </c>
      <c r="O1609" s="134">
        <f t="shared" si="369"/>
        <v>35.294538232373384</v>
      </c>
      <c r="P1609" s="134">
        <f t="shared" si="370"/>
        <v>0.89654486486486484</v>
      </c>
      <c r="R1609" s="149">
        <f t="shared" si="364"/>
        <v>1.1889306457123272</v>
      </c>
      <c r="S1609" s="140">
        <f t="shared" si="372"/>
        <v>35.394438927507444</v>
      </c>
    </row>
    <row r="1610" spans="1:19" ht="14.45" x14ac:dyDescent="0.3">
      <c r="A1610" s="60" t="s">
        <v>134</v>
      </c>
      <c r="B1610" s="60" t="s">
        <v>14</v>
      </c>
      <c r="C1610" s="60" t="s">
        <v>15</v>
      </c>
      <c r="D1610" s="60" t="s">
        <v>90</v>
      </c>
      <c r="E1610" s="89">
        <f t="shared" si="373"/>
        <v>41609</v>
      </c>
      <c r="F1610" s="61"/>
      <c r="G1610" s="92">
        <v>4686</v>
      </c>
      <c r="H1610" s="138">
        <v>866</v>
      </c>
      <c r="I1610" s="138" t="s">
        <v>94</v>
      </c>
      <c r="J1610" s="141">
        <f t="shared" si="371"/>
        <v>0.48</v>
      </c>
      <c r="K1610" s="95">
        <f t="shared" si="365"/>
        <v>46.53426017874876</v>
      </c>
      <c r="L1610" s="95">
        <f t="shared" si="366"/>
        <v>1.1820540540540541</v>
      </c>
      <c r="M1610" s="133">
        <f t="shared" si="367"/>
        <v>415.68</v>
      </c>
      <c r="N1610" s="133">
        <f t="shared" si="368"/>
        <v>5101.68</v>
      </c>
      <c r="O1610" s="134">
        <f t="shared" si="369"/>
        <v>50.662164846077459</v>
      </c>
      <c r="P1610" s="134">
        <f t="shared" si="370"/>
        <v>1.2869102702702704</v>
      </c>
      <c r="R1610" s="149">
        <f t="shared" si="364"/>
        <v>2.7119094500078766</v>
      </c>
      <c r="S1610" s="140">
        <f t="shared" si="372"/>
        <v>50.719496855345916</v>
      </c>
    </row>
    <row r="1611" spans="1:19" ht="14.45" x14ac:dyDescent="0.3">
      <c r="A1611" s="60" t="s">
        <v>134</v>
      </c>
      <c r="B1611" s="60" t="s">
        <v>16</v>
      </c>
      <c r="C1611" s="60" t="s">
        <v>17</v>
      </c>
      <c r="D1611" s="60" t="s">
        <v>90</v>
      </c>
      <c r="E1611" s="89">
        <f t="shared" si="373"/>
        <v>41609</v>
      </c>
      <c r="F1611" s="61"/>
      <c r="G1611" s="92">
        <v>2078</v>
      </c>
      <c r="H1611" s="138">
        <v>213</v>
      </c>
      <c r="I1611" s="138" t="s">
        <v>92</v>
      </c>
      <c r="J1611" s="141">
        <f t="shared" si="371"/>
        <v>0.36</v>
      </c>
      <c r="K1611" s="95">
        <f t="shared" si="365"/>
        <v>20.635551142005959</v>
      </c>
      <c r="L1611" s="95">
        <f t="shared" si="366"/>
        <v>0.5241801801801802</v>
      </c>
      <c r="M1611" s="133">
        <f t="shared" si="367"/>
        <v>76.679999999999993</v>
      </c>
      <c r="N1611" s="133">
        <f t="shared" si="368"/>
        <v>2154.6799999999998</v>
      </c>
      <c r="O1611" s="134">
        <f t="shared" si="369"/>
        <v>21.397020854021847</v>
      </c>
      <c r="P1611" s="134">
        <f t="shared" si="370"/>
        <v>0.54352288288288286</v>
      </c>
      <c r="R1611" s="149">
        <f t="shared" si="364"/>
        <v>3.0355776587605243</v>
      </c>
      <c r="S1611" s="140">
        <f t="shared" si="372"/>
        <v>21.418172790466731</v>
      </c>
    </row>
    <row r="1612" spans="1:19" ht="14.45" x14ac:dyDescent="0.3">
      <c r="A1612" s="60" t="s">
        <v>134</v>
      </c>
      <c r="B1612" s="60" t="s">
        <v>18</v>
      </c>
      <c r="C1612" s="60" t="s">
        <v>19</v>
      </c>
      <c r="D1612" s="60" t="s">
        <v>90</v>
      </c>
      <c r="E1612" s="89">
        <f t="shared" si="373"/>
        <v>41609</v>
      </c>
      <c r="F1612" s="61"/>
      <c r="G1612" s="92">
        <v>4061</v>
      </c>
      <c r="H1612" s="138">
        <v>650</v>
      </c>
      <c r="I1612" s="138" t="s">
        <v>94</v>
      </c>
      <c r="J1612" s="141">
        <f t="shared" si="371"/>
        <v>0.48</v>
      </c>
      <c r="K1612" s="95">
        <f t="shared" si="365"/>
        <v>40.327706057596821</v>
      </c>
      <c r="L1612" s="95">
        <f t="shared" si="366"/>
        <v>1.0243963963963965</v>
      </c>
      <c r="M1612" s="133">
        <f t="shared" si="367"/>
        <v>312</v>
      </c>
      <c r="N1612" s="133">
        <f t="shared" si="368"/>
        <v>4373</v>
      </c>
      <c r="O1612" s="134">
        <f t="shared" si="369"/>
        <v>43.426017874875868</v>
      </c>
      <c r="P1612" s="134">
        <f t="shared" si="370"/>
        <v>1.1030990990990992</v>
      </c>
      <c r="R1612" s="149">
        <f t="shared" si="364"/>
        <v>2.5442607574158727</v>
      </c>
      <c r="S1612" s="140">
        <f t="shared" si="372"/>
        <v>43.469049983449189</v>
      </c>
    </row>
    <row r="1613" spans="1:19" ht="14.45" x14ac:dyDescent="0.3">
      <c r="A1613" s="60" t="s">
        <v>134</v>
      </c>
      <c r="B1613" s="60" t="s">
        <v>18</v>
      </c>
      <c r="C1613" s="60" t="s">
        <v>20</v>
      </c>
      <c r="D1613" s="60" t="s">
        <v>90</v>
      </c>
      <c r="E1613" s="89">
        <f t="shared" si="373"/>
        <v>41609</v>
      </c>
      <c r="F1613" s="61"/>
      <c r="G1613" s="92">
        <v>3469</v>
      </c>
      <c r="H1613" s="138">
        <v>417</v>
      </c>
      <c r="I1613" s="138" t="s">
        <v>94</v>
      </c>
      <c r="J1613" s="141">
        <f t="shared" si="371"/>
        <v>0.48</v>
      </c>
      <c r="K1613" s="95">
        <f t="shared" si="365"/>
        <v>34.44885799404171</v>
      </c>
      <c r="L1613" s="95">
        <f t="shared" si="366"/>
        <v>0.87506306306306303</v>
      </c>
      <c r="M1613" s="133">
        <f t="shared" si="367"/>
        <v>200.16</v>
      </c>
      <c r="N1613" s="133">
        <f t="shared" si="368"/>
        <v>3669.16</v>
      </c>
      <c r="O1613" s="134">
        <f t="shared" si="369"/>
        <v>36.436544190665337</v>
      </c>
      <c r="P1613" s="134">
        <f t="shared" si="370"/>
        <v>0.92555387387387389</v>
      </c>
      <c r="R1613" s="149">
        <f t="shared" si="364"/>
        <v>2.6335590669676279</v>
      </c>
      <c r="S1613" s="140">
        <f t="shared" si="372"/>
        <v>36.46415094339622</v>
      </c>
    </row>
    <row r="1614" spans="1:19" ht="14.45" x14ac:dyDescent="0.3">
      <c r="A1614" s="60" t="s">
        <v>134</v>
      </c>
      <c r="B1614" s="60" t="s">
        <v>16</v>
      </c>
      <c r="C1614" s="60" t="s">
        <v>21</v>
      </c>
      <c r="D1614" s="60" t="s">
        <v>90</v>
      </c>
      <c r="E1614" s="89">
        <f t="shared" si="373"/>
        <v>41609</v>
      </c>
      <c r="F1614" s="61"/>
      <c r="G1614" s="92">
        <v>3218</v>
      </c>
      <c r="H1614" s="138">
        <v>626</v>
      </c>
      <c r="I1614" s="138" t="s">
        <v>92</v>
      </c>
      <c r="J1614" s="141">
        <f t="shared" si="371"/>
        <v>0.36</v>
      </c>
      <c r="K1614" s="95">
        <f t="shared" si="365"/>
        <v>31.95630585898709</v>
      </c>
      <c r="L1614" s="95">
        <f t="shared" si="366"/>
        <v>0.81174774774774772</v>
      </c>
      <c r="M1614" s="133">
        <f t="shared" si="367"/>
        <v>225.35999999999999</v>
      </c>
      <c r="N1614" s="133">
        <f t="shared" si="368"/>
        <v>3443.36</v>
      </c>
      <c r="O1614" s="134">
        <f t="shared" si="369"/>
        <v>34.194240317775574</v>
      </c>
      <c r="P1614" s="134">
        <f t="shared" si="370"/>
        <v>0.86859531531531531</v>
      </c>
      <c r="R1614" s="149">
        <f t="shared" si="364"/>
        <v>1.1444013629420713</v>
      </c>
      <c r="S1614" s="140">
        <f t="shared" si="372"/>
        <v>34.256405163853032</v>
      </c>
    </row>
    <row r="1615" spans="1:19" ht="14.45" x14ac:dyDescent="0.3">
      <c r="A1615" s="60" t="s">
        <v>134</v>
      </c>
      <c r="B1615" s="60" t="s">
        <v>16</v>
      </c>
      <c r="C1615" s="60" t="s">
        <v>6</v>
      </c>
      <c r="D1615" s="60" t="s">
        <v>90</v>
      </c>
      <c r="E1615" s="89">
        <f t="shared" si="373"/>
        <v>41609</v>
      </c>
      <c r="F1615" s="61"/>
      <c r="G1615" s="92">
        <v>5215</v>
      </c>
      <c r="H1615" s="138">
        <v>1823</v>
      </c>
      <c r="I1615" s="138" t="s">
        <v>92</v>
      </c>
      <c r="J1615" s="141">
        <f t="shared" si="371"/>
        <v>0.36</v>
      </c>
      <c r="K1615" s="95">
        <f t="shared" si="365"/>
        <v>51.787487586891757</v>
      </c>
      <c r="L1615" s="95">
        <f t="shared" si="366"/>
        <v>1.3154954954954956</v>
      </c>
      <c r="M1615" s="133">
        <f t="shared" si="367"/>
        <v>656.28</v>
      </c>
      <c r="N1615" s="133">
        <f t="shared" si="368"/>
        <v>5871.28</v>
      </c>
      <c r="O1615" s="134">
        <f t="shared" si="369"/>
        <v>58.304667328699104</v>
      </c>
      <c r="P1615" s="134">
        <f t="shared" si="370"/>
        <v>1.4810436036036037</v>
      </c>
      <c r="R1615" s="149">
        <f t="shared" si="364"/>
        <v>1.3302958130544384</v>
      </c>
      <c r="S1615" s="140">
        <f t="shared" si="372"/>
        <v>58.485700099304864</v>
      </c>
    </row>
    <row r="1616" spans="1:19" ht="14.45" x14ac:dyDescent="0.3">
      <c r="A1616" s="60" t="s">
        <v>22</v>
      </c>
      <c r="B1616" s="60" t="s">
        <v>23</v>
      </c>
      <c r="C1616" s="60" t="s">
        <v>7</v>
      </c>
      <c r="D1616" s="60" t="s">
        <v>90</v>
      </c>
      <c r="E1616" s="89">
        <f t="shared" si="373"/>
        <v>41609</v>
      </c>
      <c r="F1616" s="61"/>
      <c r="G1616" s="92">
        <v>3599</v>
      </c>
      <c r="H1616" s="138">
        <v>1295</v>
      </c>
      <c r="I1616" s="138" t="s">
        <v>95</v>
      </c>
      <c r="J1616" s="141">
        <f t="shared" si="371"/>
        <v>0.30480000000000002</v>
      </c>
      <c r="K1616" s="95">
        <f t="shared" si="365"/>
        <v>35.73982125124131</v>
      </c>
      <c r="L1616" s="95">
        <f t="shared" si="366"/>
        <v>0.97270270270270265</v>
      </c>
      <c r="M1616" s="133">
        <f t="shared" si="367"/>
        <v>394.71600000000001</v>
      </c>
      <c r="N1616" s="133">
        <f t="shared" si="368"/>
        <v>3993.7159999999999</v>
      </c>
      <c r="O1616" s="134">
        <f t="shared" si="369"/>
        <v>39.659543197616678</v>
      </c>
      <c r="P1616" s="134">
        <f t="shared" si="370"/>
        <v>1.0793827027027028</v>
      </c>
      <c r="R1616" s="149">
        <f t="shared" si="364"/>
        <v>0.95912937414286414</v>
      </c>
      <c r="S1616" s="140">
        <f t="shared" si="372"/>
        <v>39.079124462098633</v>
      </c>
    </row>
    <row r="1617" spans="1:19" ht="14.45" x14ac:dyDescent="0.3">
      <c r="A1617" s="60" t="s">
        <v>22</v>
      </c>
      <c r="B1617" s="60" t="s">
        <v>14</v>
      </c>
      <c r="C1617" s="60" t="s">
        <v>24</v>
      </c>
      <c r="D1617" s="60" t="s">
        <v>90</v>
      </c>
      <c r="E1617" s="89">
        <f t="shared" si="373"/>
        <v>41609</v>
      </c>
      <c r="F1617" s="61"/>
      <c r="G1617" s="92">
        <v>3687</v>
      </c>
      <c r="H1617" s="138">
        <v>615</v>
      </c>
      <c r="I1617" s="138" t="s">
        <v>94</v>
      </c>
      <c r="J1617" s="141">
        <f t="shared" si="371"/>
        <v>0.48</v>
      </c>
      <c r="K1617" s="95">
        <f t="shared" si="365"/>
        <v>36.613704071499505</v>
      </c>
      <c r="L1617" s="95">
        <f t="shared" si="366"/>
        <v>0.99648648648648652</v>
      </c>
      <c r="M1617" s="133">
        <f t="shared" si="367"/>
        <v>295.2</v>
      </c>
      <c r="N1617" s="133">
        <f t="shared" si="368"/>
        <v>3982.2</v>
      </c>
      <c r="O1617" s="134">
        <f t="shared" si="369"/>
        <v>39.545183714001986</v>
      </c>
      <c r="P1617" s="134">
        <f t="shared" si="370"/>
        <v>1.0762702702702702</v>
      </c>
      <c r="R1617" s="149">
        <f t="shared" si="364"/>
        <v>2.0828259782873504</v>
      </c>
      <c r="S1617" s="140">
        <f t="shared" si="372"/>
        <v>39.585898709036741</v>
      </c>
    </row>
    <row r="1618" spans="1:19" ht="14.45" x14ac:dyDescent="0.3">
      <c r="A1618" s="60" t="s">
        <v>22</v>
      </c>
      <c r="B1618" s="60" t="s">
        <v>18</v>
      </c>
      <c r="C1618" s="60" t="s">
        <v>15</v>
      </c>
      <c r="D1618" s="60" t="s">
        <v>90</v>
      </c>
      <c r="E1618" s="89">
        <f t="shared" si="373"/>
        <v>41609</v>
      </c>
      <c r="F1618" s="61"/>
      <c r="G1618" s="92">
        <v>4756</v>
      </c>
      <c r="H1618" s="138">
        <v>872</v>
      </c>
      <c r="I1618" s="138" t="s">
        <v>94</v>
      </c>
      <c r="J1618" s="141">
        <f t="shared" si="371"/>
        <v>0.48</v>
      </c>
      <c r="K1618" s="95">
        <f t="shared" si="365"/>
        <v>47.229394240317774</v>
      </c>
      <c r="L1618" s="95">
        <f t="shared" si="366"/>
        <v>1.2854054054054054</v>
      </c>
      <c r="M1618" s="133">
        <f t="shared" si="367"/>
        <v>418.56</v>
      </c>
      <c r="N1618" s="133">
        <f t="shared" si="368"/>
        <v>5174.5600000000004</v>
      </c>
      <c r="O1618" s="134">
        <f t="shared" si="369"/>
        <v>51.385898709036745</v>
      </c>
      <c r="P1618" s="134">
        <f t="shared" si="370"/>
        <v>1.3985297297297299</v>
      </c>
      <c r="R1618" s="149">
        <f t="shared" si="364"/>
        <v>2.6665820132694362</v>
      </c>
      <c r="S1618" s="140">
        <f t="shared" si="372"/>
        <v>51.443627937768952</v>
      </c>
    </row>
    <row r="1619" spans="1:19" ht="14.45" x14ac:dyDescent="0.3">
      <c r="A1619" s="60" t="s">
        <v>22</v>
      </c>
      <c r="B1619" s="60" t="s">
        <v>18</v>
      </c>
      <c r="C1619" s="60" t="s">
        <v>24</v>
      </c>
      <c r="D1619" s="60" t="s">
        <v>90</v>
      </c>
      <c r="E1619" s="89">
        <f t="shared" si="373"/>
        <v>41609</v>
      </c>
      <c r="F1619" s="61"/>
      <c r="G1619" s="92">
        <v>3379</v>
      </c>
      <c r="H1619" s="138">
        <v>417</v>
      </c>
      <c r="I1619" s="138" t="s">
        <v>94</v>
      </c>
      <c r="J1619" s="141">
        <f t="shared" si="371"/>
        <v>0.48</v>
      </c>
      <c r="K1619" s="95">
        <f t="shared" si="365"/>
        <v>33.555114200595831</v>
      </c>
      <c r="L1619" s="95">
        <f t="shared" si="366"/>
        <v>0.91324324324324324</v>
      </c>
      <c r="M1619" s="133">
        <f t="shared" si="367"/>
        <v>200.16</v>
      </c>
      <c r="N1619" s="133">
        <f t="shared" si="368"/>
        <v>3579.16</v>
      </c>
      <c r="O1619" s="134">
        <f t="shared" si="369"/>
        <v>35.542800397219459</v>
      </c>
      <c r="P1619" s="134">
        <f t="shared" si="370"/>
        <v>0.96734054054054053</v>
      </c>
      <c r="R1619" s="149">
        <f t="shared" si="364"/>
        <v>2.6132379207628231</v>
      </c>
      <c r="S1619" s="140">
        <f t="shared" si="372"/>
        <v>35.570407149950341</v>
      </c>
    </row>
    <row r="1620" spans="1:19" ht="14.45" x14ac:dyDescent="0.3">
      <c r="A1620" s="60" t="s">
        <v>22</v>
      </c>
      <c r="B1620" s="60" t="s">
        <v>13</v>
      </c>
      <c r="C1620" s="60" t="s">
        <v>7</v>
      </c>
      <c r="D1620" s="60" t="s">
        <v>90</v>
      </c>
      <c r="E1620" s="89">
        <f t="shared" si="373"/>
        <v>41609</v>
      </c>
      <c r="F1620" s="61"/>
      <c r="G1620" s="92">
        <v>3748</v>
      </c>
      <c r="H1620" s="138">
        <v>1006</v>
      </c>
      <c r="I1620" s="138" t="s">
        <v>92</v>
      </c>
      <c r="J1620" s="141">
        <f t="shared" si="371"/>
        <v>0.36</v>
      </c>
      <c r="K1620" s="95">
        <f t="shared" si="365"/>
        <v>37.219463753723929</v>
      </c>
      <c r="L1620" s="95">
        <f t="shared" si="366"/>
        <v>1.0129729729729731</v>
      </c>
      <c r="M1620" s="133">
        <f t="shared" si="367"/>
        <v>362.15999999999997</v>
      </c>
      <c r="N1620" s="133">
        <f t="shared" si="368"/>
        <v>4110.16</v>
      </c>
      <c r="O1620" s="134">
        <f t="shared" si="369"/>
        <v>40.815888778550146</v>
      </c>
      <c r="P1620" s="134">
        <f t="shared" si="370"/>
        <v>1.1108540540540539</v>
      </c>
      <c r="R1620" s="149">
        <f t="shared" si="364"/>
        <v>2.7180486829609496</v>
      </c>
      <c r="S1620" s="140">
        <f t="shared" si="372"/>
        <v>40.915789473684207</v>
      </c>
    </row>
    <row r="1621" spans="1:19" ht="14.45" x14ac:dyDescent="0.3">
      <c r="A1621" s="60" t="s">
        <v>1</v>
      </c>
      <c r="B1621" s="60" t="s">
        <v>25</v>
      </c>
      <c r="C1621" s="60" t="s">
        <v>26</v>
      </c>
      <c r="D1621" s="60" t="s">
        <v>91</v>
      </c>
      <c r="E1621" s="89">
        <f t="shared" si="373"/>
        <v>41609</v>
      </c>
      <c r="F1621" s="61"/>
      <c r="G1621" s="92">
        <v>3678</v>
      </c>
      <c r="H1621" s="138">
        <v>880</v>
      </c>
      <c r="I1621" s="138" t="s">
        <v>93</v>
      </c>
      <c r="J1621" s="141">
        <f t="shared" si="371"/>
        <v>0.35</v>
      </c>
      <c r="K1621" s="95">
        <f t="shared" si="365"/>
        <v>36.524329692154915</v>
      </c>
      <c r="L1621" s="95">
        <f t="shared" si="366"/>
        <v>0.994054054054054</v>
      </c>
      <c r="M1621" s="133">
        <f t="shared" si="367"/>
        <v>308</v>
      </c>
      <c r="N1621" s="133">
        <f t="shared" si="368"/>
        <v>3986</v>
      </c>
      <c r="O1621" s="134">
        <f t="shared" si="369"/>
        <v>39.582919563058589</v>
      </c>
      <c r="P1621" s="134">
        <f t="shared" si="370"/>
        <v>1.0772972972972974</v>
      </c>
      <c r="R1621" s="149">
        <f t="shared" si="364"/>
        <v>3.9916514479519938</v>
      </c>
      <c r="S1621" s="140">
        <f t="shared" si="372"/>
        <v>39.670307845084409</v>
      </c>
    </row>
    <row r="1622" spans="1:19" ht="14.45" x14ac:dyDescent="0.3">
      <c r="A1622" s="60" t="s">
        <v>1</v>
      </c>
      <c r="B1622" s="60" t="s">
        <v>2</v>
      </c>
      <c r="C1622" s="60" t="s">
        <v>9</v>
      </c>
      <c r="D1622" s="60" t="s">
        <v>91</v>
      </c>
      <c r="E1622" s="89">
        <f t="shared" si="373"/>
        <v>41609</v>
      </c>
      <c r="F1622" s="61"/>
      <c r="G1622" s="92">
        <v>3798</v>
      </c>
      <c r="H1622" s="138">
        <v>685</v>
      </c>
      <c r="I1622" s="138" t="s">
        <v>93</v>
      </c>
      <c r="J1622" s="141">
        <f t="shared" si="371"/>
        <v>0.35</v>
      </c>
      <c r="K1622" s="95">
        <f t="shared" si="365"/>
        <v>37.715988083416086</v>
      </c>
      <c r="L1622" s="95">
        <f t="shared" si="366"/>
        <v>1.0264864864864864</v>
      </c>
      <c r="M1622" s="133">
        <f t="shared" si="367"/>
        <v>239.74999999999997</v>
      </c>
      <c r="N1622" s="133">
        <f t="shared" si="368"/>
        <v>4037.75</v>
      </c>
      <c r="O1622" s="134">
        <f t="shared" si="369"/>
        <v>40.096822244289967</v>
      </c>
      <c r="P1622" s="134">
        <f t="shared" si="370"/>
        <v>1.0912837837837839</v>
      </c>
      <c r="R1622" s="149">
        <f t="shared" si="364"/>
        <v>3.3201125895598871</v>
      </c>
      <c r="S1622" s="140">
        <f t="shared" si="372"/>
        <v>40.164846077457788</v>
      </c>
    </row>
    <row r="1623" spans="1:19" ht="14.45" x14ac:dyDescent="0.3">
      <c r="A1623" s="60" t="s">
        <v>1</v>
      </c>
      <c r="B1623" s="60" t="s">
        <v>27</v>
      </c>
      <c r="C1623" s="60" t="s">
        <v>28</v>
      </c>
      <c r="D1623" s="60" t="s">
        <v>91</v>
      </c>
      <c r="E1623" s="89">
        <f t="shared" si="373"/>
        <v>41609</v>
      </c>
      <c r="F1623" s="61"/>
      <c r="G1623" s="92">
        <v>3950</v>
      </c>
      <c r="H1623" s="138">
        <v>812</v>
      </c>
      <c r="I1623" s="138" t="s">
        <v>94</v>
      </c>
      <c r="J1623" s="141">
        <f t="shared" si="371"/>
        <v>0.48</v>
      </c>
      <c r="K1623" s="95">
        <f t="shared" si="365"/>
        <v>39.22542204568024</v>
      </c>
      <c r="L1623" s="95">
        <f t="shared" si="366"/>
        <v>1.0675675675675675</v>
      </c>
      <c r="M1623" s="133">
        <f t="shared" si="367"/>
        <v>389.76</v>
      </c>
      <c r="N1623" s="133">
        <f t="shared" si="368"/>
        <v>4339.76</v>
      </c>
      <c r="O1623" s="134">
        <f t="shared" si="369"/>
        <v>43.095928500496527</v>
      </c>
      <c r="P1623" s="134">
        <f t="shared" si="370"/>
        <v>1.1729081081081081</v>
      </c>
      <c r="R1623" s="149">
        <f t="shared" si="364"/>
        <v>3.2941714111621057</v>
      </c>
      <c r="S1623" s="140">
        <f t="shared" si="372"/>
        <v>43.149685534591207</v>
      </c>
    </row>
    <row r="1624" spans="1:19" ht="14.45" x14ac:dyDescent="0.3">
      <c r="A1624" s="60" t="s">
        <v>1</v>
      </c>
      <c r="B1624" s="60" t="s">
        <v>4</v>
      </c>
      <c r="C1624" s="60" t="s">
        <v>26</v>
      </c>
      <c r="D1624" s="60" t="s">
        <v>91</v>
      </c>
      <c r="E1624" s="89">
        <f t="shared" si="373"/>
        <v>41609</v>
      </c>
      <c r="F1624" s="61"/>
      <c r="G1624" s="92">
        <v>5159</v>
      </c>
      <c r="H1624" s="138">
        <v>1520</v>
      </c>
      <c r="I1624" s="138" t="s">
        <v>93</v>
      </c>
      <c r="J1624" s="141">
        <f t="shared" si="371"/>
        <v>0.35</v>
      </c>
      <c r="K1624" s="95">
        <f t="shared" si="365"/>
        <v>51.231380337636544</v>
      </c>
      <c r="L1624" s="95">
        <f t="shared" si="366"/>
        <v>1.3943243243243244</v>
      </c>
      <c r="M1624" s="133">
        <f t="shared" si="367"/>
        <v>532</v>
      </c>
      <c r="N1624" s="133">
        <f t="shared" si="368"/>
        <v>5691</v>
      </c>
      <c r="O1624" s="134">
        <f t="shared" si="369"/>
        <v>56.51439920556107</v>
      </c>
      <c r="P1624" s="134">
        <f t="shared" si="370"/>
        <v>1.5381081081081081</v>
      </c>
      <c r="R1624" s="149">
        <f t="shared" si="364"/>
        <v>2.1540118470651626</v>
      </c>
      <c r="S1624" s="140">
        <f t="shared" si="372"/>
        <v>56.665342601787479</v>
      </c>
    </row>
    <row r="1625" spans="1:19" ht="14.45" x14ac:dyDescent="0.3">
      <c r="A1625" s="60" t="s">
        <v>1</v>
      </c>
      <c r="B1625" s="60" t="s">
        <v>4</v>
      </c>
      <c r="C1625" s="60" t="s">
        <v>9</v>
      </c>
      <c r="D1625" s="60" t="s">
        <v>91</v>
      </c>
      <c r="E1625" s="89">
        <f t="shared" si="373"/>
        <v>41609</v>
      </c>
      <c r="F1625" s="61"/>
      <c r="G1625" s="92">
        <v>6084</v>
      </c>
      <c r="H1625" s="138">
        <v>1583</v>
      </c>
      <c r="I1625" s="138" t="s">
        <v>93</v>
      </c>
      <c r="J1625" s="141">
        <f t="shared" si="371"/>
        <v>0.35</v>
      </c>
      <c r="K1625" s="95">
        <f t="shared" si="365"/>
        <v>60.417080436941411</v>
      </c>
      <c r="L1625" s="95">
        <f t="shared" si="366"/>
        <v>1.6443243243243244</v>
      </c>
      <c r="M1625" s="133">
        <f t="shared" si="367"/>
        <v>554.04999999999995</v>
      </c>
      <c r="N1625" s="133">
        <f t="shared" si="368"/>
        <v>6638.05</v>
      </c>
      <c r="O1625" s="134">
        <f t="shared" si="369"/>
        <v>65.919066534260182</v>
      </c>
      <c r="P1625" s="134">
        <f t="shared" si="370"/>
        <v>1.7940675675675677</v>
      </c>
      <c r="R1625" s="149">
        <f t="shared" si="364"/>
        <v>0.31508795260835054</v>
      </c>
      <c r="S1625" s="140">
        <f t="shared" si="372"/>
        <v>66.076266137040719</v>
      </c>
    </row>
    <row r="1626" spans="1:19" ht="14.45" x14ac:dyDescent="0.3">
      <c r="A1626" s="60" t="s">
        <v>1</v>
      </c>
      <c r="B1626" s="60" t="s">
        <v>10</v>
      </c>
      <c r="C1626" s="60" t="s">
        <v>26</v>
      </c>
      <c r="D1626" s="60" t="s">
        <v>91</v>
      </c>
      <c r="E1626" s="89">
        <f t="shared" si="373"/>
        <v>41609</v>
      </c>
      <c r="F1626" s="61"/>
      <c r="G1626" s="92">
        <v>5043</v>
      </c>
      <c r="H1626" s="138">
        <v>1599</v>
      </c>
      <c r="I1626" s="138" t="s">
        <v>92</v>
      </c>
      <c r="J1626" s="141">
        <f t="shared" si="371"/>
        <v>0.36</v>
      </c>
      <c r="K1626" s="95">
        <f t="shared" si="365"/>
        <v>50.079443892750746</v>
      </c>
      <c r="L1626" s="95">
        <f t="shared" si="366"/>
        <v>1.3629729729729729</v>
      </c>
      <c r="M1626" s="133">
        <f t="shared" si="367"/>
        <v>575.64</v>
      </c>
      <c r="N1626" s="133">
        <f t="shared" si="368"/>
        <v>5618.64</v>
      </c>
      <c r="O1626" s="134">
        <f t="shared" si="369"/>
        <v>55.795829195630589</v>
      </c>
      <c r="P1626" s="134">
        <f t="shared" si="370"/>
        <v>1.5185513513513513</v>
      </c>
      <c r="R1626" s="149">
        <f t="shared" si="364"/>
        <v>3.424511283731535</v>
      </c>
      <c r="S1626" s="140">
        <f t="shared" si="372"/>
        <v>55.954617676266139</v>
      </c>
    </row>
    <row r="1627" spans="1:19" ht="14.45" x14ac:dyDescent="0.3">
      <c r="A1627" s="60" t="s">
        <v>134</v>
      </c>
      <c r="B1627" s="60" t="s">
        <v>23</v>
      </c>
      <c r="C1627" s="60" t="s">
        <v>26</v>
      </c>
      <c r="D1627" s="60" t="s">
        <v>91</v>
      </c>
      <c r="E1627" s="89">
        <f t="shared" si="373"/>
        <v>41609</v>
      </c>
      <c r="F1627" s="61"/>
      <c r="G1627" s="92">
        <v>5000</v>
      </c>
      <c r="H1627" s="138">
        <v>1851</v>
      </c>
      <c r="I1627" s="138" t="s">
        <v>93</v>
      </c>
      <c r="J1627" s="141">
        <f t="shared" si="371"/>
        <v>0.35</v>
      </c>
      <c r="K1627" s="95">
        <f t="shared" si="365"/>
        <v>49.652432969215489</v>
      </c>
      <c r="L1627" s="95">
        <f t="shared" si="366"/>
        <v>1.2612612612612613</v>
      </c>
      <c r="M1627" s="133">
        <f t="shared" si="367"/>
        <v>647.84999999999991</v>
      </c>
      <c r="N1627" s="133">
        <f t="shared" si="368"/>
        <v>5647.85</v>
      </c>
      <c r="O1627" s="134">
        <f t="shared" si="369"/>
        <v>56.085898709036748</v>
      </c>
      <c r="P1627" s="134">
        <f t="shared" si="370"/>
        <v>1.424682882882883</v>
      </c>
      <c r="R1627" s="149">
        <f t="shared" si="364"/>
        <v>1.9393906577142683</v>
      </c>
      <c r="S1627" s="140">
        <f t="shared" si="372"/>
        <v>56.269712015888778</v>
      </c>
    </row>
    <row r="1628" spans="1:19" ht="14.45" x14ac:dyDescent="0.3">
      <c r="A1628" s="60" t="s">
        <v>134</v>
      </c>
      <c r="B1628" s="60" t="s">
        <v>8</v>
      </c>
      <c r="C1628" s="60" t="s">
        <v>29</v>
      </c>
      <c r="D1628" s="60" t="s">
        <v>91</v>
      </c>
      <c r="E1628" s="89">
        <f t="shared" si="373"/>
        <v>41609</v>
      </c>
      <c r="F1628" s="61"/>
      <c r="G1628" s="92">
        <v>4960</v>
      </c>
      <c r="H1628" s="138">
        <v>1695</v>
      </c>
      <c r="I1628" s="138" t="s">
        <v>93</v>
      </c>
      <c r="J1628" s="141">
        <f t="shared" si="371"/>
        <v>0.35</v>
      </c>
      <c r="K1628" s="95">
        <f t="shared" si="365"/>
        <v>49.255213505461768</v>
      </c>
      <c r="L1628" s="95">
        <f t="shared" si="366"/>
        <v>1.2511711711711713</v>
      </c>
      <c r="M1628" s="133">
        <f t="shared" si="367"/>
        <v>593.25</v>
      </c>
      <c r="N1628" s="133">
        <f t="shared" si="368"/>
        <v>5553.25</v>
      </c>
      <c r="O1628" s="134">
        <f t="shared" si="369"/>
        <v>55.146474677259185</v>
      </c>
      <c r="P1628" s="134">
        <f t="shared" si="370"/>
        <v>1.4008198198198198</v>
      </c>
      <c r="R1628" s="149">
        <f t="shared" ref="R1628:R1665" si="374">((N1628/N1172)-1)*100</f>
        <v>2.1193453475542468</v>
      </c>
      <c r="S1628" s="140">
        <f t="shared" si="372"/>
        <v>55.314796425024831</v>
      </c>
    </row>
    <row r="1629" spans="1:19" ht="14.45" x14ac:dyDescent="0.3">
      <c r="A1629" s="60" t="s">
        <v>134</v>
      </c>
      <c r="B1629" s="60" t="s">
        <v>13</v>
      </c>
      <c r="C1629" s="60" t="s">
        <v>7</v>
      </c>
      <c r="D1629" s="60" t="s">
        <v>91</v>
      </c>
      <c r="E1629" s="89">
        <f t="shared" si="373"/>
        <v>41609</v>
      </c>
      <c r="F1629" s="61"/>
      <c r="G1629" s="92">
        <v>3011</v>
      </c>
      <c r="H1629" s="138">
        <v>1006</v>
      </c>
      <c r="I1629" s="138" t="s">
        <v>92</v>
      </c>
      <c r="J1629" s="141">
        <f t="shared" si="371"/>
        <v>0.36</v>
      </c>
      <c r="K1629" s="95">
        <f t="shared" si="365"/>
        <v>29.900695134061568</v>
      </c>
      <c r="L1629" s="95">
        <f t="shared" si="366"/>
        <v>0.75953153153153152</v>
      </c>
      <c r="M1629" s="133">
        <f t="shared" si="367"/>
        <v>362.15999999999997</v>
      </c>
      <c r="N1629" s="133">
        <f t="shared" si="368"/>
        <v>3373.16</v>
      </c>
      <c r="O1629" s="134">
        <f t="shared" si="369"/>
        <v>33.497120158887782</v>
      </c>
      <c r="P1629" s="134">
        <f t="shared" si="370"/>
        <v>0.85088720720720723</v>
      </c>
      <c r="R1629" s="149">
        <f t="shared" si="374"/>
        <v>3.4902129226237921</v>
      </c>
      <c r="S1629" s="140">
        <f t="shared" si="372"/>
        <v>33.597020854021842</v>
      </c>
    </row>
    <row r="1630" spans="1:19" ht="14.45" x14ac:dyDescent="0.3">
      <c r="A1630" s="60" t="s">
        <v>134</v>
      </c>
      <c r="B1630" s="60" t="s">
        <v>30</v>
      </c>
      <c r="C1630" s="60" t="s">
        <v>9</v>
      </c>
      <c r="D1630" s="60" t="s">
        <v>91</v>
      </c>
      <c r="E1630" s="89">
        <f t="shared" si="373"/>
        <v>41609</v>
      </c>
      <c r="F1630" s="61"/>
      <c r="G1630" s="92">
        <v>3510</v>
      </c>
      <c r="H1630" s="138">
        <v>988</v>
      </c>
      <c r="I1630" s="138" t="s">
        <v>93</v>
      </c>
      <c r="J1630" s="141">
        <f t="shared" si="371"/>
        <v>0.35</v>
      </c>
      <c r="K1630" s="95">
        <f t="shared" si="365"/>
        <v>34.856007944389276</v>
      </c>
      <c r="L1630" s="95">
        <f t="shared" si="366"/>
        <v>0.88540540540540547</v>
      </c>
      <c r="M1630" s="133">
        <f t="shared" si="367"/>
        <v>345.79999999999995</v>
      </c>
      <c r="N1630" s="133">
        <f t="shared" si="368"/>
        <v>3855.8</v>
      </c>
      <c r="O1630" s="134">
        <f t="shared" si="369"/>
        <v>38.289970208540218</v>
      </c>
      <c r="P1630" s="134">
        <f t="shared" si="370"/>
        <v>0.97263423423423434</v>
      </c>
      <c r="R1630" s="149">
        <f t="shared" si="374"/>
        <v>4.0645579186008973</v>
      </c>
      <c r="S1630" s="140">
        <f t="shared" si="372"/>
        <v>38.38808341608739</v>
      </c>
    </row>
    <row r="1631" spans="1:19" ht="14.45" x14ac:dyDescent="0.3">
      <c r="A1631" s="60" t="s">
        <v>134</v>
      </c>
      <c r="B1631" s="60" t="s">
        <v>16</v>
      </c>
      <c r="C1631" s="60" t="s">
        <v>11</v>
      </c>
      <c r="D1631" s="60" t="s">
        <v>91</v>
      </c>
      <c r="E1631" s="89">
        <f t="shared" si="373"/>
        <v>41609</v>
      </c>
      <c r="F1631" s="61"/>
      <c r="G1631" s="92">
        <v>3590</v>
      </c>
      <c r="H1631" s="138">
        <v>787</v>
      </c>
      <c r="I1631" s="138" t="s">
        <v>92</v>
      </c>
      <c r="J1631" s="141">
        <f t="shared" si="371"/>
        <v>0.36</v>
      </c>
      <c r="K1631" s="95">
        <f t="shared" si="365"/>
        <v>35.650446871896719</v>
      </c>
      <c r="L1631" s="95">
        <f t="shared" si="366"/>
        <v>0.90558558558558555</v>
      </c>
      <c r="M1631" s="133">
        <f t="shared" si="367"/>
        <v>283.32</v>
      </c>
      <c r="N1631" s="133">
        <f t="shared" si="368"/>
        <v>3873.32</v>
      </c>
      <c r="O1631" s="134">
        <f t="shared" si="369"/>
        <v>38.463952333664352</v>
      </c>
      <c r="P1631" s="134">
        <f t="shared" si="370"/>
        <v>0.97705369369369377</v>
      </c>
      <c r="R1631" s="149">
        <f t="shared" si="374"/>
        <v>3.4319589831232733</v>
      </c>
      <c r="S1631" s="140">
        <f t="shared" si="372"/>
        <v>38.542105263157893</v>
      </c>
    </row>
    <row r="1632" spans="1:19" ht="14.45" x14ac:dyDescent="0.3">
      <c r="A1632" s="60" t="s">
        <v>134</v>
      </c>
      <c r="B1632" s="60" t="s">
        <v>23</v>
      </c>
      <c r="C1632" s="60" t="s">
        <v>29</v>
      </c>
      <c r="D1632" s="60" t="s">
        <v>91</v>
      </c>
      <c r="E1632" s="89">
        <f t="shared" si="373"/>
        <v>41609</v>
      </c>
      <c r="F1632" s="61"/>
      <c r="G1632" s="92">
        <v>5000</v>
      </c>
      <c r="H1632" s="138">
        <v>1836</v>
      </c>
      <c r="I1632" s="138" t="s">
        <v>93</v>
      </c>
      <c r="J1632" s="141">
        <f t="shared" si="371"/>
        <v>0.35</v>
      </c>
      <c r="K1632" s="95">
        <f t="shared" si="365"/>
        <v>49.652432969215489</v>
      </c>
      <c r="L1632" s="95">
        <f t="shared" si="366"/>
        <v>1.2612612612612613</v>
      </c>
      <c r="M1632" s="133">
        <f t="shared" si="367"/>
        <v>642.59999999999991</v>
      </c>
      <c r="N1632" s="133">
        <f t="shared" si="368"/>
        <v>5642.6</v>
      </c>
      <c r="O1632" s="134">
        <f t="shared" si="369"/>
        <v>56.033763654419069</v>
      </c>
      <c r="P1632" s="134">
        <f t="shared" si="370"/>
        <v>1.4233585585585586</v>
      </c>
      <c r="R1632" s="149">
        <f t="shared" si="374"/>
        <v>1.9550448106389284</v>
      </c>
      <c r="S1632" s="140">
        <f t="shared" si="372"/>
        <v>56.216087388282027</v>
      </c>
    </row>
    <row r="1633" spans="1:19" ht="14.45" x14ac:dyDescent="0.3">
      <c r="A1633" s="60" t="s">
        <v>134</v>
      </c>
      <c r="B1633" s="60" t="s">
        <v>31</v>
      </c>
      <c r="C1633" s="60" t="s">
        <v>32</v>
      </c>
      <c r="D1633" s="60" t="s">
        <v>91</v>
      </c>
      <c r="E1633" s="89">
        <f t="shared" si="373"/>
        <v>41609</v>
      </c>
      <c r="F1633" s="61"/>
      <c r="G1633" s="92">
        <v>4400</v>
      </c>
      <c r="H1633" s="138">
        <v>1899</v>
      </c>
      <c r="I1633" s="138" t="s">
        <v>93</v>
      </c>
      <c r="J1633" s="141">
        <f t="shared" si="371"/>
        <v>0.35</v>
      </c>
      <c r="K1633" s="95">
        <f t="shared" si="365"/>
        <v>43.694141012909633</v>
      </c>
      <c r="L1633" s="95">
        <f t="shared" si="366"/>
        <v>1.1099099099099099</v>
      </c>
      <c r="M1633" s="133">
        <f t="shared" si="367"/>
        <v>664.65</v>
      </c>
      <c r="N1633" s="133">
        <f t="shared" si="368"/>
        <v>5064.6499999999996</v>
      </c>
      <c r="O1633" s="134">
        <f t="shared" si="369"/>
        <v>50.294438927507443</v>
      </c>
      <c r="P1633" s="134">
        <f t="shared" si="370"/>
        <v>1.2775693693693693</v>
      </c>
      <c r="R1633" s="149">
        <f t="shared" si="374"/>
        <v>2.1181143640615963</v>
      </c>
      <c r="S1633" s="140">
        <f t="shared" si="372"/>
        <v>50.483018867924521</v>
      </c>
    </row>
    <row r="1634" spans="1:19" ht="14.45" x14ac:dyDescent="0.3">
      <c r="A1634" s="60" t="s">
        <v>22</v>
      </c>
      <c r="B1634" s="60" t="s">
        <v>8</v>
      </c>
      <c r="C1634" s="60" t="s">
        <v>29</v>
      </c>
      <c r="D1634" s="60" t="s">
        <v>91</v>
      </c>
      <c r="E1634" s="89">
        <f t="shared" si="373"/>
        <v>41609</v>
      </c>
      <c r="F1634" s="61"/>
      <c r="G1634" s="92">
        <v>5520</v>
      </c>
      <c r="H1634" s="138">
        <v>1695</v>
      </c>
      <c r="I1634" s="138" t="s">
        <v>93</v>
      </c>
      <c r="J1634" s="141">
        <f t="shared" si="371"/>
        <v>0.35</v>
      </c>
      <c r="K1634" s="95">
        <f t="shared" si="365"/>
        <v>54.816285998013903</v>
      </c>
      <c r="L1634" s="95">
        <f t="shared" si="366"/>
        <v>1.491891891891892</v>
      </c>
      <c r="M1634" s="133">
        <f t="shared" si="367"/>
        <v>593.25</v>
      </c>
      <c r="N1634" s="133">
        <f t="shared" si="368"/>
        <v>6113.25</v>
      </c>
      <c r="O1634" s="134">
        <f t="shared" si="369"/>
        <v>60.70754716981132</v>
      </c>
      <c r="P1634" s="134">
        <f t="shared" si="370"/>
        <v>1.6522297297297297</v>
      </c>
      <c r="R1634" s="149">
        <f t="shared" si="374"/>
        <v>1.9214738246082108</v>
      </c>
      <c r="S1634" s="140">
        <f t="shared" si="372"/>
        <v>60.875868917576952</v>
      </c>
    </row>
    <row r="1635" spans="1:19" ht="14.45" x14ac:dyDescent="0.3">
      <c r="A1635" s="60" t="s">
        <v>22</v>
      </c>
      <c r="B1635" s="60" t="s">
        <v>23</v>
      </c>
      <c r="C1635" s="60" t="s">
        <v>26</v>
      </c>
      <c r="D1635" s="60" t="s">
        <v>91</v>
      </c>
      <c r="E1635" s="89">
        <f t="shared" si="373"/>
        <v>41609</v>
      </c>
      <c r="F1635" s="61"/>
      <c r="G1635" s="92">
        <v>5530</v>
      </c>
      <c r="H1635" s="138">
        <v>1851</v>
      </c>
      <c r="I1635" s="138" t="s">
        <v>93</v>
      </c>
      <c r="J1635" s="141">
        <f t="shared" si="371"/>
        <v>0.35</v>
      </c>
      <c r="K1635" s="95">
        <f t="shared" si="365"/>
        <v>54.915590863952332</v>
      </c>
      <c r="L1635" s="95">
        <f t="shared" si="366"/>
        <v>1.4945945945945946</v>
      </c>
      <c r="M1635" s="133">
        <f t="shared" si="367"/>
        <v>647.84999999999991</v>
      </c>
      <c r="N1635" s="133">
        <f t="shared" si="368"/>
        <v>6177.85</v>
      </c>
      <c r="O1635" s="134">
        <f t="shared" si="369"/>
        <v>61.34905660377359</v>
      </c>
      <c r="P1635" s="134">
        <f t="shared" si="370"/>
        <v>1.6696891891891892</v>
      </c>
      <c r="R1635" s="149">
        <f t="shared" si="374"/>
        <v>1.7700645756457689</v>
      </c>
      <c r="S1635" s="140">
        <f t="shared" si="372"/>
        <v>61.532869910625614</v>
      </c>
    </row>
    <row r="1636" spans="1:19" ht="14.45" x14ac:dyDescent="0.3">
      <c r="A1636" s="60" t="s">
        <v>22</v>
      </c>
      <c r="B1636" s="60" t="s">
        <v>33</v>
      </c>
      <c r="C1636" s="60" t="s">
        <v>29</v>
      </c>
      <c r="D1636" s="60" t="s">
        <v>91</v>
      </c>
      <c r="E1636" s="89">
        <f t="shared" si="373"/>
        <v>41609</v>
      </c>
      <c r="F1636" s="61"/>
      <c r="G1636" s="92">
        <v>5430</v>
      </c>
      <c r="H1636" s="138">
        <v>1507</v>
      </c>
      <c r="I1636" s="138" t="s">
        <v>93</v>
      </c>
      <c r="J1636" s="141">
        <f t="shared" si="371"/>
        <v>0.35</v>
      </c>
      <c r="K1636" s="95">
        <f t="shared" si="365"/>
        <v>53.922542204568025</v>
      </c>
      <c r="L1636" s="95">
        <f t="shared" si="366"/>
        <v>1.4675675675675677</v>
      </c>
      <c r="M1636" s="133">
        <f t="shared" si="367"/>
        <v>527.44999999999993</v>
      </c>
      <c r="N1636" s="133">
        <f t="shared" si="368"/>
        <v>5957.45</v>
      </c>
      <c r="O1636" s="134">
        <f t="shared" si="369"/>
        <v>59.160377358490564</v>
      </c>
      <c r="P1636" s="134">
        <f t="shared" si="370"/>
        <v>1.6101216216216216</v>
      </c>
      <c r="R1636" s="149">
        <f t="shared" si="374"/>
        <v>2.1370525305170585</v>
      </c>
      <c r="S1636" s="140">
        <f t="shared" si="372"/>
        <v>59.310029791459783</v>
      </c>
    </row>
    <row r="1637" spans="1:19" ht="14.45" x14ac:dyDescent="0.3">
      <c r="A1637" s="60" t="s">
        <v>22</v>
      </c>
      <c r="B1637" s="60" t="s">
        <v>31</v>
      </c>
      <c r="C1637" s="60" t="s">
        <v>7</v>
      </c>
      <c r="D1637" s="60" t="s">
        <v>91</v>
      </c>
      <c r="E1637" s="89">
        <f t="shared" si="373"/>
        <v>41609</v>
      </c>
      <c r="F1637" s="61"/>
      <c r="G1637" s="92">
        <v>4175</v>
      </c>
      <c r="H1637" s="138">
        <v>1160</v>
      </c>
      <c r="I1637" s="138" t="s">
        <v>92</v>
      </c>
      <c r="J1637" s="141">
        <f t="shared" si="371"/>
        <v>0.36</v>
      </c>
      <c r="K1637" s="95">
        <f t="shared" si="365"/>
        <v>41.459781529294936</v>
      </c>
      <c r="L1637" s="95">
        <f t="shared" si="366"/>
        <v>1.1283783783783783</v>
      </c>
      <c r="M1637" s="133">
        <f t="shared" si="367"/>
        <v>417.59999999999997</v>
      </c>
      <c r="N1637" s="133">
        <f t="shared" si="368"/>
        <v>4592.6000000000004</v>
      </c>
      <c r="O1637" s="134">
        <f t="shared" si="369"/>
        <v>45.606752730883812</v>
      </c>
      <c r="P1637" s="134">
        <f t="shared" si="370"/>
        <v>1.2412432432432434</v>
      </c>
      <c r="R1637" s="149">
        <f t="shared" si="374"/>
        <v>5.9667743424088648</v>
      </c>
      <c r="S1637" s="140">
        <f t="shared" si="372"/>
        <v>45.721946375372397</v>
      </c>
    </row>
    <row r="1638" spans="1:19" ht="14.45" x14ac:dyDescent="0.3">
      <c r="A1638" s="60" t="s">
        <v>22</v>
      </c>
      <c r="B1638" s="60" t="s">
        <v>14</v>
      </c>
      <c r="C1638" s="60" t="s">
        <v>24</v>
      </c>
      <c r="D1638" s="60" t="s">
        <v>91</v>
      </c>
      <c r="E1638" s="89">
        <f t="shared" si="373"/>
        <v>41609</v>
      </c>
      <c r="F1638" s="61"/>
      <c r="G1638" s="92">
        <v>2862</v>
      </c>
      <c r="H1638" s="138">
        <v>615</v>
      </c>
      <c r="I1638" s="138" t="s">
        <v>94</v>
      </c>
      <c r="J1638" s="141">
        <f t="shared" si="371"/>
        <v>0.48</v>
      </c>
      <c r="K1638" s="95">
        <f t="shared" si="365"/>
        <v>28.421052631578945</v>
      </c>
      <c r="L1638" s="95">
        <f t="shared" si="366"/>
        <v>0.7735135135135135</v>
      </c>
      <c r="M1638" s="133">
        <f t="shared" si="367"/>
        <v>295.2</v>
      </c>
      <c r="N1638" s="133">
        <f t="shared" si="368"/>
        <v>3157.2</v>
      </c>
      <c r="O1638" s="134">
        <f t="shared" si="369"/>
        <v>31.352532274081426</v>
      </c>
      <c r="P1638" s="134">
        <f t="shared" si="370"/>
        <v>0.8532972972972972</v>
      </c>
      <c r="R1638" s="149">
        <f t="shared" si="374"/>
        <v>2.6414603618394317</v>
      </c>
      <c r="S1638" s="140">
        <f t="shared" si="372"/>
        <v>31.393247269116184</v>
      </c>
    </row>
    <row r="1639" spans="1:19" ht="14.45" x14ac:dyDescent="0.3">
      <c r="A1639" s="85" t="s">
        <v>22</v>
      </c>
      <c r="B1639" s="85" t="s">
        <v>34</v>
      </c>
      <c r="C1639" s="85" t="s">
        <v>26</v>
      </c>
      <c r="D1639" s="85" t="s">
        <v>91</v>
      </c>
      <c r="E1639" s="91">
        <f t="shared" si="373"/>
        <v>41609</v>
      </c>
      <c r="F1639" s="86"/>
      <c r="G1639" s="105">
        <v>5110</v>
      </c>
      <c r="H1639" s="143">
        <v>1637</v>
      </c>
      <c r="I1639" s="143" t="s">
        <v>92</v>
      </c>
      <c r="J1639" s="117">
        <f t="shared" si="371"/>
        <v>0.36</v>
      </c>
      <c r="K1639" s="108">
        <f t="shared" si="365"/>
        <v>50.744786494538232</v>
      </c>
      <c r="L1639" s="108">
        <f t="shared" si="366"/>
        <v>1.3810810810810812</v>
      </c>
      <c r="M1639" s="115">
        <f t="shared" si="367"/>
        <v>589.31999999999994</v>
      </c>
      <c r="N1639" s="115">
        <f t="shared" si="368"/>
        <v>5699.32</v>
      </c>
      <c r="O1639" s="116">
        <f t="shared" si="369"/>
        <v>56.597020854021842</v>
      </c>
      <c r="P1639" s="116">
        <f t="shared" si="370"/>
        <v>1.5403567567567567</v>
      </c>
      <c r="Q1639" s="106"/>
      <c r="R1639" s="152">
        <f t="shared" si="374"/>
        <v>-2.5723956374577028</v>
      </c>
      <c r="S1639" s="108">
        <f>AVERAGE(O1563,O1601,O1639)</f>
        <v>56.759582919563059</v>
      </c>
    </row>
    <row r="1640" spans="1:19" ht="14.45" x14ac:dyDescent="0.3">
      <c r="A1640" s="161" t="s">
        <v>1</v>
      </c>
      <c r="B1640" s="161" t="s">
        <v>2</v>
      </c>
      <c r="C1640" s="161" t="s">
        <v>3</v>
      </c>
      <c r="D1640" s="161" t="s">
        <v>90</v>
      </c>
      <c r="E1640" s="162">
        <v>41640</v>
      </c>
      <c r="F1640" s="163"/>
      <c r="G1640" s="92">
        <v>3191</v>
      </c>
      <c r="H1640" s="167">
        <v>506</v>
      </c>
      <c r="I1640" s="167" t="s">
        <v>92</v>
      </c>
      <c r="J1640" s="168">
        <f>IF(I1640="BNSF",0.34,IF(I1640="CN",0.299,IF(I1640="CSX",0.46,0.35)))</f>
        <v>0.35</v>
      </c>
      <c r="K1640" s="169">
        <f t="shared" ref="K1640:K1677" si="375">G1640/100.7</f>
        <v>31.688182720953325</v>
      </c>
      <c r="L1640" s="169">
        <f t="shared" ref="L1640:L1677" si="376">IF(A1640="corn",G1640/(111*2000/56),G1640/(111*2000/60))</f>
        <v>0.86243243243243239</v>
      </c>
      <c r="M1640" s="133">
        <f t="shared" ref="M1640:M1677" si="377">H1640*J1640</f>
        <v>177.1</v>
      </c>
      <c r="N1640" s="133">
        <f t="shared" ref="N1640:N1677" si="378">G1640+M1640</f>
        <v>3368.1</v>
      </c>
      <c r="O1640" s="134">
        <f t="shared" ref="O1640:O1677" si="379">N1640/100.7</f>
        <v>33.446871896722939</v>
      </c>
      <c r="P1640" s="134">
        <f t="shared" ref="P1640:P1677" si="380">IF(A1640="corn",N1640/(111*2000/56),N1640/(111*2000/60))</f>
        <v>0.91029729729729725</v>
      </c>
      <c r="Q1640" s="160"/>
      <c r="R1640" s="149">
        <f t="shared" si="374"/>
        <v>0.80087629513907466</v>
      </c>
    </row>
    <row r="1641" spans="1:19" ht="14.45" x14ac:dyDescent="0.3">
      <c r="A1641" s="161" t="s">
        <v>1</v>
      </c>
      <c r="B1641" s="161" t="s">
        <v>4</v>
      </c>
      <c r="C1641" s="161" t="s">
        <v>5</v>
      </c>
      <c r="D1641" s="161" t="s">
        <v>90</v>
      </c>
      <c r="E1641" s="162">
        <f>E1640</f>
        <v>41640</v>
      </c>
      <c r="F1641" s="163"/>
      <c r="G1641" s="92">
        <v>3596</v>
      </c>
      <c r="H1641" s="167">
        <v>298</v>
      </c>
      <c r="I1641" s="167" t="s">
        <v>93</v>
      </c>
      <c r="J1641" s="168">
        <f t="shared" ref="J1641:J1677" si="381">IF(I1641="BNSF",0.34,IF(I1641="CN",0.299,IF(I1641="CSX",0.46,0.35)))</f>
        <v>0.34</v>
      </c>
      <c r="K1641" s="169">
        <f t="shared" si="375"/>
        <v>35.710029791459782</v>
      </c>
      <c r="L1641" s="169">
        <f t="shared" si="376"/>
        <v>0.97189189189189185</v>
      </c>
      <c r="M1641" s="133">
        <f t="shared" si="377"/>
        <v>101.32000000000001</v>
      </c>
      <c r="N1641" s="133">
        <f t="shared" si="378"/>
        <v>3697.32</v>
      </c>
      <c r="O1641" s="134">
        <f t="shared" si="379"/>
        <v>36.716186693147968</v>
      </c>
      <c r="P1641" s="134">
        <f t="shared" si="380"/>
        <v>0.99927567567567577</v>
      </c>
      <c r="Q1641" s="160"/>
      <c r="R1641" s="149">
        <f t="shared" si="374"/>
        <v>1.1235586285364363</v>
      </c>
    </row>
    <row r="1642" spans="1:19" ht="14.45" x14ac:dyDescent="0.3">
      <c r="A1642" s="161" t="s">
        <v>1</v>
      </c>
      <c r="B1642" s="161" t="s">
        <v>2</v>
      </c>
      <c r="C1642" s="161" t="s">
        <v>6</v>
      </c>
      <c r="D1642" s="161" t="s">
        <v>90</v>
      </c>
      <c r="E1642" s="162">
        <f t="shared" ref="E1642:E1677" si="382">E1641</f>
        <v>41640</v>
      </c>
      <c r="F1642" s="163"/>
      <c r="G1642" s="92">
        <v>6244</v>
      </c>
      <c r="H1642" s="167">
        <v>1530</v>
      </c>
      <c r="I1642" s="167" t="s">
        <v>93</v>
      </c>
      <c r="J1642" s="168">
        <f t="shared" si="381"/>
        <v>0.34</v>
      </c>
      <c r="K1642" s="169">
        <f t="shared" si="375"/>
        <v>62.005958291956304</v>
      </c>
      <c r="L1642" s="169">
        <f t="shared" si="376"/>
        <v>1.6875675675675677</v>
      </c>
      <c r="M1642" s="133">
        <f t="shared" si="377"/>
        <v>520.20000000000005</v>
      </c>
      <c r="N1642" s="133">
        <f t="shared" si="378"/>
        <v>6764.2</v>
      </c>
      <c r="O1642" s="134">
        <f t="shared" si="379"/>
        <v>67.171797418073481</v>
      </c>
      <c r="P1642" s="134">
        <f t="shared" si="380"/>
        <v>1.8281621621621622</v>
      </c>
      <c r="R1642" s="149">
        <f t="shared" si="374"/>
        <v>2.3730968308260492</v>
      </c>
    </row>
    <row r="1643" spans="1:19" ht="14.45" x14ac:dyDescent="0.3">
      <c r="A1643" s="161" t="s">
        <v>1</v>
      </c>
      <c r="B1643" s="161" t="s">
        <v>2</v>
      </c>
      <c r="C1643" s="161" t="s">
        <v>7</v>
      </c>
      <c r="D1643" s="161" t="s">
        <v>90</v>
      </c>
      <c r="E1643" s="162">
        <f t="shared" si="382"/>
        <v>41640</v>
      </c>
      <c r="F1643" s="163"/>
      <c r="G1643" s="92">
        <v>3808</v>
      </c>
      <c r="H1643" s="167">
        <v>890</v>
      </c>
      <c r="I1643" s="167" t="s">
        <v>92</v>
      </c>
      <c r="J1643" s="168">
        <f t="shared" si="381"/>
        <v>0.35</v>
      </c>
      <c r="K1643" s="169">
        <f t="shared" si="375"/>
        <v>37.815292949354514</v>
      </c>
      <c r="L1643" s="169">
        <f t="shared" si="376"/>
        <v>1.0291891891891891</v>
      </c>
      <c r="M1643" s="133">
        <f t="shared" si="377"/>
        <v>311.5</v>
      </c>
      <c r="N1643" s="133">
        <f t="shared" si="378"/>
        <v>4119.5</v>
      </c>
      <c r="O1643" s="134">
        <f t="shared" si="379"/>
        <v>40.908639523336639</v>
      </c>
      <c r="P1643" s="134">
        <f t="shared" si="380"/>
        <v>1.1133783783783784</v>
      </c>
      <c r="R1643" s="149">
        <f t="shared" si="374"/>
        <v>3.1913028230755813</v>
      </c>
    </row>
    <row r="1644" spans="1:19" ht="14.45" x14ac:dyDescent="0.3">
      <c r="A1644" s="161" t="s">
        <v>1</v>
      </c>
      <c r="B1644" s="161" t="s">
        <v>8</v>
      </c>
      <c r="C1644" s="161" t="s">
        <v>9</v>
      </c>
      <c r="D1644" s="161" t="s">
        <v>90</v>
      </c>
      <c r="E1644" s="162">
        <f t="shared" si="382"/>
        <v>41640</v>
      </c>
      <c r="F1644" s="163"/>
      <c r="G1644" s="92">
        <v>5824</v>
      </c>
      <c r="H1644" s="167">
        <v>1256</v>
      </c>
      <c r="I1644" s="167" t="s">
        <v>93</v>
      </c>
      <c r="J1644" s="168">
        <f t="shared" si="381"/>
        <v>0.34</v>
      </c>
      <c r="K1644" s="169">
        <f t="shared" si="375"/>
        <v>57.835153922542204</v>
      </c>
      <c r="L1644" s="169">
        <f t="shared" si="376"/>
        <v>1.574054054054054</v>
      </c>
      <c r="M1644" s="133">
        <f t="shared" si="377"/>
        <v>427.04</v>
      </c>
      <c r="N1644" s="133">
        <f t="shared" si="378"/>
        <v>6251.04</v>
      </c>
      <c r="O1644" s="134">
        <f t="shared" si="379"/>
        <v>62.075868917576962</v>
      </c>
      <c r="P1644" s="134">
        <f t="shared" si="380"/>
        <v>1.6894702702702702</v>
      </c>
      <c r="R1644" s="149">
        <f t="shared" si="374"/>
        <v>3.3181935381503047</v>
      </c>
    </row>
    <row r="1645" spans="1:19" ht="14.45" x14ac:dyDescent="0.3">
      <c r="A1645" s="161" t="s">
        <v>1</v>
      </c>
      <c r="B1645" s="161" t="s">
        <v>10</v>
      </c>
      <c r="C1645" s="161" t="s">
        <v>9</v>
      </c>
      <c r="D1645" s="161" t="s">
        <v>90</v>
      </c>
      <c r="E1645" s="162">
        <f t="shared" si="382"/>
        <v>41640</v>
      </c>
      <c r="F1645" s="163"/>
      <c r="G1645" s="92">
        <v>4076</v>
      </c>
      <c r="H1645" s="167">
        <v>975</v>
      </c>
      <c r="I1645" s="167" t="s">
        <v>92</v>
      </c>
      <c r="J1645" s="168">
        <f t="shared" si="381"/>
        <v>0.35</v>
      </c>
      <c r="K1645" s="169">
        <f t="shared" si="375"/>
        <v>40.476663356504467</v>
      </c>
      <c r="L1645" s="169">
        <f t="shared" si="376"/>
        <v>1.1016216216216217</v>
      </c>
      <c r="M1645" s="133">
        <f t="shared" si="377"/>
        <v>341.25</v>
      </c>
      <c r="N1645" s="133">
        <f t="shared" si="378"/>
        <v>4417.25</v>
      </c>
      <c r="O1645" s="134">
        <f t="shared" si="379"/>
        <v>43.865441906653423</v>
      </c>
      <c r="P1645" s="134">
        <f t="shared" si="380"/>
        <v>1.1938513513513513</v>
      </c>
      <c r="R1645" s="149">
        <f t="shared" si="374"/>
        <v>2.9122255227444827</v>
      </c>
    </row>
    <row r="1646" spans="1:19" ht="14.45" x14ac:dyDescent="0.3">
      <c r="A1646" s="161" t="s">
        <v>1</v>
      </c>
      <c r="B1646" s="161" t="s">
        <v>11</v>
      </c>
      <c r="C1646" s="161" t="s">
        <v>6</v>
      </c>
      <c r="D1646" s="161" t="s">
        <v>90</v>
      </c>
      <c r="E1646" s="162">
        <f t="shared" si="382"/>
        <v>41640</v>
      </c>
      <c r="F1646" s="163"/>
      <c r="G1646" s="92">
        <v>4275</v>
      </c>
      <c r="H1646" s="167">
        <v>1357</v>
      </c>
      <c r="I1646" s="167" t="s">
        <v>92</v>
      </c>
      <c r="J1646" s="168">
        <f t="shared" si="381"/>
        <v>0.35</v>
      </c>
      <c r="K1646" s="169">
        <f t="shared" si="375"/>
        <v>42.452830188679243</v>
      </c>
      <c r="L1646" s="169">
        <f t="shared" si="376"/>
        <v>1.1554054054054055</v>
      </c>
      <c r="M1646" s="133">
        <f t="shared" si="377"/>
        <v>474.95</v>
      </c>
      <c r="N1646" s="133">
        <f t="shared" si="378"/>
        <v>4749.95</v>
      </c>
      <c r="O1646" s="134">
        <f t="shared" si="379"/>
        <v>47.16931479642502</v>
      </c>
      <c r="P1646" s="134">
        <f t="shared" si="380"/>
        <v>1.2837702702702702</v>
      </c>
      <c r="R1646" s="149">
        <f t="shared" si="374"/>
        <v>2.3424824884782813</v>
      </c>
    </row>
    <row r="1647" spans="1:19" ht="14.45" x14ac:dyDescent="0.3">
      <c r="A1647" s="161" t="s">
        <v>134</v>
      </c>
      <c r="B1647" s="161" t="s">
        <v>13</v>
      </c>
      <c r="C1647" s="161" t="s">
        <v>7</v>
      </c>
      <c r="D1647" s="161" t="s">
        <v>90</v>
      </c>
      <c r="E1647" s="162">
        <f t="shared" si="382"/>
        <v>41640</v>
      </c>
      <c r="F1647" s="163"/>
      <c r="G1647" s="92">
        <v>3192</v>
      </c>
      <c r="H1647" s="167">
        <v>1006</v>
      </c>
      <c r="I1647" s="167" t="s">
        <v>92</v>
      </c>
      <c r="J1647" s="168">
        <f t="shared" si="381"/>
        <v>0.35</v>
      </c>
      <c r="K1647" s="169">
        <f t="shared" si="375"/>
        <v>31.69811320754717</v>
      </c>
      <c r="L1647" s="169">
        <f t="shared" si="376"/>
        <v>0.80518918918918925</v>
      </c>
      <c r="M1647" s="133">
        <f t="shared" si="377"/>
        <v>352.09999999999997</v>
      </c>
      <c r="N1647" s="133">
        <f t="shared" si="378"/>
        <v>3544.1</v>
      </c>
      <c r="O1647" s="134">
        <f t="shared" si="379"/>
        <v>35.194637537239323</v>
      </c>
      <c r="P1647" s="134">
        <f t="shared" si="380"/>
        <v>0.89400720720720717</v>
      </c>
      <c r="R1647" s="149">
        <f t="shared" si="374"/>
        <v>1.1923456888822903</v>
      </c>
    </row>
    <row r="1648" spans="1:19" ht="14.45" x14ac:dyDescent="0.3">
      <c r="A1648" s="161" t="s">
        <v>134</v>
      </c>
      <c r="B1648" s="161" t="s">
        <v>14</v>
      </c>
      <c r="C1648" s="161" t="s">
        <v>15</v>
      </c>
      <c r="D1648" s="161" t="s">
        <v>90</v>
      </c>
      <c r="E1648" s="162">
        <f t="shared" si="382"/>
        <v>41640</v>
      </c>
      <c r="F1648" s="163"/>
      <c r="G1648" s="92">
        <v>4686</v>
      </c>
      <c r="H1648" s="167">
        <v>866</v>
      </c>
      <c r="I1648" s="167" t="s">
        <v>94</v>
      </c>
      <c r="J1648" s="168">
        <f t="shared" si="381"/>
        <v>0.46</v>
      </c>
      <c r="K1648" s="169">
        <f t="shared" si="375"/>
        <v>46.53426017874876</v>
      </c>
      <c r="L1648" s="169">
        <f t="shared" si="376"/>
        <v>1.1820540540540541</v>
      </c>
      <c r="M1648" s="133">
        <f t="shared" si="377"/>
        <v>398.36</v>
      </c>
      <c r="N1648" s="133">
        <f t="shared" si="378"/>
        <v>5084.3599999999997</v>
      </c>
      <c r="O1648" s="134">
        <f t="shared" si="379"/>
        <v>50.490168818272089</v>
      </c>
      <c r="P1648" s="134">
        <f t="shared" si="380"/>
        <v>1.2825412612612612</v>
      </c>
      <c r="R1648" s="149">
        <f t="shared" si="374"/>
        <v>2.7213990455910109</v>
      </c>
    </row>
    <row r="1649" spans="1:18" ht="14.45" x14ac:dyDescent="0.3">
      <c r="A1649" s="161" t="s">
        <v>134</v>
      </c>
      <c r="B1649" s="161" t="s">
        <v>16</v>
      </c>
      <c r="C1649" s="161" t="s">
        <v>17</v>
      </c>
      <c r="D1649" s="161" t="s">
        <v>90</v>
      </c>
      <c r="E1649" s="162">
        <f t="shared" si="382"/>
        <v>41640</v>
      </c>
      <c r="F1649" s="163"/>
      <c r="G1649" s="92">
        <v>2078</v>
      </c>
      <c r="H1649" s="167">
        <v>213</v>
      </c>
      <c r="I1649" s="167" t="s">
        <v>92</v>
      </c>
      <c r="J1649" s="168">
        <f t="shared" si="381"/>
        <v>0.35</v>
      </c>
      <c r="K1649" s="169">
        <f t="shared" si="375"/>
        <v>20.635551142005959</v>
      </c>
      <c r="L1649" s="169">
        <f t="shared" si="376"/>
        <v>0.5241801801801802</v>
      </c>
      <c r="M1649" s="133">
        <f t="shared" si="377"/>
        <v>74.55</v>
      </c>
      <c r="N1649" s="133">
        <f t="shared" si="378"/>
        <v>2152.5500000000002</v>
      </c>
      <c r="O1649" s="134">
        <f t="shared" si="379"/>
        <v>21.375868917576963</v>
      </c>
      <c r="P1649" s="134">
        <f t="shared" si="380"/>
        <v>0.54298558558558563</v>
      </c>
      <c r="R1649" s="149">
        <f t="shared" si="374"/>
        <v>3.0386727108234757</v>
      </c>
    </row>
    <row r="1650" spans="1:18" ht="14.45" x14ac:dyDescent="0.3">
      <c r="A1650" s="161" t="s">
        <v>134</v>
      </c>
      <c r="B1650" s="161" t="s">
        <v>18</v>
      </c>
      <c r="C1650" s="161" t="s">
        <v>19</v>
      </c>
      <c r="D1650" s="161" t="s">
        <v>90</v>
      </c>
      <c r="E1650" s="162">
        <f t="shared" si="382"/>
        <v>41640</v>
      </c>
      <c r="F1650" s="163"/>
      <c r="G1650" s="92">
        <v>4061</v>
      </c>
      <c r="H1650" s="167">
        <v>650</v>
      </c>
      <c r="I1650" s="167" t="s">
        <v>94</v>
      </c>
      <c r="J1650" s="168">
        <f t="shared" si="381"/>
        <v>0.46</v>
      </c>
      <c r="K1650" s="169">
        <f t="shared" si="375"/>
        <v>40.327706057596821</v>
      </c>
      <c r="L1650" s="169">
        <f t="shared" si="376"/>
        <v>1.0243963963963965</v>
      </c>
      <c r="M1650" s="133">
        <f t="shared" si="377"/>
        <v>299</v>
      </c>
      <c r="N1650" s="133">
        <f t="shared" si="378"/>
        <v>4360</v>
      </c>
      <c r="O1650" s="134">
        <f t="shared" si="379"/>
        <v>43.296921549155904</v>
      </c>
      <c r="P1650" s="134">
        <f t="shared" si="380"/>
        <v>1.0998198198198199</v>
      </c>
      <c r="R1650" s="149">
        <f t="shared" si="374"/>
        <v>2.5520404563095456</v>
      </c>
    </row>
    <row r="1651" spans="1:18" ht="14.45" x14ac:dyDescent="0.3">
      <c r="A1651" s="161" t="s">
        <v>134</v>
      </c>
      <c r="B1651" s="161" t="s">
        <v>18</v>
      </c>
      <c r="C1651" s="161" t="s">
        <v>20</v>
      </c>
      <c r="D1651" s="161" t="s">
        <v>90</v>
      </c>
      <c r="E1651" s="162">
        <f t="shared" si="382"/>
        <v>41640</v>
      </c>
      <c r="F1651" s="163"/>
      <c r="G1651" s="92">
        <v>3469</v>
      </c>
      <c r="H1651" s="167">
        <v>417</v>
      </c>
      <c r="I1651" s="167" t="s">
        <v>94</v>
      </c>
      <c r="J1651" s="168">
        <f t="shared" si="381"/>
        <v>0.46</v>
      </c>
      <c r="K1651" s="169">
        <f t="shared" si="375"/>
        <v>34.44885799404171</v>
      </c>
      <c r="L1651" s="169">
        <f t="shared" si="376"/>
        <v>0.87506306306306303</v>
      </c>
      <c r="M1651" s="133">
        <f t="shared" si="377"/>
        <v>191.82000000000002</v>
      </c>
      <c r="N1651" s="133">
        <f t="shared" si="378"/>
        <v>3660.82</v>
      </c>
      <c r="O1651" s="134">
        <f t="shared" si="379"/>
        <v>36.35372393247269</v>
      </c>
      <c r="P1651" s="134">
        <f t="shared" si="380"/>
        <v>0.92345009009009016</v>
      </c>
      <c r="R1651" s="149">
        <f t="shared" si="374"/>
        <v>2.6397171591428403</v>
      </c>
    </row>
    <row r="1652" spans="1:18" ht="14.45" x14ac:dyDescent="0.3">
      <c r="A1652" s="161" t="s">
        <v>134</v>
      </c>
      <c r="B1652" s="161" t="s">
        <v>16</v>
      </c>
      <c r="C1652" s="161" t="s">
        <v>21</v>
      </c>
      <c r="D1652" s="161" t="s">
        <v>90</v>
      </c>
      <c r="E1652" s="162">
        <f t="shared" si="382"/>
        <v>41640</v>
      </c>
      <c r="F1652" s="163"/>
      <c r="G1652" s="92">
        <v>3218</v>
      </c>
      <c r="H1652" s="167">
        <v>626</v>
      </c>
      <c r="I1652" s="167" t="s">
        <v>92</v>
      </c>
      <c r="J1652" s="168">
        <f t="shared" si="381"/>
        <v>0.35</v>
      </c>
      <c r="K1652" s="169">
        <f t="shared" si="375"/>
        <v>31.95630585898709</v>
      </c>
      <c r="L1652" s="169">
        <f t="shared" si="376"/>
        <v>0.81174774774774772</v>
      </c>
      <c r="M1652" s="133">
        <f t="shared" si="377"/>
        <v>219.1</v>
      </c>
      <c r="N1652" s="133">
        <f t="shared" si="378"/>
        <v>3437.1</v>
      </c>
      <c r="O1652" s="134">
        <f t="shared" si="379"/>
        <v>34.132075471698109</v>
      </c>
      <c r="P1652" s="134">
        <f t="shared" si="380"/>
        <v>0.86701621621621616</v>
      </c>
      <c r="R1652" s="149">
        <f t="shared" si="374"/>
        <v>1.1465095611128406</v>
      </c>
    </row>
    <row r="1653" spans="1:18" ht="14.45" x14ac:dyDescent="0.3">
      <c r="A1653" s="161" t="s">
        <v>134</v>
      </c>
      <c r="B1653" s="161" t="s">
        <v>16</v>
      </c>
      <c r="C1653" s="161" t="s">
        <v>6</v>
      </c>
      <c r="D1653" s="161" t="s">
        <v>90</v>
      </c>
      <c r="E1653" s="162">
        <f t="shared" si="382"/>
        <v>41640</v>
      </c>
      <c r="F1653" s="163"/>
      <c r="G1653" s="92">
        <v>5215</v>
      </c>
      <c r="H1653" s="167">
        <v>1823</v>
      </c>
      <c r="I1653" s="167" t="s">
        <v>92</v>
      </c>
      <c r="J1653" s="168">
        <f t="shared" si="381"/>
        <v>0.35</v>
      </c>
      <c r="K1653" s="169">
        <f t="shared" si="375"/>
        <v>51.787487586891757</v>
      </c>
      <c r="L1653" s="169">
        <f t="shared" si="376"/>
        <v>1.3154954954954956</v>
      </c>
      <c r="M1653" s="133">
        <f t="shared" si="377"/>
        <v>638.04999999999995</v>
      </c>
      <c r="N1653" s="133">
        <f t="shared" si="378"/>
        <v>5853.05</v>
      </c>
      <c r="O1653" s="134">
        <f t="shared" si="379"/>
        <v>58.12363455809335</v>
      </c>
      <c r="P1653" s="134">
        <f t="shared" si="380"/>
        <v>1.476445045045045</v>
      </c>
      <c r="R1653" s="149">
        <f t="shared" si="374"/>
        <v>1.3344944658645996</v>
      </c>
    </row>
    <row r="1654" spans="1:18" ht="14.45" x14ac:dyDescent="0.3">
      <c r="A1654" s="161" t="s">
        <v>22</v>
      </c>
      <c r="B1654" s="161" t="s">
        <v>23</v>
      </c>
      <c r="C1654" s="161" t="s">
        <v>7</v>
      </c>
      <c r="D1654" s="161" t="s">
        <v>90</v>
      </c>
      <c r="E1654" s="162">
        <f t="shared" si="382"/>
        <v>41640</v>
      </c>
      <c r="F1654" s="163"/>
      <c r="G1654" s="92">
        <v>3624</v>
      </c>
      <c r="H1654" s="167">
        <v>1295</v>
      </c>
      <c r="I1654" s="167" t="s">
        <v>95</v>
      </c>
      <c r="J1654" s="168">
        <f t="shared" si="381"/>
        <v>0.29899999999999999</v>
      </c>
      <c r="K1654" s="169">
        <f t="shared" si="375"/>
        <v>35.988083416087385</v>
      </c>
      <c r="L1654" s="169">
        <f t="shared" si="376"/>
        <v>0.97945945945945945</v>
      </c>
      <c r="M1654" s="133">
        <f t="shared" si="377"/>
        <v>387.20499999999998</v>
      </c>
      <c r="N1654" s="133">
        <f t="shared" si="378"/>
        <v>4011.2049999999999</v>
      </c>
      <c r="O1654" s="134">
        <f t="shared" si="379"/>
        <v>39.833217477656405</v>
      </c>
      <c r="P1654" s="134">
        <f t="shared" si="380"/>
        <v>1.0841094594594594</v>
      </c>
      <c r="R1654" s="149">
        <f t="shared" si="374"/>
        <v>-2.1299494620106274</v>
      </c>
    </row>
    <row r="1655" spans="1:18" ht="14.45" x14ac:dyDescent="0.3">
      <c r="A1655" s="161" t="s">
        <v>22</v>
      </c>
      <c r="B1655" s="161" t="s">
        <v>14</v>
      </c>
      <c r="C1655" s="161" t="s">
        <v>24</v>
      </c>
      <c r="D1655" s="161" t="s">
        <v>90</v>
      </c>
      <c r="E1655" s="162">
        <f t="shared" si="382"/>
        <v>41640</v>
      </c>
      <c r="F1655" s="163"/>
      <c r="G1655" s="92">
        <v>3687</v>
      </c>
      <c r="H1655" s="167">
        <v>615</v>
      </c>
      <c r="I1655" s="167" t="s">
        <v>94</v>
      </c>
      <c r="J1655" s="168">
        <f t="shared" si="381"/>
        <v>0.46</v>
      </c>
      <c r="K1655" s="169">
        <f t="shared" si="375"/>
        <v>36.613704071499505</v>
      </c>
      <c r="L1655" s="169">
        <f t="shared" si="376"/>
        <v>0.99648648648648652</v>
      </c>
      <c r="M1655" s="133">
        <f t="shared" si="377"/>
        <v>282.90000000000003</v>
      </c>
      <c r="N1655" s="133">
        <f t="shared" si="378"/>
        <v>3969.9</v>
      </c>
      <c r="O1655" s="134">
        <f t="shared" si="379"/>
        <v>39.423038728897716</v>
      </c>
      <c r="P1655" s="134">
        <f t="shared" si="380"/>
        <v>1.0729459459459461</v>
      </c>
      <c r="R1655" s="149">
        <f t="shared" si="374"/>
        <v>2.0894140640067782</v>
      </c>
    </row>
    <row r="1656" spans="1:18" ht="14.45" x14ac:dyDescent="0.3">
      <c r="A1656" s="161" t="s">
        <v>22</v>
      </c>
      <c r="B1656" s="161" t="s">
        <v>18</v>
      </c>
      <c r="C1656" s="161" t="s">
        <v>15</v>
      </c>
      <c r="D1656" s="161" t="s">
        <v>90</v>
      </c>
      <c r="E1656" s="162">
        <f t="shared" si="382"/>
        <v>41640</v>
      </c>
      <c r="F1656" s="163"/>
      <c r="G1656" s="92">
        <v>4756</v>
      </c>
      <c r="H1656" s="167">
        <v>872</v>
      </c>
      <c r="I1656" s="167" t="s">
        <v>94</v>
      </c>
      <c r="J1656" s="168">
        <f t="shared" si="381"/>
        <v>0.46</v>
      </c>
      <c r="K1656" s="169">
        <f t="shared" si="375"/>
        <v>47.229394240317774</v>
      </c>
      <c r="L1656" s="169">
        <f t="shared" si="376"/>
        <v>1.2854054054054054</v>
      </c>
      <c r="M1656" s="133">
        <f t="shared" si="377"/>
        <v>401.12</v>
      </c>
      <c r="N1656" s="133">
        <f t="shared" si="378"/>
        <v>5157.12</v>
      </c>
      <c r="O1656" s="134">
        <f t="shared" si="379"/>
        <v>51.212711022840118</v>
      </c>
      <c r="P1656" s="134">
        <f t="shared" si="380"/>
        <v>1.3938162162162162</v>
      </c>
      <c r="R1656" s="149">
        <f t="shared" si="374"/>
        <v>2.675840978593258</v>
      </c>
    </row>
    <row r="1657" spans="1:18" ht="14.45" x14ac:dyDescent="0.3">
      <c r="A1657" s="161" t="s">
        <v>22</v>
      </c>
      <c r="B1657" s="161" t="s">
        <v>18</v>
      </c>
      <c r="C1657" s="161" t="s">
        <v>24</v>
      </c>
      <c r="D1657" s="161" t="s">
        <v>90</v>
      </c>
      <c r="E1657" s="162">
        <f t="shared" si="382"/>
        <v>41640</v>
      </c>
      <c r="F1657" s="163"/>
      <c r="G1657" s="92">
        <v>3379</v>
      </c>
      <c r="H1657" s="167">
        <v>417</v>
      </c>
      <c r="I1657" s="167" t="s">
        <v>94</v>
      </c>
      <c r="J1657" s="168">
        <f t="shared" si="381"/>
        <v>0.46</v>
      </c>
      <c r="K1657" s="169">
        <f t="shared" si="375"/>
        <v>33.555114200595831</v>
      </c>
      <c r="L1657" s="169">
        <f t="shared" si="376"/>
        <v>0.91324324324324324</v>
      </c>
      <c r="M1657" s="133">
        <f t="shared" si="377"/>
        <v>191.82000000000002</v>
      </c>
      <c r="N1657" s="133">
        <f t="shared" si="378"/>
        <v>3570.82</v>
      </c>
      <c r="O1657" s="134">
        <f t="shared" si="379"/>
        <v>35.459980139026811</v>
      </c>
      <c r="P1657" s="134">
        <f t="shared" si="380"/>
        <v>0.96508648648648654</v>
      </c>
      <c r="R1657" s="149">
        <f t="shared" si="374"/>
        <v>2.6195012745461543</v>
      </c>
    </row>
    <row r="1658" spans="1:18" ht="14.45" x14ac:dyDescent="0.3">
      <c r="A1658" s="161" t="s">
        <v>22</v>
      </c>
      <c r="B1658" s="161" t="s">
        <v>13</v>
      </c>
      <c r="C1658" s="161" t="s">
        <v>7</v>
      </c>
      <c r="D1658" s="161" t="s">
        <v>90</v>
      </c>
      <c r="E1658" s="162">
        <f t="shared" si="382"/>
        <v>41640</v>
      </c>
      <c r="F1658" s="163"/>
      <c r="G1658" s="92">
        <v>3748</v>
      </c>
      <c r="H1658" s="167">
        <v>1006</v>
      </c>
      <c r="I1658" s="167" t="s">
        <v>92</v>
      </c>
      <c r="J1658" s="168">
        <f t="shared" si="381"/>
        <v>0.35</v>
      </c>
      <c r="K1658" s="169">
        <f t="shared" si="375"/>
        <v>37.219463753723929</v>
      </c>
      <c r="L1658" s="169">
        <f t="shared" si="376"/>
        <v>1.0129729729729731</v>
      </c>
      <c r="M1658" s="133">
        <f t="shared" si="377"/>
        <v>352.09999999999997</v>
      </c>
      <c r="N1658" s="133">
        <f t="shared" si="378"/>
        <v>4100.1000000000004</v>
      </c>
      <c r="O1658" s="134">
        <f t="shared" si="379"/>
        <v>40.715988083416093</v>
      </c>
      <c r="P1658" s="134">
        <f t="shared" si="380"/>
        <v>1.1081351351351352</v>
      </c>
      <c r="R1658" s="149">
        <f t="shared" si="374"/>
        <v>2.7248994072166299</v>
      </c>
    </row>
    <row r="1659" spans="1:18" ht="14.45" x14ac:dyDescent="0.3">
      <c r="A1659" s="161" t="s">
        <v>1</v>
      </c>
      <c r="B1659" s="161" t="s">
        <v>25</v>
      </c>
      <c r="C1659" s="161" t="s">
        <v>26</v>
      </c>
      <c r="D1659" s="161" t="s">
        <v>91</v>
      </c>
      <c r="E1659" s="162">
        <f t="shared" si="382"/>
        <v>41640</v>
      </c>
      <c r="F1659" s="163"/>
      <c r="G1659" s="92">
        <v>3678</v>
      </c>
      <c r="H1659" s="167">
        <v>880</v>
      </c>
      <c r="I1659" s="167" t="s">
        <v>93</v>
      </c>
      <c r="J1659" s="168">
        <f t="shared" si="381"/>
        <v>0.34</v>
      </c>
      <c r="K1659" s="169">
        <f t="shared" si="375"/>
        <v>36.524329692154915</v>
      </c>
      <c r="L1659" s="169">
        <f t="shared" si="376"/>
        <v>0.994054054054054</v>
      </c>
      <c r="M1659" s="133">
        <f t="shared" si="377"/>
        <v>299.20000000000005</v>
      </c>
      <c r="N1659" s="133">
        <f t="shared" si="378"/>
        <v>3977.2</v>
      </c>
      <c r="O1659" s="134">
        <f t="shared" si="379"/>
        <v>39.495531281032768</v>
      </c>
      <c r="P1659" s="134">
        <f t="shared" si="380"/>
        <v>1.0749189189189188</v>
      </c>
      <c r="R1659" s="149">
        <f t="shared" si="374"/>
        <v>1.6043327202125424</v>
      </c>
    </row>
    <row r="1660" spans="1:18" ht="14.45" x14ac:dyDescent="0.3">
      <c r="A1660" s="161" t="s">
        <v>1</v>
      </c>
      <c r="B1660" s="161" t="s">
        <v>2</v>
      </c>
      <c r="C1660" s="161" t="s">
        <v>9</v>
      </c>
      <c r="D1660" s="161" t="s">
        <v>91</v>
      </c>
      <c r="E1660" s="162">
        <f t="shared" si="382"/>
        <v>41640</v>
      </c>
      <c r="F1660" s="163"/>
      <c r="G1660" s="92">
        <v>3798</v>
      </c>
      <c r="H1660" s="167">
        <v>685</v>
      </c>
      <c r="I1660" s="167" t="s">
        <v>93</v>
      </c>
      <c r="J1660" s="168">
        <f t="shared" si="381"/>
        <v>0.34</v>
      </c>
      <c r="K1660" s="169">
        <f t="shared" si="375"/>
        <v>37.715988083416086</v>
      </c>
      <c r="L1660" s="169">
        <f t="shared" si="376"/>
        <v>1.0264864864864864</v>
      </c>
      <c r="M1660" s="133">
        <f t="shared" si="377"/>
        <v>232.9</v>
      </c>
      <c r="N1660" s="133">
        <f t="shared" si="378"/>
        <v>4030.9</v>
      </c>
      <c r="O1660" s="134">
        <f t="shared" si="379"/>
        <v>40.028798411122146</v>
      </c>
      <c r="P1660" s="134">
        <f t="shared" si="380"/>
        <v>1.0894324324324325</v>
      </c>
      <c r="R1660" s="149">
        <f t="shared" si="374"/>
        <v>3.5076907274734781</v>
      </c>
    </row>
    <row r="1661" spans="1:18" ht="14.45" x14ac:dyDescent="0.3">
      <c r="A1661" s="161" t="s">
        <v>1</v>
      </c>
      <c r="B1661" s="161" t="s">
        <v>27</v>
      </c>
      <c r="C1661" s="161" t="s">
        <v>28</v>
      </c>
      <c r="D1661" s="161" t="s">
        <v>91</v>
      </c>
      <c r="E1661" s="162">
        <f t="shared" si="382"/>
        <v>41640</v>
      </c>
      <c r="F1661" s="163"/>
      <c r="G1661" s="92">
        <v>3950</v>
      </c>
      <c r="H1661" s="167">
        <v>812</v>
      </c>
      <c r="I1661" s="167" t="s">
        <v>94</v>
      </c>
      <c r="J1661" s="168">
        <f t="shared" si="381"/>
        <v>0.46</v>
      </c>
      <c r="K1661" s="169">
        <f t="shared" si="375"/>
        <v>39.22542204568024</v>
      </c>
      <c r="L1661" s="169">
        <f t="shared" si="376"/>
        <v>1.0675675675675675</v>
      </c>
      <c r="M1661" s="133">
        <f t="shared" si="377"/>
        <v>373.52000000000004</v>
      </c>
      <c r="N1661" s="133">
        <f t="shared" si="378"/>
        <v>4323.5200000000004</v>
      </c>
      <c r="O1661" s="134">
        <f t="shared" si="379"/>
        <v>42.934657398212515</v>
      </c>
      <c r="P1661" s="134">
        <f t="shared" si="380"/>
        <v>1.1685189189189191</v>
      </c>
      <c r="R1661" s="149">
        <f t="shared" si="374"/>
        <v>3.3069541614099585</v>
      </c>
    </row>
    <row r="1662" spans="1:18" ht="14.45" x14ac:dyDescent="0.3">
      <c r="A1662" s="161" t="s">
        <v>1</v>
      </c>
      <c r="B1662" s="161" t="s">
        <v>4</v>
      </c>
      <c r="C1662" s="161" t="s">
        <v>26</v>
      </c>
      <c r="D1662" s="161" t="s">
        <v>91</v>
      </c>
      <c r="E1662" s="162">
        <f t="shared" si="382"/>
        <v>41640</v>
      </c>
      <c r="F1662" s="163"/>
      <c r="G1662" s="92">
        <v>5159</v>
      </c>
      <c r="H1662" s="167">
        <v>1520</v>
      </c>
      <c r="I1662" s="167" t="s">
        <v>93</v>
      </c>
      <c r="J1662" s="168">
        <f t="shared" si="381"/>
        <v>0.34</v>
      </c>
      <c r="K1662" s="169">
        <f t="shared" si="375"/>
        <v>51.231380337636544</v>
      </c>
      <c r="L1662" s="169">
        <f t="shared" si="376"/>
        <v>1.3943243243243244</v>
      </c>
      <c r="M1662" s="133">
        <f t="shared" si="377"/>
        <v>516.80000000000007</v>
      </c>
      <c r="N1662" s="133">
        <f t="shared" si="378"/>
        <v>5675.8</v>
      </c>
      <c r="O1662" s="134">
        <f t="shared" si="379"/>
        <v>56.36345580933466</v>
      </c>
      <c r="P1662" s="134">
        <f t="shared" si="380"/>
        <v>1.534</v>
      </c>
      <c r="R1662" s="149">
        <f t="shared" si="374"/>
        <v>0.65973823289469102</v>
      </c>
    </row>
    <row r="1663" spans="1:18" ht="14.45" x14ac:dyDescent="0.3">
      <c r="A1663" s="161" t="s">
        <v>1</v>
      </c>
      <c r="B1663" s="161" t="s">
        <v>4</v>
      </c>
      <c r="C1663" s="161" t="s">
        <v>9</v>
      </c>
      <c r="D1663" s="161" t="s">
        <v>91</v>
      </c>
      <c r="E1663" s="162">
        <f t="shared" si="382"/>
        <v>41640</v>
      </c>
      <c r="F1663" s="163"/>
      <c r="G1663" s="92">
        <v>6084</v>
      </c>
      <c r="H1663" s="167">
        <v>1583</v>
      </c>
      <c r="I1663" s="167" t="s">
        <v>93</v>
      </c>
      <c r="J1663" s="168">
        <f t="shared" si="381"/>
        <v>0.34</v>
      </c>
      <c r="K1663" s="169">
        <f t="shared" si="375"/>
        <v>60.417080436941411</v>
      </c>
      <c r="L1663" s="169">
        <f t="shared" si="376"/>
        <v>1.6443243243243244</v>
      </c>
      <c r="M1663" s="133">
        <f t="shared" si="377"/>
        <v>538.22</v>
      </c>
      <c r="N1663" s="133">
        <f t="shared" si="378"/>
        <v>6622.22</v>
      </c>
      <c r="O1663" s="134">
        <f t="shared" si="379"/>
        <v>65.761866931479645</v>
      </c>
      <c r="P1663" s="134">
        <f t="shared" si="380"/>
        <v>1.7897891891891893</v>
      </c>
      <c r="R1663" s="149">
        <f t="shared" si="374"/>
        <v>-0.91747786352740501</v>
      </c>
    </row>
    <row r="1664" spans="1:18" ht="14.45" x14ac:dyDescent="0.3">
      <c r="A1664" s="161" t="s">
        <v>1</v>
      </c>
      <c r="B1664" s="161" t="s">
        <v>10</v>
      </c>
      <c r="C1664" s="161" t="s">
        <v>26</v>
      </c>
      <c r="D1664" s="161" t="s">
        <v>91</v>
      </c>
      <c r="E1664" s="162">
        <f t="shared" si="382"/>
        <v>41640</v>
      </c>
      <c r="F1664" s="163"/>
      <c r="G1664" s="92">
        <v>5043</v>
      </c>
      <c r="H1664" s="167">
        <v>1599</v>
      </c>
      <c r="I1664" s="167" t="s">
        <v>92</v>
      </c>
      <c r="J1664" s="168">
        <f t="shared" si="381"/>
        <v>0.35</v>
      </c>
      <c r="K1664" s="169">
        <f t="shared" si="375"/>
        <v>50.079443892750746</v>
      </c>
      <c r="L1664" s="169">
        <f t="shared" si="376"/>
        <v>1.3629729729729729</v>
      </c>
      <c r="M1664" s="133">
        <f t="shared" si="377"/>
        <v>559.65</v>
      </c>
      <c r="N1664" s="133">
        <f t="shared" si="378"/>
        <v>5602.65</v>
      </c>
      <c r="O1664" s="134">
        <f t="shared" si="379"/>
        <v>55.637040714995031</v>
      </c>
      <c r="P1664" s="134">
        <f t="shared" si="380"/>
        <v>1.5142297297297296</v>
      </c>
      <c r="R1664" s="149">
        <f t="shared" si="374"/>
        <v>1.799546116094719</v>
      </c>
    </row>
    <row r="1665" spans="1:18" ht="14.45" x14ac:dyDescent="0.3">
      <c r="A1665" s="161" t="s">
        <v>134</v>
      </c>
      <c r="B1665" s="161" t="s">
        <v>23</v>
      </c>
      <c r="C1665" s="161" t="s">
        <v>26</v>
      </c>
      <c r="D1665" s="161" t="s">
        <v>91</v>
      </c>
      <c r="E1665" s="162">
        <f t="shared" si="382"/>
        <v>41640</v>
      </c>
      <c r="F1665" s="163"/>
      <c r="G1665" s="92">
        <v>5000</v>
      </c>
      <c r="H1665" s="167">
        <v>1851</v>
      </c>
      <c r="I1665" s="167" t="s">
        <v>93</v>
      </c>
      <c r="J1665" s="168">
        <f t="shared" si="381"/>
        <v>0.34</v>
      </c>
      <c r="K1665" s="169">
        <f t="shared" si="375"/>
        <v>49.652432969215489</v>
      </c>
      <c r="L1665" s="169">
        <f t="shared" si="376"/>
        <v>1.2612612612612613</v>
      </c>
      <c r="M1665" s="133">
        <f t="shared" si="377"/>
        <v>629.34</v>
      </c>
      <c r="N1665" s="133">
        <f t="shared" si="378"/>
        <v>5629.34</v>
      </c>
      <c r="O1665" s="134">
        <f t="shared" si="379"/>
        <v>55.90208540218471</v>
      </c>
      <c r="P1665" s="134">
        <f t="shared" si="380"/>
        <v>1.4200136936936938</v>
      </c>
      <c r="R1665" s="149">
        <f t="shared" si="374"/>
        <v>2.2887752617482438</v>
      </c>
    </row>
    <row r="1666" spans="1:18" ht="14.45" x14ac:dyDescent="0.3">
      <c r="A1666" s="161" t="s">
        <v>134</v>
      </c>
      <c r="B1666" s="161" t="s">
        <v>8</v>
      </c>
      <c r="C1666" s="161" t="s">
        <v>29</v>
      </c>
      <c r="D1666" s="161" t="s">
        <v>91</v>
      </c>
      <c r="E1666" s="162">
        <f t="shared" si="382"/>
        <v>41640</v>
      </c>
      <c r="F1666" s="163"/>
      <c r="G1666" s="92">
        <v>4960</v>
      </c>
      <c r="H1666" s="167">
        <v>1695</v>
      </c>
      <c r="I1666" s="167" t="s">
        <v>93</v>
      </c>
      <c r="J1666" s="168">
        <f t="shared" si="381"/>
        <v>0.34</v>
      </c>
      <c r="K1666" s="169">
        <f t="shared" si="375"/>
        <v>49.255213505461768</v>
      </c>
      <c r="L1666" s="169">
        <f t="shared" si="376"/>
        <v>1.2511711711711713</v>
      </c>
      <c r="M1666" s="133">
        <f t="shared" si="377"/>
        <v>576.30000000000007</v>
      </c>
      <c r="N1666" s="133">
        <f t="shared" si="378"/>
        <v>5536.3</v>
      </c>
      <c r="O1666" s="134">
        <f t="shared" si="379"/>
        <v>54.978152929493547</v>
      </c>
      <c r="P1666" s="134">
        <f t="shared" si="380"/>
        <v>1.3965441441441442</v>
      </c>
      <c r="R1666" s="149">
        <f t="shared" ref="R1666:R1703" si="383">((N1666/N1210)-1)*100</f>
        <v>2.4462907792231814</v>
      </c>
    </row>
    <row r="1667" spans="1:18" ht="14.45" x14ac:dyDescent="0.3">
      <c r="A1667" s="161" t="s">
        <v>134</v>
      </c>
      <c r="B1667" s="161" t="s">
        <v>13</v>
      </c>
      <c r="C1667" s="161" t="s">
        <v>7</v>
      </c>
      <c r="D1667" s="161" t="s">
        <v>91</v>
      </c>
      <c r="E1667" s="162">
        <f t="shared" si="382"/>
        <v>41640</v>
      </c>
      <c r="F1667" s="163"/>
      <c r="G1667" s="92">
        <v>3011</v>
      </c>
      <c r="H1667" s="167">
        <v>1006</v>
      </c>
      <c r="I1667" s="167" t="s">
        <v>92</v>
      </c>
      <c r="J1667" s="168">
        <f t="shared" si="381"/>
        <v>0.35</v>
      </c>
      <c r="K1667" s="169">
        <f t="shared" si="375"/>
        <v>29.900695134061568</v>
      </c>
      <c r="L1667" s="169">
        <f t="shared" si="376"/>
        <v>0.75953153153153152</v>
      </c>
      <c r="M1667" s="133">
        <f t="shared" si="377"/>
        <v>352.09999999999997</v>
      </c>
      <c r="N1667" s="133">
        <f t="shared" si="378"/>
        <v>3363.1</v>
      </c>
      <c r="O1667" s="134">
        <f t="shared" si="379"/>
        <v>33.397219463753721</v>
      </c>
      <c r="P1667" s="134">
        <f t="shared" si="380"/>
        <v>0.84834954954954955</v>
      </c>
      <c r="R1667" s="149">
        <f t="shared" si="383"/>
        <v>1.2573238512166629</v>
      </c>
    </row>
    <row r="1668" spans="1:18" ht="14.45" x14ac:dyDescent="0.3">
      <c r="A1668" s="161" t="s">
        <v>134</v>
      </c>
      <c r="B1668" s="161" t="s">
        <v>30</v>
      </c>
      <c r="C1668" s="161" t="s">
        <v>9</v>
      </c>
      <c r="D1668" s="161" t="s">
        <v>91</v>
      </c>
      <c r="E1668" s="162">
        <f t="shared" si="382"/>
        <v>41640</v>
      </c>
      <c r="F1668" s="163"/>
      <c r="G1668" s="92">
        <v>3510</v>
      </c>
      <c r="H1668" s="167">
        <v>988</v>
      </c>
      <c r="I1668" s="167" t="s">
        <v>93</v>
      </c>
      <c r="J1668" s="168">
        <f t="shared" si="381"/>
        <v>0.34</v>
      </c>
      <c r="K1668" s="169">
        <f t="shared" si="375"/>
        <v>34.856007944389276</v>
      </c>
      <c r="L1668" s="169">
        <f t="shared" si="376"/>
        <v>0.88540540540540547</v>
      </c>
      <c r="M1668" s="133">
        <f t="shared" si="377"/>
        <v>335.92</v>
      </c>
      <c r="N1668" s="133">
        <f t="shared" si="378"/>
        <v>3845.92</v>
      </c>
      <c r="O1668" s="134">
        <f t="shared" si="379"/>
        <v>38.191857000993046</v>
      </c>
      <c r="P1668" s="134">
        <f t="shared" si="380"/>
        <v>0.97014198198198198</v>
      </c>
      <c r="R1668" s="149">
        <f t="shared" si="383"/>
        <v>4.3544325779282911</v>
      </c>
    </row>
    <row r="1669" spans="1:18" ht="14.45" x14ac:dyDescent="0.3">
      <c r="A1669" s="161" t="s">
        <v>134</v>
      </c>
      <c r="B1669" s="161" t="s">
        <v>16</v>
      </c>
      <c r="C1669" s="161" t="s">
        <v>11</v>
      </c>
      <c r="D1669" s="161" t="s">
        <v>91</v>
      </c>
      <c r="E1669" s="162">
        <f t="shared" si="382"/>
        <v>41640</v>
      </c>
      <c r="F1669" s="163"/>
      <c r="G1669" s="92">
        <v>3590</v>
      </c>
      <c r="H1669" s="167">
        <v>787</v>
      </c>
      <c r="I1669" s="167" t="s">
        <v>92</v>
      </c>
      <c r="J1669" s="168">
        <f t="shared" si="381"/>
        <v>0.35</v>
      </c>
      <c r="K1669" s="169">
        <f t="shared" si="375"/>
        <v>35.650446871896719</v>
      </c>
      <c r="L1669" s="169">
        <f t="shared" si="376"/>
        <v>0.90558558558558555</v>
      </c>
      <c r="M1669" s="133">
        <f t="shared" si="377"/>
        <v>275.45</v>
      </c>
      <c r="N1669" s="133">
        <f t="shared" si="378"/>
        <v>3865.45</v>
      </c>
      <c r="O1669" s="134">
        <f t="shared" si="379"/>
        <v>38.385799404170804</v>
      </c>
      <c r="P1669" s="134">
        <f t="shared" si="380"/>
        <v>0.9750684684684684</v>
      </c>
      <c r="R1669" s="149">
        <f t="shared" si="383"/>
        <v>1.2711786697686467</v>
      </c>
    </row>
    <row r="1670" spans="1:18" ht="14.45" x14ac:dyDescent="0.3">
      <c r="A1670" s="161" t="s">
        <v>134</v>
      </c>
      <c r="B1670" s="161" t="s">
        <v>23</v>
      </c>
      <c r="C1670" s="161" t="s">
        <v>29</v>
      </c>
      <c r="D1670" s="161" t="s">
        <v>91</v>
      </c>
      <c r="E1670" s="162">
        <f t="shared" si="382"/>
        <v>41640</v>
      </c>
      <c r="F1670" s="163"/>
      <c r="G1670" s="92">
        <v>5000</v>
      </c>
      <c r="H1670" s="167">
        <v>1836</v>
      </c>
      <c r="I1670" s="167" t="s">
        <v>93</v>
      </c>
      <c r="J1670" s="168">
        <f t="shared" si="381"/>
        <v>0.34</v>
      </c>
      <c r="K1670" s="169">
        <f t="shared" si="375"/>
        <v>49.652432969215489</v>
      </c>
      <c r="L1670" s="169">
        <f t="shared" si="376"/>
        <v>1.2612612612612613</v>
      </c>
      <c r="M1670" s="133">
        <f t="shared" si="377"/>
        <v>624.24</v>
      </c>
      <c r="N1670" s="133">
        <f t="shared" si="378"/>
        <v>5624.24</v>
      </c>
      <c r="O1670" s="134">
        <f t="shared" si="379"/>
        <v>55.851439920556103</v>
      </c>
      <c r="P1670" s="134">
        <f t="shared" si="380"/>
        <v>1.4187272072072072</v>
      </c>
      <c r="R1670" s="149">
        <f t="shared" si="383"/>
        <v>2.3020619606815895</v>
      </c>
    </row>
    <row r="1671" spans="1:18" ht="14.45" x14ac:dyDescent="0.3">
      <c r="A1671" s="161" t="s">
        <v>134</v>
      </c>
      <c r="B1671" s="161" t="s">
        <v>31</v>
      </c>
      <c r="C1671" s="161" t="s">
        <v>32</v>
      </c>
      <c r="D1671" s="161" t="s">
        <v>91</v>
      </c>
      <c r="E1671" s="162">
        <f t="shared" si="382"/>
        <v>41640</v>
      </c>
      <c r="F1671" s="163"/>
      <c r="G1671" s="92">
        <v>4400</v>
      </c>
      <c r="H1671" s="167">
        <v>1899</v>
      </c>
      <c r="I1671" s="167" t="s">
        <v>93</v>
      </c>
      <c r="J1671" s="168">
        <f t="shared" si="381"/>
        <v>0.34</v>
      </c>
      <c r="K1671" s="169">
        <f t="shared" si="375"/>
        <v>43.694141012909633</v>
      </c>
      <c r="L1671" s="169">
        <f t="shared" si="376"/>
        <v>1.1099099099099099</v>
      </c>
      <c r="M1671" s="133">
        <f t="shared" si="377"/>
        <v>645.66000000000008</v>
      </c>
      <c r="N1671" s="133">
        <f t="shared" si="378"/>
        <v>5045.66</v>
      </c>
      <c r="O1671" s="134">
        <f t="shared" si="379"/>
        <v>50.105858987090365</v>
      </c>
      <c r="P1671" s="134">
        <f t="shared" si="380"/>
        <v>1.272779099099099</v>
      </c>
      <c r="R1671" s="149">
        <f t="shared" si="383"/>
        <v>2.520308353753431</v>
      </c>
    </row>
    <row r="1672" spans="1:18" ht="14.45" x14ac:dyDescent="0.3">
      <c r="A1672" s="161" t="s">
        <v>22</v>
      </c>
      <c r="B1672" s="161" t="s">
        <v>8</v>
      </c>
      <c r="C1672" s="161" t="s">
        <v>29</v>
      </c>
      <c r="D1672" s="161" t="s">
        <v>91</v>
      </c>
      <c r="E1672" s="162">
        <f t="shared" si="382"/>
        <v>41640</v>
      </c>
      <c r="F1672" s="163"/>
      <c r="G1672" s="92">
        <v>5520</v>
      </c>
      <c r="H1672" s="167">
        <v>1695</v>
      </c>
      <c r="I1672" s="167" t="s">
        <v>93</v>
      </c>
      <c r="J1672" s="168">
        <f t="shared" si="381"/>
        <v>0.34</v>
      </c>
      <c r="K1672" s="169">
        <f t="shared" si="375"/>
        <v>54.816285998013903</v>
      </c>
      <c r="L1672" s="169">
        <f t="shared" si="376"/>
        <v>1.491891891891892</v>
      </c>
      <c r="M1672" s="133">
        <f t="shared" si="377"/>
        <v>576.30000000000007</v>
      </c>
      <c r="N1672" s="133">
        <f t="shared" si="378"/>
        <v>6096.3</v>
      </c>
      <c r="O1672" s="134">
        <f t="shared" si="379"/>
        <v>60.539225422045682</v>
      </c>
      <c r="P1672" s="134">
        <f t="shared" si="380"/>
        <v>1.6476486486486488</v>
      </c>
      <c r="R1672" s="149">
        <f t="shared" si="383"/>
        <v>2.2165959658624113</v>
      </c>
    </row>
    <row r="1673" spans="1:18" ht="14.45" x14ac:dyDescent="0.3">
      <c r="A1673" s="161" t="s">
        <v>22</v>
      </c>
      <c r="B1673" s="161" t="s">
        <v>23</v>
      </c>
      <c r="C1673" s="161" t="s">
        <v>26</v>
      </c>
      <c r="D1673" s="161" t="s">
        <v>91</v>
      </c>
      <c r="E1673" s="162">
        <f t="shared" si="382"/>
        <v>41640</v>
      </c>
      <c r="F1673" s="163"/>
      <c r="G1673" s="92">
        <v>5530</v>
      </c>
      <c r="H1673" s="167">
        <v>1851</v>
      </c>
      <c r="I1673" s="167" t="s">
        <v>93</v>
      </c>
      <c r="J1673" s="168">
        <f t="shared" si="381"/>
        <v>0.34</v>
      </c>
      <c r="K1673" s="169">
        <f t="shared" si="375"/>
        <v>54.915590863952332</v>
      </c>
      <c r="L1673" s="169">
        <f t="shared" si="376"/>
        <v>1.4945945945945946</v>
      </c>
      <c r="M1673" s="133">
        <f t="shared" si="377"/>
        <v>629.34</v>
      </c>
      <c r="N1673" s="133">
        <f t="shared" si="378"/>
        <v>6159.34</v>
      </c>
      <c r="O1673" s="134">
        <f t="shared" si="379"/>
        <v>61.165243296921545</v>
      </c>
      <c r="P1673" s="134">
        <f t="shared" si="380"/>
        <v>1.6646864864864865</v>
      </c>
      <c r="R1673" s="149">
        <f t="shared" si="383"/>
        <v>2.0877186585297025</v>
      </c>
    </row>
    <row r="1674" spans="1:18" ht="14.45" x14ac:dyDescent="0.3">
      <c r="A1674" s="161" t="s">
        <v>22</v>
      </c>
      <c r="B1674" s="161" t="s">
        <v>33</v>
      </c>
      <c r="C1674" s="161" t="s">
        <v>29</v>
      </c>
      <c r="D1674" s="161" t="s">
        <v>91</v>
      </c>
      <c r="E1674" s="162">
        <f t="shared" si="382"/>
        <v>41640</v>
      </c>
      <c r="F1674" s="163"/>
      <c r="G1674" s="92">
        <v>5430</v>
      </c>
      <c r="H1674" s="167">
        <v>1507</v>
      </c>
      <c r="I1674" s="167" t="s">
        <v>93</v>
      </c>
      <c r="J1674" s="168">
        <f t="shared" si="381"/>
        <v>0.34</v>
      </c>
      <c r="K1674" s="169">
        <f t="shared" si="375"/>
        <v>53.922542204568025</v>
      </c>
      <c r="L1674" s="169">
        <f t="shared" si="376"/>
        <v>1.4675675675675677</v>
      </c>
      <c r="M1674" s="133">
        <f t="shared" si="377"/>
        <v>512.38</v>
      </c>
      <c r="N1674" s="133">
        <f t="shared" si="378"/>
        <v>5942.38</v>
      </c>
      <c r="O1674" s="134">
        <f t="shared" si="379"/>
        <v>59.010724925521352</v>
      </c>
      <c r="P1674" s="134">
        <f t="shared" si="380"/>
        <v>1.6060486486486487</v>
      </c>
      <c r="R1674" s="149">
        <f t="shared" si="383"/>
        <v>2.4078612222670381</v>
      </c>
    </row>
    <row r="1675" spans="1:18" ht="14.45" x14ac:dyDescent="0.3">
      <c r="A1675" s="161" t="s">
        <v>22</v>
      </c>
      <c r="B1675" s="161" t="s">
        <v>31</v>
      </c>
      <c r="C1675" s="161" t="s">
        <v>7</v>
      </c>
      <c r="D1675" s="161" t="s">
        <v>91</v>
      </c>
      <c r="E1675" s="162">
        <f t="shared" si="382"/>
        <v>41640</v>
      </c>
      <c r="F1675" s="163"/>
      <c r="G1675" s="92">
        <v>4175</v>
      </c>
      <c r="H1675" s="167">
        <v>1160</v>
      </c>
      <c r="I1675" s="167" t="s">
        <v>92</v>
      </c>
      <c r="J1675" s="168">
        <f t="shared" si="381"/>
        <v>0.35</v>
      </c>
      <c r="K1675" s="169">
        <f t="shared" si="375"/>
        <v>41.459781529294936</v>
      </c>
      <c r="L1675" s="169">
        <f t="shared" si="376"/>
        <v>1.1283783783783783</v>
      </c>
      <c r="M1675" s="133">
        <f t="shared" si="377"/>
        <v>406</v>
      </c>
      <c r="N1675" s="133">
        <f t="shared" si="378"/>
        <v>4581</v>
      </c>
      <c r="O1675" s="134">
        <f t="shared" si="379"/>
        <v>45.491559086395235</v>
      </c>
      <c r="P1675" s="134">
        <f t="shared" si="380"/>
        <v>1.238108108108108</v>
      </c>
      <c r="R1675" s="149">
        <f t="shared" si="383"/>
        <v>4.0568780665091841</v>
      </c>
    </row>
    <row r="1676" spans="1:18" ht="14.45" x14ac:dyDescent="0.3">
      <c r="A1676" s="161" t="s">
        <v>22</v>
      </c>
      <c r="B1676" s="161" t="s">
        <v>14</v>
      </c>
      <c r="C1676" s="161" t="s">
        <v>24</v>
      </c>
      <c r="D1676" s="161" t="s">
        <v>91</v>
      </c>
      <c r="E1676" s="162">
        <f t="shared" si="382"/>
        <v>41640</v>
      </c>
      <c r="F1676" s="163"/>
      <c r="G1676" s="92">
        <v>2862</v>
      </c>
      <c r="H1676" s="167">
        <v>615</v>
      </c>
      <c r="I1676" s="167" t="s">
        <v>94</v>
      </c>
      <c r="J1676" s="168">
        <f t="shared" si="381"/>
        <v>0.46</v>
      </c>
      <c r="K1676" s="169">
        <f t="shared" si="375"/>
        <v>28.421052631578945</v>
      </c>
      <c r="L1676" s="169">
        <f t="shared" si="376"/>
        <v>0.7735135135135135</v>
      </c>
      <c r="M1676" s="133">
        <f t="shared" si="377"/>
        <v>282.90000000000003</v>
      </c>
      <c r="N1676" s="133">
        <f t="shared" si="378"/>
        <v>3144.9</v>
      </c>
      <c r="O1676" s="134">
        <f t="shared" si="379"/>
        <v>31.230387288977159</v>
      </c>
      <c r="P1676" s="134">
        <f t="shared" si="380"/>
        <v>0.84997297297297303</v>
      </c>
      <c r="R1676" s="149">
        <f t="shared" si="383"/>
        <v>2.6520653468901534</v>
      </c>
    </row>
    <row r="1677" spans="1:18" ht="14.45" x14ac:dyDescent="0.3">
      <c r="A1677" s="164" t="s">
        <v>22</v>
      </c>
      <c r="B1677" s="164" t="s">
        <v>34</v>
      </c>
      <c r="C1677" s="164" t="s">
        <v>26</v>
      </c>
      <c r="D1677" s="164" t="s">
        <v>91</v>
      </c>
      <c r="E1677" s="165">
        <f t="shared" si="382"/>
        <v>41640</v>
      </c>
      <c r="F1677" s="166"/>
      <c r="G1677" s="105">
        <v>5110</v>
      </c>
      <c r="H1677" s="170">
        <v>1637</v>
      </c>
      <c r="I1677" s="170" t="s">
        <v>92</v>
      </c>
      <c r="J1677" s="171">
        <f t="shared" si="381"/>
        <v>0.35</v>
      </c>
      <c r="K1677" s="172">
        <f t="shared" si="375"/>
        <v>50.744786494538232</v>
      </c>
      <c r="L1677" s="172">
        <f t="shared" si="376"/>
        <v>1.3810810810810812</v>
      </c>
      <c r="M1677" s="115">
        <f t="shared" si="377"/>
        <v>572.94999999999993</v>
      </c>
      <c r="N1677" s="115">
        <f t="shared" si="378"/>
        <v>5682.95</v>
      </c>
      <c r="O1677" s="116">
        <f t="shared" si="379"/>
        <v>56.434458788480633</v>
      </c>
      <c r="P1677" s="116">
        <f t="shared" si="380"/>
        <v>1.5359324324324324</v>
      </c>
      <c r="Q1677" s="106"/>
      <c r="R1677" s="152">
        <f t="shared" si="383"/>
        <v>1.5097089719796397</v>
      </c>
    </row>
    <row r="1678" spans="1:18" ht="14.45" x14ac:dyDescent="0.3">
      <c r="A1678" s="161" t="s">
        <v>1</v>
      </c>
      <c r="B1678" s="161" t="s">
        <v>2</v>
      </c>
      <c r="C1678" s="161" t="s">
        <v>3</v>
      </c>
      <c r="D1678" s="161" t="s">
        <v>90</v>
      </c>
      <c r="E1678" s="162">
        <v>41671</v>
      </c>
      <c r="F1678" s="163"/>
      <c r="G1678" s="92">
        <v>3191</v>
      </c>
      <c r="H1678" s="167">
        <v>506</v>
      </c>
      <c r="I1678" s="167" t="s">
        <v>92</v>
      </c>
      <c r="J1678" s="168">
        <f>IF(I1678="BNSF",0.35,IF(I1678="CN",0.3048,IF(I1678="CSX",0.48,0.36)))</f>
        <v>0.36</v>
      </c>
      <c r="K1678" s="169">
        <f t="shared" ref="K1678:K1715" si="384">G1678/100.7</f>
        <v>31.688182720953325</v>
      </c>
      <c r="L1678" s="169">
        <f t="shared" ref="L1678:L1715" si="385">IF(A1678="corn",G1678/(111*2000/56),G1678/(111*2000/60))</f>
        <v>0.86243243243243239</v>
      </c>
      <c r="M1678" s="133">
        <f t="shared" ref="M1678:M1715" si="386">H1678*J1678</f>
        <v>182.16</v>
      </c>
      <c r="N1678" s="133">
        <f t="shared" ref="N1678:N1715" si="387">G1678+M1678</f>
        <v>3373.16</v>
      </c>
      <c r="O1678" s="134">
        <f t="shared" ref="O1678:O1715" si="388">N1678/100.7</f>
        <v>33.497120158887782</v>
      </c>
      <c r="P1678" s="134">
        <f t="shared" ref="P1678:P1715" si="389">IF(A1678="corn",N1678/(111*2000/56),N1678/(111*2000/60))</f>
        <v>0.91166486486486487</v>
      </c>
      <c r="Q1678" s="160"/>
      <c r="R1678" s="149">
        <f t="shared" si="383"/>
        <v>1.1054228062392646</v>
      </c>
    </row>
    <row r="1679" spans="1:18" ht="14.45" x14ac:dyDescent="0.3">
      <c r="A1679" s="161" t="s">
        <v>1</v>
      </c>
      <c r="B1679" s="161" t="s">
        <v>4</v>
      </c>
      <c r="C1679" s="161" t="s">
        <v>5</v>
      </c>
      <c r="D1679" s="161" t="s">
        <v>90</v>
      </c>
      <c r="E1679" s="162">
        <f>E1678</f>
        <v>41671</v>
      </c>
      <c r="F1679" s="163"/>
      <c r="G1679" s="92">
        <v>3596</v>
      </c>
      <c r="H1679" s="167">
        <v>298</v>
      </c>
      <c r="I1679" s="167" t="s">
        <v>93</v>
      </c>
      <c r="J1679" s="168">
        <f t="shared" ref="J1679:J1715" si="390">IF(I1679="BNSF",0.35,IF(I1679="CN",0.3048,IF(I1679="CSX",0.48,0.36)))</f>
        <v>0.35</v>
      </c>
      <c r="K1679" s="169">
        <f t="shared" si="384"/>
        <v>35.710029791459782</v>
      </c>
      <c r="L1679" s="169">
        <f t="shared" si="385"/>
        <v>0.97189189189189185</v>
      </c>
      <c r="M1679" s="133">
        <f t="shared" si="386"/>
        <v>104.3</v>
      </c>
      <c r="N1679" s="133">
        <f t="shared" si="387"/>
        <v>3700.3</v>
      </c>
      <c r="O1679" s="134">
        <f t="shared" si="388"/>
        <v>36.745779543197621</v>
      </c>
      <c r="P1679" s="134">
        <f t="shared" si="389"/>
        <v>1.0000810810810812</v>
      </c>
      <c r="Q1679" s="160"/>
      <c r="R1679" s="149">
        <f t="shared" si="383"/>
        <v>1.2876170872043069</v>
      </c>
    </row>
    <row r="1680" spans="1:18" ht="14.45" x14ac:dyDescent="0.3">
      <c r="A1680" s="161" t="s">
        <v>1</v>
      </c>
      <c r="B1680" s="161" t="s">
        <v>2</v>
      </c>
      <c r="C1680" s="161" t="s">
        <v>6</v>
      </c>
      <c r="D1680" s="161" t="s">
        <v>90</v>
      </c>
      <c r="E1680" s="162">
        <f t="shared" ref="E1680:E1715" si="391">E1679</f>
        <v>41671</v>
      </c>
      <c r="F1680" s="163"/>
      <c r="G1680" s="92">
        <v>6244</v>
      </c>
      <c r="H1680" s="167">
        <v>1530</v>
      </c>
      <c r="I1680" s="167" t="s">
        <v>93</v>
      </c>
      <c r="J1680" s="168">
        <f t="shared" si="390"/>
        <v>0.35</v>
      </c>
      <c r="K1680" s="169">
        <f t="shared" si="384"/>
        <v>62.005958291956304</v>
      </c>
      <c r="L1680" s="169">
        <f t="shared" si="385"/>
        <v>1.6875675675675677</v>
      </c>
      <c r="M1680" s="133">
        <f t="shared" si="386"/>
        <v>535.5</v>
      </c>
      <c r="N1680" s="133">
        <f t="shared" si="387"/>
        <v>6779.5</v>
      </c>
      <c r="O1680" s="134">
        <f t="shared" si="388"/>
        <v>67.323733862959287</v>
      </c>
      <c r="P1680" s="134">
        <f t="shared" si="389"/>
        <v>1.8322972972972973</v>
      </c>
      <c r="R1680" s="149">
        <f t="shared" si="383"/>
        <v>2.8427966808755922</v>
      </c>
    </row>
    <row r="1681" spans="1:18" ht="14.45" x14ac:dyDescent="0.3">
      <c r="A1681" s="161" t="s">
        <v>1</v>
      </c>
      <c r="B1681" s="161" t="s">
        <v>2</v>
      </c>
      <c r="C1681" s="161" t="s">
        <v>7</v>
      </c>
      <c r="D1681" s="161" t="s">
        <v>90</v>
      </c>
      <c r="E1681" s="162">
        <f t="shared" si="391"/>
        <v>41671</v>
      </c>
      <c r="F1681" s="163"/>
      <c r="G1681" s="92">
        <v>3808</v>
      </c>
      <c r="H1681" s="167">
        <v>890</v>
      </c>
      <c r="I1681" s="167" t="s">
        <v>92</v>
      </c>
      <c r="J1681" s="168">
        <f t="shared" si="390"/>
        <v>0.36</v>
      </c>
      <c r="K1681" s="169">
        <f t="shared" si="384"/>
        <v>37.815292949354514</v>
      </c>
      <c r="L1681" s="169">
        <f t="shared" si="385"/>
        <v>1.0291891891891891</v>
      </c>
      <c r="M1681" s="133">
        <f t="shared" si="386"/>
        <v>320.39999999999998</v>
      </c>
      <c r="N1681" s="133">
        <f t="shared" si="387"/>
        <v>4128.3999999999996</v>
      </c>
      <c r="O1681" s="134">
        <f t="shared" si="388"/>
        <v>40.997020854021841</v>
      </c>
      <c r="P1681" s="134">
        <f t="shared" si="389"/>
        <v>1.1157837837837836</v>
      </c>
      <c r="R1681" s="149">
        <f t="shared" si="383"/>
        <v>3.6453103032737522</v>
      </c>
    </row>
    <row r="1682" spans="1:18" ht="14.45" x14ac:dyDescent="0.3">
      <c r="A1682" s="161" t="s">
        <v>1</v>
      </c>
      <c r="B1682" s="161" t="s">
        <v>8</v>
      </c>
      <c r="C1682" s="161" t="s">
        <v>9</v>
      </c>
      <c r="D1682" s="161" t="s">
        <v>90</v>
      </c>
      <c r="E1682" s="162">
        <f t="shared" si="391"/>
        <v>41671</v>
      </c>
      <c r="F1682" s="163"/>
      <c r="G1682" s="92">
        <v>5824</v>
      </c>
      <c r="H1682" s="167">
        <v>1256</v>
      </c>
      <c r="I1682" s="167" t="s">
        <v>93</v>
      </c>
      <c r="J1682" s="168">
        <f t="shared" si="390"/>
        <v>0.35</v>
      </c>
      <c r="K1682" s="169">
        <f t="shared" si="384"/>
        <v>57.835153922542204</v>
      </c>
      <c r="L1682" s="169">
        <f t="shared" si="385"/>
        <v>1.574054054054054</v>
      </c>
      <c r="M1682" s="133">
        <f t="shared" si="386"/>
        <v>439.59999999999997</v>
      </c>
      <c r="N1682" s="133">
        <f t="shared" si="387"/>
        <v>6263.6</v>
      </c>
      <c r="O1682" s="134">
        <f t="shared" si="388"/>
        <v>62.200595829195635</v>
      </c>
      <c r="P1682" s="134">
        <f t="shared" si="389"/>
        <v>1.692864864864865</v>
      </c>
      <c r="R1682" s="149">
        <f t="shared" si="383"/>
        <v>3.7411473205117174</v>
      </c>
    </row>
    <row r="1683" spans="1:18" ht="14.45" x14ac:dyDescent="0.3">
      <c r="A1683" s="161" t="s">
        <v>1</v>
      </c>
      <c r="B1683" s="161" t="s">
        <v>10</v>
      </c>
      <c r="C1683" s="161" t="s">
        <v>9</v>
      </c>
      <c r="D1683" s="161" t="s">
        <v>90</v>
      </c>
      <c r="E1683" s="162">
        <f t="shared" si="391"/>
        <v>41671</v>
      </c>
      <c r="F1683" s="163"/>
      <c r="G1683" s="92">
        <v>4076</v>
      </c>
      <c r="H1683" s="167">
        <v>975</v>
      </c>
      <c r="I1683" s="167" t="s">
        <v>92</v>
      </c>
      <c r="J1683" s="168">
        <f t="shared" si="390"/>
        <v>0.36</v>
      </c>
      <c r="K1683" s="169">
        <f t="shared" si="384"/>
        <v>40.476663356504467</v>
      </c>
      <c r="L1683" s="169">
        <f t="shared" si="385"/>
        <v>1.1016216216216217</v>
      </c>
      <c r="M1683" s="133">
        <f t="shared" si="386"/>
        <v>351</v>
      </c>
      <c r="N1683" s="133">
        <f t="shared" si="387"/>
        <v>4427</v>
      </c>
      <c r="O1683" s="134">
        <f t="shared" si="388"/>
        <v>43.962264150943398</v>
      </c>
      <c r="P1683" s="134">
        <f t="shared" si="389"/>
        <v>1.1964864864864866</v>
      </c>
      <c r="R1683" s="149">
        <f t="shared" si="383"/>
        <v>3.3741973146526494</v>
      </c>
    </row>
    <row r="1684" spans="1:18" ht="14.45" x14ac:dyDescent="0.3">
      <c r="A1684" s="161" t="s">
        <v>1</v>
      </c>
      <c r="B1684" s="161" t="s">
        <v>11</v>
      </c>
      <c r="C1684" s="161" t="s">
        <v>6</v>
      </c>
      <c r="D1684" s="161" t="s">
        <v>90</v>
      </c>
      <c r="E1684" s="162">
        <f t="shared" si="391"/>
        <v>41671</v>
      </c>
      <c r="F1684" s="163"/>
      <c r="G1684" s="92">
        <v>4275</v>
      </c>
      <c r="H1684" s="167">
        <v>1357</v>
      </c>
      <c r="I1684" s="167" t="s">
        <v>92</v>
      </c>
      <c r="J1684" s="168">
        <f t="shared" si="390"/>
        <v>0.36</v>
      </c>
      <c r="K1684" s="169">
        <f t="shared" si="384"/>
        <v>42.452830188679243</v>
      </c>
      <c r="L1684" s="169">
        <f t="shared" si="385"/>
        <v>1.1554054054054055</v>
      </c>
      <c r="M1684" s="133">
        <f t="shared" si="386"/>
        <v>488.52</v>
      </c>
      <c r="N1684" s="133">
        <f t="shared" si="387"/>
        <v>4763.5200000000004</v>
      </c>
      <c r="O1684" s="134">
        <f t="shared" si="388"/>
        <v>47.304071499503479</v>
      </c>
      <c r="P1684" s="134">
        <f t="shared" si="389"/>
        <v>1.2874378378378379</v>
      </c>
      <c r="R1684" s="149">
        <f t="shared" si="383"/>
        <v>2.9358250173954215</v>
      </c>
    </row>
    <row r="1685" spans="1:18" ht="14.45" x14ac:dyDescent="0.3">
      <c r="A1685" s="161" t="s">
        <v>134</v>
      </c>
      <c r="B1685" s="161" t="s">
        <v>13</v>
      </c>
      <c r="C1685" s="161" t="s">
        <v>7</v>
      </c>
      <c r="D1685" s="161" t="s">
        <v>90</v>
      </c>
      <c r="E1685" s="162">
        <f t="shared" si="391"/>
        <v>41671</v>
      </c>
      <c r="F1685" s="163"/>
      <c r="G1685" s="92">
        <v>3192</v>
      </c>
      <c r="H1685" s="167">
        <v>1006</v>
      </c>
      <c r="I1685" s="167" t="s">
        <v>92</v>
      </c>
      <c r="J1685" s="168">
        <f t="shared" si="390"/>
        <v>0.36</v>
      </c>
      <c r="K1685" s="169">
        <f t="shared" si="384"/>
        <v>31.69811320754717</v>
      </c>
      <c r="L1685" s="169">
        <f t="shared" si="385"/>
        <v>0.80518918918918925</v>
      </c>
      <c r="M1685" s="133">
        <f t="shared" si="386"/>
        <v>362.15999999999997</v>
      </c>
      <c r="N1685" s="133">
        <f t="shared" si="387"/>
        <v>3554.16</v>
      </c>
      <c r="O1685" s="134">
        <f t="shared" si="388"/>
        <v>35.294538232373384</v>
      </c>
      <c r="P1685" s="134">
        <f t="shared" si="389"/>
        <v>0.89654486486486484</v>
      </c>
      <c r="R1685" s="149">
        <f t="shared" si="383"/>
        <v>1.7719083235021138</v>
      </c>
    </row>
    <row r="1686" spans="1:18" ht="14.45" x14ac:dyDescent="0.3">
      <c r="A1686" s="161" t="s">
        <v>134</v>
      </c>
      <c r="B1686" s="161" t="s">
        <v>14</v>
      </c>
      <c r="C1686" s="161" t="s">
        <v>15</v>
      </c>
      <c r="D1686" s="161" t="s">
        <v>90</v>
      </c>
      <c r="E1686" s="162">
        <f t="shared" si="391"/>
        <v>41671</v>
      </c>
      <c r="F1686" s="163"/>
      <c r="G1686" s="92">
        <v>4686</v>
      </c>
      <c r="H1686" s="167">
        <v>866</v>
      </c>
      <c r="I1686" s="167" t="s">
        <v>94</v>
      </c>
      <c r="J1686" s="168">
        <f t="shared" si="390"/>
        <v>0.48</v>
      </c>
      <c r="K1686" s="169">
        <f t="shared" si="384"/>
        <v>46.53426017874876</v>
      </c>
      <c r="L1686" s="169">
        <f t="shared" si="385"/>
        <v>1.1820540540540541</v>
      </c>
      <c r="M1686" s="133">
        <f t="shared" si="386"/>
        <v>415.68</v>
      </c>
      <c r="N1686" s="133">
        <f t="shared" si="387"/>
        <v>5101.68</v>
      </c>
      <c r="O1686" s="134">
        <f t="shared" si="388"/>
        <v>50.662164846077459</v>
      </c>
      <c r="P1686" s="134">
        <f t="shared" si="389"/>
        <v>1.2869102702702704</v>
      </c>
      <c r="R1686" s="149">
        <f t="shared" si="383"/>
        <v>3.2519732847601679</v>
      </c>
    </row>
    <row r="1687" spans="1:18" ht="14.45" x14ac:dyDescent="0.3">
      <c r="A1687" s="161" t="s">
        <v>134</v>
      </c>
      <c r="B1687" s="161" t="s">
        <v>16</v>
      </c>
      <c r="C1687" s="161" t="s">
        <v>17</v>
      </c>
      <c r="D1687" s="161" t="s">
        <v>90</v>
      </c>
      <c r="E1687" s="162">
        <f t="shared" si="391"/>
        <v>41671</v>
      </c>
      <c r="F1687" s="163"/>
      <c r="G1687" s="92">
        <v>2078</v>
      </c>
      <c r="H1687" s="167">
        <v>213</v>
      </c>
      <c r="I1687" s="167" t="s">
        <v>92</v>
      </c>
      <c r="J1687" s="168">
        <f t="shared" si="390"/>
        <v>0.36</v>
      </c>
      <c r="K1687" s="169">
        <f t="shared" si="384"/>
        <v>20.635551142005959</v>
      </c>
      <c r="L1687" s="169">
        <f t="shared" si="385"/>
        <v>0.5241801801801802</v>
      </c>
      <c r="M1687" s="133">
        <f t="shared" si="386"/>
        <v>76.679999999999993</v>
      </c>
      <c r="N1687" s="133">
        <f t="shared" si="387"/>
        <v>2154.6799999999998</v>
      </c>
      <c r="O1687" s="134">
        <f t="shared" si="388"/>
        <v>21.397020854021847</v>
      </c>
      <c r="P1687" s="134">
        <f t="shared" si="389"/>
        <v>0.54352288288288286</v>
      </c>
      <c r="R1687" s="149">
        <f t="shared" si="383"/>
        <v>3.2459006967138437</v>
      </c>
    </row>
    <row r="1688" spans="1:18" ht="14.45" x14ac:dyDescent="0.3">
      <c r="A1688" s="161" t="s">
        <v>134</v>
      </c>
      <c r="B1688" s="161" t="s">
        <v>18</v>
      </c>
      <c r="C1688" s="161" t="s">
        <v>19</v>
      </c>
      <c r="D1688" s="161" t="s">
        <v>90</v>
      </c>
      <c r="E1688" s="162">
        <f t="shared" si="391"/>
        <v>41671</v>
      </c>
      <c r="F1688" s="163"/>
      <c r="G1688" s="92">
        <v>4061</v>
      </c>
      <c r="H1688" s="167">
        <v>650</v>
      </c>
      <c r="I1688" s="167" t="s">
        <v>94</v>
      </c>
      <c r="J1688" s="168">
        <f t="shared" si="390"/>
        <v>0.48</v>
      </c>
      <c r="K1688" s="169">
        <f t="shared" si="384"/>
        <v>40.327706057596821</v>
      </c>
      <c r="L1688" s="169">
        <f t="shared" si="385"/>
        <v>1.0243963963963965</v>
      </c>
      <c r="M1688" s="133">
        <f t="shared" si="386"/>
        <v>312</v>
      </c>
      <c r="N1688" s="133">
        <f t="shared" si="387"/>
        <v>4373</v>
      </c>
      <c r="O1688" s="134">
        <f t="shared" si="388"/>
        <v>43.426017874875868</v>
      </c>
      <c r="P1688" s="134">
        <f t="shared" si="389"/>
        <v>1.1030990990990992</v>
      </c>
      <c r="R1688" s="149">
        <f t="shared" si="383"/>
        <v>3.0153121319199006</v>
      </c>
    </row>
    <row r="1689" spans="1:18" ht="14.45" x14ac:dyDescent="0.3">
      <c r="A1689" s="161" t="s">
        <v>134</v>
      </c>
      <c r="B1689" s="161" t="s">
        <v>18</v>
      </c>
      <c r="C1689" s="161" t="s">
        <v>20</v>
      </c>
      <c r="D1689" s="161" t="s">
        <v>90</v>
      </c>
      <c r="E1689" s="162">
        <f t="shared" si="391"/>
        <v>41671</v>
      </c>
      <c r="F1689" s="163"/>
      <c r="G1689" s="92">
        <v>3469</v>
      </c>
      <c r="H1689" s="167">
        <v>417</v>
      </c>
      <c r="I1689" s="167" t="s">
        <v>94</v>
      </c>
      <c r="J1689" s="168">
        <f t="shared" si="390"/>
        <v>0.48</v>
      </c>
      <c r="K1689" s="169">
        <f t="shared" si="384"/>
        <v>34.44885799404171</v>
      </c>
      <c r="L1689" s="169">
        <f t="shared" si="385"/>
        <v>0.87506306306306303</v>
      </c>
      <c r="M1689" s="133">
        <f t="shared" si="386"/>
        <v>200.16</v>
      </c>
      <c r="N1689" s="133">
        <f t="shared" si="387"/>
        <v>3669.16</v>
      </c>
      <c r="O1689" s="134">
        <f t="shared" si="388"/>
        <v>36.436544190665337</v>
      </c>
      <c r="P1689" s="134">
        <f t="shared" si="389"/>
        <v>0.92555387387387389</v>
      </c>
      <c r="R1689" s="149">
        <f t="shared" si="383"/>
        <v>2.9939649122806999</v>
      </c>
    </row>
    <row r="1690" spans="1:18" ht="14.45" x14ac:dyDescent="0.3">
      <c r="A1690" s="161" t="s">
        <v>134</v>
      </c>
      <c r="B1690" s="161" t="s">
        <v>16</v>
      </c>
      <c r="C1690" s="161" t="s">
        <v>21</v>
      </c>
      <c r="D1690" s="161" t="s">
        <v>90</v>
      </c>
      <c r="E1690" s="162">
        <f t="shared" si="391"/>
        <v>41671</v>
      </c>
      <c r="F1690" s="163"/>
      <c r="G1690" s="92">
        <v>3218</v>
      </c>
      <c r="H1690" s="167">
        <v>626</v>
      </c>
      <c r="I1690" s="167" t="s">
        <v>92</v>
      </c>
      <c r="J1690" s="168">
        <f t="shared" si="390"/>
        <v>0.36</v>
      </c>
      <c r="K1690" s="169">
        <f t="shared" si="384"/>
        <v>31.95630585898709</v>
      </c>
      <c r="L1690" s="169">
        <f t="shared" si="385"/>
        <v>0.81174774774774772</v>
      </c>
      <c r="M1690" s="133">
        <f t="shared" si="386"/>
        <v>225.35999999999999</v>
      </c>
      <c r="N1690" s="133">
        <f t="shared" si="387"/>
        <v>3443.36</v>
      </c>
      <c r="O1690" s="134">
        <f t="shared" si="388"/>
        <v>34.194240317775574</v>
      </c>
      <c r="P1690" s="134">
        <f t="shared" si="389"/>
        <v>0.86859531531531531</v>
      </c>
      <c r="R1690" s="149">
        <f t="shared" si="383"/>
        <v>1.5177423729613171</v>
      </c>
    </row>
    <row r="1691" spans="1:18" ht="14.45" x14ac:dyDescent="0.3">
      <c r="A1691" s="161" t="s">
        <v>134</v>
      </c>
      <c r="B1691" s="161" t="s">
        <v>16</v>
      </c>
      <c r="C1691" s="161" t="s">
        <v>6</v>
      </c>
      <c r="D1691" s="161" t="s">
        <v>90</v>
      </c>
      <c r="E1691" s="162">
        <f t="shared" si="391"/>
        <v>41671</v>
      </c>
      <c r="F1691" s="163"/>
      <c r="G1691" s="92">
        <v>5215</v>
      </c>
      <c r="H1691" s="167">
        <v>1823</v>
      </c>
      <c r="I1691" s="167" t="s">
        <v>92</v>
      </c>
      <c r="J1691" s="168">
        <f t="shared" si="390"/>
        <v>0.36</v>
      </c>
      <c r="K1691" s="169">
        <f t="shared" si="384"/>
        <v>51.787487586891757</v>
      </c>
      <c r="L1691" s="169">
        <f t="shared" si="385"/>
        <v>1.3154954954954956</v>
      </c>
      <c r="M1691" s="133">
        <f t="shared" si="386"/>
        <v>656.28</v>
      </c>
      <c r="N1691" s="133">
        <f t="shared" si="387"/>
        <v>5871.28</v>
      </c>
      <c r="O1691" s="134">
        <f t="shared" si="388"/>
        <v>58.304667328699104</v>
      </c>
      <c r="P1691" s="134">
        <f t="shared" si="389"/>
        <v>1.4810436036036037</v>
      </c>
      <c r="R1691" s="149">
        <f t="shared" si="383"/>
        <v>1.9719542737254514</v>
      </c>
    </row>
    <row r="1692" spans="1:18" ht="14.45" x14ac:dyDescent="0.3">
      <c r="A1692" s="161" t="s">
        <v>22</v>
      </c>
      <c r="B1692" s="161" t="s">
        <v>23</v>
      </c>
      <c r="C1692" s="161" t="s">
        <v>7</v>
      </c>
      <c r="D1692" s="161" t="s">
        <v>90</v>
      </c>
      <c r="E1692" s="162">
        <f t="shared" si="391"/>
        <v>41671</v>
      </c>
      <c r="F1692" s="163"/>
      <c r="G1692" s="92">
        <v>3624</v>
      </c>
      <c r="H1692" s="167">
        <v>1295</v>
      </c>
      <c r="I1692" s="167" t="s">
        <v>95</v>
      </c>
      <c r="J1692" s="168">
        <f t="shared" si="390"/>
        <v>0.30480000000000002</v>
      </c>
      <c r="K1692" s="169">
        <f t="shared" si="384"/>
        <v>35.988083416087385</v>
      </c>
      <c r="L1692" s="169">
        <f t="shared" si="385"/>
        <v>0.97945945945945945</v>
      </c>
      <c r="M1692" s="133">
        <f t="shared" si="386"/>
        <v>394.71600000000001</v>
      </c>
      <c r="N1692" s="133">
        <f t="shared" si="387"/>
        <v>4018.7159999999999</v>
      </c>
      <c r="O1692" s="134">
        <f t="shared" si="388"/>
        <v>39.90780536246276</v>
      </c>
      <c r="P1692" s="134">
        <f t="shared" si="389"/>
        <v>1.0861394594594593</v>
      </c>
      <c r="R1692" s="149">
        <f t="shared" si="383"/>
        <v>-1.4051555573001862</v>
      </c>
    </row>
    <row r="1693" spans="1:18" ht="14.45" x14ac:dyDescent="0.3">
      <c r="A1693" s="161" t="s">
        <v>22</v>
      </c>
      <c r="B1693" s="161" t="s">
        <v>14</v>
      </c>
      <c r="C1693" s="161" t="s">
        <v>24</v>
      </c>
      <c r="D1693" s="161" t="s">
        <v>90</v>
      </c>
      <c r="E1693" s="162">
        <f t="shared" si="391"/>
        <v>41671</v>
      </c>
      <c r="F1693" s="163"/>
      <c r="G1693" s="92">
        <v>3687</v>
      </c>
      <c r="H1693" s="167">
        <v>615</v>
      </c>
      <c r="I1693" s="167" t="s">
        <v>94</v>
      </c>
      <c r="J1693" s="168">
        <f t="shared" si="390"/>
        <v>0.48</v>
      </c>
      <c r="K1693" s="169">
        <f t="shared" si="384"/>
        <v>36.613704071499505</v>
      </c>
      <c r="L1693" s="169">
        <f t="shared" si="385"/>
        <v>0.99648648648648652</v>
      </c>
      <c r="M1693" s="133">
        <f t="shared" si="386"/>
        <v>295.2</v>
      </c>
      <c r="N1693" s="133">
        <f t="shared" si="387"/>
        <v>3982.2</v>
      </c>
      <c r="O1693" s="134">
        <f t="shared" si="388"/>
        <v>39.545183714001986</v>
      </c>
      <c r="P1693" s="134">
        <f t="shared" si="389"/>
        <v>1.0762702702702702</v>
      </c>
      <c r="R1693" s="149">
        <f t="shared" si="383"/>
        <v>2.5679330328396643</v>
      </c>
    </row>
    <row r="1694" spans="1:18" ht="14.45" x14ac:dyDescent="0.3">
      <c r="A1694" s="161" t="s">
        <v>22</v>
      </c>
      <c r="B1694" s="161" t="s">
        <v>18</v>
      </c>
      <c r="C1694" s="161" t="s">
        <v>15</v>
      </c>
      <c r="D1694" s="161" t="s">
        <v>90</v>
      </c>
      <c r="E1694" s="162">
        <f t="shared" si="391"/>
        <v>41671</v>
      </c>
      <c r="F1694" s="163"/>
      <c r="G1694" s="92">
        <v>4756</v>
      </c>
      <c r="H1694" s="167">
        <v>872</v>
      </c>
      <c r="I1694" s="167" t="s">
        <v>94</v>
      </c>
      <c r="J1694" s="168">
        <f t="shared" si="390"/>
        <v>0.48</v>
      </c>
      <c r="K1694" s="169">
        <f t="shared" si="384"/>
        <v>47.229394240317774</v>
      </c>
      <c r="L1694" s="169">
        <f t="shared" si="385"/>
        <v>1.2854054054054054</v>
      </c>
      <c r="M1694" s="133">
        <f t="shared" si="386"/>
        <v>418.56</v>
      </c>
      <c r="N1694" s="133">
        <f t="shared" si="387"/>
        <v>5174.5600000000004</v>
      </c>
      <c r="O1694" s="134">
        <f t="shared" si="388"/>
        <v>51.385898709036745</v>
      </c>
      <c r="P1694" s="134">
        <f t="shared" si="389"/>
        <v>1.3985297297297299</v>
      </c>
      <c r="R1694" s="149">
        <f t="shared" si="383"/>
        <v>3.2022337455125838</v>
      </c>
    </row>
    <row r="1695" spans="1:18" ht="14.45" x14ac:dyDescent="0.3">
      <c r="A1695" s="161" t="s">
        <v>22</v>
      </c>
      <c r="B1695" s="161" t="s">
        <v>18</v>
      </c>
      <c r="C1695" s="161" t="s">
        <v>24</v>
      </c>
      <c r="D1695" s="161" t="s">
        <v>90</v>
      </c>
      <c r="E1695" s="162">
        <f t="shared" si="391"/>
        <v>41671</v>
      </c>
      <c r="F1695" s="163"/>
      <c r="G1695" s="92">
        <v>3379</v>
      </c>
      <c r="H1695" s="167">
        <v>417</v>
      </c>
      <c r="I1695" s="167" t="s">
        <v>94</v>
      </c>
      <c r="J1695" s="168">
        <f t="shared" si="390"/>
        <v>0.48</v>
      </c>
      <c r="K1695" s="169">
        <f t="shared" si="384"/>
        <v>33.555114200595831</v>
      </c>
      <c r="L1695" s="169">
        <f t="shared" si="385"/>
        <v>0.91324324324324324</v>
      </c>
      <c r="M1695" s="133">
        <f t="shared" si="386"/>
        <v>200.16</v>
      </c>
      <c r="N1695" s="133">
        <f t="shared" si="387"/>
        <v>3579.16</v>
      </c>
      <c r="O1695" s="134">
        <f t="shared" si="388"/>
        <v>35.542800397219459</v>
      </c>
      <c r="P1695" s="134">
        <f t="shared" si="389"/>
        <v>0.96734054054054053</v>
      </c>
      <c r="R1695" s="149">
        <f t="shared" si="383"/>
        <v>2.9825924327434805</v>
      </c>
    </row>
    <row r="1696" spans="1:18" ht="14.45" x14ac:dyDescent="0.3">
      <c r="A1696" s="161" t="s">
        <v>22</v>
      </c>
      <c r="B1696" s="161" t="s">
        <v>13</v>
      </c>
      <c r="C1696" s="161" t="s">
        <v>7</v>
      </c>
      <c r="D1696" s="161" t="s">
        <v>90</v>
      </c>
      <c r="E1696" s="162">
        <f t="shared" si="391"/>
        <v>41671</v>
      </c>
      <c r="F1696" s="163"/>
      <c r="G1696" s="92">
        <v>3748</v>
      </c>
      <c r="H1696" s="167">
        <v>1006</v>
      </c>
      <c r="I1696" s="167" t="s">
        <v>92</v>
      </c>
      <c r="J1696" s="168">
        <f t="shared" si="390"/>
        <v>0.36</v>
      </c>
      <c r="K1696" s="169">
        <f t="shared" si="384"/>
        <v>37.219463753723929</v>
      </c>
      <c r="L1696" s="169">
        <f t="shared" si="385"/>
        <v>1.0129729729729731</v>
      </c>
      <c r="M1696" s="133">
        <f t="shared" si="386"/>
        <v>362.15999999999997</v>
      </c>
      <c r="N1696" s="133">
        <f t="shared" si="387"/>
        <v>4110.16</v>
      </c>
      <c r="O1696" s="134">
        <f t="shared" si="388"/>
        <v>40.815888778550146</v>
      </c>
      <c r="P1696" s="134">
        <f t="shared" si="389"/>
        <v>1.1108540540540539</v>
      </c>
      <c r="R1696" s="149">
        <f t="shared" si="383"/>
        <v>3.2371498613511074</v>
      </c>
    </row>
    <row r="1697" spans="1:18" ht="14.45" x14ac:dyDescent="0.3">
      <c r="A1697" s="161" t="s">
        <v>1</v>
      </c>
      <c r="B1697" s="161" t="s">
        <v>25</v>
      </c>
      <c r="C1697" s="161" t="s">
        <v>26</v>
      </c>
      <c r="D1697" s="161" t="s">
        <v>91</v>
      </c>
      <c r="E1697" s="162">
        <f t="shared" si="391"/>
        <v>41671</v>
      </c>
      <c r="F1697" s="163"/>
      <c r="G1697" s="92">
        <v>3678</v>
      </c>
      <c r="H1697" s="167">
        <v>880</v>
      </c>
      <c r="I1697" s="167" t="s">
        <v>93</v>
      </c>
      <c r="J1697" s="168">
        <f t="shared" si="390"/>
        <v>0.35</v>
      </c>
      <c r="K1697" s="169">
        <f t="shared" si="384"/>
        <v>36.524329692154915</v>
      </c>
      <c r="L1697" s="169">
        <f t="shared" si="385"/>
        <v>0.994054054054054</v>
      </c>
      <c r="M1697" s="133">
        <f t="shared" si="386"/>
        <v>308</v>
      </c>
      <c r="N1697" s="133">
        <f t="shared" si="387"/>
        <v>3986</v>
      </c>
      <c r="O1697" s="134">
        <f t="shared" si="388"/>
        <v>39.582919563058589</v>
      </c>
      <c r="P1697" s="134">
        <f t="shared" si="389"/>
        <v>1.0772972972972974</v>
      </c>
      <c r="R1697" s="149">
        <f t="shared" si="383"/>
        <v>2.0585825481360231</v>
      </c>
    </row>
    <row r="1698" spans="1:18" ht="14.45" x14ac:dyDescent="0.3">
      <c r="A1698" s="161" t="s">
        <v>1</v>
      </c>
      <c r="B1698" s="161" t="s">
        <v>2</v>
      </c>
      <c r="C1698" s="161" t="s">
        <v>9</v>
      </c>
      <c r="D1698" s="161" t="s">
        <v>91</v>
      </c>
      <c r="E1698" s="162">
        <f t="shared" si="391"/>
        <v>41671</v>
      </c>
      <c r="F1698" s="163"/>
      <c r="G1698" s="92">
        <v>3798</v>
      </c>
      <c r="H1698" s="167">
        <v>685</v>
      </c>
      <c r="I1698" s="167" t="s">
        <v>93</v>
      </c>
      <c r="J1698" s="168">
        <f t="shared" si="390"/>
        <v>0.35</v>
      </c>
      <c r="K1698" s="169">
        <f t="shared" si="384"/>
        <v>37.715988083416086</v>
      </c>
      <c r="L1698" s="169">
        <f t="shared" si="385"/>
        <v>1.0264864864864864</v>
      </c>
      <c r="M1698" s="133">
        <f t="shared" si="386"/>
        <v>239.74999999999997</v>
      </c>
      <c r="N1698" s="133">
        <f t="shared" si="387"/>
        <v>4037.75</v>
      </c>
      <c r="O1698" s="134">
        <f t="shared" si="388"/>
        <v>40.096822244289967</v>
      </c>
      <c r="P1698" s="134">
        <f t="shared" si="389"/>
        <v>1.0912837837837839</v>
      </c>
      <c r="R1698" s="149">
        <f t="shared" si="383"/>
        <v>3.8662876692947767</v>
      </c>
    </row>
    <row r="1699" spans="1:18" ht="14.45" x14ac:dyDescent="0.3">
      <c r="A1699" s="161" t="s">
        <v>1</v>
      </c>
      <c r="B1699" s="161" t="s">
        <v>27</v>
      </c>
      <c r="C1699" s="161" t="s">
        <v>28</v>
      </c>
      <c r="D1699" s="161" t="s">
        <v>91</v>
      </c>
      <c r="E1699" s="162">
        <f t="shared" si="391"/>
        <v>41671</v>
      </c>
      <c r="F1699" s="163"/>
      <c r="G1699" s="92">
        <v>3950</v>
      </c>
      <c r="H1699" s="167">
        <v>812</v>
      </c>
      <c r="I1699" s="167" t="s">
        <v>94</v>
      </c>
      <c r="J1699" s="168">
        <f t="shared" si="390"/>
        <v>0.48</v>
      </c>
      <c r="K1699" s="169">
        <f t="shared" si="384"/>
        <v>39.22542204568024</v>
      </c>
      <c r="L1699" s="169">
        <f t="shared" si="385"/>
        <v>1.0675675675675675</v>
      </c>
      <c r="M1699" s="133">
        <f t="shared" si="386"/>
        <v>389.76</v>
      </c>
      <c r="N1699" s="133">
        <f t="shared" si="387"/>
        <v>4339.76</v>
      </c>
      <c r="O1699" s="134">
        <f t="shared" si="388"/>
        <v>43.095928500496527</v>
      </c>
      <c r="P1699" s="134">
        <f t="shared" si="389"/>
        <v>1.1729081081081081</v>
      </c>
      <c r="R1699" s="149">
        <f t="shared" si="383"/>
        <v>3.8965764903040601</v>
      </c>
    </row>
    <row r="1700" spans="1:18" ht="14.45" x14ac:dyDescent="0.3">
      <c r="A1700" s="161" t="s">
        <v>1</v>
      </c>
      <c r="B1700" s="161" t="s">
        <v>4</v>
      </c>
      <c r="C1700" s="161" t="s">
        <v>26</v>
      </c>
      <c r="D1700" s="161" t="s">
        <v>91</v>
      </c>
      <c r="E1700" s="162">
        <f t="shared" si="391"/>
        <v>41671</v>
      </c>
      <c r="F1700" s="163"/>
      <c r="G1700" s="92">
        <v>5159</v>
      </c>
      <c r="H1700" s="167">
        <v>1520</v>
      </c>
      <c r="I1700" s="167" t="s">
        <v>93</v>
      </c>
      <c r="J1700" s="168">
        <f t="shared" si="390"/>
        <v>0.35</v>
      </c>
      <c r="K1700" s="169">
        <f t="shared" si="384"/>
        <v>51.231380337636544</v>
      </c>
      <c r="L1700" s="169">
        <f t="shared" si="385"/>
        <v>1.3943243243243244</v>
      </c>
      <c r="M1700" s="133">
        <f t="shared" si="386"/>
        <v>532</v>
      </c>
      <c r="N1700" s="133">
        <f t="shared" si="387"/>
        <v>5691</v>
      </c>
      <c r="O1700" s="134">
        <f t="shared" si="388"/>
        <v>56.51439920556107</v>
      </c>
      <c r="P1700" s="134">
        <f t="shared" si="389"/>
        <v>1.5381081081081081</v>
      </c>
      <c r="R1700" s="149">
        <f t="shared" si="383"/>
        <v>1.2021197140519968</v>
      </c>
    </row>
    <row r="1701" spans="1:18" ht="14.45" x14ac:dyDescent="0.3">
      <c r="A1701" s="161" t="s">
        <v>1</v>
      </c>
      <c r="B1701" s="161" t="s">
        <v>4</v>
      </c>
      <c r="C1701" s="161" t="s">
        <v>9</v>
      </c>
      <c r="D1701" s="161" t="s">
        <v>91</v>
      </c>
      <c r="E1701" s="162">
        <f t="shared" si="391"/>
        <v>41671</v>
      </c>
      <c r="F1701" s="163"/>
      <c r="G1701" s="92">
        <v>6084</v>
      </c>
      <c r="H1701" s="167">
        <v>1583</v>
      </c>
      <c r="I1701" s="167" t="s">
        <v>93</v>
      </c>
      <c r="J1701" s="168">
        <f t="shared" si="390"/>
        <v>0.35</v>
      </c>
      <c r="K1701" s="169">
        <f t="shared" si="384"/>
        <v>60.417080436941411</v>
      </c>
      <c r="L1701" s="169">
        <f t="shared" si="385"/>
        <v>1.6443243243243244</v>
      </c>
      <c r="M1701" s="133">
        <f t="shared" si="386"/>
        <v>554.04999999999995</v>
      </c>
      <c r="N1701" s="133">
        <f t="shared" si="387"/>
        <v>6638.05</v>
      </c>
      <c r="O1701" s="134">
        <f t="shared" si="388"/>
        <v>65.919066534260182</v>
      </c>
      <c r="P1701" s="134">
        <f t="shared" si="389"/>
        <v>1.7940675675675677</v>
      </c>
      <c r="R1701" s="149">
        <f t="shared" si="383"/>
        <v>-0.44483038404489195</v>
      </c>
    </row>
    <row r="1702" spans="1:18" ht="14.45" x14ac:dyDescent="0.3">
      <c r="A1702" s="161" t="s">
        <v>1</v>
      </c>
      <c r="B1702" s="161" t="s">
        <v>10</v>
      </c>
      <c r="C1702" s="161" t="s">
        <v>26</v>
      </c>
      <c r="D1702" s="161" t="s">
        <v>91</v>
      </c>
      <c r="E1702" s="162">
        <f t="shared" si="391"/>
        <v>41671</v>
      </c>
      <c r="F1702" s="163"/>
      <c r="G1702" s="92">
        <v>5043</v>
      </c>
      <c r="H1702" s="167">
        <v>1599</v>
      </c>
      <c r="I1702" s="167" t="s">
        <v>92</v>
      </c>
      <c r="J1702" s="168">
        <f t="shared" si="390"/>
        <v>0.36</v>
      </c>
      <c r="K1702" s="169">
        <f t="shared" si="384"/>
        <v>50.079443892750746</v>
      </c>
      <c r="L1702" s="169">
        <f t="shared" si="385"/>
        <v>1.3629729729729729</v>
      </c>
      <c r="M1702" s="133">
        <f t="shared" si="386"/>
        <v>575.64</v>
      </c>
      <c r="N1702" s="133">
        <f t="shared" si="387"/>
        <v>5618.64</v>
      </c>
      <c r="O1702" s="134">
        <f t="shared" si="388"/>
        <v>55.795829195630589</v>
      </c>
      <c r="P1702" s="134">
        <f t="shared" si="389"/>
        <v>1.5185513513513513</v>
      </c>
      <c r="R1702" s="149">
        <f t="shared" si="383"/>
        <v>2.3875559896640253</v>
      </c>
    </row>
    <row r="1703" spans="1:18" ht="14.45" x14ac:dyDescent="0.3">
      <c r="A1703" s="161" t="s">
        <v>134</v>
      </c>
      <c r="B1703" s="161" t="s">
        <v>23</v>
      </c>
      <c r="C1703" s="161" t="s">
        <v>26</v>
      </c>
      <c r="D1703" s="161" t="s">
        <v>91</v>
      </c>
      <c r="E1703" s="162">
        <f t="shared" si="391"/>
        <v>41671</v>
      </c>
      <c r="F1703" s="163"/>
      <c r="G1703" s="92">
        <v>5000</v>
      </c>
      <c r="H1703" s="167">
        <v>1851</v>
      </c>
      <c r="I1703" s="167" t="s">
        <v>93</v>
      </c>
      <c r="J1703" s="168">
        <f t="shared" si="390"/>
        <v>0.35</v>
      </c>
      <c r="K1703" s="169">
        <f t="shared" si="384"/>
        <v>49.652432969215489</v>
      </c>
      <c r="L1703" s="169">
        <f t="shared" si="385"/>
        <v>1.2612612612612613</v>
      </c>
      <c r="M1703" s="133">
        <f t="shared" si="386"/>
        <v>647.84999999999991</v>
      </c>
      <c r="N1703" s="133">
        <f t="shared" si="387"/>
        <v>5647.85</v>
      </c>
      <c r="O1703" s="134">
        <f t="shared" si="388"/>
        <v>56.085898709036748</v>
      </c>
      <c r="P1703" s="134">
        <f t="shared" si="389"/>
        <v>1.424682882882883</v>
      </c>
      <c r="R1703" s="149">
        <f t="shared" si="383"/>
        <v>2.9714469075839522</v>
      </c>
    </row>
    <row r="1704" spans="1:18" ht="14.45" x14ac:dyDescent="0.3">
      <c r="A1704" s="161" t="s">
        <v>134</v>
      </c>
      <c r="B1704" s="161" t="s">
        <v>8</v>
      </c>
      <c r="C1704" s="161" t="s">
        <v>29</v>
      </c>
      <c r="D1704" s="161" t="s">
        <v>91</v>
      </c>
      <c r="E1704" s="162">
        <f t="shared" si="391"/>
        <v>41671</v>
      </c>
      <c r="F1704" s="163"/>
      <c r="G1704" s="92">
        <v>4960</v>
      </c>
      <c r="H1704" s="167">
        <v>1695</v>
      </c>
      <c r="I1704" s="167" t="s">
        <v>93</v>
      </c>
      <c r="J1704" s="168">
        <f t="shared" si="390"/>
        <v>0.35</v>
      </c>
      <c r="K1704" s="169">
        <f t="shared" si="384"/>
        <v>49.255213505461768</v>
      </c>
      <c r="L1704" s="169">
        <f t="shared" si="385"/>
        <v>1.2511711711711713</v>
      </c>
      <c r="M1704" s="133">
        <f t="shared" si="386"/>
        <v>593.25</v>
      </c>
      <c r="N1704" s="133">
        <f t="shared" si="387"/>
        <v>5553.25</v>
      </c>
      <c r="O1704" s="134">
        <f t="shared" si="388"/>
        <v>55.146474677259185</v>
      </c>
      <c r="P1704" s="134">
        <f t="shared" si="389"/>
        <v>1.4008198198198198</v>
      </c>
      <c r="R1704" s="149">
        <f t="shared" ref="R1704:R1753" si="392">((N1704/N1248)-1)*100</f>
        <v>3.0832629497972164</v>
      </c>
    </row>
    <row r="1705" spans="1:18" ht="14.45" x14ac:dyDescent="0.3">
      <c r="A1705" s="161" t="s">
        <v>134</v>
      </c>
      <c r="B1705" s="161" t="s">
        <v>13</v>
      </c>
      <c r="C1705" s="161" t="s">
        <v>7</v>
      </c>
      <c r="D1705" s="161" t="s">
        <v>91</v>
      </c>
      <c r="E1705" s="162">
        <f t="shared" si="391"/>
        <v>41671</v>
      </c>
      <c r="F1705" s="163"/>
      <c r="G1705" s="92">
        <v>3011</v>
      </c>
      <c r="H1705" s="167">
        <v>1006</v>
      </c>
      <c r="I1705" s="167" t="s">
        <v>92</v>
      </c>
      <c r="J1705" s="168">
        <f t="shared" si="390"/>
        <v>0.36</v>
      </c>
      <c r="K1705" s="169">
        <f t="shared" si="384"/>
        <v>29.900695134061568</v>
      </c>
      <c r="L1705" s="169">
        <f t="shared" si="385"/>
        <v>0.75953153153153152</v>
      </c>
      <c r="M1705" s="133">
        <f t="shared" si="386"/>
        <v>362.15999999999997</v>
      </c>
      <c r="N1705" s="133">
        <f t="shared" si="387"/>
        <v>3373.16</v>
      </c>
      <c r="O1705" s="134">
        <f t="shared" si="388"/>
        <v>33.497120158887782</v>
      </c>
      <c r="P1705" s="134">
        <f t="shared" si="389"/>
        <v>0.85088720720720723</v>
      </c>
      <c r="R1705" s="149">
        <f t="shared" si="392"/>
        <v>1.8687637409098512</v>
      </c>
    </row>
    <row r="1706" spans="1:18" ht="14.45" x14ac:dyDescent="0.3">
      <c r="A1706" s="161" t="s">
        <v>134</v>
      </c>
      <c r="B1706" s="161" t="s">
        <v>30</v>
      </c>
      <c r="C1706" s="161" t="s">
        <v>9</v>
      </c>
      <c r="D1706" s="161" t="s">
        <v>91</v>
      </c>
      <c r="E1706" s="162">
        <f t="shared" si="391"/>
        <v>41671</v>
      </c>
      <c r="F1706" s="163"/>
      <c r="G1706" s="92">
        <v>3510</v>
      </c>
      <c r="H1706" s="167">
        <v>988</v>
      </c>
      <c r="I1706" s="167" t="s">
        <v>93</v>
      </c>
      <c r="J1706" s="168">
        <f t="shared" si="390"/>
        <v>0.35</v>
      </c>
      <c r="K1706" s="169">
        <f t="shared" si="384"/>
        <v>34.856007944389276</v>
      </c>
      <c r="L1706" s="169">
        <f t="shared" si="385"/>
        <v>0.88540540540540547</v>
      </c>
      <c r="M1706" s="133">
        <f t="shared" si="386"/>
        <v>345.79999999999995</v>
      </c>
      <c r="N1706" s="133">
        <f t="shared" si="387"/>
        <v>3855.8</v>
      </c>
      <c r="O1706" s="134">
        <f t="shared" si="388"/>
        <v>38.289970208540218</v>
      </c>
      <c r="P1706" s="134">
        <f t="shared" si="389"/>
        <v>0.97263423423423434</v>
      </c>
      <c r="R1706" s="149">
        <f t="shared" si="392"/>
        <v>4.9037425589570027</v>
      </c>
    </row>
    <row r="1707" spans="1:18" ht="14.45" x14ac:dyDescent="0.3">
      <c r="A1707" s="161" t="s">
        <v>134</v>
      </c>
      <c r="B1707" s="161" t="s">
        <v>16</v>
      </c>
      <c r="C1707" s="161" t="s">
        <v>11</v>
      </c>
      <c r="D1707" s="161" t="s">
        <v>91</v>
      </c>
      <c r="E1707" s="162">
        <f t="shared" si="391"/>
        <v>41671</v>
      </c>
      <c r="F1707" s="163"/>
      <c r="G1707" s="92">
        <v>3590</v>
      </c>
      <c r="H1707" s="167">
        <v>787</v>
      </c>
      <c r="I1707" s="167" t="s">
        <v>92</v>
      </c>
      <c r="J1707" s="168">
        <f t="shared" si="390"/>
        <v>0.36</v>
      </c>
      <c r="K1707" s="169">
        <f t="shared" si="384"/>
        <v>35.650446871896719</v>
      </c>
      <c r="L1707" s="169">
        <f t="shared" si="385"/>
        <v>0.90558558558558555</v>
      </c>
      <c r="M1707" s="133">
        <f t="shared" si="386"/>
        <v>283.32</v>
      </c>
      <c r="N1707" s="133">
        <f t="shared" si="387"/>
        <v>3873.32</v>
      </c>
      <c r="O1707" s="134">
        <f t="shared" si="388"/>
        <v>38.463952333664352</v>
      </c>
      <c r="P1707" s="134">
        <f t="shared" si="389"/>
        <v>0.97705369369369377</v>
      </c>
      <c r="R1707" s="149">
        <f t="shared" si="392"/>
        <v>1.687030395950706</v>
      </c>
    </row>
    <row r="1708" spans="1:18" ht="14.45" x14ac:dyDescent="0.3">
      <c r="A1708" s="161" t="s">
        <v>134</v>
      </c>
      <c r="B1708" s="161" t="s">
        <v>23</v>
      </c>
      <c r="C1708" s="161" t="s">
        <v>29</v>
      </c>
      <c r="D1708" s="161" t="s">
        <v>91</v>
      </c>
      <c r="E1708" s="162">
        <f t="shared" si="391"/>
        <v>41671</v>
      </c>
      <c r="F1708" s="163"/>
      <c r="G1708" s="92">
        <v>5000</v>
      </c>
      <c r="H1708" s="167">
        <v>1836</v>
      </c>
      <c r="I1708" s="167" t="s">
        <v>93</v>
      </c>
      <c r="J1708" s="168">
        <f t="shared" si="390"/>
        <v>0.35</v>
      </c>
      <c r="K1708" s="169">
        <f t="shared" si="384"/>
        <v>49.652432969215489</v>
      </c>
      <c r="L1708" s="169">
        <f t="shared" si="385"/>
        <v>1.2612612612612613</v>
      </c>
      <c r="M1708" s="133">
        <f t="shared" si="386"/>
        <v>642.59999999999991</v>
      </c>
      <c r="N1708" s="133">
        <f t="shared" si="387"/>
        <v>5642.6</v>
      </c>
      <c r="O1708" s="134">
        <f t="shared" si="388"/>
        <v>56.033763654419069</v>
      </c>
      <c r="P1708" s="134">
        <f t="shared" si="389"/>
        <v>1.4233585585585586</v>
      </c>
      <c r="R1708" s="149">
        <f t="shared" si="392"/>
        <v>2.9799318163567845</v>
      </c>
    </row>
    <row r="1709" spans="1:18" ht="14.45" x14ac:dyDescent="0.3">
      <c r="A1709" s="161" t="s">
        <v>134</v>
      </c>
      <c r="B1709" s="161" t="s">
        <v>31</v>
      </c>
      <c r="C1709" s="161" t="s">
        <v>32</v>
      </c>
      <c r="D1709" s="161" t="s">
        <v>91</v>
      </c>
      <c r="E1709" s="162">
        <f t="shared" si="391"/>
        <v>41671</v>
      </c>
      <c r="F1709" s="163"/>
      <c r="G1709" s="92">
        <v>4400</v>
      </c>
      <c r="H1709" s="167">
        <v>1899</v>
      </c>
      <c r="I1709" s="167" t="s">
        <v>93</v>
      </c>
      <c r="J1709" s="168">
        <f t="shared" si="390"/>
        <v>0.35</v>
      </c>
      <c r="K1709" s="169">
        <f t="shared" si="384"/>
        <v>43.694141012909633</v>
      </c>
      <c r="L1709" s="169">
        <f t="shared" si="385"/>
        <v>1.1099099099099099</v>
      </c>
      <c r="M1709" s="133">
        <f t="shared" si="386"/>
        <v>664.65</v>
      </c>
      <c r="N1709" s="133">
        <f t="shared" si="387"/>
        <v>5064.6499999999996</v>
      </c>
      <c r="O1709" s="134">
        <f t="shared" si="388"/>
        <v>50.294438927507443</v>
      </c>
      <c r="P1709" s="134">
        <f t="shared" si="389"/>
        <v>1.2775693693693693</v>
      </c>
      <c r="R1709" s="149">
        <f t="shared" si="392"/>
        <v>3.3047568345969225</v>
      </c>
    </row>
    <row r="1710" spans="1:18" ht="14.45" x14ac:dyDescent="0.3">
      <c r="A1710" s="161" t="s">
        <v>22</v>
      </c>
      <c r="B1710" s="161" t="s">
        <v>8</v>
      </c>
      <c r="C1710" s="161" t="s">
        <v>29</v>
      </c>
      <c r="D1710" s="161" t="s">
        <v>91</v>
      </c>
      <c r="E1710" s="162">
        <f t="shared" si="391"/>
        <v>41671</v>
      </c>
      <c r="F1710" s="163"/>
      <c r="G1710" s="92">
        <v>5520</v>
      </c>
      <c r="H1710" s="167">
        <v>1695</v>
      </c>
      <c r="I1710" s="167" t="s">
        <v>93</v>
      </c>
      <c r="J1710" s="168">
        <f t="shared" si="390"/>
        <v>0.35</v>
      </c>
      <c r="K1710" s="169">
        <f t="shared" si="384"/>
        <v>54.816285998013903</v>
      </c>
      <c r="L1710" s="169">
        <f t="shared" si="385"/>
        <v>1.491891891891892</v>
      </c>
      <c r="M1710" s="133">
        <f t="shared" si="386"/>
        <v>593.25</v>
      </c>
      <c r="N1710" s="133">
        <f t="shared" si="387"/>
        <v>6113.25</v>
      </c>
      <c r="O1710" s="134">
        <f t="shared" si="388"/>
        <v>60.70754716981132</v>
      </c>
      <c r="P1710" s="134">
        <f t="shared" si="389"/>
        <v>1.6522297297297297</v>
      </c>
      <c r="R1710" s="149">
        <f t="shared" si="392"/>
        <v>2.7929344307777715</v>
      </c>
    </row>
    <row r="1711" spans="1:18" ht="14.45" x14ac:dyDescent="0.3">
      <c r="A1711" s="161" t="s">
        <v>22</v>
      </c>
      <c r="B1711" s="161" t="s">
        <v>23</v>
      </c>
      <c r="C1711" s="161" t="s">
        <v>26</v>
      </c>
      <c r="D1711" s="161" t="s">
        <v>91</v>
      </c>
      <c r="E1711" s="162">
        <f t="shared" si="391"/>
        <v>41671</v>
      </c>
      <c r="F1711" s="163"/>
      <c r="G1711" s="92">
        <v>5530</v>
      </c>
      <c r="H1711" s="167">
        <v>1851</v>
      </c>
      <c r="I1711" s="167" t="s">
        <v>93</v>
      </c>
      <c r="J1711" s="168">
        <f t="shared" si="390"/>
        <v>0.35</v>
      </c>
      <c r="K1711" s="169">
        <f t="shared" si="384"/>
        <v>54.915590863952332</v>
      </c>
      <c r="L1711" s="169">
        <f t="shared" si="385"/>
        <v>1.4945945945945946</v>
      </c>
      <c r="M1711" s="133">
        <f t="shared" si="386"/>
        <v>647.84999999999991</v>
      </c>
      <c r="N1711" s="133">
        <f t="shared" si="387"/>
        <v>6177.85</v>
      </c>
      <c r="O1711" s="134">
        <f t="shared" si="388"/>
        <v>61.34905660377359</v>
      </c>
      <c r="P1711" s="134">
        <f t="shared" si="389"/>
        <v>1.6696891891891892</v>
      </c>
      <c r="R1711" s="149">
        <f t="shared" si="392"/>
        <v>2.7096179967314393</v>
      </c>
    </row>
    <row r="1712" spans="1:18" ht="14.45" x14ac:dyDescent="0.3">
      <c r="A1712" s="161" t="s">
        <v>22</v>
      </c>
      <c r="B1712" s="161" t="s">
        <v>33</v>
      </c>
      <c r="C1712" s="161" t="s">
        <v>29</v>
      </c>
      <c r="D1712" s="161" t="s">
        <v>91</v>
      </c>
      <c r="E1712" s="162">
        <f t="shared" si="391"/>
        <v>41671</v>
      </c>
      <c r="F1712" s="163"/>
      <c r="G1712" s="92">
        <v>5430</v>
      </c>
      <c r="H1712" s="167">
        <v>1507</v>
      </c>
      <c r="I1712" s="167" t="s">
        <v>93</v>
      </c>
      <c r="J1712" s="168">
        <f t="shared" si="390"/>
        <v>0.35</v>
      </c>
      <c r="K1712" s="169">
        <f t="shared" si="384"/>
        <v>53.922542204568025</v>
      </c>
      <c r="L1712" s="169">
        <f t="shared" si="385"/>
        <v>1.4675675675675677</v>
      </c>
      <c r="M1712" s="133">
        <f t="shared" si="386"/>
        <v>527.44999999999993</v>
      </c>
      <c r="N1712" s="133">
        <f t="shared" si="387"/>
        <v>5957.45</v>
      </c>
      <c r="O1712" s="134">
        <f t="shared" si="388"/>
        <v>59.160377358490564</v>
      </c>
      <c r="P1712" s="134">
        <f t="shared" si="389"/>
        <v>1.6101216216216216</v>
      </c>
      <c r="R1712" s="149">
        <f t="shared" si="392"/>
        <v>2.9349003644003835</v>
      </c>
    </row>
    <row r="1713" spans="1:19" ht="14.45" x14ac:dyDescent="0.3">
      <c r="A1713" s="161" t="s">
        <v>22</v>
      </c>
      <c r="B1713" s="161" t="s">
        <v>31</v>
      </c>
      <c r="C1713" s="161" t="s">
        <v>7</v>
      </c>
      <c r="D1713" s="161" t="s">
        <v>91</v>
      </c>
      <c r="E1713" s="162">
        <f t="shared" si="391"/>
        <v>41671</v>
      </c>
      <c r="F1713" s="163"/>
      <c r="G1713" s="92">
        <v>4175</v>
      </c>
      <c r="H1713" s="167">
        <v>1160</v>
      </c>
      <c r="I1713" s="167" t="s">
        <v>92</v>
      </c>
      <c r="J1713" s="168">
        <f t="shared" si="390"/>
        <v>0.36</v>
      </c>
      <c r="K1713" s="169">
        <f t="shared" si="384"/>
        <v>41.459781529294936</v>
      </c>
      <c r="L1713" s="169">
        <f t="shared" si="385"/>
        <v>1.1283783783783783</v>
      </c>
      <c r="M1713" s="133">
        <f t="shared" si="386"/>
        <v>417.59999999999997</v>
      </c>
      <c r="N1713" s="133">
        <f t="shared" si="387"/>
        <v>4592.6000000000004</v>
      </c>
      <c r="O1713" s="134">
        <f t="shared" si="388"/>
        <v>45.606752730883812</v>
      </c>
      <c r="P1713" s="134">
        <f t="shared" si="389"/>
        <v>1.2412432432432434</v>
      </c>
      <c r="R1713" s="149">
        <f t="shared" si="392"/>
        <v>4.5959733989250351</v>
      </c>
    </row>
    <row r="1714" spans="1:19" ht="14.45" x14ac:dyDescent="0.3">
      <c r="A1714" s="161" t="s">
        <v>22</v>
      </c>
      <c r="B1714" s="161" t="s">
        <v>14</v>
      </c>
      <c r="C1714" s="161" t="s">
        <v>24</v>
      </c>
      <c r="D1714" s="161" t="s">
        <v>91</v>
      </c>
      <c r="E1714" s="162">
        <f t="shared" si="391"/>
        <v>41671</v>
      </c>
      <c r="F1714" s="163"/>
      <c r="G1714" s="92">
        <v>2862</v>
      </c>
      <c r="H1714" s="167">
        <v>615</v>
      </c>
      <c r="I1714" s="167" t="s">
        <v>94</v>
      </c>
      <c r="J1714" s="168">
        <f t="shared" si="390"/>
        <v>0.48</v>
      </c>
      <c r="K1714" s="169">
        <f t="shared" si="384"/>
        <v>28.421052631578945</v>
      </c>
      <c r="L1714" s="169">
        <f t="shared" si="385"/>
        <v>0.7735135135135135</v>
      </c>
      <c r="M1714" s="133">
        <f t="shared" si="386"/>
        <v>295.2</v>
      </c>
      <c r="N1714" s="133">
        <f t="shared" si="387"/>
        <v>3157.2</v>
      </c>
      <c r="O1714" s="134">
        <f t="shared" si="388"/>
        <v>31.352532274081426</v>
      </c>
      <c r="P1714" s="134">
        <f t="shared" si="389"/>
        <v>0.8532972972972972</v>
      </c>
      <c r="R1714" s="149">
        <f t="shared" si="392"/>
        <v>3.260834014717906</v>
      </c>
    </row>
    <row r="1715" spans="1:19" ht="14.45" x14ac:dyDescent="0.3">
      <c r="A1715" s="164" t="s">
        <v>22</v>
      </c>
      <c r="B1715" s="164" t="s">
        <v>34</v>
      </c>
      <c r="C1715" s="164" t="s">
        <v>26</v>
      </c>
      <c r="D1715" s="164" t="s">
        <v>91</v>
      </c>
      <c r="E1715" s="165">
        <f t="shared" si="391"/>
        <v>41671</v>
      </c>
      <c r="F1715" s="166"/>
      <c r="G1715" s="105">
        <v>5110</v>
      </c>
      <c r="H1715" s="170">
        <v>1637</v>
      </c>
      <c r="I1715" s="170" t="s">
        <v>92</v>
      </c>
      <c r="J1715" s="171">
        <f t="shared" si="390"/>
        <v>0.36</v>
      </c>
      <c r="K1715" s="172">
        <f t="shared" si="384"/>
        <v>50.744786494538232</v>
      </c>
      <c r="L1715" s="172">
        <f t="shared" si="385"/>
        <v>1.3810810810810812</v>
      </c>
      <c r="M1715" s="115">
        <f t="shared" si="386"/>
        <v>589.31999999999994</v>
      </c>
      <c r="N1715" s="115">
        <f t="shared" si="387"/>
        <v>5699.32</v>
      </c>
      <c r="O1715" s="116">
        <f t="shared" si="388"/>
        <v>56.597020854021842</v>
      </c>
      <c r="P1715" s="116">
        <f t="shared" si="389"/>
        <v>1.5403567567567567</v>
      </c>
      <c r="Q1715" s="106"/>
      <c r="R1715" s="152">
        <f t="shared" si="392"/>
        <v>-2.0240465114680029</v>
      </c>
    </row>
    <row r="1716" spans="1:19" ht="14.45" x14ac:dyDescent="0.3">
      <c r="A1716" s="60" t="s">
        <v>1</v>
      </c>
      <c r="B1716" s="60" t="s">
        <v>2</v>
      </c>
      <c r="C1716" s="60" t="s">
        <v>3</v>
      </c>
      <c r="D1716" s="60" t="s">
        <v>90</v>
      </c>
      <c r="E1716" s="89">
        <v>41699</v>
      </c>
      <c r="F1716" s="61"/>
      <c r="G1716" s="92">
        <v>3191</v>
      </c>
      <c r="H1716" s="138">
        <v>506</v>
      </c>
      <c r="I1716" s="138" t="s">
        <v>92</v>
      </c>
      <c r="J1716" s="141">
        <f>IF(I1716="BNSF",0.35,IF(I1716="CN",0.3105,IF(I1716="CSX",0.48,0.36)))</f>
        <v>0.36</v>
      </c>
      <c r="K1716" s="95">
        <f t="shared" ref="K1716:K1753" si="393">G1716/100.7</f>
        <v>31.688182720953325</v>
      </c>
      <c r="L1716" s="95">
        <f t="shared" ref="L1716:L1753" si="394">IF(A1716="corn",G1716/(111*2000/56),G1716/(111*2000/60))</f>
        <v>0.86243243243243239</v>
      </c>
      <c r="M1716" s="133">
        <f t="shared" ref="M1716:M1753" si="395">H1716*J1716</f>
        <v>182.16</v>
      </c>
      <c r="N1716" s="133">
        <f t="shared" ref="N1716:N1753" si="396">G1716+M1716</f>
        <v>3373.16</v>
      </c>
      <c r="O1716" s="134">
        <f t="shared" ref="O1716:O1753" si="397">N1716/100.7</f>
        <v>33.497120158887782</v>
      </c>
      <c r="P1716" s="134">
        <f t="shared" ref="P1716:P1753" si="398">IF(A1716="corn",N1716/(111*2000/56),N1716/(111*2000/60))</f>
        <v>0.91166486486486487</v>
      </c>
      <c r="R1716" s="149">
        <f t="shared" si="392"/>
        <v>1.2589982048618831</v>
      </c>
      <c r="S1716" s="140">
        <f>AVERAGE(O1640,O1678,O1716)</f>
        <v>33.480370738166165</v>
      </c>
    </row>
    <row r="1717" spans="1:19" ht="14.45" x14ac:dyDescent="0.3">
      <c r="A1717" s="60" t="s">
        <v>1</v>
      </c>
      <c r="B1717" s="60" t="s">
        <v>4</v>
      </c>
      <c r="C1717" s="60" t="s">
        <v>5</v>
      </c>
      <c r="D1717" s="60" t="s">
        <v>90</v>
      </c>
      <c r="E1717" s="89">
        <f>E1716</f>
        <v>41699</v>
      </c>
      <c r="F1717" s="61"/>
      <c r="G1717" s="92">
        <v>3596</v>
      </c>
      <c r="H1717" s="138">
        <v>298</v>
      </c>
      <c r="I1717" s="138" t="s">
        <v>93</v>
      </c>
      <c r="J1717" s="141">
        <f t="shared" ref="J1717:J1753" si="399">IF(I1717="BNSF",0.35,IF(I1717="CN",0.3105,IF(I1717="CSX",0.48,0.36)))</f>
        <v>0.35</v>
      </c>
      <c r="K1717" s="95">
        <f t="shared" si="393"/>
        <v>35.710029791459782</v>
      </c>
      <c r="L1717" s="95">
        <f t="shared" si="394"/>
        <v>0.97189189189189185</v>
      </c>
      <c r="M1717" s="133">
        <f t="shared" si="395"/>
        <v>104.3</v>
      </c>
      <c r="N1717" s="133">
        <f t="shared" si="396"/>
        <v>3700.3</v>
      </c>
      <c r="O1717" s="134">
        <f t="shared" si="397"/>
        <v>36.745779543197621</v>
      </c>
      <c r="P1717" s="134">
        <f t="shared" si="398"/>
        <v>1.0000810810810812</v>
      </c>
      <c r="R1717" s="149">
        <f t="shared" si="392"/>
        <v>1.370305839552044</v>
      </c>
      <c r="S1717" s="140">
        <f t="shared" ref="S1717:S1752" si="400">AVERAGE(O1641,O1679,O1717)</f>
        <v>36.735915259847737</v>
      </c>
    </row>
    <row r="1718" spans="1:19" ht="14.45" x14ac:dyDescent="0.3">
      <c r="A1718" s="60" t="s">
        <v>1</v>
      </c>
      <c r="B1718" s="60" t="s">
        <v>2</v>
      </c>
      <c r="C1718" s="60" t="s">
        <v>6</v>
      </c>
      <c r="D1718" s="60" t="s">
        <v>90</v>
      </c>
      <c r="E1718" s="89">
        <f t="shared" ref="E1718:E1753" si="401">E1717</f>
        <v>41699</v>
      </c>
      <c r="F1718" s="61"/>
      <c r="G1718" s="92">
        <v>6244</v>
      </c>
      <c r="H1718" s="138">
        <v>1530</v>
      </c>
      <c r="I1718" s="138" t="s">
        <v>93</v>
      </c>
      <c r="J1718" s="141">
        <f t="shared" si="399"/>
        <v>0.35</v>
      </c>
      <c r="K1718" s="95">
        <f t="shared" si="393"/>
        <v>62.005958291956304</v>
      </c>
      <c r="L1718" s="95">
        <f t="shared" si="394"/>
        <v>1.6875675675675677</v>
      </c>
      <c r="M1718" s="133">
        <f t="shared" si="395"/>
        <v>535.5</v>
      </c>
      <c r="N1718" s="133">
        <f t="shared" si="396"/>
        <v>6779.5</v>
      </c>
      <c r="O1718" s="134">
        <f t="shared" si="397"/>
        <v>67.323733862959287</v>
      </c>
      <c r="P1718" s="134">
        <f t="shared" si="398"/>
        <v>1.8322972972972973</v>
      </c>
      <c r="R1718" s="149">
        <f t="shared" si="392"/>
        <v>3.0820459798078126</v>
      </c>
      <c r="S1718" s="140">
        <f t="shared" si="400"/>
        <v>67.27308838133068</v>
      </c>
    </row>
    <row r="1719" spans="1:19" ht="14.45" x14ac:dyDescent="0.3">
      <c r="A1719" s="60" t="s">
        <v>1</v>
      </c>
      <c r="B1719" s="60" t="s">
        <v>2</v>
      </c>
      <c r="C1719" s="60" t="s">
        <v>7</v>
      </c>
      <c r="D1719" s="60" t="s">
        <v>90</v>
      </c>
      <c r="E1719" s="89">
        <f t="shared" si="401"/>
        <v>41699</v>
      </c>
      <c r="F1719" s="61"/>
      <c r="G1719" s="92">
        <v>3808</v>
      </c>
      <c r="H1719" s="138">
        <v>890</v>
      </c>
      <c r="I1719" s="138" t="s">
        <v>92</v>
      </c>
      <c r="J1719" s="141">
        <f t="shared" si="399"/>
        <v>0.36</v>
      </c>
      <c r="K1719" s="95">
        <f t="shared" si="393"/>
        <v>37.815292949354514</v>
      </c>
      <c r="L1719" s="95">
        <f t="shared" si="394"/>
        <v>1.0291891891891891</v>
      </c>
      <c r="M1719" s="133">
        <f t="shared" si="395"/>
        <v>320.39999999999998</v>
      </c>
      <c r="N1719" s="133">
        <f t="shared" si="396"/>
        <v>4128.3999999999996</v>
      </c>
      <c r="O1719" s="134">
        <f t="shared" si="397"/>
        <v>40.997020854021841</v>
      </c>
      <c r="P1719" s="134">
        <f t="shared" si="398"/>
        <v>1.1157837837837836</v>
      </c>
      <c r="R1719" s="149">
        <f t="shared" si="392"/>
        <v>3.8774123745061839</v>
      </c>
      <c r="S1719" s="140">
        <f t="shared" si="400"/>
        <v>40.967560410460109</v>
      </c>
    </row>
    <row r="1720" spans="1:19" ht="14.45" x14ac:dyDescent="0.3">
      <c r="A1720" s="60" t="s">
        <v>1</v>
      </c>
      <c r="B1720" s="60" t="s">
        <v>8</v>
      </c>
      <c r="C1720" s="60" t="s">
        <v>9</v>
      </c>
      <c r="D1720" s="60" t="s">
        <v>90</v>
      </c>
      <c r="E1720" s="89">
        <f t="shared" si="401"/>
        <v>41699</v>
      </c>
      <c r="F1720" s="61"/>
      <c r="G1720" s="92">
        <v>5824</v>
      </c>
      <c r="H1720" s="138">
        <v>1256</v>
      </c>
      <c r="I1720" s="138" t="s">
        <v>93</v>
      </c>
      <c r="J1720" s="141">
        <f t="shared" si="399"/>
        <v>0.35</v>
      </c>
      <c r="K1720" s="95">
        <f t="shared" si="393"/>
        <v>57.835153922542204</v>
      </c>
      <c r="L1720" s="95">
        <f t="shared" si="394"/>
        <v>1.574054054054054</v>
      </c>
      <c r="M1720" s="133">
        <f t="shared" si="395"/>
        <v>439.59999999999997</v>
      </c>
      <c r="N1720" s="133">
        <f t="shared" si="396"/>
        <v>6263.6</v>
      </c>
      <c r="O1720" s="134">
        <f t="shared" si="397"/>
        <v>62.200595829195635</v>
      </c>
      <c r="P1720" s="134">
        <f t="shared" si="398"/>
        <v>1.692864864864865</v>
      </c>
      <c r="R1720" s="149">
        <f t="shared" si="392"/>
        <v>3.9574052805236848</v>
      </c>
      <c r="S1720" s="140">
        <f t="shared" si="400"/>
        <v>62.159020191989413</v>
      </c>
    </row>
    <row r="1721" spans="1:19" ht="14.45" x14ac:dyDescent="0.3">
      <c r="A1721" s="60" t="s">
        <v>1</v>
      </c>
      <c r="B1721" s="60" t="s">
        <v>10</v>
      </c>
      <c r="C1721" s="60" t="s">
        <v>9</v>
      </c>
      <c r="D1721" s="60" t="s">
        <v>90</v>
      </c>
      <c r="E1721" s="89">
        <f t="shared" si="401"/>
        <v>41699</v>
      </c>
      <c r="F1721" s="61"/>
      <c r="G1721" s="92">
        <v>4076</v>
      </c>
      <c r="H1721" s="138">
        <v>975</v>
      </c>
      <c r="I1721" s="138" t="s">
        <v>92</v>
      </c>
      <c r="J1721" s="141">
        <f t="shared" si="399"/>
        <v>0.36</v>
      </c>
      <c r="K1721" s="95">
        <f t="shared" si="393"/>
        <v>40.476663356504467</v>
      </c>
      <c r="L1721" s="95">
        <f t="shared" si="394"/>
        <v>1.1016216216216217</v>
      </c>
      <c r="M1721" s="133">
        <f t="shared" si="395"/>
        <v>351</v>
      </c>
      <c r="N1721" s="133">
        <f t="shared" si="396"/>
        <v>4427</v>
      </c>
      <c r="O1721" s="134">
        <f t="shared" si="397"/>
        <v>43.962264150943398</v>
      </c>
      <c r="P1721" s="134">
        <f t="shared" si="398"/>
        <v>1.1964864864864866</v>
      </c>
      <c r="R1721" s="149">
        <f t="shared" si="392"/>
        <v>3.6100871803873336</v>
      </c>
      <c r="S1721" s="140">
        <f t="shared" si="400"/>
        <v>43.929990069513416</v>
      </c>
    </row>
    <row r="1722" spans="1:19" ht="14.45" x14ac:dyDescent="0.3">
      <c r="A1722" s="60" t="s">
        <v>1</v>
      </c>
      <c r="B1722" s="60" t="s">
        <v>11</v>
      </c>
      <c r="C1722" s="60" t="s">
        <v>6</v>
      </c>
      <c r="D1722" s="60" t="s">
        <v>90</v>
      </c>
      <c r="E1722" s="89">
        <f t="shared" si="401"/>
        <v>41699</v>
      </c>
      <c r="F1722" s="61"/>
      <c r="G1722" s="92">
        <v>4275</v>
      </c>
      <c r="H1722" s="138">
        <v>1357</v>
      </c>
      <c r="I1722" s="138" t="s">
        <v>92</v>
      </c>
      <c r="J1722" s="141">
        <f t="shared" si="399"/>
        <v>0.36</v>
      </c>
      <c r="K1722" s="95">
        <f t="shared" si="393"/>
        <v>42.452830188679243</v>
      </c>
      <c r="L1722" s="95">
        <f t="shared" si="394"/>
        <v>1.1554054054054055</v>
      </c>
      <c r="M1722" s="133">
        <f t="shared" si="395"/>
        <v>488.52</v>
      </c>
      <c r="N1722" s="133">
        <f t="shared" si="396"/>
        <v>4763.5200000000004</v>
      </c>
      <c r="O1722" s="134">
        <f t="shared" si="397"/>
        <v>47.304071499503479</v>
      </c>
      <c r="P1722" s="134">
        <f t="shared" si="398"/>
        <v>1.2874378378378379</v>
      </c>
      <c r="R1722" s="149">
        <f t="shared" si="392"/>
        <v>3.238558415635584</v>
      </c>
      <c r="S1722" s="140">
        <f t="shared" si="400"/>
        <v>47.259152598477328</v>
      </c>
    </row>
    <row r="1723" spans="1:19" ht="14.45" x14ac:dyDescent="0.3">
      <c r="A1723" s="60" t="s">
        <v>134</v>
      </c>
      <c r="B1723" s="60" t="s">
        <v>13</v>
      </c>
      <c r="C1723" s="60" t="s">
        <v>7</v>
      </c>
      <c r="D1723" s="60" t="s">
        <v>90</v>
      </c>
      <c r="E1723" s="89">
        <f t="shared" si="401"/>
        <v>41699</v>
      </c>
      <c r="F1723" s="61"/>
      <c r="G1723" s="92">
        <v>3192</v>
      </c>
      <c r="H1723" s="138">
        <v>1006</v>
      </c>
      <c r="I1723" s="138" t="s">
        <v>92</v>
      </c>
      <c r="J1723" s="141">
        <f t="shared" si="399"/>
        <v>0.36</v>
      </c>
      <c r="K1723" s="95">
        <f t="shared" si="393"/>
        <v>31.69811320754717</v>
      </c>
      <c r="L1723" s="95">
        <f t="shared" si="394"/>
        <v>0.80518918918918925</v>
      </c>
      <c r="M1723" s="133">
        <f t="shared" si="395"/>
        <v>362.15999999999997</v>
      </c>
      <c r="N1723" s="133">
        <f t="shared" si="396"/>
        <v>3554.16</v>
      </c>
      <c r="O1723" s="134">
        <f t="shared" si="397"/>
        <v>35.294538232373384</v>
      </c>
      <c r="P1723" s="134">
        <f t="shared" si="398"/>
        <v>0.89654486486486484</v>
      </c>
      <c r="R1723" s="149">
        <f t="shared" si="392"/>
        <v>2.0659234626186684</v>
      </c>
      <c r="S1723" s="140">
        <f t="shared" si="400"/>
        <v>35.261238000662026</v>
      </c>
    </row>
    <row r="1724" spans="1:19" ht="14.45" x14ac:dyDescent="0.3">
      <c r="A1724" s="60" t="s">
        <v>134</v>
      </c>
      <c r="B1724" s="60" t="s">
        <v>14</v>
      </c>
      <c r="C1724" s="60" t="s">
        <v>15</v>
      </c>
      <c r="D1724" s="60" t="s">
        <v>90</v>
      </c>
      <c r="E1724" s="89">
        <f t="shared" si="401"/>
        <v>41699</v>
      </c>
      <c r="F1724" s="61"/>
      <c r="G1724" s="92">
        <v>4686</v>
      </c>
      <c r="H1724" s="138">
        <v>866</v>
      </c>
      <c r="I1724" s="138" t="s">
        <v>94</v>
      </c>
      <c r="J1724" s="141">
        <f t="shared" si="399"/>
        <v>0.48</v>
      </c>
      <c r="K1724" s="95">
        <f t="shared" si="393"/>
        <v>46.53426017874876</v>
      </c>
      <c r="L1724" s="95">
        <f t="shared" si="394"/>
        <v>1.1820540540540541</v>
      </c>
      <c r="M1724" s="133">
        <f t="shared" si="395"/>
        <v>415.68</v>
      </c>
      <c r="N1724" s="133">
        <f t="shared" si="396"/>
        <v>5101.68</v>
      </c>
      <c r="O1724" s="134">
        <f t="shared" si="397"/>
        <v>50.662164846077459</v>
      </c>
      <c r="P1724" s="134">
        <f t="shared" si="398"/>
        <v>1.2869102702702704</v>
      </c>
      <c r="R1724" s="149">
        <f t="shared" si="392"/>
        <v>3.6151821401878337</v>
      </c>
      <c r="S1724" s="140">
        <f t="shared" si="400"/>
        <v>50.60483283680901</v>
      </c>
    </row>
    <row r="1725" spans="1:19" ht="14.45" x14ac:dyDescent="0.3">
      <c r="A1725" s="60" t="s">
        <v>134</v>
      </c>
      <c r="B1725" s="60" t="s">
        <v>16</v>
      </c>
      <c r="C1725" s="60" t="s">
        <v>17</v>
      </c>
      <c r="D1725" s="60" t="s">
        <v>90</v>
      </c>
      <c r="E1725" s="89">
        <f t="shared" si="401"/>
        <v>41699</v>
      </c>
      <c r="F1725" s="61"/>
      <c r="G1725" s="92">
        <v>2078</v>
      </c>
      <c r="H1725" s="138">
        <v>213</v>
      </c>
      <c r="I1725" s="138" t="s">
        <v>92</v>
      </c>
      <c r="J1725" s="141">
        <f t="shared" si="399"/>
        <v>0.36</v>
      </c>
      <c r="K1725" s="95">
        <f t="shared" si="393"/>
        <v>20.635551142005959</v>
      </c>
      <c r="L1725" s="95">
        <f t="shared" si="394"/>
        <v>0.5241801801801802</v>
      </c>
      <c r="M1725" s="133">
        <f t="shared" si="395"/>
        <v>76.679999999999993</v>
      </c>
      <c r="N1725" s="133">
        <f t="shared" si="396"/>
        <v>2154.6799999999998</v>
      </c>
      <c r="O1725" s="134">
        <f t="shared" si="397"/>
        <v>21.397020854021847</v>
      </c>
      <c r="P1725" s="134">
        <f t="shared" si="398"/>
        <v>0.54352288288288286</v>
      </c>
      <c r="R1725" s="149">
        <f t="shared" si="392"/>
        <v>3.3513845386390129</v>
      </c>
      <c r="S1725" s="140">
        <f t="shared" si="400"/>
        <v>21.38997020854022</v>
      </c>
    </row>
    <row r="1726" spans="1:19" ht="14.45" x14ac:dyDescent="0.3">
      <c r="A1726" s="60" t="s">
        <v>134</v>
      </c>
      <c r="B1726" s="60" t="s">
        <v>18</v>
      </c>
      <c r="C1726" s="60" t="s">
        <v>19</v>
      </c>
      <c r="D1726" s="60" t="s">
        <v>90</v>
      </c>
      <c r="E1726" s="89">
        <f t="shared" si="401"/>
        <v>41699</v>
      </c>
      <c r="F1726" s="61"/>
      <c r="G1726" s="92">
        <v>4061</v>
      </c>
      <c r="H1726" s="138">
        <v>650</v>
      </c>
      <c r="I1726" s="138" t="s">
        <v>94</v>
      </c>
      <c r="J1726" s="141">
        <f t="shared" si="399"/>
        <v>0.48</v>
      </c>
      <c r="K1726" s="95">
        <f t="shared" si="393"/>
        <v>40.327706057596821</v>
      </c>
      <c r="L1726" s="95">
        <f t="shared" si="394"/>
        <v>1.0243963963963965</v>
      </c>
      <c r="M1726" s="133">
        <f t="shared" si="395"/>
        <v>312</v>
      </c>
      <c r="N1726" s="133">
        <f t="shared" si="396"/>
        <v>4373</v>
      </c>
      <c r="O1726" s="134">
        <f t="shared" si="397"/>
        <v>43.426017874875868</v>
      </c>
      <c r="P1726" s="134">
        <f t="shared" si="398"/>
        <v>1.1030990990990992</v>
      </c>
      <c r="R1726" s="149">
        <f t="shared" si="392"/>
        <v>3.3317580340264552</v>
      </c>
      <c r="S1726" s="140">
        <f t="shared" si="400"/>
        <v>43.382985766302546</v>
      </c>
    </row>
    <row r="1727" spans="1:19" ht="14.45" x14ac:dyDescent="0.3">
      <c r="A1727" s="60" t="s">
        <v>134</v>
      </c>
      <c r="B1727" s="60" t="s">
        <v>18</v>
      </c>
      <c r="C1727" s="60" t="s">
        <v>20</v>
      </c>
      <c r="D1727" s="60" t="s">
        <v>90</v>
      </c>
      <c r="E1727" s="89">
        <f t="shared" si="401"/>
        <v>41699</v>
      </c>
      <c r="F1727" s="61"/>
      <c r="G1727" s="92">
        <v>3469</v>
      </c>
      <c r="H1727" s="138">
        <v>417</v>
      </c>
      <c r="I1727" s="138" t="s">
        <v>94</v>
      </c>
      <c r="J1727" s="141">
        <f t="shared" si="399"/>
        <v>0.48</v>
      </c>
      <c r="K1727" s="95">
        <f t="shared" si="393"/>
        <v>34.44885799404171</v>
      </c>
      <c r="L1727" s="95">
        <f t="shared" si="394"/>
        <v>0.87506306306306303</v>
      </c>
      <c r="M1727" s="133">
        <f t="shared" si="395"/>
        <v>200.16</v>
      </c>
      <c r="N1727" s="133">
        <f t="shared" si="396"/>
        <v>3669.16</v>
      </c>
      <c r="O1727" s="134">
        <f t="shared" si="397"/>
        <v>36.436544190665337</v>
      </c>
      <c r="P1727" s="134">
        <f t="shared" si="398"/>
        <v>0.92555387387387389</v>
      </c>
      <c r="R1727" s="149">
        <f t="shared" si="392"/>
        <v>3.2356449906588258</v>
      </c>
      <c r="S1727" s="140">
        <f t="shared" si="400"/>
        <v>36.408937437934448</v>
      </c>
    </row>
    <row r="1728" spans="1:19" ht="14.45" x14ac:dyDescent="0.3">
      <c r="A1728" s="60" t="s">
        <v>134</v>
      </c>
      <c r="B1728" s="60" t="s">
        <v>16</v>
      </c>
      <c r="C1728" s="60" t="s">
        <v>21</v>
      </c>
      <c r="D1728" s="60" t="s">
        <v>90</v>
      </c>
      <c r="E1728" s="89">
        <f t="shared" si="401"/>
        <v>41699</v>
      </c>
      <c r="F1728" s="61"/>
      <c r="G1728" s="92">
        <v>3218</v>
      </c>
      <c r="H1728" s="138">
        <v>626</v>
      </c>
      <c r="I1728" s="138" t="s">
        <v>92</v>
      </c>
      <c r="J1728" s="141">
        <f t="shared" si="399"/>
        <v>0.36</v>
      </c>
      <c r="K1728" s="95">
        <f t="shared" si="393"/>
        <v>31.95630585898709</v>
      </c>
      <c r="L1728" s="95">
        <f t="shared" si="394"/>
        <v>0.81174774774774772</v>
      </c>
      <c r="M1728" s="133">
        <f t="shared" si="395"/>
        <v>225.35999999999999</v>
      </c>
      <c r="N1728" s="133">
        <f t="shared" si="396"/>
        <v>3443.36</v>
      </c>
      <c r="O1728" s="134">
        <f t="shared" si="397"/>
        <v>34.194240317775574</v>
      </c>
      <c r="P1728" s="134">
        <f t="shared" si="398"/>
        <v>0.86859531531531531</v>
      </c>
      <c r="R1728" s="149">
        <f t="shared" si="392"/>
        <v>1.7054483373798668</v>
      </c>
      <c r="S1728" s="140">
        <f t="shared" si="400"/>
        <v>34.173518702416423</v>
      </c>
    </row>
    <row r="1729" spans="1:19" ht="14.45" x14ac:dyDescent="0.3">
      <c r="A1729" s="60" t="s">
        <v>134</v>
      </c>
      <c r="B1729" s="60" t="s">
        <v>16</v>
      </c>
      <c r="C1729" s="60" t="s">
        <v>6</v>
      </c>
      <c r="D1729" s="60" t="s">
        <v>90</v>
      </c>
      <c r="E1729" s="89">
        <f t="shared" si="401"/>
        <v>41699</v>
      </c>
      <c r="F1729" s="61"/>
      <c r="G1729" s="92">
        <v>5215</v>
      </c>
      <c r="H1729" s="138">
        <v>1823</v>
      </c>
      <c r="I1729" s="138" t="s">
        <v>92</v>
      </c>
      <c r="J1729" s="141">
        <f t="shared" si="399"/>
        <v>0.36</v>
      </c>
      <c r="K1729" s="95">
        <f t="shared" si="393"/>
        <v>51.787487586891757</v>
      </c>
      <c r="L1729" s="95">
        <f t="shared" si="394"/>
        <v>1.3154954954954956</v>
      </c>
      <c r="M1729" s="133">
        <f t="shared" si="395"/>
        <v>656.28</v>
      </c>
      <c r="N1729" s="133">
        <f t="shared" si="396"/>
        <v>5871.28</v>
      </c>
      <c r="O1729" s="134">
        <f t="shared" si="397"/>
        <v>58.304667328699104</v>
      </c>
      <c r="P1729" s="134">
        <f t="shared" si="398"/>
        <v>1.4810436036036037</v>
      </c>
      <c r="R1729" s="149">
        <f t="shared" si="392"/>
        <v>2.2958405856945863</v>
      </c>
      <c r="S1729" s="140">
        <f t="shared" si="400"/>
        <v>58.244323071830514</v>
      </c>
    </row>
    <row r="1730" spans="1:19" ht="14.45" x14ac:dyDescent="0.3">
      <c r="A1730" s="60" t="s">
        <v>22</v>
      </c>
      <c r="B1730" s="60" t="s">
        <v>23</v>
      </c>
      <c r="C1730" s="60" t="s">
        <v>7</v>
      </c>
      <c r="D1730" s="60" t="s">
        <v>90</v>
      </c>
      <c r="E1730" s="89">
        <f t="shared" si="401"/>
        <v>41699</v>
      </c>
      <c r="F1730" s="61"/>
      <c r="G1730" s="92">
        <v>3529</v>
      </c>
      <c r="H1730" s="138">
        <v>1295</v>
      </c>
      <c r="I1730" s="138" t="s">
        <v>95</v>
      </c>
      <c r="J1730" s="141">
        <f t="shared" si="399"/>
        <v>0.3105</v>
      </c>
      <c r="K1730" s="95">
        <f t="shared" si="393"/>
        <v>35.044687189672295</v>
      </c>
      <c r="L1730" s="95">
        <f t="shared" si="394"/>
        <v>0.95378378378378381</v>
      </c>
      <c r="M1730" s="133">
        <f t="shared" si="395"/>
        <v>402.09750000000003</v>
      </c>
      <c r="N1730" s="133">
        <f t="shared" si="396"/>
        <v>3931.0974999999999</v>
      </c>
      <c r="O1730" s="134">
        <f t="shared" si="397"/>
        <v>39.037711022840114</v>
      </c>
      <c r="P1730" s="134">
        <f t="shared" si="398"/>
        <v>1.0624587837837838</v>
      </c>
      <c r="R1730" s="149">
        <f t="shared" si="392"/>
        <v>-1.2559350782039402</v>
      </c>
      <c r="S1730" s="140">
        <f t="shared" si="400"/>
        <v>39.592911287653095</v>
      </c>
    </row>
    <row r="1731" spans="1:19" ht="14.45" x14ac:dyDescent="0.3">
      <c r="A1731" s="60" t="s">
        <v>22</v>
      </c>
      <c r="B1731" s="60" t="s">
        <v>14</v>
      </c>
      <c r="C1731" s="60" t="s">
        <v>24</v>
      </c>
      <c r="D1731" s="60" t="s">
        <v>90</v>
      </c>
      <c r="E1731" s="89">
        <f t="shared" si="401"/>
        <v>41699</v>
      </c>
      <c r="F1731" s="61"/>
      <c r="G1731" s="92">
        <v>3687</v>
      </c>
      <c r="H1731" s="138">
        <v>615</v>
      </c>
      <c r="I1731" s="138" t="s">
        <v>94</v>
      </c>
      <c r="J1731" s="141">
        <f t="shared" si="399"/>
        <v>0.48</v>
      </c>
      <c r="K1731" s="95">
        <f t="shared" si="393"/>
        <v>36.613704071499505</v>
      </c>
      <c r="L1731" s="95">
        <f t="shared" si="394"/>
        <v>0.99648648648648652</v>
      </c>
      <c r="M1731" s="133">
        <f t="shared" si="395"/>
        <v>295.2</v>
      </c>
      <c r="N1731" s="133">
        <f t="shared" si="396"/>
        <v>3982.2</v>
      </c>
      <c r="O1731" s="134">
        <f t="shared" si="397"/>
        <v>39.545183714001986</v>
      </c>
      <c r="P1731" s="134">
        <f t="shared" si="398"/>
        <v>1.0762702702702702</v>
      </c>
      <c r="R1731" s="149">
        <f t="shared" si="392"/>
        <v>2.8939072916128294</v>
      </c>
      <c r="S1731" s="140">
        <f t="shared" si="400"/>
        <v>39.504468718967225</v>
      </c>
    </row>
    <row r="1732" spans="1:19" ht="14.45" x14ac:dyDescent="0.3">
      <c r="A1732" s="60" t="s">
        <v>22</v>
      </c>
      <c r="B1732" s="60" t="s">
        <v>18</v>
      </c>
      <c r="C1732" s="60" t="s">
        <v>15</v>
      </c>
      <c r="D1732" s="60" t="s">
        <v>90</v>
      </c>
      <c r="E1732" s="89">
        <f t="shared" si="401"/>
        <v>41699</v>
      </c>
      <c r="F1732" s="61"/>
      <c r="G1732" s="92">
        <v>4756</v>
      </c>
      <c r="H1732" s="138">
        <v>872</v>
      </c>
      <c r="I1732" s="138" t="s">
        <v>94</v>
      </c>
      <c r="J1732" s="141">
        <f t="shared" si="399"/>
        <v>0.48</v>
      </c>
      <c r="K1732" s="95">
        <f t="shared" si="393"/>
        <v>47.229394240317774</v>
      </c>
      <c r="L1732" s="95">
        <f t="shared" si="394"/>
        <v>1.2854054054054054</v>
      </c>
      <c r="M1732" s="133">
        <f t="shared" si="395"/>
        <v>418.56</v>
      </c>
      <c r="N1732" s="133">
        <f t="shared" si="396"/>
        <v>5174.5600000000004</v>
      </c>
      <c r="O1732" s="134">
        <f t="shared" si="397"/>
        <v>51.385898709036745</v>
      </c>
      <c r="P1732" s="134">
        <f t="shared" si="398"/>
        <v>1.3985297297297299</v>
      </c>
      <c r="R1732" s="149">
        <f t="shared" si="392"/>
        <v>3.5624509662647963</v>
      </c>
      <c r="S1732" s="140">
        <f t="shared" si="400"/>
        <v>51.328169480304531</v>
      </c>
    </row>
    <row r="1733" spans="1:19" ht="14.45" x14ac:dyDescent="0.3">
      <c r="A1733" s="60" t="s">
        <v>22</v>
      </c>
      <c r="B1733" s="60" t="s">
        <v>18</v>
      </c>
      <c r="C1733" s="60" t="s">
        <v>24</v>
      </c>
      <c r="D1733" s="60" t="s">
        <v>90</v>
      </c>
      <c r="E1733" s="89">
        <f t="shared" si="401"/>
        <v>41699</v>
      </c>
      <c r="F1733" s="61"/>
      <c r="G1733" s="92">
        <v>3379</v>
      </c>
      <c r="H1733" s="138">
        <v>417</v>
      </c>
      <c r="I1733" s="138" t="s">
        <v>94</v>
      </c>
      <c r="J1733" s="141">
        <f t="shared" si="399"/>
        <v>0.48</v>
      </c>
      <c r="K1733" s="95">
        <f t="shared" si="393"/>
        <v>33.555114200595831</v>
      </c>
      <c r="L1733" s="95">
        <f t="shared" si="394"/>
        <v>0.91324324324324324</v>
      </c>
      <c r="M1733" s="133">
        <f t="shared" si="395"/>
        <v>200.16</v>
      </c>
      <c r="N1733" s="133">
        <f t="shared" si="396"/>
        <v>3579.16</v>
      </c>
      <c r="O1733" s="134">
        <f t="shared" si="397"/>
        <v>35.542800397219459</v>
      </c>
      <c r="P1733" s="134">
        <f t="shared" si="398"/>
        <v>0.96734054054054053</v>
      </c>
      <c r="R1733" s="149">
        <f t="shared" si="392"/>
        <v>3.230309532874176</v>
      </c>
      <c r="S1733" s="140">
        <f t="shared" si="400"/>
        <v>35.515193644488569</v>
      </c>
    </row>
    <row r="1734" spans="1:19" ht="14.45" x14ac:dyDescent="0.3">
      <c r="A1734" s="60" t="s">
        <v>22</v>
      </c>
      <c r="B1734" s="60" t="s">
        <v>13</v>
      </c>
      <c r="C1734" s="60" t="s">
        <v>7</v>
      </c>
      <c r="D1734" s="60" t="s">
        <v>90</v>
      </c>
      <c r="E1734" s="89">
        <f t="shared" si="401"/>
        <v>41699</v>
      </c>
      <c r="F1734" s="61"/>
      <c r="G1734" s="92">
        <v>3748</v>
      </c>
      <c r="H1734" s="138">
        <v>1006</v>
      </c>
      <c r="I1734" s="138" t="s">
        <v>92</v>
      </c>
      <c r="J1734" s="141">
        <f t="shared" si="399"/>
        <v>0.36</v>
      </c>
      <c r="K1734" s="95">
        <f t="shared" si="393"/>
        <v>37.219463753723929</v>
      </c>
      <c r="L1734" s="95">
        <f t="shared" si="394"/>
        <v>1.0129729729729731</v>
      </c>
      <c r="M1734" s="133">
        <f t="shared" si="395"/>
        <v>362.15999999999997</v>
      </c>
      <c r="N1734" s="133">
        <f t="shared" si="396"/>
        <v>4110.16</v>
      </c>
      <c r="O1734" s="134">
        <f t="shared" si="397"/>
        <v>40.815888778550146</v>
      </c>
      <c r="P1734" s="134">
        <f t="shared" si="398"/>
        <v>1.1108540540540539</v>
      </c>
      <c r="R1734" s="149">
        <f t="shared" si="392"/>
        <v>3.4986729518888371</v>
      </c>
      <c r="S1734" s="140">
        <f t="shared" si="400"/>
        <v>40.782588546838795</v>
      </c>
    </row>
    <row r="1735" spans="1:19" ht="14.45" x14ac:dyDescent="0.3">
      <c r="A1735" s="60" t="s">
        <v>1</v>
      </c>
      <c r="B1735" s="60" t="s">
        <v>25</v>
      </c>
      <c r="C1735" s="60" t="s">
        <v>26</v>
      </c>
      <c r="D1735" s="60" t="s">
        <v>91</v>
      </c>
      <c r="E1735" s="89">
        <f t="shared" si="401"/>
        <v>41699</v>
      </c>
      <c r="F1735" s="61"/>
      <c r="G1735" s="92">
        <v>3678</v>
      </c>
      <c r="H1735" s="138">
        <v>880</v>
      </c>
      <c r="I1735" s="138" t="s">
        <v>93</v>
      </c>
      <c r="J1735" s="141">
        <f t="shared" si="399"/>
        <v>0.35</v>
      </c>
      <c r="K1735" s="95">
        <f t="shared" si="393"/>
        <v>36.524329692154915</v>
      </c>
      <c r="L1735" s="95">
        <f t="shared" si="394"/>
        <v>0.994054054054054</v>
      </c>
      <c r="M1735" s="133">
        <f t="shared" si="395"/>
        <v>308</v>
      </c>
      <c r="N1735" s="133">
        <f t="shared" si="396"/>
        <v>3986</v>
      </c>
      <c r="O1735" s="134">
        <f t="shared" si="397"/>
        <v>39.582919563058589</v>
      </c>
      <c r="P1735" s="134">
        <f t="shared" si="398"/>
        <v>1.0772972972972974</v>
      </c>
      <c r="R1735" s="149">
        <f t="shared" si="392"/>
        <v>2.2890576883596747</v>
      </c>
      <c r="S1735" s="140">
        <f t="shared" si="400"/>
        <v>39.553790135716646</v>
      </c>
    </row>
    <row r="1736" spans="1:19" ht="14.45" x14ac:dyDescent="0.3">
      <c r="A1736" s="60" t="s">
        <v>1</v>
      </c>
      <c r="B1736" s="60" t="s">
        <v>2</v>
      </c>
      <c r="C1736" s="60" t="s">
        <v>9</v>
      </c>
      <c r="D1736" s="60" t="s">
        <v>91</v>
      </c>
      <c r="E1736" s="89">
        <f t="shared" si="401"/>
        <v>41699</v>
      </c>
      <c r="F1736" s="61"/>
      <c r="G1736" s="92">
        <v>3798</v>
      </c>
      <c r="H1736" s="138">
        <v>685</v>
      </c>
      <c r="I1736" s="138" t="s">
        <v>93</v>
      </c>
      <c r="J1736" s="141">
        <f t="shared" si="399"/>
        <v>0.35</v>
      </c>
      <c r="K1736" s="95">
        <f t="shared" si="393"/>
        <v>37.715988083416086</v>
      </c>
      <c r="L1736" s="95">
        <f t="shared" si="394"/>
        <v>1.0264864864864864</v>
      </c>
      <c r="M1736" s="133">
        <f t="shared" si="395"/>
        <v>239.74999999999997</v>
      </c>
      <c r="N1736" s="133">
        <f t="shared" si="396"/>
        <v>4037.75</v>
      </c>
      <c r="O1736" s="134">
        <f t="shared" si="397"/>
        <v>40.096822244289967</v>
      </c>
      <c r="P1736" s="134">
        <f t="shared" si="398"/>
        <v>1.0912837837837839</v>
      </c>
      <c r="R1736" s="149">
        <f t="shared" si="392"/>
        <v>4.0496315002834571</v>
      </c>
      <c r="S1736" s="140">
        <f t="shared" si="400"/>
        <v>40.074147633234027</v>
      </c>
    </row>
    <row r="1737" spans="1:19" ht="14.45" x14ac:dyDescent="0.3">
      <c r="A1737" s="60" t="s">
        <v>1</v>
      </c>
      <c r="B1737" s="60" t="s">
        <v>27</v>
      </c>
      <c r="C1737" s="60" t="s">
        <v>28</v>
      </c>
      <c r="D1737" s="60" t="s">
        <v>91</v>
      </c>
      <c r="E1737" s="89">
        <f t="shared" si="401"/>
        <v>41699</v>
      </c>
      <c r="F1737" s="61"/>
      <c r="G1737" s="92">
        <v>3950</v>
      </c>
      <c r="H1737" s="138">
        <v>812</v>
      </c>
      <c r="I1737" s="138" t="s">
        <v>94</v>
      </c>
      <c r="J1737" s="141">
        <f t="shared" si="399"/>
        <v>0.48</v>
      </c>
      <c r="K1737" s="95">
        <f t="shared" si="393"/>
        <v>39.22542204568024</v>
      </c>
      <c r="L1737" s="95">
        <f t="shared" si="394"/>
        <v>1.0675675675675675</v>
      </c>
      <c r="M1737" s="133">
        <f t="shared" si="395"/>
        <v>389.76</v>
      </c>
      <c r="N1737" s="133">
        <f t="shared" si="396"/>
        <v>4339.76</v>
      </c>
      <c r="O1737" s="134">
        <f t="shared" si="397"/>
        <v>43.095928500496527</v>
      </c>
      <c r="P1737" s="134">
        <f t="shared" si="398"/>
        <v>1.1729081081081081</v>
      </c>
      <c r="R1737" s="149">
        <f t="shared" si="392"/>
        <v>4.3020986550533991</v>
      </c>
      <c r="S1737" s="140">
        <f t="shared" si="400"/>
        <v>43.042171466401861</v>
      </c>
    </row>
    <row r="1738" spans="1:19" ht="14.45" x14ac:dyDescent="0.3">
      <c r="A1738" s="60" t="s">
        <v>1</v>
      </c>
      <c r="B1738" s="60" t="s">
        <v>4</v>
      </c>
      <c r="C1738" s="60" t="s">
        <v>26</v>
      </c>
      <c r="D1738" s="60" t="s">
        <v>91</v>
      </c>
      <c r="E1738" s="89">
        <f t="shared" si="401"/>
        <v>41699</v>
      </c>
      <c r="F1738" s="61"/>
      <c r="G1738" s="92">
        <v>5159</v>
      </c>
      <c r="H1738" s="138">
        <v>1520</v>
      </c>
      <c r="I1738" s="138" t="s">
        <v>93</v>
      </c>
      <c r="J1738" s="141">
        <f t="shared" si="399"/>
        <v>0.35</v>
      </c>
      <c r="K1738" s="95">
        <f t="shared" si="393"/>
        <v>51.231380337636544</v>
      </c>
      <c r="L1738" s="95">
        <f t="shared" si="394"/>
        <v>1.3943243243243244</v>
      </c>
      <c r="M1738" s="133">
        <f t="shared" si="395"/>
        <v>532</v>
      </c>
      <c r="N1738" s="133">
        <f t="shared" si="396"/>
        <v>5691</v>
      </c>
      <c r="O1738" s="134">
        <f t="shared" si="397"/>
        <v>56.51439920556107</v>
      </c>
      <c r="P1738" s="134">
        <f t="shared" si="398"/>
        <v>1.5381081081081081</v>
      </c>
      <c r="R1738" s="149">
        <f t="shared" si="392"/>
        <v>1.4764095431689439</v>
      </c>
      <c r="S1738" s="140">
        <f t="shared" si="400"/>
        <v>56.464084740152266</v>
      </c>
    </row>
    <row r="1739" spans="1:19" ht="14.45" x14ac:dyDescent="0.3">
      <c r="A1739" s="60" t="s">
        <v>1</v>
      </c>
      <c r="B1739" s="60" t="s">
        <v>4</v>
      </c>
      <c r="C1739" s="60" t="s">
        <v>9</v>
      </c>
      <c r="D1739" s="60" t="s">
        <v>91</v>
      </c>
      <c r="E1739" s="89">
        <f t="shared" si="401"/>
        <v>41699</v>
      </c>
      <c r="F1739" s="61"/>
      <c r="G1739" s="92">
        <v>6084</v>
      </c>
      <c r="H1739" s="138">
        <v>1583</v>
      </c>
      <c r="I1739" s="138" t="s">
        <v>93</v>
      </c>
      <c r="J1739" s="141">
        <f t="shared" si="399"/>
        <v>0.35</v>
      </c>
      <c r="K1739" s="95">
        <f t="shared" si="393"/>
        <v>60.417080436941411</v>
      </c>
      <c r="L1739" s="95">
        <f t="shared" si="394"/>
        <v>1.6443243243243244</v>
      </c>
      <c r="M1739" s="133">
        <f t="shared" si="395"/>
        <v>554.04999999999995</v>
      </c>
      <c r="N1739" s="133">
        <f t="shared" si="396"/>
        <v>6638.05</v>
      </c>
      <c r="O1739" s="134">
        <f t="shared" si="397"/>
        <v>65.919066534260182</v>
      </c>
      <c r="P1739" s="134">
        <f t="shared" si="398"/>
        <v>1.7940675675675677</v>
      </c>
      <c r="R1739" s="149">
        <f t="shared" si="392"/>
        <v>-0.20791114692387813</v>
      </c>
      <c r="S1739" s="140">
        <f t="shared" si="400"/>
        <v>65.866666666666674</v>
      </c>
    </row>
    <row r="1740" spans="1:19" ht="14.45" x14ac:dyDescent="0.3">
      <c r="A1740" s="60" t="s">
        <v>1</v>
      </c>
      <c r="B1740" s="60" t="s">
        <v>10</v>
      </c>
      <c r="C1740" s="60" t="s">
        <v>26</v>
      </c>
      <c r="D1740" s="60" t="s">
        <v>91</v>
      </c>
      <c r="E1740" s="89">
        <f t="shared" si="401"/>
        <v>41699</v>
      </c>
      <c r="F1740" s="61"/>
      <c r="G1740" s="92">
        <v>5043</v>
      </c>
      <c r="H1740" s="138">
        <v>1599</v>
      </c>
      <c r="I1740" s="138" t="s">
        <v>92</v>
      </c>
      <c r="J1740" s="141">
        <f t="shared" si="399"/>
        <v>0.36</v>
      </c>
      <c r="K1740" s="95">
        <f t="shared" si="393"/>
        <v>50.079443892750746</v>
      </c>
      <c r="L1740" s="95">
        <f t="shared" si="394"/>
        <v>1.3629729729729729</v>
      </c>
      <c r="M1740" s="133">
        <f t="shared" si="395"/>
        <v>575.64</v>
      </c>
      <c r="N1740" s="133">
        <f t="shared" si="396"/>
        <v>5618.64</v>
      </c>
      <c r="O1740" s="134">
        <f t="shared" si="397"/>
        <v>55.795829195630589</v>
      </c>
      <c r="P1740" s="134">
        <f t="shared" si="398"/>
        <v>1.5185513513513513</v>
      </c>
      <c r="R1740" s="149">
        <f t="shared" si="392"/>
        <v>2.6867679283869794</v>
      </c>
      <c r="S1740" s="140">
        <f t="shared" si="400"/>
        <v>55.742899702085403</v>
      </c>
    </row>
    <row r="1741" spans="1:19" ht="14.45" x14ac:dyDescent="0.3">
      <c r="A1741" s="60" t="s">
        <v>134</v>
      </c>
      <c r="B1741" s="60" t="s">
        <v>23</v>
      </c>
      <c r="C1741" s="60" t="s">
        <v>26</v>
      </c>
      <c r="D1741" s="60" t="s">
        <v>91</v>
      </c>
      <c r="E1741" s="89">
        <f t="shared" si="401"/>
        <v>41699</v>
      </c>
      <c r="F1741" s="61"/>
      <c r="G1741" s="92">
        <v>5000</v>
      </c>
      <c r="H1741" s="138">
        <v>1851</v>
      </c>
      <c r="I1741" s="138" t="s">
        <v>93</v>
      </c>
      <c r="J1741" s="141">
        <f t="shared" si="399"/>
        <v>0.35</v>
      </c>
      <c r="K1741" s="95">
        <f t="shared" si="393"/>
        <v>49.652432969215489</v>
      </c>
      <c r="L1741" s="95">
        <f t="shared" si="394"/>
        <v>1.2612612612612613</v>
      </c>
      <c r="M1741" s="133">
        <f t="shared" si="395"/>
        <v>647.84999999999991</v>
      </c>
      <c r="N1741" s="133">
        <f t="shared" si="396"/>
        <v>5647.85</v>
      </c>
      <c r="O1741" s="134">
        <f t="shared" si="397"/>
        <v>56.085898709036748</v>
      </c>
      <c r="P1741" s="134">
        <f t="shared" si="398"/>
        <v>1.424682882882883</v>
      </c>
      <c r="R1741" s="149">
        <f t="shared" si="392"/>
        <v>3.3201252753203292</v>
      </c>
      <c r="S1741" s="140">
        <f t="shared" si="400"/>
        <v>56.024627606752738</v>
      </c>
    </row>
    <row r="1742" spans="1:19" ht="14.45" x14ac:dyDescent="0.3">
      <c r="A1742" s="60" t="s">
        <v>134</v>
      </c>
      <c r="B1742" s="60" t="s">
        <v>8</v>
      </c>
      <c r="C1742" s="60" t="s">
        <v>29</v>
      </c>
      <c r="D1742" s="60" t="s">
        <v>91</v>
      </c>
      <c r="E1742" s="89">
        <f t="shared" si="401"/>
        <v>41699</v>
      </c>
      <c r="F1742" s="61"/>
      <c r="G1742" s="92">
        <v>4960</v>
      </c>
      <c r="H1742" s="138">
        <v>1695</v>
      </c>
      <c r="I1742" s="138" t="s">
        <v>93</v>
      </c>
      <c r="J1742" s="141">
        <f t="shared" si="399"/>
        <v>0.35</v>
      </c>
      <c r="K1742" s="95">
        <f t="shared" si="393"/>
        <v>49.255213505461768</v>
      </c>
      <c r="L1742" s="95">
        <f t="shared" si="394"/>
        <v>1.2511711711711713</v>
      </c>
      <c r="M1742" s="133">
        <f t="shared" si="395"/>
        <v>593.25</v>
      </c>
      <c r="N1742" s="133">
        <f t="shared" si="396"/>
        <v>5553.25</v>
      </c>
      <c r="O1742" s="134">
        <f t="shared" si="397"/>
        <v>55.146474677259185</v>
      </c>
      <c r="P1742" s="134">
        <f t="shared" si="398"/>
        <v>1.4008198198198198</v>
      </c>
      <c r="R1742" s="149">
        <f t="shared" si="392"/>
        <v>3.4086253770809316</v>
      </c>
      <c r="S1742" s="140">
        <f t="shared" si="400"/>
        <v>55.090367428003979</v>
      </c>
    </row>
    <row r="1743" spans="1:19" ht="14.45" x14ac:dyDescent="0.3">
      <c r="A1743" s="60" t="s">
        <v>134</v>
      </c>
      <c r="B1743" s="60" t="s">
        <v>13</v>
      </c>
      <c r="C1743" s="60" t="s">
        <v>7</v>
      </c>
      <c r="D1743" s="60" t="s">
        <v>91</v>
      </c>
      <c r="E1743" s="89">
        <f t="shared" si="401"/>
        <v>41699</v>
      </c>
      <c r="F1743" s="61"/>
      <c r="G1743" s="92">
        <v>3011</v>
      </c>
      <c r="H1743" s="138">
        <v>1006</v>
      </c>
      <c r="I1743" s="138" t="s">
        <v>92</v>
      </c>
      <c r="J1743" s="141">
        <f t="shared" si="399"/>
        <v>0.36</v>
      </c>
      <c r="K1743" s="95">
        <f t="shared" si="393"/>
        <v>29.900695134061568</v>
      </c>
      <c r="L1743" s="95">
        <f t="shared" si="394"/>
        <v>0.75953153153153152</v>
      </c>
      <c r="M1743" s="133">
        <f t="shared" si="395"/>
        <v>362.15999999999997</v>
      </c>
      <c r="N1743" s="133">
        <f t="shared" si="396"/>
        <v>3373.16</v>
      </c>
      <c r="O1743" s="134">
        <f t="shared" si="397"/>
        <v>33.497120158887782</v>
      </c>
      <c r="P1743" s="134">
        <f t="shared" si="398"/>
        <v>0.85088720720720723</v>
      </c>
      <c r="R1743" s="149">
        <f t="shared" si="392"/>
        <v>2.1791943584493101</v>
      </c>
      <c r="S1743" s="140">
        <f t="shared" si="400"/>
        <v>33.463819927176424</v>
      </c>
    </row>
    <row r="1744" spans="1:19" ht="14.45" x14ac:dyDescent="0.3">
      <c r="A1744" s="60" t="s">
        <v>134</v>
      </c>
      <c r="B1744" s="60" t="s">
        <v>30</v>
      </c>
      <c r="C1744" s="60" t="s">
        <v>9</v>
      </c>
      <c r="D1744" s="60" t="s">
        <v>91</v>
      </c>
      <c r="E1744" s="89">
        <f t="shared" si="401"/>
        <v>41699</v>
      </c>
      <c r="F1744" s="61"/>
      <c r="G1744" s="92">
        <v>3510</v>
      </c>
      <c r="H1744" s="138">
        <v>988</v>
      </c>
      <c r="I1744" s="138" t="s">
        <v>93</v>
      </c>
      <c r="J1744" s="141">
        <f t="shared" si="399"/>
        <v>0.35</v>
      </c>
      <c r="K1744" s="95">
        <f t="shared" si="393"/>
        <v>34.856007944389276</v>
      </c>
      <c r="L1744" s="95">
        <f t="shared" si="394"/>
        <v>0.88540540540540547</v>
      </c>
      <c r="M1744" s="133">
        <f t="shared" si="395"/>
        <v>345.79999999999995</v>
      </c>
      <c r="N1744" s="133">
        <f t="shared" si="396"/>
        <v>3855.8</v>
      </c>
      <c r="O1744" s="134">
        <f t="shared" si="397"/>
        <v>38.289970208540218</v>
      </c>
      <c r="P1744" s="134">
        <f t="shared" si="398"/>
        <v>0.97263423423423434</v>
      </c>
      <c r="R1744" s="149">
        <f t="shared" si="392"/>
        <v>5.1864865454704256</v>
      </c>
      <c r="S1744" s="140">
        <f t="shared" si="400"/>
        <v>38.257265806024492</v>
      </c>
    </row>
    <row r="1745" spans="1:19" ht="14.45" x14ac:dyDescent="0.3">
      <c r="A1745" s="60" t="s">
        <v>134</v>
      </c>
      <c r="B1745" s="60" t="s">
        <v>16</v>
      </c>
      <c r="C1745" s="60" t="s">
        <v>11</v>
      </c>
      <c r="D1745" s="60" t="s">
        <v>91</v>
      </c>
      <c r="E1745" s="89">
        <f t="shared" si="401"/>
        <v>41699</v>
      </c>
      <c r="F1745" s="61"/>
      <c r="G1745" s="92">
        <v>3590</v>
      </c>
      <c r="H1745" s="138">
        <v>787</v>
      </c>
      <c r="I1745" s="138" t="s">
        <v>92</v>
      </c>
      <c r="J1745" s="141">
        <f t="shared" si="399"/>
        <v>0.36</v>
      </c>
      <c r="K1745" s="95">
        <f t="shared" si="393"/>
        <v>35.650446871896719</v>
      </c>
      <c r="L1745" s="95">
        <f t="shared" si="394"/>
        <v>0.90558558558558555</v>
      </c>
      <c r="M1745" s="133">
        <f t="shared" si="395"/>
        <v>283.32</v>
      </c>
      <c r="N1745" s="133">
        <f t="shared" si="396"/>
        <v>3873.32</v>
      </c>
      <c r="O1745" s="134">
        <f t="shared" si="397"/>
        <v>38.463952333664352</v>
      </c>
      <c r="P1745" s="134">
        <f t="shared" si="398"/>
        <v>0.97705369369369377</v>
      </c>
      <c r="R1745" s="149">
        <f t="shared" si="392"/>
        <v>1.8975636576966659</v>
      </c>
      <c r="S1745" s="140">
        <f t="shared" si="400"/>
        <v>38.437901357166503</v>
      </c>
    </row>
    <row r="1746" spans="1:19" ht="14.45" x14ac:dyDescent="0.3">
      <c r="A1746" s="60" t="s">
        <v>134</v>
      </c>
      <c r="B1746" s="60" t="s">
        <v>23</v>
      </c>
      <c r="C1746" s="60" t="s">
        <v>29</v>
      </c>
      <c r="D1746" s="60" t="s">
        <v>91</v>
      </c>
      <c r="E1746" s="89">
        <f t="shared" si="401"/>
        <v>41699</v>
      </c>
      <c r="F1746" s="61"/>
      <c r="G1746" s="92">
        <v>5000</v>
      </c>
      <c r="H1746" s="138">
        <v>1836</v>
      </c>
      <c r="I1746" s="138" t="s">
        <v>93</v>
      </c>
      <c r="J1746" s="141">
        <f t="shared" si="399"/>
        <v>0.35</v>
      </c>
      <c r="K1746" s="95">
        <f t="shared" si="393"/>
        <v>49.652432969215489</v>
      </c>
      <c r="L1746" s="95">
        <f t="shared" si="394"/>
        <v>1.2612612612612613</v>
      </c>
      <c r="M1746" s="133">
        <f t="shared" si="395"/>
        <v>642.59999999999991</v>
      </c>
      <c r="N1746" s="133">
        <f t="shared" si="396"/>
        <v>5642.6</v>
      </c>
      <c r="O1746" s="134">
        <f t="shared" si="397"/>
        <v>56.033763654419069</v>
      </c>
      <c r="P1746" s="134">
        <f t="shared" si="398"/>
        <v>1.4233585585585586</v>
      </c>
      <c r="R1746" s="149">
        <f t="shared" si="392"/>
        <v>3.3261551082593543</v>
      </c>
      <c r="S1746" s="140">
        <f t="shared" si="400"/>
        <v>55.972989076464749</v>
      </c>
    </row>
    <row r="1747" spans="1:19" ht="14.45" x14ac:dyDescent="0.3">
      <c r="A1747" s="60" t="s">
        <v>134</v>
      </c>
      <c r="B1747" s="60" t="s">
        <v>31</v>
      </c>
      <c r="C1747" s="60" t="s">
        <v>32</v>
      </c>
      <c r="D1747" s="60" t="s">
        <v>91</v>
      </c>
      <c r="E1747" s="89">
        <f t="shared" si="401"/>
        <v>41699</v>
      </c>
      <c r="F1747" s="61"/>
      <c r="G1747" s="92">
        <v>4400</v>
      </c>
      <c r="H1747" s="138">
        <v>1899</v>
      </c>
      <c r="I1747" s="138" t="s">
        <v>93</v>
      </c>
      <c r="J1747" s="141">
        <f t="shared" si="399"/>
        <v>0.35</v>
      </c>
      <c r="K1747" s="95">
        <f t="shared" si="393"/>
        <v>43.694141012909633</v>
      </c>
      <c r="L1747" s="95">
        <f t="shared" si="394"/>
        <v>1.1099099099099099</v>
      </c>
      <c r="M1747" s="133">
        <f t="shared" si="395"/>
        <v>664.65</v>
      </c>
      <c r="N1747" s="133">
        <f t="shared" si="396"/>
        <v>5064.6499999999996</v>
      </c>
      <c r="O1747" s="134">
        <f t="shared" si="397"/>
        <v>50.294438927507443</v>
      </c>
      <c r="P1747" s="134">
        <f t="shared" si="398"/>
        <v>1.2775693693693693</v>
      </c>
      <c r="R1747" s="149">
        <f t="shared" si="392"/>
        <v>3.706456659377011</v>
      </c>
      <c r="S1747" s="140">
        <f t="shared" si="400"/>
        <v>50.231578947368426</v>
      </c>
    </row>
    <row r="1748" spans="1:19" ht="14.45" x14ac:dyDescent="0.3">
      <c r="A1748" s="60" t="s">
        <v>22</v>
      </c>
      <c r="B1748" s="60" t="s">
        <v>8</v>
      </c>
      <c r="C1748" s="60" t="s">
        <v>29</v>
      </c>
      <c r="D1748" s="60" t="s">
        <v>91</v>
      </c>
      <c r="E1748" s="89">
        <f t="shared" si="401"/>
        <v>41699</v>
      </c>
      <c r="F1748" s="61"/>
      <c r="G1748" s="92">
        <v>5520</v>
      </c>
      <c r="H1748" s="138">
        <v>1695</v>
      </c>
      <c r="I1748" s="138" t="s">
        <v>93</v>
      </c>
      <c r="J1748" s="141">
        <f t="shared" si="399"/>
        <v>0.35</v>
      </c>
      <c r="K1748" s="95">
        <f t="shared" si="393"/>
        <v>54.816285998013903</v>
      </c>
      <c r="L1748" s="95">
        <f t="shared" si="394"/>
        <v>1.491891891891892</v>
      </c>
      <c r="M1748" s="133">
        <f t="shared" si="395"/>
        <v>593.25</v>
      </c>
      <c r="N1748" s="133">
        <f t="shared" si="396"/>
        <v>6113.25</v>
      </c>
      <c r="O1748" s="134">
        <f t="shared" si="397"/>
        <v>60.70754716981132</v>
      </c>
      <c r="P1748" s="134">
        <f t="shared" si="398"/>
        <v>1.6522297297297297</v>
      </c>
      <c r="R1748" s="149">
        <f t="shared" si="392"/>
        <v>3.086742437017298</v>
      </c>
      <c r="S1748" s="140">
        <f t="shared" si="400"/>
        <v>60.651439920556108</v>
      </c>
    </row>
    <row r="1749" spans="1:19" ht="14.45" x14ac:dyDescent="0.3">
      <c r="A1749" s="60" t="s">
        <v>22</v>
      </c>
      <c r="B1749" s="60" t="s">
        <v>23</v>
      </c>
      <c r="C1749" s="60" t="s">
        <v>26</v>
      </c>
      <c r="D1749" s="60" t="s">
        <v>91</v>
      </c>
      <c r="E1749" s="89">
        <f t="shared" si="401"/>
        <v>41699</v>
      </c>
      <c r="F1749" s="61"/>
      <c r="G1749" s="92">
        <v>5530</v>
      </c>
      <c r="H1749" s="138">
        <v>1851</v>
      </c>
      <c r="I1749" s="138" t="s">
        <v>93</v>
      </c>
      <c r="J1749" s="141">
        <f t="shared" si="399"/>
        <v>0.35</v>
      </c>
      <c r="K1749" s="95">
        <f t="shared" si="393"/>
        <v>54.915590863952332</v>
      </c>
      <c r="L1749" s="95">
        <f t="shared" si="394"/>
        <v>1.4945945945945946</v>
      </c>
      <c r="M1749" s="133">
        <f t="shared" si="395"/>
        <v>647.84999999999991</v>
      </c>
      <c r="N1749" s="133">
        <f t="shared" si="396"/>
        <v>6177.85</v>
      </c>
      <c r="O1749" s="134">
        <f t="shared" si="397"/>
        <v>61.34905660377359</v>
      </c>
      <c r="P1749" s="134">
        <f t="shared" si="398"/>
        <v>1.6696891891891892</v>
      </c>
      <c r="R1749" s="149">
        <f t="shared" si="392"/>
        <v>3.0266695128378096</v>
      </c>
      <c r="S1749" s="140">
        <f t="shared" si="400"/>
        <v>61.287785501489573</v>
      </c>
    </row>
    <row r="1750" spans="1:19" ht="14.45" x14ac:dyDescent="0.3">
      <c r="A1750" s="60" t="s">
        <v>22</v>
      </c>
      <c r="B1750" s="60" t="s">
        <v>33</v>
      </c>
      <c r="C1750" s="60" t="s">
        <v>29</v>
      </c>
      <c r="D1750" s="60" t="s">
        <v>91</v>
      </c>
      <c r="E1750" s="89">
        <f t="shared" si="401"/>
        <v>41699</v>
      </c>
      <c r="F1750" s="61"/>
      <c r="G1750" s="92">
        <v>5430</v>
      </c>
      <c r="H1750" s="138">
        <v>1507</v>
      </c>
      <c r="I1750" s="138" t="s">
        <v>93</v>
      </c>
      <c r="J1750" s="141">
        <f t="shared" si="399"/>
        <v>0.35</v>
      </c>
      <c r="K1750" s="95">
        <f t="shared" si="393"/>
        <v>53.922542204568025</v>
      </c>
      <c r="L1750" s="95">
        <f t="shared" si="394"/>
        <v>1.4675675675675677</v>
      </c>
      <c r="M1750" s="133">
        <f t="shared" si="395"/>
        <v>527.44999999999993</v>
      </c>
      <c r="N1750" s="133">
        <f t="shared" si="396"/>
        <v>5957.45</v>
      </c>
      <c r="O1750" s="134">
        <f t="shared" si="397"/>
        <v>59.160377358490564</v>
      </c>
      <c r="P1750" s="134">
        <f t="shared" si="398"/>
        <v>1.6101216216216216</v>
      </c>
      <c r="R1750" s="149">
        <f t="shared" si="392"/>
        <v>3.2036268388849098</v>
      </c>
      <c r="S1750" s="140">
        <f t="shared" si="400"/>
        <v>59.110493214167491</v>
      </c>
    </row>
    <row r="1751" spans="1:19" ht="14.45" x14ac:dyDescent="0.3">
      <c r="A1751" s="60" t="s">
        <v>22</v>
      </c>
      <c r="B1751" s="60" t="s">
        <v>31</v>
      </c>
      <c r="C1751" s="60" t="s">
        <v>7</v>
      </c>
      <c r="D1751" s="60" t="s">
        <v>91</v>
      </c>
      <c r="E1751" s="89">
        <f t="shared" si="401"/>
        <v>41699</v>
      </c>
      <c r="F1751" s="61"/>
      <c r="G1751" s="92">
        <v>4175</v>
      </c>
      <c r="H1751" s="138">
        <v>1160</v>
      </c>
      <c r="I1751" s="138" t="s">
        <v>92</v>
      </c>
      <c r="J1751" s="141">
        <f t="shared" si="399"/>
        <v>0.36</v>
      </c>
      <c r="K1751" s="95">
        <f t="shared" si="393"/>
        <v>41.459781529294936</v>
      </c>
      <c r="L1751" s="95">
        <f t="shared" si="394"/>
        <v>1.1283783783783783</v>
      </c>
      <c r="M1751" s="133">
        <f t="shared" si="395"/>
        <v>417.59999999999997</v>
      </c>
      <c r="N1751" s="133">
        <f t="shared" si="396"/>
        <v>4592.6000000000004</v>
      </c>
      <c r="O1751" s="134">
        <f t="shared" si="397"/>
        <v>45.606752730883812</v>
      </c>
      <c r="P1751" s="134">
        <f t="shared" si="398"/>
        <v>1.2412432432432434</v>
      </c>
      <c r="R1751" s="149">
        <f t="shared" si="392"/>
        <v>4.8730361709901526</v>
      </c>
      <c r="S1751" s="140">
        <f t="shared" si="400"/>
        <v>45.568354849387617</v>
      </c>
    </row>
    <row r="1752" spans="1:19" ht="14.45" x14ac:dyDescent="0.3">
      <c r="A1752" s="60" t="s">
        <v>22</v>
      </c>
      <c r="B1752" s="60" t="s">
        <v>14</v>
      </c>
      <c r="C1752" s="60" t="s">
        <v>24</v>
      </c>
      <c r="D1752" s="60" t="s">
        <v>91</v>
      </c>
      <c r="E1752" s="89">
        <f t="shared" si="401"/>
        <v>41699</v>
      </c>
      <c r="F1752" s="61"/>
      <c r="G1752" s="92">
        <v>2862</v>
      </c>
      <c r="H1752" s="138">
        <v>615</v>
      </c>
      <c r="I1752" s="138" t="s">
        <v>94</v>
      </c>
      <c r="J1752" s="141">
        <f t="shared" si="399"/>
        <v>0.48</v>
      </c>
      <c r="K1752" s="95">
        <f t="shared" si="393"/>
        <v>28.421052631578945</v>
      </c>
      <c r="L1752" s="95">
        <f t="shared" si="394"/>
        <v>0.7735135135135135</v>
      </c>
      <c r="M1752" s="133">
        <f t="shared" si="395"/>
        <v>295.2</v>
      </c>
      <c r="N1752" s="133">
        <f t="shared" si="396"/>
        <v>3157.2</v>
      </c>
      <c r="O1752" s="134">
        <f t="shared" si="397"/>
        <v>31.352532274081426</v>
      </c>
      <c r="P1752" s="134">
        <f t="shared" si="398"/>
        <v>0.8532972972972972</v>
      </c>
      <c r="R1752" s="149">
        <f t="shared" si="392"/>
        <v>3.6779193484828498</v>
      </c>
      <c r="S1752" s="140">
        <f t="shared" si="400"/>
        <v>31.311817279046668</v>
      </c>
    </row>
    <row r="1753" spans="1:19" ht="14.45" x14ac:dyDescent="0.3">
      <c r="A1753" s="85" t="s">
        <v>22</v>
      </c>
      <c r="B1753" s="85" t="s">
        <v>34</v>
      </c>
      <c r="C1753" s="85" t="s">
        <v>26</v>
      </c>
      <c r="D1753" s="85" t="s">
        <v>91</v>
      </c>
      <c r="E1753" s="91">
        <f t="shared" si="401"/>
        <v>41699</v>
      </c>
      <c r="F1753" s="86"/>
      <c r="G1753" s="105">
        <v>5110</v>
      </c>
      <c r="H1753" s="143">
        <v>1637</v>
      </c>
      <c r="I1753" s="143" t="s">
        <v>92</v>
      </c>
      <c r="J1753" s="117">
        <f t="shared" si="399"/>
        <v>0.36</v>
      </c>
      <c r="K1753" s="108">
        <f t="shared" si="393"/>
        <v>50.744786494538232</v>
      </c>
      <c r="L1753" s="108">
        <f t="shared" si="394"/>
        <v>1.3810810810810812</v>
      </c>
      <c r="M1753" s="115">
        <f t="shared" si="395"/>
        <v>589.31999999999994</v>
      </c>
      <c r="N1753" s="115">
        <f t="shared" si="396"/>
        <v>5699.32</v>
      </c>
      <c r="O1753" s="116">
        <f t="shared" si="397"/>
        <v>56.597020854021842</v>
      </c>
      <c r="P1753" s="116">
        <f t="shared" si="398"/>
        <v>1.5403567567567567</v>
      </c>
      <c r="Q1753" s="106"/>
      <c r="R1753" s="152">
        <f t="shared" si="392"/>
        <v>-1.7475507224140596</v>
      </c>
      <c r="S1753" s="108">
        <f>AVERAGE(O1677,O1715,O1753)</f>
        <v>56.542833498841439</v>
      </c>
    </row>
    <row r="1754" spans="1:19" ht="14.45" x14ac:dyDescent="0.3">
      <c r="A1754" s="82" t="s">
        <v>1</v>
      </c>
      <c r="B1754" s="82" t="s">
        <v>2</v>
      </c>
      <c r="C1754" s="82" t="s">
        <v>3</v>
      </c>
      <c r="D1754" s="82" t="s">
        <v>90</v>
      </c>
      <c r="E1754" s="87">
        <v>41730</v>
      </c>
      <c r="F1754" s="83"/>
      <c r="G1754" s="92">
        <v>3191</v>
      </c>
      <c r="H1754" s="52">
        <v>506</v>
      </c>
      <c r="I1754" s="52" t="s">
        <v>92</v>
      </c>
      <c r="J1754" s="157">
        <f>IF(I1754="BNSF",0.38,IF(I1754="CN",0.3278,IF(I1754="CSX",0.5,0.38)))</f>
        <v>0.38</v>
      </c>
      <c r="K1754" s="101">
        <f t="shared" ref="K1754:K1791" si="402">G1754/100.7</f>
        <v>31.688182720953325</v>
      </c>
      <c r="L1754" s="101">
        <f t="shared" ref="L1754:L1791" si="403">IF(A1754="corn",G1754/(111*2000/56),G1754/(111*2000/60))</f>
        <v>0.86243243243243239</v>
      </c>
      <c r="M1754" s="133">
        <f t="shared" ref="M1754:M1791" si="404">H1754*J1754</f>
        <v>192.28</v>
      </c>
      <c r="N1754" s="133">
        <f t="shared" ref="N1754:N1791" si="405">G1754+M1754</f>
        <v>3383.28</v>
      </c>
      <c r="O1754" s="134">
        <f t="shared" ref="O1754:O1791" si="406">N1754/100.7</f>
        <v>33.597616683217481</v>
      </c>
      <c r="P1754" s="134">
        <f t="shared" ref="P1754:P1791" si="407">IF(A1754="corn",N1754/(111*2000/56),N1754/(111*2000/60))</f>
        <v>0.9144000000000001</v>
      </c>
      <c r="R1754" s="149">
        <f t="shared" ref="R1754:R1791" si="408">((N1754/N1298)-1)*100</f>
        <v>0.94943696180171955</v>
      </c>
    </row>
    <row r="1755" spans="1:19" ht="14.45" x14ac:dyDescent="0.3">
      <c r="A1755" s="82" t="s">
        <v>1</v>
      </c>
      <c r="B1755" s="82" t="s">
        <v>4</v>
      </c>
      <c r="C1755" s="82" t="s">
        <v>5</v>
      </c>
      <c r="D1755" s="82" t="s">
        <v>90</v>
      </c>
      <c r="E1755" s="87">
        <f>E1754</f>
        <v>41730</v>
      </c>
      <c r="F1755" s="83"/>
      <c r="G1755" s="92">
        <v>3596</v>
      </c>
      <c r="H1755" s="52">
        <v>298</v>
      </c>
      <c r="I1755" s="52" t="s">
        <v>93</v>
      </c>
      <c r="J1755" s="157">
        <f>IF(I1755="BNSF",0.38,IF(I1755="CN",0.3278,IF(I1755="CSX",0.5,0.38)))</f>
        <v>0.38</v>
      </c>
      <c r="K1755" s="101">
        <f t="shared" si="402"/>
        <v>35.710029791459782</v>
      </c>
      <c r="L1755" s="101">
        <f t="shared" si="403"/>
        <v>0.97189189189189185</v>
      </c>
      <c r="M1755" s="133">
        <f t="shared" si="404"/>
        <v>113.24</v>
      </c>
      <c r="N1755" s="133">
        <f t="shared" si="405"/>
        <v>3709.24</v>
      </c>
      <c r="O1755" s="134">
        <f t="shared" si="406"/>
        <v>36.834558093346573</v>
      </c>
      <c r="P1755" s="134">
        <f t="shared" si="407"/>
        <v>1.0024972972972972</v>
      </c>
      <c r="R1755" s="149">
        <f t="shared" si="408"/>
        <v>1.2021237701831833</v>
      </c>
    </row>
    <row r="1756" spans="1:19" ht="14.45" x14ac:dyDescent="0.3">
      <c r="A1756" s="82" t="s">
        <v>1</v>
      </c>
      <c r="B1756" s="82" t="s">
        <v>2</v>
      </c>
      <c r="C1756" s="82" t="s">
        <v>6</v>
      </c>
      <c r="D1756" s="82" t="s">
        <v>90</v>
      </c>
      <c r="E1756" s="87">
        <f t="shared" ref="E1756:E1791" si="409">E1755</f>
        <v>41730</v>
      </c>
      <c r="F1756" s="83"/>
      <c r="G1756" s="92">
        <v>6244</v>
      </c>
      <c r="H1756" s="52">
        <v>1530</v>
      </c>
      <c r="I1756" s="52" t="s">
        <v>93</v>
      </c>
      <c r="J1756" s="157">
        <f t="shared" ref="J1756:J1791" si="410">IF(I1756="BNSF",0.38,IF(I1756="CN",0.3278,IF(I1756="CSX",0.5,0.38)))</f>
        <v>0.38</v>
      </c>
      <c r="K1756" s="101">
        <f t="shared" si="402"/>
        <v>62.005958291956304</v>
      </c>
      <c r="L1756" s="101">
        <f t="shared" si="403"/>
        <v>1.6875675675675677</v>
      </c>
      <c r="M1756" s="133">
        <f t="shared" si="404"/>
        <v>581.4</v>
      </c>
      <c r="N1756" s="133">
        <f t="shared" si="405"/>
        <v>6825.4</v>
      </c>
      <c r="O1756" s="134">
        <f t="shared" si="406"/>
        <v>67.779543197616675</v>
      </c>
      <c r="P1756" s="134">
        <f t="shared" si="407"/>
        <v>1.8447027027027025</v>
      </c>
      <c r="R1756" s="149">
        <f t="shared" si="408"/>
        <v>2.5866863060436174</v>
      </c>
    </row>
    <row r="1757" spans="1:19" ht="14.45" x14ac:dyDescent="0.3">
      <c r="A1757" s="82" t="s">
        <v>1</v>
      </c>
      <c r="B1757" s="82" t="s">
        <v>2</v>
      </c>
      <c r="C1757" s="82" t="s">
        <v>7</v>
      </c>
      <c r="D1757" s="82" t="s">
        <v>90</v>
      </c>
      <c r="E1757" s="87">
        <f t="shared" si="409"/>
        <v>41730</v>
      </c>
      <c r="F1757" s="83"/>
      <c r="G1757" s="92">
        <v>3808</v>
      </c>
      <c r="H1757" s="52">
        <v>890</v>
      </c>
      <c r="I1757" s="52" t="s">
        <v>92</v>
      </c>
      <c r="J1757" s="157">
        <f t="shared" si="410"/>
        <v>0.38</v>
      </c>
      <c r="K1757" s="101">
        <f t="shared" si="402"/>
        <v>37.815292949354514</v>
      </c>
      <c r="L1757" s="101">
        <f t="shared" si="403"/>
        <v>1.0291891891891891</v>
      </c>
      <c r="M1757" s="133">
        <f t="shared" si="404"/>
        <v>338.2</v>
      </c>
      <c r="N1757" s="133">
        <f t="shared" si="405"/>
        <v>4146.2</v>
      </c>
      <c r="O1757" s="134">
        <f t="shared" si="406"/>
        <v>41.173783515392252</v>
      </c>
      <c r="P1757" s="134">
        <f t="shared" si="407"/>
        <v>1.1205945945945945</v>
      </c>
      <c r="R1757" s="149">
        <f t="shared" si="408"/>
        <v>3.3990872590338839</v>
      </c>
    </row>
    <row r="1758" spans="1:19" ht="14.45" x14ac:dyDescent="0.3">
      <c r="A1758" s="82" t="s">
        <v>1</v>
      </c>
      <c r="B1758" s="82" t="s">
        <v>8</v>
      </c>
      <c r="C1758" s="82" t="s">
        <v>9</v>
      </c>
      <c r="D1758" s="82" t="s">
        <v>90</v>
      </c>
      <c r="E1758" s="87">
        <f t="shared" si="409"/>
        <v>41730</v>
      </c>
      <c r="F1758" s="83"/>
      <c r="G1758" s="92">
        <v>5824</v>
      </c>
      <c r="H1758" s="52">
        <v>1256</v>
      </c>
      <c r="I1758" s="52" t="s">
        <v>93</v>
      </c>
      <c r="J1758" s="157">
        <f t="shared" si="410"/>
        <v>0.38</v>
      </c>
      <c r="K1758" s="101">
        <f t="shared" si="402"/>
        <v>57.835153922542204</v>
      </c>
      <c r="L1758" s="101">
        <f t="shared" si="403"/>
        <v>1.574054054054054</v>
      </c>
      <c r="M1758" s="133">
        <f t="shared" si="404"/>
        <v>477.28000000000003</v>
      </c>
      <c r="N1758" s="133">
        <f t="shared" si="405"/>
        <v>6301.28</v>
      </c>
      <c r="O1758" s="134">
        <f t="shared" si="406"/>
        <v>62.574776564051632</v>
      </c>
      <c r="P1758" s="134">
        <f t="shared" si="407"/>
        <v>1.7030486486486487</v>
      </c>
      <c r="R1758" s="149">
        <f t="shared" si="408"/>
        <v>3.5039652034507318</v>
      </c>
    </row>
    <row r="1759" spans="1:19" ht="14.45" x14ac:dyDescent="0.3">
      <c r="A1759" s="82" t="s">
        <v>1</v>
      </c>
      <c r="B1759" s="82" t="s">
        <v>10</v>
      </c>
      <c r="C1759" s="82" t="s">
        <v>9</v>
      </c>
      <c r="D1759" s="82" t="s">
        <v>90</v>
      </c>
      <c r="E1759" s="87">
        <f t="shared" si="409"/>
        <v>41730</v>
      </c>
      <c r="F1759" s="83"/>
      <c r="G1759" s="92">
        <v>4076</v>
      </c>
      <c r="H1759" s="52">
        <v>975</v>
      </c>
      <c r="I1759" s="52" t="s">
        <v>92</v>
      </c>
      <c r="J1759" s="157">
        <f t="shared" si="410"/>
        <v>0.38</v>
      </c>
      <c r="K1759" s="101">
        <f t="shared" si="402"/>
        <v>40.476663356504467</v>
      </c>
      <c r="L1759" s="101">
        <f t="shared" si="403"/>
        <v>1.1016216216216217</v>
      </c>
      <c r="M1759" s="133">
        <f t="shared" si="404"/>
        <v>370.5</v>
      </c>
      <c r="N1759" s="133">
        <f t="shared" si="405"/>
        <v>4446.5</v>
      </c>
      <c r="O1759" s="134">
        <f t="shared" si="406"/>
        <v>44.155908639523332</v>
      </c>
      <c r="P1759" s="134">
        <f t="shared" si="407"/>
        <v>1.2017567567567569</v>
      </c>
      <c r="R1759" s="149">
        <f t="shared" si="408"/>
        <v>3.1251811909317473</v>
      </c>
    </row>
    <row r="1760" spans="1:19" ht="14.45" x14ac:dyDescent="0.3">
      <c r="A1760" s="82" t="s">
        <v>1</v>
      </c>
      <c r="B1760" s="82" t="s">
        <v>11</v>
      </c>
      <c r="C1760" s="82" t="s">
        <v>6</v>
      </c>
      <c r="D1760" s="82" t="s">
        <v>90</v>
      </c>
      <c r="E1760" s="87">
        <f t="shared" si="409"/>
        <v>41730</v>
      </c>
      <c r="F1760" s="83"/>
      <c r="G1760" s="92">
        <v>4275</v>
      </c>
      <c r="H1760" s="52">
        <v>1357</v>
      </c>
      <c r="I1760" s="52" t="s">
        <v>92</v>
      </c>
      <c r="J1760" s="157">
        <f t="shared" si="410"/>
        <v>0.38</v>
      </c>
      <c r="K1760" s="101">
        <f t="shared" si="402"/>
        <v>42.452830188679243</v>
      </c>
      <c r="L1760" s="101">
        <f t="shared" si="403"/>
        <v>1.1554054054054055</v>
      </c>
      <c r="M1760" s="133">
        <f t="shared" si="404"/>
        <v>515.66</v>
      </c>
      <c r="N1760" s="133">
        <f t="shared" si="405"/>
        <v>4790.66</v>
      </c>
      <c r="O1760" s="134">
        <f t="shared" si="406"/>
        <v>47.573584905660375</v>
      </c>
      <c r="P1760" s="134">
        <f t="shared" si="407"/>
        <v>1.2947729729729729</v>
      </c>
      <c r="R1760" s="149">
        <f t="shared" si="408"/>
        <v>2.6195438664887272</v>
      </c>
    </row>
    <row r="1761" spans="1:18" ht="14.45" x14ac:dyDescent="0.3">
      <c r="A1761" s="82" t="s">
        <v>134</v>
      </c>
      <c r="B1761" s="82" t="s">
        <v>13</v>
      </c>
      <c r="C1761" s="82" t="s">
        <v>7</v>
      </c>
      <c r="D1761" s="82" t="s">
        <v>90</v>
      </c>
      <c r="E1761" s="87">
        <f t="shared" si="409"/>
        <v>41730</v>
      </c>
      <c r="F1761" s="83"/>
      <c r="G1761" s="92">
        <v>3192</v>
      </c>
      <c r="H1761" s="52">
        <v>1006</v>
      </c>
      <c r="I1761" s="52" t="s">
        <v>92</v>
      </c>
      <c r="J1761" s="157">
        <f t="shared" si="410"/>
        <v>0.38</v>
      </c>
      <c r="K1761" s="101">
        <f t="shared" si="402"/>
        <v>31.69811320754717</v>
      </c>
      <c r="L1761" s="101">
        <f t="shared" si="403"/>
        <v>0.80518918918918925</v>
      </c>
      <c r="M1761" s="133">
        <f t="shared" si="404"/>
        <v>382.28000000000003</v>
      </c>
      <c r="N1761" s="133">
        <f t="shared" si="405"/>
        <v>3574.28</v>
      </c>
      <c r="O1761" s="134">
        <f t="shared" si="406"/>
        <v>35.494339622641512</v>
      </c>
      <c r="P1761" s="134">
        <f t="shared" si="407"/>
        <v>0.9016201801801802</v>
      </c>
      <c r="R1761" s="149">
        <f t="shared" si="408"/>
        <v>1.4711309709691589</v>
      </c>
    </row>
    <row r="1762" spans="1:18" ht="14.45" x14ac:dyDescent="0.3">
      <c r="A1762" s="82" t="s">
        <v>134</v>
      </c>
      <c r="B1762" s="82" t="s">
        <v>14</v>
      </c>
      <c r="C1762" s="82" t="s">
        <v>15</v>
      </c>
      <c r="D1762" s="82" t="s">
        <v>90</v>
      </c>
      <c r="E1762" s="87">
        <f t="shared" si="409"/>
        <v>41730</v>
      </c>
      <c r="F1762" s="83"/>
      <c r="G1762" s="92">
        <v>4686</v>
      </c>
      <c r="H1762" s="52">
        <v>866</v>
      </c>
      <c r="I1762" s="52" t="s">
        <v>94</v>
      </c>
      <c r="J1762" s="157">
        <f t="shared" si="410"/>
        <v>0.5</v>
      </c>
      <c r="K1762" s="101">
        <f t="shared" si="402"/>
        <v>46.53426017874876</v>
      </c>
      <c r="L1762" s="101">
        <f t="shared" si="403"/>
        <v>1.1820540540540541</v>
      </c>
      <c r="M1762" s="133">
        <f t="shared" si="404"/>
        <v>433</v>
      </c>
      <c r="N1762" s="133">
        <f t="shared" si="405"/>
        <v>5119</v>
      </c>
      <c r="O1762" s="134">
        <f t="shared" si="406"/>
        <v>50.834160873882816</v>
      </c>
      <c r="P1762" s="134">
        <f t="shared" si="407"/>
        <v>1.2912792792792793</v>
      </c>
      <c r="R1762" s="149">
        <f t="shared" si="408"/>
        <v>3.0606122835203697</v>
      </c>
    </row>
    <row r="1763" spans="1:18" ht="14.45" x14ac:dyDescent="0.3">
      <c r="A1763" s="82" t="s">
        <v>134</v>
      </c>
      <c r="B1763" s="82" t="s">
        <v>16</v>
      </c>
      <c r="C1763" s="82" t="s">
        <v>17</v>
      </c>
      <c r="D1763" s="82" t="s">
        <v>90</v>
      </c>
      <c r="E1763" s="87">
        <f t="shared" si="409"/>
        <v>41730</v>
      </c>
      <c r="F1763" s="83"/>
      <c r="G1763" s="92">
        <v>2078</v>
      </c>
      <c r="H1763" s="52">
        <v>213</v>
      </c>
      <c r="I1763" s="52" t="s">
        <v>92</v>
      </c>
      <c r="J1763" s="157">
        <f t="shared" si="410"/>
        <v>0.38</v>
      </c>
      <c r="K1763" s="101">
        <f t="shared" si="402"/>
        <v>20.635551142005959</v>
      </c>
      <c r="L1763" s="101">
        <f t="shared" si="403"/>
        <v>0.5241801801801802</v>
      </c>
      <c r="M1763" s="133">
        <f t="shared" si="404"/>
        <v>80.94</v>
      </c>
      <c r="N1763" s="133">
        <f t="shared" si="405"/>
        <v>2158.94</v>
      </c>
      <c r="O1763" s="134">
        <f t="shared" si="406"/>
        <v>21.439324726911618</v>
      </c>
      <c r="P1763" s="134">
        <f t="shared" si="407"/>
        <v>0.54459747747747755</v>
      </c>
      <c r="R1763" s="149">
        <f t="shared" si="408"/>
        <v>3.1342406596188921</v>
      </c>
    </row>
    <row r="1764" spans="1:18" ht="14.45" x14ac:dyDescent="0.3">
      <c r="A1764" s="82" t="s">
        <v>134</v>
      </c>
      <c r="B1764" s="82" t="s">
        <v>18</v>
      </c>
      <c r="C1764" s="82" t="s">
        <v>19</v>
      </c>
      <c r="D1764" s="82" t="s">
        <v>90</v>
      </c>
      <c r="E1764" s="87">
        <f t="shared" si="409"/>
        <v>41730</v>
      </c>
      <c r="F1764" s="83"/>
      <c r="G1764" s="92">
        <v>4061</v>
      </c>
      <c r="H1764" s="52">
        <v>650</v>
      </c>
      <c r="I1764" s="52" t="s">
        <v>94</v>
      </c>
      <c r="J1764" s="157">
        <f t="shared" si="410"/>
        <v>0.5</v>
      </c>
      <c r="K1764" s="101">
        <f t="shared" si="402"/>
        <v>40.327706057596821</v>
      </c>
      <c r="L1764" s="101">
        <f t="shared" si="403"/>
        <v>1.0243963963963965</v>
      </c>
      <c r="M1764" s="133">
        <f t="shared" si="404"/>
        <v>325</v>
      </c>
      <c r="N1764" s="133">
        <f t="shared" si="405"/>
        <v>4386</v>
      </c>
      <c r="O1764" s="134">
        <f t="shared" si="406"/>
        <v>43.555114200595831</v>
      </c>
      <c r="P1764" s="134">
        <f t="shared" si="407"/>
        <v>1.1063783783783785</v>
      </c>
      <c r="R1764" s="149">
        <f t="shared" si="408"/>
        <v>2.8491030601477396</v>
      </c>
    </row>
    <row r="1765" spans="1:18" ht="14.45" x14ac:dyDescent="0.3">
      <c r="A1765" s="82" t="s">
        <v>134</v>
      </c>
      <c r="B1765" s="82" t="s">
        <v>18</v>
      </c>
      <c r="C1765" s="82" t="s">
        <v>20</v>
      </c>
      <c r="D1765" s="82" t="s">
        <v>90</v>
      </c>
      <c r="E1765" s="87">
        <f t="shared" si="409"/>
        <v>41730</v>
      </c>
      <c r="F1765" s="83"/>
      <c r="G1765" s="92">
        <v>3469</v>
      </c>
      <c r="H1765" s="52">
        <v>417</v>
      </c>
      <c r="I1765" s="52" t="s">
        <v>94</v>
      </c>
      <c r="J1765" s="157">
        <f t="shared" si="410"/>
        <v>0.5</v>
      </c>
      <c r="K1765" s="101">
        <f t="shared" si="402"/>
        <v>34.44885799404171</v>
      </c>
      <c r="L1765" s="101">
        <f t="shared" si="403"/>
        <v>0.87506306306306303</v>
      </c>
      <c r="M1765" s="133">
        <f t="shared" si="404"/>
        <v>208.5</v>
      </c>
      <c r="N1765" s="133">
        <f t="shared" si="405"/>
        <v>3677.5</v>
      </c>
      <c r="O1765" s="134">
        <f t="shared" si="406"/>
        <v>36.519364448857992</v>
      </c>
      <c r="P1765" s="134">
        <f t="shared" si="407"/>
        <v>0.92765765765765762</v>
      </c>
      <c r="R1765" s="149">
        <f t="shared" si="408"/>
        <v>2.8668451277059193</v>
      </c>
    </row>
    <row r="1766" spans="1:18" ht="14.45" x14ac:dyDescent="0.3">
      <c r="A1766" s="82" t="s">
        <v>134</v>
      </c>
      <c r="B1766" s="82" t="s">
        <v>16</v>
      </c>
      <c r="C1766" s="82" t="s">
        <v>21</v>
      </c>
      <c r="D1766" s="82" t="s">
        <v>90</v>
      </c>
      <c r="E1766" s="87">
        <f t="shared" si="409"/>
        <v>41730</v>
      </c>
      <c r="F1766" s="83"/>
      <c r="G1766" s="92">
        <v>3218</v>
      </c>
      <c r="H1766" s="52">
        <v>626</v>
      </c>
      <c r="I1766" s="52" t="s">
        <v>92</v>
      </c>
      <c r="J1766" s="157">
        <f t="shared" si="410"/>
        <v>0.38</v>
      </c>
      <c r="K1766" s="101">
        <f t="shared" si="402"/>
        <v>31.95630585898709</v>
      </c>
      <c r="L1766" s="101">
        <f t="shared" si="403"/>
        <v>0.81174774774774772</v>
      </c>
      <c r="M1766" s="133">
        <f t="shared" si="404"/>
        <v>237.88</v>
      </c>
      <c r="N1766" s="133">
        <f t="shared" si="405"/>
        <v>3455.88</v>
      </c>
      <c r="O1766" s="134">
        <f t="shared" si="406"/>
        <v>34.31857000993049</v>
      </c>
      <c r="P1766" s="134">
        <f t="shared" si="407"/>
        <v>0.8717535135135136</v>
      </c>
      <c r="R1766" s="149">
        <f t="shared" si="408"/>
        <v>1.3258430919528941</v>
      </c>
    </row>
    <row r="1767" spans="1:18" ht="14.45" x14ac:dyDescent="0.3">
      <c r="A1767" s="82" t="s">
        <v>134</v>
      </c>
      <c r="B1767" s="82" t="s">
        <v>16</v>
      </c>
      <c r="C1767" s="82" t="s">
        <v>6</v>
      </c>
      <c r="D1767" s="82" t="s">
        <v>90</v>
      </c>
      <c r="E1767" s="87">
        <f t="shared" si="409"/>
        <v>41730</v>
      </c>
      <c r="F1767" s="83"/>
      <c r="G1767" s="92">
        <v>5215</v>
      </c>
      <c r="H1767" s="52">
        <v>1823</v>
      </c>
      <c r="I1767" s="52" t="s">
        <v>92</v>
      </c>
      <c r="J1767" s="157">
        <f t="shared" si="410"/>
        <v>0.38</v>
      </c>
      <c r="K1767" s="101">
        <f t="shared" si="402"/>
        <v>51.787487586891757</v>
      </c>
      <c r="L1767" s="101">
        <f t="shared" si="403"/>
        <v>1.3154954954954956</v>
      </c>
      <c r="M1767" s="133">
        <f t="shared" si="404"/>
        <v>692.74</v>
      </c>
      <c r="N1767" s="133">
        <f t="shared" si="405"/>
        <v>5907.74</v>
      </c>
      <c r="O1767" s="134">
        <f t="shared" si="406"/>
        <v>58.666732869910625</v>
      </c>
      <c r="P1767" s="134">
        <f t="shared" si="407"/>
        <v>1.4902407207207207</v>
      </c>
      <c r="R1767" s="149">
        <f t="shared" si="408"/>
        <v>1.6397616831514528</v>
      </c>
    </row>
    <row r="1768" spans="1:18" ht="14.45" x14ac:dyDescent="0.3">
      <c r="A1768" s="82" t="s">
        <v>22</v>
      </c>
      <c r="B1768" s="82" t="s">
        <v>23</v>
      </c>
      <c r="C1768" s="82" t="s">
        <v>7</v>
      </c>
      <c r="D1768" s="82" t="s">
        <v>90</v>
      </c>
      <c r="E1768" s="87">
        <f t="shared" si="409"/>
        <v>41730</v>
      </c>
      <c r="F1768" s="83"/>
      <c r="G1768" s="92">
        <v>3424</v>
      </c>
      <c r="H1768" s="52">
        <v>1295</v>
      </c>
      <c r="I1768" s="52" t="s">
        <v>95</v>
      </c>
      <c r="J1768" s="157">
        <f t="shared" si="410"/>
        <v>0.32779999999999998</v>
      </c>
      <c r="K1768" s="101">
        <f t="shared" si="402"/>
        <v>34.00198609731877</v>
      </c>
      <c r="L1768" s="101">
        <f t="shared" si="403"/>
        <v>0.92540540540540539</v>
      </c>
      <c r="M1768" s="133">
        <f t="shared" si="404"/>
        <v>424.50099999999998</v>
      </c>
      <c r="N1768" s="133">
        <f t="shared" si="405"/>
        <v>3848.5010000000002</v>
      </c>
      <c r="O1768" s="134">
        <f t="shared" si="406"/>
        <v>38.217487586891757</v>
      </c>
      <c r="P1768" s="134">
        <f t="shared" si="407"/>
        <v>1.0401354054054055</v>
      </c>
      <c r="R1768" s="149">
        <f t="shared" si="408"/>
        <v>-2.0310384732679765</v>
      </c>
    </row>
    <row r="1769" spans="1:18" ht="14.45" x14ac:dyDescent="0.3">
      <c r="A1769" s="82" t="s">
        <v>22</v>
      </c>
      <c r="B1769" s="82" t="s">
        <v>14</v>
      </c>
      <c r="C1769" s="82" t="s">
        <v>24</v>
      </c>
      <c r="D1769" s="82" t="s">
        <v>90</v>
      </c>
      <c r="E1769" s="87">
        <f t="shared" si="409"/>
        <v>41730</v>
      </c>
      <c r="F1769" s="83"/>
      <c r="G1769" s="92">
        <v>3687</v>
      </c>
      <c r="H1769" s="52">
        <v>615</v>
      </c>
      <c r="I1769" s="52" t="s">
        <v>94</v>
      </c>
      <c r="J1769" s="157">
        <f t="shared" si="410"/>
        <v>0.5</v>
      </c>
      <c r="K1769" s="101">
        <f t="shared" si="402"/>
        <v>36.613704071499505</v>
      </c>
      <c r="L1769" s="101">
        <f t="shared" si="403"/>
        <v>0.99648648648648652</v>
      </c>
      <c r="M1769" s="133">
        <f t="shared" si="404"/>
        <v>307.5</v>
      </c>
      <c r="N1769" s="133">
        <f t="shared" si="405"/>
        <v>3994.5</v>
      </c>
      <c r="O1769" s="134">
        <f t="shared" si="406"/>
        <v>39.667328699106257</v>
      </c>
      <c r="P1769" s="134">
        <f t="shared" si="407"/>
        <v>1.0795945945945946</v>
      </c>
      <c r="R1769" s="149">
        <f t="shared" si="408"/>
        <v>2.3981337879234621</v>
      </c>
    </row>
    <row r="1770" spans="1:18" ht="14.45" x14ac:dyDescent="0.3">
      <c r="A1770" s="82" t="s">
        <v>22</v>
      </c>
      <c r="B1770" s="82" t="s">
        <v>18</v>
      </c>
      <c r="C1770" s="82" t="s">
        <v>15</v>
      </c>
      <c r="D1770" s="82" t="s">
        <v>90</v>
      </c>
      <c r="E1770" s="87">
        <f t="shared" si="409"/>
        <v>41730</v>
      </c>
      <c r="F1770" s="83"/>
      <c r="G1770" s="92">
        <v>4756</v>
      </c>
      <c r="H1770" s="52">
        <v>872</v>
      </c>
      <c r="I1770" s="52" t="s">
        <v>94</v>
      </c>
      <c r="J1770" s="157">
        <f t="shared" si="410"/>
        <v>0.5</v>
      </c>
      <c r="K1770" s="101">
        <f t="shared" si="402"/>
        <v>47.229394240317774</v>
      </c>
      <c r="L1770" s="101">
        <f t="shared" si="403"/>
        <v>1.2854054054054054</v>
      </c>
      <c r="M1770" s="133">
        <f t="shared" si="404"/>
        <v>436</v>
      </c>
      <c r="N1770" s="133">
        <f t="shared" si="405"/>
        <v>5192</v>
      </c>
      <c r="O1770" s="134">
        <f t="shared" si="406"/>
        <v>51.559086395233365</v>
      </c>
      <c r="P1770" s="134">
        <f t="shared" si="407"/>
        <v>1.4032432432432433</v>
      </c>
      <c r="R1770" s="149">
        <f t="shared" si="408"/>
        <v>3.0126027745150941</v>
      </c>
    </row>
    <row r="1771" spans="1:18" ht="14.45" x14ac:dyDescent="0.3">
      <c r="A1771" s="82" t="s">
        <v>22</v>
      </c>
      <c r="B1771" s="82" t="s">
        <v>18</v>
      </c>
      <c r="C1771" s="82" t="s">
        <v>24</v>
      </c>
      <c r="D1771" s="82" t="s">
        <v>90</v>
      </c>
      <c r="E1771" s="87">
        <f t="shared" si="409"/>
        <v>41730</v>
      </c>
      <c r="F1771" s="83"/>
      <c r="G1771" s="92">
        <v>3379</v>
      </c>
      <c r="H1771" s="52">
        <v>417</v>
      </c>
      <c r="I1771" s="52" t="s">
        <v>94</v>
      </c>
      <c r="J1771" s="157">
        <f t="shared" si="410"/>
        <v>0.5</v>
      </c>
      <c r="K1771" s="101">
        <f t="shared" si="402"/>
        <v>33.555114200595831</v>
      </c>
      <c r="L1771" s="101">
        <f t="shared" si="403"/>
        <v>0.91324324324324324</v>
      </c>
      <c r="M1771" s="133">
        <f t="shared" si="404"/>
        <v>208.5</v>
      </c>
      <c r="N1771" s="133">
        <f t="shared" si="405"/>
        <v>3587.5</v>
      </c>
      <c r="O1771" s="134">
        <f t="shared" si="406"/>
        <v>35.625620655412114</v>
      </c>
      <c r="P1771" s="134">
        <f t="shared" si="407"/>
        <v>0.96959459459459463</v>
      </c>
      <c r="R1771" s="149">
        <f t="shared" si="408"/>
        <v>2.8523427398430501</v>
      </c>
    </row>
    <row r="1772" spans="1:18" ht="14.45" x14ac:dyDescent="0.3">
      <c r="A1772" s="82" t="s">
        <v>22</v>
      </c>
      <c r="B1772" s="82" t="s">
        <v>13</v>
      </c>
      <c r="C1772" s="82" t="s">
        <v>7</v>
      </c>
      <c r="D1772" s="82" t="s">
        <v>90</v>
      </c>
      <c r="E1772" s="87">
        <f t="shared" si="409"/>
        <v>41730</v>
      </c>
      <c r="F1772" s="83"/>
      <c r="G1772" s="92">
        <v>3748</v>
      </c>
      <c r="H1772" s="52">
        <v>1006</v>
      </c>
      <c r="I1772" s="52" t="s">
        <v>92</v>
      </c>
      <c r="J1772" s="157">
        <f t="shared" si="410"/>
        <v>0.38</v>
      </c>
      <c r="K1772" s="101">
        <f t="shared" si="402"/>
        <v>37.219463753723929</v>
      </c>
      <c r="L1772" s="101">
        <f t="shared" si="403"/>
        <v>1.0129729729729731</v>
      </c>
      <c r="M1772" s="133">
        <f t="shared" si="404"/>
        <v>382.28000000000003</v>
      </c>
      <c r="N1772" s="133">
        <f t="shared" si="405"/>
        <v>4130.28</v>
      </c>
      <c r="O1772" s="134">
        <f t="shared" si="406"/>
        <v>41.015690168818267</v>
      </c>
      <c r="P1772" s="134">
        <f t="shared" si="407"/>
        <v>1.1162918918918918</v>
      </c>
      <c r="R1772" s="149">
        <f t="shared" si="408"/>
        <v>2.9620138303759758</v>
      </c>
    </row>
    <row r="1773" spans="1:18" ht="14.45" x14ac:dyDescent="0.3">
      <c r="A1773" s="82" t="s">
        <v>1</v>
      </c>
      <c r="B1773" s="82" t="s">
        <v>25</v>
      </c>
      <c r="C1773" s="82" t="s">
        <v>26</v>
      </c>
      <c r="D1773" s="82" t="s">
        <v>91</v>
      </c>
      <c r="E1773" s="87">
        <f t="shared" si="409"/>
        <v>41730</v>
      </c>
      <c r="F1773" s="83"/>
      <c r="G1773" s="92">
        <v>3678</v>
      </c>
      <c r="H1773" s="52">
        <v>880</v>
      </c>
      <c r="I1773" s="52" t="s">
        <v>93</v>
      </c>
      <c r="J1773" s="157">
        <f t="shared" si="410"/>
        <v>0.38</v>
      </c>
      <c r="K1773" s="101">
        <f t="shared" si="402"/>
        <v>36.524329692154915</v>
      </c>
      <c r="L1773" s="101">
        <f t="shared" si="403"/>
        <v>0.994054054054054</v>
      </c>
      <c r="M1773" s="133">
        <f t="shared" si="404"/>
        <v>334.4</v>
      </c>
      <c r="N1773" s="133">
        <f t="shared" si="405"/>
        <v>4012.4</v>
      </c>
      <c r="O1773" s="134">
        <f t="shared" si="406"/>
        <v>39.845084409136049</v>
      </c>
      <c r="P1773" s="134">
        <f t="shared" si="407"/>
        <v>1.0844324324324324</v>
      </c>
      <c r="R1773" s="149">
        <f t="shared" si="408"/>
        <v>1.8168899715793829</v>
      </c>
    </row>
    <row r="1774" spans="1:18" ht="14.45" x14ac:dyDescent="0.3">
      <c r="A1774" s="82" t="s">
        <v>1</v>
      </c>
      <c r="B1774" s="82" t="s">
        <v>2</v>
      </c>
      <c r="C1774" s="82" t="s">
        <v>9</v>
      </c>
      <c r="D1774" s="82" t="s">
        <v>91</v>
      </c>
      <c r="E1774" s="87">
        <f t="shared" si="409"/>
        <v>41730</v>
      </c>
      <c r="F1774" s="83"/>
      <c r="G1774" s="92">
        <v>3798</v>
      </c>
      <c r="H1774" s="52">
        <v>685</v>
      </c>
      <c r="I1774" s="52" t="s">
        <v>93</v>
      </c>
      <c r="J1774" s="157">
        <f t="shared" si="410"/>
        <v>0.38</v>
      </c>
      <c r="K1774" s="101">
        <f t="shared" si="402"/>
        <v>37.715988083416086</v>
      </c>
      <c r="L1774" s="101">
        <f t="shared" si="403"/>
        <v>1.0264864864864864</v>
      </c>
      <c r="M1774" s="133">
        <f t="shared" si="404"/>
        <v>260.3</v>
      </c>
      <c r="N1774" s="133">
        <f t="shared" si="405"/>
        <v>4058.3</v>
      </c>
      <c r="O1774" s="134">
        <f t="shared" si="406"/>
        <v>40.300893743793445</v>
      </c>
      <c r="P1774" s="134">
        <f t="shared" si="407"/>
        <v>1.0968378378378378</v>
      </c>
      <c r="R1774" s="149">
        <f t="shared" si="408"/>
        <v>3.6642527810771819</v>
      </c>
    </row>
    <row r="1775" spans="1:18" ht="14.45" x14ac:dyDescent="0.3">
      <c r="A1775" s="82" t="s">
        <v>1</v>
      </c>
      <c r="B1775" s="82" t="s">
        <v>27</v>
      </c>
      <c r="C1775" s="82" t="s">
        <v>28</v>
      </c>
      <c r="D1775" s="82" t="s">
        <v>91</v>
      </c>
      <c r="E1775" s="87">
        <f t="shared" si="409"/>
        <v>41730</v>
      </c>
      <c r="F1775" s="83"/>
      <c r="G1775" s="92">
        <v>3950</v>
      </c>
      <c r="H1775" s="52">
        <v>812</v>
      </c>
      <c r="I1775" s="52" t="s">
        <v>94</v>
      </c>
      <c r="J1775" s="157">
        <f t="shared" si="410"/>
        <v>0.5</v>
      </c>
      <c r="K1775" s="101">
        <f t="shared" si="402"/>
        <v>39.22542204568024</v>
      </c>
      <c r="L1775" s="101">
        <f t="shared" si="403"/>
        <v>1.0675675675675675</v>
      </c>
      <c r="M1775" s="133">
        <f t="shared" si="404"/>
        <v>406</v>
      </c>
      <c r="N1775" s="133">
        <f t="shared" si="405"/>
        <v>4356</v>
      </c>
      <c r="O1775" s="134">
        <f t="shared" si="406"/>
        <v>43.257199602780538</v>
      </c>
      <c r="P1775" s="134">
        <f t="shared" si="407"/>
        <v>1.1772972972972973</v>
      </c>
      <c r="R1775" s="149">
        <f t="shared" si="408"/>
        <v>3.6807129120094428</v>
      </c>
    </row>
    <row r="1776" spans="1:18" ht="14.45" x14ac:dyDescent="0.3">
      <c r="A1776" s="82" t="s">
        <v>1</v>
      </c>
      <c r="B1776" s="82" t="s">
        <v>4</v>
      </c>
      <c r="C1776" s="82" t="s">
        <v>26</v>
      </c>
      <c r="D1776" s="82" t="s">
        <v>91</v>
      </c>
      <c r="E1776" s="87">
        <f t="shared" si="409"/>
        <v>41730</v>
      </c>
      <c r="F1776" s="83"/>
      <c r="G1776" s="92">
        <v>5159</v>
      </c>
      <c r="H1776" s="52">
        <v>1520</v>
      </c>
      <c r="I1776" s="52" t="s">
        <v>93</v>
      </c>
      <c r="J1776" s="157">
        <f t="shared" si="410"/>
        <v>0.38</v>
      </c>
      <c r="K1776" s="101">
        <f t="shared" si="402"/>
        <v>51.231380337636544</v>
      </c>
      <c r="L1776" s="101">
        <f t="shared" si="403"/>
        <v>1.3943243243243244</v>
      </c>
      <c r="M1776" s="133">
        <f t="shared" si="404"/>
        <v>577.6</v>
      </c>
      <c r="N1776" s="133">
        <f t="shared" si="405"/>
        <v>5736.6</v>
      </c>
      <c r="O1776" s="134">
        <f t="shared" si="406"/>
        <v>56.96722939424032</v>
      </c>
      <c r="P1776" s="134">
        <f t="shared" si="407"/>
        <v>1.5504324324324326</v>
      </c>
      <c r="R1776" s="149">
        <f t="shared" si="408"/>
        <v>0.92185355898808385</v>
      </c>
    </row>
    <row r="1777" spans="1:18" ht="14.45" x14ac:dyDescent="0.3">
      <c r="A1777" s="82" t="s">
        <v>1</v>
      </c>
      <c r="B1777" s="82" t="s">
        <v>4</v>
      </c>
      <c r="C1777" s="82" t="s">
        <v>9</v>
      </c>
      <c r="D1777" s="82" t="s">
        <v>91</v>
      </c>
      <c r="E1777" s="87">
        <f t="shared" si="409"/>
        <v>41730</v>
      </c>
      <c r="F1777" s="83"/>
      <c r="G1777" s="92">
        <v>6084</v>
      </c>
      <c r="H1777" s="52">
        <v>1583</v>
      </c>
      <c r="I1777" s="52" t="s">
        <v>93</v>
      </c>
      <c r="J1777" s="157">
        <f t="shared" si="410"/>
        <v>0.38</v>
      </c>
      <c r="K1777" s="101">
        <f t="shared" si="402"/>
        <v>60.417080436941411</v>
      </c>
      <c r="L1777" s="101">
        <f t="shared" si="403"/>
        <v>1.6443243243243244</v>
      </c>
      <c r="M1777" s="133">
        <f t="shared" si="404"/>
        <v>601.54</v>
      </c>
      <c r="N1777" s="133">
        <f t="shared" si="405"/>
        <v>6685.54</v>
      </c>
      <c r="O1777" s="134">
        <f t="shared" si="406"/>
        <v>66.390665342601778</v>
      </c>
      <c r="P1777" s="134">
        <f t="shared" si="407"/>
        <v>1.8069027027027027</v>
      </c>
      <c r="R1777" s="149">
        <f t="shared" si="408"/>
        <v>-0.67582524517050269</v>
      </c>
    </row>
    <row r="1778" spans="1:18" ht="14.45" x14ac:dyDescent="0.3">
      <c r="A1778" s="82" t="s">
        <v>1</v>
      </c>
      <c r="B1778" s="82" t="s">
        <v>10</v>
      </c>
      <c r="C1778" s="82" t="s">
        <v>26</v>
      </c>
      <c r="D1778" s="82" t="s">
        <v>91</v>
      </c>
      <c r="E1778" s="87">
        <f t="shared" si="409"/>
        <v>41730</v>
      </c>
      <c r="F1778" s="83"/>
      <c r="G1778" s="92">
        <v>5043</v>
      </c>
      <c r="H1778" s="52">
        <v>1599</v>
      </c>
      <c r="I1778" s="52" t="s">
        <v>92</v>
      </c>
      <c r="J1778" s="157">
        <f t="shared" si="410"/>
        <v>0.38</v>
      </c>
      <c r="K1778" s="101">
        <f t="shared" si="402"/>
        <v>50.079443892750746</v>
      </c>
      <c r="L1778" s="101">
        <f t="shared" si="403"/>
        <v>1.3629729729729729</v>
      </c>
      <c r="M1778" s="133">
        <f t="shared" si="404"/>
        <v>607.62</v>
      </c>
      <c r="N1778" s="133">
        <f t="shared" si="405"/>
        <v>5650.62</v>
      </c>
      <c r="O1778" s="134">
        <f t="shared" si="406"/>
        <v>56.113406156901682</v>
      </c>
      <c r="P1778" s="134">
        <f t="shared" si="407"/>
        <v>1.5271945945945946</v>
      </c>
      <c r="R1778" s="149">
        <f t="shared" si="408"/>
        <v>2.0780079449525646</v>
      </c>
    </row>
    <row r="1779" spans="1:18" ht="14.45" x14ac:dyDescent="0.3">
      <c r="A1779" s="82" t="s">
        <v>134</v>
      </c>
      <c r="B1779" s="82" t="s">
        <v>23</v>
      </c>
      <c r="C1779" s="82" t="s">
        <v>26</v>
      </c>
      <c r="D1779" s="82" t="s">
        <v>91</v>
      </c>
      <c r="E1779" s="87">
        <f t="shared" si="409"/>
        <v>41730</v>
      </c>
      <c r="F1779" s="83"/>
      <c r="G1779" s="92">
        <v>5000</v>
      </c>
      <c r="H1779" s="52">
        <v>1851</v>
      </c>
      <c r="I1779" s="52" t="s">
        <v>93</v>
      </c>
      <c r="J1779" s="157">
        <f t="shared" si="410"/>
        <v>0.38</v>
      </c>
      <c r="K1779" s="101">
        <f t="shared" si="402"/>
        <v>49.652432969215489</v>
      </c>
      <c r="L1779" s="101">
        <f t="shared" si="403"/>
        <v>1.2612612612612613</v>
      </c>
      <c r="M1779" s="133">
        <f t="shared" si="404"/>
        <v>703.38</v>
      </c>
      <c r="N1779" s="133">
        <f t="shared" si="405"/>
        <v>5703.38</v>
      </c>
      <c r="O1779" s="134">
        <f t="shared" si="406"/>
        <v>56.637338629592847</v>
      </c>
      <c r="P1779" s="134">
        <f t="shared" si="407"/>
        <v>1.4386904504504505</v>
      </c>
      <c r="R1779" s="149">
        <f t="shared" si="408"/>
        <v>2.5988907897411595</v>
      </c>
    </row>
    <row r="1780" spans="1:18" ht="14.45" x14ac:dyDescent="0.3">
      <c r="A1780" s="82" t="s">
        <v>134</v>
      </c>
      <c r="B1780" s="82" t="s">
        <v>8</v>
      </c>
      <c r="C1780" s="82" t="s">
        <v>29</v>
      </c>
      <c r="D1780" s="82" t="s">
        <v>91</v>
      </c>
      <c r="E1780" s="87">
        <f t="shared" si="409"/>
        <v>41730</v>
      </c>
      <c r="F1780" s="83"/>
      <c r="G1780" s="92">
        <v>4960</v>
      </c>
      <c r="H1780" s="52">
        <v>1695</v>
      </c>
      <c r="I1780" s="52" t="s">
        <v>93</v>
      </c>
      <c r="J1780" s="157">
        <f t="shared" si="410"/>
        <v>0.38</v>
      </c>
      <c r="K1780" s="101">
        <f t="shared" si="402"/>
        <v>49.255213505461768</v>
      </c>
      <c r="L1780" s="101">
        <f t="shared" si="403"/>
        <v>1.2511711711711713</v>
      </c>
      <c r="M1780" s="133">
        <f t="shared" si="404"/>
        <v>644.1</v>
      </c>
      <c r="N1780" s="133">
        <f t="shared" si="405"/>
        <v>5604.1</v>
      </c>
      <c r="O1780" s="134">
        <f t="shared" si="406"/>
        <v>55.651439920556108</v>
      </c>
      <c r="P1780" s="134">
        <f t="shared" si="407"/>
        <v>1.413646846846847</v>
      </c>
      <c r="R1780" s="149">
        <f t="shared" si="408"/>
        <v>2.7342138791373038</v>
      </c>
    </row>
    <row r="1781" spans="1:18" ht="14.45" x14ac:dyDescent="0.3">
      <c r="A1781" s="82" t="s">
        <v>134</v>
      </c>
      <c r="B1781" s="82" t="s">
        <v>13</v>
      </c>
      <c r="C1781" s="82" t="s">
        <v>7</v>
      </c>
      <c r="D1781" s="82" t="s">
        <v>91</v>
      </c>
      <c r="E1781" s="87">
        <f t="shared" si="409"/>
        <v>41730</v>
      </c>
      <c r="F1781" s="83"/>
      <c r="G1781" s="92">
        <v>3011</v>
      </c>
      <c r="H1781" s="52">
        <v>1006</v>
      </c>
      <c r="I1781" s="52" t="s">
        <v>92</v>
      </c>
      <c r="J1781" s="157">
        <f t="shared" si="410"/>
        <v>0.38</v>
      </c>
      <c r="K1781" s="101">
        <f t="shared" si="402"/>
        <v>29.900695134061568</v>
      </c>
      <c r="L1781" s="101">
        <f t="shared" si="403"/>
        <v>0.75953153153153152</v>
      </c>
      <c r="M1781" s="133">
        <f t="shared" si="404"/>
        <v>382.28000000000003</v>
      </c>
      <c r="N1781" s="133">
        <f t="shared" si="405"/>
        <v>3393.28</v>
      </c>
      <c r="O1781" s="134">
        <f t="shared" si="406"/>
        <v>33.69692154915591</v>
      </c>
      <c r="P1781" s="134">
        <f t="shared" si="407"/>
        <v>0.85596252252252258</v>
      </c>
      <c r="R1781" s="149">
        <f t="shared" si="408"/>
        <v>1.5508191030268348</v>
      </c>
    </row>
    <row r="1782" spans="1:18" ht="14.45" x14ac:dyDescent="0.3">
      <c r="A1782" s="82" t="s">
        <v>134</v>
      </c>
      <c r="B1782" s="82" t="s">
        <v>30</v>
      </c>
      <c r="C1782" s="82" t="s">
        <v>9</v>
      </c>
      <c r="D1782" s="82" t="s">
        <v>91</v>
      </c>
      <c r="E1782" s="87">
        <f t="shared" si="409"/>
        <v>41730</v>
      </c>
      <c r="F1782" s="83"/>
      <c r="G1782" s="92">
        <v>3510</v>
      </c>
      <c r="H1782" s="52">
        <v>988</v>
      </c>
      <c r="I1782" s="52" t="s">
        <v>93</v>
      </c>
      <c r="J1782" s="157">
        <f t="shared" si="410"/>
        <v>0.38</v>
      </c>
      <c r="K1782" s="101">
        <f t="shared" si="402"/>
        <v>34.856007944389276</v>
      </c>
      <c r="L1782" s="101">
        <f t="shared" si="403"/>
        <v>0.88540540540540547</v>
      </c>
      <c r="M1782" s="133">
        <f t="shared" si="404"/>
        <v>375.44</v>
      </c>
      <c r="N1782" s="133">
        <f t="shared" si="405"/>
        <v>3885.44</v>
      </c>
      <c r="O1782" s="134">
        <f t="shared" si="406"/>
        <v>38.584309831181727</v>
      </c>
      <c r="P1782" s="134">
        <f t="shared" si="407"/>
        <v>0.98011099099099097</v>
      </c>
      <c r="R1782" s="149">
        <f t="shared" si="408"/>
        <v>4.5856347642581063</v>
      </c>
    </row>
    <row r="1783" spans="1:18" ht="14.45" x14ac:dyDescent="0.3">
      <c r="A1783" s="82" t="s">
        <v>134</v>
      </c>
      <c r="B1783" s="82" t="s">
        <v>16</v>
      </c>
      <c r="C1783" s="82" t="s">
        <v>11</v>
      </c>
      <c r="D1783" s="82" t="s">
        <v>91</v>
      </c>
      <c r="E1783" s="87">
        <f t="shared" si="409"/>
        <v>41730</v>
      </c>
      <c r="F1783" s="83"/>
      <c r="G1783" s="92">
        <v>3590</v>
      </c>
      <c r="H1783" s="52">
        <v>787</v>
      </c>
      <c r="I1783" s="52" t="s">
        <v>92</v>
      </c>
      <c r="J1783" s="157">
        <f t="shared" si="410"/>
        <v>0.38</v>
      </c>
      <c r="K1783" s="101">
        <f t="shared" si="402"/>
        <v>35.650446871896719</v>
      </c>
      <c r="L1783" s="101">
        <f t="shared" si="403"/>
        <v>0.90558558558558555</v>
      </c>
      <c r="M1783" s="133">
        <f t="shared" si="404"/>
        <v>299.06</v>
      </c>
      <c r="N1783" s="133">
        <f t="shared" si="405"/>
        <v>3889.06</v>
      </c>
      <c r="O1783" s="134">
        <f t="shared" si="406"/>
        <v>38.620258192651441</v>
      </c>
      <c r="P1783" s="134">
        <f t="shared" si="407"/>
        <v>0.98102414414414418</v>
      </c>
      <c r="R1783" s="149">
        <f t="shared" si="408"/>
        <v>1.4712980767976447</v>
      </c>
    </row>
    <row r="1784" spans="1:18" ht="14.45" x14ac:dyDescent="0.3">
      <c r="A1784" s="82" t="s">
        <v>134</v>
      </c>
      <c r="B1784" s="82" t="s">
        <v>23</v>
      </c>
      <c r="C1784" s="82" t="s">
        <v>29</v>
      </c>
      <c r="D1784" s="82" t="s">
        <v>91</v>
      </c>
      <c r="E1784" s="87">
        <f t="shared" si="409"/>
        <v>41730</v>
      </c>
      <c r="F1784" s="83"/>
      <c r="G1784" s="92">
        <v>5000</v>
      </c>
      <c r="H1784" s="52">
        <v>1836</v>
      </c>
      <c r="I1784" s="52" t="s">
        <v>93</v>
      </c>
      <c r="J1784" s="157">
        <f t="shared" si="410"/>
        <v>0.38</v>
      </c>
      <c r="K1784" s="101">
        <f t="shared" si="402"/>
        <v>49.652432969215489</v>
      </c>
      <c r="L1784" s="101">
        <f t="shared" si="403"/>
        <v>1.2612612612612613</v>
      </c>
      <c r="M1784" s="133">
        <f t="shared" si="404"/>
        <v>697.68000000000006</v>
      </c>
      <c r="N1784" s="133">
        <f t="shared" si="405"/>
        <v>5697.68</v>
      </c>
      <c r="O1784" s="134">
        <f t="shared" si="406"/>
        <v>56.580734856007943</v>
      </c>
      <c r="P1784" s="134">
        <f t="shared" si="407"/>
        <v>1.4372526126126126</v>
      </c>
      <c r="R1784" s="149">
        <f t="shared" si="408"/>
        <v>2.6098732882386511</v>
      </c>
    </row>
    <row r="1785" spans="1:18" ht="14.45" x14ac:dyDescent="0.3">
      <c r="A1785" s="82" t="s">
        <v>134</v>
      </c>
      <c r="B1785" s="82" t="s">
        <v>31</v>
      </c>
      <c r="C1785" s="82" t="s">
        <v>32</v>
      </c>
      <c r="D1785" s="82" t="s">
        <v>91</v>
      </c>
      <c r="E1785" s="87">
        <f t="shared" si="409"/>
        <v>41730</v>
      </c>
      <c r="F1785" s="83"/>
      <c r="G1785" s="92">
        <v>4400</v>
      </c>
      <c r="H1785" s="52">
        <v>1899</v>
      </c>
      <c r="I1785" s="52" t="s">
        <v>93</v>
      </c>
      <c r="J1785" s="157">
        <f t="shared" si="410"/>
        <v>0.38</v>
      </c>
      <c r="K1785" s="101">
        <f t="shared" si="402"/>
        <v>43.694141012909633</v>
      </c>
      <c r="L1785" s="101">
        <f t="shared" si="403"/>
        <v>1.1099099099099099</v>
      </c>
      <c r="M1785" s="133">
        <f t="shared" si="404"/>
        <v>721.62</v>
      </c>
      <c r="N1785" s="133">
        <f t="shared" si="405"/>
        <v>5121.62</v>
      </c>
      <c r="O1785" s="134">
        <f t="shared" si="406"/>
        <v>50.860178748758685</v>
      </c>
      <c r="P1785" s="134">
        <f t="shared" si="407"/>
        <v>1.2919401801801802</v>
      </c>
      <c r="R1785" s="149">
        <f t="shared" si="408"/>
        <v>2.8729017653592592</v>
      </c>
    </row>
    <row r="1786" spans="1:18" ht="14.45" x14ac:dyDescent="0.3">
      <c r="A1786" s="82" t="s">
        <v>22</v>
      </c>
      <c r="B1786" s="82" t="s">
        <v>8</v>
      </c>
      <c r="C1786" s="82" t="s">
        <v>29</v>
      </c>
      <c r="D1786" s="82" t="s">
        <v>91</v>
      </c>
      <c r="E1786" s="87">
        <f t="shared" si="409"/>
        <v>41730</v>
      </c>
      <c r="F1786" s="83"/>
      <c r="G1786" s="92">
        <v>5520</v>
      </c>
      <c r="H1786" s="52">
        <v>1695</v>
      </c>
      <c r="I1786" s="52" t="s">
        <v>93</v>
      </c>
      <c r="J1786" s="157">
        <f t="shared" si="410"/>
        <v>0.38</v>
      </c>
      <c r="K1786" s="101">
        <f t="shared" si="402"/>
        <v>54.816285998013903</v>
      </c>
      <c r="L1786" s="101">
        <f t="shared" si="403"/>
        <v>1.491891891891892</v>
      </c>
      <c r="M1786" s="133">
        <f t="shared" si="404"/>
        <v>644.1</v>
      </c>
      <c r="N1786" s="133">
        <f t="shared" si="405"/>
        <v>6164.1</v>
      </c>
      <c r="O1786" s="134">
        <f t="shared" si="406"/>
        <v>61.212512413108243</v>
      </c>
      <c r="P1786" s="134">
        <f t="shared" si="407"/>
        <v>1.6659729729729731</v>
      </c>
      <c r="R1786" s="149">
        <f t="shared" si="408"/>
        <v>2.479654859973901</v>
      </c>
    </row>
    <row r="1787" spans="1:18" ht="14.45" x14ac:dyDescent="0.3">
      <c r="A1787" s="82" t="s">
        <v>22</v>
      </c>
      <c r="B1787" s="82" t="s">
        <v>23</v>
      </c>
      <c r="C1787" s="82" t="s">
        <v>26</v>
      </c>
      <c r="D1787" s="82" t="s">
        <v>91</v>
      </c>
      <c r="E1787" s="87">
        <f t="shared" si="409"/>
        <v>41730</v>
      </c>
      <c r="F1787" s="83"/>
      <c r="G1787" s="92">
        <v>5530</v>
      </c>
      <c r="H1787" s="52">
        <v>1851</v>
      </c>
      <c r="I1787" s="52" t="s">
        <v>93</v>
      </c>
      <c r="J1787" s="157">
        <f t="shared" si="410"/>
        <v>0.38</v>
      </c>
      <c r="K1787" s="101">
        <f t="shared" si="402"/>
        <v>54.915590863952332</v>
      </c>
      <c r="L1787" s="101">
        <f t="shared" si="403"/>
        <v>1.4945945945945946</v>
      </c>
      <c r="M1787" s="133">
        <f t="shared" si="404"/>
        <v>703.38</v>
      </c>
      <c r="N1787" s="133">
        <f t="shared" si="405"/>
        <v>6233.38</v>
      </c>
      <c r="O1787" s="134">
        <f t="shared" si="406"/>
        <v>61.900496524329689</v>
      </c>
      <c r="P1787" s="134">
        <f t="shared" si="407"/>
        <v>1.6846972972972973</v>
      </c>
      <c r="R1787" s="149">
        <f t="shared" si="408"/>
        <v>2.3726742553265012</v>
      </c>
    </row>
    <row r="1788" spans="1:18" ht="14.45" x14ac:dyDescent="0.3">
      <c r="A1788" s="82" t="s">
        <v>22</v>
      </c>
      <c r="B1788" s="82" t="s">
        <v>33</v>
      </c>
      <c r="C1788" s="82" t="s">
        <v>29</v>
      </c>
      <c r="D1788" s="82" t="s">
        <v>91</v>
      </c>
      <c r="E1788" s="87">
        <f t="shared" si="409"/>
        <v>41730</v>
      </c>
      <c r="F1788" s="83"/>
      <c r="G1788" s="92">
        <v>5430</v>
      </c>
      <c r="H1788" s="52">
        <v>1507</v>
      </c>
      <c r="I1788" s="52" t="s">
        <v>93</v>
      </c>
      <c r="J1788" s="157">
        <f t="shared" si="410"/>
        <v>0.38</v>
      </c>
      <c r="K1788" s="101">
        <f t="shared" si="402"/>
        <v>53.922542204568025</v>
      </c>
      <c r="L1788" s="101">
        <f t="shared" si="403"/>
        <v>1.4675675675675677</v>
      </c>
      <c r="M1788" s="133">
        <f t="shared" si="404"/>
        <v>572.66</v>
      </c>
      <c r="N1788" s="133">
        <f t="shared" si="405"/>
        <v>6002.66</v>
      </c>
      <c r="O1788" s="134">
        <f t="shared" si="406"/>
        <v>59.609334657398207</v>
      </c>
      <c r="P1788" s="134">
        <f t="shared" si="407"/>
        <v>1.6223405405405404</v>
      </c>
      <c r="R1788" s="149">
        <f t="shared" si="408"/>
        <v>2.6469466660510532</v>
      </c>
    </row>
    <row r="1789" spans="1:18" ht="14.45" x14ac:dyDescent="0.3">
      <c r="A1789" s="82" t="s">
        <v>22</v>
      </c>
      <c r="B1789" s="82" t="s">
        <v>31</v>
      </c>
      <c r="C1789" s="82" t="s">
        <v>7</v>
      </c>
      <c r="D1789" s="82" t="s">
        <v>91</v>
      </c>
      <c r="E1789" s="87">
        <f t="shared" si="409"/>
        <v>41730</v>
      </c>
      <c r="F1789" s="83"/>
      <c r="G1789" s="92">
        <v>4175</v>
      </c>
      <c r="H1789" s="52">
        <v>1160</v>
      </c>
      <c r="I1789" s="52" t="s">
        <v>92</v>
      </c>
      <c r="J1789" s="157">
        <f t="shared" si="410"/>
        <v>0.38</v>
      </c>
      <c r="K1789" s="101">
        <f t="shared" si="402"/>
        <v>41.459781529294936</v>
      </c>
      <c r="L1789" s="101">
        <f t="shared" si="403"/>
        <v>1.1283783783783783</v>
      </c>
      <c r="M1789" s="133">
        <f t="shared" si="404"/>
        <v>440.8</v>
      </c>
      <c r="N1789" s="133">
        <f t="shared" si="405"/>
        <v>4615.8</v>
      </c>
      <c r="O1789" s="134">
        <f t="shared" si="406"/>
        <v>45.837140019860975</v>
      </c>
      <c r="P1789" s="134">
        <f t="shared" si="407"/>
        <v>1.2475135135135136</v>
      </c>
      <c r="R1789" s="149">
        <f t="shared" si="408"/>
        <v>4.297722342733179</v>
      </c>
    </row>
    <row r="1790" spans="1:18" ht="14.45" x14ac:dyDescent="0.3">
      <c r="A1790" s="82" t="s">
        <v>22</v>
      </c>
      <c r="B1790" s="82" t="s">
        <v>14</v>
      </c>
      <c r="C1790" s="82" t="s">
        <v>24</v>
      </c>
      <c r="D1790" s="82" t="s">
        <v>91</v>
      </c>
      <c r="E1790" s="87">
        <f t="shared" si="409"/>
        <v>41730</v>
      </c>
      <c r="F1790" s="83"/>
      <c r="G1790" s="92">
        <v>2862</v>
      </c>
      <c r="H1790" s="52">
        <v>615</v>
      </c>
      <c r="I1790" s="52" t="s">
        <v>94</v>
      </c>
      <c r="J1790" s="157">
        <f t="shared" si="410"/>
        <v>0.5</v>
      </c>
      <c r="K1790" s="101">
        <f t="shared" si="402"/>
        <v>28.421052631578945</v>
      </c>
      <c r="L1790" s="101">
        <f t="shared" si="403"/>
        <v>0.7735135135135135</v>
      </c>
      <c r="M1790" s="133">
        <f t="shared" si="404"/>
        <v>307.5</v>
      </c>
      <c r="N1790" s="133">
        <f t="shared" si="405"/>
        <v>3169.5</v>
      </c>
      <c r="O1790" s="134">
        <f t="shared" si="406"/>
        <v>31.4746772591857</v>
      </c>
      <c r="P1790" s="134">
        <f t="shared" si="407"/>
        <v>0.85662162162162159</v>
      </c>
      <c r="R1790" s="149">
        <f t="shared" si="408"/>
        <v>3.0413368227702131</v>
      </c>
    </row>
    <row r="1791" spans="1:18" ht="14.45" x14ac:dyDescent="0.3">
      <c r="A1791" s="118" t="s">
        <v>22</v>
      </c>
      <c r="B1791" s="118" t="s">
        <v>34</v>
      </c>
      <c r="C1791" s="118" t="s">
        <v>26</v>
      </c>
      <c r="D1791" s="118" t="s">
        <v>91</v>
      </c>
      <c r="E1791" s="119">
        <f t="shared" si="409"/>
        <v>41730</v>
      </c>
      <c r="F1791" s="120"/>
      <c r="G1791" s="105">
        <v>5110</v>
      </c>
      <c r="H1791" s="158">
        <v>1637</v>
      </c>
      <c r="I1791" s="158" t="s">
        <v>92</v>
      </c>
      <c r="J1791" s="122">
        <f t="shared" si="410"/>
        <v>0.38</v>
      </c>
      <c r="K1791" s="123">
        <f t="shared" si="402"/>
        <v>50.744786494538232</v>
      </c>
      <c r="L1791" s="123">
        <f t="shared" si="403"/>
        <v>1.3810810810810812</v>
      </c>
      <c r="M1791" s="115">
        <f t="shared" si="404"/>
        <v>622.06000000000006</v>
      </c>
      <c r="N1791" s="115">
        <f t="shared" si="405"/>
        <v>5732.06</v>
      </c>
      <c r="O1791" s="116">
        <f t="shared" si="406"/>
        <v>56.922144985104275</v>
      </c>
      <c r="P1791" s="116">
        <f t="shared" si="407"/>
        <v>1.5492054054054054</v>
      </c>
      <c r="Q1791" s="106"/>
      <c r="R1791" s="152">
        <f t="shared" si="408"/>
        <v>-2.2861594532718854</v>
      </c>
    </row>
    <row r="1792" spans="1:18" ht="14.45" x14ac:dyDescent="0.3">
      <c r="A1792" s="82" t="s">
        <v>1</v>
      </c>
      <c r="B1792" s="82" t="s">
        <v>2</v>
      </c>
      <c r="C1792" s="82" t="s">
        <v>3</v>
      </c>
      <c r="D1792" s="82" t="s">
        <v>90</v>
      </c>
      <c r="E1792" s="87">
        <v>41760</v>
      </c>
      <c r="F1792" s="83"/>
      <c r="G1792" s="92">
        <v>3191</v>
      </c>
      <c r="H1792" s="52">
        <v>506</v>
      </c>
      <c r="I1792" s="52" t="s">
        <v>92</v>
      </c>
      <c r="J1792" s="157">
        <f>IF(I1792="BNSF",0.38,IF(I1792="CN",0.3278,IF(I1792="CSX",0.51,0.39)))</f>
        <v>0.39</v>
      </c>
      <c r="K1792" s="101">
        <f t="shared" ref="K1792:K1829" si="411">G1792/100.7</f>
        <v>31.688182720953325</v>
      </c>
      <c r="L1792" s="101">
        <f t="shared" ref="L1792:L1829" si="412">IF(A1792="corn",G1792/(111*2000/56),G1792/(111*2000/60))</f>
        <v>0.86243243243243239</v>
      </c>
      <c r="M1792" s="133">
        <f t="shared" ref="M1792:M1829" si="413">H1792*J1792</f>
        <v>197.34</v>
      </c>
      <c r="N1792" s="133">
        <f t="shared" ref="N1792:N1829" si="414">G1792+M1792</f>
        <v>3388.34</v>
      </c>
      <c r="O1792" s="134">
        <f t="shared" ref="O1792:O1829" si="415">N1792/100.7</f>
        <v>33.647864945382324</v>
      </c>
      <c r="P1792" s="134">
        <f t="shared" ref="P1792:P1829" si="416">IF(A1792="corn",N1792/(111*2000/56),N1792/(111*2000/60))</f>
        <v>0.91576756756756761</v>
      </c>
      <c r="R1792" s="149">
        <f t="shared" ref="R1792:R1829" si="417">((N1792/N1336)-1)*100</f>
        <v>1.2532871145111146</v>
      </c>
    </row>
    <row r="1793" spans="1:18" ht="14.45" x14ac:dyDescent="0.3">
      <c r="A1793" s="82" t="s">
        <v>1</v>
      </c>
      <c r="B1793" s="82" t="s">
        <v>4</v>
      </c>
      <c r="C1793" s="82" t="s">
        <v>5</v>
      </c>
      <c r="D1793" s="82" t="s">
        <v>90</v>
      </c>
      <c r="E1793" s="87">
        <f>E1792</f>
        <v>41760</v>
      </c>
      <c r="F1793" s="83"/>
      <c r="G1793" s="92">
        <v>3596</v>
      </c>
      <c r="H1793" s="52">
        <v>298</v>
      </c>
      <c r="I1793" s="52" t="s">
        <v>93</v>
      </c>
      <c r="J1793" s="157">
        <f t="shared" ref="J1793:J1829" si="418">IF(I1793="BNSF",0.38,IF(I1793="CN",0.3278,IF(I1793="CSX",0.51,0.39)))</f>
        <v>0.38</v>
      </c>
      <c r="K1793" s="101">
        <f t="shared" si="411"/>
        <v>35.710029791459782</v>
      </c>
      <c r="L1793" s="101">
        <f t="shared" si="412"/>
        <v>0.97189189189189185</v>
      </c>
      <c r="M1793" s="133">
        <f t="shared" si="413"/>
        <v>113.24</v>
      </c>
      <c r="N1793" s="133">
        <f t="shared" si="414"/>
        <v>3709.24</v>
      </c>
      <c r="O1793" s="134">
        <f t="shared" si="415"/>
        <v>36.834558093346573</v>
      </c>
      <c r="P1793" s="134">
        <f t="shared" si="416"/>
        <v>1.0024972972972972</v>
      </c>
      <c r="R1793" s="149">
        <f t="shared" si="417"/>
        <v>1.2844738135546985</v>
      </c>
    </row>
    <row r="1794" spans="1:18" ht="14.45" x14ac:dyDescent="0.3">
      <c r="A1794" s="82" t="s">
        <v>1</v>
      </c>
      <c r="B1794" s="82" t="s">
        <v>2</v>
      </c>
      <c r="C1794" s="82" t="s">
        <v>6</v>
      </c>
      <c r="D1794" s="82" t="s">
        <v>90</v>
      </c>
      <c r="E1794" s="87">
        <f t="shared" ref="E1794:E1829" si="419">E1793</f>
        <v>41760</v>
      </c>
      <c r="F1794" s="83"/>
      <c r="G1794" s="92">
        <v>6244</v>
      </c>
      <c r="H1794" s="52">
        <v>1530</v>
      </c>
      <c r="I1794" s="52" t="s">
        <v>93</v>
      </c>
      <c r="J1794" s="157">
        <f t="shared" si="418"/>
        <v>0.38</v>
      </c>
      <c r="K1794" s="101">
        <f t="shared" si="411"/>
        <v>62.005958291956304</v>
      </c>
      <c r="L1794" s="101">
        <f t="shared" si="412"/>
        <v>1.6875675675675677</v>
      </c>
      <c r="M1794" s="133">
        <f t="shared" si="413"/>
        <v>581.4</v>
      </c>
      <c r="N1794" s="133">
        <f t="shared" si="414"/>
        <v>6825.4</v>
      </c>
      <c r="O1794" s="134">
        <f t="shared" si="415"/>
        <v>67.779543197616675</v>
      </c>
      <c r="P1794" s="134">
        <f t="shared" si="416"/>
        <v>1.8447027027027025</v>
      </c>
      <c r="R1794" s="149">
        <f t="shared" si="417"/>
        <v>2.8231394998493364</v>
      </c>
    </row>
    <row r="1795" spans="1:18" ht="14.45" x14ac:dyDescent="0.3">
      <c r="A1795" s="82" t="s">
        <v>1</v>
      </c>
      <c r="B1795" s="82" t="s">
        <v>2</v>
      </c>
      <c r="C1795" s="82" t="s">
        <v>7</v>
      </c>
      <c r="D1795" s="82" t="s">
        <v>90</v>
      </c>
      <c r="E1795" s="87">
        <f t="shared" si="419"/>
        <v>41760</v>
      </c>
      <c r="F1795" s="83"/>
      <c r="G1795" s="92">
        <v>3808</v>
      </c>
      <c r="H1795" s="52">
        <v>890</v>
      </c>
      <c r="I1795" s="52" t="s">
        <v>92</v>
      </c>
      <c r="J1795" s="157">
        <f t="shared" si="418"/>
        <v>0.39</v>
      </c>
      <c r="K1795" s="101">
        <f t="shared" si="411"/>
        <v>37.815292949354514</v>
      </c>
      <c r="L1795" s="101">
        <f t="shared" si="412"/>
        <v>1.0291891891891891</v>
      </c>
      <c r="M1795" s="133">
        <f t="shared" si="413"/>
        <v>347.1</v>
      </c>
      <c r="N1795" s="133">
        <f t="shared" si="414"/>
        <v>4155.1000000000004</v>
      </c>
      <c r="O1795" s="134">
        <f t="shared" si="415"/>
        <v>41.262164846077461</v>
      </c>
      <c r="P1795" s="134">
        <f t="shared" si="416"/>
        <v>1.123</v>
      </c>
      <c r="R1795" s="149">
        <f t="shared" si="417"/>
        <v>3.851537115721082</v>
      </c>
    </row>
    <row r="1796" spans="1:18" ht="14.45" x14ac:dyDescent="0.3">
      <c r="A1796" s="82" t="s">
        <v>1</v>
      </c>
      <c r="B1796" s="82" t="s">
        <v>8</v>
      </c>
      <c r="C1796" s="82" t="s">
        <v>9</v>
      </c>
      <c r="D1796" s="82" t="s">
        <v>90</v>
      </c>
      <c r="E1796" s="87">
        <f t="shared" si="419"/>
        <v>41760</v>
      </c>
      <c r="F1796" s="83"/>
      <c r="G1796" s="92">
        <v>5824</v>
      </c>
      <c r="H1796" s="52">
        <v>1256</v>
      </c>
      <c r="I1796" s="52" t="s">
        <v>93</v>
      </c>
      <c r="J1796" s="157">
        <f t="shared" si="418"/>
        <v>0.38</v>
      </c>
      <c r="K1796" s="101">
        <f t="shared" si="411"/>
        <v>57.835153922542204</v>
      </c>
      <c r="L1796" s="101">
        <f t="shared" si="412"/>
        <v>1.574054054054054</v>
      </c>
      <c r="M1796" s="133">
        <f t="shared" si="413"/>
        <v>477.28000000000003</v>
      </c>
      <c r="N1796" s="133">
        <f t="shared" si="414"/>
        <v>6301.28</v>
      </c>
      <c r="O1796" s="134">
        <f t="shared" si="415"/>
        <v>62.574776564051632</v>
      </c>
      <c r="P1796" s="134">
        <f t="shared" si="416"/>
        <v>1.7030486486486487</v>
      </c>
      <c r="R1796" s="149">
        <f t="shared" si="417"/>
        <v>3.71794449748164</v>
      </c>
    </row>
    <row r="1797" spans="1:18" ht="14.45" x14ac:dyDescent="0.3">
      <c r="A1797" s="82" t="s">
        <v>1</v>
      </c>
      <c r="B1797" s="82" t="s">
        <v>10</v>
      </c>
      <c r="C1797" s="82" t="s">
        <v>9</v>
      </c>
      <c r="D1797" s="82" t="s">
        <v>90</v>
      </c>
      <c r="E1797" s="87">
        <f t="shared" si="419"/>
        <v>41760</v>
      </c>
      <c r="F1797" s="83"/>
      <c r="G1797" s="92">
        <v>4076</v>
      </c>
      <c r="H1797" s="52">
        <v>975</v>
      </c>
      <c r="I1797" s="52" t="s">
        <v>92</v>
      </c>
      <c r="J1797" s="157">
        <f t="shared" si="418"/>
        <v>0.39</v>
      </c>
      <c r="K1797" s="101">
        <f t="shared" si="411"/>
        <v>40.476663356504467</v>
      </c>
      <c r="L1797" s="101">
        <f t="shared" si="412"/>
        <v>1.1016216216216217</v>
      </c>
      <c r="M1797" s="133">
        <f t="shared" si="413"/>
        <v>380.25</v>
      </c>
      <c r="N1797" s="133">
        <f t="shared" si="414"/>
        <v>4456.25</v>
      </c>
      <c r="O1797" s="134">
        <f t="shared" si="415"/>
        <v>44.252730883813307</v>
      </c>
      <c r="P1797" s="134">
        <f t="shared" si="416"/>
        <v>1.2043918918918919</v>
      </c>
      <c r="R1797" s="149">
        <f t="shared" si="417"/>
        <v>3.5855416085541547</v>
      </c>
    </row>
    <row r="1798" spans="1:18" ht="14.45" x14ac:dyDescent="0.3">
      <c r="A1798" s="82" t="s">
        <v>1</v>
      </c>
      <c r="B1798" s="82" t="s">
        <v>11</v>
      </c>
      <c r="C1798" s="82" t="s">
        <v>6</v>
      </c>
      <c r="D1798" s="82" t="s">
        <v>90</v>
      </c>
      <c r="E1798" s="87">
        <f t="shared" si="419"/>
        <v>41760</v>
      </c>
      <c r="F1798" s="83"/>
      <c r="G1798" s="92">
        <v>4275</v>
      </c>
      <c r="H1798" s="52">
        <v>1357</v>
      </c>
      <c r="I1798" s="52" t="s">
        <v>92</v>
      </c>
      <c r="J1798" s="157">
        <f t="shared" si="418"/>
        <v>0.39</v>
      </c>
      <c r="K1798" s="101">
        <f t="shared" si="411"/>
        <v>42.452830188679243</v>
      </c>
      <c r="L1798" s="101">
        <f t="shared" si="412"/>
        <v>1.1554054054054055</v>
      </c>
      <c r="M1798" s="133">
        <f t="shared" si="413"/>
        <v>529.23</v>
      </c>
      <c r="N1798" s="133">
        <f t="shared" si="414"/>
        <v>4804.2299999999996</v>
      </c>
      <c r="O1798" s="134">
        <f t="shared" si="415"/>
        <v>47.70834160873882</v>
      </c>
      <c r="P1798" s="134">
        <f t="shared" si="416"/>
        <v>1.2984405405405404</v>
      </c>
      <c r="R1798" s="149">
        <f t="shared" si="417"/>
        <v>3.2102345965454804</v>
      </c>
    </row>
    <row r="1799" spans="1:18" ht="14.45" x14ac:dyDescent="0.3">
      <c r="A1799" s="82" t="s">
        <v>134</v>
      </c>
      <c r="B1799" s="82" t="s">
        <v>13</v>
      </c>
      <c r="C1799" s="82" t="s">
        <v>7</v>
      </c>
      <c r="D1799" s="82" t="s">
        <v>90</v>
      </c>
      <c r="E1799" s="87">
        <f t="shared" si="419"/>
        <v>41760</v>
      </c>
      <c r="F1799" s="83"/>
      <c r="G1799" s="92">
        <v>3192</v>
      </c>
      <c r="H1799" s="52">
        <v>1006</v>
      </c>
      <c r="I1799" s="52" t="s">
        <v>92</v>
      </c>
      <c r="J1799" s="157">
        <f t="shared" si="418"/>
        <v>0.39</v>
      </c>
      <c r="K1799" s="101">
        <f t="shared" si="411"/>
        <v>31.69811320754717</v>
      </c>
      <c r="L1799" s="101">
        <f t="shared" si="412"/>
        <v>0.80518918918918925</v>
      </c>
      <c r="M1799" s="133">
        <f t="shared" si="413"/>
        <v>392.34000000000003</v>
      </c>
      <c r="N1799" s="133">
        <f t="shared" si="414"/>
        <v>3584.34</v>
      </c>
      <c r="O1799" s="134">
        <f t="shared" si="415"/>
        <v>35.594240317775572</v>
      </c>
      <c r="P1799" s="134">
        <f t="shared" si="416"/>
        <v>0.90415783783783787</v>
      </c>
      <c r="R1799" s="149">
        <f t="shared" si="417"/>
        <v>2.0481721899555883</v>
      </c>
    </row>
    <row r="1800" spans="1:18" ht="14.45" x14ac:dyDescent="0.3">
      <c r="A1800" s="82" t="s">
        <v>134</v>
      </c>
      <c r="B1800" s="82" t="s">
        <v>14</v>
      </c>
      <c r="C1800" s="82" t="s">
        <v>15</v>
      </c>
      <c r="D1800" s="82" t="s">
        <v>90</v>
      </c>
      <c r="E1800" s="87">
        <f t="shared" si="419"/>
        <v>41760</v>
      </c>
      <c r="F1800" s="83"/>
      <c r="G1800" s="92">
        <v>4686</v>
      </c>
      <c r="H1800" s="52">
        <v>866</v>
      </c>
      <c r="I1800" s="52" t="s">
        <v>94</v>
      </c>
      <c r="J1800" s="157">
        <f t="shared" si="418"/>
        <v>0.51</v>
      </c>
      <c r="K1800" s="101">
        <f t="shared" si="411"/>
        <v>46.53426017874876</v>
      </c>
      <c r="L1800" s="101">
        <f t="shared" si="412"/>
        <v>1.1820540540540541</v>
      </c>
      <c r="M1800" s="133">
        <f t="shared" si="413"/>
        <v>441.66</v>
      </c>
      <c r="N1800" s="133">
        <f t="shared" si="414"/>
        <v>5127.66</v>
      </c>
      <c r="O1800" s="134">
        <f t="shared" si="415"/>
        <v>50.920158887785497</v>
      </c>
      <c r="P1800" s="134">
        <f t="shared" si="416"/>
        <v>1.2934637837837837</v>
      </c>
      <c r="R1800" s="149">
        <f t="shared" si="417"/>
        <v>3.4152696881201816</v>
      </c>
    </row>
    <row r="1801" spans="1:18" ht="14.45" x14ac:dyDescent="0.3">
      <c r="A1801" s="82" t="s">
        <v>134</v>
      </c>
      <c r="B1801" s="82" t="s">
        <v>16</v>
      </c>
      <c r="C1801" s="82" t="s">
        <v>17</v>
      </c>
      <c r="D1801" s="82" t="s">
        <v>90</v>
      </c>
      <c r="E1801" s="87">
        <f t="shared" si="419"/>
        <v>41760</v>
      </c>
      <c r="F1801" s="83"/>
      <c r="G1801" s="92">
        <v>2078</v>
      </c>
      <c r="H1801" s="52">
        <v>213</v>
      </c>
      <c r="I1801" s="52" t="s">
        <v>92</v>
      </c>
      <c r="J1801" s="157">
        <f t="shared" si="418"/>
        <v>0.39</v>
      </c>
      <c r="K1801" s="101">
        <f t="shared" si="411"/>
        <v>20.635551142005959</v>
      </c>
      <c r="L1801" s="101">
        <f t="shared" si="412"/>
        <v>0.5241801801801802</v>
      </c>
      <c r="M1801" s="133">
        <f t="shared" si="413"/>
        <v>83.070000000000007</v>
      </c>
      <c r="N1801" s="133">
        <f t="shared" si="414"/>
        <v>2161.0700000000002</v>
      </c>
      <c r="O1801" s="134">
        <f t="shared" si="415"/>
        <v>21.460476663356506</v>
      </c>
      <c r="P1801" s="134">
        <f t="shared" si="416"/>
        <v>0.54513477477477479</v>
      </c>
      <c r="R1801" s="149">
        <f t="shared" si="417"/>
        <v>3.3411438408569305</v>
      </c>
    </row>
    <row r="1802" spans="1:18" ht="14.45" x14ac:dyDescent="0.3">
      <c r="A1802" s="82" t="s">
        <v>134</v>
      </c>
      <c r="B1802" s="82" t="s">
        <v>18</v>
      </c>
      <c r="C1802" s="82" t="s">
        <v>19</v>
      </c>
      <c r="D1802" s="82" t="s">
        <v>90</v>
      </c>
      <c r="E1802" s="87">
        <f t="shared" si="419"/>
        <v>41760</v>
      </c>
      <c r="F1802" s="83"/>
      <c r="G1802" s="92">
        <v>4061</v>
      </c>
      <c r="H1802" s="52">
        <v>650</v>
      </c>
      <c r="I1802" s="52" t="s">
        <v>94</v>
      </c>
      <c r="J1802" s="157">
        <f t="shared" si="418"/>
        <v>0.51</v>
      </c>
      <c r="K1802" s="101">
        <f t="shared" si="411"/>
        <v>40.327706057596821</v>
      </c>
      <c r="L1802" s="101">
        <f t="shared" si="412"/>
        <v>1.0243963963963965</v>
      </c>
      <c r="M1802" s="133">
        <f t="shared" si="413"/>
        <v>331.5</v>
      </c>
      <c r="N1802" s="133">
        <f t="shared" si="414"/>
        <v>4392.5</v>
      </c>
      <c r="O1802" s="134">
        <f t="shared" si="415"/>
        <v>43.619662363455809</v>
      </c>
      <c r="P1802" s="134">
        <f t="shared" si="416"/>
        <v>1.1080180180180181</v>
      </c>
      <c r="R1802" s="149">
        <f t="shared" si="417"/>
        <v>3.158759981211845</v>
      </c>
    </row>
    <row r="1803" spans="1:18" ht="14.45" x14ac:dyDescent="0.3">
      <c r="A1803" s="82" t="s">
        <v>134</v>
      </c>
      <c r="B1803" s="82" t="s">
        <v>18</v>
      </c>
      <c r="C1803" s="82" t="s">
        <v>20</v>
      </c>
      <c r="D1803" s="82" t="s">
        <v>90</v>
      </c>
      <c r="E1803" s="87">
        <f t="shared" si="419"/>
        <v>41760</v>
      </c>
      <c r="F1803" s="83"/>
      <c r="G1803" s="92">
        <v>3469</v>
      </c>
      <c r="H1803" s="52">
        <v>417</v>
      </c>
      <c r="I1803" s="52" t="s">
        <v>94</v>
      </c>
      <c r="J1803" s="157">
        <f t="shared" si="418"/>
        <v>0.51</v>
      </c>
      <c r="K1803" s="101">
        <f t="shared" si="411"/>
        <v>34.44885799404171</v>
      </c>
      <c r="L1803" s="101">
        <f t="shared" si="412"/>
        <v>0.87506306306306303</v>
      </c>
      <c r="M1803" s="133">
        <f t="shared" si="413"/>
        <v>212.67000000000002</v>
      </c>
      <c r="N1803" s="133">
        <f t="shared" si="414"/>
        <v>3681.67</v>
      </c>
      <c r="O1803" s="134">
        <f t="shared" si="415"/>
        <v>36.560774577954319</v>
      </c>
      <c r="P1803" s="134">
        <f t="shared" si="416"/>
        <v>0.92870954954954954</v>
      </c>
      <c r="R1803" s="149">
        <f t="shared" si="417"/>
        <v>3.1037514982469094</v>
      </c>
    </row>
    <row r="1804" spans="1:18" ht="14.45" x14ac:dyDescent="0.3">
      <c r="A1804" s="82" t="s">
        <v>134</v>
      </c>
      <c r="B1804" s="82" t="s">
        <v>16</v>
      </c>
      <c r="C1804" s="82" t="s">
        <v>21</v>
      </c>
      <c r="D1804" s="82" t="s">
        <v>90</v>
      </c>
      <c r="E1804" s="87">
        <f t="shared" si="419"/>
        <v>41760</v>
      </c>
      <c r="F1804" s="83"/>
      <c r="G1804" s="92">
        <v>3218</v>
      </c>
      <c r="H1804" s="52">
        <v>626</v>
      </c>
      <c r="I1804" s="52" t="s">
        <v>92</v>
      </c>
      <c r="J1804" s="157">
        <f t="shared" si="418"/>
        <v>0.39</v>
      </c>
      <c r="K1804" s="101">
        <f t="shared" si="411"/>
        <v>31.95630585898709</v>
      </c>
      <c r="L1804" s="101">
        <f t="shared" si="412"/>
        <v>0.81174774774774772</v>
      </c>
      <c r="M1804" s="133">
        <f t="shared" si="413"/>
        <v>244.14000000000001</v>
      </c>
      <c r="N1804" s="133">
        <f t="shared" si="414"/>
        <v>3462.14</v>
      </c>
      <c r="O1804" s="134">
        <f t="shared" si="415"/>
        <v>34.38073485600794</v>
      </c>
      <c r="P1804" s="134">
        <f t="shared" si="416"/>
        <v>0.87333261261261264</v>
      </c>
      <c r="R1804" s="149">
        <f t="shared" si="417"/>
        <v>1.6960404182822186</v>
      </c>
    </row>
    <row r="1805" spans="1:18" ht="14.45" x14ac:dyDescent="0.3">
      <c r="A1805" s="82" t="s">
        <v>134</v>
      </c>
      <c r="B1805" s="82" t="s">
        <v>16</v>
      </c>
      <c r="C1805" s="82" t="s">
        <v>6</v>
      </c>
      <c r="D1805" s="82" t="s">
        <v>90</v>
      </c>
      <c r="E1805" s="87">
        <f t="shared" si="419"/>
        <v>41760</v>
      </c>
      <c r="F1805" s="83"/>
      <c r="G1805" s="92">
        <v>5215</v>
      </c>
      <c r="H1805" s="52">
        <v>1823</v>
      </c>
      <c r="I1805" s="52" t="s">
        <v>92</v>
      </c>
      <c r="J1805" s="157">
        <f t="shared" si="418"/>
        <v>0.39</v>
      </c>
      <c r="K1805" s="101">
        <f t="shared" si="411"/>
        <v>51.787487586891757</v>
      </c>
      <c r="L1805" s="101">
        <f t="shared" si="412"/>
        <v>1.3154954954954956</v>
      </c>
      <c r="M1805" s="133">
        <f t="shared" si="413"/>
        <v>710.97</v>
      </c>
      <c r="N1805" s="133">
        <f t="shared" si="414"/>
        <v>5925.97</v>
      </c>
      <c r="O1805" s="134">
        <f t="shared" si="415"/>
        <v>58.847765640516386</v>
      </c>
      <c r="P1805" s="134">
        <f t="shared" si="416"/>
        <v>1.4948392792792793</v>
      </c>
      <c r="R1805" s="149">
        <f t="shared" si="417"/>
        <v>2.2741707224466001</v>
      </c>
    </row>
    <row r="1806" spans="1:18" ht="14.45" x14ac:dyDescent="0.3">
      <c r="A1806" s="82" t="s">
        <v>22</v>
      </c>
      <c r="B1806" s="82" t="s">
        <v>23</v>
      </c>
      <c r="C1806" s="82" t="s">
        <v>7</v>
      </c>
      <c r="D1806" s="82" t="s">
        <v>90</v>
      </c>
      <c r="E1806" s="87">
        <f t="shared" si="419"/>
        <v>41760</v>
      </c>
      <c r="F1806" s="83"/>
      <c r="G1806" s="92">
        <v>3414</v>
      </c>
      <c r="H1806" s="52">
        <v>1295</v>
      </c>
      <c r="I1806" s="52" t="s">
        <v>95</v>
      </c>
      <c r="J1806" s="157">
        <f t="shared" si="418"/>
        <v>0.32779999999999998</v>
      </c>
      <c r="K1806" s="101">
        <f t="shared" si="411"/>
        <v>33.902681231380335</v>
      </c>
      <c r="L1806" s="101">
        <f t="shared" si="412"/>
        <v>0.92270270270270272</v>
      </c>
      <c r="M1806" s="133">
        <f t="shared" si="413"/>
        <v>424.50099999999998</v>
      </c>
      <c r="N1806" s="133">
        <f t="shared" si="414"/>
        <v>3838.5010000000002</v>
      </c>
      <c r="O1806" s="134">
        <f t="shared" si="415"/>
        <v>38.118182720953328</v>
      </c>
      <c r="P1806" s="134">
        <f t="shared" si="416"/>
        <v>1.0374327027027028</v>
      </c>
      <c r="R1806" s="149">
        <f t="shared" si="417"/>
        <v>2.6778213689917951</v>
      </c>
    </row>
    <row r="1807" spans="1:18" ht="14.45" x14ac:dyDescent="0.3">
      <c r="A1807" s="82" t="s">
        <v>22</v>
      </c>
      <c r="B1807" s="82" t="s">
        <v>14</v>
      </c>
      <c r="C1807" s="82" t="s">
        <v>24</v>
      </c>
      <c r="D1807" s="82" t="s">
        <v>90</v>
      </c>
      <c r="E1807" s="87">
        <f t="shared" si="419"/>
        <v>41760</v>
      </c>
      <c r="F1807" s="83"/>
      <c r="G1807" s="92">
        <v>3687</v>
      </c>
      <c r="H1807" s="52">
        <v>615</v>
      </c>
      <c r="I1807" s="52" t="s">
        <v>94</v>
      </c>
      <c r="J1807" s="157">
        <f t="shared" si="418"/>
        <v>0.51</v>
      </c>
      <c r="K1807" s="101">
        <f t="shared" si="411"/>
        <v>36.613704071499505</v>
      </c>
      <c r="L1807" s="101">
        <f t="shared" si="412"/>
        <v>0.99648648648648652</v>
      </c>
      <c r="M1807" s="133">
        <f t="shared" si="413"/>
        <v>313.64999999999998</v>
      </c>
      <c r="N1807" s="133">
        <f t="shared" si="414"/>
        <v>4000.65</v>
      </c>
      <c r="O1807" s="134">
        <f t="shared" si="415"/>
        <v>39.728401191658392</v>
      </c>
      <c r="P1807" s="134">
        <f t="shared" si="416"/>
        <v>1.0812567567567568</v>
      </c>
      <c r="R1807" s="149">
        <f t="shared" si="417"/>
        <v>2.7177261990346091</v>
      </c>
    </row>
    <row r="1808" spans="1:18" ht="14.45" x14ac:dyDescent="0.3">
      <c r="A1808" s="82" t="s">
        <v>22</v>
      </c>
      <c r="B1808" s="82" t="s">
        <v>18</v>
      </c>
      <c r="C1808" s="82" t="s">
        <v>15</v>
      </c>
      <c r="D1808" s="82" t="s">
        <v>90</v>
      </c>
      <c r="E1808" s="87">
        <f t="shared" si="419"/>
        <v>41760</v>
      </c>
      <c r="F1808" s="83"/>
      <c r="G1808" s="92">
        <v>4756</v>
      </c>
      <c r="H1808" s="52">
        <v>872</v>
      </c>
      <c r="I1808" s="52" t="s">
        <v>94</v>
      </c>
      <c r="J1808" s="157">
        <f t="shared" si="418"/>
        <v>0.51</v>
      </c>
      <c r="K1808" s="101">
        <f t="shared" si="411"/>
        <v>47.229394240317774</v>
      </c>
      <c r="L1808" s="101">
        <f t="shared" si="412"/>
        <v>1.2854054054054054</v>
      </c>
      <c r="M1808" s="133">
        <f t="shared" si="413"/>
        <v>444.72</v>
      </c>
      <c r="N1808" s="133">
        <f t="shared" si="414"/>
        <v>5200.72</v>
      </c>
      <c r="O1808" s="134">
        <f t="shared" si="415"/>
        <v>51.645680238331678</v>
      </c>
      <c r="P1808" s="134">
        <f t="shared" si="416"/>
        <v>1.4056</v>
      </c>
      <c r="R1808" s="149">
        <f t="shared" si="417"/>
        <v>3.3644443737776975</v>
      </c>
    </row>
    <row r="1809" spans="1:18" ht="14.45" x14ac:dyDescent="0.3">
      <c r="A1809" s="82" t="s">
        <v>22</v>
      </c>
      <c r="B1809" s="82" t="s">
        <v>18</v>
      </c>
      <c r="C1809" s="82" t="s">
        <v>24</v>
      </c>
      <c r="D1809" s="82" t="s">
        <v>90</v>
      </c>
      <c r="E1809" s="87">
        <f t="shared" si="419"/>
        <v>41760</v>
      </c>
      <c r="F1809" s="83"/>
      <c r="G1809" s="92">
        <v>3379</v>
      </c>
      <c r="H1809" s="52">
        <v>417</v>
      </c>
      <c r="I1809" s="52" t="s">
        <v>94</v>
      </c>
      <c r="J1809" s="157">
        <f t="shared" si="418"/>
        <v>0.51</v>
      </c>
      <c r="K1809" s="101">
        <f t="shared" si="411"/>
        <v>33.555114200595831</v>
      </c>
      <c r="L1809" s="101">
        <f t="shared" si="412"/>
        <v>0.91324324324324324</v>
      </c>
      <c r="M1809" s="133">
        <f t="shared" si="413"/>
        <v>212.67000000000002</v>
      </c>
      <c r="N1809" s="133">
        <f t="shared" si="414"/>
        <v>3591.67</v>
      </c>
      <c r="O1809" s="134">
        <f t="shared" si="415"/>
        <v>35.667030784508441</v>
      </c>
      <c r="P1809" s="134">
        <f t="shared" si="416"/>
        <v>0.97072162162162168</v>
      </c>
      <c r="R1809" s="149">
        <f t="shared" si="417"/>
        <v>3.09514788279599</v>
      </c>
    </row>
    <row r="1810" spans="1:18" ht="14.45" x14ac:dyDescent="0.3">
      <c r="A1810" s="82" t="s">
        <v>22</v>
      </c>
      <c r="B1810" s="82" t="s">
        <v>13</v>
      </c>
      <c r="C1810" s="82" t="s">
        <v>7</v>
      </c>
      <c r="D1810" s="82" t="s">
        <v>90</v>
      </c>
      <c r="E1810" s="87">
        <f t="shared" si="419"/>
        <v>41760</v>
      </c>
      <c r="F1810" s="83"/>
      <c r="G1810" s="92">
        <v>3748</v>
      </c>
      <c r="H1810" s="52">
        <v>1006</v>
      </c>
      <c r="I1810" s="52" t="s">
        <v>92</v>
      </c>
      <c r="J1810" s="157">
        <f t="shared" si="418"/>
        <v>0.39</v>
      </c>
      <c r="K1810" s="101">
        <f t="shared" si="411"/>
        <v>37.219463753723929</v>
      </c>
      <c r="L1810" s="101">
        <f t="shared" si="412"/>
        <v>1.0129729729729731</v>
      </c>
      <c r="M1810" s="133">
        <f t="shared" si="413"/>
        <v>392.34000000000003</v>
      </c>
      <c r="N1810" s="133">
        <f t="shared" si="414"/>
        <v>4140.34</v>
      </c>
      <c r="O1810" s="134">
        <f t="shared" si="415"/>
        <v>41.115590863952335</v>
      </c>
      <c r="P1810" s="134">
        <f t="shared" si="416"/>
        <v>1.1190108108108108</v>
      </c>
      <c r="R1810" s="149">
        <f t="shared" si="417"/>
        <v>3.4722847003548774</v>
      </c>
    </row>
    <row r="1811" spans="1:18" ht="14.45" x14ac:dyDescent="0.3">
      <c r="A1811" s="82" t="s">
        <v>1</v>
      </c>
      <c r="B1811" s="82" t="s">
        <v>25</v>
      </c>
      <c r="C1811" s="82" t="s">
        <v>26</v>
      </c>
      <c r="D1811" s="82" t="s">
        <v>91</v>
      </c>
      <c r="E1811" s="87">
        <f t="shared" si="419"/>
        <v>41760</v>
      </c>
      <c r="F1811" s="83"/>
      <c r="G1811" s="92">
        <v>3678</v>
      </c>
      <c r="H1811" s="52">
        <v>880</v>
      </c>
      <c r="I1811" s="52" t="s">
        <v>93</v>
      </c>
      <c r="J1811" s="157">
        <f t="shared" si="418"/>
        <v>0.38</v>
      </c>
      <c r="K1811" s="101">
        <f t="shared" si="411"/>
        <v>36.524329692154915</v>
      </c>
      <c r="L1811" s="101">
        <f t="shared" si="412"/>
        <v>0.994054054054054</v>
      </c>
      <c r="M1811" s="133">
        <f t="shared" si="413"/>
        <v>334.4</v>
      </c>
      <c r="N1811" s="133">
        <f t="shared" si="414"/>
        <v>4012.4</v>
      </c>
      <c r="O1811" s="134">
        <f t="shared" si="415"/>
        <v>39.845084409136049</v>
      </c>
      <c r="P1811" s="134">
        <f t="shared" si="416"/>
        <v>1.0844324324324324</v>
      </c>
      <c r="R1811" s="149">
        <f t="shared" si="417"/>
        <v>2.0447609359104835</v>
      </c>
    </row>
    <row r="1812" spans="1:18" ht="14.45" x14ac:dyDescent="0.3">
      <c r="A1812" s="82" t="s">
        <v>1</v>
      </c>
      <c r="B1812" s="82" t="s">
        <v>2</v>
      </c>
      <c r="C1812" s="82" t="s">
        <v>9</v>
      </c>
      <c r="D1812" s="82" t="s">
        <v>91</v>
      </c>
      <c r="E1812" s="87">
        <f t="shared" si="419"/>
        <v>41760</v>
      </c>
      <c r="F1812" s="83"/>
      <c r="G1812" s="92">
        <v>3798</v>
      </c>
      <c r="H1812" s="52">
        <v>685</v>
      </c>
      <c r="I1812" s="52" t="s">
        <v>93</v>
      </c>
      <c r="J1812" s="157">
        <f t="shared" si="418"/>
        <v>0.38</v>
      </c>
      <c r="K1812" s="101">
        <f t="shared" si="411"/>
        <v>37.715988083416086</v>
      </c>
      <c r="L1812" s="101">
        <f t="shared" si="412"/>
        <v>1.0264864864864864</v>
      </c>
      <c r="M1812" s="133">
        <f t="shared" si="413"/>
        <v>260.3</v>
      </c>
      <c r="N1812" s="133">
        <f t="shared" si="414"/>
        <v>4058.3</v>
      </c>
      <c r="O1812" s="134">
        <f t="shared" si="415"/>
        <v>40.300893743793445</v>
      </c>
      <c r="P1812" s="134">
        <f t="shared" si="416"/>
        <v>1.0968378378378378</v>
      </c>
      <c r="R1812" s="149">
        <f t="shared" si="417"/>
        <v>3.8459570112589603</v>
      </c>
    </row>
    <row r="1813" spans="1:18" ht="14.45" x14ac:dyDescent="0.3">
      <c r="A1813" s="82" t="s">
        <v>1</v>
      </c>
      <c r="B1813" s="82" t="s">
        <v>27</v>
      </c>
      <c r="C1813" s="82" t="s">
        <v>28</v>
      </c>
      <c r="D1813" s="82" t="s">
        <v>91</v>
      </c>
      <c r="E1813" s="87">
        <f t="shared" si="419"/>
        <v>41760</v>
      </c>
      <c r="F1813" s="83"/>
      <c r="G1813" s="92">
        <v>3950</v>
      </c>
      <c r="H1813" s="52">
        <v>812</v>
      </c>
      <c r="I1813" s="52" t="s">
        <v>94</v>
      </c>
      <c r="J1813" s="157">
        <f t="shared" si="418"/>
        <v>0.51</v>
      </c>
      <c r="K1813" s="101">
        <f t="shared" si="411"/>
        <v>39.22542204568024</v>
      </c>
      <c r="L1813" s="101">
        <f t="shared" si="412"/>
        <v>1.0675675675675675</v>
      </c>
      <c r="M1813" s="133">
        <f t="shared" si="413"/>
        <v>414.12</v>
      </c>
      <c r="N1813" s="133">
        <f t="shared" si="414"/>
        <v>4364.12</v>
      </c>
      <c r="O1813" s="134">
        <f t="shared" si="415"/>
        <v>43.337835153922541</v>
      </c>
      <c r="P1813" s="134">
        <f t="shared" si="416"/>
        <v>1.179491891891892</v>
      </c>
      <c r="R1813" s="149">
        <f t="shared" si="417"/>
        <v>4.0751304480544981</v>
      </c>
    </row>
    <row r="1814" spans="1:18" ht="14.45" x14ac:dyDescent="0.3">
      <c r="A1814" s="82" t="s">
        <v>1</v>
      </c>
      <c r="B1814" s="82" t="s">
        <v>4</v>
      </c>
      <c r="C1814" s="82" t="s">
        <v>26</v>
      </c>
      <c r="D1814" s="82" t="s">
        <v>91</v>
      </c>
      <c r="E1814" s="87">
        <f t="shared" si="419"/>
        <v>41760</v>
      </c>
      <c r="F1814" s="83"/>
      <c r="G1814" s="92">
        <v>5159</v>
      </c>
      <c r="H1814" s="52">
        <v>1520</v>
      </c>
      <c r="I1814" s="52" t="s">
        <v>93</v>
      </c>
      <c r="J1814" s="157">
        <f t="shared" si="418"/>
        <v>0.38</v>
      </c>
      <c r="K1814" s="101">
        <f t="shared" si="411"/>
        <v>51.231380337636544</v>
      </c>
      <c r="L1814" s="101">
        <f t="shared" si="412"/>
        <v>1.3943243243243244</v>
      </c>
      <c r="M1814" s="133">
        <f t="shared" si="413"/>
        <v>577.6</v>
      </c>
      <c r="N1814" s="133">
        <f t="shared" si="414"/>
        <v>5736.6</v>
      </c>
      <c r="O1814" s="134">
        <f t="shared" si="415"/>
        <v>56.96722939424032</v>
      </c>
      <c r="P1814" s="134">
        <f t="shared" si="416"/>
        <v>1.5504324324324326</v>
      </c>
      <c r="R1814" s="149">
        <f t="shared" si="417"/>
        <v>1.1924501675780519</v>
      </c>
    </row>
    <row r="1815" spans="1:18" ht="14.45" x14ac:dyDescent="0.3">
      <c r="A1815" s="82" t="s">
        <v>1</v>
      </c>
      <c r="B1815" s="82" t="s">
        <v>4</v>
      </c>
      <c r="C1815" s="82" t="s">
        <v>9</v>
      </c>
      <c r="D1815" s="82" t="s">
        <v>91</v>
      </c>
      <c r="E1815" s="87">
        <f t="shared" si="419"/>
        <v>41760</v>
      </c>
      <c r="F1815" s="83"/>
      <c r="G1815" s="92">
        <v>6084</v>
      </c>
      <c r="H1815" s="52">
        <v>1583</v>
      </c>
      <c r="I1815" s="52" t="s">
        <v>93</v>
      </c>
      <c r="J1815" s="157">
        <f t="shared" si="418"/>
        <v>0.38</v>
      </c>
      <c r="K1815" s="101">
        <f t="shared" si="411"/>
        <v>60.417080436941411</v>
      </c>
      <c r="L1815" s="101">
        <f t="shared" si="412"/>
        <v>1.6443243243243244</v>
      </c>
      <c r="M1815" s="133">
        <f t="shared" si="413"/>
        <v>601.54</v>
      </c>
      <c r="N1815" s="133">
        <f t="shared" si="414"/>
        <v>6685.54</v>
      </c>
      <c r="O1815" s="134">
        <f t="shared" si="415"/>
        <v>66.390665342601778</v>
      </c>
      <c r="P1815" s="134">
        <f t="shared" si="416"/>
        <v>1.8069027027027027</v>
      </c>
      <c r="R1815" s="149">
        <f t="shared" si="417"/>
        <v>-0.44168453657373874</v>
      </c>
    </row>
    <row r="1816" spans="1:18" ht="14.45" x14ac:dyDescent="0.3">
      <c r="A1816" s="82" t="s">
        <v>1</v>
      </c>
      <c r="B1816" s="82" t="s">
        <v>10</v>
      </c>
      <c r="C1816" s="82" t="s">
        <v>26</v>
      </c>
      <c r="D1816" s="82" t="s">
        <v>91</v>
      </c>
      <c r="E1816" s="87">
        <f t="shared" si="419"/>
        <v>41760</v>
      </c>
      <c r="F1816" s="83"/>
      <c r="G1816" s="92">
        <v>5043</v>
      </c>
      <c r="H1816" s="52">
        <v>1599</v>
      </c>
      <c r="I1816" s="52" t="s">
        <v>92</v>
      </c>
      <c r="J1816" s="157">
        <f t="shared" si="418"/>
        <v>0.39</v>
      </c>
      <c r="K1816" s="101">
        <f t="shared" si="411"/>
        <v>50.079443892750746</v>
      </c>
      <c r="L1816" s="101">
        <f t="shared" si="412"/>
        <v>1.3629729729729729</v>
      </c>
      <c r="M1816" s="133">
        <f t="shared" si="413"/>
        <v>623.61</v>
      </c>
      <c r="N1816" s="133">
        <f t="shared" si="414"/>
        <v>5666.61</v>
      </c>
      <c r="O1816" s="134">
        <f t="shared" si="415"/>
        <v>56.272194637537233</v>
      </c>
      <c r="P1816" s="134">
        <f t="shared" si="416"/>
        <v>1.5315162162162161</v>
      </c>
      <c r="R1816" s="149">
        <f t="shared" si="417"/>
        <v>2.6634176389593422</v>
      </c>
    </row>
    <row r="1817" spans="1:18" ht="14.45" x14ac:dyDescent="0.3">
      <c r="A1817" s="82" t="s">
        <v>134</v>
      </c>
      <c r="B1817" s="82" t="s">
        <v>23</v>
      </c>
      <c r="C1817" s="82" t="s">
        <v>26</v>
      </c>
      <c r="D1817" s="82" t="s">
        <v>91</v>
      </c>
      <c r="E1817" s="87">
        <f t="shared" si="419"/>
        <v>41760</v>
      </c>
      <c r="F1817" s="83"/>
      <c r="G1817" s="92">
        <v>5000</v>
      </c>
      <c r="H1817" s="52">
        <v>1851</v>
      </c>
      <c r="I1817" s="52" t="s">
        <v>93</v>
      </c>
      <c r="J1817" s="157">
        <f t="shared" si="418"/>
        <v>0.38</v>
      </c>
      <c r="K1817" s="101">
        <f t="shared" si="411"/>
        <v>49.652432969215489</v>
      </c>
      <c r="L1817" s="101">
        <f t="shared" si="412"/>
        <v>1.2612612612612613</v>
      </c>
      <c r="M1817" s="133">
        <f t="shared" si="413"/>
        <v>703.38</v>
      </c>
      <c r="N1817" s="133">
        <f t="shared" si="414"/>
        <v>5703.38</v>
      </c>
      <c r="O1817" s="134">
        <f t="shared" si="415"/>
        <v>56.637338629592847</v>
      </c>
      <c r="P1817" s="134">
        <f t="shared" si="416"/>
        <v>1.4386904504504505</v>
      </c>
      <c r="R1817" s="149">
        <f t="shared" si="417"/>
        <v>2.9416648617428542</v>
      </c>
    </row>
    <row r="1818" spans="1:18" ht="14.45" x14ac:dyDescent="0.3">
      <c r="A1818" s="82" t="s">
        <v>134</v>
      </c>
      <c r="B1818" s="82" t="s">
        <v>8</v>
      </c>
      <c r="C1818" s="82" t="s">
        <v>29</v>
      </c>
      <c r="D1818" s="82" t="s">
        <v>91</v>
      </c>
      <c r="E1818" s="87">
        <f t="shared" si="419"/>
        <v>41760</v>
      </c>
      <c r="F1818" s="83"/>
      <c r="G1818" s="92">
        <v>4960</v>
      </c>
      <c r="H1818" s="52">
        <v>1695</v>
      </c>
      <c r="I1818" s="52" t="s">
        <v>93</v>
      </c>
      <c r="J1818" s="157">
        <f t="shared" si="418"/>
        <v>0.38</v>
      </c>
      <c r="K1818" s="101">
        <f t="shared" si="411"/>
        <v>49.255213505461768</v>
      </c>
      <c r="L1818" s="101">
        <f t="shared" si="412"/>
        <v>1.2511711711711713</v>
      </c>
      <c r="M1818" s="133">
        <f t="shared" si="413"/>
        <v>644.1</v>
      </c>
      <c r="N1818" s="133">
        <f t="shared" si="414"/>
        <v>5604.1</v>
      </c>
      <c r="O1818" s="134">
        <f t="shared" si="415"/>
        <v>55.651439920556108</v>
      </c>
      <c r="P1818" s="134">
        <f t="shared" si="416"/>
        <v>1.413646846846847</v>
      </c>
      <c r="R1818" s="149">
        <f t="shared" si="417"/>
        <v>3.0544317763883777</v>
      </c>
    </row>
    <row r="1819" spans="1:18" ht="14.45" x14ac:dyDescent="0.3">
      <c r="A1819" s="82" t="s">
        <v>134</v>
      </c>
      <c r="B1819" s="82" t="s">
        <v>13</v>
      </c>
      <c r="C1819" s="82" t="s">
        <v>7</v>
      </c>
      <c r="D1819" s="82" t="s">
        <v>91</v>
      </c>
      <c r="E1819" s="87">
        <f t="shared" si="419"/>
        <v>41760</v>
      </c>
      <c r="F1819" s="83"/>
      <c r="G1819" s="92">
        <v>3011</v>
      </c>
      <c r="H1819" s="52">
        <v>1006</v>
      </c>
      <c r="I1819" s="52" t="s">
        <v>92</v>
      </c>
      <c r="J1819" s="157">
        <f t="shared" si="418"/>
        <v>0.39</v>
      </c>
      <c r="K1819" s="101">
        <f t="shared" si="411"/>
        <v>29.900695134061568</v>
      </c>
      <c r="L1819" s="101">
        <f t="shared" si="412"/>
        <v>0.75953153153153152</v>
      </c>
      <c r="M1819" s="133">
        <f t="shared" si="413"/>
        <v>392.34000000000003</v>
      </c>
      <c r="N1819" s="133">
        <f t="shared" si="414"/>
        <v>3403.34</v>
      </c>
      <c r="O1819" s="134">
        <f t="shared" si="415"/>
        <v>33.79682224428997</v>
      </c>
      <c r="P1819" s="134">
        <f t="shared" si="416"/>
        <v>0.85850018018018026</v>
      </c>
      <c r="R1819" s="149">
        <f t="shared" si="417"/>
        <v>2.1594524824398276</v>
      </c>
    </row>
    <row r="1820" spans="1:18" ht="14.45" x14ac:dyDescent="0.3">
      <c r="A1820" s="82" t="s">
        <v>134</v>
      </c>
      <c r="B1820" s="82" t="s">
        <v>30</v>
      </c>
      <c r="C1820" s="82" t="s">
        <v>9</v>
      </c>
      <c r="D1820" s="82" t="s">
        <v>91</v>
      </c>
      <c r="E1820" s="87">
        <f t="shared" si="419"/>
        <v>41760</v>
      </c>
      <c r="F1820" s="83"/>
      <c r="G1820" s="92">
        <v>3510</v>
      </c>
      <c r="H1820" s="52">
        <v>988</v>
      </c>
      <c r="I1820" s="52" t="s">
        <v>93</v>
      </c>
      <c r="J1820" s="157">
        <f t="shared" si="418"/>
        <v>0.38</v>
      </c>
      <c r="K1820" s="101">
        <f t="shared" si="411"/>
        <v>34.856007944389276</v>
      </c>
      <c r="L1820" s="101">
        <f t="shared" si="412"/>
        <v>0.88540540540540547</v>
      </c>
      <c r="M1820" s="133">
        <f t="shared" si="413"/>
        <v>375.44</v>
      </c>
      <c r="N1820" s="133">
        <f t="shared" si="414"/>
        <v>3885.44</v>
      </c>
      <c r="O1820" s="134">
        <f t="shared" si="415"/>
        <v>38.584309831181727</v>
      </c>
      <c r="P1820" s="134">
        <f t="shared" si="416"/>
        <v>0.98011099099099097</v>
      </c>
      <c r="R1820" s="149">
        <f t="shared" si="417"/>
        <v>4.8645147360466545</v>
      </c>
    </row>
    <row r="1821" spans="1:18" ht="14.45" x14ac:dyDescent="0.3">
      <c r="A1821" s="82" t="s">
        <v>134</v>
      </c>
      <c r="B1821" s="82" t="s">
        <v>16</v>
      </c>
      <c r="C1821" s="82" t="s">
        <v>11</v>
      </c>
      <c r="D1821" s="82" t="s">
        <v>91</v>
      </c>
      <c r="E1821" s="87">
        <f t="shared" si="419"/>
        <v>41760</v>
      </c>
      <c r="F1821" s="83"/>
      <c r="G1821" s="92">
        <v>3590</v>
      </c>
      <c r="H1821" s="52">
        <v>787</v>
      </c>
      <c r="I1821" s="52" t="s">
        <v>92</v>
      </c>
      <c r="J1821" s="157">
        <f t="shared" si="418"/>
        <v>0.39</v>
      </c>
      <c r="K1821" s="101">
        <f t="shared" si="411"/>
        <v>35.650446871896719</v>
      </c>
      <c r="L1821" s="101">
        <f t="shared" si="412"/>
        <v>0.90558558558558555</v>
      </c>
      <c r="M1821" s="133">
        <f t="shared" si="413"/>
        <v>306.93</v>
      </c>
      <c r="N1821" s="133">
        <f t="shared" si="414"/>
        <v>3896.93</v>
      </c>
      <c r="O1821" s="134">
        <f t="shared" si="415"/>
        <v>38.698411122144982</v>
      </c>
      <c r="P1821" s="134">
        <f t="shared" si="416"/>
        <v>0.98300936936936933</v>
      </c>
      <c r="R1821" s="149">
        <f t="shared" si="417"/>
        <v>1.8858502405354471</v>
      </c>
    </row>
    <row r="1822" spans="1:18" ht="14.45" x14ac:dyDescent="0.3">
      <c r="A1822" s="82" t="s">
        <v>134</v>
      </c>
      <c r="B1822" s="82" t="s">
        <v>23</v>
      </c>
      <c r="C1822" s="82" t="s">
        <v>29</v>
      </c>
      <c r="D1822" s="82" t="s">
        <v>91</v>
      </c>
      <c r="E1822" s="87">
        <f t="shared" si="419"/>
        <v>41760</v>
      </c>
      <c r="F1822" s="83"/>
      <c r="G1822" s="92">
        <v>5000</v>
      </c>
      <c r="H1822" s="52">
        <v>1836</v>
      </c>
      <c r="I1822" s="52" t="s">
        <v>93</v>
      </c>
      <c r="J1822" s="157">
        <f t="shared" si="418"/>
        <v>0.38</v>
      </c>
      <c r="K1822" s="101">
        <f t="shared" si="411"/>
        <v>49.652432969215489</v>
      </c>
      <c r="L1822" s="101">
        <f t="shared" si="412"/>
        <v>1.2612612612612613</v>
      </c>
      <c r="M1822" s="133">
        <f t="shared" si="413"/>
        <v>697.68000000000006</v>
      </c>
      <c r="N1822" s="133">
        <f t="shared" si="414"/>
        <v>5697.68</v>
      </c>
      <c r="O1822" s="134">
        <f t="shared" si="415"/>
        <v>56.580734856007943</v>
      </c>
      <c r="P1822" s="134">
        <f t="shared" si="416"/>
        <v>1.4372526126126126</v>
      </c>
      <c r="R1822" s="149">
        <f t="shared" si="417"/>
        <v>2.9502746458514251</v>
      </c>
    </row>
    <row r="1823" spans="1:18" ht="14.45" x14ac:dyDescent="0.3">
      <c r="A1823" s="82" t="s">
        <v>134</v>
      </c>
      <c r="B1823" s="82" t="s">
        <v>31</v>
      </c>
      <c r="C1823" s="82" t="s">
        <v>32</v>
      </c>
      <c r="D1823" s="82" t="s">
        <v>91</v>
      </c>
      <c r="E1823" s="87">
        <f t="shared" si="419"/>
        <v>41760</v>
      </c>
      <c r="F1823" s="83"/>
      <c r="G1823" s="92">
        <v>4400</v>
      </c>
      <c r="H1823" s="52">
        <v>1899</v>
      </c>
      <c r="I1823" s="52" t="s">
        <v>93</v>
      </c>
      <c r="J1823" s="157">
        <f t="shared" si="418"/>
        <v>0.38</v>
      </c>
      <c r="K1823" s="101">
        <f t="shared" si="411"/>
        <v>43.694141012909633</v>
      </c>
      <c r="L1823" s="101">
        <f t="shared" si="412"/>
        <v>1.1099099099099099</v>
      </c>
      <c r="M1823" s="133">
        <f t="shared" si="413"/>
        <v>721.62</v>
      </c>
      <c r="N1823" s="133">
        <f t="shared" si="414"/>
        <v>5121.62</v>
      </c>
      <c r="O1823" s="134">
        <f t="shared" si="415"/>
        <v>50.860178748758685</v>
      </c>
      <c r="P1823" s="134">
        <f t="shared" si="416"/>
        <v>1.2919401801801802</v>
      </c>
      <c r="R1823" s="149">
        <f t="shared" si="417"/>
        <v>3.2667957093313937</v>
      </c>
    </row>
    <row r="1824" spans="1:18" ht="14.45" x14ac:dyDescent="0.3">
      <c r="A1824" s="82" t="s">
        <v>22</v>
      </c>
      <c r="B1824" s="82" t="s">
        <v>8</v>
      </c>
      <c r="C1824" s="82" t="s">
        <v>29</v>
      </c>
      <c r="D1824" s="82" t="s">
        <v>91</v>
      </c>
      <c r="E1824" s="87">
        <f t="shared" si="419"/>
        <v>41760</v>
      </c>
      <c r="F1824" s="83"/>
      <c r="G1824" s="92">
        <v>5520</v>
      </c>
      <c r="H1824" s="52">
        <v>1695</v>
      </c>
      <c r="I1824" s="52" t="s">
        <v>93</v>
      </c>
      <c r="J1824" s="157">
        <f t="shared" si="418"/>
        <v>0.38</v>
      </c>
      <c r="K1824" s="101">
        <f t="shared" si="411"/>
        <v>54.816285998013903</v>
      </c>
      <c r="L1824" s="101">
        <f t="shared" si="412"/>
        <v>1.491891891891892</v>
      </c>
      <c r="M1824" s="133">
        <f t="shared" si="413"/>
        <v>644.1</v>
      </c>
      <c r="N1824" s="133">
        <f t="shared" si="414"/>
        <v>6164.1</v>
      </c>
      <c r="O1824" s="134">
        <f t="shared" si="415"/>
        <v>61.212512413108243</v>
      </c>
      <c r="P1824" s="134">
        <f t="shared" si="416"/>
        <v>1.6659729729729731</v>
      </c>
      <c r="R1824" s="149">
        <f t="shared" si="417"/>
        <v>2.7692564188062763</v>
      </c>
    </row>
    <row r="1825" spans="1:19" ht="14.45" x14ac:dyDescent="0.3">
      <c r="A1825" s="82" t="s">
        <v>22</v>
      </c>
      <c r="B1825" s="82" t="s">
        <v>23</v>
      </c>
      <c r="C1825" s="82" t="s">
        <v>26</v>
      </c>
      <c r="D1825" s="82" t="s">
        <v>91</v>
      </c>
      <c r="E1825" s="87">
        <f t="shared" si="419"/>
        <v>41760</v>
      </c>
      <c r="F1825" s="83"/>
      <c r="G1825" s="92">
        <v>5530</v>
      </c>
      <c r="H1825" s="52">
        <v>1851</v>
      </c>
      <c r="I1825" s="52" t="s">
        <v>93</v>
      </c>
      <c r="J1825" s="157">
        <f t="shared" si="418"/>
        <v>0.38</v>
      </c>
      <c r="K1825" s="101">
        <f t="shared" si="411"/>
        <v>54.915590863952332</v>
      </c>
      <c r="L1825" s="101">
        <f t="shared" si="412"/>
        <v>1.4945945945945946</v>
      </c>
      <c r="M1825" s="133">
        <f t="shared" si="413"/>
        <v>703.38</v>
      </c>
      <c r="N1825" s="133">
        <f t="shared" si="414"/>
        <v>6233.38</v>
      </c>
      <c r="O1825" s="134">
        <f t="shared" si="415"/>
        <v>61.900496524329689</v>
      </c>
      <c r="P1825" s="134">
        <f t="shared" si="416"/>
        <v>1.6846972972972973</v>
      </c>
      <c r="R1825" s="149">
        <f t="shared" si="417"/>
        <v>2.6848313125988454</v>
      </c>
    </row>
    <row r="1826" spans="1:19" ht="14.45" x14ac:dyDescent="0.3">
      <c r="A1826" s="82" t="s">
        <v>22</v>
      </c>
      <c r="B1826" s="82" t="s">
        <v>33</v>
      </c>
      <c r="C1826" s="82" t="s">
        <v>29</v>
      </c>
      <c r="D1826" s="82" t="s">
        <v>91</v>
      </c>
      <c r="E1826" s="87">
        <f t="shared" si="419"/>
        <v>41760</v>
      </c>
      <c r="F1826" s="83"/>
      <c r="G1826" s="92">
        <v>5430</v>
      </c>
      <c r="H1826" s="52">
        <v>1507</v>
      </c>
      <c r="I1826" s="52" t="s">
        <v>93</v>
      </c>
      <c r="J1826" s="157">
        <f t="shared" si="418"/>
        <v>0.38</v>
      </c>
      <c r="K1826" s="101">
        <f t="shared" si="411"/>
        <v>53.922542204568025</v>
      </c>
      <c r="L1826" s="101">
        <f t="shared" si="412"/>
        <v>1.4675675675675677</v>
      </c>
      <c r="M1826" s="133">
        <f t="shared" si="413"/>
        <v>572.66</v>
      </c>
      <c r="N1826" s="133">
        <f t="shared" si="414"/>
        <v>6002.66</v>
      </c>
      <c r="O1826" s="134">
        <f t="shared" si="415"/>
        <v>59.609334657398207</v>
      </c>
      <c r="P1826" s="134">
        <f t="shared" si="416"/>
        <v>1.6223405405405404</v>
      </c>
      <c r="R1826" s="149">
        <f t="shared" si="417"/>
        <v>2.9121519681799324</v>
      </c>
    </row>
    <row r="1827" spans="1:19" ht="14.45" x14ac:dyDescent="0.3">
      <c r="A1827" s="82" t="s">
        <v>22</v>
      </c>
      <c r="B1827" s="82" t="s">
        <v>31</v>
      </c>
      <c r="C1827" s="82" t="s">
        <v>7</v>
      </c>
      <c r="D1827" s="82" t="s">
        <v>91</v>
      </c>
      <c r="E1827" s="87">
        <f t="shared" si="419"/>
        <v>41760</v>
      </c>
      <c r="F1827" s="83"/>
      <c r="G1827" s="92">
        <v>4175</v>
      </c>
      <c r="H1827" s="52">
        <v>1160</v>
      </c>
      <c r="I1827" s="52" t="s">
        <v>92</v>
      </c>
      <c r="J1827" s="157">
        <f t="shared" si="418"/>
        <v>0.39</v>
      </c>
      <c r="K1827" s="101">
        <f t="shared" si="411"/>
        <v>41.459781529294936</v>
      </c>
      <c r="L1827" s="101">
        <f t="shared" si="412"/>
        <v>1.1283783783783783</v>
      </c>
      <c r="M1827" s="133">
        <f t="shared" si="413"/>
        <v>452.40000000000003</v>
      </c>
      <c r="N1827" s="133">
        <f t="shared" si="414"/>
        <v>4627.3999999999996</v>
      </c>
      <c r="O1827" s="134">
        <f t="shared" si="415"/>
        <v>45.952333664349545</v>
      </c>
      <c r="P1827" s="134">
        <f t="shared" si="416"/>
        <v>1.2506486486486486</v>
      </c>
      <c r="R1827" s="149">
        <f t="shared" si="417"/>
        <v>16.735620585267409</v>
      </c>
    </row>
    <row r="1828" spans="1:19" ht="14.45" x14ac:dyDescent="0.3">
      <c r="A1828" s="82" t="s">
        <v>22</v>
      </c>
      <c r="B1828" s="82" t="s">
        <v>14</v>
      </c>
      <c r="C1828" s="82" t="s">
        <v>24</v>
      </c>
      <c r="D1828" s="82" t="s">
        <v>91</v>
      </c>
      <c r="E1828" s="87">
        <f t="shared" si="419"/>
        <v>41760</v>
      </c>
      <c r="F1828" s="83"/>
      <c r="G1828" s="92">
        <v>2862</v>
      </c>
      <c r="H1828" s="52">
        <v>615</v>
      </c>
      <c r="I1828" s="52" t="s">
        <v>94</v>
      </c>
      <c r="J1828" s="157">
        <f t="shared" si="418"/>
        <v>0.51</v>
      </c>
      <c r="K1828" s="101">
        <f t="shared" si="411"/>
        <v>28.421052631578945</v>
      </c>
      <c r="L1828" s="101">
        <f t="shared" si="412"/>
        <v>0.7735135135135135</v>
      </c>
      <c r="M1828" s="133">
        <f t="shared" si="413"/>
        <v>313.64999999999998</v>
      </c>
      <c r="N1828" s="133">
        <f t="shared" si="414"/>
        <v>3175.65</v>
      </c>
      <c r="O1828" s="134">
        <f t="shared" si="415"/>
        <v>31.535749751737836</v>
      </c>
      <c r="P1828" s="134">
        <f t="shared" si="416"/>
        <v>0.85828378378378378</v>
      </c>
      <c r="R1828" s="149">
        <f t="shared" si="417"/>
        <v>3.4481073685582064</v>
      </c>
    </row>
    <row r="1829" spans="1:19" ht="14.45" x14ac:dyDescent="0.3">
      <c r="A1829" s="118" t="s">
        <v>22</v>
      </c>
      <c r="B1829" s="118" t="s">
        <v>34</v>
      </c>
      <c r="C1829" s="118" t="s">
        <v>26</v>
      </c>
      <c r="D1829" s="118" t="s">
        <v>91</v>
      </c>
      <c r="E1829" s="119">
        <f t="shared" si="419"/>
        <v>41760</v>
      </c>
      <c r="F1829" s="120"/>
      <c r="G1829" s="105">
        <v>5110</v>
      </c>
      <c r="H1829" s="158">
        <v>1637</v>
      </c>
      <c r="I1829" s="158" t="s">
        <v>92</v>
      </c>
      <c r="J1829" s="122">
        <f t="shared" si="418"/>
        <v>0.39</v>
      </c>
      <c r="K1829" s="123">
        <f t="shared" si="411"/>
        <v>50.744786494538232</v>
      </c>
      <c r="L1829" s="123">
        <f t="shared" si="412"/>
        <v>1.3810810810810812</v>
      </c>
      <c r="M1829" s="115">
        <f t="shared" si="413"/>
        <v>638.43000000000006</v>
      </c>
      <c r="N1829" s="115">
        <f t="shared" si="414"/>
        <v>5748.43</v>
      </c>
      <c r="O1829" s="116">
        <f t="shared" si="415"/>
        <v>57.084707050645484</v>
      </c>
      <c r="P1829" s="116">
        <f t="shared" si="416"/>
        <v>1.5536297297297299</v>
      </c>
      <c r="Q1829" s="106"/>
      <c r="R1829" s="152">
        <f t="shared" si="417"/>
        <v>5.3829654616117883</v>
      </c>
    </row>
    <row r="1830" spans="1:19" ht="15" x14ac:dyDescent="0.25">
      <c r="A1830" s="60" t="s">
        <v>1</v>
      </c>
      <c r="B1830" s="60" t="s">
        <v>2</v>
      </c>
      <c r="C1830" s="60" t="s">
        <v>3</v>
      </c>
      <c r="D1830" s="60" t="s">
        <v>90</v>
      </c>
      <c r="E1830" s="89">
        <v>41791</v>
      </c>
      <c r="F1830" s="61"/>
      <c r="G1830" s="92">
        <v>3387</v>
      </c>
      <c r="H1830" s="138">
        <v>506</v>
      </c>
      <c r="I1830" s="138" t="s">
        <v>92</v>
      </c>
      <c r="J1830" s="141">
        <f>IF(I1830="BNSF",0.37,IF(I1830="CN",0.322,IF(I1830="CSX",0.5,0.38)))</f>
        <v>0.38</v>
      </c>
      <c r="K1830" s="95">
        <f t="shared" ref="K1830:K1867" si="420">G1830/100.7</f>
        <v>33.63455809334657</v>
      </c>
      <c r="L1830" s="95">
        <f t="shared" ref="L1830:L1867" si="421">IF(A1830="corn",G1830/(111*2000/56),G1830/(111*2000/60))</f>
        <v>0.91540540540540538</v>
      </c>
      <c r="M1830" s="133">
        <f t="shared" ref="M1830:M1867" si="422">H1830*J1830</f>
        <v>192.28</v>
      </c>
      <c r="N1830" s="133">
        <f t="shared" ref="N1830:N1867" si="423">G1830+M1830</f>
        <v>3579.28</v>
      </c>
      <c r="O1830" s="134">
        <f t="shared" ref="O1830:O1867" si="424">N1830/100.7</f>
        <v>35.543992055610723</v>
      </c>
      <c r="P1830" s="134">
        <f t="shared" ref="P1830:P1867" si="425">IF(A1830="corn",N1830/(111*2000/56),N1830/(111*2000/60))</f>
        <v>0.96737297297297298</v>
      </c>
      <c r="Q1830" s="160"/>
      <c r="R1830" s="149">
        <f t="shared" ref="R1830:R1867" si="426">((N1830/N1374)-1)*100</f>
        <v>5.9516550135870538</v>
      </c>
      <c r="S1830" s="140">
        <f>AVERAGE(O1754,O1792,O1830)</f>
        <v>34.263157894736842</v>
      </c>
    </row>
    <row r="1831" spans="1:19" ht="15" x14ac:dyDescent="0.25">
      <c r="A1831" s="60" t="s">
        <v>1</v>
      </c>
      <c r="B1831" s="60" t="s">
        <v>4</v>
      </c>
      <c r="C1831" s="60" t="s">
        <v>5</v>
      </c>
      <c r="D1831" s="60" t="s">
        <v>90</v>
      </c>
      <c r="E1831" s="89">
        <f>E1830</f>
        <v>41791</v>
      </c>
      <c r="F1831" s="61"/>
      <c r="G1831" s="92">
        <v>3596</v>
      </c>
      <c r="H1831" s="138">
        <v>298</v>
      </c>
      <c r="I1831" s="138" t="s">
        <v>93</v>
      </c>
      <c r="J1831" s="141">
        <f t="shared" ref="J1831:J1867" si="427">IF(I1831="BNSF",0.37,IF(I1831="CN",0.322,IF(I1831="CSX",0.5,0.38)))</f>
        <v>0.37</v>
      </c>
      <c r="K1831" s="95">
        <f t="shared" si="420"/>
        <v>35.710029791459782</v>
      </c>
      <c r="L1831" s="95">
        <f t="shared" si="421"/>
        <v>0.97189189189189185</v>
      </c>
      <c r="M1831" s="133">
        <f t="shared" si="422"/>
        <v>110.26</v>
      </c>
      <c r="N1831" s="133">
        <f t="shared" si="423"/>
        <v>3706.26</v>
      </c>
      <c r="O1831" s="134">
        <f t="shared" si="424"/>
        <v>36.80496524329692</v>
      </c>
      <c r="P1831" s="134">
        <f t="shared" si="425"/>
        <v>1.001691891891892</v>
      </c>
      <c r="Q1831" s="160"/>
      <c r="R1831" s="149">
        <f t="shared" si="426"/>
        <v>1.5335809855682392</v>
      </c>
      <c r="S1831" s="140">
        <f t="shared" ref="S1831:S1866" si="428">AVERAGE(O1755,O1793,O1831)</f>
        <v>36.824693809996688</v>
      </c>
    </row>
    <row r="1832" spans="1:19" ht="15" x14ac:dyDescent="0.25">
      <c r="A1832" s="60" t="s">
        <v>1</v>
      </c>
      <c r="B1832" s="60" t="s">
        <v>2</v>
      </c>
      <c r="C1832" s="60" t="s">
        <v>6</v>
      </c>
      <c r="D1832" s="60" t="s">
        <v>90</v>
      </c>
      <c r="E1832" s="89">
        <f t="shared" ref="E1832:E1867" si="429">E1831</f>
        <v>41791</v>
      </c>
      <c r="F1832" s="61"/>
      <c r="G1832" s="92">
        <v>6244</v>
      </c>
      <c r="H1832" s="138">
        <v>1530</v>
      </c>
      <c r="I1832" s="138" t="s">
        <v>93</v>
      </c>
      <c r="J1832" s="141">
        <f t="shared" si="427"/>
        <v>0.37</v>
      </c>
      <c r="K1832" s="95">
        <f t="shared" si="420"/>
        <v>62.005958291956304</v>
      </c>
      <c r="L1832" s="95">
        <f t="shared" si="421"/>
        <v>1.6875675675675677</v>
      </c>
      <c r="M1832" s="133">
        <f t="shared" si="422"/>
        <v>566.1</v>
      </c>
      <c r="N1832" s="133">
        <f t="shared" si="423"/>
        <v>6810.1</v>
      </c>
      <c r="O1832" s="134">
        <f t="shared" si="424"/>
        <v>67.627606752730884</v>
      </c>
      <c r="P1832" s="134">
        <f t="shared" si="425"/>
        <v>1.8405675675675677</v>
      </c>
      <c r="R1832" s="149">
        <f t="shared" si="426"/>
        <v>0.22517219049862369</v>
      </c>
      <c r="S1832" s="140">
        <f t="shared" si="428"/>
        <v>67.728897715988083</v>
      </c>
    </row>
    <row r="1833" spans="1:19" ht="15" x14ac:dyDescent="0.25">
      <c r="A1833" s="60" t="s">
        <v>1</v>
      </c>
      <c r="B1833" s="60" t="s">
        <v>2</v>
      </c>
      <c r="C1833" s="60" t="s">
        <v>7</v>
      </c>
      <c r="D1833" s="60" t="s">
        <v>90</v>
      </c>
      <c r="E1833" s="89">
        <f t="shared" si="429"/>
        <v>41791</v>
      </c>
      <c r="F1833" s="61"/>
      <c r="G1833" s="92">
        <v>4026</v>
      </c>
      <c r="H1833" s="138">
        <v>890</v>
      </c>
      <c r="I1833" s="138" t="s">
        <v>92</v>
      </c>
      <c r="J1833" s="141">
        <f t="shared" si="427"/>
        <v>0.38</v>
      </c>
      <c r="K1833" s="95">
        <f t="shared" si="420"/>
        <v>39.98013902681231</v>
      </c>
      <c r="L1833" s="95">
        <f t="shared" si="421"/>
        <v>1.0881081081081081</v>
      </c>
      <c r="M1833" s="133">
        <f t="shared" si="422"/>
        <v>338.2</v>
      </c>
      <c r="N1833" s="133">
        <f t="shared" si="423"/>
        <v>4364.2</v>
      </c>
      <c r="O1833" s="134">
        <f t="shared" si="424"/>
        <v>43.338629592850047</v>
      </c>
      <c r="P1833" s="134">
        <f t="shared" si="425"/>
        <v>1.1795135135135135</v>
      </c>
      <c r="R1833" s="149">
        <f t="shared" si="426"/>
        <v>5.4842530152514835</v>
      </c>
      <c r="S1833" s="140">
        <f t="shared" si="428"/>
        <v>41.924859318106591</v>
      </c>
    </row>
    <row r="1834" spans="1:19" ht="15" x14ac:dyDescent="0.25">
      <c r="A1834" s="60" t="s">
        <v>1</v>
      </c>
      <c r="B1834" s="60" t="s">
        <v>8</v>
      </c>
      <c r="C1834" s="60" t="s">
        <v>9</v>
      </c>
      <c r="D1834" s="60" t="s">
        <v>90</v>
      </c>
      <c r="E1834" s="89">
        <f t="shared" si="429"/>
        <v>41791</v>
      </c>
      <c r="F1834" s="61"/>
      <c r="G1834" s="92">
        <v>5824</v>
      </c>
      <c r="H1834" s="138">
        <v>1256</v>
      </c>
      <c r="I1834" s="138" t="s">
        <v>93</v>
      </c>
      <c r="J1834" s="141">
        <f t="shared" si="427"/>
        <v>0.37</v>
      </c>
      <c r="K1834" s="95">
        <f t="shared" si="420"/>
        <v>57.835153922542204</v>
      </c>
      <c r="L1834" s="95">
        <f t="shared" si="421"/>
        <v>1.574054054054054</v>
      </c>
      <c r="M1834" s="133">
        <f t="shared" si="422"/>
        <v>464.71999999999997</v>
      </c>
      <c r="N1834" s="133">
        <f t="shared" si="423"/>
        <v>6288.72</v>
      </c>
      <c r="O1834" s="134">
        <f t="shared" si="424"/>
        <v>62.450049652432973</v>
      </c>
      <c r="P1834" s="134">
        <f t="shared" si="425"/>
        <v>1.6996540540540541</v>
      </c>
      <c r="R1834" s="149">
        <f t="shared" si="426"/>
        <v>0.20012236781727921</v>
      </c>
      <c r="S1834" s="140">
        <f t="shared" si="428"/>
        <v>62.53320092684541</v>
      </c>
    </row>
    <row r="1835" spans="1:19" ht="15" x14ac:dyDescent="0.25">
      <c r="A1835" s="60" t="s">
        <v>1</v>
      </c>
      <c r="B1835" s="60" t="s">
        <v>10</v>
      </c>
      <c r="C1835" s="60" t="s">
        <v>9</v>
      </c>
      <c r="D1835" s="60" t="s">
        <v>90</v>
      </c>
      <c r="E1835" s="89">
        <f t="shared" si="429"/>
        <v>41791</v>
      </c>
      <c r="F1835" s="61"/>
      <c r="G1835" s="92">
        <v>4293</v>
      </c>
      <c r="H1835" s="138">
        <v>975</v>
      </c>
      <c r="I1835" s="138" t="s">
        <v>92</v>
      </c>
      <c r="J1835" s="141">
        <f t="shared" si="427"/>
        <v>0.38</v>
      </c>
      <c r="K1835" s="95">
        <f t="shared" si="420"/>
        <v>42.631578947368418</v>
      </c>
      <c r="L1835" s="95">
        <f t="shared" si="421"/>
        <v>1.1602702702702703</v>
      </c>
      <c r="M1835" s="133">
        <f t="shared" si="422"/>
        <v>370.5</v>
      </c>
      <c r="N1835" s="133">
        <f t="shared" si="423"/>
        <v>4663.5</v>
      </c>
      <c r="O1835" s="134">
        <f t="shared" si="424"/>
        <v>46.31082423038729</v>
      </c>
      <c r="P1835" s="134">
        <f t="shared" si="425"/>
        <v>1.2604054054054055</v>
      </c>
      <c r="R1835" s="149">
        <f t="shared" si="426"/>
        <v>5.1107229390882969</v>
      </c>
      <c r="S1835" s="140">
        <f t="shared" si="428"/>
        <v>44.906487917907974</v>
      </c>
    </row>
    <row r="1836" spans="1:19" ht="15" x14ac:dyDescent="0.25">
      <c r="A1836" s="60" t="s">
        <v>1</v>
      </c>
      <c r="B1836" s="60" t="s">
        <v>11</v>
      </c>
      <c r="C1836" s="60" t="s">
        <v>6</v>
      </c>
      <c r="D1836" s="60" t="s">
        <v>90</v>
      </c>
      <c r="E1836" s="89">
        <f t="shared" si="429"/>
        <v>41791</v>
      </c>
      <c r="F1836" s="61"/>
      <c r="G1836" s="92">
        <v>4492</v>
      </c>
      <c r="H1836" s="138">
        <v>1357</v>
      </c>
      <c r="I1836" s="138" t="s">
        <v>92</v>
      </c>
      <c r="J1836" s="141">
        <f t="shared" si="427"/>
        <v>0.38</v>
      </c>
      <c r="K1836" s="95">
        <f t="shared" si="420"/>
        <v>44.607745779543194</v>
      </c>
      <c r="L1836" s="95">
        <f t="shared" si="421"/>
        <v>1.2140540540540541</v>
      </c>
      <c r="M1836" s="133">
        <f t="shared" si="422"/>
        <v>515.66</v>
      </c>
      <c r="N1836" s="133">
        <f t="shared" si="423"/>
        <v>5007.66</v>
      </c>
      <c r="O1836" s="134">
        <f t="shared" si="424"/>
        <v>49.728500496524326</v>
      </c>
      <c r="P1836" s="134">
        <f t="shared" si="425"/>
        <v>1.3534216216216215</v>
      </c>
      <c r="R1836" s="149">
        <f t="shared" si="426"/>
        <v>4.8265785237456171</v>
      </c>
      <c r="S1836" s="140">
        <f t="shared" si="428"/>
        <v>48.336809003641179</v>
      </c>
    </row>
    <row r="1837" spans="1:19" ht="15" x14ac:dyDescent="0.25">
      <c r="A1837" s="60" t="s">
        <v>134</v>
      </c>
      <c r="B1837" s="60" t="s">
        <v>13</v>
      </c>
      <c r="C1837" s="60" t="s">
        <v>7</v>
      </c>
      <c r="D1837" s="60" t="s">
        <v>90</v>
      </c>
      <c r="E1837" s="89">
        <f t="shared" si="429"/>
        <v>41791</v>
      </c>
      <c r="F1837" s="61"/>
      <c r="G1837" s="92">
        <v>3192</v>
      </c>
      <c r="H1837" s="138">
        <v>1006</v>
      </c>
      <c r="I1837" s="138" t="s">
        <v>92</v>
      </c>
      <c r="J1837" s="141">
        <f t="shared" si="427"/>
        <v>0.38</v>
      </c>
      <c r="K1837" s="95">
        <f t="shared" si="420"/>
        <v>31.69811320754717</v>
      </c>
      <c r="L1837" s="95">
        <f t="shared" si="421"/>
        <v>0.80518918918918925</v>
      </c>
      <c r="M1837" s="133">
        <f t="shared" si="422"/>
        <v>382.28000000000003</v>
      </c>
      <c r="N1837" s="133">
        <f t="shared" si="423"/>
        <v>3574.28</v>
      </c>
      <c r="O1837" s="134">
        <f t="shared" si="424"/>
        <v>35.494339622641512</v>
      </c>
      <c r="P1837" s="134">
        <f t="shared" si="425"/>
        <v>0.9016201801801802</v>
      </c>
      <c r="R1837" s="149">
        <f t="shared" si="426"/>
        <v>2.6437157905014663</v>
      </c>
      <c r="S1837" s="140">
        <f t="shared" si="428"/>
        <v>35.527639854352863</v>
      </c>
    </row>
    <row r="1838" spans="1:19" ht="15" x14ac:dyDescent="0.25">
      <c r="A1838" s="60" t="s">
        <v>134</v>
      </c>
      <c r="B1838" s="60" t="s">
        <v>14</v>
      </c>
      <c r="C1838" s="60" t="s">
        <v>15</v>
      </c>
      <c r="D1838" s="60" t="s">
        <v>90</v>
      </c>
      <c r="E1838" s="89">
        <f t="shared" si="429"/>
        <v>41791</v>
      </c>
      <c r="F1838" s="61"/>
      <c r="G1838" s="92">
        <v>4686</v>
      </c>
      <c r="H1838" s="138">
        <v>866</v>
      </c>
      <c r="I1838" s="138" t="s">
        <v>94</v>
      </c>
      <c r="J1838" s="141">
        <f t="shared" si="427"/>
        <v>0.5</v>
      </c>
      <c r="K1838" s="95">
        <f t="shared" si="420"/>
        <v>46.53426017874876</v>
      </c>
      <c r="L1838" s="95">
        <f t="shared" si="421"/>
        <v>1.1820540540540541</v>
      </c>
      <c r="M1838" s="133">
        <f t="shared" si="422"/>
        <v>433</v>
      </c>
      <c r="N1838" s="133">
        <f t="shared" si="423"/>
        <v>5119</v>
      </c>
      <c r="O1838" s="134">
        <f t="shared" si="424"/>
        <v>50.834160873882816</v>
      </c>
      <c r="P1838" s="134">
        <f t="shared" si="425"/>
        <v>1.2912792792792793</v>
      </c>
      <c r="R1838" s="149">
        <f t="shared" si="426"/>
        <v>3.7844106448460479</v>
      </c>
      <c r="S1838" s="140">
        <f t="shared" si="428"/>
        <v>50.862826878517041</v>
      </c>
    </row>
    <row r="1839" spans="1:19" ht="15" x14ac:dyDescent="0.25">
      <c r="A1839" s="60" t="s">
        <v>134</v>
      </c>
      <c r="B1839" s="60" t="s">
        <v>16</v>
      </c>
      <c r="C1839" s="60" t="s">
        <v>17</v>
      </c>
      <c r="D1839" s="60" t="s">
        <v>90</v>
      </c>
      <c r="E1839" s="89">
        <f t="shared" si="429"/>
        <v>41791</v>
      </c>
      <c r="F1839" s="61"/>
      <c r="G1839" s="92">
        <v>2078</v>
      </c>
      <c r="H1839" s="138">
        <v>213</v>
      </c>
      <c r="I1839" s="138" t="s">
        <v>92</v>
      </c>
      <c r="J1839" s="141">
        <f t="shared" si="427"/>
        <v>0.38</v>
      </c>
      <c r="K1839" s="95">
        <f t="shared" si="420"/>
        <v>20.635551142005959</v>
      </c>
      <c r="L1839" s="95">
        <f t="shared" si="421"/>
        <v>0.5241801801801802</v>
      </c>
      <c r="M1839" s="133">
        <f t="shared" si="422"/>
        <v>80.94</v>
      </c>
      <c r="N1839" s="133">
        <f t="shared" si="423"/>
        <v>2158.94</v>
      </c>
      <c r="O1839" s="134">
        <f t="shared" si="424"/>
        <v>21.439324726911618</v>
      </c>
      <c r="P1839" s="134">
        <f t="shared" si="425"/>
        <v>0.54459747747747755</v>
      </c>
      <c r="R1839" s="149">
        <f t="shared" si="426"/>
        <v>3.5557197058724732</v>
      </c>
      <c r="S1839" s="140">
        <f t="shared" si="428"/>
        <v>21.446375372393248</v>
      </c>
    </row>
    <row r="1840" spans="1:19" ht="15" x14ac:dyDescent="0.25">
      <c r="A1840" s="60" t="s">
        <v>134</v>
      </c>
      <c r="B1840" s="60" t="s">
        <v>18</v>
      </c>
      <c r="C1840" s="60" t="s">
        <v>19</v>
      </c>
      <c r="D1840" s="60" t="s">
        <v>90</v>
      </c>
      <c r="E1840" s="89">
        <f t="shared" si="429"/>
        <v>41791</v>
      </c>
      <c r="F1840" s="61"/>
      <c r="G1840" s="92">
        <v>4061</v>
      </c>
      <c r="H1840" s="138">
        <v>650</v>
      </c>
      <c r="I1840" s="138" t="s">
        <v>94</v>
      </c>
      <c r="J1840" s="141">
        <f t="shared" si="427"/>
        <v>0.5</v>
      </c>
      <c r="K1840" s="95">
        <f t="shared" si="420"/>
        <v>40.327706057596821</v>
      </c>
      <c r="L1840" s="95">
        <f t="shared" si="421"/>
        <v>1.0243963963963965</v>
      </c>
      <c r="M1840" s="133">
        <f t="shared" si="422"/>
        <v>325</v>
      </c>
      <c r="N1840" s="133">
        <f t="shared" si="423"/>
        <v>4386</v>
      </c>
      <c r="O1840" s="134">
        <f t="shared" si="424"/>
        <v>43.555114200595831</v>
      </c>
      <c r="P1840" s="134">
        <f t="shared" si="425"/>
        <v>1.1063783783783785</v>
      </c>
      <c r="R1840" s="149">
        <f t="shared" si="426"/>
        <v>3.4800047186504646</v>
      </c>
      <c r="S1840" s="140">
        <f t="shared" si="428"/>
        <v>43.576630254882495</v>
      </c>
    </row>
    <row r="1841" spans="1:19" ht="15" x14ac:dyDescent="0.25">
      <c r="A1841" s="60" t="s">
        <v>134</v>
      </c>
      <c r="B1841" s="60" t="s">
        <v>18</v>
      </c>
      <c r="C1841" s="60" t="s">
        <v>20</v>
      </c>
      <c r="D1841" s="60" t="s">
        <v>90</v>
      </c>
      <c r="E1841" s="89">
        <f t="shared" si="429"/>
        <v>41791</v>
      </c>
      <c r="F1841" s="61"/>
      <c r="G1841" s="92">
        <v>3469</v>
      </c>
      <c r="H1841" s="138">
        <v>417</v>
      </c>
      <c r="I1841" s="138" t="s">
        <v>94</v>
      </c>
      <c r="J1841" s="141">
        <f t="shared" si="427"/>
        <v>0.5</v>
      </c>
      <c r="K1841" s="95">
        <f t="shared" si="420"/>
        <v>34.44885799404171</v>
      </c>
      <c r="L1841" s="95">
        <f t="shared" si="421"/>
        <v>0.87506306306306303</v>
      </c>
      <c r="M1841" s="133">
        <f t="shared" si="422"/>
        <v>208.5</v>
      </c>
      <c r="N1841" s="133">
        <f t="shared" si="423"/>
        <v>3677.5</v>
      </c>
      <c r="O1841" s="134">
        <f t="shared" si="424"/>
        <v>36.519364448857992</v>
      </c>
      <c r="P1841" s="134">
        <f t="shared" si="425"/>
        <v>0.92765765765765762</v>
      </c>
      <c r="R1841" s="149">
        <f t="shared" si="426"/>
        <v>3.3490429499231311</v>
      </c>
      <c r="S1841" s="140">
        <f t="shared" si="428"/>
        <v>36.533167825223437</v>
      </c>
    </row>
    <row r="1842" spans="1:19" ht="15" x14ac:dyDescent="0.25">
      <c r="A1842" s="60" t="s">
        <v>134</v>
      </c>
      <c r="B1842" s="60" t="s">
        <v>16</v>
      </c>
      <c r="C1842" s="60" t="s">
        <v>21</v>
      </c>
      <c r="D1842" s="60" t="s">
        <v>90</v>
      </c>
      <c r="E1842" s="89">
        <f t="shared" si="429"/>
        <v>41791</v>
      </c>
      <c r="F1842" s="61"/>
      <c r="G1842" s="92">
        <v>3218</v>
      </c>
      <c r="H1842" s="138">
        <v>626</v>
      </c>
      <c r="I1842" s="138" t="s">
        <v>92</v>
      </c>
      <c r="J1842" s="141">
        <f t="shared" si="427"/>
        <v>0.38</v>
      </c>
      <c r="K1842" s="95">
        <f t="shared" si="420"/>
        <v>31.95630585898709</v>
      </c>
      <c r="L1842" s="95">
        <f t="shared" si="421"/>
        <v>0.81174774774774772</v>
      </c>
      <c r="M1842" s="133">
        <f t="shared" si="422"/>
        <v>237.88</v>
      </c>
      <c r="N1842" s="133">
        <f t="shared" si="423"/>
        <v>3455.88</v>
      </c>
      <c r="O1842" s="134">
        <f t="shared" si="424"/>
        <v>34.31857000993049</v>
      </c>
      <c r="P1842" s="134">
        <f t="shared" si="425"/>
        <v>0.8717535135135136</v>
      </c>
      <c r="R1842" s="149">
        <f t="shared" si="426"/>
        <v>2.3170161237794806</v>
      </c>
      <c r="S1842" s="140">
        <f t="shared" si="428"/>
        <v>34.33929162528964</v>
      </c>
    </row>
    <row r="1843" spans="1:19" ht="15" x14ac:dyDescent="0.25">
      <c r="A1843" s="60" t="s">
        <v>134</v>
      </c>
      <c r="B1843" s="60" t="s">
        <v>16</v>
      </c>
      <c r="C1843" s="60" t="s">
        <v>6</v>
      </c>
      <c r="D1843" s="60" t="s">
        <v>90</v>
      </c>
      <c r="E1843" s="89">
        <f t="shared" si="429"/>
        <v>41791</v>
      </c>
      <c r="F1843" s="61"/>
      <c r="G1843" s="92">
        <v>5215</v>
      </c>
      <c r="H1843" s="138">
        <v>1823</v>
      </c>
      <c r="I1843" s="138" t="s">
        <v>92</v>
      </c>
      <c r="J1843" s="141">
        <f t="shared" si="427"/>
        <v>0.38</v>
      </c>
      <c r="K1843" s="95">
        <f t="shared" si="420"/>
        <v>51.787487586891757</v>
      </c>
      <c r="L1843" s="95">
        <f t="shared" si="421"/>
        <v>1.3154954954954956</v>
      </c>
      <c r="M1843" s="133">
        <f t="shared" si="422"/>
        <v>692.74</v>
      </c>
      <c r="N1843" s="133">
        <f t="shared" si="423"/>
        <v>5907.74</v>
      </c>
      <c r="O1843" s="134">
        <f t="shared" si="424"/>
        <v>58.666732869910625</v>
      </c>
      <c r="P1843" s="134">
        <f t="shared" si="425"/>
        <v>1.4902407207207207</v>
      </c>
      <c r="R1843" s="149">
        <f t="shared" si="426"/>
        <v>2.931086451630871</v>
      </c>
      <c r="S1843" s="140">
        <f t="shared" si="428"/>
        <v>58.727077126779214</v>
      </c>
    </row>
    <row r="1844" spans="1:19" ht="15" x14ac:dyDescent="0.25">
      <c r="A1844" s="60" t="s">
        <v>22</v>
      </c>
      <c r="B1844" s="60" t="s">
        <v>23</v>
      </c>
      <c r="C1844" s="60" t="s">
        <v>7</v>
      </c>
      <c r="D1844" s="60" t="s">
        <v>90</v>
      </c>
      <c r="E1844" s="89">
        <f t="shared" si="429"/>
        <v>41791</v>
      </c>
      <c r="F1844" s="61"/>
      <c r="G1844" s="92">
        <v>3414</v>
      </c>
      <c r="H1844" s="138">
        <v>1295</v>
      </c>
      <c r="I1844" s="138" t="s">
        <v>95</v>
      </c>
      <c r="J1844" s="141">
        <f t="shared" si="427"/>
        <v>0.32200000000000001</v>
      </c>
      <c r="K1844" s="95">
        <f t="shared" si="420"/>
        <v>33.902681231380335</v>
      </c>
      <c r="L1844" s="95">
        <f t="shared" si="421"/>
        <v>0.92270270270270272</v>
      </c>
      <c r="M1844" s="133">
        <f t="shared" si="422"/>
        <v>416.99</v>
      </c>
      <c r="N1844" s="133">
        <f t="shared" si="423"/>
        <v>3830.99</v>
      </c>
      <c r="O1844" s="134">
        <f t="shared" si="424"/>
        <v>38.043594836146966</v>
      </c>
      <c r="P1844" s="134">
        <f t="shared" si="425"/>
        <v>1.0354027027027026</v>
      </c>
      <c r="R1844" s="149">
        <f t="shared" si="426"/>
        <v>3.2999304186462242</v>
      </c>
      <c r="S1844" s="140">
        <f t="shared" si="428"/>
        <v>38.126421714664012</v>
      </c>
    </row>
    <row r="1845" spans="1:19" ht="15" x14ac:dyDescent="0.25">
      <c r="A1845" s="60" t="s">
        <v>22</v>
      </c>
      <c r="B1845" s="60" t="s">
        <v>14</v>
      </c>
      <c r="C1845" s="60" t="s">
        <v>24</v>
      </c>
      <c r="D1845" s="60" t="s">
        <v>90</v>
      </c>
      <c r="E1845" s="89">
        <f t="shared" si="429"/>
        <v>41791</v>
      </c>
      <c r="F1845" s="61"/>
      <c r="G1845" s="92">
        <v>3687</v>
      </c>
      <c r="H1845" s="138">
        <v>615</v>
      </c>
      <c r="I1845" s="138" t="s">
        <v>94</v>
      </c>
      <c r="J1845" s="141">
        <f t="shared" si="427"/>
        <v>0.5</v>
      </c>
      <c r="K1845" s="95">
        <f t="shared" si="420"/>
        <v>36.613704071499505</v>
      </c>
      <c r="L1845" s="95">
        <f t="shared" si="421"/>
        <v>0.99648648648648652</v>
      </c>
      <c r="M1845" s="133">
        <f t="shared" si="422"/>
        <v>307.5</v>
      </c>
      <c r="N1845" s="133">
        <f t="shared" si="423"/>
        <v>3994.5</v>
      </c>
      <c r="O1845" s="134">
        <f t="shared" si="424"/>
        <v>39.667328699106257</v>
      </c>
      <c r="P1845" s="134">
        <f t="shared" si="425"/>
        <v>1.0795945945945946</v>
      </c>
      <c r="R1845" s="149">
        <f t="shared" si="426"/>
        <v>3.0479703845112116</v>
      </c>
      <c r="S1845" s="140">
        <f t="shared" si="428"/>
        <v>39.687686196623638</v>
      </c>
    </row>
    <row r="1846" spans="1:19" ht="15" x14ac:dyDescent="0.25">
      <c r="A1846" s="60" t="s">
        <v>22</v>
      </c>
      <c r="B1846" s="60" t="s">
        <v>18</v>
      </c>
      <c r="C1846" s="60" t="s">
        <v>15</v>
      </c>
      <c r="D1846" s="60" t="s">
        <v>90</v>
      </c>
      <c r="E1846" s="89">
        <f t="shared" si="429"/>
        <v>41791</v>
      </c>
      <c r="F1846" s="61"/>
      <c r="G1846" s="92">
        <v>4756</v>
      </c>
      <c r="H1846" s="138">
        <v>872</v>
      </c>
      <c r="I1846" s="138" t="s">
        <v>94</v>
      </c>
      <c r="J1846" s="141">
        <f t="shared" si="427"/>
        <v>0.5</v>
      </c>
      <c r="K1846" s="95">
        <f t="shared" si="420"/>
        <v>47.229394240317774</v>
      </c>
      <c r="L1846" s="95">
        <f t="shared" si="421"/>
        <v>1.2854054054054054</v>
      </c>
      <c r="M1846" s="133">
        <f t="shared" si="422"/>
        <v>436</v>
      </c>
      <c r="N1846" s="133">
        <f t="shared" si="423"/>
        <v>5192</v>
      </c>
      <c r="O1846" s="134">
        <f t="shared" si="424"/>
        <v>51.559086395233365</v>
      </c>
      <c r="P1846" s="134">
        <f t="shared" si="425"/>
        <v>1.4032432432432433</v>
      </c>
      <c r="R1846" s="149">
        <f t="shared" si="426"/>
        <v>3.7304606335709645</v>
      </c>
      <c r="S1846" s="140">
        <f t="shared" si="428"/>
        <v>51.587951009599465</v>
      </c>
    </row>
    <row r="1847" spans="1:19" ht="15" x14ac:dyDescent="0.25">
      <c r="A1847" s="60" t="s">
        <v>22</v>
      </c>
      <c r="B1847" s="60" t="s">
        <v>18</v>
      </c>
      <c r="C1847" s="60" t="s">
        <v>24</v>
      </c>
      <c r="D1847" s="60" t="s">
        <v>90</v>
      </c>
      <c r="E1847" s="89">
        <f t="shared" si="429"/>
        <v>41791</v>
      </c>
      <c r="F1847" s="61"/>
      <c r="G1847" s="92">
        <v>3379</v>
      </c>
      <c r="H1847" s="138">
        <v>417</v>
      </c>
      <c r="I1847" s="138" t="s">
        <v>94</v>
      </c>
      <c r="J1847" s="141">
        <f t="shared" si="427"/>
        <v>0.5</v>
      </c>
      <c r="K1847" s="95">
        <f t="shared" si="420"/>
        <v>33.555114200595831</v>
      </c>
      <c r="L1847" s="95">
        <f t="shared" si="421"/>
        <v>0.91324324324324324</v>
      </c>
      <c r="M1847" s="133">
        <f t="shared" si="422"/>
        <v>208.5</v>
      </c>
      <c r="N1847" s="133">
        <f t="shared" si="423"/>
        <v>3587.5</v>
      </c>
      <c r="O1847" s="134">
        <f t="shared" si="424"/>
        <v>35.625620655412114</v>
      </c>
      <c r="P1847" s="134">
        <f t="shared" si="425"/>
        <v>0.96959459459459463</v>
      </c>
      <c r="R1847" s="149">
        <f t="shared" si="426"/>
        <v>3.3465559310120296</v>
      </c>
      <c r="S1847" s="140">
        <f t="shared" si="428"/>
        <v>35.639424031777558</v>
      </c>
    </row>
    <row r="1848" spans="1:19" ht="15" x14ac:dyDescent="0.25">
      <c r="A1848" s="60" t="s">
        <v>22</v>
      </c>
      <c r="B1848" s="60" t="s">
        <v>13</v>
      </c>
      <c r="C1848" s="60" t="s">
        <v>7</v>
      </c>
      <c r="D1848" s="60" t="s">
        <v>90</v>
      </c>
      <c r="E1848" s="89">
        <f t="shared" si="429"/>
        <v>41791</v>
      </c>
      <c r="F1848" s="61"/>
      <c r="G1848" s="92">
        <v>3748</v>
      </c>
      <c r="H1848" s="138">
        <v>1006</v>
      </c>
      <c r="I1848" s="138" t="s">
        <v>92</v>
      </c>
      <c r="J1848" s="141">
        <f t="shared" si="427"/>
        <v>0.38</v>
      </c>
      <c r="K1848" s="95">
        <f t="shared" si="420"/>
        <v>37.219463753723929</v>
      </c>
      <c r="L1848" s="95">
        <f t="shared" si="421"/>
        <v>1.0129729729729731</v>
      </c>
      <c r="M1848" s="133">
        <f t="shared" si="422"/>
        <v>382.28000000000003</v>
      </c>
      <c r="N1848" s="133">
        <f t="shared" si="423"/>
        <v>4130.28</v>
      </c>
      <c r="O1848" s="134">
        <f t="shared" si="424"/>
        <v>41.015690168818267</v>
      </c>
      <c r="P1848" s="134">
        <f t="shared" si="425"/>
        <v>1.1162918918918918</v>
      </c>
      <c r="R1848" s="149">
        <f t="shared" si="426"/>
        <v>4.0053182649160801</v>
      </c>
      <c r="S1848" s="140">
        <f t="shared" si="428"/>
        <v>41.048990400529625</v>
      </c>
    </row>
    <row r="1849" spans="1:19" ht="15" x14ac:dyDescent="0.25">
      <c r="A1849" s="60" t="s">
        <v>1</v>
      </c>
      <c r="B1849" s="60" t="s">
        <v>25</v>
      </c>
      <c r="C1849" s="60" t="s">
        <v>26</v>
      </c>
      <c r="D1849" s="60" t="s">
        <v>91</v>
      </c>
      <c r="E1849" s="89">
        <f t="shared" si="429"/>
        <v>41791</v>
      </c>
      <c r="F1849" s="61"/>
      <c r="G1849" s="92">
        <v>3678</v>
      </c>
      <c r="H1849" s="138">
        <v>880</v>
      </c>
      <c r="I1849" s="138" t="s">
        <v>93</v>
      </c>
      <c r="J1849" s="141">
        <f t="shared" si="427"/>
        <v>0.37</v>
      </c>
      <c r="K1849" s="95">
        <f t="shared" si="420"/>
        <v>36.524329692154915</v>
      </c>
      <c r="L1849" s="95">
        <f t="shared" si="421"/>
        <v>0.994054054054054</v>
      </c>
      <c r="M1849" s="133">
        <f t="shared" si="422"/>
        <v>325.60000000000002</v>
      </c>
      <c r="N1849" s="133">
        <f t="shared" si="423"/>
        <v>4003.6</v>
      </c>
      <c r="O1849" s="134">
        <f t="shared" si="424"/>
        <v>39.757696127110229</v>
      </c>
      <c r="P1849" s="134">
        <f t="shared" si="425"/>
        <v>1.082054054054054</v>
      </c>
      <c r="R1849" s="149">
        <f t="shared" si="426"/>
        <v>2.7407103264216692</v>
      </c>
      <c r="S1849" s="140">
        <f t="shared" si="428"/>
        <v>39.815954981794107</v>
      </c>
    </row>
    <row r="1850" spans="1:19" ht="15" x14ac:dyDescent="0.25">
      <c r="A1850" s="60" t="s">
        <v>1</v>
      </c>
      <c r="B1850" s="60" t="s">
        <v>2</v>
      </c>
      <c r="C1850" s="60" t="s">
        <v>9</v>
      </c>
      <c r="D1850" s="60" t="s">
        <v>91</v>
      </c>
      <c r="E1850" s="89">
        <f t="shared" si="429"/>
        <v>41791</v>
      </c>
      <c r="F1850" s="61"/>
      <c r="G1850" s="92">
        <v>3798</v>
      </c>
      <c r="H1850" s="138">
        <v>685</v>
      </c>
      <c r="I1850" s="138" t="s">
        <v>93</v>
      </c>
      <c r="J1850" s="141">
        <f t="shared" si="427"/>
        <v>0.37</v>
      </c>
      <c r="K1850" s="95">
        <f t="shared" si="420"/>
        <v>37.715988083416086</v>
      </c>
      <c r="L1850" s="95">
        <f t="shared" si="421"/>
        <v>1.0264864864864864</v>
      </c>
      <c r="M1850" s="133">
        <f t="shared" si="422"/>
        <v>253.45</v>
      </c>
      <c r="N1850" s="133">
        <f t="shared" si="423"/>
        <v>4051.45</v>
      </c>
      <c r="O1850" s="134">
        <f t="shared" si="424"/>
        <v>40.232869910625617</v>
      </c>
      <c r="P1850" s="134">
        <f t="shared" si="425"/>
        <v>1.0949864864864864</v>
      </c>
      <c r="R1850" s="149">
        <f t="shared" si="426"/>
        <v>0.16936161795975124</v>
      </c>
      <c r="S1850" s="140">
        <f t="shared" si="428"/>
        <v>40.278219132737497</v>
      </c>
    </row>
    <row r="1851" spans="1:19" ht="15" x14ac:dyDescent="0.25">
      <c r="A1851" s="60" t="s">
        <v>1</v>
      </c>
      <c r="B1851" s="60" t="s">
        <v>27</v>
      </c>
      <c r="C1851" s="60" t="s">
        <v>28</v>
      </c>
      <c r="D1851" s="60" t="s">
        <v>91</v>
      </c>
      <c r="E1851" s="89">
        <f t="shared" si="429"/>
        <v>41791</v>
      </c>
      <c r="F1851" s="61"/>
      <c r="G1851" s="92">
        <v>3950</v>
      </c>
      <c r="H1851" s="138">
        <v>812</v>
      </c>
      <c r="I1851" s="138" t="s">
        <v>94</v>
      </c>
      <c r="J1851" s="141">
        <f t="shared" si="427"/>
        <v>0.5</v>
      </c>
      <c r="K1851" s="95">
        <f t="shared" si="420"/>
        <v>39.22542204568024</v>
      </c>
      <c r="L1851" s="95">
        <f t="shared" si="421"/>
        <v>1.0675675675675675</v>
      </c>
      <c r="M1851" s="133">
        <f t="shared" si="422"/>
        <v>406</v>
      </c>
      <c r="N1851" s="133">
        <f t="shared" si="423"/>
        <v>4356</v>
      </c>
      <c r="O1851" s="134">
        <f t="shared" si="424"/>
        <v>43.257199602780538</v>
      </c>
      <c r="P1851" s="134">
        <f t="shared" si="425"/>
        <v>1.1772972972972973</v>
      </c>
      <c r="R1851" s="149">
        <f t="shared" si="426"/>
        <v>4.4884957110782775</v>
      </c>
      <c r="S1851" s="140">
        <f t="shared" si="428"/>
        <v>43.284078119827875</v>
      </c>
    </row>
    <row r="1852" spans="1:19" ht="15" x14ac:dyDescent="0.25">
      <c r="A1852" s="60" t="s">
        <v>1</v>
      </c>
      <c r="B1852" s="60" t="s">
        <v>4</v>
      </c>
      <c r="C1852" s="60" t="s">
        <v>26</v>
      </c>
      <c r="D1852" s="60" t="s">
        <v>91</v>
      </c>
      <c r="E1852" s="89">
        <f t="shared" si="429"/>
        <v>41791</v>
      </c>
      <c r="F1852" s="61"/>
      <c r="G1852" s="92">
        <v>5159</v>
      </c>
      <c r="H1852" s="138">
        <v>1520</v>
      </c>
      <c r="I1852" s="138" t="s">
        <v>93</v>
      </c>
      <c r="J1852" s="141">
        <f t="shared" si="427"/>
        <v>0.37</v>
      </c>
      <c r="K1852" s="95">
        <f t="shared" si="420"/>
        <v>51.231380337636544</v>
      </c>
      <c r="L1852" s="95">
        <f t="shared" si="421"/>
        <v>1.3943243243243244</v>
      </c>
      <c r="M1852" s="133">
        <f t="shared" si="422"/>
        <v>562.4</v>
      </c>
      <c r="N1852" s="133">
        <f t="shared" si="423"/>
        <v>5721.4</v>
      </c>
      <c r="O1852" s="134">
        <f t="shared" si="424"/>
        <v>56.816285998013896</v>
      </c>
      <c r="P1852" s="134">
        <f t="shared" si="425"/>
        <v>1.5463243243243243</v>
      </c>
      <c r="R1852" s="149">
        <f t="shared" si="426"/>
        <v>2.0184729503227361</v>
      </c>
      <c r="S1852" s="140">
        <f t="shared" si="428"/>
        <v>56.91691492883151</v>
      </c>
    </row>
    <row r="1853" spans="1:19" ht="15" x14ac:dyDescent="0.25">
      <c r="A1853" s="60" t="s">
        <v>1</v>
      </c>
      <c r="B1853" s="60" t="s">
        <v>4</v>
      </c>
      <c r="C1853" s="60" t="s">
        <v>9</v>
      </c>
      <c r="D1853" s="60" t="s">
        <v>91</v>
      </c>
      <c r="E1853" s="89">
        <f t="shared" si="429"/>
        <v>41791</v>
      </c>
      <c r="F1853" s="61"/>
      <c r="G1853" s="92">
        <v>6084</v>
      </c>
      <c r="H1853" s="138">
        <v>1583</v>
      </c>
      <c r="I1853" s="138" t="s">
        <v>93</v>
      </c>
      <c r="J1853" s="141">
        <f t="shared" si="427"/>
        <v>0.37</v>
      </c>
      <c r="K1853" s="95">
        <f t="shared" si="420"/>
        <v>60.417080436941411</v>
      </c>
      <c r="L1853" s="95">
        <f t="shared" si="421"/>
        <v>1.6443243243243244</v>
      </c>
      <c r="M1853" s="133">
        <f t="shared" si="422"/>
        <v>585.71</v>
      </c>
      <c r="N1853" s="133">
        <f t="shared" si="423"/>
        <v>6669.71</v>
      </c>
      <c r="O1853" s="134">
        <f t="shared" si="424"/>
        <v>66.233465739821256</v>
      </c>
      <c r="P1853" s="134">
        <f t="shared" si="425"/>
        <v>1.8026243243243243</v>
      </c>
      <c r="R1853" s="149">
        <f t="shared" si="426"/>
        <v>0.26804452275146495</v>
      </c>
      <c r="S1853" s="140">
        <f t="shared" si="428"/>
        <v>66.338265475008271</v>
      </c>
    </row>
    <row r="1854" spans="1:19" ht="15" x14ac:dyDescent="0.25">
      <c r="A1854" s="60" t="s">
        <v>1</v>
      </c>
      <c r="B1854" s="60" t="s">
        <v>10</v>
      </c>
      <c r="C1854" s="60" t="s">
        <v>26</v>
      </c>
      <c r="D1854" s="60" t="s">
        <v>91</v>
      </c>
      <c r="E1854" s="89">
        <f t="shared" si="429"/>
        <v>41791</v>
      </c>
      <c r="F1854" s="61"/>
      <c r="G1854" s="92">
        <v>5043</v>
      </c>
      <c r="H1854" s="138">
        <v>1599</v>
      </c>
      <c r="I1854" s="138" t="s">
        <v>92</v>
      </c>
      <c r="J1854" s="141">
        <f t="shared" si="427"/>
        <v>0.38</v>
      </c>
      <c r="K1854" s="95">
        <f t="shared" si="420"/>
        <v>50.079443892750746</v>
      </c>
      <c r="L1854" s="95">
        <f t="shared" si="421"/>
        <v>1.3629729729729729</v>
      </c>
      <c r="M1854" s="133">
        <f t="shared" si="422"/>
        <v>607.62</v>
      </c>
      <c r="N1854" s="133">
        <f t="shared" si="423"/>
        <v>5650.62</v>
      </c>
      <c r="O1854" s="134">
        <f t="shared" si="424"/>
        <v>56.113406156901682</v>
      </c>
      <c r="P1854" s="134">
        <f t="shared" si="425"/>
        <v>1.5271945945945946</v>
      </c>
      <c r="R1854" s="149">
        <f t="shared" si="426"/>
        <v>0.28378083387905484</v>
      </c>
      <c r="S1854" s="140">
        <f t="shared" si="428"/>
        <v>56.166335650446861</v>
      </c>
    </row>
    <row r="1855" spans="1:19" ht="15" x14ac:dyDescent="0.25">
      <c r="A1855" s="60" t="s">
        <v>134</v>
      </c>
      <c r="B1855" s="60" t="s">
        <v>23</v>
      </c>
      <c r="C1855" s="60" t="s">
        <v>26</v>
      </c>
      <c r="D1855" s="60" t="s">
        <v>91</v>
      </c>
      <c r="E1855" s="89">
        <f t="shared" si="429"/>
        <v>41791</v>
      </c>
      <c r="F1855" s="61"/>
      <c r="G1855" s="92">
        <v>5000</v>
      </c>
      <c r="H1855" s="138">
        <v>1851</v>
      </c>
      <c r="I1855" s="138" t="s">
        <v>93</v>
      </c>
      <c r="J1855" s="141">
        <f t="shared" si="427"/>
        <v>0.37</v>
      </c>
      <c r="K1855" s="95">
        <f t="shared" si="420"/>
        <v>49.652432969215489</v>
      </c>
      <c r="L1855" s="95">
        <f t="shared" si="421"/>
        <v>1.2612612612612613</v>
      </c>
      <c r="M1855" s="133">
        <f t="shared" si="422"/>
        <v>684.87</v>
      </c>
      <c r="N1855" s="133">
        <f t="shared" si="423"/>
        <v>5684.87</v>
      </c>
      <c r="O1855" s="134">
        <f t="shared" si="424"/>
        <v>56.453525322740809</v>
      </c>
      <c r="P1855" s="134">
        <f t="shared" si="425"/>
        <v>1.4340212612612613</v>
      </c>
      <c r="R1855" s="149">
        <f t="shared" si="426"/>
        <v>3.9973583883974095</v>
      </c>
      <c r="S1855" s="140">
        <f t="shared" si="428"/>
        <v>56.57606752730883</v>
      </c>
    </row>
    <row r="1856" spans="1:19" ht="15" x14ac:dyDescent="0.25">
      <c r="A1856" s="60" t="s">
        <v>134</v>
      </c>
      <c r="B1856" s="60" t="s">
        <v>8</v>
      </c>
      <c r="C1856" s="60" t="s">
        <v>29</v>
      </c>
      <c r="D1856" s="60" t="s">
        <v>91</v>
      </c>
      <c r="E1856" s="89">
        <f t="shared" si="429"/>
        <v>41791</v>
      </c>
      <c r="F1856" s="61"/>
      <c r="G1856" s="92">
        <v>4960</v>
      </c>
      <c r="H1856" s="138">
        <v>1695</v>
      </c>
      <c r="I1856" s="138" t="s">
        <v>93</v>
      </c>
      <c r="J1856" s="141">
        <f t="shared" si="427"/>
        <v>0.37</v>
      </c>
      <c r="K1856" s="95">
        <f t="shared" si="420"/>
        <v>49.255213505461768</v>
      </c>
      <c r="L1856" s="95">
        <f t="shared" si="421"/>
        <v>1.2511711711711713</v>
      </c>
      <c r="M1856" s="133">
        <f t="shared" si="422"/>
        <v>627.15</v>
      </c>
      <c r="N1856" s="133">
        <f t="shared" si="423"/>
        <v>5587.15</v>
      </c>
      <c r="O1856" s="134">
        <f t="shared" si="424"/>
        <v>55.483118172790462</v>
      </c>
      <c r="P1856" s="134">
        <f t="shared" si="425"/>
        <v>1.4093711711711712</v>
      </c>
      <c r="R1856" s="149">
        <f t="shared" si="426"/>
        <v>4.0398867826151763</v>
      </c>
      <c r="S1856" s="140">
        <f t="shared" si="428"/>
        <v>55.595332671300895</v>
      </c>
    </row>
    <row r="1857" spans="1:19" ht="15" x14ac:dyDescent="0.25">
      <c r="A1857" s="60" t="s">
        <v>134</v>
      </c>
      <c r="B1857" s="60" t="s">
        <v>13</v>
      </c>
      <c r="C1857" s="60" t="s">
        <v>7</v>
      </c>
      <c r="D1857" s="60" t="s">
        <v>91</v>
      </c>
      <c r="E1857" s="89">
        <f t="shared" si="429"/>
        <v>41791</v>
      </c>
      <c r="F1857" s="61"/>
      <c r="G1857" s="92">
        <v>3011</v>
      </c>
      <c r="H1857" s="138">
        <v>1006</v>
      </c>
      <c r="I1857" s="138" t="s">
        <v>92</v>
      </c>
      <c r="J1857" s="141">
        <f t="shared" si="427"/>
        <v>0.38</v>
      </c>
      <c r="K1857" s="95">
        <f t="shared" si="420"/>
        <v>29.900695134061568</v>
      </c>
      <c r="L1857" s="95">
        <f t="shared" si="421"/>
        <v>0.75953153153153152</v>
      </c>
      <c r="M1857" s="133">
        <f t="shared" si="422"/>
        <v>382.28000000000003</v>
      </c>
      <c r="N1857" s="133">
        <f t="shared" si="423"/>
        <v>3393.28</v>
      </c>
      <c r="O1857" s="134">
        <f t="shared" si="424"/>
        <v>33.69692154915591</v>
      </c>
      <c r="P1857" s="134">
        <f t="shared" si="425"/>
        <v>0.85596252252252258</v>
      </c>
      <c r="R1857" s="149">
        <f t="shared" si="426"/>
        <v>2.7886660083242143</v>
      </c>
      <c r="S1857" s="140">
        <f t="shared" si="428"/>
        <v>33.730221780867261</v>
      </c>
    </row>
    <row r="1858" spans="1:19" ht="15" x14ac:dyDescent="0.25">
      <c r="A1858" s="60" t="s">
        <v>134</v>
      </c>
      <c r="B1858" s="60" t="s">
        <v>30</v>
      </c>
      <c r="C1858" s="60" t="s">
        <v>9</v>
      </c>
      <c r="D1858" s="60" t="s">
        <v>91</v>
      </c>
      <c r="E1858" s="89">
        <f t="shared" si="429"/>
        <v>41791</v>
      </c>
      <c r="F1858" s="61"/>
      <c r="G1858" s="92">
        <v>3510</v>
      </c>
      <c r="H1858" s="138">
        <v>988</v>
      </c>
      <c r="I1858" s="138" t="s">
        <v>93</v>
      </c>
      <c r="J1858" s="141">
        <f t="shared" si="427"/>
        <v>0.37</v>
      </c>
      <c r="K1858" s="95">
        <f t="shared" si="420"/>
        <v>34.856007944389276</v>
      </c>
      <c r="L1858" s="95">
        <f t="shared" si="421"/>
        <v>0.88540540540540547</v>
      </c>
      <c r="M1858" s="133">
        <f t="shared" si="422"/>
        <v>365.56</v>
      </c>
      <c r="N1858" s="133">
        <f t="shared" si="423"/>
        <v>3875.56</v>
      </c>
      <c r="O1858" s="134">
        <f t="shared" si="424"/>
        <v>38.486196623634555</v>
      </c>
      <c r="P1858" s="134">
        <f t="shared" si="425"/>
        <v>0.97761873873873872</v>
      </c>
      <c r="R1858" s="149">
        <f t="shared" si="426"/>
        <v>5.725540690949571</v>
      </c>
      <c r="S1858" s="140">
        <f t="shared" si="428"/>
        <v>38.551605428666001</v>
      </c>
    </row>
    <row r="1859" spans="1:19" ht="15" x14ac:dyDescent="0.25">
      <c r="A1859" s="60" t="s">
        <v>134</v>
      </c>
      <c r="B1859" s="60" t="s">
        <v>16</v>
      </c>
      <c r="C1859" s="60" t="s">
        <v>11</v>
      </c>
      <c r="D1859" s="60" t="s">
        <v>91</v>
      </c>
      <c r="E1859" s="89">
        <f t="shared" si="429"/>
        <v>41791</v>
      </c>
      <c r="F1859" s="61"/>
      <c r="G1859" s="92">
        <v>3590</v>
      </c>
      <c r="H1859" s="138">
        <v>787</v>
      </c>
      <c r="I1859" s="138" t="s">
        <v>92</v>
      </c>
      <c r="J1859" s="141">
        <f t="shared" si="427"/>
        <v>0.38</v>
      </c>
      <c r="K1859" s="95">
        <f t="shared" si="420"/>
        <v>35.650446871896719</v>
      </c>
      <c r="L1859" s="95">
        <f t="shared" si="421"/>
        <v>0.90558558558558555</v>
      </c>
      <c r="M1859" s="133">
        <f t="shared" si="422"/>
        <v>299.06</v>
      </c>
      <c r="N1859" s="133">
        <f t="shared" si="423"/>
        <v>3889.06</v>
      </c>
      <c r="O1859" s="134">
        <f t="shared" si="424"/>
        <v>38.620258192651441</v>
      </c>
      <c r="P1859" s="134">
        <f t="shared" si="425"/>
        <v>0.98102414414414418</v>
      </c>
      <c r="R1859" s="149">
        <f t="shared" si="426"/>
        <v>2.3116445113240847</v>
      </c>
      <c r="S1859" s="140">
        <f t="shared" si="428"/>
        <v>38.646309169149283</v>
      </c>
    </row>
    <row r="1860" spans="1:19" ht="15" x14ac:dyDescent="0.25">
      <c r="A1860" s="60" t="s">
        <v>134</v>
      </c>
      <c r="B1860" s="60" t="s">
        <v>23</v>
      </c>
      <c r="C1860" s="60" t="s">
        <v>29</v>
      </c>
      <c r="D1860" s="60" t="s">
        <v>91</v>
      </c>
      <c r="E1860" s="89">
        <f t="shared" si="429"/>
        <v>41791</v>
      </c>
      <c r="F1860" s="61"/>
      <c r="G1860" s="92">
        <v>5000</v>
      </c>
      <c r="H1860" s="138">
        <v>1836</v>
      </c>
      <c r="I1860" s="138" t="s">
        <v>93</v>
      </c>
      <c r="J1860" s="141">
        <f t="shared" si="427"/>
        <v>0.37</v>
      </c>
      <c r="K1860" s="95">
        <f t="shared" si="420"/>
        <v>49.652432969215489</v>
      </c>
      <c r="L1860" s="95">
        <f t="shared" si="421"/>
        <v>1.2612612612612613</v>
      </c>
      <c r="M1860" s="133">
        <f t="shared" si="422"/>
        <v>679.31999999999994</v>
      </c>
      <c r="N1860" s="133">
        <f t="shared" si="423"/>
        <v>5679.32</v>
      </c>
      <c r="O1860" s="134">
        <f t="shared" si="424"/>
        <v>56.398411122144978</v>
      </c>
      <c r="P1860" s="134">
        <f t="shared" si="425"/>
        <v>1.4326212612612612</v>
      </c>
      <c r="R1860" s="149">
        <f t="shared" si="426"/>
        <v>3.9985643549852012</v>
      </c>
      <c r="S1860" s="140">
        <f t="shared" si="428"/>
        <v>56.519960278053624</v>
      </c>
    </row>
    <row r="1861" spans="1:19" ht="15" x14ac:dyDescent="0.25">
      <c r="A1861" s="60" t="s">
        <v>134</v>
      </c>
      <c r="B1861" s="60" t="s">
        <v>31</v>
      </c>
      <c r="C1861" s="60" t="s">
        <v>32</v>
      </c>
      <c r="D1861" s="60" t="s">
        <v>91</v>
      </c>
      <c r="E1861" s="89">
        <f t="shared" si="429"/>
        <v>41791</v>
      </c>
      <c r="F1861" s="61"/>
      <c r="G1861" s="92">
        <v>4400</v>
      </c>
      <c r="H1861" s="138">
        <v>1899</v>
      </c>
      <c r="I1861" s="138" t="s">
        <v>93</v>
      </c>
      <c r="J1861" s="141">
        <f t="shared" si="427"/>
        <v>0.37</v>
      </c>
      <c r="K1861" s="95">
        <f t="shared" si="420"/>
        <v>43.694141012909633</v>
      </c>
      <c r="L1861" s="95">
        <f t="shared" si="421"/>
        <v>1.1099099099099099</v>
      </c>
      <c r="M1861" s="133">
        <f t="shared" si="422"/>
        <v>702.63</v>
      </c>
      <c r="N1861" s="133">
        <f t="shared" si="423"/>
        <v>5102.63</v>
      </c>
      <c r="O1861" s="134">
        <f t="shared" si="424"/>
        <v>50.671598808341606</v>
      </c>
      <c r="P1861" s="134">
        <f t="shared" si="425"/>
        <v>1.28714990990991</v>
      </c>
      <c r="R1861" s="149">
        <f t="shared" si="426"/>
        <v>4.484155261239553</v>
      </c>
      <c r="S1861" s="140">
        <f t="shared" si="428"/>
        <v>50.797318768619654</v>
      </c>
    </row>
    <row r="1862" spans="1:19" ht="15" x14ac:dyDescent="0.25">
      <c r="A1862" s="60" t="s">
        <v>22</v>
      </c>
      <c r="B1862" s="60" t="s">
        <v>8</v>
      </c>
      <c r="C1862" s="60" t="s">
        <v>29</v>
      </c>
      <c r="D1862" s="60" t="s">
        <v>91</v>
      </c>
      <c r="E1862" s="89">
        <f t="shared" si="429"/>
        <v>41791</v>
      </c>
      <c r="F1862" s="61"/>
      <c r="G1862" s="92">
        <v>5520</v>
      </c>
      <c r="H1862" s="138">
        <v>1695</v>
      </c>
      <c r="I1862" s="138" t="s">
        <v>93</v>
      </c>
      <c r="J1862" s="141">
        <f t="shared" si="427"/>
        <v>0.37</v>
      </c>
      <c r="K1862" s="95">
        <f t="shared" si="420"/>
        <v>54.816285998013903</v>
      </c>
      <c r="L1862" s="95">
        <f t="shared" si="421"/>
        <v>1.491891891891892</v>
      </c>
      <c r="M1862" s="133">
        <f t="shared" si="422"/>
        <v>627.15</v>
      </c>
      <c r="N1862" s="133">
        <f t="shared" si="423"/>
        <v>6147.15</v>
      </c>
      <c r="O1862" s="134">
        <f t="shared" si="424"/>
        <v>61.044190665342597</v>
      </c>
      <c r="P1862" s="134">
        <f t="shared" si="425"/>
        <v>1.6613918918918917</v>
      </c>
      <c r="R1862" s="149">
        <f t="shared" si="426"/>
        <v>3.6583926343124906</v>
      </c>
      <c r="S1862" s="140">
        <f t="shared" si="428"/>
        <v>61.15640516385303</v>
      </c>
    </row>
    <row r="1863" spans="1:19" ht="15" x14ac:dyDescent="0.25">
      <c r="A1863" s="60" t="s">
        <v>22</v>
      </c>
      <c r="B1863" s="60" t="s">
        <v>23</v>
      </c>
      <c r="C1863" s="60" t="s">
        <v>26</v>
      </c>
      <c r="D1863" s="60" t="s">
        <v>91</v>
      </c>
      <c r="E1863" s="89">
        <f t="shared" si="429"/>
        <v>41791</v>
      </c>
      <c r="F1863" s="61"/>
      <c r="G1863" s="92">
        <v>5530</v>
      </c>
      <c r="H1863" s="138">
        <v>1851</v>
      </c>
      <c r="I1863" s="138" t="s">
        <v>93</v>
      </c>
      <c r="J1863" s="141">
        <f t="shared" si="427"/>
        <v>0.37</v>
      </c>
      <c r="K1863" s="95">
        <f t="shared" si="420"/>
        <v>54.915590863952332</v>
      </c>
      <c r="L1863" s="95">
        <f t="shared" si="421"/>
        <v>1.4945945945945946</v>
      </c>
      <c r="M1863" s="133">
        <f t="shared" si="422"/>
        <v>684.87</v>
      </c>
      <c r="N1863" s="133">
        <f t="shared" si="423"/>
        <v>6214.87</v>
      </c>
      <c r="O1863" s="134">
        <f t="shared" si="424"/>
        <v>61.716683217477652</v>
      </c>
      <c r="P1863" s="134">
        <f t="shared" si="425"/>
        <v>1.6796945945945945</v>
      </c>
      <c r="R1863" s="149">
        <f t="shared" si="426"/>
        <v>3.6440440533924034</v>
      </c>
      <c r="S1863" s="140">
        <f t="shared" si="428"/>
        <v>61.839225422045672</v>
      </c>
    </row>
    <row r="1864" spans="1:19" ht="15" x14ac:dyDescent="0.25">
      <c r="A1864" s="60" t="s">
        <v>22</v>
      </c>
      <c r="B1864" s="60" t="s">
        <v>33</v>
      </c>
      <c r="C1864" s="60" t="s">
        <v>29</v>
      </c>
      <c r="D1864" s="60" t="s">
        <v>91</v>
      </c>
      <c r="E1864" s="89">
        <f t="shared" si="429"/>
        <v>41791</v>
      </c>
      <c r="F1864" s="61"/>
      <c r="G1864" s="92">
        <v>5430</v>
      </c>
      <c r="H1864" s="138">
        <v>1507</v>
      </c>
      <c r="I1864" s="138" t="s">
        <v>93</v>
      </c>
      <c r="J1864" s="141">
        <f t="shared" si="427"/>
        <v>0.37</v>
      </c>
      <c r="K1864" s="95">
        <f t="shared" si="420"/>
        <v>53.922542204568025</v>
      </c>
      <c r="L1864" s="95">
        <f t="shared" si="421"/>
        <v>1.4675675675675677</v>
      </c>
      <c r="M1864" s="133">
        <f t="shared" si="422"/>
        <v>557.59</v>
      </c>
      <c r="N1864" s="133">
        <f t="shared" si="423"/>
        <v>5987.59</v>
      </c>
      <c r="O1864" s="134">
        <f t="shared" si="424"/>
        <v>59.459682224428995</v>
      </c>
      <c r="P1864" s="134">
        <f t="shared" si="425"/>
        <v>1.6182675675675675</v>
      </c>
      <c r="R1864" s="149">
        <f t="shared" si="426"/>
        <v>3.7257558224137677</v>
      </c>
      <c r="S1864" s="140">
        <f t="shared" si="428"/>
        <v>59.559450513075141</v>
      </c>
    </row>
    <row r="1865" spans="1:19" ht="15" x14ac:dyDescent="0.25">
      <c r="A1865" s="60" t="s">
        <v>22</v>
      </c>
      <c r="B1865" s="60" t="s">
        <v>31</v>
      </c>
      <c r="C1865" s="60" t="s">
        <v>7</v>
      </c>
      <c r="D1865" s="60" t="s">
        <v>91</v>
      </c>
      <c r="E1865" s="89">
        <f t="shared" si="429"/>
        <v>41791</v>
      </c>
      <c r="F1865" s="61"/>
      <c r="G1865" s="92">
        <v>4175</v>
      </c>
      <c r="H1865" s="138">
        <v>1160</v>
      </c>
      <c r="I1865" s="138" t="s">
        <v>92</v>
      </c>
      <c r="J1865" s="141">
        <f t="shared" si="427"/>
        <v>0.38</v>
      </c>
      <c r="K1865" s="95">
        <f t="shared" si="420"/>
        <v>41.459781529294936</v>
      </c>
      <c r="L1865" s="95">
        <f t="shared" si="421"/>
        <v>1.1283783783783783</v>
      </c>
      <c r="M1865" s="133">
        <f t="shared" si="422"/>
        <v>440.8</v>
      </c>
      <c r="N1865" s="133">
        <f t="shared" si="423"/>
        <v>4615.8</v>
      </c>
      <c r="O1865" s="134">
        <f t="shared" si="424"/>
        <v>45.837140019860975</v>
      </c>
      <c r="P1865" s="134">
        <f t="shared" si="425"/>
        <v>1.2475135135135136</v>
      </c>
      <c r="R1865" s="149">
        <f t="shared" si="426"/>
        <v>5.402813299232756</v>
      </c>
      <c r="S1865" s="140">
        <f t="shared" si="428"/>
        <v>45.87553790135717</v>
      </c>
    </row>
    <row r="1866" spans="1:19" ht="15" x14ac:dyDescent="0.25">
      <c r="A1866" s="60" t="s">
        <v>22</v>
      </c>
      <c r="B1866" s="60" t="s">
        <v>14</v>
      </c>
      <c r="C1866" s="60" t="s">
        <v>24</v>
      </c>
      <c r="D1866" s="60" t="s">
        <v>91</v>
      </c>
      <c r="E1866" s="89">
        <f t="shared" si="429"/>
        <v>41791</v>
      </c>
      <c r="F1866" s="61"/>
      <c r="G1866" s="92">
        <v>2862</v>
      </c>
      <c r="H1866" s="138">
        <v>615</v>
      </c>
      <c r="I1866" s="138" t="s">
        <v>94</v>
      </c>
      <c r="J1866" s="141">
        <f t="shared" si="427"/>
        <v>0.5</v>
      </c>
      <c r="K1866" s="95">
        <f t="shared" si="420"/>
        <v>28.421052631578945</v>
      </c>
      <c r="L1866" s="95">
        <f t="shared" si="421"/>
        <v>0.7735135135135135</v>
      </c>
      <c r="M1866" s="133">
        <f t="shared" si="422"/>
        <v>307.5</v>
      </c>
      <c r="N1866" s="133">
        <f t="shared" si="423"/>
        <v>3169.5</v>
      </c>
      <c r="O1866" s="134">
        <f t="shared" si="424"/>
        <v>31.4746772591857</v>
      </c>
      <c r="P1866" s="134">
        <f t="shared" si="425"/>
        <v>0.85662162162162159</v>
      </c>
      <c r="R1866" s="149">
        <f t="shared" si="426"/>
        <v>3.8720566306716719</v>
      </c>
      <c r="S1866" s="140">
        <f t="shared" si="428"/>
        <v>31.495034756703078</v>
      </c>
    </row>
    <row r="1867" spans="1:19" ht="15" x14ac:dyDescent="0.25">
      <c r="A1867" s="85" t="s">
        <v>22</v>
      </c>
      <c r="B1867" s="85" t="s">
        <v>34</v>
      </c>
      <c r="C1867" s="85" t="s">
        <v>26</v>
      </c>
      <c r="D1867" s="85" t="s">
        <v>91</v>
      </c>
      <c r="E1867" s="91">
        <f t="shared" si="429"/>
        <v>41791</v>
      </c>
      <c r="F1867" s="86"/>
      <c r="G1867" s="105">
        <v>5110</v>
      </c>
      <c r="H1867" s="143">
        <v>1637</v>
      </c>
      <c r="I1867" s="143" t="s">
        <v>92</v>
      </c>
      <c r="J1867" s="117">
        <f t="shared" si="427"/>
        <v>0.38</v>
      </c>
      <c r="K1867" s="108">
        <f t="shared" si="420"/>
        <v>50.744786494538232</v>
      </c>
      <c r="L1867" s="108">
        <f t="shared" si="421"/>
        <v>1.3810810810810812</v>
      </c>
      <c r="M1867" s="115">
        <f t="shared" si="422"/>
        <v>622.06000000000006</v>
      </c>
      <c r="N1867" s="115">
        <f t="shared" si="423"/>
        <v>5732.06</v>
      </c>
      <c r="O1867" s="116">
        <f t="shared" si="424"/>
        <v>56.922144985104275</v>
      </c>
      <c r="P1867" s="116">
        <f t="shared" si="425"/>
        <v>1.5492054054054054</v>
      </c>
      <c r="Q1867" s="106"/>
      <c r="R1867" s="152">
        <f t="shared" si="426"/>
        <v>2.9892070884292909</v>
      </c>
      <c r="S1867" s="108">
        <f>AVERAGE(O1791,O1829,O1867)</f>
        <v>56.976332340284678</v>
      </c>
    </row>
    <row r="1868" spans="1:19" ht="15" x14ac:dyDescent="0.25">
      <c r="A1868" s="82" t="s">
        <v>1</v>
      </c>
      <c r="B1868" s="82" t="s">
        <v>2</v>
      </c>
      <c r="C1868" s="82" t="s">
        <v>3</v>
      </c>
      <c r="D1868" s="82" t="s">
        <v>90</v>
      </c>
      <c r="E1868" s="87">
        <v>41821</v>
      </c>
      <c r="F1868" s="83"/>
      <c r="G1868" s="92">
        <v>3387</v>
      </c>
      <c r="H1868" s="52">
        <v>506</v>
      </c>
      <c r="I1868" s="52" t="s">
        <v>92</v>
      </c>
      <c r="J1868" s="157">
        <f>IF(I1868="BNSF",0.37,IF(I1868="CN",0.3163,IF(I1868="CSX",0.49,0.37)))</f>
        <v>0.37</v>
      </c>
      <c r="K1868" s="101">
        <f t="shared" ref="K1868:K1905" si="430">G1868/100.7</f>
        <v>33.63455809334657</v>
      </c>
      <c r="L1868" s="101">
        <f t="shared" ref="L1868:L1905" si="431">IF(A1868="corn",G1868/(111*2000/56),G1868/(111*2000/60))</f>
        <v>0.91540540540540538</v>
      </c>
      <c r="M1868" s="133">
        <f t="shared" ref="M1868:M1905" si="432">H1868*J1868</f>
        <v>187.22</v>
      </c>
      <c r="N1868" s="133">
        <f t="shared" ref="N1868:N1905" si="433">G1868+M1868</f>
        <v>3574.22</v>
      </c>
      <c r="O1868" s="134">
        <f t="shared" ref="O1868:O1905" si="434">N1868/100.7</f>
        <v>35.493743793445873</v>
      </c>
      <c r="P1868" s="134">
        <f t="shared" ref="P1868:P1905" si="435">IF(A1868="corn",N1868/(111*2000/56),N1868/(111*2000/60))</f>
        <v>0.96600540540540536</v>
      </c>
      <c r="Q1868" s="160"/>
      <c r="R1868" s="149">
        <f t="shared" ref="R1868:R1905" si="436">((N1868/N1412)-1)*100</f>
        <v>5.9605829548553757</v>
      </c>
    </row>
    <row r="1869" spans="1:19" ht="15" x14ac:dyDescent="0.25">
      <c r="A1869" s="82" t="s">
        <v>1</v>
      </c>
      <c r="B1869" s="82" t="s">
        <v>4</v>
      </c>
      <c r="C1869" s="82" t="s">
        <v>5</v>
      </c>
      <c r="D1869" s="82" t="s">
        <v>90</v>
      </c>
      <c r="E1869" s="87">
        <f>E1868</f>
        <v>41821</v>
      </c>
      <c r="F1869" s="83"/>
      <c r="G1869" s="92">
        <v>3596</v>
      </c>
      <c r="H1869" s="52">
        <v>298</v>
      </c>
      <c r="I1869" s="52" t="s">
        <v>93</v>
      </c>
      <c r="J1869" s="157">
        <f>IF(I1869="BNSF",0.37,IF(I1869="CN",0.3163,IF(I1869="CSX",0.49,0.37)))</f>
        <v>0.37</v>
      </c>
      <c r="K1869" s="101">
        <f t="shared" si="430"/>
        <v>35.710029791459782</v>
      </c>
      <c r="L1869" s="101">
        <f t="shared" si="431"/>
        <v>0.97189189189189185</v>
      </c>
      <c r="M1869" s="133">
        <f t="shared" si="432"/>
        <v>110.26</v>
      </c>
      <c r="N1869" s="133">
        <f t="shared" si="433"/>
        <v>3706.26</v>
      </c>
      <c r="O1869" s="134">
        <f t="shared" si="434"/>
        <v>36.80496524329692</v>
      </c>
      <c r="P1869" s="134">
        <f t="shared" si="435"/>
        <v>1.001691891891892</v>
      </c>
      <c r="Q1869" s="160"/>
      <c r="R1869" s="149">
        <f t="shared" si="436"/>
        <v>1.616538261179512</v>
      </c>
    </row>
    <row r="1870" spans="1:19" ht="15" x14ac:dyDescent="0.25">
      <c r="A1870" s="82" t="s">
        <v>1</v>
      </c>
      <c r="B1870" s="82" t="s">
        <v>2</v>
      </c>
      <c r="C1870" s="82" t="s">
        <v>6</v>
      </c>
      <c r="D1870" s="82" t="s">
        <v>90</v>
      </c>
      <c r="E1870" s="87">
        <f t="shared" ref="E1870:E1905" si="437">E1869</f>
        <v>41821</v>
      </c>
      <c r="F1870" s="83"/>
      <c r="G1870" s="92">
        <v>6244</v>
      </c>
      <c r="H1870" s="52">
        <v>1530</v>
      </c>
      <c r="I1870" s="52" t="s">
        <v>93</v>
      </c>
      <c r="J1870" s="157">
        <f t="shared" ref="J1870:J1905" si="438">IF(I1870="BNSF",0.37,IF(I1870="CN",0.3163,IF(I1870="CSX",0.49,0.37)))</f>
        <v>0.37</v>
      </c>
      <c r="K1870" s="101">
        <f t="shared" si="430"/>
        <v>62.005958291956304</v>
      </c>
      <c r="L1870" s="101">
        <f t="shared" si="431"/>
        <v>1.6875675675675677</v>
      </c>
      <c r="M1870" s="133">
        <f t="shared" si="432"/>
        <v>566.1</v>
      </c>
      <c r="N1870" s="133">
        <f t="shared" si="433"/>
        <v>6810.1</v>
      </c>
      <c r="O1870" s="134">
        <f t="shared" si="434"/>
        <v>67.627606752730884</v>
      </c>
      <c r="P1870" s="134">
        <f t="shared" si="435"/>
        <v>1.8405675675675677</v>
      </c>
      <c r="R1870" s="149">
        <f t="shared" si="436"/>
        <v>0.45136071981710657</v>
      </c>
    </row>
    <row r="1871" spans="1:19" ht="15" x14ac:dyDescent="0.25">
      <c r="A1871" s="82" t="s">
        <v>1</v>
      </c>
      <c r="B1871" s="82" t="s">
        <v>2</v>
      </c>
      <c r="C1871" s="82" t="s">
        <v>7</v>
      </c>
      <c r="D1871" s="82" t="s">
        <v>90</v>
      </c>
      <c r="E1871" s="87">
        <f t="shared" si="437"/>
        <v>41821</v>
      </c>
      <c r="F1871" s="83"/>
      <c r="G1871" s="92">
        <v>4026</v>
      </c>
      <c r="H1871" s="52">
        <v>890</v>
      </c>
      <c r="I1871" s="52" t="s">
        <v>92</v>
      </c>
      <c r="J1871" s="157">
        <f t="shared" si="438"/>
        <v>0.37</v>
      </c>
      <c r="K1871" s="101">
        <f t="shared" si="430"/>
        <v>39.98013902681231</v>
      </c>
      <c r="L1871" s="101">
        <f t="shared" si="431"/>
        <v>1.0881081081081081</v>
      </c>
      <c r="M1871" s="133">
        <f t="shared" si="432"/>
        <v>329.3</v>
      </c>
      <c r="N1871" s="133">
        <f t="shared" si="433"/>
        <v>4355.3</v>
      </c>
      <c r="O1871" s="134">
        <f t="shared" si="434"/>
        <v>43.250248262164845</v>
      </c>
      <c r="P1871" s="134">
        <f t="shared" si="435"/>
        <v>1.1771081081081081</v>
      </c>
      <c r="R1871" s="149">
        <f t="shared" si="436"/>
        <v>5.4960759616316412</v>
      </c>
    </row>
    <row r="1872" spans="1:19" ht="15" x14ac:dyDescent="0.25">
      <c r="A1872" s="82" t="s">
        <v>1</v>
      </c>
      <c r="B1872" s="82" t="s">
        <v>8</v>
      </c>
      <c r="C1872" s="82" t="s">
        <v>9</v>
      </c>
      <c r="D1872" s="82" t="s">
        <v>90</v>
      </c>
      <c r="E1872" s="87">
        <f t="shared" si="437"/>
        <v>41821</v>
      </c>
      <c r="F1872" s="83"/>
      <c r="G1872" s="92">
        <v>5824</v>
      </c>
      <c r="H1872" s="52">
        <v>1256</v>
      </c>
      <c r="I1872" s="52" t="s">
        <v>93</v>
      </c>
      <c r="J1872" s="157">
        <f t="shared" si="438"/>
        <v>0.37</v>
      </c>
      <c r="K1872" s="101">
        <f t="shared" si="430"/>
        <v>57.835153922542204</v>
      </c>
      <c r="L1872" s="101">
        <f t="shared" si="431"/>
        <v>1.574054054054054</v>
      </c>
      <c r="M1872" s="133">
        <f t="shared" si="432"/>
        <v>464.71999999999997</v>
      </c>
      <c r="N1872" s="133">
        <f t="shared" si="433"/>
        <v>6288.72</v>
      </c>
      <c r="O1872" s="134">
        <f t="shared" si="434"/>
        <v>62.450049652432973</v>
      </c>
      <c r="P1872" s="134">
        <f t="shared" si="435"/>
        <v>1.6996540540540541</v>
      </c>
      <c r="R1872" s="149">
        <f t="shared" si="436"/>
        <v>0.40104732102943519</v>
      </c>
    </row>
    <row r="1873" spans="1:18" ht="15" x14ac:dyDescent="0.25">
      <c r="A1873" s="82" t="s">
        <v>1</v>
      </c>
      <c r="B1873" s="82" t="s">
        <v>10</v>
      </c>
      <c r="C1873" s="82" t="s">
        <v>9</v>
      </c>
      <c r="D1873" s="82" t="s">
        <v>90</v>
      </c>
      <c r="E1873" s="87">
        <f t="shared" si="437"/>
        <v>41821</v>
      </c>
      <c r="F1873" s="83"/>
      <c r="G1873" s="92">
        <v>4293</v>
      </c>
      <c r="H1873" s="52">
        <v>975</v>
      </c>
      <c r="I1873" s="52" t="s">
        <v>92</v>
      </c>
      <c r="J1873" s="157">
        <f t="shared" si="438"/>
        <v>0.37</v>
      </c>
      <c r="K1873" s="101">
        <f t="shared" si="430"/>
        <v>42.631578947368418</v>
      </c>
      <c r="L1873" s="101">
        <f t="shared" si="431"/>
        <v>1.1602702702702703</v>
      </c>
      <c r="M1873" s="133">
        <f t="shared" si="432"/>
        <v>360.75</v>
      </c>
      <c r="N1873" s="133">
        <f t="shared" si="433"/>
        <v>4653.75</v>
      </c>
      <c r="O1873" s="134">
        <f t="shared" si="434"/>
        <v>46.214001986097315</v>
      </c>
      <c r="P1873" s="134">
        <f t="shared" si="435"/>
        <v>1.2577702702702702</v>
      </c>
      <c r="R1873" s="149">
        <f t="shared" si="436"/>
        <v>5.121978766659141</v>
      </c>
    </row>
    <row r="1874" spans="1:18" ht="15" x14ac:dyDescent="0.25">
      <c r="A1874" s="82" t="s">
        <v>1</v>
      </c>
      <c r="B1874" s="82" t="s">
        <v>11</v>
      </c>
      <c r="C1874" s="82" t="s">
        <v>6</v>
      </c>
      <c r="D1874" s="82" t="s">
        <v>90</v>
      </c>
      <c r="E1874" s="87">
        <f t="shared" si="437"/>
        <v>41821</v>
      </c>
      <c r="F1874" s="83"/>
      <c r="G1874" s="92">
        <v>4492</v>
      </c>
      <c r="H1874" s="52">
        <v>1357</v>
      </c>
      <c r="I1874" s="52" t="s">
        <v>92</v>
      </c>
      <c r="J1874" s="157">
        <f t="shared" si="438"/>
        <v>0.37</v>
      </c>
      <c r="K1874" s="101">
        <f t="shared" si="430"/>
        <v>44.607745779543194</v>
      </c>
      <c r="L1874" s="101">
        <f t="shared" si="431"/>
        <v>1.2140540540540541</v>
      </c>
      <c r="M1874" s="133">
        <f t="shared" si="432"/>
        <v>502.09</v>
      </c>
      <c r="N1874" s="133">
        <f t="shared" si="433"/>
        <v>4994.09</v>
      </c>
      <c r="O1874" s="134">
        <f t="shared" si="434"/>
        <v>49.593743793445881</v>
      </c>
      <c r="P1874" s="134">
        <f t="shared" si="435"/>
        <v>1.349754054054054</v>
      </c>
      <c r="R1874" s="149">
        <f t="shared" si="436"/>
        <v>4.8403281606878901</v>
      </c>
    </row>
    <row r="1875" spans="1:18" ht="15" x14ac:dyDescent="0.25">
      <c r="A1875" s="82" t="s">
        <v>134</v>
      </c>
      <c r="B1875" s="82" t="s">
        <v>13</v>
      </c>
      <c r="C1875" s="82" t="s">
        <v>7</v>
      </c>
      <c r="D1875" s="82" t="s">
        <v>90</v>
      </c>
      <c r="E1875" s="87">
        <f t="shared" si="437"/>
        <v>41821</v>
      </c>
      <c r="F1875" s="83"/>
      <c r="G1875" s="92">
        <v>3192</v>
      </c>
      <c r="H1875" s="52">
        <v>1006</v>
      </c>
      <c r="I1875" s="52" t="s">
        <v>92</v>
      </c>
      <c r="J1875" s="157">
        <f t="shared" si="438"/>
        <v>0.37</v>
      </c>
      <c r="K1875" s="101">
        <f t="shared" si="430"/>
        <v>31.69811320754717</v>
      </c>
      <c r="L1875" s="101">
        <f t="shared" si="431"/>
        <v>0.80518918918918925</v>
      </c>
      <c r="M1875" s="133">
        <f t="shared" si="432"/>
        <v>372.21999999999997</v>
      </c>
      <c r="N1875" s="133">
        <f t="shared" si="433"/>
        <v>3564.22</v>
      </c>
      <c r="O1875" s="134">
        <f t="shared" si="434"/>
        <v>35.394438927507444</v>
      </c>
      <c r="P1875" s="134">
        <f t="shared" si="435"/>
        <v>0.89908252252252252</v>
      </c>
      <c r="R1875" s="149">
        <f t="shared" si="436"/>
        <v>2.6513755126491789</v>
      </c>
    </row>
    <row r="1876" spans="1:18" ht="15" x14ac:dyDescent="0.25">
      <c r="A1876" s="82" t="s">
        <v>134</v>
      </c>
      <c r="B1876" s="82" t="s">
        <v>14</v>
      </c>
      <c r="C1876" s="82" t="s">
        <v>15</v>
      </c>
      <c r="D1876" s="82" t="s">
        <v>90</v>
      </c>
      <c r="E1876" s="87">
        <f t="shared" si="437"/>
        <v>41821</v>
      </c>
      <c r="F1876" s="83"/>
      <c r="G1876" s="92">
        <v>4686</v>
      </c>
      <c r="H1876" s="52">
        <v>866</v>
      </c>
      <c r="I1876" s="52" t="s">
        <v>94</v>
      </c>
      <c r="J1876" s="157">
        <f t="shared" si="438"/>
        <v>0.49</v>
      </c>
      <c r="K1876" s="101">
        <f t="shared" si="430"/>
        <v>46.53426017874876</v>
      </c>
      <c r="L1876" s="101">
        <f t="shared" si="431"/>
        <v>1.1820540540540541</v>
      </c>
      <c r="M1876" s="133">
        <f t="shared" si="432"/>
        <v>424.34</v>
      </c>
      <c r="N1876" s="133">
        <f t="shared" si="433"/>
        <v>5110.34</v>
      </c>
      <c r="O1876" s="134">
        <f t="shared" si="434"/>
        <v>50.748162859980141</v>
      </c>
      <c r="P1876" s="134">
        <f t="shared" si="435"/>
        <v>1.2890947747747747</v>
      </c>
      <c r="R1876" s="149">
        <f t="shared" si="436"/>
        <v>3.9739411029863447</v>
      </c>
    </row>
    <row r="1877" spans="1:18" ht="15" x14ac:dyDescent="0.25">
      <c r="A1877" s="82" t="s">
        <v>134</v>
      </c>
      <c r="B1877" s="82" t="s">
        <v>16</v>
      </c>
      <c r="C1877" s="82" t="s">
        <v>17</v>
      </c>
      <c r="D1877" s="82" t="s">
        <v>90</v>
      </c>
      <c r="E1877" s="87">
        <f t="shared" si="437"/>
        <v>41821</v>
      </c>
      <c r="F1877" s="83"/>
      <c r="G1877" s="92">
        <v>2078</v>
      </c>
      <c r="H1877" s="52">
        <v>213</v>
      </c>
      <c r="I1877" s="52" t="s">
        <v>92</v>
      </c>
      <c r="J1877" s="157">
        <f t="shared" si="438"/>
        <v>0.37</v>
      </c>
      <c r="K1877" s="101">
        <f t="shared" si="430"/>
        <v>20.635551142005959</v>
      </c>
      <c r="L1877" s="101">
        <f t="shared" si="431"/>
        <v>0.5241801801801802</v>
      </c>
      <c r="M1877" s="133">
        <f t="shared" si="432"/>
        <v>78.81</v>
      </c>
      <c r="N1877" s="133">
        <f t="shared" si="433"/>
        <v>2156.81</v>
      </c>
      <c r="O1877" s="134">
        <f t="shared" si="434"/>
        <v>21.418172790466731</v>
      </c>
      <c r="P1877" s="134">
        <f t="shared" si="435"/>
        <v>0.54406018018018021</v>
      </c>
      <c r="R1877" s="149">
        <f t="shared" si="436"/>
        <v>3.5593562141087443</v>
      </c>
    </row>
    <row r="1878" spans="1:18" ht="15" x14ac:dyDescent="0.25">
      <c r="A1878" s="82" t="s">
        <v>134</v>
      </c>
      <c r="B1878" s="82" t="s">
        <v>18</v>
      </c>
      <c r="C1878" s="82" t="s">
        <v>19</v>
      </c>
      <c r="D1878" s="82" t="s">
        <v>90</v>
      </c>
      <c r="E1878" s="87">
        <f t="shared" si="437"/>
        <v>41821</v>
      </c>
      <c r="F1878" s="83"/>
      <c r="G1878" s="92">
        <v>4061</v>
      </c>
      <c r="H1878" s="52">
        <v>650</v>
      </c>
      <c r="I1878" s="52" t="s">
        <v>94</v>
      </c>
      <c r="J1878" s="157">
        <f t="shared" si="438"/>
        <v>0.49</v>
      </c>
      <c r="K1878" s="101">
        <f t="shared" si="430"/>
        <v>40.327706057596821</v>
      </c>
      <c r="L1878" s="101">
        <f t="shared" si="431"/>
        <v>1.0243963963963965</v>
      </c>
      <c r="M1878" s="133">
        <f t="shared" si="432"/>
        <v>318.5</v>
      </c>
      <c r="N1878" s="133">
        <f t="shared" si="433"/>
        <v>4379.5</v>
      </c>
      <c r="O1878" s="134">
        <f t="shared" si="434"/>
        <v>43.490566037735846</v>
      </c>
      <c r="P1878" s="134">
        <f t="shared" si="435"/>
        <v>1.1047387387387388</v>
      </c>
      <c r="R1878" s="149">
        <f t="shared" si="436"/>
        <v>3.644539107797895</v>
      </c>
    </row>
    <row r="1879" spans="1:18" ht="15" x14ac:dyDescent="0.25">
      <c r="A1879" s="82" t="s">
        <v>134</v>
      </c>
      <c r="B1879" s="82" t="s">
        <v>18</v>
      </c>
      <c r="C1879" s="82" t="s">
        <v>20</v>
      </c>
      <c r="D1879" s="82" t="s">
        <v>90</v>
      </c>
      <c r="E1879" s="87">
        <f t="shared" si="437"/>
        <v>41821</v>
      </c>
      <c r="F1879" s="83"/>
      <c r="G1879" s="92">
        <v>3469</v>
      </c>
      <c r="H1879" s="52">
        <v>417</v>
      </c>
      <c r="I1879" s="52" t="s">
        <v>94</v>
      </c>
      <c r="J1879" s="157">
        <f t="shared" si="438"/>
        <v>0.49</v>
      </c>
      <c r="K1879" s="101">
        <f t="shared" si="430"/>
        <v>34.44885799404171</v>
      </c>
      <c r="L1879" s="101">
        <f t="shared" si="431"/>
        <v>0.87506306306306303</v>
      </c>
      <c r="M1879" s="133">
        <f t="shared" si="432"/>
        <v>204.32999999999998</v>
      </c>
      <c r="N1879" s="133">
        <f t="shared" si="433"/>
        <v>3673.33</v>
      </c>
      <c r="O1879" s="134">
        <f t="shared" si="434"/>
        <v>36.477954319761665</v>
      </c>
      <c r="P1879" s="134">
        <f t="shared" si="435"/>
        <v>0.92660576576576581</v>
      </c>
      <c r="R1879" s="149">
        <f t="shared" si="436"/>
        <v>3.474375984157696</v>
      </c>
    </row>
    <row r="1880" spans="1:18" ht="15" x14ac:dyDescent="0.25">
      <c r="A1880" s="82" t="s">
        <v>134</v>
      </c>
      <c r="B1880" s="82" t="s">
        <v>16</v>
      </c>
      <c r="C1880" s="82" t="s">
        <v>21</v>
      </c>
      <c r="D1880" s="82" t="s">
        <v>90</v>
      </c>
      <c r="E1880" s="87">
        <f t="shared" si="437"/>
        <v>41821</v>
      </c>
      <c r="F1880" s="83"/>
      <c r="G1880" s="92">
        <v>3218</v>
      </c>
      <c r="H1880" s="52">
        <v>626</v>
      </c>
      <c r="I1880" s="52" t="s">
        <v>92</v>
      </c>
      <c r="J1880" s="157">
        <f t="shared" si="438"/>
        <v>0.37</v>
      </c>
      <c r="K1880" s="101">
        <f t="shared" si="430"/>
        <v>31.95630585898709</v>
      </c>
      <c r="L1880" s="101">
        <f t="shared" si="431"/>
        <v>0.81174774774774772</v>
      </c>
      <c r="M1880" s="133">
        <f t="shared" si="432"/>
        <v>231.62</v>
      </c>
      <c r="N1880" s="133">
        <f t="shared" si="433"/>
        <v>3449.62</v>
      </c>
      <c r="O1880" s="134">
        <f t="shared" si="434"/>
        <v>34.256405163853024</v>
      </c>
      <c r="P1880" s="134">
        <f t="shared" si="435"/>
        <v>0.87017441441441445</v>
      </c>
      <c r="R1880" s="149">
        <f t="shared" si="436"/>
        <v>2.3213183996962483</v>
      </c>
    </row>
    <row r="1881" spans="1:18" ht="15" x14ac:dyDescent="0.25">
      <c r="A1881" s="82" t="s">
        <v>134</v>
      </c>
      <c r="B1881" s="82" t="s">
        <v>16</v>
      </c>
      <c r="C1881" s="82" t="s">
        <v>6</v>
      </c>
      <c r="D1881" s="82" t="s">
        <v>90</v>
      </c>
      <c r="E1881" s="87">
        <f t="shared" si="437"/>
        <v>41821</v>
      </c>
      <c r="F1881" s="83"/>
      <c r="G1881" s="92">
        <v>5215</v>
      </c>
      <c r="H1881" s="52">
        <v>1823</v>
      </c>
      <c r="I1881" s="52" t="s">
        <v>92</v>
      </c>
      <c r="J1881" s="157">
        <f t="shared" si="438"/>
        <v>0.37</v>
      </c>
      <c r="K1881" s="101">
        <f t="shared" si="430"/>
        <v>51.787487586891757</v>
      </c>
      <c r="L1881" s="101">
        <f t="shared" si="431"/>
        <v>1.3154954954954956</v>
      </c>
      <c r="M1881" s="133">
        <f t="shared" si="432"/>
        <v>674.51</v>
      </c>
      <c r="N1881" s="133">
        <f t="shared" si="433"/>
        <v>5889.51</v>
      </c>
      <c r="O1881" s="134">
        <f t="shared" si="434"/>
        <v>58.485700099304864</v>
      </c>
      <c r="P1881" s="134">
        <f t="shared" si="435"/>
        <v>1.4856421621621623</v>
      </c>
      <c r="R1881" s="149">
        <f t="shared" si="436"/>
        <v>2.9404259186755599</v>
      </c>
    </row>
    <row r="1882" spans="1:18" ht="15" x14ac:dyDescent="0.25">
      <c r="A1882" s="82" t="s">
        <v>22</v>
      </c>
      <c r="B1882" s="82" t="s">
        <v>23</v>
      </c>
      <c r="C1882" s="82" t="s">
        <v>7</v>
      </c>
      <c r="D1882" s="82" t="s">
        <v>90</v>
      </c>
      <c r="E1882" s="87">
        <f t="shared" si="437"/>
        <v>41821</v>
      </c>
      <c r="F1882" s="83"/>
      <c r="G1882" s="92">
        <v>3434</v>
      </c>
      <c r="H1882" s="52">
        <v>1295</v>
      </c>
      <c r="I1882" s="52" t="s">
        <v>95</v>
      </c>
      <c r="J1882" s="157">
        <f t="shared" si="438"/>
        <v>0.31630000000000003</v>
      </c>
      <c r="K1882" s="101">
        <f t="shared" si="430"/>
        <v>34.101290963257199</v>
      </c>
      <c r="L1882" s="101">
        <f t="shared" si="431"/>
        <v>0.92810810810810807</v>
      </c>
      <c r="M1882" s="133">
        <f t="shared" si="432"/>
        <v>409.60850000000005</v>
      </c>
      <c r="N1882" s="133">
        <f t="shared" si="433"/>
        <v>3843.6085000000003</v>
      </c>
      <c r="O1882" s="134">
        <f t="shared" si="434"/>
        <v>38.16890268123138</v>
      </c>
      <c r="P1882" s="134">
        <f t="shared" si="435"/>
        <v>1.0388131081081082</v>
      </c>
      <c r="R1882" s="149">
        <f t="shared" si="436"/>
        <v>3.4976422537426277</v>
      </c>
    </row>
    <row r="1883" spans="1:18" ht="15" x14ac:dyDescent="0.25">
      <c r="A1883" s="82" t="s">
        <v>22</v>
      </c>
      <c r="B1883" s="82" t="s">
        <v>14</v>
      </c>
      <c r="C1883" s="82" t="s">
        <v>24</v>
      </c>
      <c r="D1883" s="82" t="s">
        <v>90</v>
      </c>
      <c r="E1883" s="87">
        <f t="shared" si="437"/>
        <v>41821</v>
      </c>
      <c r="F1883" s="83"/>
      <c r="G1883" s="92">
        <v>3687</v>
      </c>
      <c r="H1883" s="52">
        <v>615</v>
      </c>
      <c r="I1883" s="52" t="s">
        <v>94</v>
      </c>
      <c r="J1883" s="157">
        <f t="shared" si="438"/>
        <v>0.49</v>
      </c>
      <c r="K1883" s="101">
        <f t="shared" si="430"/>
        <v>36.613704071499505</v>
      </c>
      <c r="L1883" s="101">
        <f t="shared" si="431"/>
        <v>0.99648648648648652</v>
      </c>
      <c r="M1883" s="133">
        <f t="shared" si="432"/>
        <v>301.35000000000002</v>
      </c>
      <c r="N1883" s="133">
        <f t="shared" si="433"/>
        <v>3988.35</v>
      </c>
      <c r="O1883" s="134">
        <f t="shared" si="434"/>
        <v>39.606256206554121</v>
      </c>
      <c r="P1883" s="134">
        <f t="shared" si="435"/>
        <v>1.0779324324324324</v>
      </c>
      <c r="R1883" s="149">
        <f t="shared" si="436"/>
        <v>3.216832080330212</v>
      </c>
    </row>
    <row r="1884" spans="1:18" ht="15" x14ac:dyDescent="0.25">
      <c r="A1884" s="82" t="s">
        <v>22</v>
      </c>
      <c r="B1884" s="82" t="s">
        <v>18</v>
      </c>
      <c r="C1884" s="82" t="s">
        <v>15</v>
      </c>
      <c r="D1884" s="82" t="s">
        <v>90</v>
      </c>
      <c r="E1884" s="87">
        <f t="shared" si="437"/>
        <v>41821</v>
      </c>
      <c r="F1884" s="83"/>
      <c r="G1884" s="92">
        <v>4756</v>
      </c>
      <c r="H1884" s="52">
        <v>872</v>
      </c>
      <c r="I1884" s="52" t="s">
        <v>94</v>
      </c>
      <c r="J1884" s="157">
        <f t="shared" si="438"/>
        <v>0.49</v>
      </c>
      <c r="K1884" s="101">
        <f t="shared" si="430"/>
        <v>47.229394240317774</v>
      </c>
      <c r="L1884" s="101">
        <f t="shared" si="431"/>
        <v>1.2854054054054054</v>
      </c>
      <c r="M1884" s="133">
        <f t="shared" si="432"/>
        <v>427.28</v>
      </c>
      <c r="N1884" s="133">
        <f t="shared" si="433"/>
        <v>5183.28</v>
      </c>
      <c r="O1884" s="134">
        <f t="shared" si="434"/>
        <v>51.472492552135051</v>
      </c>
      <c r="P1884" s="134">
        <f t="shared" si="435"/>
        <v>1.4008864864864865</v>
      </c>
      <c r="R1884" s="149">
        <f t="shared" si="436"/>
        <v>3.9183293770449712</v>
      </c>
    </row>
    <row r="1885" spans="1:18" ht="15" x14ac:dyDescent="0.25">
      <c r="A1885" s="82" t="s">
        <v>22</v>
      </c>
      <c r="B1885" s="82" t="s">
        <v>18</v>
      </c>
      <c r="C1885" s="82" t="s">
        <v>24</v>
      </c>
      <c r="D1885" s="82" t="s">
        <v>90</v>
      </c>
      <c r="E1885" s="87">
        <f t="shared" si="437"/>
        <v>41821</v>
      </c>
      <c r="F1885" s="83"/>
      <c r="G1885" s="92">
        <v>3379</v>
      </c>
      <c r="H1885" s="52">
        <v>417</v>
      </c>
      <c r="I1885" s="52" t="s">
        <v>94</v>
      </c>
      <c r="J1885" s="157">
        <f t="shared" si="438"/>
        <v>0.49</v>
      </c>
      <c r="K1885" s="101">
        <f t="shared" si="430"/>
        <v>33.555114200595831</v>
      </c>
      <c r="L1885" s="101">
        <f t="shared" si="431"/>
        <v>0.91324324324324324</v>
      </c>
      <c r="M1885" s="133">
        <f t="shared" si="432"/>
        <v>204.32999999999998</v>
      </c>
      <c r="N1885" s="133">
        <f t="shared" si="433"/>
        <v>3583.33</v>
      </c>
      <c r="O1885" s="134">
        <f t="shared" si="434"/>
        <v>35.584210526315786</v>
      </c>
      <c r="P1885" s="134">
        <f t="shared" si="435"/>
        <v>0.96846756756756758</v>
      </c>
      <c r="R1885" s="149">
        <f t="shared" si="436"/>
        <v>3.4750316922659286</v>
      </c>
    </row>
    <row r="1886" spans="1:18" ht="15" x14ac:dyDescent="0.25">
      <c r="A1886" s="82" t="s">
        <v>22</v>
      </c>
      <c r="B1886" s="82" t="s">
        <v>13</v>
      </c>
      <c r="C1886" s="82" t="s">
        <v>7</v>
      </c>
      <c r="D1886" s="82" t="s">
        <v>90</v>
      </c>
      <c r="E1886" s="87">
        <f t="shared" si="437"/>
        <v>41821</v>
      </c>
      <c r="F1886" s="83"/>
      <c r="G1886" s="92">
        <v>3748</v>
      </c>
      <c r="H1886" s="52">
        <v>1006</v>
      </c>
      <c r="I1886" s="52" t="s">
        <v>92</v>
      </c>
      <c r="J1886" s="157">
        <f t="shared" si="438"/>
        <v>0.37</v>
      </c>
      <c r="K1886" s="101">
        <f t="shared" si="430"/>
        <v>37.219463753723929</v>
      </c>
      <c r="L1886" s="101">
        <f t="shared" si="431"/>
        <v>1.0129729729729731</v>
      </c>
      <c r="M1886" s="133">
        <f t="shared" si="432"/>
        <v>372.21999999999997</v>
      </c>
      <c r="N1886" s="133">
        <f t="shared" si="433"/>
        <v>4120.22</v>
      </c>
      <c r="O1886" s="134">
        <f t="shared" si="434"/>
        <v>40.915789473684214</v>
      </c>
      <c r="P1886" s="134">
        <f t="shared" si="435"/>
        <v>1.1135729729729731</v>
      </c>
      <c r="R1886" s="149">
        <f t="shared" si="436"/>
        <v>4.0154904118995471</v>
      </c>
    </row>
    <row r="1887" spans="1:18" ht="15" x14ac:dyDescent="0.25">
      <c r="A1887" s="82" t="s">
        <v>1</v>
      </c>
      <c r="B1887" s="82" t="s">
        <v>25</v>
      </c>
      <c r="C1887" s="82" t="s">
        <v>26</v>
      </c>
      <c r="D1887" s="82" t="s">
        <v>91</v>
      </c>
      <c r="E1887" s="87">
        <f t="shared" si="437"/>
        <v>41821</v>
      </c>
      <c r="F1887" s="83"/>
      <c r="G1887" s="92">
        <v>3678</v>
      </c>
      <c r="H1887" s="52">
        <v>880</v>
      </c>
      <c r="I1887" s="52" t="s">
        <v>93</v>
      </c>
      <c r="J1887" s="157">
        <f t="shared" si="438"/>
        <v>0.37</v>
      </c>
      <c r="K1887" s="101">
        <f t="shared" si="430"/>
        <v>36.524329692154915</v>
      </c>
      <c r="L1887" s="101">
        <f t="shared" si="431"/>
        <v>0.994054054054054</v>
      </c>
      <c r="M1887" s="133">
        <f t="shared" si="432"/>
        <v>325.60000000000002</v>
      </c>
      <c r="N1887" s="133">
        <f t="shared" si="433"/>
        <v>4003.6</v>
      </c>
      <c r="O1887" s="134">
        <f t="shared" si="434"/>
        <v>39.757696127110229</v>
      </c>
      <c r="P1887" s="134">
        <f t="shared" si="435"/>
        <v>1.082054054054054</v>
      </c>
      <c r="R1887" s="149">
        <f t="shared" si="436"/>
        <v>2.9732510288065894</v>
      </c>
    </row>
    <row r="1888" spans="1:18" ht="15" x14ac:dyDescent="0.25">
      <c r="A1888" s="82" t="s">
        <v>1</v>
      </c>
      <c r="B1888" s="82" t="s">
        <v>2</v>
      </c>
      <c r="C1888" s="82" t="s">
        <v>9</v>
      </c>
      <c r="D1888" s="82" t="s">
        <v>91</v>
      </c>
      <c r="E1888" s="87">
        <f t="shared" si="437"/>
        <v>41821</v>
      </c>
      <c r="F1888" s="83"/>
      <c r="G1888" s="92">
        <v>3471</v>
      </c>
      <c r="H1888" s="52">
        <v>685</v>
      </c>
      <c r="I1888" s="52" t="s">
        <v>93</v>
      </c>
      <c r="J1888" s="157">
        <f t="shared" si="438"/>
        <v>0.37</v>
      </c>
      <c r="K1888" s="101">
        <f t="shared" si="430"/>
        <v>34.468718967229393</v>
      </c>
      <c r="L1888" s="101">
        <f t="shared" si="431"/>
        <v>0.93810810810810807</v>
      </c>
      <c r="M1888" s="133">
        <f t="shared" si="432"/>
        <v>253.45</v>
      </c>
      <c r="N1888" s="133">
        <f t="shared" si="433"/>
        <v>3724.45</v>
      </c>
      <c r="O1888" s="134">
        <f t="shared" si="434"/>
        <v>36.985600794438923</v>
      </c>
      <c r="P1888" s="134">
        <f t="shared" si="435"/>
        <v>1.006608108108108</v>
      </c>
      <c r="R1888" s="149">
        <f t="shared" si="436"/>
        <v>-7.7592718717107374</v>
      </c>
    </row>
    <row r="1889" spans="1:18" ht="15" x14ac:dyDescent="0.25">
      <c r="A1889" s="82" t="s">
        <v>1</v>
      </c>
      <c r="B1889" s="82" t="s">
        <v>27</v>
      </c>
      <c r="C1889" s="82" t="s">
        <v>28</v>
      </c>
      <c r="D1889" s="82" t="s">
        <v>91</v>
      </c>
      <c r="E1889" s="87">
        <f t="shared" si="437"/>
        <v>41821</v>
      </c>
      <c r="F1889" s="83"/>
      <c r="G1889" s="92">
        <v>3950</v>
      </c>
      <c r="H1889" s="52">
        <v>812</v>
      </c>
      <c r="I1889" s="52" t="s">
        <v>94</v>
      </c>
      <c r="J1889" s="157">
        <f t="shared" si="438"/>
        <v>0.49</v>
      </c>
      <c r="K1889" s="101">
        <f t="shared" si="430"/>
        <v>39.22542204568024</v>
      </c>
      <c r="L1889" s="101">
        <f t="shared" si="431"/>
        <v>1.0675675675675675</v>
      </c>
      <c r="M1889" s="133">
        <f t="shared" si="432"/>
        <v>397.88</v>
      </c>
      <c r="N1889" s="133">
        <f t="shared" si="433"/>
        <v>4347.88</v>
      </c>
      <c r="O1889" s="134">
        <f t="shared" si="434"/>
        <v>43.176564051638529</v>
      </c>
      <c r="P1889" s="134">
        <f t="shared" si="435"/>
        <v>1.1751027027027028</v>
      </c>
      <c r="R1889" s="149">
        <f t="shared" si="436"/>
        <v>4.7015874239038302</v>
      </c>
    </row>
    <row r="1890" spans="1:18" ht="15" x14ac:dyDescent="0.25">
      <c r="A1890" s="82" t="s">
        <v>1</v>
      </c>
      <c r="B1890" s="82" t="s">
        <v>4</v>
      </c>
      <c r="C1890" s="82" t="s">
        <v>26</v>
      </c>
      <c r="D1890" s="82" t="s">
        <v>91</v>
      </c>
      <c r="E1890" s="87">
        <f t="shared" si="437"/>
        <v>41821</v>
      </c>
      <c r="F1890" s="83"/>
      <c r="G1890" s="92">
        <v>5159</v>
      </c>
      <c r="H1890" s="52">
        <v>1520</v>
      </c>
      <c r="I1890" s="52" t="s">
        <v>93</v>
      </c>
      <c r="J1890" s="157">
        <f t="shared" si="438"/>
        <v>0.37</v>
      </c>
      <c r="K1890" s="101">
        <f t="shared" si="430"/>
        <v>51.231380337636544</v>
      </c>
      <c r="L1890" s="101">
        <f t="shared" si="431"/>
        <v>1.3943243243243244</v>
      </c>
      <c r="M1890" s="133">
        <f t="shared" si="432"/>
        <v>562.4</v>
      </c>
      <c r="N1890" s="133">
        <f t="shared" si="433"/>
        <v>5721.4</v>
      </c>
      <c r="O1890" s="134">
        <f t="shared" si="434"/>
        <v>56.816285998013896</v>
      </c>
      <c r="P1890" s="134">
        <f t="shared" si="435"/>
        <v>1.5463243243243243</v>
      </c>
      <c r="R1890" s="149">
        <f t="shared" si="436"/>
        <v>2.2957268013588328</v>
      </c>
    </row>
    <row r="1891" spans="1:18" ht="15" x14ac:dyDescent="0.25">
      <c r="A1891" s="82" t="s">
        <v>1</v>
      </c>
      <c r="B1891" s="82" t="s">
        <v>4</v>
      </c>
      <c r="C1891" s="82" t="s">
        <v>9</v>
      </c>
      <c r="D1891" s="82" t="s">
        <v>91</v>
      </c>
      <c r="E1891" s="87">
        <f t="shared" si="437"/>
        <v>41821</v>
      </c>
      <c r="F1891" s="83"/>
      <c r="G1891" s="92">
        <v>6084</v>
      </c>
      <c r="H1891" s="52">
        <v>1583</v>
      </c>
      <c r="I1891" s="52" t="s">
        <v>93</v>
      </c>
      <c r="J1891" s="157">
        <f t="shared" si="438"/>
        <v>0.37</v>
      </c>
      <c r="K1891" s="101">
        <f t="shared" si="430"/>
        <v>60.417080436941411</v>
      </c>
      <c r="L1891" s="101">
        <f t="shared" si="431"/>
        <v>1.6443243243243244</v>
      </c>
      <c r="M1891" s="133">
        <f t="shared" si="432"/>
        <v>585.71</v>
      </c>
      <c r="N1891" s="133">
        <f t="shared" si="433"/>
        <v>6669.71</v>
      </c>
      <c r="O1891" s="134">
        <f t="shared" si="434"/>
        <v>66.233465739821256</v>
      </c>
      <c r="P1891" s="134">
        <f t="shared" si="435"/>
        <v>1.8026243243243243</v>
      </c>
      <c r="R1891" s="149">
        <f t="shared" si="436"/>
        <v>0.50722945125487584</v>
      </c>
    </row>
    <row r="1892" spans="1:18" ht="15" x14ac:dyDescent="0.25">
      <c r="A1892" s="82" t="s">
        <v>1</v>
      </c>
      <c r="B1892" s="82" t="s">
        <v>10</v>
      </c>
      <c r="C1892" s="82" t="s">
        <v>26</v>
      </c>
      <c r="D1892" s="82" t="s">
        <v>91</v>
      </c>
      <c r="E1892" s="87">
        <f t="shared" si="437"/>
        <v>41821</v>
      </c>
      <c r="F1892" s="83"/>
      <c r="G1892" s="92">
        <v>5260</v>
      </c>
      <c r="H1892" s="52">
        <v>1599</v>
      </c>
      <c r="I1892" s="52" t="s">
        <v>92</v>
      </c>
      <c r="J1892" s="157">
        <f t="shared" si="438"/>
        <v>0.37</v>
      </c>
      <c r="K1892" s="101">
        <f t="shared" si="430"/>
        <v>52.234359483614696</v>
      </c>
      <c r="L1892" s="101">
        <f t="shared" si="431"/>
        <v>1.4216216216216215</v>
      </c>
      <c r="M1892" s="133">
        <f t="shared" si="432"/>
        <v>591.63</v>
      </c>
      <c r="N1892" s="133">
        <f t="shared" si="433"/>
        <v>5851.63</v>
      </c>
      <c r="O1892" s="134">
        <f t="shared" si="434"/>
        <v>58.109533267130089</v>
      </c>
      <c r="P1892" s="134">
        <f t="shared" si="435"/>
        <v>1.5815216216216217</v>
      </c>
      <c r="R1892" s="149">
        <f t="shared" si="436"/>
        <v>4.1467330172425987</v>
      </c>
    </row>
    <row r="1893" spans="1:18" ht="15" x14ac:dyDescent="0.25">
      <c r="A1893" s="82" t="s">
        <v>134</v>
      </c>
      <c r="B1893" s="82" t="s">
        <v>23</v>
      </c>
      <c r="C1893" s="82" t="s">
        <v>26</v>
      </c>
      <c r="D1893" s="82" t="s">
        <v>91</v>
      </c>
      <c r="E1893" s="87">
        <f t="shared" si="437"/>
        <v>41821</v>
      </c>
      <c r="F1893" s="83"/>
      <c r="G1893" s="92">
        <v>5000</v>
      </c>
      <c r="H1893" s="52">
        <v>1851</v>
      </c>
      <c r="I1893" s="52" t="s">
        <v>93</v>
      </c>
      <c r="J1893" s="157">
        <f t="shared" si="438"/>
        <v>0.37</v>
      </c>
      <c r="K1893" s="101">
        <f t="shared" si="430"/>
        <v>49.652432969215489</v>
      </c>
      <c r="L1893" s="101">
        <f t="shared" si="431"/>
        <v>1.2612612612612613</v>
      </c>
      <c r="M1893" s="133">
        <f t="shared" si="432"/>
        <v>684.87</v>
      </c>
      <c r="N1893" s="133">
        <f t="shared" si="433"/>
        <v>5684.87</v>
      </c>
      <c r="O1893" s="134">
        <f t="shared" si="434"/>
        <v>56.453525322740809</v>
      </c>
      <c r="P1893" s="134">
        <f t="shared" si="435"/>
        <v>1.4340212612612613</v>
      </c>
      <c r="R1893" s="149">
        <f t="shared" si="436"/>
        <v>4.3507071597052027</v>
      </c>
    </row>
    <row r="1894" spans="1:18" ht="15" x14ac:dyDescent="0.25">
      <c r="A1894" s="82" t="s">
        <v>134</v>
      </c>
      <c r="B1894" s="82" t="s">
        <v>8</v>
      </c>
      <c r="C1894" s="82" t="s">
        <v>29</v>
      </c>
      <c r="D1894" s="82" t="s">
        <v>91</v>
      </c>
      <c r="E1894" s="87">
        <f t="shared" si="437"/>
        <v>41821</v>
      </c>
      <c r="F1894" s="83"/>
      <c r="G1894" s="92">
        <v>4960</v>
      </c>
      <c r="H1894" s="52">
        <v>1695</v>
      </c>
      <c r="I1894" s="52" t="s">
        <v>93</v>
      </c>
      <c r="J1894" s="157">
        <f t="shared" si="438"/>
        <v>0.37</v>
      </c>
      <c r="K1894" s="101">
        <f t="shared" si="430"/>
        <v>49.255213505461768</v>
      </c>
      <c r="L1894" s="101">
        <f t="shared" si="431"/>
        <v>1.2511711711711713</v>
      </c>
      <c r="M1894" s="133">
        <f t="shared" si="432"/>
        <v>627.15</v>
      </c>
      <c r="N1894" s="133">
        <f t="shared" si="433"/>
        <v>5587.15</v>
      </c>
      <c r="O1894" s="134">
        <f t="shared" si="434"/>
        <v>55.483118172790462</v>
      </c>
      <c r="P1894" s="134">
        <f t="shared" si="435"/>
        <v>1.4093711711711712</v>
      </c>
      <c r="R1894" s="149">
        <f t="shared" si="436"/>
        <v>4.3693083640778951</v>
      </c>
    </row>
    <row r="1895" spans="1:18" ht="15" x14ac:dyDescent="0.25">
      <c r="A1895" s="82" t="s">
        <v>134</v>
      </c>
      <c r="B1895" s="82" t="s">
        <v>13</v>
      </c>
      <c r="C1895" s="82" t="s">
        <v>7</v>
      </c>
      <c r="D1895" s="82" t="s">
        <v>91</v>
      </c>
      <c r="E1895" s="87">
        <f t="shared" si="437"/>
        <v>41821</v>
      </c>
      <c r="F1895" s="83"/>
      <c r="G1895" s="92">
        <v>3011</v>
      </c>
      <c r="H1895" s="52">
        <v>1006</v>
      </c>
      <c r="I1895" s="52" t="s">
        <v>92</v>
      </c>
      <c r="J1895" s="157">
        <f t="shared" si="438"/>
        <v>0.37</v>
      </c>
      <c r="K1895" s="101">
        <f t="shared" si="430"/>
        <v>29.900695134061568</v>
      </c>
      <c r="L1895" s="101">
        <f t="shared" si="431"/>
        <v>0.75953153153153152</v>
      </c>
      <c r="M1895" s="133">
        <f t="shared" si="432"/>
        <v>372.21999999999997</v>
      </c>
      <c r="N1895" s="133">
        <f t="shared" si="433"/>
        <v>3383.22</v>
      </c>
      <c r="O1895" s="134">
        <f t="shared" si="434"/>
        <v>33.597020854021842</v>
      </c>
      <c r="P1895" s="134">
        <f t="shared" si="435"/>
        <v>0.8534248648648648</v>
      </c>
      <c r="R1895" s="149">
        <f t="shared" si="436"/>
        <v>2.7971900484935475</v>
      </c>
    </row>
    <row r="1896" spans="1:18" ht="15" x14ac:dyDescent="0.25">
      <c r="A1896" s="82" t="s">
        <v>134</v>
      </c>
      <c r="B1896" s="82" t="s">
        <v>30</v>
      </c>
      <c r="C1896" s="82" t="s">
        <v>9</v>
      </c>
      <c r="D1896" s="82" t="s">
        <v>91</v>
      </c>
      <c r="E1896" s="87">
        <f t="shared" si="437"/>
        <v>41821</v>
      </c>
      <c r="F1896" s="83"/>
      <c r="G1896" s="92">
        <v>3510</v>
      </c>
      <c r="H1896" s="52">
        <v>988</v>
      </c>
      <c r="I1896" s="52" t="s">
        <v>93</v>
      </c>
      <c r="J1896" s="157">
        <f t="shared" si="438"/>
        <v>0.37</v>
      </c>
      <c r="K1896" s="101">
        <f t="shared" si="430"/>
        <v>34.856007944389276</v>
      </c>
      <c r="L1896" s="101">
        <f t="shared" si="431"/>
        <v>0.88540540540540547</v>
      </c>
      <c r="M1896" s="133">
        <f t="shared" si="432"/>
        <v>365.56</v>
      </c>
      <c r="N1896" s="133">
        <f t="shared" si="433"/>
        <v>3875.56</v>
      </c>
      <c r="O1896" s="134">
        <f t="shared" si="434"/>
        <v>38.486196623634555</v>
      </c>
      <c r="P1896" s="134">
        <f t="shared" si="435"/>
        <v>0.97761873873873872</v>
      </c>
      <c r="R1896" s="149">
        <f t="shared" si="436"/>
        <v>6.0112697631161449</v>
      </c>
    </row>
    <row r="1897" spans="1:18" ht="15" x14ac:dyDescent="0.25">
      <c r="A1897" s="82" t="s">
        <v>134</v>
      </c>
      <c r="B1897" s="82" t="s">
        <v>16</v>
      </c>
      <c r="C1897" s="82" t="s">
        <v>11</v>
      </c>
      <c r="D1897" s="82" t="s">
        <v>91</v>
      </c>
      <c r="E1897" s="87">
        <f t="shared" si="437"/>
        <v>41821</v>
      </c>
      <c r="F1897" s="83"/>
      <c r="G1897" s="92">
        <v>3590</v>
      </c>
      <c r="H1897" s="52">
        <v>787</v>
      </c>
      <c r="I1897" s="52" t="s">
        <v>92</v>
      </c>
      <c r="J1897" s="157">
        <f t="shared" si="438"/>
        <v>0.37</v>
      </c>
      <c r="K1897" s="101">
        <f t="shared" si="430"/>
        <v>35.650446871896719</v>
      </c>
      <c r="L1897" s="101">
        <f t="shared" si="431"/>
        <v>0.90558558558558555</v>
      </c>
      <c r="M1897" s="133">
        <f t="shared" si="432"/>
        <v>291.19</v>
      </c>
      <c r="N1897" s="133">
        <f t="shared" si="433"/>
        <v>3881.19</v>
      </c>
      <c r="O1897" s="134">
        <f t="shared" si="434"/>
        <v>38.542105263157893</v>
      </c>
      <c r="P1897" s="134">
        <f t="shared" si="435"/>
        <v>0.97903891891891892</v>
      </c>
      <c r="R1897" s="149">
        <f t="shared" si="436"/>
        <v>2.3164404795798843</v>
      </c>
    </row>
    <row r="1898" spans="1:18" ht="15" x14ac:dyDescent="0.25">
      <c r="A1898" s="82" t="s">
        <v>134</v>
      </c>
      <c r="B1898" s="82" t="s">
        <v>23</v>
      </c>
      <c r="C1898" s="82" t="s">
        <v>29</v>
      </c>
      <c r="D1898" s="82" t="s">
        <v>91</v>
      </c>
      <c r="E1898" s="87">
        <f t="shared" si="437"/>
        <v>41821</v>
      </c>
      <c r="F1898" s="83"/>
      <c r="G1898" s="92">
        <v>5000</v>
      </c>
      <c r="H1898" s="52">
        <v>1836</v>
      </c>
      <c r="I1898" s="52" t="s">
        <v>93</v>
      </c>
      <c r="J1898" s="157">
        <f t="shared" si="438"/>
        <v>0.37</v>
      </c>
      <c r="K1898" s="101">
        <f t="shared" si="430"/>
        <v>49.652432969215489</v>
      </c>
      <c r="L1898" s="101">
        <f t="shared" si="431"/>
        <v>1.2612612612612613</v>
      </c>
      <c r="M1898" s="133">
        <f t="shared" si="432"/>
        <v>679.31999999999994</v>
      </c>
      <c r="N1898" s="133">
        <f t="shared" si="433"/>
        <v>5679.32</v>
      </c>
      <c r="O1898" s="134">
        <f t="shared" si="434"/>
        <v>56.398411122144978</v>
      </c>
      <c r="P1898" s="134">
        <f t="shared" si="435"/>
        <v>1.4326212612612612</v>
      </c>
      <c r="R1898" s="149">
        <f t="shared" si="436"/>
        <v>4.3493918347848437</v>
      </c>
    </row>
    <row r="1899" spans="1:18" ht="15" x14ac:dyDescent="0.25">
      <c r="A1899" s="82" t="s">
        <v>134</v>
      </c>
      <c r="B1899" s="82" t="s">
        <v>31</v>
      </c>
      <c r="C1899" s="82" t="s">
        <v>32</v>
      </c>
      <c r="D1899" s="82" t="s">
        <v>91</v>
      </c>
      <c r="E1899" s="87">
        <f t="shared" si="437"/>
        <v>41821</v>
      </c>
      <c r="F1899" s="83"/>
      <c r="G1899" s="92">
        <v>4400</v>
      </c>
      <c r="H1899" s="52">
        <v>1899</v>
      </c>
      <c r="I1899" s="52" t="s">
        <v>93</v>
      </c>
      <c r="J1899" s="157">
        <f t="shared" si="438"/>
        <v>0.37</v>
      </c>
      <c r="K1899" s="101">
        <f t="shared" si="430"/>
        <v>43.694141012909633</v>
      </c>
      <c r="L1899" s="101">
        <f t="shared" si="431"/>
        <v>1.1099099099099099</v>
      </c>
      <c r="M1899" s="133">
        <f t="shared" si="432"/>
        <v>702.63</v>
      </c>
      <c r="N1899" s="133">
        <f t="shared" si="433"/>
        <v>5102.63</v>
      </c>
      <c r="O1899" s="134">
        <f t="shared" si="434"/>
        <v>50.671598808341606</v>
      </c>
      <c r="P1899" s="134">
        <f t="shared" si="435"/>
        <v>1.28714990990991</v>
      </c>
      <c r="R1899" s="149">
        <f t="shared" si="436"/>
        <v>4.8920271756447198</v>
      </c>
    </row>
    <row r="1900" spans="1:18" ht="15" x14ac:dyDescent="0.25">
      <c r="A1900" s="82" t="s">
        <v>22</v>
      </c>
      <c r="B1900" s="82" t="s">
        <v>8</v>
      </c>
      <c r="C1900" s="82" t="s">
        <v>29</v>
      </c>
      <c r="D1900" s="82" t="s">
        <v>91</v>
      </c>
      <c r="E1900" s="87">
        <f t="shared" si="437"/>
        <v>41821</v>
      </c>
      <c r="F1900" s="83"/>
      <c r="G1900" s="92">
        <v>5520</v>
      </c>
      <c r="H1900" s="52">
        <v>1695</v>
      </c>
      <c r="I1900" s="52" t="s">
        <v>93</v>
      </c>
      <c r="J1900" s="157">
        <f t="shared" si="438"/>
        <v>0.37</v>
      </c>
      <c r="K1900" s="101">
        <f t="shared" si="430"/>
        <v>54.816285998013903</v>
      </c>
      <c r="L1900" s="101">
        <f t="shared" si="431"/>
        <v>1.491891891891892</v>
      </c>
      <c r="M1900" s="133">
        <f t="shared" si="432"/>
        <v>627.15</v>
      </c>
      <c r="N1900" s="133">
        <f t="shared" si="433"/>
        <v>6147.15</v>
      </c>
      <c r="O1900" s="134">
        <f t="shared" si="434"/>
        <v>61.044190665342597</v>
      </c>
      <c r="P1900" s="134">
        <f t="shared" si="435"/>
        <v>1.6613918918918917</v>
      </c>
      <c r="R1900" s="149">
        <f t="shared" si="436"/>
        <v>3.9555236122267745</v>
      </c>
    </row>
    <row r="1901" spans="1:18" ht="15" x14ac:dyDescent="0.25">
      <c r="A1901" s="82" t="s">
        <v>22</v>
      </c>
      <c r="B1901" s="82" t="s">
        <v>23</v>
      </c>
      <c r="C1901" s="82" t="s">
        <v>26</v>
      </c>
      <c r="D1901" s="82" t="s">
        <v>91</v>
      </c>
      <c r="E1901" s="87">
        <f t="shared" si="437"/>
        <v>41821</v>
      </c>
      <c r="F1901" s="83"/>
      <c r="G1901" s="92">
        <v>5530</v>
      </c>
      <c r="H1901" s="52">
        <v>1851</v>
      </c>
      <c r="I1901" s="52" t="s">
        <v>93</v>
      </c>
      <c r="J1901" s="157">
        <f t="shared" si="438"/>
        <v>0.37</v>
      </c>
      <c r="K1901" s="101">
        <f t="shared" si="430"/>
        <v>54.915590863952332</v>
      </c>
      <c r="L1901" s="101">
        <f t="shared" si="431"/>
        <v>1.4945945945945946</v>
      </c>
      <c r="M1901" s="133">
        <f t="shared" si="432"/>
        <v>684.87</v>
      </c>
      <c r="N1901" s="133">
        <f t="shared" si="433"/>
        <v>6214.87</v>
      </c>
      <c r="O1901" s="134">
        <f t="shared" si="434"/>
        <v>61.716683217477652</v>
      </c>
      <c r="P1901" s="134">
        <f t="shared" si="435"/>
        <v>1.6796945945945945</v>
      </c>
      <c r="R1901" s="149">
        <f t="shared" si="436"/>
        <v>3.9649706834396836</v>
      </c>
    </row>
    <row r="1902" spans="1:18" ht="15" x14ac:dyDescent="0.25">
      <c r="A1902" s="82" t="s">
        <v>22</v>
      </c>
      <c r="B1902" s="82" t="s">
        <v>33</v>
      </c>
      <c r="C1902" s="82" t="s">
        <v>29</v>
      </c>
      <c r="D1902" s="82" t="s">
        <v>91</v>
      </c>
      <c r="E1902" s="87">
        <f t="shared" si="437"/>
        <v>41821</v>
      </c>
      <c r="F1902" s="83"/>
      <c r="G1902" s="92">
        <v>5430</v>
      </c>
      <c r="H1902" s="52">
        <v>1507</v>
      </c>
      <c r="I1902" s="52" t="s">
        <v>93</v>
      </c>
      <c r="J1902" s="157">
        <f t="shared" si="438"/>
        <v>0.37</v>
      </c>
      <c r="K1902" s="101">
        <f t="shared" si="430"/>
        <v>53.922542204568025</v>
      </c>
      <c r="L1902" s="101">
        <f t="shared" si="431"/>
        <v>1.4675675675675677</v>
      </c>
      <c r="M1902" s="133">
        <f t="shared" si="432"/>
        <v>557.59</v>
      </c>
      <c r="N1902" s="133">
        <f t="shared" si="433"/>
        <v>5987.59</v>
      </c>
      <c r="O1902" s="134">
        <f t="shared" si="434"/>
        <v>59.459682224428995</v>
      </c>
      <c r="P1902" s="134">
        <f t="shared" si="435"/>
        <v>1.6182675675675675</v>
      </c>
      <c r="R1902" s="149">
        <f t="shared" si="436"/>
        <v>3.9972557295330446</v>
      </c>
    </row>
    <row r="1903" spans="1:18" ht="15" x14ac:dyDescent="0.25">
      <c r="A1903" s="82" t="s">
        <v>22</v>
      </c>
      <c r="B1903" s="82" t="s">
        <v>31</v>
      </c>
      <c r="C1903" s="82" t="s">
        <v>7</v>
      </c>
      <c r="D1903" s="82" t="s">
        <v>91</v>
      </c>
      <c r="E1903" s="87">
        <f t="shared" si="437"/>
        <v>41821</v>
      </c>
      <c r="F1903" s="83"/>
      <c r="G1903" s="92">
        <v>4175</v>
      </c>
      <c r="H1903" s="52">
        <v>1160</v>
      </c>
      <c r="I1903" s="52" t="s">
        <v>92</v>
      </c>
      <c r="J1903" s="157">
        <f t="shared" si="438"/>
        <v>0.37</v>
      </c>
      <c r="K1903" s="101">
        <f t="shared" si="430"/>
        <v>41.459781529294936</v>
      </c>
      <c r="L1903" s="101">
        <f t="shared" si="431"/>
        <v>1.1283783783783783</v>
      </c>
      <c r="M1903" s="133">
        <f t="shared" si="432"/>
        <v>429.2</v>
      </c>
      <c r="N1903" s="133">
        <f t="shared" si="433"/>
        <v>4604.2</v>
      </c>
      <c r="O1903" s="134">
        <f t="shared" si="434"/>
        <v>45.72194637537239</v>
      </c>
      <c r="P1903" s="134">
        <f t="shared" si="435"/>
        <v>1.2443783783783784</v>
      </c>
      <c r="R1903" s="149">
        <f t="shared" si="436"/>
        <v>5.4171627438410086</v>
      </c>
    </row>
    <row r="1904" spans="1:18" ht="15" x14ac:dyDescent="0.25">
      <c r="A1904" s="82" t="s">
        <v>22</v>
      </c>
      <c r="B1904" s="82" t="s">
        <v>14</v>
      </c>
      <c r="C1904" s="82" t="s">
        <v>24</v>
      </c>
      <c r="D1904" s="82" t="s">
        <v>91</v>
      </c>
      <c r="E1904" s="87">
        <f t="shared" si="437"/>
        <v>41821</v>
      </c>
      <c r="F1904" s="83"/>
      <c r="G1904" s="92">
        <v>2862</v>
      </c>
      <c r="H1904" s="52">
        <v>615</v>
      </c>
      <c r="I1904" s="52" t="s">
        <v>94</v>
      </c>
      <c r="J1904" s="157">
        <f t="shared" si="438"/>
        <v>0.49</v>
      </c>
      <c r="K1904" s="101">
        <f t="shared" si="430"/>
        <v>28.421052631578945</v>
      </c>
      <c r="L1904" s="101">
        <f t="shared" si="431"/>
        <v>0.7735135135135135</v>
      </c>
      <c r="M1904" s="133">
        <f t="shared" si="432"/>
        <v>301.35000000000002</v>
      </c>
      <c r="N1904" s="133">
        <f t="shared" si="433"/>
        <v>3163.35</v>
      </c>
      <c r="O1904" s="134">
        <f t="shared" si="434"/>
        <v>31.413604766633565</v>
      </c>
      <c r="P1904" s="134">
        <f t="shared" si="435"/>
        <v>0.85495945945945939</v>
      </c>
      <c r="R1904" s="149">
        <f t="shared" si="436"/>
        <v>4.0900939438311301</v>
      </c>
    </row>
    <row r="1905" spans="1:18" ht="15" x14ac:dyDescent="0.25">
      <c r="A1905" s="118" t="s">
        <v>22</v>
      </c>
      <c r="B1905" s="118" t="s">
        <v>34</v>
      </c>
      <c r="C1905" s="118" t="s">
        <v>26</v>
      </c>
      <c r="D1905" s="118" t="s">
        <v>91</v>
      </c>
      <c r="E1905" s="119">
        <f t="shared" si="437"/>
        <v>41821</v>
      </c>
      <c r="F1905" s="120"/>
      <c r="G1905" s="105">
        <v>5110</v>
      </c>
      <c r="H1905" s="158">
        <v>1637</v>
      </c>
      <c r="I1905" s="158" t="s">
        <v>92</v>
      </c>
      <c r="J1905" s="122">
        <f t="shared" si="438"/>
        <v>0.37</v>
      </c>
      <c r="K1905" s="123">
        <f t="shared" si="430"/>
        <v>50.744786494538232</v>
      </c>
      <c r="L1905" s="123">
        <f t="shared" si="431"/>
        <v>1.3810810810810812</v>
      </c>
      <c r="M1905" s="115">
        <f t="shared" si="432"/>
        <v>605.68999999999994</v>
      </c>
      <c r="N1905" s="115">
        <f t="shared" si="433"/>
        <v>5715.69</v>
      </c>
      <c r="O1905" s="116">
        <f t="shared" si="434"/>
        <v>56.759582919563051</v>
      </c>
      <c r="P1905" s="116">
        <f t="shared" si="435"/>
        <v>1.5447810810810809</v>
      </c>
      <c r="Q1905" s="106"/>
      <c r="R1905" s="152">
        <f t="shared" si="436"/>
        <v>2.9980249832411987</v>
      </c>
    </row>
    <row r="1906" spans="1:18" ht="15" x14ac:dyDescent="0.25">
      <c r="A1906" s="82" t="s">
        <v>1</v>
      </c>
      <c r="B1906" s="82" t="s">
        <v>2</v>
      </c>
      <c r="C1906" s="82" t="s">
        <v>3</v>
      </c>
      <c r="D1906" s="82" t="s">
        <v>90</v>
      </c>
      <c r="E1906" s="87">
        <v>41852</v>
      </c>
      <c r="F1906" s="83"/>
      <c r="G1906" s="92">
        <v>3387</v>
      </c>
      <c r="H1906" s="52">
        <v>506</v>
      </c>
      <c r="I1906" s="52" t="s">
        <v>92</v>
      </c>
      <c r="J1906" s="157">
        <f>IF(I1906="BNSF",0.36,IF(I1906="CN",0.3105,IF(I1906="CSX",0.48,0.37)))</f>
        <v>0.37</v>
      </c>
      <c r="K1906" s="101">
        <f t="shared" ref="K1906:K1943" si="439">G1906/100.7</f>
        <v>33.63455809334657</v>
      </c>
      <c r="L1906" s="101">
        <f t="shared" ref="L1906:L1943" si="440">IF(A1906="corn",G1906/(111*2000/56),G1906/(111*2000/60))</f>
        <v>0.91540540540540538</v>
      </c>
      <c r="M1906" s="133">
        <f t="shared" ref="M1906:M1943" si="441">H1906*J1906</f>
        <v>187.22</v>
      </c>
      <c r="N1906" s="133">
        <f t="shared" ref="N1906:N1943" si="442">G1906+M1906</f>
        <v>3574.22</v>
      </c>
      <c r="O1906" s="134">
        <f t="shared" ref="O1906:O1943" si="443">N1906/100.7</f>
        <v>35.493743793445873</v>
      </c>
      <c r="P1906" s="134">
        <f t="shared" ref="P1906:P1943" si="444">IF(A1906="corn",N1906/(111*2000/56),N1906/(111*2000/60))</f>
        <v>0.96600540540540536</v>
      </c>
      <c r="Q1906" s="160"/>
      <c r="R1906" s="149">
        <f t="shared" ref="R1906:R1943" si="445">((N1906/N1450)-1)*100</f>
        <v>6.1197707906534893</v>
      </c>
    </row>
    <row r="1907" spans="1:18" ht="15" x14ac:dyDescent="0.25">
      <c r="A1907" s="82" t="s">
        <v>1</v>
      </c>
      <c r="B1907" s="82" t="s">
        <v>4</v>
      </c>
      <c r="C1907" s="82" t="s">
        <v>5</v>
      </c>
      <c r="D1907" s="82" t="s">
        <v>90</v>
      </c>
      <c r="E1907" s="87">
        <f>E1906</f>
        <v>41852</v>
      </c>
      <c r="F1907" s="83"/>
      <c r="G1907" s="92">
        <v>3596</v>
      </c>
      <c r="H1907" s="52">
        <v>298</v>
      </c>
      <c r="I1907" s="52" t="s">
        <v>93</v>
      </c>
      <c r="J1907" s="157">
        <f t="shared" ref="J1907:J1943" si="446">IF(I1907="BNSF",0.36,IF(I1907="CN",0.3105,IF(I1907="CSX",0.48,0.37)))</f>
        <v>0.36</v>
      </c>
      <c r="K1907" s="101">
        <f t="shared" si="439"/>
        <v>35.710029791459782</v>
      </c>
      <c r="L1907" s="101">
        <f t="shared" si="440"/>
        <v>0.97189189189189185</v>
      </c>
      <c r="M1907" s="133">
        <f t="shared" si="441"/>
        <v>107.28</v>
      </c>
      <c r="N1907" s="133">
        <f t="shared" si="442"/>
        <v>3703.28</v>
      </c>
      <c r="O1907" s="134">
        <f t="shared" si="443"/>
        <v>36.775372393247267</v>
      </c>
      <c r="P1907" s="134">
        <f t="shared" si="444"/>
        <v>1.0008864864864866</v>
      </c>
      <c r="Q1907" s="160"/>
      <c r="R1907" s="149">
        <f t="shared" si="445"/>
        <v>-2.7581715822199815</v>
      </c>
    </row>
    <row r="1908" spans="1:18" ht="15" x14ac:dyDescent="0.25">
      <c r="A1908" s="82" t="s">
        <v>1</v>
      </c>
      <c r="B1908" s="82" t="s">
        <v>2</v>
      </c>
      <c r="C1908" s="82" t="s">
        <v>6</v>
      </c>
      <c r="D1908" s="82" t="s">
        <v>90</v>
      </c>
      <c r="E1908" s="87">
        <f t="shared" ref="E1908:E1943" si="447">E1907</f>
        <v>41852</v>
      </c>
      <c r="F1908" s="83"/>
      <c r="G1908" s="92">
        <v>6244</v>
      </c>
      <c r="H1908" s="52">
        <v>1530</v>
      </c>
      <c r="I1908" s="52" t="s">
        <v>93</v>
      </c>
      <c r="J1908" s="157">
        <f t="shared" si="446"/>
        <v>0.36</v>
      </c>
      <c r="K1908" s="101">
        <f t="shared" si="439"/>
        <v>62.005958291956304</v>
      </c>
      <c r="L1908" s="101">
        <f t="shared" si="440"/>
        <v>1.6875675675675677</v>
      </c>
      <c r="M1908" s="133">
        <f t="shared" si="441"/>
        <v>550.79999999999995</v>
      </c>
      <c r="N1908" s="133">
        <f t="shared" si="442"/>
        <v>6794.8</v>
      </c>
      <c r="O1908" s="134">
        <f t="shared" si="443"/>
        <v>67.475670307845078</v>
      </c>
      <c r="P1908" s="134">
        <f t="shared" si="444"/>
        <v>1.8364324324324324</v>
      </c>
      <c r="R1908" s="149">
        <f t="shared" si="445"/>
        <v>0.45238165636736216</v>
      </c>
    </row>
    <row r="1909" spans="1:18" ht="15" x14ac:dyDescent="0.25">
      <c r="A1909" s="82" t="s">
        <v>1</v>
      </c>
      <c r="B1909" s="82" t="s">
        <v>2</v>
      </c>
      <c r="C1909" s="82" t="s">
        <v>7</v>
      </c>
      <c r="D1909" s="82" t="s">
        <v>90</v>
      </c>
      <c r="E1909" s="87">
        <f t="shared" si="447"/>
        <v>41852</v>
      </c>
      <c r="F1909" s="83"/>
      <c r="G1909" s="92">
        <v>4026</v>
      </c>
      <c r="H1909" s="52">
        <v>890</v>
      </c>
      <c r="I1909" s="52" t="s">
        <v>92</v>
      </c>
      <c r="J1909" s="157">
        <f t="shared" si="446"/>
        <v>0.37</v>
      </c>
      <c r="K1909" s="101">
        <f t="shared" si="439"/>
        <v>39.98013902681231</v>
      </c>
      <c r="L1909" s="101">
        <f t="shared" si="440"/>
        <v>1.0881081081081081</v>
      </c>
      <c r="M1909" s="133">
        <f t="shared" si="441"/>
        <v>329.3</v>
      </c>
      <c r="N1909" s="133">
        <f t="shared" si="442"/>
        <v>4355.3</v>
      </c>
      <c r="O1909" s="134">
        <f t="shared" si="443"/>
        <v>43.250248262164845</v>
      </c>
      <c r="P1909" s="134">
        <f t="shared" si="444"/>
        <v>1.1771081081081081</v>
      </c>
      <c r="R1909" s="149">
        <f t="shared" si="445"/>
        <v>5.7239956305376927</v>
      </c>
    </row>
    <row r="1910" spans="1:18" ht="15" x14ac:dyDescent="0.25">
      <c r="A1910" s="82" t="s">
        <v>1</v>
      </c>
      <c r="B1910" s="82" t="s">
        <v>8</v>
      </c>
      <c r="C1910" s="82" t="s">
        <v>9</v>
      </c>
      <c r="D1910" s="82" t="s">
        <v>90</v>
      </c>
      <c r="E1910" s="87">
        <f t="shared" si="447"/>
        <v>41852</v>
      </c>
      <c r="F1910" s="83"/>
      <c r="G1910" s="92">
        <v>5824</v>
      </c>
      <c r="H1910" s="52">
        <v>1256</v>
      </c>
      <c r="I1910" s="52" t="s">
        <v>93</v>
      </c>
      <c r="J1910" s="157">
        <f t="shared" si="446"/>
        <v>0.36</v>
      </c>
      <c r="K1910" s="101">
        <f t="shared" si="439"/>
        <v>57.835153922542204</v>
      </c>
      <c r="L1910" s="101">
        <f t="shared" si="440"/>
        <v>1.574054054054054</v>
      </c>
      <c r="M1910" s="133">
        <f t="shared" si="441"/>
        <v>452.15999999999997</v>
      </c>
      <c r="N1910" s="133">
        <f t="shared" si="442"/>
        <v>6276.16</v>
      </c>
      <c r="O1910" s="134">
        <f t="shared" si="443"/>
        <v>62.325322740814293</v>
      </c>
      <c r="P1910" s="134">
        <f t="shared" si="444"/>
        <v>1.6962594594594593</v>
      </c>
      <c r="R1910" s="149">
        <f t="shared" si="445"/>
        <v>0.40185313163889624</v>
      </c>
    </row>
    <row r="1911" spans="1:18" ht="15" x14ac:dyDescent="0.25">
      <c r="A1911" s="82" t="s">
        <v>1</v>
      </c>
      <c r="B1911" s="82" t="s">
        <v>10</v>
      </c>
      <c r="C1911" s="82" t="s">
        <v>9</v>
      </c>
      <c r="D1911" s="82" t="s">
        <v>90</v>
      </c>
      <c r="E1911" s="87">
        <f t="shared" si="447"/>
        <v>41852</v>
      </c>
      <c r="F1911" s="83"/>
      <c r="G1911" s="92">
        <v>4293</v>
      </c>
      <c r="H1911" s="52">
        <v>975</v>
      </c>
      <c r="I1911" s="52" t="s">
        <v>92</v>
      </c>
      <c r="J1911" s="157">
        <f t="shared" si="446"/>
        <v>0.37</v>
      </c>
      <c r="K1911" s="101">
        <f t="shared" si="439"/>
        <v>42.631578947368418</v>
      </c>
      <c r="L1911" s="101">
        <f t="shared" si="440"/>
        <v>1.1602702702702703</v>
      </c>
      <c r="M1911" s="133">
        <f t="shared" si="441"/>
        <v>360.75</v>
      </c>
      <c r="N1911" s="133">
        <f t="shared" si="442"/>
        <v>4653.75</v>
      </c>
      <c r="O1911" s="134">
        <f t="shared" si="443"/>
        <v>46.214001986097315</v>
      </c>
      <c r="P1911" s="134">
        <f t="shared" si="444"/>
        <v>1.2577702702702702</v>
      </c>
      <c r="R1911" s="149">
        <f t="shared" si="445"/>
        <v>5.3540098477559583</v>
      </c>
    </row>
    <row r="1912" spans="1:18" ht="15" x14ac:dyDescent="0.25">
      <c r="A1912" s="82" t="s">
        <v>1</v>
      </c>
      <c r="B1912" s="82" t="s">
        <v>11</v>
      </c>
      <c r="C1912" s="82" t="s">
        <v>6</v>
      </c>
      <c r="D1912" s="82" t="s">
        <v>90</v>
      </c>
      <c r="E1912" s="87">
        <f t="shared" si="447"/>
        <v>41852</v>
      </c>
      <c r="F1912" s="83"/>
      <c r="G1912" s="92">
        <v>4492</v>
      </c>
      <c r="H1912" s="52">
        <v>1357</v>
      </c>
      <c r="I1912" s="52" t="s">
        <v>92</v>
      </c>
      <c r="J1912" s="157">
        <f t="shared" si="446"/>
        <v>0.37</v>
      </c>
      <c r="K1912" s="101">
        <f t="shared" si="439"/>
        <v>44.607745779543194</v>
      </c>
      <c r="L1912" s="101">
        <f t="shared" si="440"/>
        <v>1.2140540540540541</v>
      </c>
      <c r="M1912" s="133">
        <f t="shared" si="441"/>
        <v>502.09</v>
      </c>
      <c r="N1912" s="133">
        <f t="shared" si="442"/>
        <v>4994.09</v>
      </c>
      <c r="O1912" s="134">
        <f t="shared" si="443"/>
        <v>49.593743793445881</v>
      </c>
      <c r="P1912" s="134">
        <f t="shared" si="444"/>
        <v>1.349754054054054</v>
      </c>
      <c r="R1912" s="149">
        <f t="shared" si="445"/>
        <v>5.1398435773008178</v>
      </c>
    </row>
    <row r="1913" spans="1:18" ht="15" x14ac:dyDescent="0.25">
      <c r="A1913" s="82" t="s">
        <v>134</v>
      </c>
      <c r="B1913" s="82" t="s">
        <v>13</v>
      </c>
      <c r="C1913" s="82" t="s">
        <v>7</v>
      </c>
      <c r="D1913" s="82" t="s">
        <v>90</v>
      </c>
      <c r="E1913" s="87">
        <f t="shared" si="447"/>
        <v>41852</v>
      </c>
      <c r="F1913" s="83"/>
      <c r="G1913" s="92">
        <v>3192</v>
      </c>
      <c r="H1913" s="52">
        <v>1006</v>
      </c>
      <c r="I1913" s="52" t="s">
        <v>92</v>
      </c>
      <c r="J1913" s="157">
        <f t="shared" si="446"/>
        <v>0.37</v>
      </c>
      <c r="K1913" s="101">
        <f t="shared" si="439"/>
        <v>31.69811320754717</v>
      </c>
      <c r="L1913" s="101">
        <f t="shared" si="440"/>
        <v>0.80518918918918925</v>
      </c>
      <c r="M1913" s="133">
        <f t="shared" si="441"/>
        <v>372.21999999999997</v>
      </c>
      <c r="N1913" s="133">
        <f t="shared" si="442"/>
        <v>3564.22</v>
      </c>
      <c r="O1913" s="134">
        <f t="shared" si="443"/>
        <v>35.394438927507444</v>
      </c>
      <c r="P1913" s="134">
        <f t="shared" si="444"/>
        <v>0.89908252252252252</v>
      </c>
      <c r="R1913" s="149">
        <f t="shared" si="445"/>
        <v>2.949654833771409</v>
      </c>
    </row>
    <row r="1914" spans="1:18" ht="15" x14ac:dyDescent="0.25">
      <c r="A1914" s="82" t="s">
        <v>134</v>
      </c>
      <c r="B1914" s="82" t="s">
        <v>14</v>
      </c>
      <c r="C1914" s="82" t="s">
        <v>15</v>
      </c>
      <c r="D1914" s="82" t="s">
        <v>90</v>
      </c>
      <c r="E1914" s="87">
        <f t="shared" si="447"/>
        <v>41852</v>
      </c>
      <c r="F1914" s="83"/>
      <c r="G1914" s="92">
        <v>4686</v>
      </c>
      <c r="H1914" s="52">
        <v>866</v>
      </c>
      <c r="I1914" s="52" t="s">
        <v>94</v>
      </c>
      <c r="J1914" s="157">
        <f t="shared" si="446"/>
        <v>0.48</v>
      </c>
      <c r="K1914" s="101">
        <f t="shared" si="439"/>
        <v>46.53426017874876</v>
      </c>
      <c r="L1914" s="101">
        <f t="shared" si="440"/>
        <v>1.1820540540540541</v>
      </c>
      <c r="M1914" s="133">
        <f t="shared" si="441"/>
        <v>415.68</v>
      </c>
      <c r="N1914" s="133">
        <f t="shared" si="442"/>
        <v>5101.68</v>
      </c>
      <c r="O1914" s="134">
        <f t="shared" si="443"/>
        <v>50.662164846077459</v>
      </c>
      <c r="P1914" s="134">
        <f t="shared" si="444"/>
        <v>1.2869102702702704</v>
      </c>
      <c r="R1914" s="149">
        <f t="shared" si="445"/>
        <v>3.7977464995055943</v>
      </c>
    </row>
    <row r="1915" spans="1:18" ht="15" x14ac:dyDescent="0.25">
      <c r="A1915" s="82" t="s">
        <v>134</v>
      </c>
      <c r="B1915" s="82" t="s">
        <v>16</v>
      </c>
      <c r="C1915" s="82" t="s">
        <v>17</v>
      </c>
      <c r="D1915" s="82" t="s">
        <v>90</v>
      </c>
      <c r="E1915" s="87">
        <f t="shared" si="447"/>
        <v>41852</v>
      </c>
      <c r="F1915" s="83"/>
      <c r="G1915" s="92">
        <v>2078</v>
      </c>
      <c r="H1915" s="52">
        <v>213</v>
      </c>
      <c r="I1915" s="52" t="s">
        <v>92</v>
      </c>
      <c r="J1915" s="157">
        <f t="shared" si="446"/>
        <v>0.37</v>
      </c>
      <c r="K1915" s="101">
        <f t="shared" si="439"/>
        <v>20.635551142005959</v>
      </c>
      <c r="L1915" s="101">
        <f t="shared" si="440"/>
        <v>0.5241801801801802</v>
      </c>
      <c r="M1915" s="133">
        <f t="shared" si="441"/>
        <v>78.81</v>
      </c>
      <c r="N1915" s="133">
        <f t="shared" si="442"/>
        <v>2156.81</v>
      </c>
      <c r="O1915" s="134">
        <f t="shared" si="443"/>
        <v>21.418172790466731</v>
      </c>
      <c r="P1915" s="134">
        <f t="shared" si="444"/>
        <v>0.54406018018018021</v>
      </c>
      <c r="R1915" s="149">
        <f t="shared" si="445"/>
        <v>3.6653769435966321</v>
      </c>
    </row>
    <row r="1916" spans="1:18" ht="15" x14ac:dyDescent="0.25">
      <c r="A1916" s="82" t="s">
        <v>134</v>
      </c>
      <c r="B1916" s="82" t="s">
        <v>18</v>
      </c>
      <c r="C1916" s="82" t="s">
        <v>19</v>
      </c>
      <c r="D1916" s="82" t="s">
        <v>90</v>
      </c>
      <c r="E1916" s="87">
        <f t="shared" si="447"/>
        <v>41852</v>
      </c>
      <c r="F1916" s="83"/>
      <c r="G1916" s="92">
        <v>4061</v>
      </c>
      <c r="H1916" s="52">
        <v>650</v>
      </c>
      <c r="I1916" s="52" t="s">
        <v>94</v>
      </c>
      <c r="J1916" s="157">
        <f t="shared" si="446"/>
        <v>0.48</v>
      </c>
      <c r="K1916" s="101">
        <f t="shared" si="439"/>
        <v>40.327706057596821</v>
      </c>
      <c r="L1916" s="101">
        <f t="shared" si="440"/>
        <v>1.0243963963963965</v>
      </c>
      <c r="M1916" s="133">
        <f t="shared" si="441"/>
        <v>312</v>
      </c>
      <c r="N1916" s="133">
        <f t="shared" si="442"/>
        <v>4373</v>
      </c>
      <c r="O1916" s="134">
        <f t="shared" si="443"/>
        <v>43.426017874875868</v>
      </c>
      <c r="P1916" s="134">
        <f t="shared" si="444"/>
        <v>1.1030990990990992</v>
      </c>
      <c r="R1916" s="149">
        <f t="shared" si="445"/>
        <v>3.4907111584427941</v>
      </c>
    </row>
    <row r="1917" spans="1:18" ht="15" x14ac:dyDescent="0.25">
      <c r="A1917" s="82" t="s">
        <v>134</v>
      </c>
      <c r="B1917" s="82" t="s">
        <v>18</v>
      </c>
      <c r="C1917" s="82" t="s">
        <v>20</v>
      </c>
      <c r="D1917" s="82" t="s">
        <v>90</v>
      </c>
      <c r="E1917" s="87">
        <f t="shared" si="447"/>
        <v>41852</v>
      </c>
      <c r="F1917" s="83"/>
      <c r="G1917" s="92">
        <v>3469</v>
      </c>
      <c r="H1917" s="52">
        <v>417</v>
      </c>
      <c r="I1917" s="52" t="s">
        <v>94</v>
      </c>
      <c r="J1917" s="157">
        <f t="shared" si="446"/>
        <v>0.48</v>
      </c>
      <c r="K1917" s="101">
        <f t="shared" si="439"/>
        <v>34.44885799404171</v>
      </c>
      <c r="L1917" s="101">
        <f t="shared" si="440"/>
        <v>0.87506306306306303</v>
      </c>
      <c r="M1917" s="133">
        <f t="shared" si="441"/>
        <v>200.16</v>
      </c>
      <c r="N1917" s="133">
        <f t="shared" si="442"/>
        <v>3669.16</v>
      </c>
      <c r="O1917" s="134">
        <f t="shared" si="443"/>
        <v>36.436544190665337</v>
      </c>
      <c r="P1917" s="134">
        <f t="shared" si="444"/>
        <v>0.92555387387387389</v>
      </c>
      <c r="R1917" s="149">
        <f t="shared" si="445"/>
        <v>3.3569108645376433</v>
      </c>
    </row>
    <row r="1918" spans="1:18" ht="15" x14ac:dyDescent="0.25">
      <c r="A1918" s="82" t="s">
        <v>134</v>
      </c>
      <c r="B1918" s="82" t="s">
        <v>16</v>
      </c>
      <c r="C1918" s="82" t="s">
        <v>21</v>
      </c>
      <c r="D1918" s="82" t="s">
        <v>90</v>
      </c>
      <c r="E1918" s="87">
        <f t="shared" si="447"/>
        <v>41852</v>
      </c>
      <c r="F1918" s="83"/>
      <c r="G1918" s="92">
        <v>3218</v>
      </c>
      <c r="H1918" s="52">
        <v>626</v>
      </c>
      <c r="I1918" s="52" t="s">
        <v>92</v>
      </c>
      <c r="J1918" s="157">
        <f t="shared" si="446"/>
        <v>0.37</v>
      </c>
      <c r="K1918" s="101">
        <f t="shared" si="439"/>
        <v>31.95630585898709</v>
      </c>
      <c r="L1918" s="101">
        <f t="shared" si="440"/>
        <v>0.81174774774774772</v>
      </c>
      <c r="M1918" s="133">
        <f t="shared" si="441"/>
        <v>231.62</v>
      </c>
      <c r="N1918" s="133">
        <f t="shared" si="442"/>
        <v>3449.62</v>
      </c>
      <c r="O1918" s="134">
        <f t="shared" si="443"/>
        <v>34.256405163853024</v>
      </c>
      <c r="P1918" s="134">
        <f t="shared" si="444"/>
        <v>0.87017441441441445</v>
      </c>
      <c r="R1918" s="149">
        <f t="shared" si="445"/>
        <v>2.5116638435707772</v>
      </c>
    </row>
    <row r="1919" spans="1:18" ht="15" x14ac:dyDescent="0.25">
      <c r="A1919" s="82" t="s">
        <v>134</v>
      </c>
      <c r="B1919" s="82" t="s">
        <v>16</v>
      </c>
      <c r="C1919" s="82" t="s">
        <v>6</v>
      </c>
      <c r="D1919" s="82" t="s">
        <v>90</v>
      </c>
      <c r="E1919" s="87">
        <f t="shared" si="447"/>
        <v>41852</v>
      </c>
      <c r="F1919" s="83"/>
      <c r="G1919" s="92">
        <v>5215</v>
      </c>
      <c r="H1919" s="52">
        <v>1823</v>
      </c>
      <c r="I1919" s="52" t="s">
        <v>92</v>
      </c>
      <c r="J1919" s="157">
        <f t="shared" si="446"/>
        <v>0.37</v>
      </c>
      <c r="K1919" s="101">
        <f t="shared" si="439"/>
        <v>51.787487586891757</v>
      </c>
      <c r="L1919" s="101">
        <f t="shared" si="440"/>
        <v>1.3154954954954956</v>
      </c>
      <c r="M1919" s="133">
        <f t="shared" si="441"/>
        <v>674.51</v>
      </c>
      <c r="N1919" s="133">
        <f t="shared" si="442"/>
        <v>5889.51</v>
      </c>
      <c r="O1919" s="134">
        <f t="shared" si="443"/>
        <v>58.485700099304864</v>
      </c>
      <c r="P1919" s="134">
        <f t="shared" si="444"/>
        <v>1.4856421621621623</v>
      </c>
      <c r="R1919" s="149">
        <f t="shared" si="445"/>
        <v>3.2694786123214747</v>
      </c>
    </row>
    <row r="1920" spans="1:18" ht="15" x14ac:dyDescent="0.25">
      <c r="A1920" s="82" t="s">
        <v>22</v>
      </c>
      <c r="B1920" s="82" t="s">
        <v>23</v>
      </c>
      <c r="C1920" s="82" t="s">
        <v>7</v>
      </c>
      <c r="D1920" s="82" t="s">
        <v>90</v>
      </c>
      <c r="E1920" s="87">
        <f t="shared" si="447"/>
        <v>41852</v>
      </c>
      <c r="F1920" s="83"/>
      <c r="G1920" s="92">
        <v>3514</v>
      </c>
      <c r="H1920" s="52">
        <v>1295</v>
      </c>
      <c r="I1920" s="52" t="s">
        <v>95</v>
      </c>
      <c r="J1920" s="157">
        <f t="shared" si="446"/>
        <v>0.3105</v>
      </c>
      <c r="K1920" s="101">
        <f t="shared" si="439"/>
        <v>34.895729890764649</v>
      </c>
      <c r="L1920" s="101">
        <f t="shared" si="440"/>
        <v>0.94972972972972969</v>
      </c>
      <c r="M1920" s="133">
        <f t="shared" si="441"/>
        <v>402.09750000000003</v>
      </c>
      <c r="N1920" s="133">
        <f t="shared" si="442"/>
        <v>3916.0974999999999</v>
      </c>
      <c r="O1920" s="134">
        <f t="shared" si="443"/>
        <v>38.888753723932467</v>
      </c>
      <c r="P1920" s="134">
        <f t="shared" si="444"/>
        <v>1.0584047297297297</v>
      </c>
      <c r="R1920" s="149">
        <f t="shared" si="445"/>
        <v>3.4306779479716498</v>
      </c>
    </row>
    <row r="1921" spans="1:18" ht="15" x14ac:dyDescent="0.25">
      <c r="A1921" s="82" t="s">
        <v>22</v>
      </c>
      <c r="B1921" s="82" t="s">
        <v>14</v>
      </c>
      <c r="C1921" s="82" t="s">
        <v>24</v>
      </c>
      <c r="D1921" s="82" t="s">
        <v>90</v>
      </c>
      <c r="E1921" s="87">
        <f t="shared" si="447"/>
        <v>41852</v>
      </c>
      <c r="F1921" s="83"/>
      <c r="G1921" s="92">
        <v>3687</v>
      </c>
      <c r="H1921" s="52">
        <v>615</v>
      </c>
      <c r="I1921" s="52" t="s">
        <v>94</v>
      </c>
      <c r="J1921" s="157">
        <f t="shared" si="446"/>
        <v>0.48</v>
      </c>
      <c r="K1921" s="101">
        <f t="shared" si="439"/>
        <v>36.613704071499505</v>
      </c>
      <c r="L1921" s="101">
        <f t="shared" si="440"/>
        <v>0.99648648648648652</v>
      </c>
      <c r="M1921" s="133">
        <f t="shared" si="441"/>
        <v>295.2</v>
      </c>
      <c r="N1921" s="133">
        <f t="shared" si="442"/>
        <v>3982.2</v>
      </c>
      <c r="O1921" s="134">
        <f t="shared" si="443"/>
        <v>39.545183714001986</v>
      </c>
      <c r="P1921" s="134">
        <f t="shared" si="444"/>
        <v>1.0762702702702702</v>
      </c>
      <c r="R1921" s="149">
        <f t="shared" si="445"/>
        <v>3.0576726491634343</v>
      </c>
    </row>
    <row r="1922" spans="1:18" ht="15" x14ac:dyDescent="0.25">
      <c r="A1922" s="82" t="s">
        <v>22</v>
      </c>
      <c r="B1922" s="82" t="s">
        <v>18</v>
      </c>
      <c r="C1922" s="82" t="s">
        <v>15</v>
      </c>
      <c r="D1922" s="82" t="s">
        <v>90</v>
      </c>
      <c r="E1922" s="87">
        <f t="shared" si="447"/>
        <v>41852</v>
      </c>
      <c r="F1922" s="83"/>
      <c r="G1922" s="92">
        <v>4756</v>
      </c>
      <c r="H1922" s="52">
        <v>872</v>
      </c>
      <c r="I1922" s="52" t="s">
        <v>94</v>
      </c>
      <c r="J1922" s="157">
        <f t="shared" si="446"/>
        <v>0.48</v>
      </c>
      <c r="K1922" s="101">
        <f t="shared" si="439"/>
        <v>47.229394240317774</v>
      </c>
      <c r="L1922" s="101">
        <f t="shared" si="440"/>
        <v>1.2854054054054054</v>
      </c>
      <c r="M1922" s="133">
        <f t="shared" si="441"/>
        <v>418.56</v>
      </c>
      <c r="N1922" s="133">
        <f t="shared" si="442"/>
        <v>5174.5600000000004</v>
      </c>
      <c r="O1922" s="134">
        <f t="shared" si="443"/>
        <v>51.385898709036745</v>
      </c>
      <c r="P1922" s="134">
        <f t="shared" si="444"/>
        <v>1.3985297297297299</v>
      </c>
      <c r="R1922" s="149">
        <f t="shared" si="445"/>
        <v>3.7435042022198051</v>
      </c>
    </row>
    <row r="1923" spans="1:18" ht="15" x14ac:dyDescent="0.25">
      <c r="A1923" s="82" t="s">
        <v>22</v>
      </c>
      <c r="B1923" s="82" t="s">
        <v>18</v>
      </c>
      <c r="C1923" s="82" t="s">
        <v>24</v>
      </c>
      <c r="D1923" s="82" t="s">
        <v>90</v>
      </c>
      <c r="E1923" s="87">
        <f t="shared" si="447"/>
        <v>41852</v>
      </c>
      <c r="F1923" s="83"/>
      <c r="G1923" s="92">
        <v>3379</v>
      </c>
      <c r="H1923" s="52">
        <v>417</v>
      </c>
      <c r="I1923" s="52" t="s">
        <v>94</v>
      </c>
      <c r="J1923" s="157">
        <f t="shared" si="446"/>
        <v>0.48</v>
      </c>
      <c r="K1923" s="101">
        <f t="shared" si="439"/>
        <v>33.555114200595831</v>
      </c>
      <c r="L1923" s="101">
        <f t="shared" si="440"/>
        <v>0.91324324324324324</v>
      </c>
      <c r="M1923" s="133">
        <f t="shared" si="441"/>
        <v>200.16</v>
      </c>
      <c r="N1923" s="133">
        <f t="shared" si="442"/>
        <v>3579.16</v>
      </c>
      <c r="O1923" s="134">
        <f t="shared" si="443"/>
        <v>35.542800397219459</v>
      </c>
      <c r="P1923" s="134">
        <f t="shared" si="444"/>
        <v>0.96734054054054053</v>
      </c>
      <c r="R1923" s="149">
        <f t="shared" si="445"/>
        <v>3.3546155201141126</v>
      </c>
    </row>
    <row r="1924" spans="1:18" ht="15" x14ac:dyDescent="0.25">
      <c r="A1924" s="82" t="s">
        <v>22</v>
      </c>
      <c r="B1924" s="82" t="s">
        <v>13</v>
      </c>
      <c r="C1924" s="82" t="s">
        <v>7</v>
      </c>
      <c r="D1924" s="82" t="s">
        <v>90</v>
      </c>
      <c r="E1924" s="87">
        <f t="shared" si="447"/>
        <v>41852</v>
      </c>
      <c r="F1924" s="83"/>
      <c r="G1924" s="92">
        <v>3748</v>
      </c>
      <c r="H1924" s="52">
        <v>1006</v>
      </c>
      <c r="I1924" s="52" t="s">
        <v>92</v>
      </c>
      <c r="J1924" s="157">
        <f t="shared" si="446"/>
        <v>0.37</v>
      </c>
      <c r="K1924" s="101">
        <f t="shared" si="439"/>
        <v>37.219463753723929</v>
      </c>
      <c r="L1924" s="101">
        <f t="shared" si="440"/>
        <v>1.0129729729729731</v>
      </c>
      <c r="M1924" s="133">
        <f t="shared" si="441"/>
        <v>372.21999999999997</v>
      </c>
      <c r="N1924" s="133">
        <f t="shared" si="442"/>
        <v>4120.22</v>
      </c>
      <c r="O1924" s="134">
        <f t="shared" si="443"/>
        <v>40.915789473684214</v>
      </c>
      <c r="P1924" s="134">
        <f t="shared" si="444"/>
        <v>1.1135729729729731</v>
      </c>
      <c r="R1924" s="149">
        <f t="shared" si="445"/>
        <v>4.280326997544992</v>
      </c>
    </row>
    <row r="1925" spans="1:18" ht="15" x14ac:dyDescent="0.25">
      <c r="A1925" s="82" t="s">
        <v>1</v>
      </c>
      <c r="B1925" s="82" t="s">
        <v>25</v>
      </c>
      <c r="C1925" s="82" t="s">
        <v>26</v>
      </c>
      <c r="D1925" s="82" t="s">
        <v>91</v>
      </c>
      <c r="E1925" s="87">
        <f t="shared" si="447"/>
        <v>41852</v>
      </c>
      <c r="F1925" s="83"/>
      <c r="G1925" s="92">
        <v>3678</v>
      </c>
      <c r="H1925" s="52">
        <v>880</v>
      </c>
      <c r="I1925" s="52" t="s">
        <v>93</v>
      </c>
      <c r="J1925" s="157">
        <f t="shared" si="446"/>
        <v>0.36</v>
      </c>
      <c r="K1925" s="101">
        <f t="shared" si="439"/>
        <v>36.524329692154915</v>
      </c>
      <c r="L1925" s="101">
        <f t="shared" si="440"/>
        <v>0.994054054054054</v>
      </c>
      <c r="M1925" s="133">
        <f t="shared" si="441"/>
        <v>316.8</v>
      </c>
      <c r="N1925" s="133">
        <f t="shared" si="442"/>
        <v>3994.8</v>
      </c>
      <c r="O1925" s="134">
        <f t="shared" si="443"/>
        <v>39.670307845084409</v>
      </c>
      <c r="P1925" s="134">
        <f t="shared" si="444"/>
        <v>1.0796756756756758</v>
      </c>
      <c r="R1925" s="149">
        <f t="shared" si="445"/>
        <v>0.44252237755204593</v>
      </c>
    </row>
    <row r="1926" spans="1:18" ht="15" x14ac:dyDescent="0.25">
      <c r="A1926" s="82" t="s">
        <v>1</v>
      </c>
      <c r="B1926" s="82" t="s">
        <v>2</v>
      </c>
      <c r="C1926" s="82" t="s">
        <v>9</v>
      </c>
      <c r="D1926" s="82" t="s">
        <v>91</v>
      </c>
      <c r="E1926" s="87">
        <f t="shared" si="447"/>
        <v>41852</v>
      </c>
      <c r="F1926" s="83"/>
      <c r="G1926" s="92">
        <v>3471</v>
      </c>
      <c r="H1926" s="52">
        <v>685</v>
      </c>
      <c r="I1926" s="52" t="s">
        <v>93</v>
      </c>
      <c r="J1926" s="157">
        <f t="shared" si="446"/>
        <v>0.36</v>
      </c>
      <c r="K1926" s="101">
        <f t="shared" si="439"/>
        <v>34.468718967229393</v>
      </c>
      <c r="L1926" s="101">
        <f t="shared" si="440"/>
        <v>0.93810810810810807</v>
      </c>
      <c r="M1926" s="133">
        <f t="shared" si="441"/>
        <v>246.6</v>
      </c>
      <c r="N1926" s="133">
        <f t="shared" si="442"/>
        <v>3717.6</v>
      </c>
      <c r="O1926" s="134">
        <f t="shared" si="443"/>
        <v>36.917576961271102</v>
      </c>
      <c r="P1926" s="134">
        <f t="shared" si="444"/>
        <v>1.0047567567567568</v>
      </c>
      <c r="R1926" s="149">
        <f t="shared" si="445"/>
        <v>-7.7724577637748427</v>
      </c>
    </row>
    <row r="1927" spans="1:18" ht="15" x14ac:dyDescent="0.25">
      <c r="A1927" s="82" t="s">
        <v>1</v>
      </c>
      <c r="B1927" s="82" t="s">
        <v>27</v>
      </c>
      <c r="C1927" s="82" t="s">
        <v>28</v>
      </c>
      <c r="D1927" s="82" t="s">
        <v>91</v>
      </c>
      <c r="E1927" s="87">
        <f t="shared" si="447"/>
        <v>41852</v>
      </c>
      <c r="F1927" s="83"/>
      <c r="G1927" s="92">
        <v>3950</v>
      </c>
      <c r="H1927" s="52">
        <v>812</v>
      </c>
      <c r="I1927" s="52" t="s">
        <v>94</v>
      </c>
      <c r="J1927" s="157">
        <f t="shared" si="446"/>
        <v>0.48</v>
      </c>
      <c r="K1927" s="101">
        <f t="shared" si="439"/>
        <v>39.22542204568024</v>
      </c>
      <c r="L1927" s="101">
        <f t="shared" si="440"/>
        <v>1.0675675675675675</v>
      </c>
      <c r="M1927" s="133">
        <f t="shared" si="441"/>
        <v>389.76</v>
      </c>
      <c r="N1927" s="133">
        <f t="shared" si="442"/>
        <v>4339.76</v>
      </c>
      <c r="O1927" s="134">
        <f t="shared" si="443"/>
        <v>43.095928500496527</v>
      </c>
      <c r="P1927" s="134">
        <f t="shared" si="444"/>
        <v>1.1729081081081081</v>
      </c>
      <c r="R1927" s="149">
        <f t="shared" si="445"/>
        <v>4.506049163905379</v>
      </c>
    </row>
    <row r="1928" spans="1:18" ht="15" x14ac:dyDescent="0.25">
      <c r="A1928" s="82" t="s">
        <v>1</v>
      </c>
      <c r="B1928" s="82" t="s">
        <v>4</v>
      </c>
      <c r="C1928" s="82" t="s">
        <v>26</v>
      </c>
      <c r="D1928" s="82" t="s">
        <v>91</v>
      </c>
      <c r="E1928" s="87">
        <f t="shared" si="447"/>
        <v>41852</v>
      </c>
      <c r="F1928" s="83"/>
      <c r="G1928" s="92">
        <v>5159</v>
      </c>
      <c r="H1928" s="52">
        <v>1520</v>
      </c>
      <c r="I1928" s="52" t="s">
        <v>93</v>
      </c>
      <c r="J1928" s="157">
        <f t="shared" si="446"/>
        <v>0.36</v>
      </c>
      <c r="K1928" s="101">
        <f t="shared" si="439"/>
        <v>51.231380337636544</v>
      </c>
      <c r="L1928" s="101">
        <f t="shared" si="440"/>
        <v>1.3943243243243244</v>
      </c>
      <c r="M1928" s="133">
        <f t="shared" si="441"/>
        <v>547.19999999999993</v>
      </c>
      <c r="N1928" s="133">
        <f t="shared" si="442"/>
        <v>5706.2</v>
      </c>
      <c r="O1928" s="134">
        <f t="shared" si="443"/>
        <v>56.665342601787486</v>
      </c>
      <c r="P1928" s="134">
        <f t="shared" si="444"/>
        <v>1.5422162162162161</v>
      </c>
      <c r="R1928" s="149">
        <f t="shared" si="445"/>
        <v>0.53560731526831606</v>
      </c>
    </row>
    <row r="1929" spans="1:18" ht="15" x14ac:dyDescent="0.25">
      <c r="A1929" s="82" t="s">
        <v>1</v>
      </c>
      <c r="B1929" s="82" t="s">
        <v>4</v>
      </c>
      <c r="C1929" s="82" t="s">
        <v>9</v>
      </c>
      <c r="D1929" s="82" t="s">
        <v>91</v>
      </c>
      <c r="E1929" s="87">
        <f t="shared" si="447"/>
        <v>41852</v>
      </c>
      <c r="F1929" s="83"/>
      <c r="G1929" s="92">
        <v>6084</v>
      </c>
      <c r="H1929" s="52">
        <v>1583</v>
      </c>
      <c r="I1929" s="52" t="s">
        <v>93</v>
      </c>
      <c r="J1929" s="157">
        <f t="shared" si="446"/>
        <v>0.36</v>
      </c>
      <c r="K1929" s="101">
        <f t="shared" si="439"/>
        <v>60.417080436941411</v>
      </c>
      <c r="L1929" s="101">
        <f t="shared" si="440"/>
        <v>1.6443243243243244</v>
      </c>
      <c r="M1929" s="133">
        <f t="shared" si="441"/>
        <v>569.88</v>
      </c>
      <c r="N1929" s="133">
        <f t="shared" si="442"/>
        <v>6653.88</v>
      </c>
      <c r="O1929" s="134">
        <f t="shared" si="443"/>
        <v>66.076266137040719</v>
      </c>
      <c r="P1929" s="134">
        <f t="shared" si="444"/>
        <v>1.7983459459459459</v>
      </c>
      <c r="R1929" s="149">
        <f t="shared" si="445"/>
        <v>-0.97243430040987455</v>
      </c>
    </row>
    <row r="1930" spans="1:18" ht="15" x14ac:dyDescent="0.25">
      <c r="A1930" s="82" t="s">
        <v>1</v>
      </c>
      <c r="B1930" s="82" t="s">
        <v>10</v>
      </c>
      <c r="C1930" s="82" t="s">
        <v>26</v>
      </c>
      <c r="D1930" s="82" t="s">
        <v>91</v>
      </c>
      <c r="E1930" s="87">
        <f t="shared" si="447"/>
        <v>41852</v>
      </c>
      <c r="F1930" s="83"/>
      <c r="G1930" s="92">
        <v>5260</v>
      </c>
      <c r="H1930" s="52">
        <v>1599</v>
      </c>
      <c r="I1930" s="52" t="s">
        <v>92</v>
      </c>
      <c r="J1930" s="157">
        <f t="shared" si="446"/>
        <v>0.37</v>
      </c>
      <c r="K1930" s="101">
        <f t="shared" si="439"/>
        <v>52.234359483614696</v>
      </c>
      <c r="L1930" s="101">
        <f t="shared" si="440"/>
        <v>1.4216216216216215</v>
      </c>
      <c r="M1930" s="133">
        <f t="shared" si="441"/>
        <v>591.63</v>
      </c>
      <c r="N1930" s="133">
        <f t="shared" si="442"/>
        <v>5851.63</v>
      </c>
      <c r="O1930" s="134">
        <f t="shared" si="443"/>
        <v>58.109533267130089</v>
      </c>
      <c r="P1930" s="134">
        <f t="shared" si="444"/>
        <v>1.5815216216216217</v>
      </c>
      <c r="R1930" s="149">
        <f t="shared" si="445"/>
        <v>4.4439684792018097</v>
      </c>
    </row>
    <row r="1931" spans="1:18" ht="15" x14ac:dyDescent="0.25">
      <c r="A1931" s="82" t="s">
        <v>134</v>
      </c>
      <c r="B1931" s="82" t="s">
        <v>23</v>
      </c>
      <c r="C1931" s="82" t="s">
        <v>26</v>
      </c>
      <c r="D1931" s="82" t="s">
        <v>91</v>
      </c>
      <c r="E1931" s="87">
        <f t="shared" si="447"/>
        <v>41852</v>
      </c>
      <c r="F1931" s="83"/>
      <c r="G1931" s="92">
        <v>5000</v>
      </c>
      <c r="H1931" s="52">
        <v>1851</v>
      </c>
      <c r="I1931" s="52" t="s">
        <v>93</v>
      </c>
      <c r="J1931" s="157">
        <f t="shared" si="446"/>
        <v>0.36</v>
      </c>
      <c r="K1931" s="101">
        <f t="shared" si="439"/>
        <v>49.652432969215489</v>
      </c>
      <c r="L1931" s="101">
        <f t="shared" si="440"/>
        <v>1.2612612612612613</v>
      </c>
      <c r="M1931" s="133">
        <f t="shared" si="441"/>
        <v>666.36</v>
      </c>
      <c r="N1931" s="133">
        <f t="shared" si="442"/>
        <v>5666.36</v>
      </c>
      <c r="O1931" s="134">
        <f t="shared" si="443"/>
        <v>56.269712015888771</v>
      </c>
      <c r="P1931" s="134">
        <f t="shared" si="444"/>
        <v>1.429352072072072</v>
      </c>
      <c r="R1931" s="149">
        <f t="shared" si="445"/>
        <v>4.365539826203535</v>
      </c>
    </row>
    <row r="1932" spans="1:18" ht="15" x14ac:dyDescent="0.25">
      <c r="A1932" s="82" t="s">
        <v>134</v>
      </c>
      <c r="B1932" s="82" t="s">
        <v>8</v>
      </c>
      <c r="C1932" s="82" t="s">
        <v>29</v>
      </c>
      <c r="D1932" s="82" t="s">
        <v>91</v>
      </c>
      <c r="E1932" s="87">
        <f t="shared" si="447"/>
        <v>41852</v>
      </c>
      <c r="F1932" s="83"/>
      <c r="G1932" s="92">
        <v>4960</v>
      </c>
      <c r="H1932" s="52">
        <v>1695</v>
      </c>
      <c r="I1932" s="52" t="s">
        <v>93</v>
      </c>
      <c r="J1932" s="157">
        <f t="shared" si="446"/>
        <v>0.36</v>
      </c>
      <c r="K1932" s="101">
        <f t="shared" si="439"/>
        <v>49.255213505461768</v>
      </c>
      <c r="L1932" s="101">
        <f t="shared" si="440"/>
        <v>1.2511711711711713</v>
      </c>
      <c r="M1932" s="133">
        <f t="shared" si="441"/>
        <v>610.19999999999993</v>
      </c>
      <c r="N1932" s="133">
        <f t="shared" si="442"/>
        <v>5570.2</v>
      </c>
      <c r="O1932" s="134">
        <f t="shared" si="443"/>
        <v>55.314796425024824</v>
      </c>
      <c r="P1932" s="134">
        <f t="shared" si="444"/>
        <v>1.4050954954954955</v>
      </c>
      <c r="R1932" s="149">
        <f t="shared" si="445"/>
        <v>4.3831868523134032</v>
      </c>
    </row>
    <row r="1933" spans="1:18" ht="15" x14ac:dyDescent="0.25">
      <c r="A1933" s="82" t="s">
        <v>134</v>
      </c>
      <c r="B1933" s="82" t="s">
        <v>13</v>
      </c>
      <c r="C1933" s="82" t="s">
        <v>7</v>
      </c>
      <c r="D1933" s="82" t="s">
        <v>91</v>
      </c>
      <c r="E1933" s="87">
        <f t="shared" si="447"/>
        <v>41852</v>
      </c>
      <c r="F1933" s="83"/>
      <c r="G1933" s="92">
        <v>3011</v>
      </c>
      <c r="H1933" s="52">
        <v>1006</v>
      </c>
      <c r="I1933" s="52" t="s">
        <v>92</v>
      </c>
      <c r="J1933" s="157">
        <f t="shared" si="446"/>
        <v>0.37</v>
      </c>
      <c r="K1933" s="101">
        <f t="shared" si="439"/>
        <v>29.900695134061568</v>
      </c>
      <c r="L1933" s="101">
        <f t="shared" si="440"/>
        <v>0.75953153153153152</v>
      </c>
      <c r="M1933" s="133">
        <f t="shared" si="441"/>
        <v>372.21999999999997</v>
      </c>
      <c r="N1933" s="133">
        <f t="shared" si="442"/>
        <v>3383.22</v>
      </c>
      <c r="O1933" s="134">
        <f t="shared" si="443"/>
        <v>33.597020854021842</v>
      </c>
      <c r="P1933" s="134">
        <f t="shared" si="444"/>
        <v>0.8534248648648648</v>
      </c>
      <c r="R1933" s="149">
        <f t="shared" si="445"/>
        <v>3.1123708512389214</v>
      </c>
    </row>
    <row r="1934" spans="1:18" ht="15" x14ac:dyDescent="0.25">
      <c r="A1934" s="82" t="s">
        <v>134</v>
      </c>
      <c r="B1934" s="82" t="s">
        <v>30</v>
      </c>
      <c r="C1934" s="82" t="s">
        <v>9</v>
      </c>
      <c r="D1934" s="82" t="s">
        <v>91</v>
      </c>
      <c r="E1934" s="87">
        <f t="shared" si="447"/>
        <v>41852</v>
      </c>
      <c r="F1934" s="83"/>
      <c r="G1934" s="92">
        <v>3510</v>
      </c>
      <c r="H1934" s="52">
        <v>988</v>
      </c>
      <c r="I1934" s="52" t="s">
        <v>93</v>
      </c>
      <c r="J1934" s="157">
        <f t="shared" si="446"/>
        <v>0.36</v>
      </c>
      <c r="K1934" s="101">
        <f t="shared" si="439"/>
        <v>34.856007944389276</v>
      </c>
      <c r="L1934" s="101">
        <f t="shared" si="440"/>
        <v>0.88540540540540547</v>
      </c>
      <c r="M1934" s="133">
        <f t="shared" si="441"/>
        <v>355.68</v>
      </c>
      <c r="N1934" s="133">
        <f t="shared" si="442"/>
        <v>3865.68</v>
      </c>
      <c r="O1934" s="134">
        <f t="shared" si="443"/>
        <v>38.388083416087383</v>
      </c>
      <c r="P1934" s="134">
        <f t="shared" si="444"/>
        <v>0.97512648648648648</v>
      </c>
      <c r="R1934" s="149">
        <f t="shared" si="445"/>
        <v>6.0275595734409881</v>
      </c>
    </row>
    <row r="1935" spans="1:18" ht="15" x14ac:dyDescent="0.25">
      <c r="A1935" s="82" t="s">
        <v>134</v>
      </c>
      <c r="B1935" s="82" t="s">
        <v>16</v>
      </c>
      <c r="C1935" s="82" t="s">
        <v>11</v>
      </c>
      <c r="D1935" s="82" t="s">
        <v>91</v>
      </c>
      <c r="E1935" s="87">
        <f t="shared" si="447"/>
        <v>41852</v>
      </c>
      <c r="F1935" s="83"/>
      <c r="G1935" s="92">
        <v>3590</v>
      </c>
      <c r="H1935" s="52">
        <v>787</v>
      </c>
      <c r="I1935" s="52" t="s">
        <v>92</v>
      </c>
      <c r="J1935" s="157">
        <f t="shared" si="446"/>
        <v>0.37</v>
      </c>
      <c r="K1935" s="101">
        <f t="shared" si="439"/>
        <v>35.650446871896719</v>
      </c>
      <c r="L1935" s="101">
        <f t="shared" si="440"/>
        <v>0.90558558558558555</v>
      </c>
      <c r="M1935" s="133">
        <f t="shared" si="441"/>
        <v>291.19</v>
      </c>
      <c r="N1935" s="133">
        <f t="shared" si="442"/>
        <v>3881.19</v>
      </c>
      <c r="O1935" s="134">
        <f t="shared" si="443"/>
        <v>38.542105263157893</v>
      </c>
      <c r="P1935" s="134">
        <f t="shared" si="444"/>
        <v>0.97903891891891892</v>
      </c>
      <c r="R1935" s="149">
        <f t="shared" si="445"/>
        <v>2.5291576959146189</v>
      </c>
    </row>
    <row r="1936" spans="1:18" ht="15" x14ac:dyDescent="0.25">
      <c r="A1936" s="82" t="s">
        <v>134</v>
      </c>
      <c r="B1936" s="82" t="s">
        <v>23</v>
      </c>
      <c r="C1936" s="82" t="s">
        <v>29</v>
      </c>
      <c r="D1936" s="82" t="s">
        <v>91</v>
      </c>
      <c r="E1936" s="87">
        <f t="shared" si="447"/>
        <v>41852</v>
      </c>
      <c r="F1936" s="83"/>
      <c r="G1936" s="92">
        <v>5000</v>
      </c>
      <c r="H1936" s="52">
        <v>1836</v>
      </c>
      <c r="I1936" s="52" t="s">
        <v>93</v>
      </c>
      <c r="J1936" s="157">
        <f t="shared" si="446"/>
        <v>0.36</v>
      </c>
      <c r="K1936" s="101">
        <f t="shared" si="439"/>
        <v>49.652432969215489</v>
      </c>
      <c r="L1936" s="101">
        <f t="shared" si="440"/>
        <v>1.2612612612612613</v>
      </c>
      <c r="M1936" s="133">
        <f t="shared" si="441"/>
        <v>660.95999999999992</v>
      </c>
      <c r="N1936" s="133">
        <f t="shared" si="442"/>
        <v>5660.96</v>
      </c>
      <c r="O1936" s="134">
        <f t="shared" si="443"/>
        <v>56.216087388282027</v>
      </c>
      <c r="P1936" s="134">
        <f t="shared" si="444"/>
        <v>1.42798990990991</v>
      </c>
      <c r="R1936" s="149">
        <f t="shared" si="445"/>
        <v>4.3641136822854421</v>
      </c>
    </row>
    <row r="1937" spans="1:19" ht="15" x14ac:dyDescent="0.25">
      <c r="A1937" s="82" t="s">
        <v>134</v>
      </c>
      <c r="B1937" s="82" t="s">
        <v>31</v>
      </c>
      <c r="C1937" s="82" t="s">
        <v>32</v>
      </c>
      <c r="D1937" s="82" t="s">
        <v>91</v>
      </c>
      <c r="E1937" s="87">
        <f t="shared" si="447"/>
        <v>41852</v>
      </c>
      <c r="F1937" s="83"/>
      <c r="G1937" s="92">
        <v>4400</v>
      </c>
      <c r="H1937" s="52">
        <v>1899</v>
      </c>
      <c r="I1937" s="52" t="s">
        <v>93</v>
      </c>
      <c r="J1937" s="157">
        <f t="shared" si="446"/>
        <v>0.36</v>
      </c>
      <c r="K1937" s="101">
        <f t="shared" si="439"/>
        <v>43.694141012909633</v>
      </c>
      <c r="L1937" s="101">
        <f t="shared" si="440"/>
        <v>1.1099099099099099</v>
      </c>
      <c r="M1937" s="133">
        <f t="shared" si="441"/>
        <v>683.64</v>
      </c>
      <c r="N1937" s="133">
        <f t="shared" si="442"/>
        <v>5083.6400000000003</v>
      </c>
      <c r="O1937" s="134">
        <f t="shared" si="443"/>
        <v>50.483018867924528</v>
      </c>
      <c r="P1937" s="134">
        <f t="shared" si="444"/>
        <v>1.2823596396396397</v>
      </c>
      <c r="R1937" s="149">
        <f t="shared" si="445"/>
        <v>4.9111988872516887</v>
      </c>
    </row>
    <row r="1938" spans="1:19" ht="15" x14ac:dyDescent="0.25">
      <c r="A1938" s="82" t="s">
        <v>22</v>
      </c>
      <c r="B1938" s="82" t="s">
        <v>8</v>
      </c>
      <c r="C1938" s="82" t="s">
        <v>29</v>
      </c>
      <c r="D1938" s="82" t="s">
        <v>91</v>
      </c>
      <c r="E1938" s="87">
        <f t="shared" si="447"/>
        <v>41852</v>
      </c>
      <c r="F1938" s="83"/>
      <c r="G1938" s="92">
        <v>5520</v>
      </c>
      <c r="H1938" s="52">
        <v>1695</v>
      </c>
      <c r="I1938" s="52" t="s">
        <v>93</v>
      </c>
      <c r="J1938" s="157">
        <f t="shared" si="446"/>
        <v>0.36</v>
      </c>
      <c r="K1938" s="101">
        <f t="shared" si="439"/>
        <v>54.816285998013903</v>
      </c>
      <c r="L1938" s="101">
        <f t="shared" si="440"/>
        <v>1.491891891891892</v>
      </c>
      <c r="M1938" s="133">
        <f t="shared" si="441"/>
        <v>610.19999999999993</v>
      </c>
      <c r="N1938" s="133">
        <f t="shared" si="442"/>
        <v>6130.2</v>
      </c>
      <c r="O1938" s="134">
        <f t="shared" si="443"/>
        <v>60.875868917576959</v>
      </c>
      <c r="P1938" s="134">
        <f t="shared" si="444"/>
        <v>1.6568108108108108</v>
      </c>
      <c r="R1938" s="149">
        <f t="shared" si="445"/>
        <v>3.9668944931567252</v>
      </c>
    </row>
    <row r="1939" spans="1:19" ht="15" x14ac:dyDescent="0.25">
      <c r="A1939" s="82" t="s">
        <v>22</v>
      </c>
      <c r="B1939" s="82" t="s">
        <v>23</v>
      </c>
      <c r="C1939" s="82" t="s">
        <v>26</v>
      </c>
      <c r="D1939" s="82" t="s">
        <v>91</v>
      </c>
      <c r="E1939" s="87">
        <f t="shared" si="447"/>
        <v>41852</v>
      </c>
      <c r="F1939" s="83"/>
      <c r="G1939" s="92">
        <v>5530</v>
      </c>
      <c r="H1939" s="52">
        <v>1851</v>
      </c>
      <c r="I1939" s="52" t="s">
        <v>93</v>
      </c>
      <c r="J1939" s="157">
        <f t="shared" si="446"/>
        <v>0.36</v>
      </c>
      <c r="K1939" s="101">
        <f t="shared" si="439"/>
        <v>54.915590863952332</v>
      </c>
      <c r="L1939" s="101">
        <f t="shared" si="440"/>
        <v>1.4945945945945946</v>
      </c>
      <c r="M1939" s="133">
        <f t="shared" si="441"/>
        <v>666.36</v>
      </c>
      <c r="N1939" s="133">
        <f t="shared" si="442"/>
        <v>6196.36</v>
      </c>
      <c r="O1939" s="134">
        <f t="shared" si="443"/>
        <v>61.532869910625614</v>
      </c>
      <c r="P1939" s="134">
        <f t="shared" si="444"/>
        <v>1.6746918918918918</v>
      </c>
      <c r="R1939" s="149">
        <f t="shared" si="445"/>
        <v>3.9772860753036321</v>
      </c>
    </row>
    <row r="1940" spans="1:19" ht="15" x14ac:dyDescent="0.25">
      <c r="A1940" s="82" t="s">
        <v>22</v>
      </c>
      <c r="B1940" s="82" t="s">
        <v>33</v>
      </c>
      <c r="C1940" s="82" t="s">
        <v>29</v>
      </c>
      <c r="D1940" s="82" t="s">
        <v>91</v>
      </c>
      <c r="E1940" s="87">
        <f t="shared" si="447"/>
        <v>41852</v>
      </c>
      <c r="F1940" s="83"/>
      <c r="G1940" s="92">
        <v>5430</v>
      </c>
      <c r="H1940" s="52">
        <v>1507</v>
      </c>
      <c r="I1940" s="52" t="s">
        <v>93</v>
      </c>
      <c r="J1940" s="157">
        <f t="shared" si="446"/>
        <v>0.36</v>
      </c>
      <c r="K1940" s="101">
        <f t="shared" si="439"/>
        <v>53.922542204568025</v>
      </c>
      <c r="L1940" s="101">
        <f t="shared" si="440"/>
        <v>1.4675675675675677</v>
      </c>
      <c r="M1940" s="133">
        <f t="shared" si="441"/>
        <v>542.52</v>
      </c>
      <c r="N1940" s="133">
        <f t="shared" si="442"/>
        <v>5972.52</v>
      </c>
      <c r="O1940" s="134">
        <f t="shared" si="443"/>
        <v>59.310029791459783</v>
      </c>
      <c r="P1940" s="134">
        <f t="shared" si="444"/>
        <v>1.6141945945945948</v>
      </c>
      <c r="R1940" s="149">
        <f t="shared" si="445"/>
        <v>4.0077459171981022</v>
      </c>
    </row>
    <row r="1941" spans="1:19" ht="15" x14ac:dyDescent="0.25">
      <c r="A1941" s="82" t="s">
        <v>22</v>
      </c>
      <c r="B1941" s="82" t="s">
        <v>31</v>
      </c>
      <c r="C1941" s="82" t="s">
        <v>7</v>
      </c>
      <c r="D1941" s="82" t="s">
        <v>91</v>
      </c>
      <c r="E1941" s="87">
        <f t="shared" si="447"/>
        <v>41852</v>
      </c>
      <c r="F1941" s="83"/>
      <c r="G1941" s="92">
        <v>4175</v>
      </c>
      <c r="H1941" s="52">
        <v>1160</v>
      </c>
      <c r="I1941" s="52" t="s">
        <v>92</v>
      </c>
      <c r="J1941" s="157">
        <f t="shared" si="446"/>
        <v>0.37</v>
      </c>
      <c r="K1941" s="101">
        <f t="shared" si="439"/>
        <v>41.459781529294936</v>
      </c>
      <c r="L1941" s="101">
        <f t="shared" si="440"/>
        <v>1.1283783783783783</v>
      </c>
      <c r="M1941" s="133">
        <f t="shared" si="441"/>
        <v>429.2</v>
      </c>
      <c r="N1941" s="133">
        <f t="shared" si="442"/>
        <v>4604.2</v>
      </c>
      <c r="O1941" s="134">
        <f t="shared" si="443"/>
        <v>45.72194637537239</v>
      </c>
      <c r="P1941" s="134">
        <f t="shared" si="444"/>
        <v>1.2443783783783784</v>
      </c>
      <c r="R1941" s="149">
        <f t="shared" si="445"/>
        <v>5.6978879706152341</v>
      </c>
    </row>
    <row r="1942" spans="1:19" ht="15" x14ac:dyDescent="0.25">
      <c r="A1942" s="82" t="s">
        <v>22</v>
      </c>
      <c r="B1942" s="82" t="s">
        <v>14</v>
      </c>
      <c r="C1942" s="82" t="s">
        <v>24</v>
      </c>
      <c r="D1942" s="82" t="s">
        <v>91</v>
      </c>
      <c r="E1942" s="87">
        <f t="shared" si="447"/>
        <v>41852</v>
      </c>
      <c r="F1942" s="83"/>
      <c r="G1942" s="92">
        <v>2862</v>
      </c>
      <c r="H1942" s="52">
        <v>615</v>
      </c>
      <c r="I1942" s="52" t="s">
        <v>94</v>
      </c>
      <c r="J1942" s="157">
        <f t="shared" si="446"/>
        <v>0.48</v>
      </c>
      <c r="K1942" s="101">
        <f t="shared" si="439"/>
        <v>28.421052631578945</v>
      </c>
      <c r="L1942" s="101">
        <f t="shared" si="440"/>
        <v>0.7735135135135135</v>
      </c>
      <c r="M1942" s="133">
        <f t="shared" si="441"/>
        <v>295.2</v>
      </c>
      <c r="N1942" s="133">
        <f t="shared" si="442"/>
        <v>3157.2</v>
      </c>
      <c r="O1942" s="134">
        <f t="shared" si="443"/>
        <v>31.352532274081426</v>
      </c>
      <c r="P1942" s="134">
        <f t="shared" si="444"/>
        <v>0.8532972972972972</v>
      </c>
      <c r="R1942" s="149">
        <f t="shared" si="445"/>
        <v>3.8877280729175068</v>
      </c>
    </row>
    <row r="1943" spans="1:19" ht="15" x14ac:dyDescent="0.25">
      <c r="A1943" s="118" t="s">
        <v>22</v>
      </c>
      <c r="B1943" s="118" t="s">
        <v>34</v>
      </c>
      <c r="C1943" s="118" t="s">
        <v>26</v>
      </c>
      <c r="D1943" s="118" t="s">
        <v>91</v>
      </c>
      <c r="E1943" s="119">
        <f t="shared" si="447"/>
        <v>41852</v>
      </c>
      <c r="F1943" s="120"/>
      <c r="G1943" s="105">
        <v>5110</v>
      </c>
      <c r="H1943" s="158">
        <v>1637</v>
      </c>
      <c r="I1943" s="158" t="s">
        <v>92</v>
      </c>
      <c r="J1943" s="122">
        <f t="shared" si="446"/>
        <v>0.37</v>
      </c>
      <c r="K1943" s="123">
        <f t="shared" si="439"/>
        <v>50.744786494538232</v>
      </c>
      <c r="L1943" s="123">
        <f t="shared" si="440"/>
        <v>1.3810810810810812</v>
      </c>
      <c r="M1943" s="115">
        <f t="shared" si="441"/>
        <v>605.68999999999994</v>
      </c>
      <c r="N1943" s="115">
        <f t="shared" si="442"/>
        <v>5715.69</v>
      </c>
      <c r="O1943" s="116">
        <f t="shared" si="443"/>
        <v>56.759582919563051</v>
      </c>
      <c r="P1943" s="116">
        <f t="shared" si="444"/>
        <v>1.5447810810810809</v>
      </c>
      <c r="Q1943" s="106"/>
      <c r="R1943" s="152">
        <f t="shared" si="445"/>
        <v>3.3027589260701706</v>
      </c>
    </row>
    <row r="1944" spans="1:19" ht="15" x14ac:dyDescent="0.25">
      <c r="A1944" s="60" t="s">
        <v>1</v>
      </c>
      <c r="B1944" s="60" t="s">
        <v>2</v>
      </c>
      <c r="C1944" s="60" t="s">
        <v>3</v>
      </c>
      <c r="D1944" s="60" t="s">
        <v>90</v>
      </c>
      <c r="E1944" s="89">
        <v>41883</v>
      </c>
      <c r="F1944" s="61"/>
      <c r="G1944" s="92">
        <v>3387</v>
      </c>
      <c r="H1944" s="138">
        <v>506</v>
      </c>
      <c r="I1944" s="138" t="s">
        <v>92</v>
      </c>
      <c r="J1944" s="141">
        <f>IF(I1944="BNSF",0.35,IF(I1944="CN",0.3048,IF(I1944="CSX",0.48,0.36)))</f>
        <v>0.36</v>
      </c>
      <c r="K1944" s="95">
        <f t="shared" ref="K1944:K1981" si="448">G1944/100.7</f>
        <v>33.63455809334657</v>
      </c>
      <c r="L1944" s="95">
        <f t="shared" ref="L1944:L1981" si="449">IF(A1944="corn",G1944/(111*2000/56),G1944/(111*2000/60))</f>
        <v>0.91540540540540538</v>
      </c>
      <c r="M1944" s="133">
        <f t="shared" ref="M1944:M1981" si="450">H1944*J1944</f>
        <v>182.16</v>
      </c>
      <c r="N1944" s="133">
        <f t="shared" ref="N1944:N1981" si="451">G1944+M1944</f>
        <v>3569.16</v>
      </c>
      <c r="O1944" s="134">
        <f t="shared" ref="O1944:O1981" si="452">N1944/100.7</f>
        <v>35.44349553128103</v>
      </c>
      <c r="P1944" s="134">
        <f t="shared" ref="P1944:P1981" si="453">IF(A1944="corn",N1944/(111*2000/56),N1944/(111*2000/60))</f>
        <v>0.96463783783783785</v>
      </c>
      <c r="Q1944" s="160"/>
      <c r="R1944" s="149">
        <f t="shared" ref="R1944:R1981" si="454">((N1944/N1488)-1)*100</f>
        <v>5.8105752469494565</v>
      </c>
      <c r="S1944" s="140">
        <f>AVERAGE(O1868,O1906,O1944)</f>
        <v>35.476994372724256</v>
      </c>
    </row>
    <row r="1945" spans="1:19" ht="15" x14ac:dyDescent="0.25">
      <c r="A1945" s="60" t="s">
        <v>1</v>
      </c>
      <c r="B1945" s="60" t="s">
        <v>4</v>
      </c>
      <c r="C1945" s="60" t="s">
        <v>5</v>
      </c>
      <c r="D1945" s="60" t="s">
        <v>90</v>
      </c>
      <c r="E1945" s="89">
        <f>E1944</f>
        <v>41883</v>
      </c>
      <c r="F1945" s="61"/>
      <c r="G1945" s="92">
        <v>3596</v>
      </c>
      <c r="H1945" s="138">
        <v>298</v>
      </c>
      <c r="I1945" s="138" t="s">
        <v>93</v>
      </c>
      <c r="J1945" s="141">
        <f t="shared" ref="J1945:J1981" si="455">IF(I1945="BNSF",0.35,IF(I1945="CN",0.3048,IF(I1945="CSX",0.48,0.36)))</f>
        <v>0.35</v>
      </c>
      <c r="K1945" s="95">
        <f t="shared" si="448"/>
        <v>35.710029791459782</v>
      </c>
      <c r="L1945" s="95">
        <f t="shared" si="449"/>
        <v>0.97189189189189185</v>
      </c>
      <c r="M1945" s="133">
        <f t="shared" si="450"/>
        <v>104.3</v>
      </c>
      <c r="N1945" s="133">
        <f t="shared" si="451"/>
        <v>3700.3</v>
      </c>
      <c r="O1945" s="134">
        <f t="shared" si="452"/>
        <v>36.745779543197621</v>
      </c>
      <c r="P1945" s="134">
        <f t="shared" si="453"/>
        <v>1.0000810810810812</v>
      </c>
      <c r="Q1945" s="160"/>
      <c r="R1945" s="149">
        <f t="shared" si="454"/>
        <v>-2.7593093842798178</v>
      </c>
      <c r="S1945" s="140">
        <f t="shared" ref="S1945:S1980" si="456">AVERAGE(O1869,O1907,O1945)</f>
        <v>36.775372393247267</v>
      </c>
    </row>
    <row r="1946" spans="1:19" ht="15" x14ac:dyDescent="0.25">
      <c r="A1946" s="60" t="s">
        <v>1</v>
      </c>
      <c r="B1946" s="60" t="s">
        <v>2</v>
      </c>
      <c r="C1946" s="60" t="s">
        <v>6</v>
      </c>
      <c r="D1946" s="60" t="s">
        <v>90</v>
      </c>
      <c r="E1946" s="89">
        <f t="shared" ref="E1946:E1981" si="457">E1945</f>
        <v>41883</v>
      </c>
      <c r="F1946" s="61"/>
      <c r="G1946" s="92">
        <v>6244</v>
      </c>
      <c r="H1946" s="138">
        <v>1530</v>
      </c>
      <c r="I1946" s="138" t="s">
        <v>93</v>
      </c>
      <c r="J1946" s="141">
        <f t="shared" si="455"/>
        <v>0.35</v>
      </c>
      <c r="K1946" s="95">
        <f t="shared" si="448"/>
        <v>62.005958291956304</v>
      </c>
      <c r="L1946" s="95">
        <f t="shared" si="449"/>
        <v>1.6875675675675677</v>
      </c>
      <c r="M1946" s="133">
        <f t="shared" si="450"/>
        <v>535.5</v>
      </c>
      <c r="N1946" s="133">
        <f t="shared" si="451"/>
        <v>6779.5</v>
      </c>
      <c r="O1946" s="134">
        <f t="shared" si="452"/>
        <v>67.323733862959287</v>
      </c>
      <c r="P1946" s="134">
        <f t="shared" si="453"/>
        <v>1.8322972972972973</v>
      </c>
      <c r="R1946" s="149">
        <f t="shared" si="454"/>
        <v>0</v>
      </c>
      <c r="S1946" s="140">
        <f t="shared" si="456"/>
        <v>67.475670307845078</v>
      </c>
    </row>
    <row r="1947" spans="1:19" ht="15" x14ac:dyDescent="0.25">
      <c r="A1947" s="60" t="s">
        <v>1</v>
      </c>
      <c r="B1947" s="60" t="s">
        <v>2</v>
      </c>
      <c r="C1947" s="60" t="s">
        <v>7</v>
      </c>
      <c r="D1947" s="60" t="s">
        <v>90</v>
      </c>
      <c r="E1947" s="89">
        <f t="shared" si="457"/>
        <v>41883</v>
      </c>
      <c r="F1947" s="61"/>
      <c r="G1947" s="92">
        <v>4026</v>
      </c>
      <c r="H1947" s="138">
        <v>890</v>
      </c>
      <c r="I1947" s="138" t="s">
        <v>92</v>
      </c>
      <c r="J1947" s="141">
        <f t="shared" si="455"/>
        <v>0.36</v>
      </c>
      <c r="K1947" s="95">
        <f t="shared" si="448"/>
        <v>39.98013902681231</v>
      </c>
      <c r="L1947" s="95">
        <f t="shared" si="449"/>
        <v>1.0881081081081081</v>
      </c>
      <c r="M1947" s="133">
        <f t="shared" si="450"/>
        <v>320.39999999999998</v>
      </c>
      <c r="N1947" s="133">
        <f t="shared" si="451"/>
        <v>4346.3999999999996</v>
      </c>
      <c r="O1947" s="134">
        <f t="shared" si="452"/>
        <v>43.161866931479636</v>
      </c>
      <c r="P1947" s="134">
        <f t="shared" si="453"/>
        <v>1.1747027027027026</v>
      </c>
      <c r="R1947" s="149">
        <f t="shared" si="454"/>
        <v>5.2804960759616382</v>
      </c>
      <c r="S1947" s="140">
        <f t="shared" si="456"/>
        <v>43.220787818603107</v>
      </c>
    </row>
    <row r="1948" spans="1:19" ht="15" x14ac:dyDescent="0.25">
      <c r="A1948" s="60" t="s">
        <v>1</v>
      </c>
      <c r="B1948" s="60" t="s">
        <v>8</v>
      </c>
      <c r="C1948" s="60" t="s">
        <v>9</v>
      </c>
      <c r="D1948" s="60" t="s">
        <v>90</v>
      </c>
      <c r="E1948" s="89">
        <f t="shared" si="457"/>
        <v>41883</v>
      </c>
      <c r="F1948" s="61"/>
      <c r="G1948" s="92">
        <v>5824</v>
      </c>
      <c r="H1948" s="138">
        <v>1256</v>
      </c>
      <c r="I1948" s="138" t="s">
        <v>93</v>
      </c>
      <c r="J1948" s="141">
        <f t="shared" si="455"/>
        <v>0.35</v>
      </c>
      <c r="K1948" s="95">
        <f t="shared" si="448"/>
        <v>57.835153922542204</v>
      </c>
      <c r="L1948" s="95">
        <f t="shared" si="449"/>
        <v>1.574054054054054</v>
      </c>
      <c r="M1948" s="133">
        <f t="shared" si="450"/>
        <v>439.59999999999997</v>
      </c>
      <c r="N1948" s="133">
        <f t="shared" si="451"/>
        <v>6263.6</v>
      </c>
      <c r="O1948" s="134">
        <f t="shared" si="452"/>
        <v>62.200595829195635</v>
      </c>
      <c r="P1948" s="134">
        <f t="shared" si="453"/>
        <v>1.692864864864865</v>
      </c>
      <c r="R1948" s="149">
        <f t="shared" si="454"/>
        <v>0</v>
      </c>
      <c r="S1948" s="140">
        <f t="shared" si="456"/>
        <v>62.3253227408143</v>
      </c>
    </row>
    <row r="1949" spans="1:19" ht="15" x14ac:dyDescent="0.25">
      <c r="A1949" s="60" t="s">
        <v>1</v>
      </c>
      <c r="B1949" s="60" t="s">
        <v>10</v>
      </c>
      <c r="C1949" s="60" t="s">
        <v>9</v>
      </c>
      <c r="D1949" s="60" t="s">
        <v>90</v>
      </c>
      <c r="E1949" s="89">
        <f t="shared" si="457"/>
        <v>41883</v>
      </c>
      <c r="F1949" s="61"/>
      <c r="G1949" s="92">
        <v>4293</v>
      </c>
      <c r="H1949" s="138">
        <v>975</v>
      </c>
      <c r="I1949" s="138" t="s">
        <v>92</v>
      </c>
      <c r="J1949" s="141">
        <f t="shared" si="455"/>
        <v>0.36</v>
      </c>
      <c r="K1949" s="95">
        <f t="shared" si="448"/>
        <v>42.631578947368418</v>
      </c>
      <c r="L1949" s="95">
        <f t="shared" si="449"/>
        <v>1.1602702702702703</v>
      </c>
      <c r="M1949" s="133">
        <f t="shared" si="450"/>
        <v>351</v>
      </c>
      <c r="N1949" s="133">
        <f t="shared" si="451"/>
        <v>4644</v>
      </c>
      <c r="O1949" s="134">
        <f t="shared" si="452"/>
        <v>46.117179741807348</v>
      </c>
      <c r="P1949" s="134">
        <f t="shared" si="453"/>
        <v>1.2551351351351352</v>
      </c>
      <c r="R1949" s="149">
        <f t="shared" si="454"/>
        <v>4.9017393268579124</v>
      </c>
      <c r="S1949" s="140">
        <f t="shared" si="456"/>
        <v>46.181727904667326</v>
      </c>
    </row>
    <row r="1950" spans="1:19" ht="15" x14ac:dyDescent="0.25">
      <c r="A1950" s="60" t="s">
        <v>1</v>
      </c>
      <c r="B1950" s="60" t="s">
        <v>11</v>
      </c>
      <c r="C1950" s="60" t="s">
        <v>6</v>
      </c>
      <c r="D1950" s="60" t="s">
        <v>90</v>
      </c>
      <c r="E1950" s="89">
        <f t="shared" si="457"/>
        <v>41883</v>
      </c>
      <c r="F1950" s="61"/>
      <c r="G1950" s="92">
        <v>4492</v>
      </c>
      <c r="H1950" s="138">
        <v>1357</v>
      </c>
      <c r="I1950" s="138" t="s">
        <v>92</v>
      </c>
      <c r="J1950" s="141">
        <f t="shared" si="455"/>
        <v>0.36</v>
      </c>
      <c r="K1950" s="95">
        <f t="shared" si="448"/>
        <v>44.607745779543194</v>
      </c>
      <c r="L1950" s="95">
        <f t="shared" si="449"/>
        <v>1.2140540540540541</v>
      </c>
      <c r="M1950" s="133">
        <f t="shared" si="450"/>
        <v>488.52</v>
      </c>
      <c r="N1950" s="133">
        <f t="shared" si="451"/>
        <v>4980.5200000000004</v>
      </c>
      <c r="O1950" s="134">
        <f t="shared" si="452"/>
        <v>49.45898709036743</v>
      </c>
      <c r="P1950" s="134">
        <f t="shared" si="453"/>
        <v>1.3460864864864865</v>
      </c>
      <c r="R1950" s="149">
        <f t="shared" si="454"/>
        <v>4.5554547897353137</v>
      </c>
      <c r="S1950" s="140">
        <f t="shared" si="456"/>
        <v>49.548824892419731</v>
      </c>
    </row>
    <row r="1951" spans="1:19" ht="15" x14ac:dyDescent="0.25">
      <c r="A1951" s="60" t="s">
        <v>134</v>
      </c>
      <c r="B1951" s="60" t="s">
        <v>13</v>
      </c>
      <c r="C1951" s="60" t="s">
        <v>7</v>
      </c>
      <c r="D1951" s="60" t="s">
        <v>90</v>
      </c>
      <c r="E1951" s="89">
        <f t="shared" si="457"/>
        <v>41883</v>
      </c>
      <c r="F1951" s="61"/>
      <c r="G1951" s="92">
        <v>3192</v>
      </c>
      <c r="H1951" s="138">
        <v>1006</v>
      </c>
      <c r="I1951" s="138" t="s">
        <v>92</v>
      </c>
      <c r="J1951" s="141">
        <f t="shared" si="455"/>
        <v>0.36</v>
      </c>
      <c r="K1951" s="95">
        <f t="shared" si="448"/>
        <v>31.69811320754717</v>
      </c>
      <c r="L1951" s="95">
        <f t="shared" si="449"/>
        <v>0.80518918918918925</v>
      </c>
      <c r="M1951" s="133">
        <f t="shared" si="450"/>
        <v>362.15999999999997</v>
      </c>
      <c r="N1951" s="133">
        <f t="shared" si="451"/>
        <v>3554.16</v>
      </c>
      <c r="O1951" s="134">
        <f t="shared" si="452"/>
        <v>35.294538232373384</v>
      </c>
      <c r="P1951" s="134">
        <f t="shared" si="453"/>
        <v>0.89654486486486484</v>
      </c>
      <c r="R1951" s="149">
        <f t="shared" si="454"/>
        <v>2.361642320630386</v>
      </c>
      <c r="S1951" s="140">
        <f t="shared" si="456"/>
        <v>35.361138695796093</v>
      </c>
    </row>
    <row r="1952" spans="1:19" ht="15" x14ac:dyDescent="0.25">
      <c r="A1952" s="60" t="s">
        <v>134</v>
      </c>
      <c r="B1952" s="60" t="s">
        <v>14</v>
      </c>
      <c r="C1952" s="60" t="s">
        <v>15</v>
      </c>
      <c r="D1952" s="60" t="s">
        <v>90</v>
      </c>
      <c r="E1952" s="89">
        <f t="shared" si="457"/>
        <v>41883</v>
      </c>
      <c r="F1952" s="61"/>
      <c r="G1952" s="92">
        <v>4686</v>
      </c>
      <c r="H1952" s="138">
        <v>866</v>
      </c>
      <c r="I1952" s="138" t="s">
        <v>94</v>
      </c>
      <c r="J1952" s="141">
        <f t="shared" si="455"/>
        <v>0.48</v>
      </c>
      <c r="K1952" s="95">
        <f t="shared" si="448"/>
        <v>46.53426017874876</v>
      </c>
      <c r="L1952" s="95">
        <f t="shared" si="449"/>
        <v>1.1820540540540541</v>
      </c>
      <c r="M1952" s="133">
        <f t="shared" si="450"/>
        <v>415.68</v>
      </c>
      <c r="N1952" s="133">
        <f t="shared" si="451"/>
        <v>5101.68</v>
      </c>
      <c r="O1952" s="134">
        <f t="shared" si="452"/>
        <v>50.662164846077459</v>
      </c>
      <c r="P1952" s="134">
        <f t="shared" si="453"/>
        <v>1.2869102702702704</v>
      </c>
      <c r="R1952" s="149">
        <f t="shared" si="454"/>
        <v>3.7977464995055943</v>
      </c>
      <c r="S1952" s="140">
        <f t="shared" si="456"/>
        <v>50.690830850711684</v>
      </c>
    </row>
    <row r="1953" spans="1:19" ht="15" x14ac:dyDescent="0.25">
      <c r="A1953" s="60" t="s">
        <v>134</v>
      </c>
      <c r="B1953" s="60" t="s">
        <v>16</v>
      </c>
      <c r="C1953" s="60" t="s">
        <v>17</v>
      </c>
      <c r="D1953" s="60" t="s">
        <v>90</v>
      </c>
      <c r="E1953" s="89">
        <f t="shared" si="457"/>
        <v>41883</v>
      </c>
      <c r="F1953" s="61"/>
      <c r="G1953" s="92">
        <v>2078</v>
      </c>
      <c r="H1953" s="138">
        <v>213</v>
      </c>
      <c r="I1953" s="138" t="s">
        <v>92</v>
      </c>
      <c r="J1953" s="141">
        <f t="shared" si="455"/>
        <v>0.36</v>
      </c>
      <c r="K1953" s="95">
        <f t="shared" si="448"/>
        <v>20.635551142005959</v>
      </c>
      <c r="L1953" s="95">
        <f t="shared" si="449"/>
        <v>0.5241801801801802</v>
      </c>
      <c r="M1953" s="133">
        <f t="shared" si="450"/>
        <v>76.679999999999993</v>
      </c>
      <c r="N1953" s="133">
        <f t="shared" si="451"/>
        <v>2154.6799999999998</v>
      </c>
      <c r="O1953" s="134">
        <f t="shared" si="452"/>
        <v>21.397020854021847</v>
      </c>
      <c r="P1953" s="134">
        <f t="shared" si="453"/>
        <v>0.54352288288288286</v>
      </c>
      <c r="R1953" s="149">
        <f t="shared" si="454"/>
        <v>3.4570841415868081</v>
      </c>
      <c r="S1953" s="140">
        <f t="shared" si="456"/>
        <v>21.411122144985104</v>
      </c>
    </row>
    <row r="1954" spans="1:19" ht="15" x14ac:dyDescent="0.25">
      <c r="A1954" s="60" t="s">
        <v>134</v>
      </c>
      <c r="B1954" s="60" t="s">
        <v>18</v>
      </c>
      <c r="C1954" s="60" t="s">
        <v>19</v>
      </c>
      <c r="D1954" s="60" t="s">
        <v>90</v>
      </c>
      <c r="E1954" s="89">
        <f t="shared" si="457"/>
        <v>41883</v>
      </c>
      <c r="F1954" s="61"/>
      <c r="G1954" s="92">
        <v>4061</v>
      </c>
      <c r="H1954" s="138">
        <v>650</v>
      </c>
      <c r="I1954" s="138" t="s">
        <v>94</v>
      </c>
      <c r="J1954" s="141">
        <f t="shared" si="455"/>
        <v>0.48</v>
      </c>
      <c r="K1954" s="95">
        <f t="shared" si="448"/>
        <v>40.327706057596821</v>
      </c>
      <c r="L1954" s="95">
        <f t="shared" si="449"/>
        <v>1.0243963963963965</v>
      </c>
      <c r="M1954" s="133">
        <f t="shared" si="450"/>
        <v>312</v>
      </c>
      <c r="N1954" s="133">
        <f t="shared" si="451"/>
        <v>4373</v>
      </c>
      <c r="O1954" s="134">
        <f t="shared" si="452"/>
        <v>43.426017874875868</v>
      </c>
      <c r="P1954" s="134">
        <f t="shared" si="453"/>
        <v>1.1030990990990992</v>
      </c>
      <c r="R1954" s="149">
        <f t="shared" si="454"/>
        <v>3.4907111584427941</v>
      </c>
      <c r="S1954" s="140">
        <f t="shared" si="456"/>
        <v>43.447533929162525</v>
      </c>
    </row>
    <row r="1955" spans="1:19" ht="15" x14ac:dyDescent="0.25">
      <c r="A1955" s="60" t="s">
        <v>134</v>
      </c>
      <c r="B1955" s="60" t="s">
        <v>18</v>
      </c>
      <c r="C1955" s="60" t="s">
        <v>20</v>
      </c>
      <c r="D1955" s="60" t="s">
        <v>90</v>
      </c>
      <c r="E1955" s="89">
        <f t="shared" si="457"/>
        <v>41883</v>
      </c>
      <c r="F1955" s="61"/>
      <c r="G1955" s="92">
        <v>3469</v>
      </c>
      <c r="H1955" s="138">
        <v>417</v>
      </c>
      <c r="I1955" s="138" t="s">
        <v>94</v>
      </c>
      <c r="J1955" s="141">
        <f t="shared" si="455"/>
        <v>0.48</v>
      </c>
      <c r="K1955" s="95">
        <f t="shared" si="448"/>
        <v>34.44885799404171</v>
      </c>
      <c r="L1955" s="95">
        <f t="shared" si="449"/>
        <v>0.87506306306306303</v>
      </c>
      <c r="M1955" s="133">
        <f t="shared" si="450"/>
        <v>200.16</v>
      </c>
      <c r="N1955" s="133">
        <f t="shared" si="451"/>
        <v>3669.16</v>
      </c>
      <c r="O1955" s="134">
        <f t="shared" si="452"/>
        <v>36.436544190665337</v>
      </c>
      <c r="P1955" s="134">
        <f t="shared" si="453"/>
        <v>0.92555387387387389</v>
      </c>
      <c r="R1955" s="149">
        <f t="shared" si="454"/>
        <v>3.3569108645376433</v>
      </c>
      <c r="S1955" s="140">
        <f t="shared" si="456"/>
        <v>36.450347567030775</v>
      </c>
    </row>
    <row r="1956" spans="1:19" ht="15" x14ac:dyDescent="0.25">
      <c r="A1956" s="60" t="s">
        <v>134</v>
      </c>
      <c r="B1956" s="60" t="s">
        <v>16</v>
      </c>
      <c r="C1956" s="60" t="s">
        <v>21</v>
      </c>
      <c r="D1956" s="60" t="s">
        <v>90</v>
      </c>
      <c r="E1956" s="89">
        <f t="shared" si="457"/>
        <v>41883</v>
      </c>
      <c r="F1956" s="61"/>
      <c r="G1956" s="92">
        <v>3218</v>
      </c>
      <c r="H1956" s="138">
        <v>626</v>
      </c>
      <c r="I1956" s="138" t="s">
        <v>92</v>
      </c>
      <c r="J1956" s="141">
        <f t="shared" si="455"/>
        <v>0.36</v>
      </c>
      <c r="K1956" s="95">
        <f t="shared" si="448"/>
        <v>31.95630585898709</v>
      </c>
      <c r="L1956" s="95">
        <f t="shared" si="449"/>
        <v>0.81174774774774772</v>
      </c>
      <c r="M1956" s="133">
        <f t="shared" si="450"/>
        <v>225.35999999999999</v>
      </c>
      <c r="N1956" s="133">
        <f t="shared" si="451"/>
        <v>3443.36</v>
      </c>
      <c r="O1956" s="134">
        <f t="shared" si="452"/>
        <v>34.194240317775574</v>
      </c>
      <c r="P1956" s="134">
        <f t="shared" si="453"/>
        <v>0.86859531531531531</v>
      </c>
      <c r="R1956" s="149">
        <f t="shared" si="454"/>
        <v>2.1356366570167484</v>
      </c>
      <c r="S1956" s="140">
        <f t="shared" si="456"/>
        <v>34.235683548493874</v>
      </c>
    </row>
    <row r="1957" spans="1:19" ht="15" x14ac:dyDescent="0.25">
      <c r="A1957" s="60" t="s">
        <v>134</v>
      </c>
      <c r="B1957" s="60" t="s">
        <v>16</v>
      </c>
      <c r="C1957" s="60" t="s">
        <v>6</v>
      </c>
      <c r="D1957" s="60" t="s">
        <v>90</v>
      </c>
      <c r="E1957" s="89">
        <f t="shared" si="457"/>
        <v>41883</v>
      </c>
      <c r="F1957" s="61"/>
      <c r="G1957" s="92">
        <v>5215</v>
      </c>
      <c r="H1957" s="138">
        <v>1823</v>
      </c>
      <c r="I1957" s="138" t="s">
        <v>92</v>
      </c>
      <c r="J1957" s="141">
        <f t="shared" si="455"/>
        <v>0.36</v>
      </c>
      <c r="K1957" s="95">
        <f t="shared" si="448"/>
        <v>51.787487586891757</v>
      </c>
      <c r="L1957" s="95">
        <f t="shared" si="449"/>
        <v>1.3154954954954956</v>
      </c>
      <c r="M1957" s="133">
        <f t="shared" si="450"/>
        <v>656.28</v>
      </c>
      <c r="N1957" s="133">
        <f t="shared" si="451"/>
        <v>5871.28</v>
      </c>
      <c r="O1957" s="134">
        <f t="shared" si="452"/>
        <v>58.304667328699104</v>
      </c>
      <c r="P1957" s="134">
        <f t="shared" si="453"/>
        <v>1.4810436036036037</v>
      </c>
      <c r="R1957" s="149">
        <f t="shared" si="454"/>
        <v>2.621790927904244</v>
      </c>
      <c r="S1957" s="140">
        <f t="shared" si="456"/>
        <v>58.425355842436282</v>
      </c>
    </row>
    <row r="1958" spans="1:19" ht="15" x14ac:dyDescent="0.25">
      <c r="A1958" s="60" t="s">
        <v>22</v>
      </c>
      <c r="B1958" s="60" t="s">
        <v>23</v>
      </c>
      <c r="C1958" s="60" t="s">
        <v>7</v>
      </c>
      <c r="D1958" s="60" t="s">
        <v>90</v>
      </c>
      <c r="E1958" s="89">
        <f t="shared" si="457"/>
        <v>41883</v>
      </c>
      <c r="F1958" s="61"/>
      <c r="G1958" s="92">
        <v>3559</v>
      </c>
      <c r="H1958" s="138">
        <v>1295</v>
      </c>
      <c r="I1958" s="138" t="s">
        <v>95</v>
      </c>
      <c r="J1958" s="141">
        <f t="shared" si="455"/>
        <v>0.30480000000000002</v>
      </c>
      <c r="K1958" s="95">
        <f t="shared" si="448"/>
        <v>35.342601787487588</v>
      </c>
      <c r="L1958" s="95">
        <f t="shared" si="449"/>
        <v>0.96189189189189184</v>
      </c>
      <c r="M1958" s="133">
        <f t="shared" si="450"/>
        <v>394.71600000000001</v>
      </c>
      <c r="N1958" s="133">
        <f t="shared" si="451"/>
        <v>3953.7159999999999</v>
      </c>
      <c r="O1958" s="134">
        <f t="shared" si="452"/>
        <v>39.262323733862956</v>
      </c>
      <c r="P1958" s="134">
        <f t="shared" si="453"/>
        <v>1.0685718918918918</v>
      </c>
      <c r="R1958" s="149">
        <f t="shared" si="454"/>
        <v>2.9957933850798035</v>
      </c>
      <c r="S1958" s="140">
        <f t="shared" si="456"/>
        <v>38.773326713008935</v>
      </c>
    </row>
    <row r="1959" spans="1:19" ht="15" x14ac:dyDescent="0.25">
      <c r="A1959" s="60" t="s">
        <v>22</v>
      </c>
      <c r="B1959" s="60" t="s">
        <v>14</v>
      </c>
      <c r="C1959" s="60" t="s">
        <v>24</v>
      </c>
      <c r="D1959" s="60" t="s">
        <v>90</v>
      </c>
      <c r="E1959" s="89">
        <f t="shared" si="457"/>
        <v>41883</v>
      </c>
      <c r="F1959" s="61"/>
      <c r="G1959" s="92">
        <v>3687</v>
      </c>
      <c r="H1959" s="138">
        <v>615</v>
      </c>
      <c r="I1959" s="138" t="s">
        <v>94</v>
      </c>
      <c r="J1959" s="141">
        <f t="shared" si="455"/>
        <v>0.48</v>
      </c>
      <c r="K1959" s="95">
        <f t="shared" si="448"/>
        <v>36.613704071499505</v>
      </c>
      <c r="L1959" s="95">
        <f t="shared" si="449"/>
        <v>0.99648648648648652</v>
      </c>
      <c r="M1959" s="133">
        <f t="shared" si="450"/>
        <v>295.2</v>
      </c>
      <c r="N1959" s="133">
        <f t="shared" si="451"/>
        <v>3982.2</v>
      </c>
      <c r="O1959" s="134">
        <f t="shared" si="452"/>
        <v>39.545183714001986</v>
      </c>
      <c r="P1959" s="134">
        <f t="shared" si="453"/>
        <v>1.0762702702702702</v>
      </c>
      <c r="R1959" s="149">
        <f t="shared" si="454"/>
        <v>3.0576726491634343</v>
      </c>
      <c r="S1959" s="140">
        <f t="shared" si="456"/>
        <v>39.56554121151936</v>
      </c>
    </row>
    <row r="1960" spans="1:19" ht="15" x14ac:dyDescent="0.25">
      <c r="A1960" s="60" t="s">
        <v>22</v>
      </c>
      <c r="B1960" s="60" t="s">
        <v>18</v>
      </c>
      <c r="C1960" s="60" t="s">
        <v>15</v>
      </c>
      <c r="D1960" s="60" t="s">
        <v>90</v>
      </c>
      <c r="E1960" s="89">
        <f t="shared" si="457"/>
        <v>41883</v>
      </c>
      <c r="F1960" s="61"/>
      <c r="G1960" s="92">
        <v>4756</v>
      </c>
      <c r="H1960" s="138">
        <v>872</v>
      </c>
      <c r="I1960" s="138" t="s">
        <v>94</v>
      </c>
      <c r="J1960" s="141">
        <f t="shared" si="455"/>
        <v>0.48</v>
      </c>
      <c r="K1960" s="95">
        <f t="shared" si="448"/>
        <v>47.229394240317774</v>
      </c>
      <c r="L1960" s="95">
        <f t="shared" si="449"/>
        <v>1.2854054054054054</v>
      </c>
      <c r="M1960" s="133">
        <f t="shared" si="450"/>
        <v>418.56</v>
      </c>
      <c r="N1960" s="133">
        <f t="shared" si="451"/>
        <v>5174.5600000000004</v>
      </c>
      <c r="O1960" s="134">
        <f t="shared" si="452"/>
        <v>51.385898709036745</v>
      </c>
      <c r="P1960" s="134">
        <f t="shared" si="453"/>
        <v>1.3985297297297299</v>
      </c>
      <c r="R1960" s="149">
        <f t="shared" si="454"/>
        <v>3.7435042022198051</v>
      </c>
      <c r="S1960" s="140">
        <f t="shared" si="456"/>
        <v>51.414763323402845</v>
      </c>
    </row>
    <row r="1961" spans="1:19" ht="15" x14ac:dyDescent="0.25">
      <c r="A1961" s="60" t="s">
        <v>22</v>
      </c>
      <c r="B1961" s="60" t="s">
        <v>18</v>
      </c>
      <c r="C1961" s="60" t="s">
        <v>24</v>
      </c>
      <c r="D1961" s="60" t="s">
        <v>90</v>
      </c>
      <c r="E1961" s="89">
        <f t="shared" si="457"/>
        <v>41883</v>
      </c>
      <c r="F1961" s="61"/>
      <c r="G1961" s="92">
        <v>3379</v>
      </c>
      <c r="H1961" s="138">
        <v>417</v>
      </c>
      <c r="I1961" s="138" t="s">
        <v>94</v>
      </c>
      <c r="J1961" s="141">
        <f t="shared" si="455"/>
        <v>0.48</v>
      </c>
      <c r="K1961" s="95">
        <f t="shared" si="448"/>
        <v>33.555114200595831</v>
      </c>
      <c r="L1961" s="95">
        <f t="shared" si="449"/>
        <v>0.91324324324324324</v>
      </c>
      <c r="M1961" s="133">
        <f t="shared" si="450"/>
        <v>200.16</v>
      </c>
      <c r="N1961" s="133">
        <f t="shared" si="451"/>
        <v>3579.16</v>
      </c>
      <c r="O1961" s="134">
        <f t="shared" si="452"/>
        <v>35.542800397219459</v>
      </c>
      <c r="P1961" s="134">
        <f t="shared" si="453"/>
        <v>0.96734054054054053</v>
      </c>
      <c r="R1961" s="149">
        <f t="shared" si="454"/>
        <v>3.3546155201141126</v>
      </c>
      <c r="S1961" s="140">
        <f t="shared" si="456"/>
        <v>35.556603773584897</v>
      </c>
    </row>
    <row r="1962" spans="1:19" ht="15" x14ac:dyDescent="0.25">
      <c r="A1962" s="60" t="s">
        <v>22</v>
      </c>
      <c r="B1962" s="60" t="s">
        <v>13</v>
      </c>
      <c r="C1962" s="60" t="s">
        <v>7</v>
      </c>
      <c r="D1962" s="60" t="s">
        <v>90</v>
      </c>
      <c r="E1962" s="89">
        <f t="shared" si="457"/>
        <v>41883</v>
      </c>
      <c r="F1962" s="61"/>
      <c r="G1962" s="92">
        <v>3748</v>
      </c>
      <c r="H1962" s="138">
        <v>1006</v>
      </c>
      <c r="I1962" s="138" t="s">
        <v>92</v>
      </c>
      <c r="J1962" s="141">
        <f t="shared" si="455"/>
        <v>0.36</v>
      </c>
      <c r="K1962" s="95">
        <f t="shared" si="448"/>
        <v>37.219463753723929</v>
      </c>
      <c r="L1962" s="95">
        <f t="shared" si="449"/>
        <v>1.0129729729729731</v>
      </c>
      <c r="M1962" s="133">
        <f t="shared" si="450"/>
        <v>362.15999999999997</v>
      </c>
      <c r="N1962" s="133">
        <f t="shared" si="451"/>
        <v>4110.16</v>
      </c>
      <c r="O1962" s="134">
        <f t="shared" si="452"/>
        <v>40.815888778550146</v>
      </c>
      <c r="P1962" s="134">
        <f t="shared" si="453"/>
        <v>1.1108540540540539</v>
      </c>
      <c r="R1962" s="149">
        <f t="shared" si="454"/>
        <v>3.7615244019428618</v>
      </c>
      <c r="S1962" s="140">
        <f t="shared" si="456"/>
        <v>40.882489241972856</v>
      </c>
    </row>
    <row r="1963" spans="1:19" ht="15" x14ac:dyDescent="0.25">
      <c r="A1963" s="60" t="s">
        <v>1</v>
      </c>
      <c r="B1963" s="60" t="s">
        <v>25</v>
      </c>
      <c r="C1963" s="60" t="s">
        <v>26</v>
      </c>
      <c r="D1963" s="60" t="s">
        <v>91</v>
      </c>
      <c r="E1963" s="89">
        <f t="shared" si="457"/>
        <v>41883</v>
      </c>
      <c r="F1963" s="61"/>
      <c r="G1963" s="92">
        <v>3678</v>
      </c>
      <c r="H1963" s="138">
        <v>880</v>
      </c>
      <c r="I1963" s="138" t="s">
        <v>93</v>
      </c>
      <c r="J1963" s="141">
        <f t="shared" si="455"/>
        <v>0.35</v>
      </c>
      <c r="K1963" s="95">
        <f t="shared" si="448"/>
        <v>36.524329692154915</v>
      </c>
      <c r="L1963" s="95">
        <f t="shared" si="449"/>
        <v>0.994054054054054</v>
      </c>
      <c r="M1963" s="133">
        <f t="shared" si="450"/>
        <v>308</v>
      </c>
      <c r="N1963" s="133">
        <f t="shared" si="451"/>
        <v>3986</v>
      </c>
      <c r="O1963" s="134">
        <f t="shared" si="452"/>
        <v>39.582919563058589</v>
      </c>
      <c r="P1963" s="134">
        <f t="shared" si="453"/>
        <v>1.0772972972972974</v>
      </c>
      <c r="R1963" s="149">
        <f t="shared" si="454"/>
        <v>0</v>
      </c>
      <c r="S1963" s="140">
        <f t="shared" si="456"/>
        <v>39.670307845084409</v>
      </c>
    </row>
    <row r="1964" spans="1:19" ht="15" x14ac:dyDescent="0.25">
      <c r="A1964" s="60" t="s">
        <v>1</v>
      </c>
      <c r="B1964" s="60" t="s">
        <v>2</v>
      </c>
      <c r="C1964" s="60" t="s">
        <v>9</v>
      </c>
      <c r="D1964" s="60" t="s">
        <v>91</v>
      </c>
      <c r="E1964" s="89">
        <f t="shared" si="457"/>
        <v>41883</v>
      </c>
      <c r="F1964" s="61"/>
      <c r="G1964" s="92">
        <v>3471</v>
      </c>
      <c r="H1964" s="138">
        <v>685</v>
      </c>
      <c r="I1964" s="138" t="s">
        <v>93</v>
      </c>
      <c r="J1964" s="141">
        <f t="shared" si="455"/>
        <v>0.35</v>
      </c>
      <c r="K1964" s="95">
        <f t="shared" si="448"/>
        <v>34.468718967229393</v>
      </c>
      <c r="L1964" s="95">
        <f t="shared" si="449"/>
        <v>0.93810810810810807</v>
      </c>
      <c r="M1964" s="133">
        <f t="shared" si="450"/>
        <v>239.74999999999997</v>
      </c>
      <c r="N1964" s="133">
        <f t="shared" si="451"/>
        <v>3710.75</v>
      </c>
      <c r="O1964" s="134">
        <f t="shared" si="452"/>
        <v>36.849553128103274</v>
      </c>
      <c r="P1964" s="134">
        <f t="shared" si="453"/>
        <v>1.0029054054054054</v>
      </c>
      <c r="R1964" s="149">
        <f t="shared" si="454"/>
        <v>-8.0985697480032144</v>
      </c>
      <c r="S1964" s="140">
        <f t="shared" si="456"/>
        <v>36.917576961271102</v>
      </c>
    </row>
    <row r="1965" spans="1:19" ht="15" x14ac:dyDescent="0.25">
      <c r="A1965" s="60" t="s">
        <v>1</v>
      </c>
      <c r="B1965" s="60" t="s">
        <v>27</v>
      </c>
      <c r="C1965" s="60" t="s">
        <v>28</v>
      </c>
      <c r="D1965" s="60" t="s">
        <v>91</v>
      </c>
      <c r="E1965" s="89">
        <f t="shared" si="457"/>
        <v>41883</v>
      </c>
      <c r="F1965" s="61"/>
      <c r="G1965" s="92">
        <v>3950</v>
      </c>
      <c r="H1965" s="138">
        <v>812</v>
      </c>
      <c r="I1965" s="138" t="s">
        <v>94</v>
      </c>
      <c r="J1965" s="141">
        <f t="shared" si="455"/>
        <v>0.48</v>
      </c>
      <c r="K1965" s="95">
        <f t="shared" si="448"/>
        <v>39.22542204568024</v>
      </c>
      <c r="L1965" s="95">
        <f t="shared" si="449"/>
        <v>1.0675675675675675</v>
      </c>
      <c r="M1965" s="133">
        <f t="shared" si="450"/>
        <v>389.76</v>
      </c>
      <c r="N1965" s="133">
        <f t="shared" si="451"/>
        <v>4339.76</v>
      </c>
      <c r="O1965" s="134">
        <f t="shared" si="452"/>
        <v>43.095928500496527</v>
      </c>
      <c r="P1965" s="134">
        <f t="shared" si="453"/>
        <v>1.1729081081081081</v>
      </c>
      <c r="R1965" s="149">
        <f t="shared" si="454"/>
        <v>4.506049163905379</v>
      </c>
      <c r="S1965" s="140">
        <f t="shared" si="456"/>
        <v>43.122807017543856</v>
      </c>
    </row>
    <row r="1966" spans="1:19" ht="15" x14ac:dyDescent="0.25">
      <c r="A1966" s="60" t="s">
        <v>1</v>
      </c>
      <c r="B1966" s="60" t="s">
        <v>4</v>
      </c>
      <c r="C1966" s="60" t="s">
        <v>26</v>
      </c>
      <c r="D1966" s="60" t="s">
        <v>91</v>
      </c>
      <c r="E1966" s="89">
        <f t="shared" si="457"/>
        <v>41883</v>
      </c>
      <c r="F1966" s="61"/>
      <c r="G1966" s="92">
        <v>5159</v>
      </c>
      <c r="H1966" s="138">
        <v>1520</v>
      </c>
      <c r="I1966" s="138" t="s">
        <v>93</v>
      </c>
      <c r="J1966" s="141">
        <f t="shared" si="455"/>
        <v>0.35</v>
      </c>
      <c r="K1966" s="95">
        <f t="shared" si="448"/>
        <v>51.231380337636544</v>
      </c>
      <c r="L1966" s="95">
        <f t="shared" si="449"/>
        <v>1.3943243243243244</v>
      </c>
      <c r="M1966" s="133">
        <f t="shared" si="450"/>
        <v>532</v>
      </c>
      <c r="N1966" s="133">
        <f t="shared" si="451"/>
        <v>5691</v>
      </c>
      <c r="O1966" s="134">
        <f t="shared" si="452"/>
        <v>56.51439920556107</v>
      </c>
      <c r="P1966" s="134">
        <f t="shared" si="453"/>
        <v>1.5381081081081081</v>
      </c>
      <c r="R1966" s="149">
        <f t="shared" si="454"/>
        <v>0</v>
      </c>
      <c r="S1966" s="140">
        <f t="shared" si="456"/>
        <v>56.665342601787479</v>
      </c>
    </row>
    <row r="1967" spans="1:19" ht="15" x14ac:dyDescent="0.25">
      <c r="A1967" s="60" t="s">
        <v>1</v>
      </c>
      <c r="B1967" s="60" t="s">
        <v>4</v>
      </c>
      <c r="C1967" s="60" t="s">
        <v>9</v>
      </c>
      <c r="D1967" s="60" t="s">
        <v>91</v>
      </c>
      <c r="E1967" s="89">
        <f t="shared" si="457"/>
        <v>41883</v>
      </c>
      <c r="F1967" s="61"/>
      <c r="G1967" s="92">
        <v>6084</v>
      </c>
      <c r="H1967" s="138">
        <v>1583</v>
      </c>
      <c r="I1967" s="138" t="s">
        <v>93</v>
      </c>
      <c r="J1967" s="141">
        <f t="shared" si="455"/>
        <v>0.35</v>
      </c>
      <c r="K1967" s="95">
        <f t="shared" si="448"/>
        <v>60.417080436941411</v>
      </c>
      <c r="L1967" s="95">
        <f t="shared" si="449"/>
        <v>1.6443243243243244</v>
      </c>
      <c r="M1967" s="133">
        <f t="shared" si="450"/>
        <v>554.04999999999995</v>
      </c>
      <c r="N1967" s="133">
        <f t="shared" si="451"/>
        <v>6638.05</v>
      </c>
      <c r="O1967" s="134">
        <f t="shared" si="452"/>
        <v>65.919066534260182</v>
      </c>
      <c r="P1967" s="134">
        <f t="shared" si="453"/>
        <v>1.7940675675675677</v>
      </c>
      <c r="R1967" s="149">
        <f t="shared" si="454"/>
        <v>0</v>
      </c>
      <c r="S1967" s="140">
        <f t="shared" si="456"/>
        <v>66.076266137040719</v>
      </c>
    </row>
    <row r="1968" spans="1:19" ht="15" x14ac:dyDescent="0.25">
      <c r="A1968" s="60" t="s">
        <v>1</v>
      </c>
      <c r="B1968" s="60" t="s">
        <v>10</v>
      </c>
      <c r="C1968" s="60" t="s">
        <v>26</v>
      </c>
      <c r="D1968" s="60" t="s">
        <v>91</v>
      </c>
      <c r="E1968" s="89">
        <f t="shared" si="457"/>
        <v>41883</v>
      </c>
      <c r="F1968" s="61"/>
      <c r="G1968" s="92">
        <v>5260</v>
      </c>
      <c r="H1968" s="138">
        <v>1599</v>
      </c>
      <c r="I1968" s="138" t="s">
        <v>92</v>
      </c>
      <c r="J1968" s="141">
        <f t="shared" si="455"/>
        <v>0.36</v>
      </c>
      <c r="K1968" s="95">
        <f t="shared" si="448"/>
        <v>52.234359483614696</v>
      </c>
      <c r="L1968" s="95">
        <f t="shared" si="449"/>
        <v>1.4216216216216215</v>
      </c>
      <c r="M1968" s="133">
        <f t="shared" si="450"/>
        <v>575.64</v>
      </c>
      <c r="N1968" s="133">
        <f t="shared" si="451"/>
        <v>5835.64</v>
      </c>
      <c r="O1968" s="134">
        <f t="shared" si="452"/>
        <v>57.950744786494539</v>
      </c>
      <c r="P1968" s="134">
        <f t="shared" si="453"/>
        <v>1.5772000000000002</v>
      </c>
      <c r="R1968" s="149">
        <f t="shared" si="454"/>
        <v>3.862144575911608</v>
      </c>
      <c r="S1968" s="140">
        <f t="shared" si="456"/>
        <v>58.056603773584904</v>
      </c>
    </row>
    <row r="1969" spans="1:19" ht="15" x14ac:dyDescent="0.25">
      <c r="A1969" s="60" t="s">
        <v>134</v>
      </c>
      <c r="B1969" s="60" t="s">
        <v>23</v>
      </c>
      <c r="C1969" s="60" t="s">
        <v>26</v>
      </c>
      <c r="D1969" s="60" t="s">
        <v>91</v>
      </c>
      <c r="E1969" s="89">
        <f t="shared" si="457"/>
        <v>41883</v>
      </c>
      <c r="F1969" s="61"/>
      <c r="G1969" s="92">
        <v>5000</v>
      </c>
      <c r="H1969" s="138">
        <v>1851</v>
      </c>
      <c r="I1969" s="138" t="s">
        <v>93</v>
      </c>
      <c r="J1969" s="141">
        <f t="shared" si="455"/>
        <v>0.35</v>
      </c>
      <c r="K1969" s="95">
        <f t="shared" si="448"/>
        <v>49.652432969215489</v>
      </c>
      <c r="L1969" s="95">
        <f t="shared" si="449"/>
        <v>1.2612612612612613</v>
      </c>
      <c r="M1969" s="133">
        <f t="shared" si="450"/>
        <v>647.84999999999991</v>
      </c>
      <c r="N1969" s="133">
        <f t="shared" si="451"/>
        <v>5647.85</v>
      </c>
      <c r="O1969" s="134">
        <f t="shared" si="452"/>
        <v>56.085898709036748</v>
      </c>
      <c r="P1969" s="134">
        <f t="shared" si="453"/>
        <v>1.424682882882883</v>
      </c>
      <c r="R1969" s="149">
        <f t="shared" si="454"/>
        <v>3.6711730315629021</v>
      </c>
      <c r="S1969" s="140">
        <f t="shared" si="456"/>
        <v>56.269712015888778</v>
      </c>
    </row>
    <row r="1970" spans="1:19" ht="15" x14ac:dyDescent="0.25">
      <c r="A1970" s="60" t="s">
        <v>134</v>
      </c>
      <c r="B1970" s="60" t="s">
        <v>8</v>
      </c>
      <c r="C1970" s="60" t="s">
        <v>29</v>
      </c>
      <c r="D1970" s="60" t="s">
        <v>91</v>
      </c>
      <c r="E1970" s="89">
        <f t="shared" si="457"/>
        <v>41883</v>
      </c>
      <c r="F1970" s="61"/>
      <c r="G1970" s="92">
        <v>4960</v>
      </c>
      <c r="H1970" s="138">
        <v>1695</v>
      </c>
      <c r="I1970" s="138" t="s">
        <v>93</v>
      </c>
      <c r="J1970" s="141">
        <f t="shared" si="455"/>
        <v>0.35</v>
      </c>
      <c r="K1970" s="95">
        <f t="shared" si="448"/>
        <v>49.255213505461768</v>
      </c>
      <c r="L1970" s="95">
        <f t="shared" si="449"/>
        <v>1.2511711711711713</v>
      </c>
      <c r="M1970" s="133">
        <f t="shared" si="450"/>
        <v>593.25</v>
      </c>
      <c r="N1970" s="133">
        <f t="shared" si="451"/>
        <v>5553.25</v>
      </c>
      <c r="O1970" s="134">
        <f t="shared" si="452"/>
        <v>55.146474677259185</v>
      </c>
      <c r="P1970" s="134">
        <f t="shared" si="453"/>
        <v>1.4008198198198198</v>
      </c>
      <c r="R1970" s="149">
        <f t="shared" si="454"/>
        <v>3.7360481950217128</v>
      </c>
      <c r="S1970" s="140">
        <f t="shared" si="456"/>
        <v>55.314796425024831</v>
      </c>
    </row>
    <row r="1971" spans="1:19" ht="15" x14ac:dyDescent="0.25">
      <c r="A1971" s="60" t="s">
        <v>134</v>
      </c>
      <c r="B1971" s="60" t="s">
        <v>13</v>
      </c>
      <c r="C1971" s="60" t="s">
        <v>7</v>
      </c>
      <c r="D1971" s="60" t="s">
        <v>91</v>
      </c>
      <c r="E1971" s="89">
        <f t="shared" si="457"/>
        <v>41883</v>
      </c>
      <c r="F1971" s="61"/>
      <c r="G1971" s="92">
        <v>3011</v>
      </c>
      <c r="H1971" s="138">
        <v>1006</v>
      </c>
      <c r="I1971" s="138" t="s">
        <v>92</v>
      </c>
      <c r="J1971" s="141">
        <f t="shared" si="455"/>
        <v>0.36</v>
      </c>
      <c r="K1971" s="95">
        <f t="shared" si="448"/>
        <v>29.900695134061568</v>
      </c>
      <c r="L1971" s="95">
        <f t="shared" si="449"/>
        <v>0.75953153153153152</v>
      </c>
      <c r="M1971" s="133">
        <f t="shared" si="450"/>
        <v>362.15999999999997</v>
      </c>
      <c r="N1971" s="133">
        <f t="shared" si="451"/>
        <v>3373.16</v>
      </c>
      <c r="O1971" s="134">
        <f t="shared" si="452"/>
        <v>33.497120158887782</v>
      </c>
      <c r="P1971" s="134">
        <f t="shared" si="453"/>
        <v>0.85088720720720723</v>
      </c>
      <c r="R1971" s="149">
        <f t="shared" si="454"/>
        <v>2.4915227457795952</v>
      </c>
      <c r="S1971" s="140">
        <f t="shared" si="456"/>
        <v>33.563720622310491</v>
      </c>
    </row>
    <row r="1972" spans="1:19" ht="15" x14ac:dyDescent="0.25">
      <c r="A1972" s="60" t="s">
        <v>134</v>
      </c>
      <c r="B1972" s="60" t="s">
        <v>30</v>
      </c>
      <c r="C1972" s="60" t="s">
        <v>9</v>
      </c>
      <c r="D1972" s="60" t="s">
        <v>91</v>
      </c>
      <c r="E1972" s="89">
        <f t="shared" si="457"/>
        <v>41883</v>
      </c>
      <c r="F1972" s="61"/>
      <c r="G1972" s="92">
        <v>3510</v>
      </c>
      <c r="H1972" s="138">
        <v>988</v>
      </c>
      <c r="I1972" s="138" t="s">
        <v>93</v>
      </c>
      <c r="J1972" s="141">
        <f t="shared" si="455"/>
        <v>0.35</v>
      </c>
      <c r="K1972" s="95">
        <f t="shared" si="448"/>
        <v>34.856007944389276</v>
      </c>
      <c r="L1972" s="95">
        <f t="shared" si="449"/>
        <v>0.88540540540540547</v>
      </c>
      <c r="M1972" s="133">
        <f t="shared" si="450"/>
        <v>345.79999999999995</v>
      </c>
      <c r="N1972" s="133">
        <f t="shared" si="451"/>
        <v>3855.8</v>
      </c>
      <c r="O1972" s="134">
        <f t="shared" si="452"/>
        <v>38.289970208540218</v>
      </c>
      <c r="P1972" s="134">
        <f t="shared" si="453"/>
        <v>0.97263423423423434</v>
      </c>
      <c r="R1972" s="149">
        <f t="shared" si="454"/>
        <v>5.4707587942447677</v>
      </c>
      <c r="S1972" s="140">
        <f t="shared" si="456"/>
        <v>38.38808341608739</v>
      </c>
    </row>
    <row r="1973" spans="1:19" ht="15" x14ac:dyDescent="0.25">
      <c r="A1973" s="60" t="s">
        <v>134</v>
      </c>
      <c r="B1973" s="60" t="s">
        <v>16</v>
      </c>
      <c r="C1973" s="60" t="s">
        <v>11</v>
      </c>
      <c r="D1973" s="60" t="s">
        <v>91</v>
      </c>
      <c r="E1973" s="89">
        <f t="shared" si="457"/>
        <v>41883</v>
      </c>
      <c r="F1973" s="61"/>
      <c r="G1973" s="92">
        <v>3590</v>
      </c>
      <c r="H1973" s="138">
        <v>787</v>
      </c>
      <c r="I1973" s="138" t="s">
        <v>92</v>
      </c>
      <c r="J1973" s="141">
        <f t="shared" si="455"/>
        <v>0.36</v>
      </c>
      <c r="K1973" s="95">
        <f t="shared" si="448"/>
        <v>35.650446871896719</v>
      </c>
      <c r="L1973" s="95">
        <f t="shared" si="449"/>
        <v>0.90558558558558555</v>
      </c>
      <c r="M1973" s="133">
        <f t="shared" si="450"/>
        <v>283.32</v>
      </c>
      <c r="N1973" s="133">
        <f t="shared" si="451"/>
        <v>3873.32</v>
      </c>
      <c r="O1973" s="134">
        <f t="shared" si="452"/>
        <v>38.463952333664352</v>
      </c>
      <c r="P1973" s="134">
        <f t="shared" si="453"/>
        <v>0.97705369369369377</v>
      </c>
      <c r="R1973" s="149">
        <f t="shared" si="454"/>
        <v>2.1089705060474806</v>
      </c>
      <c r="S1973" s="140">
        <f t="shared" si="456"/>
        <v>38.516054286660044</v>
      </c>
    </row>
    <row r="1974" spans="1:19" ht="15" x14ac:dyDescent="0.25">
      <c r="A1974" s="60" t="s">
        <v>134</v>
      </c>
      <c r="B1974" s="60" t="s">
        <v>23</v>
      </c>
      <c r="C1974" s="60" t="s">
        <v>29</v>
      </c>
      <c r="D1974" s="60" t="s">
        <v>91</v>
      </c>
      <c r="E1974" s="89">
        <f t="shared" si="457"/>
        <v>41883</v>
      </c>
      <c r="F1974" s="61"/>
      <c r="G1974" s="92">
        <v>5000</v>
      </c>
      <c r="H1974" s="138">
        <v>1836</v>
      </c>
      <c r="I1974" s="138" t="s">
        <v>93</v>
      </c>
      <c r="J1974" s="141">
        <f t="shared" si="455"/>
        <v>0.35</v>
      </c>
      <c r="K1974" s="95">
        <f t="shared" si="448"/>
        <v>49.652432969215489</v>
      </c>
      <c r="L1974" s="95">
        <f t="shared" si="449"/>
        <v>1.2612612612612613</v>
      </c>
      <c r="M1974" s="133">
        <f t="shared" si="450"/>
        <v>642.59999999999991</v>
      </c>
      <c r="N1974" s="133">
        <f t="shared" si="451"/>
        <v>5642.6</v>
      </c>
      <c r="O1974" s="134">
        <f t="shared" si="452"/>
        <v>56.033763654419069</v>
      </c>
      <c r="P1974" s="134">
        <f t="shared" si="453"/>
        <v>1.4233585585585586</v>
      </c>
      <c r="R1974" s="149">
        <f t="shared" si="454"/>
        <v>3.6747142909638875</v>
      </c>
      <c r="S1974" s="140">
        <f t="shared" si="456"/>
        <v>56.216087388282027</v>
      </c>
    </row>
    <row r="1975" spans="1:19" ht="15" x14ac:dyDescent="0.25">
      <c r="A1975" s="60" t="s">
        <v>134</v>
      </c>
      <c r="B1975" s="60" t="s">
        <v>31</v>
      </c>
      <c r="C1975" s="60" t="s">
        <v>32</v>
      </c>
      <c r="D1975" s="60" t="s">
        <v>91</v>
      </c>
      <c r="E1975" s="89">
        <f t="shared" si="457"/>
        <v>41883</v>
      </c>
      <c r="F1975" s="61"/>
      <c r="G1975" s="92">
        <v>4400</v>
      </c>
      <c r="H1975" s="138">
        <v>1899</v>
      </c>
      <c r="I1975" s="138" t="s">
        <v>93</v>
      </c>
      <c r="J1975" s="141">
        <f t="shared" si="455"/>
        <v>0.35</v>
      </c>
      <c r="K1975" s="95">
        <f t="shared" si="448"/>
        <v>43.694141012909633</v>
      </c>
      <c r="L1975" s="95">
        <f t="shared" si="449"/>
        <v>1.1099099099099099</v>
      </c>
      <c r="M1975" s="133">
        <f t="shared" si="450"/>
        <v>664.65</v>
      </c>
      <c r="N1975" s="133">
        <f t="shared" si="451"/>
        <v>5064.6499999999996</v>
      </c>
      <c r="O1975" s="134">
        <f t="shared" si="452"/>
        <v>50.294438927507443</v>
      </c>
      <c r="P1975" s="134">
        <f t="shared" si="453"/>
        <v>1.2775693693693693</v>
      </c>
      <c r="R1975" s="149">
        <f t="shared" si="454"/>
        <v>4.1112926932050708</v>
      </c>
      <c r="S1975" s="140">
        <f t="shared" si="456"/>
        <v>50.483018867924521</v>
      </c>
    </row>
    <row r="1976" spans="1:19" ht="15" x14ac:dyDescent="0.25">
      <c r="A1976" s="60" t="s">
        <v>22</v>
      </c>
      <c r="B1976" s="60" t="s">
        <v>8</v>
      </c>
      <c r="C1976" s="60" t="s">
        <v>29</v>
      </c>
      <c r="D1976" s="60" t="s">
        <v>91</v>
      </c>
      <c r="E1976" s="89">
        <f t="shared" si="457"/>
        <v>41883</v>
      </c>
      <c r="F1976" s="61"/>
      <c r="G1976" s="92">
        <v>5520</v>
      </c>
      <c r="H1976" s="138">
        <v>1695</v>
      </c>
      <c r="I1976" s="138" t="s">
        <v>93</v>
      </c>
      <c r="J1976" s="141">
        <f t="shared" si="455"/>
        <v>0.35</v>
      </c>
      <c r="K1976" s="95">
        <f t="shared" si="448"/>
        <v>54.816285998013903</v>
      </c>
      <c r="L1976" s="95">
        <f t="shared" si="449"/>
        <v>1.491891891891892</v>
      </c>
      <c r="M1976" s="133">
        <f t="shared" si="450"/>
        <v>593.25</v>
      </c>
      <c r="N1976" s="133">
        <f t="shared" si="451"/>
        <v>6113.25</v>
      </c>
      <c r="O1976" s="134">
        <f t="shared" si="452"/>
        <v>60.70754716981132</v>
      </c>
      <c r="P1976" s="134">
        <f t="shared" si="453"/>
        <v>1.6522297297297297</v>
      </c>
      <c r="R1976" s="149">
        <f t="shared" si="454"/>
        <v>3.3822348116518075</v>
      </c>
      <c r="S1976" s="140">
        <f t="shared" si="456"/>
        <v>60.875868917576952</v>
      </c>
    </row>
    <row r="1977" spans="1:19" ht="15" x14ac:dyDescent="0.25">
      <c r="A1977" s="60" t="s">
        <v>22</v>
      </c>
      <c r="B1977" s="60" t="s">
        <v>23</v>
      </c>
      <c r="C1977" s="60" t="s">
        <v>26</v>
      </c>
      <c r="D1977" s="60" t="s">
        <v>91</v>
      </c>
      <c r="E1977" s="89">
        <f t="shared" si="457"/>
        <v>41883</v>
      </c>
      <c r="F1977" s="61"/>
      <c r="G1977" s="92">
        <v>5530</v>
      </c>
      <c r="H1977" s="138">
        <v>1851</v>
      </c>
      <c r="I1977" s="138" t="s">
        <v>93</v>
      </c>
      <c r="J1977" s="141">
        <f t="shared" si="455"/>
        <v>0.35</v>
      </c>
      <c r="K1977" s="95">
        <f t="shared" si="448"/>
        <v>54.915590863952332</v>
      </c>
      <c r="L1977" s="95">
        <f t="shared" si="449"/>
        <v>1.4945945945945946</v>
      </c>
      <c r="M1977" s="133">
        <f t="shared" si="450"/>
        <v>647.84999999999991</v>
      </c>
      <c r="N1977" s="133">
        <f t="shared" si="451"/>
        <v>6177.85</v>
      </c>
      <c r="O1977" s="134">
        <f t="shared" si="452"/>
        <v>61.34905660377359</v>
      </c>
      <c r="P1977" s="134">
        <f t="shared" si="453"/>
        <v>1.6696891891891892</v>
      </c>
      <c r="R1977" s="149">
        <f t="shared" si="454"/>
        <v>3.3456844852246315</v>
      </c>
      <c r="S1977" s="140">
        <f t="shared" si="456"/>
        <v>61.532869910625614</v>
      </c>
    </row>
    <row r="1978" spans="1:19" ht="15" x14ac:dyDescent="0.25">
      <c r="A1978" s="60" t="s">
        <v>22</v>
      </c>
      <c r="B1978" s="60" t="s">
        <v>33</v>
      </c>
      <c r="C1978" s="60" t="s">
        <v>29</v>
      </c>
      <c r="D1978" s="60" t="s">
        <v>91</v>
      </c>
      <c r="E1978" s="89">
        <f t="shared" si="457"/>
        <v>41883</v>
      </c>
      <c r="F1978" s="61"/>
      <c r="G1978" s="92">
        <v>5430</v>
      </c>
      <c r="H1978" s="138">
        <v>1507</v>
      </c>
      <c r="I1978" s="138" t="s">
        <v>93</v>
      </c>
      <c r="J1978" s="141">
        <f t="shared" si="455"/>
        <v>0.35</v>
      </c>
      <c r="K1978" s="95">
        <f t="shared" si="448"/>
        <v>53.922542204568025</v>
      </c>
      <c r="L1978" s="95">
        <f t="shared" si="449"/>
        <v>1.4675675675675677</v>
      </c>
      <c r="M1978" s="133">
        <f t="shared" si="450"/>
        <v>527.44999999999993</v>
      </c>
      <c r="N1978" s="133">
        <f t="shared" si="451"/>
        <v>5957.45</v>
      </c>
      <c r="O1978" s="134">
        <f t="shared" si="452"/>
        <v>59.160377358490564</v>
      </c>
      <c r="P1978" s="134">
        <f t="shared" si="453"/>
        <v>1.6101216216216216</v>
      </c>
      <c r="R1978" s="149">
        <f t="shared" si="454"/>
        <v>3.4737600847597472</v>
      </c>
      <c r="S1978" s="140">
        <f t="shared" si="456"/>
        <v>59.310029791459783</v>
      </c>
    </row>
    <row r="1979" spans="1:19" ht="15" x14ac:dyDescent="0.25">
      <c r="A1979" s="60" t="s">
        <v>22</v>
      </c>
      <c r="B1979" s="60" t="s">
        <v>31</v>
      </c>
      <c r="C1979" s="60" t="s">
        <v>7</v>
      </c>
      <c r="D1979" s="60" t="s">
        <v>91</v>
      </c>
      <c r="E1979" s="89">
        <f t="shared" si="457"/>
        <v>41883</v>
      </c>
      <c r="F1979" s="61"/>
      <c r="G1979" s="92">
        <v>4175</v>
      </c>
      <c r="H1979" s="138">
        <v>1160</v>
      </c>
      <c r="I1979" s="138" t="s">
        <v>92</v>
      </c>
      <c r="J1979" s="141">
        <f t="shared" si="455"/>
        <v>0.36</v>
      </c>
      <c r="K1979" s="95">
        <f t="shared" si="448"/>
        <v>41.459781529294936</v>
      </c>
      <c r="L1979" s="95">
        <f t="shared" si="449"/>
        <v>1.1283783783783783</v>
      </c>
      <c r="M1979" s="133">
        <f t="shared" si="450"/>
        <v>417.59999999999997</v>
      </c>
      <c r="N1979" s="133">
        <f t="shared" si="451"/>
        <v>4592.6000000000004</v>
      </c>
      <c r="O1979" s="134">
        <f t="shared" si="452"/>
        <v>45.606752730883812</v>
      </c>
      <c r="P1979" s="134">
        <f t="shared" si="453"/>
        <v>1.2412432432432434</v>
      </c>
      <c r="R1979" s="149">
        <f t="shared" si="454"/>
        <v>5.151570656653548</v>
      </c>
      <c r="S1979" s="140">
        <f t="shared" si="456"/>
        <v>45.683548493876195</v>
      </c>
    </row>
    <row r="1980" spans="1:19" ht="15" x14ac:dyDescent="0.25">
      <c r="A1980" s="60" t="s">
        <v>22</v>
      </c>
      <c r="B1980" s="60" t="s">
        <v>14</v>
      </c>
      <c r="C1980" s="60" t="s">
        <v>24</v>
      </c>
      <c r="D1980" s="60" t="s">
        <v>91</v>
      </c>
      <c r="E1980" s="89">
        <f t="shared" si="457"/>
        <v>41883</v>
      </c>
      <c r="F1980" s="61"/>
      <c r="G1980" s="92">
        <v>2862</v>
      </c>
      <c r="H1980" s="138">
        <v>615</v>
      </c>
      <c r="I1980" s="138" t="s">
        <v>94</v>
      </c>
      <c r="J1980" s="141">
        <f t="shared" si="455"/>
        <v>0.48</v>
      </c>
      <c r="K1980" s="95">
        <f t="shared" si="448"/>
        <v>28.421052631578945</v>
      </c>
      <c r="L1980" s="95">
        <f t="shared" si="449"/>
        <v>0.7735135135135135</v>
      </c>
      <c r="M1980" s="133">
        <f t="shared" si="450"/>
        <v>295.2</v>
      </c>
      <c r="N1980" s="133">
        <f t="shared" si="451"/>
        <v>3157.2</v>
      </c>
      <c r="O1980" s="134">
        <f t="shared" si="452"/>
        <v>31.352532274081426</v>
      </c>
      <c r="P1980" s="134">
        <f t="shared" si="453"/>
        <v>0.8532972972972972</v>
      </c>
      <c r="R1980" s="149">
        <f t="shared" si="454"/>
        <v>3.8877280729175068</v>
      </c>
      <c r="S1980" s="140">
        <f t="shared" si="456"/>
        <v>31.372889771598807</v>
      </c>
    </row>
    <row r="1981" spans="1:19" ht="15" x14ac:dyDescent="0.25">
      <c r="A1981" s="85" t="s">
        <v>22</v>
      </c>
      <c r="B1981" s="85" t="s">
        <v>34</v>
      </c>
      <c r="C1981" s="85" t="s">
        <v>26</v>
      </c>
      <c r="D1981" s="85" t="s">
        <v>91</v>
      </c>
      <c r="E1981" s="91">
        <f t="shared" si="457"/>
        <v>41883</v>
      </c>
      <c r="F1981" s="86"/>
      <c r="G1981" s="105">
        <v>5110</v>
      </c>
      <c r="H1981" s="143">
        <v>1637</v>
      </c>
      <c r="I1981" s="143" t="s">
        <v>92</v>
      </c>
      <c r="J1981" s="117">
        <f t="shared" si="455"/>
        <v>0.36</v>
      </c>
      <c r="K1981" s="108">
        <f t="shared" si="448"/>
        <v>50.744786494538232</v>
      </c>
      <c r="L1981" s="108">
        <f t="shared" si="449"/>
        <v>1.3810810810810812</v>
      </c>
      <c r="M1981" s="115">
        <f t="shared" si="450"/>
        <v>589.31999999999994</v>
      </c>
      <c r="N1981" s="115">
        <f t="shared" si="451"/>
        <v>5699.32</v>
      </c>
      <c r="O1981" s="116">
        <f t="shared" si="452"/>
        <v>56.597020854021842</v>
      </c>
      <c r="P1981" s="116">
        <f t="shared" si="453"/>
        <v>1.5403567567567567</v>
      </c>
      <c r="Q1981" s="106"/>
      <c r="R1981" s="152">
        <f t="shared" si="454"/>
        <v>2.7030338852327862</v>
      </c>
      <c r="S1981" s="108">
        <f>AVERAGE(O1905,O1943,O1981)</f>
        <v>56.705395564382648</v>
      </c>
    </row>
    <row r="1982" spans="1:19" ht="15" x14ac:dyDescent="0.25">
      <c r="A1982" s="82" t="s">
        <v>1</v>
      </c>
      <c r="B1982" s="82" t="s">
        <v>2</v>
      </c>
      <c r="C1982" s="82" t="s">
        <v>3</v>
      </c>
      <c r="D1982" s="82" t="s">
        <v>90</v>
      </c>
      <c r="E1982" s="87">
        <v>41913</v>
      </c>
      <c r="F1982" s="83"/>
      <c r="G1982" s="92">
        <v>3387</v>
      </c>
      <c r="H1982" s="52">
        <v>506</v>
      </c>
      <c r="I1982" s="52" t="s">
        <v>92</v>
      </c>
      <c r="J1982" s="157">
        <f>IF(I1982="BNSF",0.34,IF(I1982="CN",0.299,IF(I1982="CSX",0.46,0.35)))</f>
        <v>0.35</v>
      </c>
      <c r="K1982" s="101">
        <f t="shared" ref="K1982:K2019" si="458">G1982/100.7</f>
        <v>33.63455809334657</v>
      </c>
      <c r="L1982" s="101">
        <f t="shared" ref="L1982:L2019" si="459">IF(A1982="corn",G1982/(111*2000/56),G1982/(111*2000/60))</f>
        <v>0.91540540540540538</v>
      </c>
      <c r="M1982" s="133">
        <f t="shared" ref="M1982:M2019" si="460">H1982*J1982</f>
        <v>177.1</v>
      </c>
      <c r="N1982" s="133">
        <f t="shared" ref="N1982:N2019" si="461">G1982+M1982</f>
        <v>3564.1</v>
      </c>
      <c r="O1982" s="134">
        <f t="shared" ref="O1982:O2019" si="462">N1982/100.7</f>
        <v>35.393247269116188</v>
      </c>
      <c r="P1982" s="134">
        <f t="shared" ref="P1982:P2019" si="463">IF(A1982="corn",N1982/(111*2000/56),N1982/(111*2000/60))</f>
        <v>0.96327027027027023</v>
      </c>
      <c r="Q1982" s="160"/>
      <c r="R1982" s="149">
        <f t="shared" ref="R1982:R2019" si="464">((N1982/N1526)-1)*100</f>
        <v>5.5023059481028591</v>
      </c>
    </row>
    <row r="1983" spans="1:19" ht="15" x14ac:dyDescent="0.25">
      <c r="A1983" s="82" t="s">
        <v>1</v>
      </c>
      <c r="B1983" s="82" t="s">
        <v>4</v>
      </c>
      <c r="C1983" s="82" t="s">
        <v>5</v>
      </c>
      <c r="D1983" s="82" t="s">
        <v>90</v>
      </c>
      <c r="E1983" s="87">
        <f>E1982</f>
        <v>41913</v>
      </c>
      <c r="F1983" s="83"/>
      <c r="G1983" s="92">
        <v>3596</v>
      </c>
      <c r="H1983" s="52">
        <v>298</v>
      </c>
      <c r="I1983" s="52" t="s">
        <v>93</v>
      </c>
      <c r="J1983" s="157">
        <f t="shared" ref="J1983:J2019" si="465">IF(I1983="BNSF",0.34,IF(I1983="CN",0.299,IF(I1983="CSX",0.46,0.35)))</f>
        <v>0.34</v>
      </c>
      <c r="K1983" s="101">
        <f t="shared" si="458"/>
        <v>35.710029791459782</v>
      </c>
      <c r="L1983" s="101">
        <f t="shared" si="459"/>
        <v>0.97189189189189185</v>
      </c>
      <c r="M1983" s="133">
        <f t="shared" si="460"/>
        <v>101.32000000000001</v>
      </c>
      <c r="N1983" s="133">
        <f t="shared" si="461"/>
        <v>3697.32</v>
      </c>
      <c r="O1983" s="134">
        <f t="shared" si="462"/>
        <v>36.716186693147968</v>
      </c>
      <c r="P1983" s="134">
        <f t="shared" si="463"/>
        <v>0.99927567567567577</v>
      </c>
      <c r="Q1983" s="160"/>
      <c r="R1983" s="149">
        <f t="shared" si="464"/>
        <v>-0.16093841135426112</v>
      </c>
    </row>
    <row r="1984" spans="1:19" ht="15" x14ac:dyDescent="0.25">
      <c r="A1984" s="82" t="s">
        <v>1</v>
      </c>
      <c r="B1984" s="82" t="s">
        <v>2</v>
      </c>
      <c r="C1984" s="82" t="s">
        <v>6</v>
      </c>
      <c r="D1984" s="82" t="s">
        <v>90</v>
      </c>
      <c r="E1984" s="87">
        <f t="shared" ref="E1984:E2019" si="466">E1983</f>
        <v>41913</v>
      </c>
      <c r="F1984" s="83"/>
      <c r="G1984" s="92">
        <v>6244</v>
      </c>
      <c r="H1984" s="52">
        <v>1530</v>
      </c>
      <c r="I1984" s="52" t="s">
        <v>93</v>
      </c>
      <c r="J1984" s="157">
        <f t="shared" si="465"/>
        <v>0.34</v>
      </c>
      <c r="K1984" s="101">
        <f t="shared" si="458"/>
        <v>62.005958291956304</v>
      </c>
      <c r="L1984" s="101">
        <f t="shared" si="459"/>
        <v>1.6875675675675677</v>
      </c>
      <c r="M1984" s="133">
        <f t="shared" si="460"/>
        <v>520.20000000000005</v>
      </c>
      <c r="N1984" s="133">
        <f t="shared" si="461"/>
        <v>6764.2</v>
      </c>
      <c r="O1984" s="134">
        <f t="shared" si="462"/>
        <v>67.171797418073481</v>
      </c>
      <c r="P1984" s="134">
        <f t="shared" si="463"/>
        <v>1.8281621621621622</v>
      </c>
      <c r="R1984" s="149">
        <f t="shared" si="464"/>
        <v>-0.45034438099723628</v>
      </c>
    </row>
    <row r="1985" spans="1:18" ht="15" x14ac:dyDescent="0.25">
      <c r="A1985" s="82" t="s">
        <v>1</v>
      </c>
      <c r="B1985" s="82" t="s">
        <v>2</v>
      </c>
      <c r="C1985" s="82" t="s">
        <v>7</v>
      </c>
      <c r="D1985" s="82" t="s">
        <v>90</v>
      </c>
      <c r="E1985" s="87">
        <f t="shared" si="466"/>
        <v>41913</v>
      </c>
      <c r="F1985" s="83"/>
      <c r="G1985" s="92">
        <v>4026</v>
      </c>
      <c r="H1985" s="52">
        <v>890</v>
      </c>
      <c r="I1985" s="52" t="s">
        <v>92</v>
      </c>
      <c r="J1985" s="157">
        <f t="shared" si="465"/>
        <v>0.35</v>
      </c>
      <c r="K1985" s="101">
        <f t="shared" si="458"/>
        <v>39.98013902681231</v>
      </c>
      <c r="L1985" s="101">
        <f t="shared" si="459"/>
        <v>1.0881081081081081</v>
      </c>
      <c r="M1985" s="133">
        <f t="shared" si="460"/>
        <v>311.5</v>
      </c>
      <c r="N1985" s="133">
        <f t="shared" si="461"/>
        <v>4337.5</v>
      </c>
      <c r="O1985" s="134">
        <f t="shared" si="462"/>
        <v>43.073485600794434</v>
      </c>
      <c r="P1985" s="134">
        <f t="shared" si="463"/>
        <v>1.1722972972972974</v>
      </c>
      <c r="R1985" s="149">
        <f t="shared" si="464"/>
        <v>4.8389045996181101</v>
      </c>
    </row>
    <row r="1986" spans="1:18" ht="15" x14ac:dyDescent="0.25">
      <c r="A1986" s="82" t="s">
        <v>1</v>
      </c>
      <c r="B1986" s="82" t="s">
        <v>8</v>
      </c>
      <c r="C1986" s="82" t="s">
        <v>9</v>
      </c>
      <c r="D1986" s="82" t="s">
        <v>90</v>
      </c>
      <c r="E1986" s="87">
        <f t="shared" si="466"/>
        <v>41913</v>
      </c>
      <c r="F1986" s="83"/>
      <c r="G1986" s="92">
        <v>5824</v>
      </c>
      <c r="H1986" s="52">
        <v>1256</v>
      </c>
      <c r="I1986" s="52" t="s">
        <v>93</v>
      </c>
      <c r="J1986" s="157">
        <f t="shared" si="465"/>
        <v>0.34</v>
      </c>
      <c r="K1986" s="101">
        <f t="shared" si="458"/>
        <v>57.835153922542204</v>
      </c>
      <c r="L1986" s="101">
        <f t="shared" si="459"/>
        <v>1.574054054054054</v>
      </c>
      <c r="M1986" s="133">
        <f t="shared" si="460"/>
        <v>427.04</v>
      </c>
      <c r="N1986" s="133">
        <f t="shared" si="461"/>
        <v>6251.04</v>
      </c>
      <c r="O1986" s="134">
        <f t="shared" si="462"/>
        <v>62.075868917576962</v>
      </c>
      <c r="P1986" s="134">
        <f t="shared" si="463"/>
        <v>1.6894702702702702</v>
      </c>
      <c r="R1986" s="149">
        <f t="shared" si="464"/>
        <v>-0.40024473563452512</v>
      </c>
    </row>
    <row r="1987" spans="1:18" ht="15" x14ac:dyDescent="0.25">
      <c r="A1987" s="82" t="s">
        <v>1</v>
      </c>
      <c r="B1987" s="82" t="s">
        <v>10</v>
      </c>
      <c r="C1987" s="82" t="s">
        <v>9</v>
      </c>
      <c r="D1987" s="82" t="s">
        <v>90</v>
      </c>
      <c r="E1987" s="87">
        <f t="shared" si="466"/>
        <v>41913</v>
      </c>
      <c r="F1987" s="83"/>
      <c r="G1987" s="92">
        <v>4293</v>
      </c>
      <c r="H1987" s="52">
        <v>975</v>
      </c>
      <c r="I1987" s="52" t="s">
        <v>92</v>
      </c>
      <c r="J1987" s="157">
        <f t="shared" si="465"/>
        <v>0.35</v>
      </c>
      <c r="K1987" s="101">
        <f t="shared" si="458"/>
        <v>42.631578947368418</v>
      </c>
      <c r="L1987" s="101">
        <f t="shared" si="459"/>
        <v>1.1602702702702703</v>
      </c>
      <c r="M1987" s="133">
        <f t="shared" si="460"/>
        <v>341.25</v>
      </c>
      <c r="N1987" s="133">
        <f t="shared" si="461"/>
        <v>4634.25</v>
      </c>
      <c r="O1987" s="134">
        <f t="shared" si="462"/>
        <v>46.020357497517374</v>
      </c>
      <c r="P1987" s="134">
        <f t="shared" si="463"/>
        <v>1.2524999999999999</v>
      </c>
      <c r="R1987" s="149">
        <f t="shared" si="464"/>
        <v>4.4514565842114218</v>
      </c>
    </row>
    <row r="1988" spans="1:18" ht="15" x14ac:dyDescent="0.25">
      <c r="A1988" s="82" t="s">
        <v>1</v>
      </c>
      <c r="B1988" s="82" t="s">
        <v>11</v>
      </c>
      <c r="C1988" s="82" t="s">
        <v>6</v>
      </c>
      <c r="D1988" s="82" t="s">
        <v>90</v>
      </c>
      <c r="E1988" s="87">
        <f t="shared" si="466"/>
        <v>41913</v>
      </c>
      <c r="F1988" s="83"/>
      <c r="G1988" s="92">
        <v>4492</v>
      </c>
      <c r="H1988" s="52">
        <v>1357</v>
      </c>
      <c r="I1988" s="52" t="s">
        <v>92</v>
      </c>
      <c r="J1988" s="157">
        <f t="shared" si="465"/>
        <v>0.35</v>
      </c>
      <c r="K1988" s="101">
        <f t="shared" si="458"/>
        <v>44.607745779543194</v>
      </c>
      <c r="L1988" s="101">
        <f t="shared" si="459"/>
        <v>1.2140540540540541</v>
      </c>
      <c r="M1988" s="133">
        <f t="shared" si="460"/>
        <v>474.95</v>
      </c>
      <c r="N1988" s="133">
        <f t="shared" si="461"/>
        <v>4966.95</v>
      </c>
      <c r="O1988" s="134">
        <f t="shared" si="462"/>
        <v>49.324230387288971</v>
      </c>
      <c r="P1988" s="134">
        <f t="shared" si="463"/>
        <v>1.3424189189189188</v>
      </c>
      <c r="R1988" s="149">
        <f t="shared" si="464"/>
        <v>3.9743860802287534</v>
      </c>
    </row>
    <row r="1989" spans="1:18" ht="15" x14ac:dyDescent="0.25">
      <c r="A1989" s="82" t="s">
        <v>134</v>
      </c>
      <c r="B1989" s="82" t="s">
        <v>13</v>
      </c>
      <c r="C1989" s="82" t="s">
        <v>7</v>
      </c>
      <c r="D1989" s="82" t="s">
        <v>90</v>
      </c>
      <c r="E1989" s="87">
        <f t="shared" si="466"/>
        <v>41913</v>
      </c>
      <c r="F1989" s="83"/>
      <c r="G1989" s="92">
        <v>3328</v>
      </c>
      <c r="H1989" s="52">
        <v>1006</v>
      </c>
      <c r="I1989" s="52" t="s">
        <v>92</v>
      </c>
      <c r="J1989" s="157">
        <f t="shared" si="465"/>
        <v>0.35</v>
      </c>
      <c r="K1989" s="101">
        <f t="shared" si="458"/>
        <v>33.048659384309829</v>
      </c>
      <c r="L1989" s="101">
        <f t="shared" si="459"/>
        <v>0.83949549549549551</v>
      </c>
      <c r="M1989" s="133">
        <f t="shared" si="460"/>
        <v>352.09999999999997</v>
      </c>
      <c r="N1989" s="133">
        <f t="shared" si="461"/>
        <v>3680.1</v>
      </c>
      <c r="O1989" s="134">
        <f t="shared" si="462"/>
        <v>36.545183714001986</v>
      </c>
      <c r="P1989" s="134">
        <f t="shared" si="463"/>
        <v>0.92831351351351354</v>
      </c>
      <c r="R1989" s="149">
        <f t="shared" si="464"/>
        <v>3.2512022265741125</v>
      </c>
    </row>
    <row r="1990" spans="1:18" ht="15" x14ac:dyDescent="0.25">
      <c r="A1990" s="82" t="s">
        <v>134</v>
      </c>
      <c r="B1990" s="82" t="s">
        <v>14</v>
      </c>
      <c r="C1990" s="82" t="s">
        <v>15</v>
      </c>
      <c r="D1990" s="82" t="s">
        <v>90</v>
      </c>
      <c r="E1990" s="87">
        <f t="shared" si="466"/>
        <v>41913</v>
      </c>
      <c r="F1990" s="83"/>
      <c r="G1990" s="92">
        <v>4875</v>
      </c>
      <c r="H1990" s="52">
        <v>866</v>
      </c>
      <c r="I1990" s="52" t="s">
        <v>94</v>
      </c>
      <c r="J1990" s="157">
        <f t="shared" si="465"/>
        <v>0.46</v>
      </c>
      <c r="K1990" s="101">
        <f t="shared" si="458"/>
        <v>48.4111221449851</v>
      </c>
      <c r="L1990" s="101">
        <f t="shared" si="459"/>
        <v>1.2297297297297298</v>
      </c>
      <c r="M1990" s="133">
        <f t="shared" si="460"/>
        <v>398.36</v>
      </c>
      <c r="N1990" s="133">
        <f t="shared" si="461"/>
        <v>5273.36</v>
      </c>
      <c r="O1990" s="134">
        <f t="shared" si="462"/>
        <v>52.367030784508437</v>
      </c>
      <c r="P1990" s="134">
        <f t="shared" si="463"/>
        <v>1.3302169369369368</v>
      </c>
      <c r="R1990" s="149">
        <f t="shared" si="464"/>
        <v>3.3651659845384208</v>
      </c>
    </row>
    <row r="1991" spans="1:18" ht="15" x14ac:dyDescent="0.25">
      <c r="A1991" s="82" t="s">
        <v>134</v>
      </c>
      <c r="B1991" s="82" t="s">
        <v>16</v>
      </c>
      <c r="C1991" s="82" t="s">
        <v>17</v>
      </c>
      <c r="D1991" s="82" t="s">
        <v>90</v>
      </c>
      <c r="E1991" s="87">
        <f t="shared" si="466"/>
        <v>41913</v>
      </c>
      <c r="F1991" s="83"/>
      <c r="G1991" s="92">
        <v>2168</v>
      </c>
      <c r="H1991" s="52">
        <v>213</v>
      </c>
      <c r="I1991" s="52" t="s">
        <v>92</v>
      </c>
      <c r="J1991" s="157">
        <f t="shared" si="465"/>
        <v>0.35</v>
      </c>
      <c r="K1991" s="101">
        <f t="shared" si="458"/>
        <v>21.529294935451837</v>
      </c>
      <c r="L1991" s="101">
        <f t="shared" si="459"/>
        <v>0.54688288288288289</v>
      </c>
      <c r="M1991" s="133">
        <f t="shared" si="460"/>
        <v>74.55</v>
      </c>
      <c r="N1991" s="133">
        <f t="shared" si="461"/>
        <v>2242.5500000000002</v>
      </c>
      <c r="O1991" s="134">
        <f t="shared" si="462"/>
        <v>22.269612711022841</v>
      </c>
      <c r="P1991" s="134">
        <f t="shared" si="463"/>
        <v>0.56568828828828832</v>
      </c>
      <c r="R1991" s="149">
        <f t="shared" si="464"/>
        <v>3.9753153963492549</v>
      </c>
    </row>
    <row r="1992" spans="1:18" ht="15" x14ac:dyDescent="0.25">
      <c r="A1992" s="82" t="s">
        <v>134</v>
      </c>
      <c r="B1992" s="82" t="s">
        <v>18</v>
      </c>
      <c r="C1992" s="82" t="s">
        <v>19</v>
      </c>
      <c r="D1992" s="82" t="s">
        <v>90</v>
      </c>
      <c r="E1992" s="87">
        <f t="shared" si="466"/>
        <v>41913</v>
      </c>
      <c r="F1992" s="83"/>
      <c r="G1992" s="92">
        <v>4211</v>
      </c>
      <c r="H1992" s="52">
        <v>650</v>
      </c>
      <c r="I1992" s="52" t="s">
        <v>94</v>
      </c>
      <c r="J1992" s="157">
        <f t="shared" si="465"/>
        <v>0.46</v>
      </c>
      <c r="K1992" s="101">
        <f t="shared" si="458"/>
        <v>41.817279046673285</v>
      </c>
      <c r="L1992" s="101">
        <f t="shared" si="459"/>
        <v>1.0622342342342344</v>
      </c>
      <c r="M1992" s="133">
        <f t="shared" si="460"/>
        <v>299</v>
      </c>
      <c r="N1992" s="133">
        <f t="shared" si="461"/>
        <v>4510</v>
      </c>
      <c r="O1992" s="134">
        <f t="shared" si="462"/>
        <v>44.786494538232375</v>
      </c>
      <c r="P1992" s="134">
        <f t="shared" si="463"/>
        <v>1.1376576576576576</v>
      </c>
      <c r="R1992" s="149">
        <f t="shared" si="464"/>
        <v>3.1328607363366068</v>
      </c>
    </row>
    <row r="1993" spans="1:18" ht="15" x14ac:dyDescent="0.25">
      <c r="A1993" s="82" t="s">
        <v>134</v>
      </c>
      <c r="B1993" s="82" t="s">
        <v>18</v>
      </c>
      <c r="C1993" s="82" t="s">
        <v>20</v>
      </c>
      <c r="D1993" s="82" t="s">
        <v>90</v>
      </c>
      <c r="E1993" s="87">
        <f t="shared" si="466"/>
        <v>41913</v>
      </c>
      <c r="F1993" s="83"/>
      <c r="G1993" s="92">
        <v>3593</v>
      </c>
      <c r="H1993" s="52">
        <v>417</v>
      </c>
      <c r="I1993" s="52" t="s">
        <v>94</v>
      </c>
      <c r="J1993" s="157">
        <f t="shared" si="465"/>
        <v>0.46</v>
      </c>
      <c r="K1993" s="101">
        <f t="shared" si="458"/>
        <v>35.680238331678254</v>
      </c>
      <c r="L1993" s="101">
        <f t="shared" si="459"/>
        <v>0.90634234234234234</v>
      </c>
      <c r="M1993" s="133">
        <f t="shared" si="460"/>
        <v>191.82000000000002</v>
      </c>
      <c r="N1993" s="133">
        <f t="shared" si="461"/>
        <v>3784.82</v>
      </c>
      <c r="O1993" s="134">
        <f t="shared" si="462"/>
        <v>37.585104270109234</v>
      </c>
      <c r="P1993" s="134">
        <f t="shared" si="463"/>
        <v>0.95472936936936947</v>
      </c>
      <c r="R1993" s="149">
        <f t="shared" si="464"/>
        <v>3.1522201266775074</v>
      </c>
    </row>
    <row r="1994" spans="1:18" ht="15" x14ac:dyDescent="0.25">
      <c r="A1994" s="82" t="s">
        <v>134</v>
      </c>
      <c r="B1994" s="82" t="s">
        <v>16</v>
      </c>
      <c r="C1994" s="82" t="s">
        <v>21</v>
      </c>
      <c r="D1994" s="82" t="s">
        <v>90</v>
      </c>
      <c r="E1994" s="87">
        <f t="shared" si="466"/>
        <v>41913</v>
      </c>
      <c r="F1994" s="83"/>
      <c r="G1994" s="92">
        <v>3308</v>
      </c>
      <c r="H1994" s="52">
        <v>626</v>
      </c>
      <c r="I1994" s="52" t="s">
        <v>92</v>
      </c>
      <c r="J1994" s="157">
        <f t="shared" si="465"/>
        <v>0.35</v>
      </c>
      <c r="K1994" s="101">
        <f t="shared" si="458"/>
        <v>32.850049652432965</v>
      </c>
      <c r="L1994" s="101">
        <f t="shared" si="459"/>
        <v>0.83445045045045041</v>
      </c>
      <c r="M1994" s="133">
        <f t="shared" si="460"/>
        <v>219.1</v>
      </c>
      <c r="N1994" s="133">
        <f t="shared" si="461"/>
        <v>3527.1</v>
      </c>
      <c r="O1994" s="134">
        <f t="shared" si="462"/>
        <v>35.025819265143987</v>
      </c>
      <c r="P1994" s="134">
        <f t="shared" si="463"/>
        <v>0.88971891891891886</v>
      </c>
      <c r="R1994" s="149">
        <f t="shared" si="464"/>
        <v>2.2460444918570799</v>
      </c>
    </row>
    <row r="1995" spans="1:18" ht="15" x14ac:dyDescent="0.25">
      <c r="A1995" s="82" t="s">
        <v>134</v>
      </c>
      <c r="B1995" s="82" t="s">
        <v>16</v>
      </c>
      <c r="C1995" s="82" t="s">
        <v>6</v>
      </c>
      <c r="D1995" s="82" t="s">
        <v>90</v>
      </c>
      <c r="E1995" s="87">
        <f t="shared" si="466"/>
        <v>41913</v>
      </c>
      <c r="F1995" s="83"/>
      <c r="G1995" s="92">
        <v>5365</v>
      </c>
      <c r="H1995" s="52">
        <v>1823</v>
      </c>
      <c r="I1995" s="52" t="s">
        <v>92</v>
      </c>
      <c r="J1995" s="157">
        <f t="shared" si="465"/>
        <v>0.35</v>
      </c>
      <c r="K1995" s="101">
        <f t="shared" si="458"/>
        <v>53.277060575968221</v>
      </c>
      <c r="L1995" s="101">
        <f t="shared" si="459"/>
        <v>1.3533333333333333</v>
      </c>
      <c r="M1995" s="133">
        <f t="shared" si="460"/>
        <v>638.04999999999995</v>
      </c>
      <c r="N1995" s="133">
        <f t="shared" si="461"/>
        <v>6003.05</v>
      </c>
      <c r="O1995" s="134">
        <f t="shared" si="462"/>
        <v>59.613207547169814</v>
      </c>
      <c r="P1995" s="134">
        <f t="shared" si="463"/>
        <v>1.5142828828828829</v>
      </c>
      <c r="R1995" s="149">
        <f t="shared" si="464"/>
        <v>1.9278344038808015</v>
      </c>
    </row>
    <row r="1996" spans="1:18" ht="15" x14ac:dyDescent="0.25">
      <c r="A1996" s="82" t="s">
        <v>22</v>
      </c>
      <c r="B1996" s="82" t="s">
        <v>23</v>
      </c>
      <c r="C1996" s="82" t="s">
        <v>7</v>
      </c>
      <c r="D1996" s="82" t="s">
        <v>90</v>
      </c>
      <c r="E1996" s="87">
        <f t="shared" si="466"/>
        <v>41913</v>
      </c>
      <c r="F1996" s="83"/>
      <c r="G1996" s="92">
        <v>3649</v>
      </c>
      <c r="H1996" s="52">
        <v>1295</v>
      </c>
      <c r="I1996" s="52" t="s">
        <v>95</v>
      </c>
      <c r="J1996" s="157">
        <f t="shared" si="465"/>
        <v>0.29899999999999999</v>
      </c>
      <c r="K1996" s="101">
        <f t="shared" si="458"/>
        <v>36.236345580933467</v>
      </c>
      <c r="L1996" s="101">
        <f t="shared" si="459"/>
        <v>0.98621621621621625</v>
      </c>
      <c r="M1996" s="133">
        <f t="shared" si="460"/>
        <v>387.20499999999998</v>
      </c>
      <c r="N1996" s="133">
        <f t="shared" si="461"/>
        <v>4036.2049999999999</v>
      </c>
      <c r="O1996" s="134">
        <f t="shared" si="462"/>
        <v>40.08147964250248</v>
      </c>
      <c r="P1996" s="134">
        <f t="shared" si="463"/>
        <v>1.0908662162162162</v>
      </c>
      <c r="R1996" s="149">
        <f t="shared" si="464"/>
        <v>2.5433186042774558</v>
      </c>
    </row>
    <row r="1997" spans="1:18" ht="15" x14ac:dyDescent="0.25">
      <c r="A1997" s="82" t="s">
        <v>22</v>
      </c>
      <c r="B1997" s="82" t="s">
        <v>14</v>
      </c>
      <c r="C1997" s="82" t="s">
        <v>24</v>
      </c>
      <c r="D1997" s="82" t="s">
        <v>90</v>
      </c>
      <c r="E1997" s="87">
        <f t="shared" si="466"/>
        <v>41913</v>
      </c>
      <c r="F1997" s="83"/>
      <c r="G1997" s="92">
        <v>3807</v>
      </c>
      <c r="H1997" s="52">
        <v>615</v>
      </c>
      <c r="I1997" s="52" t="s">
        <v>94</v>
      </c>
      <c r="J1997" s="157">
        <f t="shared" si="465"/>
        <v>0.46</v>
      </c>
      <c r="K1997" s="101">
        <f t="shared" si="458"/>
        <v>37.805362462760677</v>
      </c>
      <c r="L1997" s="101">
        <f t="shared" si="459"/>
        <v>1.028918918918919</v>
      </c>
      <c r="M1997" s="133">
        <f t="shared" si="460"/>
        <v>282.90000000000003</v>
      </c>
      <c r="N1997" s="133">
        <f t="shared" si="461"/>
        <v>4089.9</v>
      </c>
      <c r="O1997" s="134">
        <f t="shared" si="462"/>
        <v>40.614697120158887</v>
      </c>
      <c r="P1997" s="134">
        <f t="shared" si="463"/>
        <v>1.1053783783783784</v>
      </c>
      <c r="R1997" s="149">
        <f t="shared" si="464"/>
        <v>2.7045351815579322</v>
      </c>
    </row>
    <row r="1998" spans="1:18" ht="15" x14ac:dyDescent="0.25">
      <c r="A1998" s="82" t="s">
        <v>22</v>
      </c>
      <c r="B1998" s="82" t="s">
        <v>18</v>
      </c>
      <c r="C1998" s="82" t="s">
        <v>15</v>
      </c>
      <c r="D1998" s="82" t="s">
        <v>90</v>
      </c>
      <c r="E1998" s="87">
        <f t="shared" si="466"/>
        <v>41913</v>
      </c>
      <c r="F1998" s="83"/>
      <c r="G1998" s="92">
        <v>4946</v>
      </c>
      <c r="H1998" s="52">
        <v>872</v>
      </c>
      <c r="I1998" s="52" t="s">
        <v>94</v>
      </c>
      <c r="J1998" s="157">
        <f t="shared" si="465"/>
        <v>0.46</v>
      </c>
      <c r="K1998" s="101">
        <f t="shared" si="458"/>
        <v>49.116186693147959</v>
      </c>
      <c r="L1998" s="101">
        <f t="shared" si="459"/>
        <v>1.3367567567567566</v>
      </c>
      <c r="M1998" s="133">
        <f t="shared" si="460"/>
        <v>401.12</v>
      </c>
      <c r="N1998" s="133">
        <f t="shared" si="461"/>
        <v>5347.12</v>
      </c>
      <c r="O1998" s="134">
        <f t="shared" si="462"/>
        <v>53.099503475670303</v>
      </c>
      <c r="P1998" s="134">
        <f t="shared" si="463"/>
        <v>1.4451675675675675</v>
      </c>
      <c r="R1998" s="149">
        <f t="shared" si="464"/>
        <v>3.3347762901579925</v>
      </c>
    </row>
    <row r="1999" spans="1:18" ht="15" x14ac:dyDescent="0.25">
      <c r="A1999" s="82" t="s">
        <v>22</v>
      </c>
      <c r="B1999" s="82" t="s">
        <v>18</v>
      </c>
      <c r="C1999" s="82" t="s">
        <v>24</v>
      </c>
      <c r="D1999" s="82" t="s">
        <v>90</v>
      </c>
      <c r="E1999" s="87">
        <f t="shared" si="466"/>
        <v>41913</v>
      </c>
      <c r="F1999" s="83"/>
      <c r="G1999" s="92">
        <v>3499</v>
      </c>
      <c r="H1999" s="52">
        <v>417</v>
      </c>
      <c r="I1999" s="52" t="s">
        <v>94</v>
      </c>
      <c r="J1999" s="157">
        <f t="shared" si="465"/>
        <v>0.46</v>
      </c>
      <c r="K1999" s="101">
        <f t="shared" si="458"/>
        <v>34.746772591857003</v>
      </c>
      <c r="L1999" s="101">
        <f t="shared" si="459"/>
        <v>0.94567567567567568</v>
      </c>
      <c r="M1999" s="133">
        <f t="shared" si="460"/>
        <v>191.82000000000002</v>
      </c>
      <c r="N1999" s="133">
        <f t="shared" si="461"/>
        <v>3690.82</v>
      </c>
      <c r="O1999" s="134">
        <f t="shared" si="462"/>
        <v>36.651638530287983</v>
      </c>
      <c r="P1999" s="134">
        <f t="shared" si="463"/>
        <v>0.99751891891891897</v>
      </c>
      <c r="R1999" s="149">
        <f t="shared" si="464"/>
        <v>3.1197264162541094</v>
      </c>
    </row>
    <row r="2000" spans="1:18" ht="15" x14ac:dyDescent="0.25">
      <c r="A2000" s="82" t="s">
        <v>22</v>
      </c>
      <c r="B2000" s="82" t="s">
        <v>13</v>
      </c>
      <c r="C2000" s="82" t="s">
        <v>7</v>
      </c>
      <c r="D2000" s="82" t="s">
        <v>90</v>
      </c>
      <c r="E2000" s="87">
        <f t="shared" si="466"/>
        <v>41913</v>
      </c>
      <c r="F2000" s="83"/>
      <c r="G2000" s="92">
        <v>3974</v>
      </c>
      <c r="H2000" s="52">
        <v>1006</v>
      </c>
      <c r="I2000" s="52" t="s">
        <v>92</v>
      </c>
      <c r="J2000" s="157">
        <f t="shared" si="465"/>
        <v>0.35</v>
      </c>
      <c r="K2000" s="101">
        <f t="shared" si="458"/>
        <v>39.46375372393247</v>
      </c>
      <c r="L2000" s="101">
        <f t="shared" si="459"/>
        <v>1.074054054054054</v>
      </c>
      <c r="M2000" s="133">
        <f t="shared" si="460"/>
        <v>352.09999999999997</v>
      </c>
      <c r="N2000" s="133">
        <f t="shared" si="461"/>
        <v>4326.1000000000004</v>
      </c>
      <c r="O2000" s="134">
        <f t="shared" si="462"/>
        <v>42.960278053624627</v>
      </c>
      <c r="P2000" s="134">
        <f t="shared" si="463"/>
        <v>1.1692162162162163</v>
      </c>
      <c r="R2000" s="149">
        <f t="shared" si="464"/>
        <v>4.9968205581255365</v>
      </c>
    </row>
    <row r="2001" spans="1:18" ht="15" x14ac:dyDescent="0.25">
      <c r="A2001" s="82" t="s">
        <v>1</v>
      </c>
      <c r="B2001" s="82" t="s">
        <v>25</v>
      </c>
      <c r="C2001" s="82" t="s">
        <v>26</v>
      </c>
      <c r="D2001" s="82" t="s">
        <v>91</v>
      </c>
      <c r="E2001" s="87">
        <f t="shared" si="466"/>
        <v>41913</v>
      </c>
      <c r="F2001" s="83"/>
      <c r="G2001" s="92">
        <v>3678</v>
      </c>
      <c r="H2001" s="52">
        <v>880</v>
      </c>
      <c r="I2001" s="52" t="s">
        <v>93</v>
      </c>
      <c r="J2001" s="157">
        <f t="shared" si="465"/>
        <v>0.34</v>
      </c>
      <c r="K2001" s="101">
        <f t="shared" si="458"/>
        <v>36.524329692154915</v>
      </c>
      <c r="L2001" s="101">
        <f t="shared" si="459"/>
        <v>0.994054054054054</v>
      </c>
      <c r="M2001" s="133">
        <f t="shared" si="460"/>
        <v>299.20000000000005</v>
      </c>
      <c r="N2001" s="133">
        <f t="shared" si="461"/>
        <v>3977.2</v>
      </c>
      <c r="O2001" s="134">
        <f t="shared" si="462"/>
        <v>39.495531281032768</v>
      </c>
      <c r="P2001" s="134">
        <f t="shared" si="463"/>
        <v>1.0749189189189188</v>
      </c>
      <c r="R2001" s="149">
        <f t="shared" si="464"/>
        <v>-0.44057274456794637</v>
      </c>
    </row>
    <row r="2002" spans="1:18" ht="15" x14ac:dyDescent="0.25">
      <c r="A2002" s="82" t="s">
        <v>1</v>
      </c>
      <c r="B2002" s="82" t="s">
        <v>2</v>
      </c>
      <c r="C2002" s="82" t="s">
        <v>9</v>
      </c>
      <c r="D2002" s="82" t="s">
        <v>91</v>
      </c>
      <c r="E2002" s="87">
        <f t="shared" si="466"/>
        <v>41913</v>
      </c>
      <c r="F2002" s="83"/>
      <c r="G2002" s="92">
        <v>3471</v>
      </c>
      <c r="H2002" s="52">
        <v>685</v>
      </c>
      <c r="I2002" s="52" t="s">
        <v>93</v>
      </c>
      <c r="J2002" s="157">
        <f t="shared" si="465"/>
        <v>0.34</v>
      </c>
      <c r="K2002" s="101">
        <f t="shared" si="458"/>
        <v>34.468718967229393</v>
      </c>
      <c r="L2002" s="101">
        <f t="shared" si="459"/>
        <v>0.93810810810810807</v>
      </c>
      <c r="M2002" s="133">
        <f t="shared" si="460"/>
        <v>232.9</v>
      </c>
      <c r="N2002" s="133">
        <f t="shared" si="461"/>
        <v>3703.9</v>
      </c>
      <c r="O2002" s="134">
        <f t="shared" si="462"/>
        <v>36.781529294935453</v>
      </c>
      <c r="P2002" s="134">
        <f t="shared" si="463"/>
        <v>1.001054054054054</v>
      </c>
      <c r="R2002" s="149">
        <f t="shared" si="464"/>
        <v>-8.4235771151658927</v>
      </c>
    </row>
    <row r="2003" spans="1:18" ht="15" x14ac:dyDescent="0.25">
      <c r="A2003" s="82" t="s">
        <v>1</v>
      </c>
      <c r="B2003" s="82" t="s">
        <v>27</v>
      </c>
      <c r="C2003" s="82" t="s">
        <v>28</v>
      </c>
      <c r="D2003" s="82" t="s">
        <v>91</v>
      </c>
      <c r="E2003" s="87">
        <f t="shared" si="466"/>
        <v>41913</v>
      </c>
      <c r="F2003" s="83"/>
      <c r="G2003" s="92">
        <v>4140</v>
      </c>
      <c r="H2003" s="52">
        <v>812</v>
      </c>
      <c r="I2003" s="52" t="s">
        <v>94</v>
      </c>
      <c r="J2003" s="157">
        <f t="shared" si="465"/>
        <v>0.46</v>
      </c>
      <c r="K2003" s="101">
        <f t="shared" si="458"/>
        <v>41.112214498510426</v>
      </c>
      <c r="L2003" s="101">
        <f t="shared" si="459"/>
        <v>1.1189189189189188</v>
      </c>
      <c r="M2003" s="133">
        <f t="shared" si="460"/>
        <v>373.52000000000004</v>
      </c>
      <c r="N2003" s="133">
        <f t="shared" si="461"/>
        <v>4513.5200000000004</v>
      </c>
      <c r="O2003" s="134">
        <f t="shared" si="462"/>
        <v>44.821449851042701</v>
      </c>
      <c r="P2003" s="134">
        <f t="shared" si="463"/>
        <v>1.2198702702702704</v>
      </c>
      <c r="R2003" s="149">
        <f t="shared" si="464"/>
        <v>4.003908050214755</v>
      </c>
    </row>
    <row r="2004" spans="1:18" ht="15" x14ac:dyDescent="0.25">
      <c r="A2004" s="82" t="s">
        <v>1</v>
      </c>
      <c r="B2004" s="82" t="s">
        <v>4</v>
      </c>
      <c r="C2004" s="82" t="s">
        <v>26</v>
      </c>
      <c r="D2004" s="82" t="s">
        <v>91</v>
      </c>
      <c r="E2004" s="87">
        <f t="shared" si="466"/>
        <v>41913</v>
      </c>
      <c r="F2004" s="83"/>
      <c r="G2004" s="92">
        <v>5159</v>
      </c>
      <c r="H2004" s="52">
        <v>1520</v>
      </c>
      <c r="I2004" s="52" t="s">
        <v>93</v>
      </c>
      <c r="J2004" s="157">
        <f t="shared" si="465"/>
        <v>0.34</v>
      </c>
      <c r="K2004" s="101">
        <f t="shared" si="458"/>
        <v>51.231380337636544</v>
      </c>
      <c r="L2004" s="101">
        <f t="shared" si="459"/>
        <v>1.3943243243243244</v>
      </c>
      <c r="M2004" s="133">
        <f t="shared" si="460"/>
        <v>516.80000000000007</v>
      </c>
      <c r="N2004" s="133">
        <f t="shared" si="461"/>
        <v>5675.8</v>
      </c>
      <c r="O2004" s="134">
        <f t="shared" si="462"/>
        <v>56.36345580933466</v>
      </c>
      <c r="P2004" s="134">
        <f t="shared" si="463"/>
        <v>1.534</v>
      </c>
      <c r="R2004" s="149">
        <f t="shared" si="464"/>
        <v>-0.53275384669306813</v>
      </c>
    </row>
    <row r="2005" spans="1:18" ht="15" x14ac:dyDescent="0.25">
      <c r="A2005" s="82" t="s">
        <v>1</v>
      </c>
      <c r="B2005" s="82" t="s">
        <v>4</v>
      </c>
      <c r="C2005" s="82" t="s">
        <v>9</v>
      </c>
      <c r="D2005" s="82" t="s">
        <v>91</v>
      </c>
      <c r="E2005" s="87">
        <f t="shared" si="466"/>
        <v>41913</v>
      </c>
      <c r="F2005" s="83"/>
      <c r="G2005" s="92">
        <v>6084</v>
      </c>
      <c r="H2005" s="52">
        <v>1583</v>
      </c>
      <c r="I2005" s="52" t="s">
        <v>93</v>
      </c>
      <c r="J2005" s="157">
        <f t="shared" si="465"/>
        <v>0.34</v>
      </c>
      <c r="K2005" s="101">
        <f t="shared" si="458"/>
        <v>60.417080436941411</v>
      </c>
      <c r="L2005" s="101">
        <f t="shared" si="459"/>
        <v>1.6443243243243244</v>
      </c>
      <c r="M2005" s="133">
        <f t="shared" si="460"/>
        <v>538.22</v>
      </c>
      <c r="N2005" s="133">
        <f t="shared" si="461"/>
        <v>6622.22</v>
      </c>
      <c r="O2005" s="134">
        <f t="shared" si="462"/>
        <v>65.761866931479645</v>
      </c>
      <c r="P2005" s="134">
        <f t="shared" si="463"/>
        <v>1.7897891891891893</v>
      </c>
      <c r="R2005" s="149">
        <f t="shared" si="464"/>
        <v>-0.47581260858325924</v>
      </c>
    </row>
    <row r="2006" spans="1:18" ht="15" x14ac:dyDescent="0.25">
      <c r="A2006" s="82" t="s">
        <v>1</v>
      </c>
      <c r="B2006" s="82" t="s">
        <v>10</v>
      </c>
      <c r="C2006" s="82" t="s">
        <v>26</v>
      </c>
      <c r="D2006" s="82" t="s">
        <v>91</v>
      </c>
      <c r="E2006" s="87">
        <f t="shared" si="466"/>
        <v>41913</v>
      </c>
      <c r="F2006" s="83"/>
      <c r="G2006" s="92">
        <v>5260</v>
      </c>
      <c r="H2006" s="52">
        <v>1599</v>
      </c>
      <c r="I2006" s="52" t="s">
        <v>92</v>
      </c>
      <c r="J2006" s="157">
        <f t="shared" si="465"/>
        <v>0.35</v>
      </c>
      <c r="K2006" s="101">
        <f t="shared" si="458"/>
        <v>52.234359483614696</v>
      </c>
      <c r="L2006" s="101">
        <f t="shared" si="459"/>
        <v>1.4216216216216215</v>
      </c>
      <c r="M2006" s="133">
        <f t="shared" si="460"/>
        <v>559.65</v>
      </c>
      <c r="N2006" s="133">
        <f t="shared" si="461"/>
        <v>5819.65</v>
      </c>
      <c r="O2006" s="134">
        <f t="shared" si="462"/>
        <v>57.791956305858982</v>
      </c>
      <c r="P2006" s="134">
        <f t="shared" si="463"/>
        <v>1.5728783783783782</v>
      </c>
      <c r="R2006" s="149">
        <f t="shared" si="464"/>
        <v>3.2836228820703361</v>
      </c>
    </row>
    <row r="2007" spans="1:18" ht="15" x14ac:dyDescent="0.25">
      <c r="A2007" s="82" t="s">
        <v>134</v>
      </c>
      <c r="B2007" s="82" t="s">
        <v>23</v>
      </c>
      <c r="C2007" s="82" t="s">
        <v>26</v>
      </c>
      <c r="D2007" s="82" t="s">
        <v>91</v>
      </c>
      <c r="E2007" s="87">
        <f t="shared" si="466"/>
        <v>41913</v>
      </c>
      <c r="F2007" s="83"/>
      <c r="G2007" s="92">
        <v>5000</v>
      </c>
      <c r="H2007" s="52">
        <v>1851</v>
      </c>
      <c r="I2007" s="52" t="s">
        <v>93</v>
      </c>
      <c r="J2007" s="157">
        <f t="shared" si="465"/>
        <v>0.34</v>
      </c>
      <c r="K2007" s="101">
        <f t="shared" si="458"/>
        <v>49.652432969215489</v>
      </c>
      <c r="L2007" s="101">
        <f t="shared" si="459"/>
        <v>1.2612612612612613</v>
      </c>
      <c r="M2007" s="133">
        <f t="shared" si="460"/>
        <v>629.34</v>
      </c>
      <c r="N2007" s="133">
        <f t="shared" si="461"/>
        <v>5629.34</v>
      </c>
      <c r="O2007" s="134">
        <f t="shared" si="462"/>
        <v>55.90208540218471</v>
      </c>
      <c r="P2007" s="134">
        <f t="shared" si="463"/>
        <v>1.4200136936936938</v>
      </c>
      <c r="R2007" s="149">
        <f t="shared" si="464"/>
        <v>-0.65332947430095656</v>
      </c>
    </row>
    <row r="2008" spans="1:18" ht="15" x14ac:dyDescent="0.25">
      <c r="A2008" s="82" t="s">
        <v>134</v>
      </c>
      <c r="B2008" s="82" t="s">
        <v>8</v>
      </c>
      <c r="C2008" s="82" t="s">
        <v>29</v>
      </c>
      <c r="D2008" s="82" t="s">
        <v>91</v>
      </c>
      <c r="E2008" s="87">
        <f t="shared" si="466"/>
        <v>41913</v>
      </c>
      <c r="F2008" s="83"/>
      <c r="G2008" s="92">
        <v>4960</v>
      </c>
      <c r="H2008" s="52">
        <v>1695</v>
      </c>
      <c r="I2008" s="52" t="s">
        <v>93</v>
      </c>
      <c r="J2008" s="157">
        <f t="shared" si="465"/>
        <v>0.34</v>
      </c>
      <c r="K2008" s="101">
        <f t="shared" si="458"/>
        <v>49.255213505461768</v>
      </c>
      <c r="L2008" s="101">
        <f t="shared" si="459"/>
        <v>1.2511711711711713</v>
      </c>
      <c r="M2008" s="133">
        <f t="shared" si="460"/>
        <v>576.30000000000007</v>
      </c>
      <c r="N2008" s="133">
        <f t="shared" si="461"/>
        <v>5536.3</v>
      </c>
      <c r="O2008" s="134">
        <f t="shared" si="462"/>
        <v>54.978152929493547</v>
      </c>
      <c r="P2008" s="134">
        <f t="shared" si="463"/>
        <v>1.3965441441441442</v>
      </c>
      <c r="R2008" s="149">
        <f t="shared" si="464"/>
        <v>-0.60859574162507313</v>
      </c>
    </row>
    <row r="2009" spans="1:18" ht="15" x14ac:dyDescent="0.25">
      <c r="A2009" s="82" t="s">
        <v>134</v>
      </c>
      <c r="B2009" s="82" t="s">
        <v>13</v>
      </c>
      <c r="C2009" s="82" t="s">
        <v>7</v>
      </c>
      <c r="D2009" s="82" t="s">
        <v>91</v>
      </c>
      <c r="E2009" s="87">
        <f t="shared" si="466"/>
        <v>41913</v>
      </c>
      <c r="F2009" s="83"/>
      <c r="G2009" s="92">
        <v>3147</v>
      </c>
      <c r="H2009" s="52">
        <v>1006</v>
      </c>
      <c r="I2009" s="52" t="s">
        <v>92</v>
      </c>
      <c r="J2009" s="157">
        <f t="shared" si="465"/>
        <v>0.35</v>
      </c>
      <c r="K2009" s="101">
        <f t="shared" si="458"/>
        <v>31.251241310824231</v>
      </c>
      <c r="L2009" s="101">
        <f t="shared" si="459"/>
        <v>0.7938378378378379</v>
      </c>
      <c r="M2009" s="133">
        <f t="shared" si="460"/>
        <v>352.09999999999997</v>
      </c>
      <c r="N2009" s="133">
        <f t="shared" si="461"/>
        <v>3499.1</v>
      </c>
      <c r="O2009" s="134">
        <f t="shared" si="462"/>
        <v>34.747765640516384</v>
      </c>
      <c r="P2009" s="134">
        <f t="shared" si="463"/>
        <v>0.88265585585585582</v>
      </c>
      <c r="R2009" s="149">
        <f t="shared" si="464"/>
        <v>3.4251393642742656</v>
      </c>
    </row>
    <row r="2010" spans="1:18" ht="15" x14ac:dyDescent="0.25">
      <c r="A2010" s="82" t="s">
        <v>134</v>
      </c>
      <c r="B2010" s="82" t="s">
        <v>30</v>
      </c>
      <c r="C2010" s="82" t="s">
        <v>9</v>
      </c>
      <c r="D2010" s="82" t="s">
        <v>91</v>
      </c>
      <c r="E2010" s="87">
        <f t="shared" si="466"/>
        <v>41913</v>
      </c>
      <c r="F2010" s="83"/>
      <c r="G2010" s="92">
        <v>3510</v>
      </c>
      <c r="H2010" s="52">
        <v>988</v>
      </c>
      <c r="I2010" s="52" t="s">
        <v>93</v>
      </c>
      <c r="J2010" s="157">
        <f t="shared" si="465"/>
        <v>0.34</v>
      </c>
      <c r="K2010" s="101">
        <f t="shared" si="458"/>
        <v>34.856007944389276</v>
      </c>
      <c r="L2010" s="101">
        <f t="shared" si="459"/>
        <v>0.88540540540540547</v>
      </c>
      <c r="M2010" s="133">
        <f t="shared" si="460"/>
        <v>335.92</v>
      </c>
      <c r="N2010" s="133">
        <f t="shared" si="461"/>
        <v>3845.92</v>
      </c>
      <c r="O2010" s="134">
        <f t="shared" si="462"/>
        <v>38.191857000993046</v>
      </c>
      <c r="P2010" s="134">
        <f t="shared" si="463"/>
        <v>0.97014198198198198</v>
      </c>
      <c r="R2010" s="149">
        <f t="shared" si="464"/>
        <v>-0.51116491794457319</v>
      </c>
    </row>
    <row r="2011" spans="1:18" ht="15" x14ac:dyDescent="0.25">
      <c r="A2011" s="82" t="s">
        <v>134</v>
      </c>
      <c r="B2011" s="82" t="s">
        <v>16</v>
      </c>
      <c r="C2011" s="82" t="s">
        <v>11</v>
      </c>
      <c r="D2011" s="82" t="s">
        <v>91</v>
      </c>
      <c r="E2011" s="87">
        <f t="shared" si="466"/>
        <v>41913</v>
      </c>
      <c r="F2011" s="83"/>
      <c r="G2011" s="92">
        <v>3690</v>
      </c>
      <c r="H2011" s="52">
        <v>787</v>
      </c>
      <c r="I2011" s="52" t="s">
        <v>92</v>
      </c>
      <c r="J2011" s="157">
        <f t="shared" si="465"/>
        <v>0.35</v>
      </c>
      <c r="K2011" s="101">
        <f t="shared" si="458"/>
        <v>36.643495531281033</v>
      </c>
      <c r="L2011" s="101">
        <f t="shared" si="459"/>
        <v>0.93081081081081085</v>
      </c>
      <c r="M2011" s="133">
        <f t="shared" si="460"/>
        <v>275.45</v>
      </c>
      <c r="N2011" s="133">
        <f t="shared" si="461"/>
        <v>3965.45</v>
      </c>
      <c r="O2011" s="134">
        <f t="shared" si="462"/>
        <v>39.378848063555111</v>
      </c>
      <c r="P2011" s="134">
        <f t="shared" si="463"/>
        <v>1.0002936936936937</v>
      </c>
      <c r="R2011" s="149">
        <f t="shared" si="464"/>
        <v>2.1709836416150763</v>
      </c>
    </row>
    <row r="2012" spans="1:18" ht="15" x14ac:dyDescent="0.25">
      <c r="A2012" s="82" t="s">
        <v>134</v>
      </c>
      <c r="B2012" s="82" t="s">
        <v>23</v>
      </c>
      <c r="C2012" s="82" t="s">
        <v>29</v>
      </c>
      <c r="D2012" s="82" t="s">
        <v>91</v>
      </c>
      <c r="E2012" s="87">
        <f t="shared" si="466"/>
        <v>41913</v>
      </c>
      <c r="F2012" s="83"/>
      <c r="G2012" s="92">
        <v>5000</v>
      </c>
      <c r="H2012" s="52">
        <v>1836</v>
      </c>
      <c r="I2012" s="52" t="s">
        <v>93</v>
      </c>
      <c r="J2012" s="157">
        <f t="shared" si="465"/>
        <v>0.34</v>
      </c>
      <c r="K2012" s="101">
        <f t="shared" si="458"/>
        <v>49.652432969215489</v>
      </c>
      <c r="L2012" s="101">
        <f t="shared" si="459"/>
        <v>1.2612612612612613</v>
      </c>
      <c r="M2012" s="133">
        <f t="shared" si="460"/>
        <v>624.24</v>
      </c>
      <c r="N2012" s="133">
        <f t="shared" si="461"/>
        <v>5624.24</v>
      </c>
      <c r="O2012" s="134">
        <f t="shared" si="462"/>
        <v>55.851439920556103</v>
      </c>
      <c r="P2012" s="134">
        <f t="shared" si="463"/>
        <v>1.4187272072072072</v>
      </c>
      <c r="R2012" s="149">
        <f t="shared" si="464"/>
        <v>-0.64865323196066083</v>
      </c>
    </row>
    <row r="2013" spans="1:18" ht="15" x14ac:dyDescent="0.25">
      <c r="A2013" s="82" t="s">
        <v>134</v>
      </c>
      <c r="B2013" s="82" t="s">
        <v>31</v>
      </c>
      <c r="C2013" s="82" t="s">
        <v>32</v>
      </c>
      <c r="D2013" s="82" t="s">
        <v>91</v>
      </c>
      <c r="E2013" s="87">
        <f t="shared" si="466"/>
        <v>41913</v>
      </c>
      <c r="F2013" s="83"/>
      <c r="G2013" s="92">
        <v>4400</v>
      </c>
      <c r="H2013" s="52">
        <v>1899</v>
      </c>
      <c r="I2013" s="52" t="s">
        <v>93</v>
      </c>
      <c r="J2013" s="157">
        <f t="shared" si="465"/>
        <v>0.34</v>
      </c>
      <c r="K2013" s="101">
        <f t="shared" si="458"/>
        <v>43.694141012909633</v>
      </c>
      <c r="L2013" s="101">
        <f t="shared" si="459"/>
        <v>1.1099099099099099</v>
      </c>
      <c r="M2013" s="133">
        <f t="shared" si="460"/>
        <v>645.66000000000008</v>
      </c>
      <c r="N2013" s="133">
        <f t="shared" si="461"/>
        <v>5045.66</v>
      </c>
      <c r="O2013" s="134">
        <f t="shared" si="462"/>
        <v>50.105858987090365</v>
      </c>
      <c r="P2013" s="134">
        <f t="shared" si="463"/>
        <v>1.272779099099099</v>
      </c>
      <c r="R2013" s="149">
        <f t="shared" si="464"/>
        <v>-0.74710246988379803</v>
      </c>
    </row>
    <row r="2014" spans="1:18" ht="15" x14ac:dyDescent="0.25">
      <c r="A2014" s="82" t="s">
        <v>22</v>
      </c>
      <c r="B2014" s="82" t="s">
        <v>8</v>
      </c>
      <c r="C2014" s="82" t="s">
        <v>29</v>
      </c>
      <c r="D2014" s="82" t="s">
        <v>91</v>
      </c>
      <c r="E2014" s="87">
        <f t="shared" si="466"/>
        <v>41913</v>
      </c>
      <c r="F2014" s="83"/>
      <c r="G2014" s="92">
        <v>5520</v>
      </c>
      <c r="H2014" s="52">
        <v>1695</v>
      </c>
      <c r="I2014" s="52" t="s">
        <v>93</v>
      </c>
      <c r="J2014" s="157">
        <f t="shared" si="465"/>
        <v>0.34</v>
      </c>
      <c r="K2014" s="101">
        <f t="shared" si="458"/>
        <v>54.816285998013903</v>
      </c>
      <c r="L2014" s="101">
        <f t="shared" si="459"/>
        <v>1.491891891891892</v>
      </c>
      <c r="M2014" s="133">
        <f t="shared" si="460"/>
        <v>576.30000000000007</v>
      </c>
      <c r="N2014" s="133">
        <f t="shared" si="461"/>
        <v>6096.3</v>
      </c>
      <c r="O2014" s="134">
        <f t="shared" si="462"/>
        <v>60.539225422045682</v>
      </c>
      <c r="P2014" s="134">
        <f t="shared" si="463"/>
        <v>1.6476486486486488</v>
      </c>
      <c r="R2014" s="149">
        <f t="shared" si="464"/>
        <v>-0.55299990212390737</v>
      </c>
    </row>
    <row r="2015" spans="1:18" ht="15" x14ac:dyDescent="0.25">
      <c r="A2015" s="82" t="s">
        <v>22</v>
      </c>
      <c r="B2015" s="82" t="s">
        <v>23</v>
      </c>
      <c r="C2015" s="82" t="s">
        <v>26</v>
      </c>
      <c r="D2015" s="82" t="s">
        <v>91</v>
      </c>
      <c r="E2015" s="87">
        <f t="shared" si="466"/>
        <v>41913</v>
      </c>
      <c r="F2015" s="83"/>
      <c r="G2015" s="92">
        <v>5530</v>
      </c>
      <c r="H2015" s="52">
        <v>1851</v>
      </c>
      <c r="I2015" s="52" t="s">
        <v>93</v>
      </c>
      <c r="J2015" s="157">
        <f t="shared" si="465"/>
        <v>0.34</v>
      </c>
      <c r="K2015" s="101">
        <f t="shared" si="458"/>
        <v>54.915590863952332</v>
      </c>
      <c r="L2015" s="101">
        <f t="shared" si="459"/>
        <v>1.4945945945945946</v>
      </c>
      <c r="M2015" s="133">
        <f t="shared" si="460"/>
        <v>629.34</v>
      </c>
      <c r="N2015" s="133">
        <f t="shared" si="461"/>
        <v>6159.34</v>
      </c>
      <c r="O2015" s="134">
        <f t="shared" si="462"/>
        <v>61.165243296921545</v>
      </c>
      <c r="P2015" s="134">
        <f t="shared" si="463"/>
        <v>1.6646864864864865</v>
      </c>
      <c r="R2015" s="149">
        <f t="shared" si="464"/>
        <v>-0.59744753371333559</v>
      </c>
    </row>
    <row r="2016" spans="1:18" ht="15" x14ac:dyDescent="0.25">
      <c r="A2016" s="82" t="s">
        <v>22</v>
      </c>
      <c r="B2016" s="82" t="s">
        <v>33</v>
      </c>
      <c r="C2016" s="82" t="s">
        <v>29</v>
      </c>
      <c r="D2016" s="82" t="s">
        <v>91</v>
      </c>
      <c r="E2016" s="87">
        <f t="shared" si="466"/>
        <v>41913</v>
      </c>
      <c r="F2016" s="83"/>
      <c r="G2016" s="92">
        <v>5430</v>
      </c>
      <c r="H2016" s="52">
        <v>1507</v>
      </c>
      <c r="I2016" s="52" t="s">
        <v>93</v>
      </c>
      <c r="J2016" s="157">
        <f t="shared" si="465"/>
        <v>0.34</v>
      </c>
      <c r="K2016" s="101">
        <f t="shared" si="458"/>
        <v>53.922542204568025</v>
      </c>
      <c r="L2016" s="101">
        <f t="shared" si="459"/>
        <v>1.4675675675675677</v>
      </c>
      <c r="M2016" s="133">
        <f t="shared" si="460"/>
        <v>512.38</v>
      </c>
      <c r="N2016" s="133">
        <f t="shared" si="461"/>
        <v>5942.38</v>
      </c>
      <c r="O2016" s="134">
        <f t="shared" si="462"/>
        <v>59.010724925521352</v>
      </c>
      <c r="P2016" s="134">
        <f t="shared" si="463"/>
        <v>1.6060486486486487</v>
      </c>
      <c r="R2016" s="149">
        <f t="shared" si="464"/>
        <v>-0.50464460562711366</v>
      </c>
    </row>
    <row r="2017" spans="1:18" ht="15" x14ac:dyDescent="0.25">
      <c r="A2017" s="82" t="s">
        <v>22</v>
      </c>
      <c r="B2017" s="82" t="s">
        <v>31</v>
      </c>
      <c r="C2017" s="82" t="s">
        <v>7</v>
      </c>
      <c r="D2017" s="82" t="s">
        <v>91</v>
      </c>
      <c r="E2017" s="87">
        <f t="shared" si="466"/>
        <v>41913</v>
      </c>
      <c r="F2017" s="83"/>
      <c r="G2017" s="92">
        <v>4425</v>
      </c>
      <c r="H2017" s="52">
        <v>1160</v>
      </c>
      <c r="I2017" s="52" t="s">
        <v>92</v>
      </c>
      <c r="J2017" s="157">
        <f t="shared" si="465"/>
        <v>0.35</v>
      </c>
      <c r="K2017" s="101">
        <f t="shared" si="458"/>
        <v>43.942403177755708</v>
      </c>
      <c r="L2017" s="101">
        <f t="shared" si="459"/>
        <v>1.1959459459459461</v>
      </c>
      <c r="M2017" s="133">
        <f t="shared" si="460"/>
        <v>406</v>
      </c>
      <c r="N2017" s="133">
        <f t="shared" si="461"/>
        <v>4831</v>
      </c>
      <c r="O2017" s="134">
        <f t="shared" si="462"/>
        <v>47.974180734856006</v>
      </c>
      <c r="P2017" s="134">
        <f t="shared" si="463"/>
        <v>1.3056756756756758</v>
      </c>
      <c r="R2017" s="149">
        <f t="shared" si="464"/>
        <v>4.9259371877850677</v>
      </c>
    </row>
    <row r="2018" spans="1:18" ht="15" x14ac:dyDescent="0.25">
      <c r="A2018" s="82" t="s">
        <v>22</v>
      </c>
      <c r="B2018" s="82" t="s">
        <v>14</v>
      </c>
      <c r="C2018" s="82" t="s">
        <v>24</v>
      </c>
      <c r="D2018" s="82" t="s">
        <v>91</v>
      </c>
      <c r="E2018" s="87">
        <f t="shared" si="466"/>
        <v>41913</v>
      </c>
      <c r="F2018" s="83"/>
      <c r="G2018" s="92">
        <v>2982</v>
      </c>
      <c r="H2018" s="52">
        <v>615</v>
      </c>
      <c r="I2018" s="52" t="s">
        <v>94</v>
      </c>
      <c r="J2018" s="157">
        <f t="shared" si="465"/>
        <v>0.46</v>
      </c>
      <c r="K2018" s="101">
        <f t="shared" si="458"/>
        <v>29.61271102284012</v>
      </c>
      <c r="L2018" s="101">
        <f t="shared" si="459"/>
        <v>0.80594594594594593</v>
      </c>
      <c r="M2018" s="133">
        <f t="shared" si="460"/>
        <v>282.90000000000003</v>
      </c>
      <c r="N2018" s="133">
        <f t="shared" si="461"/>
        <v>3264.9</v>
      </c>
      <c r="O2018" s="134">
        <f t="shared" si="462"/>
        <v>32.422045680238334</v>
      </c>
      <c r="P2018" s="134">
        <f t="shared" si="463"/>
        <v>0.88240540540540546</v>
      </c>
      <c r="R2018" s="149">
        <f t="shared" si="464"/>
        <v>3.4112504751045325</v>
      </c>
    </row>
    <row r="2019" spans="1:18" ht="15" x14ac:dyDescent="0.25">
      <c r="A2019" s="118" t="s">
        <v>22</v>
      </c>
      <c r="B2019" s="118" t="s">
        <v>34</v>
      </c>
      <c r="C2019" s="118" t="s">
        <v>26</v>
      </c>
      <c r="D2019" s="118" t="s">
        <v>91</v>
      </c>
      <c r="E2019" s="119">
        <f t="shared" si="466"/>
        <v>41913</v>
      </c>
      <c r="F2019" s="120"/>
      <c r="G2019" s="105">
        <v>5360</v>
      </c>
      <c r="H2019" s="158">
        <v>1637</v>
      </c>
      <c r="I2019" s="158" t="s">
        <v>92</v>
      </c>
      <c r="J2019" s="122">
        <f t="shared" si="465"/>
        <v>0.35</v>
      </c>
      <c r="K2019" s="123">
        <f t="shared" si="458"/>
        <v>53.227408142999003</v>
      </c>
      <c r="L2019" s="123">
        <f t="shared" si="459"/>
        <v>1.4486486486486487</v>
      </c>
      <c r="M2019" s="115">
        <f t="shared" si="460"/>
        <v>572.94999999999993</v>
      </c>
      <c r="N2019" s="115">
        <f t="shared" si="461"/>
        <v>5932.95</v>
      </c>
      <c r="O2019" s="116">
        <f t="shared" si="462"/>
        <v>58.917080436941404</v>
      </c>
      <c r="P2019" s="116">
        <f t="shared" si="463"/>
        <v>1.6034999999999999</v>
      </c>
      <c r="Q2019" s="106"/>
      <c r="R2019" s="152">
        <f t="shared" si="464"/>
        <v>3.8011158757735419</v>
      </c>
    </row>
    <row r="2020" spans="1:18" ht="15" x14ac:dyDescent="0.25">
      <c r="A2020" s="82" t="s">
        <v>1</v>
      </c>
      <c r="B2020" s="82" t="s">
        <v>2</v>
      </c>
      <c r="C2020" s="82" t="s">
        <v>3</v>
      </c>
      <c r="D2020" s="82" t="s">
        <v>90</v>
      </c>
      <c r="E2020" s="87">
        <v>41944</v>
      </c>
      <c r="F2020" s="83"/>
      <c r="G2020" s="92">
        <v>3387</v>
      </c>
      <c r="H2020" s="52">
        <v>506</v>
      </c>
      <c r="I2020" s="52" t="s">
        <v>92</v>
      </c>
      <c r="J2020" s="157">
        <f>IF(I2020="BNSF",0.33,IF(I2020="CN",0.2875,IF(I2020="CSX",0.45,0.34)))</f>
        <v>0.34</v>
      </c>
      <c r="K2020" s="101">
        <f t="shared" ref="K2020:K2057" si="467">G2020/100.7</f>
        <v>33.63455809334657</v>
      </c>
      <c r="L2020" s="101">
        <f t="shared" ref="L2020:L2057" si="468">IF(A2020="corn",G2020/(111*2000/56),G2020/(111*2000/60))</f>
        <v>0.91540540540540538</v>
      </c>
      <c r="M2020" s="133">
        <f t="shared" ref="M2020:M2057" si="469">H2020*J2020</f>
        <v>172.04000000000002</v>
      </c>
      <c r="N2020" s="133">
        <f t="shared" ref="N2020:N2057" si="470">G2020+M2020</f>
        <v>3559.04</v>
      </c>
      <c r="O2020" s="134">
        <f t="shared" ref="O2020:O2057" si="471">N2020/100.7</f>
        <v>35.342999006951338</v>
      </c>
      <c r="P2020" s="134">
        <f t="shared" ref="P2020:P2057" si="472">IF(A2020="corn",N2020/(111*2000/56),N2020/(111*2000/60))</f>
        <v>0.96190270270270273</v>
      </c>
      <c r="Q2020" s="160"/>
      <c r="R2020" s="149">
        <f t="shared" ref="R2020:R2057" si="473">((N2020/N1564)-1)*100</f>
        <v>5.1949587382658091</v>
      </c>
    </row>
    <row r="2021" spans="1:18" ht="15" x14ac:dyDescent="0.25">
      <c r="A2021" s="82" t="s">
        <v>1</v>
      </c>
      <c r="B2021" s="82" t="s">
        <v>4</v>
      </c>
      <c r="C2021" s="82" t="s">
        <v>5</v>
      </c>
      <c r="D2021" s="82" t="s">
        <v>90</v>
      </c>
      <c r="E2021" s="87">
        <f>E2020</f>
        <v>41944</v>
      </c>
      <c r="F2021" s="83"/>
      <c r="G2021" s="92">
        <v>3596</v>
      </c>
      <c r="H2021" s="52">
        <v>298</v>
      </c>
      <c r="I2021" s="52" t="s">
        <v>93</v>
      </c>
      <c r="J2021" s="157">
        <f t="shared" ref="J2021:J2057" si="474">IF(I2021="BNSF",0.33,IF(I2021="CN",0.2875,IF(I2021="CSX",0.45,0.34)))</f>
        <v>0.33</v>
      </c>
      <c r="K2021" s="101">
        <f t="shared" si="467"/>
        <v>35.710029791459782</v>
      </c>
      <c r="L2021" s="101">
        <f t="shared" si="468"/>
        <v>0.97189189189189185</v>
      </c>
      <c r="M2021" s="133">
        <f t="shared" si="469"/>
        <v>98.34</v>
      </c>
      <c r="N2021" s="133">
        <f t="shared" si="470"/>
        <v>3694.34</v>
      </c>
      <c r="O2021" s="134">
        <f t="shared" si="471"/>
        <v>36.686593843098315</v>
      </c>
      <c r="P2021" s="134">
        <f t="shared" si="472"/>
        <v>0.99847027027027035</v>
      </c>
      <c r="Q2021" s="160"/>
      <c r="R2021" s="149">
        <f t="shared" si="473"/>
        <v>-0.3216180192431195</v>
      </c>
    </row>
    <row r="2022" spans="1:18" ht="15" x14ac:dyDescent="0.25">
      <c r="A2022" s="82" t="s">
        <v>1</v>
      </c>
      <c r="B2022" s="82" t="s">
        <v>2</v>
      </c>
      <c r="C2022" s="82" t="s">
        <v>6</v>
      </c>
      <c r="D2022" s="82" t="s">
        <v>90</v>
      </c>
      <c r="E2022" s="87">
        <f t="shared" ref="E2022:E2057" si="475">E2021</f>
        <v>41944</v>
      </c>
      <c r="F2022" s="83"/>
      <c r="G2022" s="92">
        <v>6244</v>
      </c>
      <c r="H2022" s="52">
        <v>1530</v>
      </c>
      <c r="I2022" s="52" t="s">
        <v>93</v>
      </c>
      <c r="J2022" s="157">
        <f t="shared" si="474"/>
        <v>0.33</v>
      </c>
      <c r="K2022" s="101">
        <f t="shared" si="467"/>
        <v>62.005958291956304</v>
      </c>
      <c r="L2022" s="101">
        <f t="shared" si="468"/>
        <v>1.6875675675675677</v>
      </c>
      <c r="M2022" s="133">
        <f t="shared" si="469"/>
        <v>504.90000000000003</v>
      </c>
      <c r="N2022" s="133">
        <f t="shared" si="470"/>
        <v>6748.9</v>
      </c>
      <c r="O2022" s="134">
        <f t="shared" si="471"/>
        <v>67.019860973187676</v>
      </c>
      <c r="P2022" s="134">
        <f t="shared" si="472"/>
        <v>1.8240270270270269</v>
      </c>
      <c r="R2022" s="149">
        <f t="shared" si="473"/>
        <v>-0.89866521783822373</v>
      </c>
    </row>
    <row r="2023" spans="1:18" ht="15" x14ac:dyDescent="0.25">
      <c r="A2023" s="82" t="s">
        <v>1</v>
      </c>
      <c r="B2023" s="82" t="s">
        <v>2</v>
      </c>
      <c r="C2023" s="82" t="s">
        <v>7</v>
      </c>
      <c r="D2023" s="82" t="s">
        <v>90</v>
      </c>
      <c r="E2023" s="87">
        <f t="shared" si="475"/>
        <v>41944</v>
      </c>
      <c r="F2023" s="83"/>
      <c r="G2023" s="92">
        <v>4026</v>
      </c>
      <c r="H2023" s="52">
        <v>890</v>
      </c>
      <c r="I2023" s="52" t="s">
        <v>92</v>
      </c>
      <c r="J2023" s="157">
        <f t="shared" si="474"/>
        <v>0.34</v>
      </c>
      <c r="K2023" s="101">
        <f t="shared" si="467"/>
        <v>39.98013902681231</v>
      </c>
      <c r="L2023" s="101">
        <f t="shared" si="468"/>
        <v>1.0881081081081081</v>
      </c>
      <c r="M2023" s="133">
        <f t="shared" si="469"/>
        <v>302.60000000000002</v>
      </c>
      <c r="N2023" s="133">
        <f t="shared" si="470"/>
        <v>4328.6000000000004</v>
      </c>
      <c r="O2023" s="134">
        <f t="shared" si="471"/>
        <v>42.98510427010924</v>
      </c>
      <c r="P2023" s="134">
        <f t="shared" si="472"/>
        <v>1.1698918918918919</v>
      </c>
      <c r="R2023" s="149">
        <f t="shared" si="473"/>
        <v>4.3992089141865032</v>
      </c>
    </row>
    <row r="2024" spans="1:18" ht="15" x14ac:dyDescent="0.25">
      <c r="A2024" s="82" t="s">
        <v>1</v>
      </c>
      <c r="B2024" s="82" t="s">
        <v>8</v>
      </c>
      <c r="C2024" s="82" t="s">
        <v>9</v>
      </c>
      <c r="D2024" s="82" t="s">
        <v>90</v>
      </c>
      <c r="E2024" s="87">
        <f t="shared" si="475"/>
        <v>41944</v>
      </c>
      <c r="F2024" s="83"/>
      <c r="G2024" s="92">
        <v>5824</v>
      </c>
      <c r="H2024" s="52">
        <v>1256</v>
      </c>
      <c r="I2024" s="52" t="s">
        <v>93</v>
      </c>
      <c r="J2024" s="157">
        <f t="shared" si="474"/>
        <v>0.33</v>
      </c>
      <c r="K2024" s="101">
        <f t="shared" si="467"/>
        <v>57.835153922542204</v>
      </c>
      <c r="L2024" s="101">
        <f t="shared" si="468"/>
        <v>1.574054054054054</v>
      </c>
      <c r="M2024" s="133">
        <f t="shared" si="469"/>
        <v>414.48</v>
      </c>
      <c r="N2024" s="133">
        <f t="shared" si="470"/>
        <v>6238.48</v>
      </c>
      <c r="O2024" s="134">
        <f t="shared" si="471"/>
        <v>61.951142005958289</v>
      </c>
      <c r="P2024" s="134">
        <f t="shared" si="472"/>
        <v>1.6860756756756756</v>
      </c>
      <c r="R2024" s="149">
        <f t="shared" si="473"/>
        <v>-0.79889071225942576</v>
      </c>
    </row>
    <row r="2025" spans="1:18" ht="15" x14ac:dyDescent="0.25">
      <c r="A2025" s="82" t="s">
        <v>1</v>
      </c>
      <c r="B2025" s="82" t="s">
        <v>10</v>
      </c>
      <c r="C2025" s="82" t="s">
        <v>9</v>
      </c>
      <c r="D2025" s="82" t="s">
        <v>90</v>
      </c>
      <c r="E2025" s="87">
        <f t="shared" si="475"/>
        <v>41944</v>
      </c>
      <c r="F2025" s="83"/>
      <c r="G2025" s="92">
        <v>4293</v>
      </c>
      <c r="H2025" s="52">
        <v>975</v>
      </c>
      <c r="I2025" s="52" t="s">
        <v>92</v>
      </c>
      <c r="J2025" s="157">
        <f t="shared" si="474"/>
        <v>0.34</v>
      </c>
      <c r="K2025" s="101">
        <f t="shared" si="467"/>
        <v>42.631578947368418</v>
      </c>
      <c r="L2025" s="101">
        <f t="shared" si="468"/>
        <v>1.1602702702702703</v>
      </c>
      <c r="M2025" s="133">
        <f t="shared" si="469"/>
        <v>331.5</v>
      </c>
      <c r="N2025" s="133">
        <f t="shared" si="470"/>
        <v>4624.5</v>
      </c>
      <c r="O2025" s="134">
        <f t="shared" si="471"/>
        <v>45.923535253227406</v>
      </c>
      <c r="P2025" s="134">
        <f t="shared" si="472"/>
        <v>1.2498648648648649</v>
      </c>
      <c r="R2025" s="149">
        <f t="shared" si="473"/>
        <v>4.0031485437984848</v>
      </c>
    </row>
    <row r="2026" spans="1:18" ht="15" x14ac:dyDescent="0.25">
      <c r="A2026" s="82" t="s">
        <v>1</v>
      </c>
      <c r="B2026" s="82" t="s">
        <v>11</v>
      </c>
      <c r="C2026" s="82" t="s">
        <v>6</v>
      </c>
      <c r="D2026" s="82" t="s">
        <v>90</v>
      </c>
      <c r="E2026" s="87">
        <f t="shared" si="475"/>
        <v>41944</v>
      </c>
      <c r="F2026" s="83"/>
      <c r="G2026" s="92">
        <v>4492</v>
      </c>
      <c r="H2026" s="52">
        <v>1357</v>
      </c>
      <c r="I2026" s="52" t="s">
        <v>92</v>
      </c>
      <c r="J2026" s="157">
        <f t="shared" si="474"/>
        <v>0.34</v>
      </c>
      <c r="K2026" s="101">
        <f t="shared" si="467"/>
        <v>44.607745779543194</v>
      </c>
      <c r="L2026" s="101">
        <f t="shared" si="468"/>
        <v>1.2140540540540541</v>
      </c>
      <c r="M2026" s="133">
        <f t="shared" si="469"/>
        <v>461.38000000000005</v>
      </c>
      <c r="N2026" s="133">
        <f t="shared" si="470"/>
        <v>4953.38</v>
      </c>
      <c r="O2026" s="134">
        <f t="shared" si="471"/>
        <v>49.189473684210526</v>
      </c>
      <c r="P2026" s="134">
        <f t="shared" si="472"/>
        <v>1.3387513513513514</v>
      </c>
      <c r="R2026" s="149">
        <f t="shared" si="473"/>
        <v>3.3966092354706934</v>
      </c>
    </row>
    <row r="2027" spans="1:18" ht="15" x14ac:dyDescent="0.25">
      <c r="A2027" s="82" t="s">
        <v>134</v>
      </c>
      <c r="B2027" s="82" t="s">
        <v>13</v>
      </c>
      <c r="C2027" s="82" t="s">
        <v>7</v>
      </c>
      <c r="D2027" s="82" t="s">
        <v>90</v>
      </c>
      <c r="E2027" s="87">
        <f t="shared" si="475"/>
        <v>41944</v>
      </c>
      <c r="F2027" s="83"/>
      <c r="G2027" s="92">
        <v>3328</v>
      </c>
      <c r="H2027" s="52">
        <v>1006</v>
      </c>
      <c r="I2027" s="52" t="s">
        <v>92</v>
      </c>
      <c r="J2027" s="157">
        <f t="shared" si="474"/>
        <v>0.34</v>
      </c>
      <c r="K2027" s="101">
        <f t="shared" si="467"/>
        <v>33.048659384309829</v>
      </c>
      <c r="L2027" s="101">
        <f t="shared" si="468"/>
        <v>0.83949549549549551</v>
      </c>
      <c r="M2027" s="133">
        <f t="shared" si="469"/>
        <v>342.04</v>
      </c>
      <c r="N2027" s="133">
        <f t="shared" si="470"/>
        <v>3670.04</v>
      </c>
      <c r="O2027" s="134">
        <f t="shared" si="471"/>
        <v>36.445283018867926</v>
      </c>
      <c r="P2027" s="134">
        <f t="shared" si="472"/>
        <v>0.92577585585585587</v>
      </c>
      <c r="R2027" s="149">
        <f t="shared" si="473"/>
        <v>2.6791409738464722</v>
      </c>
    </row>
    <row r="2028" spans="1:18" ht="15" x14ac:dyDescent="0.25">
      <c r="A2028" s="82" t="s">
        <v>134</v>
      </c>
      <c r="B2028" s="82" t="s">
        <v>14</v>
      </c>
      <c r="C2028" s="82" t="s">
        <v>15</v>
      </c>
      <c r="D2028" s="82" t="s">
        <v>90</v>
      </c>
      <c r="E2028" s="87">
        <f t="shared" si="475"/>
        <v>41944</v>
      </c>
      <c r="F2028" s="83"/>
      <c r="G2028" s="92">
        <v>4875</v>
      </c>
      <c r="H2028" s="52">
        <v>866</v>
      </c>
      <c r="I2028" s="52" t="s">
        <v>94</v>
      </c>
      <c r="J2028" s="157">
        <f t="shared" si="474"/>
        <v>0.45</v>
      </c>
      <c r="K2028" s="101">
        <f t="shared" si="467"/>
        <v>48.4111221449851</v>
      </c>
      <c r="L2028" s="101">
        <f t="shared" si="468"/>
        <v>1.2297297297297298</v>
      </c>
      <c r="M2028" s="133">
        <f t="shared" si="469"/>
        <v>389.7</v>
      </c>
      <c r="N2028" s="133">
        <f t="shared" si="470"/>
        <v>5264.7</v>
      </c>
      <c r="O2028" s="134">
        <f t="shared" si="471"/>
        <v>52.281032770605755</v>
      </c>
      <c r="P2028" s="134">
        <f t="shared" si="472"/>
        <v>1.3280324324324324</v>
      </c>
      <c r="R2028" s="149">
        <f t="shared" si="473"/>
        <v>2.8462590349677575</v>
      </c>
    </row>
    <row r="2029" spans="1:18" ht="15" x14ac:dyDescent="0.25">
      <c r="A2029" s="82" t="s">
        <v>134</v>
      </c>
      <c r="B2029" s="82" t="s">
        <v>16</v>
      </c>
      <c r="C2029" s="82" t="s">
        <v>17</v>
      </c>
      <c r="D2029" s="82" t="s">
        <v>90</v>
      </c>
      <c r="E2029" s="87">
        <f t="shared" si="475"/>
        <v>41944</v>
      </c>
      <c r="F2029" s="83"/>
      <c r="G2029" s="92">
        <v>2168</v>
      </c>
      <c r="H2029" s="52">
        <v>213</v>
      </c>
      <c r="I2029" s="52" t="s">
        <v>92</v>
      </c>
      <c r="J2029" s="157">
        <f t="shared" si="474"/>
        <v>0.34</v>
      </c>
      <c r="K2029" s="101">
        <f t="shared" si="467"/>
        <v>21.529294935451837</v>
      </c>
      <c r="L2029" s="101">
        <f t="shared" si="468"/>
        <v>0.54688288288288289</v>
      </c>
      <c r="M2029" s="133">
        <f t="shared" si="469"/>
        <v>72.42</v>
      </c>
      <c r="N2029" s="133">
        <f t="shared" si="470"/>
        <v>2240.42</v>
      </c>
      <c r="O2029" s="134">
        <f t="shared" si="471"/>
        <v>22.248460774577953</v>
      </c>
      <c r="P2029" s="134">
        <f t="shared" si="472"/>
        <v>0.56515099099099098</v>
      </c>
      <c r="R2029" s="149">
        <f t="shared" si="473"/>
        <v>3.7740743142468114</v>
      </c>
    </row>
    <row r="2030" spans="1:18" ht="15" x14ac:dyDescent="0.25">
      <c r="A2030" s="82" t="s">
        <v>134</v>
      </c>
      <c r="B2030" s="82" t="s">
        <v>18</v>
      </c>
      <c r="C2030" s="82" t="s">
        <v>19</v>
      </c>
      <c r="D2030" s="82" t="s">
        <v>90</v>
      </c>
      <c r="E2030" s="87">
        <f t="shared" si="475"/>
        <v>41944</v>
      </c>
      <c r="F2030" s="83"/>
      <c r="G2030" s="92">
        <v>4211</v>
      </c>
      <c r="H2030" s="52">
        <v>650</v>
      </c>
      <c r="I2030" s="52" t="s">
        <v>94</v>
      </c>
      <c r="J2030" s="157">
        <f t="shared" si="474"/>
        <v>0.45</v>
      </c>
      <c r="K2030" s="101">
        <f t="shared" si="467"/>
        <v>41.817279046673285</v>
      </c>
      <c r="L2030" s="101">
        <f t="shared" si="468"/>
        <v>1.0622342342342344</v>
      </c>
      <c r="M2030" s="133">
        <f t="shared" si="469"/>
        <v>292.5</v>
      </c>
      <c r="N2030" s="133">
        <f t="shared" si="470"/>
        <v>4503.5</v>
      </c>
      <c r="O2030" s="134">
        <f t="shared" si="471"/>
        <v>44.72194637537239</v>
      </c>
      <c r="P2030" s="134">
        <f t="shared" si="472"/>
        <v>1.1360180180180179</v>
      </c>
      <c r="R2030" s="149">
        <f t="shared" si="473"/>
        <v>2.6789785681714529</v>
      </c>
    </row>
    <row r="2031" spans="1:18" ht="15" x14ac:dyDescent="0.25">
      <c r="A2031" s="82" t="s">
        <v>134</v>
      </c>
      <c r="B2031" s="82" t="s">
        <v>18</v>
      </c>
      <c r="C2031" s="82" t="s">
        <v>20</v>
      </c>
      <c r="D2031" s="82" t="s">
        <v>90</v>
      </c>
      <c r="E2031" s="87">
        <f t="shared" si="475"/>
        <v>41944</v>
      </c>
      <c r="F2031" s="83"/>
      <c r="G2031" s="92">
        <v>3593</v>
      </c>
      <c r="H2031" s="52">
        <v>417</v>
      </c>
      <c r="I2031" s="52" t="s">
        <v>94</v>
      </c>
      <c r="J2031" s="157">
        <f t="shared" si="474"/>
        <v>0.45</v>
      </c>
      <c r="K2031" s="101">
        <f t="shared" si="467"/>
        <v>35.680238331678254</v>
      </c>
      <c r="L2031" s="101">
        <f t="shared" si="468"/>
        <v>0.90634234234234234</v>
      </c>
      <c r="M2031" s="133">
        <f t="shared" si="469"/>
        <v>187.65</v>
      </c>
      <c r="N2031" s="133">
        <f t="shared" si="470"/>
        <v>3780.65</v>
      </c>
      <c r="O2031" s="134">
        <f t="shared" si="471"/>
        <v>37.543694141012907</v>
      </c>
      <c r="P2031" s="134">
        <f t="shared" si="472"/>
        <v>0.95367747747747755</v>
      </c>
      <c r="R2031" s="149">
        <f t="shared" si="473"/>
        <v>2.8048946295037513</v>
      </c>
    </row>
    <row r="2032" spans="1:18" ht="15" x14ac:dyDescent="0.25">
      <c r="A2032" s="82" t="s">
        <v>134</v>
      </c>
      <c r="B2032" s="82" t="s">
        <v>16</v>
      </c>
      <c r="C2032" s="82" t="s">
        <v>21</v>
      </c>
      <c r="D2032" s="82" t="s">
        <v>90</v>
      </c>
      <c r="E2032" s="87">
        <f t="shared" si="475"/>
        <v>41944</v>
      </c>
      <c r="F2032" s="83"/>
      <c r="G2032" s="92">
        <v>3308</v>
      </c>
      <c r="H2032" s="52">
        <v>626</v>
      </c>
      <c r="I2032" s="52" t="s">
        <v>92</v>
      </c>
      <c r="J2032" s="157">
        <f t="shared" si="474"/>
        <v>0.34</v>
      </c>
      <c r="K2032" s="101">
        <f t="shared" si="467"/>
        <v>32.850049652432965</v>
      </c>
      <c r="L2032" s="101">
        <f t="shared" si="468"/>
        <v>0.83445045045045041</v>
      </c>
      <c r="M2032" s="133">
        <f t="shared" si="469"/>
        <v>212.84</v>
      </c>
      <c r="N2032" s="133">
        <f t="shared" si="470"/>
        <v>3520.84</v>
      </c>
      <c r="O2032" s="134">
        <f t="shared" si="471"/>
        <v>34.963654419066536</v>
      </c>
      <c r="P2032" s="134">
        <f t="shared" si="472"/>
        <v>0.88813981981981982</v>
      </c>
      <c r="R2032" s="149">
        <f t="shared" si="473"/>
        <v>1.8796948968135441</v>
      </c>
    </row>
    <row r="2033" spans="1:18" ht="15" x14ac:dyDescent="0.25">
      <c r="A2033" s="82" t="s">
        <v>134</v>
      </c>
      <c r="B2033" s="82" t="s">
        <v>16</v>
      </c>
      <c r="C2033" s="82" t="s">
        <v>6</v>
      </c>
      <c r="D2033" s="82" t="s">
        <v>90</v>
      </c>
      <c r="E2033" s="87">
        <f t="shared" si="475"/>
        <v>41944</v>
      </c>
      <c r="F2033" s="83"/>
      <c r="G2033" s="92">
        <v>5365</v>
      </c>
      <c r="H2033" s="52">
        <v>1823</v>
      </c>
      <c r="I2033" s="52" t="s">
        <v>92</v>
      </c>
      <c r="J2033" s="157">
        <f t="shared" si="474"/>
        <v>0.34</v>
      </c>
      <c r="K2033" s="101">
        <f t="shared" si="467"/>
        <v>53.277060575968221</v>
      </c>
      <c r="L2033" s="101">
        <f t="shared" si="468"/>
        <v>1.3533333333333333</v>
      </c>
      <c r="M2033" s="133">
        <f t="shared" si="469"/>
        <v>619.82000000000005</v>
      </c>
      <c r="N2033" s="133">
        <f t="shared" si="470"/>
        <v>5984.82</v>
      </c>
      <c r="O2033" s="134">
        <f t="shared" si="471"/>
        <v>59.432174776564047</v>
      </c>
      <c r="P2033" s="134">
        <f t="shared" si="472"/>
        <v>1.5096843243243243</v>
      </c>
      <c r="R2033" s="149">
        <f t="shared" si="473"/>
        <v>1.3047290503644282</v>
      </c>
    </row>
    <row r="2034" spans="1:18" ht="15" x14ac:dyDescent="0.25">
      <c r="A2034" s="82" t="s">
        <v>22</v>
      </c>
      <c r="B2034" s="82" t="s">
        <v>23</v>
      </c>
      <c r="C2034" s="82" t="s">
        <v>7</v>
      </c>
      <c r="D2034" s="82" t="s">
        <v>90</v>
      </c>
      <c r="E2034" s="87">
        <f t="shared" si="475"/>
        <v>41944</v>
      </c>
      <c r="F2034" s="83"/>
      <c r="G2034" s="92">
        <v>3699</v>
      </c>
      <c r="H2034" s="52">
        <v>1295</v>
      </c>
      <c r="I2034" s="52" t="s">
        <v>95</v>
      </c>
      <c r="J2034" s="157">
        <f t="shared" si="474"/>
        <v>0.28749999999999998</v>
      </c>
      <c r="K2034" s="101">
        <f t="shared" si="467"/>
        <v>36.732869910625617</v>
      </c>
      <c r="L2034" s="101">
        <f t="shared" si="468"/>
        <v>0.99972972972972973</v>
      </c>
      <c r="M2034" s="133">
        <f t="shared" si="469"/>
        <v>372.31249999999994</v>
      </c>
      <c r="N2034" s="133">
        <f t="shared" si="470"/>
        <v>4071.3125</v>
      </c>
      <c r="O2034" s="134">
        <f t="shared" si="471"/>
        <v>40.430114200595831</v>
      </c>
      <c r="P2034" s="134">
        <f t="shared" si="472"/>
        <v>1.1003547297297298</v>
      </c>
      <c r="R2034" s="149">
        <f t="shared" si="473"/>
        <v>5.0392931870309354</v>
      </c>
    </row>
    <row r="2035" spans="1:18" ht="15" x14ac:dyDescent="0.25">
      <c r="A2035" s="82" t="s">
        <v>22</v>
      </c>
      <c r="B2035" s="82" t="s">
        <v>14</v>
      </c>
      <c r="C2035" s="82" t="s">
        <v>24</v>
      </c>
      <c r="D2035" s="82" t="s">
        <v>90</v>
      </c>
      <c r="E2035" s="87">
        <f t="shared" si="475"/>
        <v>41944</v>
      </c>
      <c r="F2035" s="83"/>
      <c r="G2035" s="92">
        <v>3807</v>
      </c>
      <c r="H2035" s="52">
        <v>615</v>
      </c>
      <c r="I2035" s="52" t="s">
        <v>94</v>
      </c>
      <c r="J2035" s="157">
        <f t="shared" si="474"/>
        <v>0.45</v>
      </c>
      <c r="K2035" s="101">
        <f t="shared" si="467"/>
        <v>37.805362462760677</v>
      </c>
      <c r="L2035" s="101">
        <f t="shared" si="468"/>
        <v>1.028918918918919</v>
      </c>
      <c r="M2035" s="133">
        <f t="shared" si="469"/>
        <v>276.75</v>
      </c>
      <c r="N2035" s="133">
        <f t="shared" si="470"/>
        <v>4083.75</v>
      </c>
      <c r="O2035" s="134">
        <f t="shared" si="471"/>
        <v>40.553624627606752</v>
      </c>
      <c r="P2035" s="134">
        <f t="shared" si="472"/>
        <v>1.1037162162162162</v>
      </c>
      <c r="R2035" s="149">
        <f t="shared" si="473"/>
        <v>2.2343221930154034</v>
      </c>
    </row>
    <row r="2036" spans="1:18" ht="15" x14ac:dyDescent="0.25">
      <c r="A2036" s="82" t="s">
        <v>22</v>
      </c>
      <c r="B2036" s="82" t="s">
        <v>18</v>
      </c>
      <c r="C2036" s="82" t="s">
        <v>15</v>
      </c>
      <c r="D2036" s="82" t="s">
        <v>90</v>
      </c>
      <c r="E2036" s="87">
        <f t="shared" si="475"/>
        <v>41944</v>
      </c>
      <c r="F2036" s="83"/>
      <c r="G2036" s="92">
        <v>4946</v>
      </c>
      <c r="H2036" s="52">
        <v>872</v>
      </c>
      <c r="I2036" s="52" t="s">
        <v>94</v>
      </c>
      <c r="J2036" s="157">
        <f t="shared" si="474"/>
        <v>0.45</v>
      </c>
      <c r="K2036" s="101">
        <f t="shared" si="467"/>
        <v>49.116186693147959</v>
      </c>
      <c r="L2036" s="101">
        <f t="shared" si="468"/>
        <v>1.3367567567567566</v>
      </c>
      <c r="M2036" s="133">
        <f t="shared" si="469"/>
        <v>392.40000000000003</v>
      </c>
      <c r="N2036" s="133">
        <f t="shared" si="470"/>
        <v>5338.4</v>
      </c>
      <c r="O2036" s="134">
        <f t="shared" si="471"/>
        <v>53.01290963257199</v>
      </c>
      <c r="P2036" s="134">
        <f t="shared" si="472"/>
        <v>1.4428108108108106</v>
      </c>
      <c r="R2036" s="149">
        <f t="shared" si="473"/>
        <v>2.8197226502311157</v>
      </c>
    </row>
    <row r="2037" spans="1:18" ht="15" x14ac:dyDescent="0.25">
      <c r="A2037" s="82" t="s">
        <v>22</v>
      </c>
      <c r="B2037" s="82" t="s">
        <v>18</v>
      </c>
      <c r="C2037" s="82" t="s">
        <v>24</v>
      </c>
      <c r="D2037" s="82" t="s">
        <v>90</v>
      </c>
      <c r="E2037" s="87">
        <f t="shared" si="475"/>
        <v>41944</v>
      </c>
      <c r="F2037" s="83"/>
      <c r="G2037" s="92">
        <v>3499</v>
      </c>
      <c r="H2037" s="52">
        <v>417</v>
      </c>
      <c r="I2037" s="52" t="s">
        <v>94</v>
      </c>
      <c r="J2037" s="157">
        <f t="shared" si="474"/>
        <v>0.45</v>
      </c>
      <c r="K2037" s="101">
        <f t="shared" si="467"/>
        <v>34.746772591857003</v>
      </c>
      <c r="L2037" s="101">
        <f t="shared" si="468"/>
        <v>0.94567567567567568</v>
      </c>
      <c r="M2037" s="133">
        <f t="shared" si="469"/>
        <v>187.65</v>
      </c>
      <c r="N2037" s="133">
        <f t="shared" si="470"/>
        <v>3686.65</v>
      </c>
      <c r="O2037" s="134">
        <f t="shared" si="471"/>
        <v>36.610228401191655</v>
      </c>
      <c r="P2037" s="134">
        <f t="shared" si="472"/>
        <v>0.99639189189189192</v>
      </c>
      <c r="R2037" s="149">
        <f t="shared" si="473"/>
        <v>2.7637630662020962</v>
      </c>
    </row>
    <row r="2038" spans="1:18" ht="15" x14ac:dyDescent="0.25">
      <c r="A2038" s="82" t="s">
        <v>22</v>
      </c>
      <c r="B2038" s="82" t="s">
        <v>13</v>
      </c>
      <c r="C2038" s="82" t="s">
        <v>7</v>
      </c>
      <c r="D2038" s="82" t="s">
        <v>90</v>
      </c>
      <c r="E2038" s="87">
        <f t="shared" si="475"/>
        <v>41944</v>
      </c>
      <c r="F2038" s="83"/>
      <c r="G2038" s="92">
        <v>3974</v>
      </c>
      <c r="H2038" s="52">
        <v>1006</v>
      </c>
      <c r="I2038" s="52" t="s">
        <v>92</v>
      </c>
      <c r="J2038" s="157">
        <f t="shared" si="474"/>
        <v>0.34</v>
      </c>
      <c r="K2038" s="101">
        <f t="shared" si="467"/>
        <v>39.46375372393247</v>
      </c>
      <c r="L2038" s="101">
        <f t="shared" si="468"/>
        <v>1.074054054054054</v>
      </c>
      <c r="M2038" s="133">
        <f t="shared" si="469"/>
        <v>342.04</v>
      </c>
      <c r="N2038" s="133">
        <f t="shared" si="470"/>
        <v>4316.04</v>
      </c>
      <c r="O2038" s="134">
        <f t="shared" si="471"/>
        <v>42.860377358490567</v>
      </c>
      <c r="P2038" s="134">
        <f t="shared" si="472"/>
        <v>1.1664972972972973</v>
      </c>
      <c r="R2038" s="149">
        <f t="shared" si="473"/>
        <v>4.4975159069118753</v>
      </c>
    </row>
    <row r="2039" spans="1:18" ht="15" x14ac:dyDescent="0.25">
      <c r="A2039" s="82" t="s">
        <v>1</v>
      </c>
      <c r="B2039" s="82" t="s">
        <v>25</v>
      </c>
      <c r="C2039" s="82" t="s">
        <v>26</v>
      </c>
      <c r="D2039" s="82" t="s">
        <v>91</v>
      </c>
      <c r="E2039" s="87">
        <f t="shared" si="475"/>
        <v>41944</v>
      </c>
      <c r="F2039" s="83"/>
      <c r="G2039" s="92">
        <v>3678</v>
      </c>
      <c r="H2039" s="52">
        <v>880</v>
      </c>
      <c r="I2039" s="52" t="s">
        <v>93</v>
      </c>
      <c r="J2039" s="157">
        <f t="shared" si="474"/>
        <v>0.33</v>
      </c>
      <c r="K2039" s="101">
        <f t="shared" si="467"/>
        <v>36.524329692154915</v>
      </c>
      <c r="L2039" s="101">
        <f t="shared" si="468"/>
        <v>0.994054054054054</v>
      </c>
      <c r="M2039" s="133">
        <f t="shared" si="469"/>
        <v>290.40000000000003</v>
      </c>
      <c r="N2039" s="133">
        <f t="shared" si="470"/>
        <v>3968.4</v>
      </c>
      <c r="O2039" s="134">
        <f t="shared" si="471"/>
        <v>39.408142999006948</v>
      </c>
      <c r="P2039" s="134">
        <f t="shared" si="472"/>
        <v>1.0725405405405406</v>
      </c>
      <c r="R2039" s="149">
        <f t="shared" si="473"/>
        <v>-0.87920871215905194</v>
      </c>
    </row>
    <row r="2040" spans="1:18" ht="15" x14ac:dyDescent="0.25">
      <c r="A2040" s="82" t="s">
        <v>1</v>
      </c>
      <c r="B2040" s="82" t="s">
        <v>2</v>
      </c>
      <c r="C2040" s="82" t="s">
        <v>9</v>
      </c>
      <c r="D2040" s="82" t="s">
        <v>91</v>
      </c>
      <c r="E2040" s="87">
        <f t="shared" si="475"/>
        <v>41944</v>
      </c>
      <c r="F2040" s="83"/>
      <c r="G2040" s="92">
        <v>3471</v>
      </c>
      <c r="H2040" s="52">
        <v>685</v>
      </c>
      <c r="I2040" s="52" t="s">
        <v>93</v>
      </c>
      <c r="J2040" s="157">
        <f t="shared" si="474"/>
        <v>0.33</v>
      </c>
      <c r="K2040" s="101">
        <f t="shared" si="467"/>
        <v>34.468718967229393</v>
      </c>
      <c r="L2040" s="101">
        <f t="shared" si="468"/>
        <v>0.93810810810810807</v>
      </c>
      <c r="M2040" s="133">
        <f t="shared" si="469"/>
        <v>226.05</v>
      </c>
      <c r="N2040" s="133">
        <f t="shared" si="470"/>
        <v>3697.05</v>
      </c>
      <c r="O2040" s="134">
        <f t="shared" si="471"/>
        <v>36.713505461767625</v>
      </c>
      <c r="P2040" s="134">
        <f t="shared" si="472"/>
        <v>0.99920270270270273</v>
      </c>
      <c r="R2040" s="149">
        <f t="shared" si="473"/>
        <v>-8.7474854681657064</v>
      </c>
    </row>
    <row r="2041" spans="1:18" ht="15" x14ac:dyDescent="0.25">
      <c r="A2041" s="82" t="s">
        <v>1</v>
      </c>
      <c r="B2041" s="82" t="s">
        <v>27</v>
      </c>
      <c r="C2041" s="82" t="s">
        <v>28</v>
      </c>
      <c r="D2041" s="82" t="s">
        <v>91</v>
      </c>
      <c r="E2041" s="87">
        <f t="shared" si="475"/>
        <v>41944</v>
      </c>
      <c r="F2041" s="83"/>
      <c r="G2041" s="92">
        <v>4140</v>
      </c>
      <c r="H2041" s="52">
        <v>812</v>
      </c>
      <c r="I2041" s="52" t="s">
        <v>94</v>
      </c>
      <c r="J2041" s="157">
        <f t="shared" si="474"/>
        <v>0.45</v>
      </c>
      <c r="K2041" s="101">
        <f t="shared" si="467"/>
        <v>41.112214498510426</v>
      </c>
      <c r="L2041" s="101">
        <f t="shared" si="468"/>
        <v>1.1189189189189188</v>
      </c>
      <c r="M2041" s="133">
        <f t="shared" si="469"/>
        <v>365.40000000000003</v>
      </c>
      <c r="N2041" s="133">
        <f t="shared" si="470"/>
        <v>4505.3999999999996</v>
      </c>
      <c r="O2041" s="134">
        <f t="shared" si="471"/>
        <v>44.740814299900691</v>
      </c>
      <c r="P2041" s="134">
        <f t="shared" si="472"/>
        <v>1.2176756756756755</v>
      </c>
      <c r="R2041" s="149">
        <f t="shared" si="473"/>
        <v>3.4297520661156877</v>
      </c>
    </row>
    <row r="2042" spans="1:18" ht="15" x14ac:dyDescent="0.25">
      <c r="A2042" s="82" t="s">
        <v>1</v>
      </c>
      <c r="B2042" s="82" t="s">
        <v>4</v>
      </c>
      <c r="C2042" s="82" t="s">
        <v>26</v>
      </c>
      <c r="D2042" s="82" t="s">
        <v>91</v>
      </c>
      <c r="E2042" s="87">
        <f t="shared" si="475"/>
        <v>41944</v>
      </c>
      <c r="F2042" s="83"/>
      <c r="G2042" s="92">
        <v>5159</v>
      </c>
      <c r="H2042" s="52">
        <v>1520</v>
      </c>
      <c r="I2042" s="52" t="s">
        <v>93</v>
      </c>
      <c r="J2042" s="157">
        <f t="shared" si="474"/>
        <v>0.33</v>
      </c>
      <c r="K2042" s="101">
        <f t="shared" si="467"/>
        <v>51.231380337636544</v>
      </c>
      <c r="L2042" s="101">
        <f t="shared" si="468"/>
        <v>1.3943243243243244</v>
      </c>
      <c r="M2042" s="133">
        <f t="shared" si="469"/>
        <v>501.6</v>
      </c>
      <c r="N2042" s="133">
        <f t="shared" si="470"/>
        <v>5660.6</v>
      </c>
      <c r="O2042" s="134">
        <f t="shared" si="471"/>
        <v>56.212512413108243</v>
      </c>
      <c r="P2042" s="134">
        <f t="shared" si="472"/>
        <v>1.529891891891892</v>
      </c>
      <c r="R2042" s="149">
        <f t="shared" si="473"/>
        <v>-1.0626769671758574</v>
      </c>
    </row>
    <row r="2043" spans="1:18" ht="15" x14ac:dyDescent="0.25">
      <c r="A2043" s="82" t="s">
        <v>1</v>
      </c>
      <c r="B2043" s="82" t="s">
        <v>4</v>
      </c>
      <c r="C2043" s="82" t="s">
        <v>9</v>
      </c>
      <c r="D2043" s="82" t="s">
        <v>91</v>
      </c>
      <c r="E2043" s="87">
        <f t="shared" si="475"/>
        <v>41944</v>
      </c>
      <c r="F2043" s="83"/>
      <c r="G2043" s="92">
        <v>6084</v>
      </c>
      <c r="H2043" s="52">
        <v>1583</v>
      </c>
      <c r="I2043" s="52" t="s">
        <v>93</v>
      </c>
      <c r="J2043" s="157">
        <f t="shared" si="474"/>
        <v>0.33</v>
      </c>
      <c r="K2043" s="101">
        <f t="shared" si="467"/>
        <v>60.417080436941411</v>
      </c>
      <c r="L2043" s="101">
        <f t="shared" si="468"/>
        <v>1.6443243243243244</v>
      </c>
      <c r="M2043" s="133">
        <f t="shared" si="469"/>
        <v>522.39</v>
      </c>
      <c r="N2043" s="133">
        <f t="shared" si="470"/>
        <v>6606.39</v>
      </c>
      <c r="O2043" s="134">
        <f t="shared" si="471"/>
        <v>65.604667328699108</v>
      </c>
      <c r="P2043" s="134">
        <f t="shared" si="472"/>
        <v>1.7855108108108109</v>
      </c>
      <c r="R2043" s="149">
        <f t="shared" si="473"/>
        <v>-0.94936661414064538</v>
      </c>
    </row>
    <row r="2044" spans="1:18" ht="15" x14ac:dyDescent="0.25">
      <c r="A2044" s="82" t="s">
        <v>1</v>
      </c>
      <c r="B2044" s="82" t="s">
        <v>10</v>
      </c>
      <c r="C2044" s="82" t="s">
        <v>26</v>
      </c>
      <c r="D2044" s="82" t="s">
        <v>91</v>
      </c>
      <c r="E2044" s="87">
        <f t="shared" si="475"/>
        <v>41944</v>
      </c>
      <c r="F2044" s="83"/>
      <c r="G2044" s="92">
        <v>5260</v>
      </c>
      <c r="H2044" s="52">
        <v>1599</v>
      </c>
      <c r="I2044" s="52" t="s">
        <v>92</v>
      </c>
      <c r="J2044" s="157">
        <f t="shared" si="474"/>
        <v>0.34</v>
      </c>
      <c r="K2044" s="101">
        <f t="shared" si="467"/>
        <v>52.234359483614696</v>
      </c>
      <c r="L2044" s="101">
        <f t="shared" si="468"/>
        <v>1.4216216216216215</v>
      </c>
      <c r="M2044" s="133">
        <f t="shared" si="469"/>
        <v>543.66000000000008</v>
      </c>
      <c r="N2044" s="133">
        <f t="shared" si="470"/>
        <v>5803.66</v>
      </c>
      <c r="O2044" s="134">
        <f t="shared" si="471"/>
        <v>57.633167825223431</v>
      </c>
      <c r="P2044" s="134">
        <f t="shared" si="472"/>
        <v>1.5685567567567567</v>
      </c>
      <c r="R2044" s="149">
        <f t="shared" si="473"/>
        <v>2.708375364119342</v>
      </c>
    </row>
    <row r="2045" spans="1:18" ht="15" x14ac:dyDescent="0.25">
      <c r="A2045" s="82" t="s">
        <v>134</v>
      </c>
      <c r="B2045" s="82" t="s">
        <v>23</v>
      </c>
      <c r="C2045" s="82" t="s">
        <v>26</v>
      </c>
      <c r="D2045" s="82" t="s">
        <v>91</v>
      </c>
      <c r="E2045" s="87">
        <f t="shared" si="475"/>
        <v>41944</v>
      </c>
      <c r="F2045" s="83"/>
      <c r="G2045" s="92">
        <v>5000</v>
      </c>
      <c r="H2045" s="52">
        <v>1851</v>
      </c>
      <c r="I2045" s="52" t="s">
        <v>93</v>
      </c>
      <c r="J2045" s="157">
        <f t="shared" si="474"/>
        <v>0.33</v>
      </c>
      <c r="K2045" s="101">
        <f t="shared" si="467"/>
        <v>49.652432969215489</v>
      </c>
      <c r="L2045" s="101">
        <f t="shared" si="468"/>
        <v>1.2612612612612613</v>
      </c>
      <c r="M2045" s="133">
        <f t="shared" si="469"/>
        <v>610.83000000000004</v>
      </c>
      <c r="N2045" s="133">
        <f t="shared" si="470"/>
        <v>5610.83</v>
      </c>
      <c r="O2045" s="134">
        <f t="shared" si="471"/>
        <v>55.718272095332672</v>
      </c>
      <c r="P2045" s="134">
        <f t="shared" si="472"/>
        <v>1.4153445045045046</v>
      </c>
      <c r="R2045" s="149">
        <f t="shared" si="473"/>
        <v>-1.302404452520467</v>
      </c>
    </row>
    <row r="2046" spans="1:18" ht="15" x14ac:dyDescent="0.25">
      <c r="A2046" s="82" t="s">
        <v>134</v>
      </c>
      <c r="B2046" s="82" t="s">
        <v>8</v>
      </c>
      <c r="C2046" s="82" t="s">
        <v>29</v>
      </c>
      <c r="D2046" s="82" t="s">
        <v>91</v>
      </c>
      <c r="E2046" s="87">
        <f t="shared" si="475"/>
        <v>41944</v>
      </c>
      <c r="F2046" s="83"/>
      <c r="G2046" s="92">
        <v>4960</v>
      </c>
      <c r="H2046" s="52">
        <v>1695</v>
      </c>
      <c r="I2046" s="52" t="s">
        <v>93</v>
      </c>
      <c r="J2046" s="157">
        <f t="shared" si="474"/>
        <v>0.33</v>
      </c>
      <c r="K2046" s="101">
        <f t="shared" si="467"/>
        <v>49.255213505461768</v>
      </c>
      <c r="L2046" s="101">
        <f t="shared" si="468"/>
        <v>1.2511711711711713</v>
      </c>
      <c r="M2046" s="133">
        <f t="shared" si="469"/>
        <v>559.35</v>
      </c>
      <c r="N2046" s="133">
        <f t="shared" si="470"/>
        <v>5519.35</v>
      </c>
      <c r="O2046" s="134">
        <f t="shared" si="471"/>
        <v>54.809831181727908</v>
      </c>
      <c r="P2046" s="134">
        <f t="shared" si="472"/>
        <v>1.3922684684684685</v>
      </c>
      <c r="R2046" s="149">
        <f t="shared" si="473"/>
        <v>-1.2134988321416018</v>
      </c>
    </row>
    <row r="2047" spans="1:18" ht="15" x14ac:dyDescent="0.25">
      <c r="A2047" s="82" t="s">
        <v>134</v>
      </c>
      <c r="B2047" s="82" t="s">
        <v>13</v>
      </c>
      <c r="C2047" s="82" t="s">
        <v>7</v>
      </c>
      <c r="D2047" s="82" t="s">
        <v>91</v>
      </c>
      <c r="E2047" s="87">
        <f t="shared" si="475"/>
        <v>41944</v>
      </c>
      <c r="F2047" s="83"/>
      <c r="G2047" s="92">
        <v>3147</v>
      </c>
      <c r="H2047" s="52">
        <v>1006</v>
      </c>
      <c r="I2047" s="52" t="s">
        <v>92</v>
      </c>
      <c r="J2047" s="157">
        <f t="shared" si="474"/>
        <v>0.34</v>
      </c>
      <c r="K2047" s="101">
        <f t="shared" si="467"/>
        <v>31.251241310824231</v>
      </c>
      <c r="L2047" s="101">
        <f t="shared" si="468"/>
        <v>0.7938378378378379</v>
      </c>
      <c r="M2047" s="133">
        <f t="shared" si="469"/>
        <v>342.04</v>
      </c>
      <c r="N2047" s="133">
        <f t="shared" si="470"/>
        <v>3489.04</v>
      </c>
      <c r="O2047" s="134">
        <f t="shared" si="471"/>
        <v>34.647864945382324</v>
      </c>
      <c r="P2047" s="134">
        <f t="shared" si="472"/>
        <v>0.88011819819819825</v>
      </c>
      <c r="R2047" s="149">
        <f t="shared" si="473"/>
        <v>2.8220482836665228</v>
      </c>
    </row>
    <row r="2048" spans="1:18" ht="15" x14ac:dyDescent="0.25">
      <c r="A2048" s="82" t="s">
        <v>134</v>
      </c>
      <c r="B2048" s="82" t="s">
        <v>30</v>
      </c>
      <c r="C2048" s="82" t="s">
        <v>9</v>
      </c>
      <c r="D2048" s="82" t="s">
        <v>91</v>
      </c>
      <c r="E2048" s="87">
        <f t="shared" si="475"/>
        <v>41944</v>
      </c>
      <c r="F2048" s="83"/>
      <c r="G2048" s="92">
        <v>3510</v>
      </c>
      <c r="H2048" s="52">
        <v>988</v>
      </c>
      <c r="I2048" s="52" t="s">
        <v>93</v>
      </c>
      <c r="J2048" s="157">
        <f t="shared" si="474"/>
        <v>0.33</v>
      </c>
      <c r="K2048" s="101">
        <f t="shared" si="467"/>
        <v>34.856007944389276</v>
      </c>
      <c r="L2048" s="101">
        <f t="shared" si="468"/>
        <v>0.88540540540540547</v>
      </c>
      <c r="M2048" s="133">
        <f t="shared" si="469"/>
        <v>326.04000000000002</v>
      </c>
      <c r="N2048" s="133">
        <f t="shared" si="470"/>
        <v>3836.04</v>
      </c>
      <c r="O2048" s="134">
        <f t="shared" si="471"/>
        <v>38.093743793445874</v>
      </c>
      <c r="P2048" s="134">
        <f t="shared" si="472"/>
        <v>0.96764972972972974</v>
      </c>
      <c r="R2048" s="149">
        <f t="shared" si="473"/>
        <v>-1.0197236012344013</v>
      </c>
    </row>
    <row r="2049" spans="1:19" ht="15" x14ac:dyDescent="0.25">
      <c r="A2049" s="82" t="s">
        <v>134</v>
      </c>
      <c r="B2049" s="82" t="s">
        <v>16</v>
      </c>
      <c r="C2049" s="82" t="s">
        <v>11</v>
      </c>
      <c r="D2049" s="82" t="s">
        <v>91</v>
      </c>
      <c r="E2049" s="87">
        <f t="shared" si="475"/>
        <v>41944</v>
      </c>
      <c r="F2049" s="83"/>
      <c r="G2049" s="92">
        <v>3690</v>
      </c>
      <c r="H2049" s="52">
        <v>787</v>
      </c>
      <c r="I2049" s="52" t="s">
        <v>92</v>
      </c>
      <c r="J2049" s="157">
        <f t="shared" si="474"/>
        <v>0.34</v>
      </c>
      <c r="K2049" s="101">
        <f t="shared" si="467"/>
        <v>36.643495531281033</v>
      </c>
      <c r="L2049" s="101">
        <f t="shared" si="468"/>
        <v>0.93081081081081085</v>
      </c>
      <c r="M2049" s="133">
        <f t="shared" si="469"/>
        <v>267.58000000000004</v>
      </c>
      <c r="N2049" s="133">
        <f t="shared" si="470"/>
        <v>3957.58</v>
      </c>
      <c r="O2049" s="134">
        <f t="shared" si="471"/>
        <v>39.30069513406157</v>
      </c>
      <c r="P2049" s="134">
        <f t="shared" si="472"/>
        <v>0.99830846846846844</v>
      </c>
      <c r="R2049" s="149">
        <f t="shared" si="473"/>
        <v>1.7618653350681246</v>
      </c>
    </row>
    <row r="2050" spans="1:19" ht="15" x14ac:dyDescent="0.25">
      <c r="A2050" s="82" t="s">
        <v>134</v>
      </c>
      <c r="B2050" s="82" t="s">
        <v>23</v>
      </c>
      <c r="C2050" s="82" t="s">
        <v>29</v>
      </c>
      <c r="D2050" s="82" t="s">
        <v>91</v>
      </c>
      <c r="E2050" s="87">
        <f t="shared" si="475"/>
        <v>41944</v>
      </c>
      <c r="F2050" s="83"/>
      <c r="G2050" s="92">
        <v>5000</v>
      </c>
      <c r="H2050" s="52">
        <v>1836</v>
      </c>
      <c r="I2050" s="52" t="s">
        <v>93</v>
      </c>
      <c r="J2050" s="157">
        <f t="shared" si="474"/>
        <v>0.33</v>
      </c>
      <c r="K2050" s="101">
        <f t="shared" si="467"/>
        <v>49.652432969215489</v>
      </c>
      <c r="L2050" s="101">
        <f t="shared" si="468"/>
        <v>1.2612612612612613</v>
      </c>
      <c r="M2050" s="133">
        <f t="shared" si="469"/>
        <v>605.88</v>
      </c>
      <c r="N2050" s="133">
        <f t="shared" si="470"/>
        <v>5605.88</v>
      </c>
      <c r="O2050" s="134">
        <f t="shared" si="471"/>
        <v>55.669116186693145</v>
      </c>
      <c r="P2050" s="134">
        <f t="shared" si="472"/>
        <v>1.4140958558558558</v>
      </c>
      <c r="R2050" s="149">
        <f t="shared" si="473"/>
        <v>-1.2931125557284928</v>
      </c>
    </row>
    <row r="2051" spans="1:19" ht="15" x14ac:dyDescent="0.25">
      <c r="A2051" s="82" t="s">
        <v>134</v>
      </c>
      <c r="B2051" s="82" t="s">
        <v>31</v>
      </c>
      <c r="C2051" s="82" t="s">
        <v>32</v>
      </c>
      <c r="D2051" s="82" t="s">
        <v>91</v>
      </c>
      <c r="E2051" s="87">
        <f t="shared" si="475"/>
        <v>41944</v>
      </c>
      <c r="F2051" s="83"/>
      <c r="G2051" s="92">
        <v>4400</v>
      </c>
      <c r="H2051" s="52">
        <v>1899</v>
      </c>
      <c r="I2051" s="52" t="s">
        <v>93</v>
      </c>
      <c r="J2051" s="157">
        <f t="shared" si="474"/>
        <v>0.33</v>
      </c>
      <c r="K2051" s="101">
        <f t="shared" si="467"/>
        <v>43.694141012909633</v>
      </c>
      <c r="L2051" s="101">
        <f t="shared" si="468"/>
        <v>1.1099099099099099</v>
      </c>
      <c r="M2051" s="133">
        <f t="shared" si="469"/>
        <v>626.67000000000007</v>
      </c>
      <c r="N2051" s="133">
        <f t="shared" si="470"/>
        <v>5026.67</v>
      </c>
      <c r="O2051" s="134">
        <f t="shared" si="471"/>
        <v>49.917279046673286</v>
      </c>
      <c r="P2051" s="134">
        <f t="shared" si="472"/>
        <v>1.2679888288288288</v>
      </c>
      <c r="R2051" s="149">
        <f t="shared" si="473"/>
        <v>-1.4886440913803312</v>
      </c>
    </row>
    <row r="2052" spans="1:19" ht="15" x14ac:dyDescent="0.25">
      <c r="A2052" s="82" t="s">
        <v>22</v>
      </c>
      <c r="B2052" s="82" t="s">
        <v>8</v>
      </c>
      <c r="C2052" s="82" t="s">
        <v>29</v>
      </c>
      <c r="D2052" s="82" t="s">
        <v>91</v>
      </c>
      <c r="E2052" s="87">
        <f t="shared" si="475"/>
        <v>41944</v>
      </c>
      <c r="F2052" s="83"/>
      <c r="G2052" s="92">
        <v>5520</v>
      </c>
      <c r="H2052" s="52">
        <v>1695</v>
      </c>
      <c r="I2052" s="52" t="s">
        <v>93</v>
      </c>
      <c r="J2052" s="157">
        <f t="shared" si="474"/>
        <v>0.33</v>
      </c>
      <c r="K2052" s="101">
        <f t="shared" si="467"/>
        <v>54.816285998013903</v>
      </c>
      <c r="L2052" s="101">
        <f t="shared" si="468"/>
        <v>1.491891891891892</v>
      </c>
      <c r="M2052" s="133">
        <f t="shared" si="469"/>
        <v>559.35</v>
      </c>
      <c r="N2052" s="133">
        <f t="shared" si="470"/>
        <v>6079.35</v>
      </c>
      <c r="O2052" s="134">
        <f t="shared" si="471"/>
        <v>60.370903674280044</v>
      </c>
      <c r="P2052" s="134">
        <f t="shared" si="472"/>
        <v>1.6430675675675677</v>
      </c>
      <c r="R2052" s="149">
        <f t="shared" si="473"/>
        <v>-1.1029501476293779</v>
      </c>
    </row>
    <row r="2053" spans="1:19" ht="15" x14ac:dyDescent="0.25">
      <c r="A2053" s="82" t="s">
        <v>22</v>
      </c>
      <c r="B2053" s="82" t="s">
        <v>23</v>
      </c>
      <c r="C2053" s="82" t="s">
        <v>26</v>
      </c>
      <c r="D2053" s="82" t="s">
        <v>91</v>
      </c>
      <c r="E2053" s="87">
        <f t="shared" si="475"/>
        <v>41944</v>
      </c>
      <c r="F2053" s="83"/>
      <c r="G2053" s="92">
        <v>5530</v>
      </c>
      <c r="H2053" s="52">
        <v>1851</v>
      </c>
      <c r="I2053" s="52" t="s">
        <v>93</v>
      </c>
      <c r="J2053" s="157">
        <f t="shared" si="474"/>
        <v>0.33</v>
      </c>
      <c r="K2053" s="101">
        <f t="shared" si="467"/>
        <v>54.915590863952332</v>
      </c>
      <c r="L2053" s="101">
        <f t="shared" si="468"/>
        <v>1.4945945945945946</v>
      </c>
      <c r="M2053" s="133">
        <f t="shared" si="469"/>
        <v>610.83000000000004</v>
      </c>
      <c r="N2053" s="133">
        <f t="shared" si="470"/>
        <v>6140.83</v>
      </c>
      <c r="O2053" s="134">
        <f t="shared" si="471"/>
        <v>60.981429990069508</v>
      </c>
      <c r="P2053" s="134">
        <f t="shared" si="472"/>
        <v>1.6596837837837837</v>
      </c>
      <c r="R2053" s="149">
        <f t="shared" si="473"/>
        <v>-1.191336262866316</v>
      </c>
    </row>
    <row r="2054" spans="1:19" ht="15" x14ac:dyDescent="0.25">
      <c r="A2054" s="82" t="s">
        <v>22</v>
      </c>
      <c r="B2054" s="82" t="s">
        <v>33</v>
      </c>
      <c r="C2054" s="82" t="s">
        <v>29</v>
      </c>
      <c r="D2054" s="82" t="s">
        <v>91</v>
      </c>
      <c r="E2054" s="87">
        <f t="shared" si="475"/>
        <v>41944</v>
      </c>
      <c r="F2054" s="83"/>
      <c r="G2054" s="92">
        <v>5430</v>
      </c>
      <c r="H2054" s="52">
        <v>1507</v>
      </c>
      <c r="I2054" s="52" t="s">
        <v>93</v>
      </c>
      <c r="J2054" s="157">
        <f t="shared" si="474"/>
        <v>0.33</v>
      </c>
      <c r="K2054" s="101">
        <f t="shared" si="467"/>
        <v>53.922542204568025</v>
      </c>
      <c r="L2054" s="101">
        <f t="shared" si="468"/>
        <v>1.4675675675675677</v>
      </c>
      <c r="M2054" s="133">
        <f t="shared" si="469"/>
        <v>497.31</v>
      </c>
      <c r="N2054" s="133">
        <f t="shared" si="470"/>
        <v>5927.31</v>
      </c>
      <c r="O2054" s="134">
        <f t="shared" si="471"/>
        <v>58.86107249255214</v>
      </c>
      <c r="P2054" s="134">
        <f t="shared" si="472"/>
        <v>1.6019756756756758</v>
      </c>
      <c r="R2054" s="149">
        <f t="shared" si="473"/>
        <v>-1.0067489590970591</v>
      </c>
    </row>
    <row r="2055" spans="1:19" ht="15" x14ac:dyDescent="0.25">
      <c r="A2055" s="82" t="s">
        <v>22</v>
      </c>
      <c r="B2055" s="82" t="s">
        <v>31</v>
      </c>
      <c r="C2055" s="82" t="s">
        <v>7</v>
      </c>
      <c r="D2055" s="82" t="s">
        <v>91</v>
      </c>
      <c r="E2055" s="87">
        <f t="shared" si="475"/>
        <v>41944</v>
      </c>
      <c r="F2055" s="83"/>
      <c r="G2055" s="92">
        <v>4425</v>
      </c>
      <c r="H2055" s="52">
        <v>1160</v>
      </c>
      <c r="I2055" s="52" t="s">
        <v>92</v>
      </c>
      <c r="J2055" s="157">
        <f t="shared" si="474"/>
        <v>0.34</v>
      </c>
      <c r="K2055" s="101">
        <f t="shared" si="467"/>
        <v>43.942403177755708</v>
      </c>
      <c r="L2055" s="101">
        <f t="shared" si="468"/>
        <v>1.1959459459459461</v>
      </c>
      <c r="M2055" s="133">
        <f t="shared" si="469"/>
        <v>394.40000000000003</v>
      </c>
      <c r="N2055" s="133">
        <f t="shared" si="470"/>
        <v>4819.3999999999996</v>
      </c>
      <c r="O2055" s="134">
        <f t="shared" si="471"/>
        <v>47.858987090367421</v>
      </c>
      <c r="P2055" s="134">
        <f t="shared" si="472"/>
        <v>1.3025405405405404</v>
      </c>
      <c r="R2055" s="149">
        <f t="shared" si="473"/>
        <v>4.4109363490619113</v>
      </c>
    </row>
    <row r="2056" spans="1:19" ht="15" x14ac:dyDescent="0.25">
      <c r="A2056" s="82" t="s">
        <v>22</v>
      </c>
      <c r="B2056" s="82" t="s">
        <v>14</v>
      </c>
      <c r="C2056" s="82" t="s">
        <v>24</v>
      </c>
      <c r="D2056" s="82" t="s">
        <v>91</v>
      </c>
      <c r="E2056" s="87">
        <f t="shared" si="475"/>
        <v>41944</v>
      </c>
      <c r="F2056" s="83"/>
      <c r="G2056" s="92">
        <v>2982</v>
      </c>
      <c r="H2056" s="52">
        <v>615</v>
      </c>
      <c r="I2056" s="52" t="s">
        <v>94</v>
      </c>
      <c r="J2056" s="157">
        <f t="shared" si="474"/>
        <v>0.45</v>
      </c>
      <c r="K2056" s="101">
        <f t="shared" si="467"/>
        <v>29.61271102284012</v>
      </c>
      <c r="L2056" s="101">
        <f t="shared" si="468"/>
        <v>0.80594594594594593</v>
      </c>
      <c r="M2056" s="133">
        <f t="shared" si="469"/>
        <v>276.75</v>
      </c>
      <c r="N2056" s="133">
        <f t="shared" si="470"/>
        <v>3258.75</v>
      </c>
      <c r="O2056" s="134">
        <f t="shared" si="471"/>
        <v>32.360973187686199</v>
      </c>
      <c r="P2056" s="134">
        <f t="shared" si="472"/>
        <v>0.88074324324324327</v>
      </c>
      <c r="R2056" s="149">
        <f t="shared" si="473"/>
        <v>2.8159015617605254</v>
      </c>
    </row>
    <row r="2057" spans="1:19" ht="15" x14ac:dyDescent="0.25">
      <c r="A2057" s="118" t="s">
        <v>22</v>
      </c>
      <c r="B2057" s="118" t="s">
        <v>34</v>
      </c>
      <c r="C2057" s="118" t="s">
        <v>26</v>
      </c>
      <c r="D2057" s="118" t="s">
        <v>91</v>
      </c>
      <c r="E2057" s="119">
        <f t="shared" si="475"/>
        <v>41944</v>
      </c>
      <c r="F2057" s="120"/>
      <c r="G2057" s="105">
        <v>5360</v>
      </c>
      <c r="H2057" s="158">
        <v>1637</v>
      </c>
      <c r="I2057" s="158" t="s">
        <v>92</v>
      </c>
      <c r="J2057" s="122">
        <f t="shared" si="474"/>
        <v>0.34</v>
      </c>
      <c r="K2057" s="123">
        <f t="shared" si="467"/>
        <v>53.227408142999003</v>
      </c>
      <c r="L2057" s="123">
        <f t="shared" si="468"/>
        <v>1.4486486486486487</v>
      </c>
      <c r="M2057" s="115">
        <f t="shared" si="469"/>
        <v>556.58000000000004</v>
      </c>
      <c r="N2057" s="115">
        <f t="shared" si="470"/>
        <v>5916.58</v>
      </c>
      <c r="O2057" s="116">
        <f t="shared" si="471"/>
        <v>58.754518371400195</v>
      </c>
      <c r="P2057" s="116">
        <f t="shared" si="472"/>
        <v>1.5990756756756757</v>
      </c>
      <c r="Q2057" s="106"/>
      <c r="R2057" s="152">
        <f t="shared" si="473"/>
        <v>3.2190870297938101</v>
      </c>
    </row>
    <row r="2058" spans="1:19" ht="15" x14ac:dyDescent="0.25">
      <c r="A2058" s="60" t="s">
        <v>1</v>
      </c>
      <c r="B2058" s="60" t="s">
        <v>2</v>
      </c>
      <c r="C2058" s="60" t="s">
        <v>3</v>
      </c>
      <c r="D2058" s="60" t="s">
        <v>90</v>
      </c>
      <c r="E2058" s="89">
        <v>41974</v>
      </c>
      <c r="F2058" s="61"/>
      <c r="G2058" s="92">
        <v>3387</v>
      </c>
      <c r="H2058" s="138">
        <v>506</v>
      </c>
      <c r="I2058" s="138" t="s">
        <v>92</v>
      </c>
      <c r="J2058" s="141">
        <f>IF(I2058="BNSF",0.3,IF(I2058="CN",0.2703,IF(I2058="CSX",0.43,0.32)))</f>
        <v>0.32</v>
      </c>
      <c r="K2058" s="95">
        <f t="shared" ref="K2058:K2095" si="476">G2058/100.7</f>
        <v>33.63455809334657</v>
      </c>
      <c r="L2058" s="95">
        <f t="shared" ref="L2058:L2095" si="477">IF(A2058="corn",G2058/(111*2000/56),G2058/(111*2000/60))</f>
        <v>0.91540540540540538</v>
      </c>
      <c r="M2058" s="133">
        <f t="shared" ref="M2058:M2095" si="478">H2058*J2058</f>
        <v>161.92000000000002</v>
      </c>
      <c r="N2058" s="133">
        <f t="shared" ref="N2058:N2095" si="479">G2058+M2058</f>
        <v>3548.92</v>
      </c>
      <c r="O2058" s="134">
        <f t="shared" ref="O2058:O2095" si="480">N2058/100.7</f>
        <v>35.242502482621646</v>
      </c>
      <c r="P2058" s="134">
        <f t="shared" ref="P2058:P2095" si="481">IF(A2058="corn",N2058/(111*2000/56),N2058/(111*2000/60))</f>
        <v>0.9591675675675676</v>
      </c>
      <c r="Q2058" s="160"/>
      <c r="R2058" s="149">
        <f t="shared" ref="R2058:R2095" si="482">((N2058/N1602)-1)*100</f>
        <v>5.2105444153256908</v>
      </c>
      <c r="S2058" s="140">
        <f>AVERAGE(O1982,O2020,O2058)</f>
        <v>35.326249586229729</v>
      </c>
    </row>
    <row r="2059" spans="1:19" ht="15" x14ac:dyDescent="0.25">
      <c r="A2059" s="60" t="s">
        <v>1</v>
      </c>
      <c r="B2059" s="60" t="s">
        <v>4</v>
      </c>
      <c r="C2059" s="60" t="s">
        <v>5</v>
      </c>
      <c r="D2059" s="60" t="s">
        <v>90</v>
      </c>
      <c r="E2059" s="89">
        <f>E2058</f>
        <v>41974</v>
      </c>
      <c r="F2059" s="61"/>
      <c r="G2059" s="92">
        <v>3596</v>
      </c>
      <c r="H2059" s="138">
        <v>298</v>
      </c>
      <c r="I2059" s="138" t="s">
        <v>93</v>
      </c>
      <c r="J2059" s="141">
        <f t="shared" ref="J2059:J2095" si="483">IF(I2059="BNSF",0.3,IF(I2059="CN",0.2703,IF(I2059="CSX",0.43,0.32)))</f>
        <v>0.3</v>
      </c>
      <c r="K2059" s="95">
        <f t="shared" si="476"/>
        <v>35.710029791459782</v>
      </c>
      <c r="L2059" s="95">
        <f t="shared" si="477"/>
        <v>0.97189189189189185</v>
      </c>
      <c r="M2059" s="133">
        <f t="shared" si="478"/>
        <v>89.399999999999991</v>
      </c>
      <c r="N2059" s="133">
        <f t="shared" si="479"/>
        <v>3685.4</v>
      </c>
      <c r="O2059" s="134">
        <f t="shared" si="480"/>
        <v>36.597815292949356</v>
      </c>
      <c r="P2059" s="134">
        <f t="shared" si="481"/>
        <v>0.99605405405405412</v>
      </c>
      <c r="Q2059" s="160"/>
      <c r="R2059" s="149">
        <f t="shared" si="482"/>
        <v>-0.40267005377943033</v>
      </c>
      <c r="S2059" s="140">
        <f t="shared" ref="S2059:S2094" si="484">AVERAGE(O1983,O2021,O2059)</f>
        <v>36.666865276398546</v>
      </c>
    </row>
    <row r="2060" spans="1:19" ht="15" x14ac:dyDescent="0.25">
      <c r="A2060" s="60" t="s">
        <v>1</v>
      </c>
      <c r="B2060" s="60" t="s">
        <v>2</v>
      </c>
      <c r="C2060" s="60" t="s">
        <v>6</v>
      </c>
      <c r="D2060" s="60" t="s">
        <v>90</v>
      </c>
      <c r="E2060" s="89">
        <f t="shared" ref="E2060:E2095" si="485">E2059</f>
        <v>41974</v>
      </c>
      <c r="F2060" s="61"/>
      <c r="G2060" s="92">
        <v>6244</v>
      </c>
      <c r="H2060" s="138">
        <v>1530</v>
      </c>
      <c r="I2060" s="138" t="s">
        <v>93</v>
      </c>
      <c r="J2060" s="141">
        <f t="shared" si="483"/>
        <v>0.3</v>
      </c>
      <c r="K2060" s="95">
        <f t="shared" si="476"/>
        <v>62.005958291956304</v>
      </c>
      <c r="L2060" s="95">
        <f t="shared" si="477"/>
        <v>1.6875675675675677</v>
      </c>
      <c r="M2060" s="133">
        <f t="shared" si="478"/>
        <v>459</v>
      </c>
      <c r="N2060" s="133">
        <f t="shared" si="479"/>
        <v>6703</v>
      </c>
      <c r="O2060" s="134">
        <f t="shared" si="480"/>
        <v>66.564051638530287</v>
      </c>
      <c r="P2060" s="134">
        <f t="shared" si="481"/>
        <v>1.8116216216216217</v>
      </c>
      <c r="R2060" s="149">
        <f t="shared" si="482"/>
        <v>-1.1284017995427442</v>
      </c>
      <c r="S2060" s="140">
        <f t="shared" si="484"/>
        <v>66.918570009930491</v>
      </c>
    </row>
    <row r="2061" spans="1:19" ht="15" x14ac:dyDescent="0.25">
      <c r="A2061" s="60" t="s">
        <v>1</v>
      </c>
      <c r="B2061" s="60" t="s">
        <v>2</v>
      </c>
      <c r="C2061" s="60" t="s">
        <v>7</v>
      </c>
      <c r="D2061" s="60" t="s">
        <v>90</v>
      </c>
      <c r="E2061" s="89">
        <f t="shared" si="485"/>
        <v>41974</v>
      </c>
      <c r="F2061" s="61"/>
      <c r="G2061" s="92">
        <v>4026</v>
      </c>
      <c r="H2061" s="138">
        <v>890</v>
      </c>
      <c r="I2061" s="138" t="s">
        <v>92</v>
      </c>
      <c r="J2061" s="141">
        <f t="shared" si="483"/>
        <v>0.32</v>
      </c>
      <c r="K2061" s="95">
        <f t="shared" si="476"/>
        <v>39.98013902681231</v>
      </c>
      <c r="L2061" s="95">
        <f t="shared" si="477"/>
        <v>1.0881081081081081</v>
      </c>
      <c r="M2061" s="133">
        <f t="shared" si="478"/>
        <v>284.8</v>
      </c>
      <c r="N2061" s="133">
        <f t="shared" si="479"/>
        <v>4310.8</v>
      </c>
      <c r="O2061" s="134">
        <f t="shared" si="480"/>
        <v>42.808341608738829</v>
      </c>
      <c r="P2061" s="134">
        <f t="shared" si="481"/>
        <v>1.1650810810810812</v>
      </c>
      <c r="R2061" s="149">
        <f t="shared" si="482"/>
        <v>4.4181765332816703</v>
      </c>
      <c r="S2061" s="140">
        <f t="shared" si="484"/>
        <v>42.955643826547508</v>
      </c>
    </row>
    <row r="2062" spans="1:19" ht="15" x14ac:dyDescent="0.25">
      <c r="A2062" s="60" t="s">
        <v>1</v>
      </c>
      <c r="B2062" s="60" t="s">
        <v>8</v>
      </c>
      <c r="C2062" s="60" t="s">
        <v>9</v>
      </c>
      <c r="D2062" s="60" t="s">
        <v>90</v>
      </c>
      <c r="E2062" s="89">
        <f t="shared" si="485"/>
        <v>41974</v>
      </c>
      <c r="F2062" s="61"/>
      <c r="G2062" s="92">
        <v>5824</v>
      </c>
      <c r="H2062" s="138">
        <v>1256</v>
      </c>
      <c r="I2062" s="138" t="s">
        <v>93</v>
      </c>
      <c r="J2062" s="141">
        <f t="shared" si="483"/>
        <v>0.3</v>
      </c>
      <c r="K2062" s="95">
        <f t="shared" si="476"/>
        <v>57.835153922542204</v>
      </c>
      <c r="L2062" s="95">
        <f t="shared" si="477"/>
        <v>1.574054054054054</v>
      </c>
      <c r="M2062" s="133">
        <f t="shared" si="478"/>
        <v>376.8</v>
      </c>
      <c r="N2062" s="133">
        <f t="shared" si="479"/>
        <v>6200.8</v>
      </c>
      <c r="O2062" s="134">
        <f t="shared" si="480"/>
        <v>61.576961271102284</v>
      </c>
      <c r="P2062" s="134">
        <f t="shared" si="481"/>
        <v>1.6758918918918919</v>
      </c>
      <c r="R2062" s="149">
        <f t="shared" si="482"/>
        <v>-1.0026183025735991</v>
      </c>
      <c r="S2062" s="140">
        <f t="shared" si="484"/>
        <v>61.867990731545838</v>
      </c>
    </row>
    <row r="2063" spans="1:19" ht="15" x14ac:dyDescent="0.25">
      <c r="A2063" s="60" t="s">
        <v>1</v>
      </c>
      <c r="B2063" s="60" t="s">
        <v>10</v>
      </c>
      <c r="C2063" s="60" t="s">
        <v>9</v>
      </c>
      <c r="D2063" s="60" t="s">
        <v>90</v>
      </c>
      <c r="E2063" s="89">
        <f t="shared" si="485"/>
        <v>41974</v>
      </c>
      <c r="F2063" s="61"/>
      <c r="G2063" s="92">
        <v>4293</v>
      </c>
      <c r="H2063" s="138">
        <v>975</v>
      </c>
      <c r="I2063" s="138" t="s">
        <v>92</v>
      </c>
      <c r="J2063" s="141">
        <f t="shared" si="483"/>
        <v>0.32</v>
      </c>
      <c r="K2063" s="95">
        <f t="shared" si="476"/>
        <v>42.631578947368418</v>
      </c>
      <c r="L2063" s="95">
        <f t="shared" si="477"/>
        <v>1.1602702702702703</v>
      </c>
      <c r="M2063" s="133">
        <f t="shared" si="478"/>
        <v>312</v>
      </c>
      <c r="N2063" s="133">
        <f t="shared" si="479"/>
        <v>4605</v>
      </c>
      <c r="O2063" s="134">
        <f t="shared" si="480"/>
        <v>45.729890764647465</v>
      </c>
      <c r="P2063" s="134">
        <f t="shared" si="481"/>
        <v>1.2445945945945946</v>
      </c>
      <c r="R2063" s="149">
        <f t="shared" si="482"/>
        <v>4.0207815676530423</v>
      </c>
      <c r="S2063" s="140">
        <f t="shared" si="484"/>
        <v>45.891261171797417</v>
      </c>
    </row>
    <row r="2064" spans="1:19" ht="15" x14ac:dyDescent="0.25">
      <c r="A2064" s="60" t="s">
        <v>1</v>
      </c>
      <c r="B2064" s="60" t="s">
        <v>11</v>
      </c>
      <c r="C2064" s="60" t="s">
        <v>6</v>
      </c>
      <c r="D2064" s="60" t="s">
        <v>90</v>
      </c>
      <c r="E2064" s="89">
        <f t="shared" si="485"/>
        <v>41974</v>
      </c>
      <c r="F2064" s="61"/>
      <c r="G2064" s="92">
        <v>4492</v>
      </c>
      <c r="H2064" s="138">
        <v>1357</v>
      </c>
      <c r="I2064" s="138" t="s">
        <v>92</v>
      </c>
      <c r="J2064" s="141">
        <f t="shared" si="483"/>
        <v>0.32</v>
      </c>
      <c r="K2064" s="95">
        <f t="shared" si="476"/>
        <v>44.607745779543194</v>
      </c>
      <c r="L2064" s="95">
        <f t="shared" si="477"/>
        <v>1.2140540540540541</v>
      </c>
      <c r="M2064" s="133">
        <f t="shared" si="478"/>
        <v>434.24</v>
      </c>
      <c r="N2064" s="133">
        <f t="shared" si="479"/>
        <v>4926.24</v>
      </c>
      <c r="O2064" s="134">
        <f t="shared" si="480"/>
        <v>48.919960278053622</v>
      </c>
      <c r="P2064" s="134">
        <f t="shared" si="481"/>
        <v>1.3314162162162162</v>
      </c>
      <c r="R2064" s="149">
        <f t="shared" si="482"/>
        <v>3.4159613059250082</v>
      </c>
      <c r="S2064" s="140">
        <f t="shared" si="484"/>
        <v>49.144554783184368</v>
      </c>
    </row>
    <row r="2065" spans="1:19" ht="15" x14ac:dyDescent="0.25">
      <c r="A2065" s="60" t="s">
        <v>134</v>
      </c>
      <c r="B2065" s="60" t="s">
        <v>13</v>
      </c>
      <c r="C2065" s="60" t="s">
        <v>7</v>
      </c>
      <c r="D2065" s="60" t="s">
        <v>90</v>
      </c>
      <c r="E2065" s="89">
        <f t="shared" si="485"/>
        <v>41974</v>
      </c>
      <c r="F2065" s="61"/>
      <c r="G2065" s="92">
        <v>3328</v>
      </c>
      <c r="H2065" s="138">
        <v>1006</v>
      </c>
      <c r="I2065" s="138" t="s">
        <v>92</v>
      </c>
      <c r="J2065" s="141">
        <f t="shared" si="483"/>
        <v>0.32</v>
      </c>
      <c r="K2065" s="95">
        <f t="shared" si="476"/>
        <v>33.048659384309829</v>
      </c>
      <c r="L2065" s="95">
        <f t="shared" si="477"/>
        <v>0.83949549549549551</v>
      </c>
      <c r="M2065" s="133">
        <f t="shared" si="478"/>
        <v>321.92</v>
      </c>
      <c r="N2065" s="133">
        <f t="shared" si="479"/>
        <v>3649.92</v>
      </c>
      <c r="O2065" s="134">
        <f t="shared" si="480"/>
        <v>36.245481628599798</v>
      </c>
      <c r="P2065" s="134">
        <f t="shared" si="481"/>
        <v>0.92070054054054062</v>
      </c>
      <c r="R2065" s="149">
        <f t="shared" si="482"/>
        <v>2.694307515699923</v>
      </c>
      <c r="S2065" s="140">
        <f t="shared" si="484"/>
        <v>36.411982787156575</v>
      </c>
    </row>
    <row r="2066" spans="1:19" ht="15" x14ac:dyDescent="0.25">
      <c r="A2066" s="60" t="s">
        <v>134</v>
      </c>
      <c r="B2066" s="60" t="s">
        <v>14</v>
      </c>
      <c r="C2066" s="60" t="s">
        <v>15</v>
      </c>
      <c r="D2066" s="60" t="s">
        <v>90</v>
      </c>
      <c r="E2066" s="89">
        <f t="shared" si="485"/>
        <v>41974</v>
      </c>
      <c r="F2066" s="61"/>
      <c r="G2066" s="92">
        <v>4875</v>
      </c>
      <c r="H2066" s="138">
        <v>866</v>
      </c>
      <c r="I2066" s="138" t="s">
        <v>94</v>
      </c>
      <c r="J2066" s="141">
        <f t="shared" si="483"/>
        <v>0.43</v>
      </c>
      <c r="K2066" s="95">
        <f t="shared" si="476"/>
        <v>48.4111221449851</v>
      </c>
      <c r="L2066" s="95">
        <f t="shared" si="477"/>
        <v>1.2297297297297298</v>
      </c>
      <c r="M2066" s="133">
        <f t="shared" si="478"/>
        <v>372.38</v>
      </c>
      <c r="N2066" s="133">
        <f t="shared" si="479"/>
        <v>5247.38</v>
      </c>
      <c r="O2066" s="134">
        <f t="shared" si="480"/>
        <v>52.109036742800399</v>
      </c>
      <c r="P2066" s="134">
        <f t="shared" si="481"/>
        <v>1.3236634234234235</v>
      </c>
      <c r="R2066" s="149">
        <f t="shared" si="482"/>
        <v>2.855921970801778</v>
      </c>
      <c r="S2066" s="140">
        <f t="shared" si="484"/>
        <v>52.252366765971523</v>
      </c>
    </row>
    <row r="2067" spans="1:19" ht="15" x14ac:dyDescent="0.25">
      <c r="A2067" s="60" t="s">
        <v>134</v>
      </c>
      <c r="B2067" s="60" t="s">
        <v>16</v>
      </c>
      <c r="C2067" s="60" t="s">
        <v>17</v>
      </c>
      <c r="D2067" s="60" t="s">
        <v>90</v>
      </c>
      <c r="E2067" s="89">
        <f t="shared" si="485"/>
        <v>41974</v>
      </c>
      <c r="F2067" s="61"/>
      <c r="G2067" s="92">
        <v>2168</v>
      </c>
      <c r="H2067" s="138">
        <v>213</v>
      </c>
      <c r="I2067" s="138" t="s">
        <v>92</v>
      </c>
      <c r="J2067" s="141">
        <f t="shared" si="483"/>
        <v>0.32</v>
      </c>
      <c r="K2067" s="95">
        <f t="shared" si="476"/>
        <v>21.529294935451837</v>
      </c>
      <c r="L2067" s="95">
        <f t="shared" si="477"/>
        <v>0.54688288288288289</v>
      </c>
      <c r="M2067" s="133">
        <f t="shared" si="478"/>
        <v>68.16</v>
      </c>
      <c r="N2067" s="133">
        <f t="shared" si="479"/>
        <v>2236.16</v>
      </c>
      <c r="O2067" s="134">
        <f t="shared" si="480"/>
        <v>22.206156901688182</v>
      </c>
      <c r="P2067" s="134">
        <f t="shared" si="481"/>
        <v>0.5640763963963964</v>
      </c>
      <c r="R2067" s="149">
        <f t="shared" si="482"/>
        <v>3.7815360053464975</v>
      </c>
      <c r="S2067" s="140">
        <f t="shared" si="484"/>
        <v>22.241410129096323</v>
      </c>
    </row>
    <row r="2068" spans="1:19" ht="15" x14ac:dyDescent="0.25">
      <c r="A2068" s="60" t="s">
        <v>134</v>
      </c>
      <c r="B2068" s="60" t="s">
        <v>18</v>
      </c>
      <c r="C2068" s="60" t="s">
        <v>19</v>
      </c>
      <c r="D2068" s="60" t="s">
        <v>90</v>
      </c>
      <c r="E2068" s="89">
        <f t="shared" si="485"/>
        <v>41974</v>
      </c>
      <c r="F2068" s="61"/>
      <c r="G2068" s="92">
        <v>4211</v>
      </c>
      <c r="H2068" s="138">
        <v>650</v>
      </c>
      <c r="I2068" s="138" t="s">
        <v>94</v>
      </c>
      <c r="J2068" s="141">
        <f t="shared" si="483"/>
        <v>0.43</v>
      </c>
      <c r="K2068" s="95">
        <f t="shared" si="476"/>
        <v>41.817279046673285</v>
      </c>
      <c r="L2068" s="95">
        <f t="shared" si="477"/>
        <v>1.0622342342342344</v>
      </c>
      <c r="M2068" s="133">
        <f t="shared" si="478"/>
        <v>279.5</v>
      </c>
      <c r="N2068" s="133">
        <f t="shared" si="479"/>
        <v>4490.5</v>
      </c>
      <c r="O2068" s="134">
        <f t="shared" si="480"/>
        <v>44.592850049652434</v>
      </c>
      <c r="P2068" s="134">
        <f t="shared" si="481"/>
        <v>1.1327387387387386</v>
      </c>
      <c r="R2068" s="149">
        <f t="shared" si="482"/>
        <v>2.6869426023324872</v>
      </c>
      <c r="S2068" s="140">
        <f t="shared" si="484"/>
        <v>44.70043032108574</v>
      </c>
    </row>
    <row r="2069" spans="1:19" ht="15" x14ac:dyDescent="0.25">
      <c r="A2069" s="60" t="s">
        <v>134</v>
      </c>
      <c r="B2069" s="60" t="s">
        <v>18</v>
      </c>
      <c r="C2069" s="60" t="s">
        <v>20</v>
      </c>
      <c r="D2069" s="60" t="s">
        <v>90</v>
      </c>
      <c r="E2069" s="89">
        <f t="shared" si="485"/>
        <v>41974</v>
      </c>
      <c r="F2069" s="61"/>
      <c r="G2069" s="92">
        <v>3593</v>
      </c>
      <c r="H2069" s="138">
        <v>417</v>
      </c>
      <c r="I2069" s="138" t="s">
        <v>94</v>
      </c>
      <c r="J2069" s="141">
        <f t="shared" si="483"/>
        <v>0.43</v>
      </c>
      <c r="K2069" s="95">
        <f t="shared" si="476"/>
        <v>35.680238331678254</v>
      </c>
      <c r="L2069" s="95">
        <f t="shared" si="477"/>
        <v>0.90634234234234234</v>
      </c>
      <c r="M2069" s="133">
        <f t="shared" si="478"/>
        <v>179.31</v>
      </c>
      <c r="N2069" s="133">
        <f t="shared" si="479"/>
        <v>3772.31</v>
      </c>
      <c r="O2069" s="134">
        <f t="shared" si="480"/>
        <v>37.460873882820259</v>
      </c>
      <c r="P2069" s="134">
        <f t="shared" si="481"/>
        <v>0.95157369369369371</v>
      </c>
      <c r="R2069" s="149">
        <f t="shared" si="482"/>
        <v>2.8112701544767749</v>
      </c>
      <c r="S2069" s="140">
        <f t="shared" si="484"/>
        <v>37.529890764647469</v>
      </c>
    </row>
    <row r="2070" spans="1:19" ht="15" x14ac:dyDescent="0.25">
      <c r="A2070" s="60" t="s">
        <v>134</v>
      </c>
      <c r="B2070" s="60" t="s">
        <v>16</v>
      </c>
      <c r="C2070" s="60" t="s">
        <v>21</v>
      </c>
      <c r="D2070" s="60" t="s">
        <v>90</v>
      </c>
      <c r="E2070" s="89">
        <f t="shared" si="485"/>
        <v>41974</v>
      </c>
      <c r="F2070" s="61"/>
      <c r="G2070" s="92">
        <v>3308</v>
      </c>
      <c r="H2070" s="138">
        <v>626</v>
      </c>
      <c r="I2070" s="138" t="s">
        <v>92</v>
      </c>
      <c r="J2070" s="141">
        <f t="shared" si="483"/>
        <v>0.32</v>
      </c>
      <c r="K2070" s="95">
        <f t="shared" si="476"/>
        <v>32.850049652432965</v>
      </c>
      <c r="L2070" s="95">
        <f t="shared" si="477"/>
        <v>0.83445045045045041</v>
      </c>
      <c r="M2070" s="133">
        <f t="shared" si="478"/>
        <v>200.32</v>
      </c>
      <c r="N2070" s="133">
        <f t="shared" si="479"/>
        <v>3508.32</v>
      </c>
      <c r="O2070" s="134">
        <f t="shared" si="480"/>
        <v>34.83932472691162</v>
      </c>
      <c r="P2070" s="134">
        <f t="shared" si="481"/>
        <v>0.88498162162162164</v>
      </c>
      <c r="R2070" s="149">
        <f t="shared" si="482"/>
        <v>1.8865294363644924</v>
      </c>
      <c r="S2070" s="140">
        <f t="shared" si="484"/>
        <v>34.942932803707379</v>
      </c>
    </row>
    <row r="2071" spans="1:19" ht="15" x14ac:dyDescent="0.25">
      <c r="A2071" s="60" t="s">
        <v>134</v>
      </c>
      <c r="B2071" s="60" t="s">
        <v>16</v>
      </c>
      <c r="C2071" s="60" t="s">
        <v>6</v>
      </c>
      <c r="D2071" s="60" t="s">
        <v>90</v>
      </c>
      <c r="E2071" s="89">
        <f t="shared" si="485"/>
        <v>41974</v>
      </c>
      <c r="F2071" s="61"/>
      <c r="G2071" s="92">
        <v>5365</v>
      </c>
      <c r="H2071" s="138">
        <v>1823</v>
      </c>
      <c r="I2071" s="138" t="s">
        <v>92</v>
      </c>
      <c r="J2071" s="141">
        <f t="shared" si="483"/>
        <v>0.32</v>
      </c>
      <c r="K2071" s="95">
        <f t="shared" si="476"/>
        <v>53.277060575968221</v>
      </c>
      <c r="L2071" s="95">
        <f t="shared" si="477"/>
        <v>1.3533333333333333</v>
      </c>
      <c r="M2071" s="133">
        <f t="shared" si="478"/>
        <v>583.36</v>
      </c>
      <c r="N2071" s="133">
        <f t="shared" si="479"/>
        <v>5948.36</v>
      </c>
      <c r="O2071" s="134">
        <f t="shared" si="480"/>
        <v>59.070109235352525</v>
      </c>
      <c r="P2071" s="134">
        <f t="shared" si="481"/>
        <v>1.5004872072072071</v>
      </c>
      <c r="R2071" s="149">
        <f t="shared" si="482"/>
        <v>1.3128312735894099</v>
      </c>
      <c r="S2071" s="140">
        <f t="shared" si="484"/>
        <v>59.371830519695465</v>
      </c>
    </row>
    <row r="2072" spans="1:19" ht="15" x14ac:dyDescent="0.25">
      <c r="A2072" s="60" t="s">
        <v>22</v>
      </c>
      <c r="B2072" s="60" t="s">
        <v>23</v>
      </c>
      <c r="C2072" s="60" t="s">
        <v>7</v>
      </c>
      <c r="D2072" s="60" t="s">
        <v>90</v>
      </c>
      <c r="E2072" s="89">
        <f t="shared" si="485"/>
        <v>41974</v>
      </c>
      <c r="F2072" s="61"/>
      <c r="G2072" s="92">
        <v>3839</v>
      </c>
      <c r="H2072" s="138">
        <v>1295</v>
      </c>
      <c r="I2072" s="138" t="s">
        <v>95</v>
      </c>
      <c r="J2072" s="141">
        <f t="shared" si="483"/>
        <v>0.27029999999999998</v>
      </c>
      <c r="K2072" s="95">
        <f t="shared" si="476"/>
        <v>38.123138033763652</v>
      </c>
      <c r="L2072" s="95">
        <f t="shared" si="477"/>
        <v>1.0375675675675675</v>
      </c>
      <c r="M2072" s="133">
        <f t="shared" si="478"/>
        <v>350.0385</v>
      </c>
      <c r="N2072" s="133">
        <f t="shared" si="479"/>
        <v>4189.0384999999997</v>
      </c>
      <c r="O2072" s="134">
        <f t="shared" si="480"/>
        <v>41.599190665342597</v>
      </c>
      <c r="P2072" s="134">
        <f t="shared" si="481"/>
        <v>1.1321725675675676</v>
      </c>
      <c r="R2072" s="149">
        <f t="shared" si="482"/>
        <v>4.890745861748802</v>
      </c>
      <c r="S2072" s="140">
        <f t="shared" si="484"/>
        <v>40.703594836146969</v>
      </c>
    </row>
    <row r="2073" spans="1:19" ht="15" x14ac:dyDescent="0.25">
      <c r="A2073" s="60" t="s">
        <v>22</v>
      </c>
      <c r="B2073" s="60" t="s">
        <v>14</v>
      </c>
      <c r="C2073" s="60" t="s">
        <v>24</v>
      </c>
      <c r="D2073" s="60" t="s">
        <v>90</v>
      </c>
      <c r="E2073" s="89">
        <f t="shared" si="485"/>
        <v>41974</v>
      </c>
      <c r="F2073" s="61"/>
      <c r="G2073" s="92">
        <v>3807</v>
      </c>
      <c r="H2073" s="138">
        <v>615</v>
      </c>
      <c r="I2073" s="138" t="s">
        <v>94</v>
      </c>
      <c r="J2073" s="141">
        <f t="shared" si="483"/>
        <v>0.43</v>
      </c>
      <c r="K2073" s="95">
        <f t="shared" si="476"/>
        <v>37.805362462760677</v>
      </c>
      <c r="L2073" s="95">
        <f t="shared" si="477"/>
        <v>1.028918918918919</v>
      </c>
      <c r="M2073" s="133">
        <f t="shared" si="478"/>
        <v>264.45</v>
      </c>
      <c r="N2073" s="133">
        <f t="shared" si="479"/>
        <v>4071.45</v>
      </c>
      <c r="O2073" s="134">
        <f t="shared" si="480"/>
        <v>40.431479642502481</v>
      </c>
      <c r="P2073" s="134">
        <f t="shared" si="481"/>
        <v>1.1003918918918918</v>
      </c>
      <c r="R2073" s="149">
        <f t="shared" si="482"/>
        <v>2.2412234443272672</v>
      </c>
      <c r="S2073" s="140">
        <f t="shared" si="484"/>
        <v>40.533267130089378</v>
      </c>
    </row>
    <row r="2074" spans="1:19" ht="15" x14ac:dyDescent="0.25">
      <c r="A2074" s="60" t="s">
        <v>22</v>
      </c>
      <c r="B2074" s="60" t="s">
        <v>18</v>
      </c>
      <c r="C2074" s="60" t="s">
        <v>15</v>
      </c>
      <c r="D2074" s="60" t="s">
        <v>90</v>
      </c>
      <c r="E2074" s="89">
        <f t="shared" si="485"/>
        <v>41974</v>
      </c>
      <c r="F2074" s="61"/>
      <c r="G2074" s="92">
        <v>4946</v>
      </c>
      <c r="H2074" s="138">
        <v>872</v>
      </c>
      <c r="I2074" s="138" t="s">
        <v>94</v>
      </c>
      <c r="J2074" s="141">
        <f t="shared" si="483"/>
        <v>0.43</v>
      </c>
      <c r="K2074" s="95">
        <f t="shared" si="476"/>
        <v>49.116186693147959</v>
      </c>
      <c r="L2074" s="95">
        <f t="shared" si="477"/>
        <v>1.3367567567567566</v>
      </c>
      <c r="M2074" s="133">
        <f t="shared" si="478"/>
        <v>374.96</v>
      </c>
      <c r="N2074" s="133">
        <f t="shared" si="479"/>
        <v>5320.96</v>
      </c>
      <c r="O2074" s="134">
        <f t="shared" si="480"/>
        <v>52.83972194637537</v>
      </c>
      <c r="P2074" s="134">
        <f t="shared" si="481"/>
        <v>1.4380972972972974</v>
      </c>
      <c r="R2074" s="149">
        <f t="shared" si="482"/>
        <v>2.8292260598002494</v>
      </c>
      <c r="S2074" s="140">
        <f t="shared" si="484"/>
        <v>52.984045018205883</v>
      </c>
    </row>
    <row r="2075" spans="1:19" ht="15" x14ac:dyDescent="0.25">
      <c r="A2075" s="60" t="s">
        <v>22</v>
      </c>
      <c r="B2075" s="60" t="s">
        <v>18</v>
      </c>
      <c r="C2075" s="60" t="s">
        <v>24</v>
      </c>
      <c r="D2075" s="60" t="s">
        <v>90</v>
      </c>
      <c r="E2075" s="89">
        <f t="shared" si="485"/>
        <v>41974</v>
      </c>
      <c r="F2075" s="61"/>
      <c r="G2075" s="92">
        <v>3499</v>
      </c>
      <c r="H2075" s="138">
        <v>417</v>
      </c>
      <c r="I2075" s="138" t="s">
        <v>94</v>
      </c>
      <c r="J2075" s="141">
        <f t="shared" si="483"/>
        <v>0.43</v>
      </c>
      <c r="K2075" s="95">
        <f t="shared" si="476"/>
        <v>34.746772591857003</v>
      </c>
      <c r="L2075" s="95">
        <f t="shared" si="477"/>
        <v>0.94567567567567568</v>
      </c>
      <c r="M2075" s="133">
        <f t="shared" si="478"/>
        <v>179.31</v>
      </c>
      <c r="N2075" s="133">
        <f t="shared" si="479"/>
        <v>3678.31</v>
      </c>
      <c r="O2075" s="134">
        <f t="shared" si="480"/>
        <v>36.527408142999008</v>
      </c>
      <c r="P2075" s="134">
        <f t="shared" si="481"/>
        <v>0.99413783783783782</v>
      </c>
      <c r="R2075" s="149">
        <f t="shared" si="482"/>
        <v>2.7702030644061848</v>
      </c>
      <c r="S2075" s="140">
        <f t="shared" si="484"/>
        <v>36.59642502482621</v>
      </c>
    </row>
    <row r="2076" spans="1:19" ht="15" x14ac:dyDescent="0.25">
      <c r="A2076" s="60" t="s">
        <v>22</v>
      </c>
      <c r="B2076" s="60" t="s">
        <v>13</v>
      </c>
      <c r="C2076" s="60" t="s">
        <v>7</v>
      </c>
      <c r="D2076" s="60" t="s">
        <v>90</v>
      </c>
      <c r="E2076" s="89">
        <f t="shared" si="485"/>
        <v>41974</v>
      </c>
      <c r="F2076" s="61"/>
      <c r="G2076" s="92">
        <v>3974</v>
      </c>
      <c r="H2076" s="138">
        <v>1006</v>
      </c>
      <c r="I2076" s="138" t="s">
        <v>92</v>
      </c>
      <c r="J2076" s="141">
        <f t="shared" si="483"/>
        <v>0.32</v>
      </c>
      <c r="K2076" s="95">
        <f t="shared" si="476"/>
        <v>39.46375372393247</v>
      </c>
      <c r="L2076" s="95">
        <f t="shared" si="477"/>
        <v>1.074054054054054</v>
      </c>
      <c r="M2076" s="133">
        <f t="shared" si="478"/>
        <v>321.92</v>
      </c>
      <c r="N2076" s="133">
        <f t="shared" si="479"/>
        <v>4295.92</v>
      </c>
      <c r="O2076" s="134">
        <f t="shared" si="480"/>
        <v>42.660575968222446</v>
      </c>
      <c r="P2076" s="134">
        <f t="shared" si="481"/>
        <v>1.1610594594594594</v>
      </c>
      <c r="R2076" s="149">
        <f t="shared" si="482"/>
        <v>4.5195320863421484</v>
      </c>
      <c r="S2076" s="140">
        <f t="shared" si="484"/>
        <v>42.827077126779216</v>
      </c>
    </row>
    <row r="2077" spans="1:19" ht="15" x14ac:dyDescent="0.25">
      <c r="A2077" s="60" t="s">
        <v>1</v>
      </c>
      <c r="B2077" s="60" t="s">
        <v>25</v>
      </c>
      <c r="C2077" s="60" t="s">
        <v>26</v>
      </c>
      <c r="D2077" s="60" t="s">
        <v>91</v>
      </c>
      <c r="E2077" s="89">
        <f t="shared" si="485"/>
        <v>41974</v>
      </c>
      <c r="F2077" s="61"/>
      <c r="G2077" s="92">
        <v>3678</v>
      </c>
      <c r="H2077" s="138">
        <v>880</v>
      </c>
      <c r="I2077" s="138" t="s">
        <v>93</v>
      </c>
      <c r="J2077" s="141">
        <f t="shared" si="483"/>
        <v>0.3</v>
      </c>
      <c r="K2077" s="95">
        <f t="shared" si="476"/>
        <v>36.524329692154915</v>
      </c>
      <c r="L2077" s="95">
        <f t="shared" si="477"/>
        <v>0.994054054054054</v>
      </c>
      <c r="M2077" s="133">
        <f t="shared" si="478"/>
        <v>264</v>
      </c>
      <c r="N2077" s="133">
        <f t="shared" si="479"/>
        <v>3942</v>
      </c>
      <c r="O2077" s="134">
        <f t="shared" si="480"/>
        <v>39.145978152929494</v>
      </c>
      <c r="P2077" s="134">
        <f t="shared" si="481"/>
        <v>1.0654054054054054</v>
      </c>
      <c r="R2077" s="149">
        <f t="shared" si="482"/>
        <v>-1.1038635223281523</v>
      </c>
      <c r="S2077" s="140">
        <f t="shared" si="484"/>
        <v>39.349884144323077</v>
      </c>
    </row>
    <row r="2078" spans="1:19" ht="15" x14ac:dyDescent="0.25">
      <c r="A2078" s="60" t="s">
        <v>1</v>
      </c>
      <c r="B2078" s="60" t="s">
        <v>2</v>
      </c>
      <c r="C2078" s="60" t="s">
        <v>9</v>
      </c>
      <c r="D2078" s="60" t="s">
        <v>91</v>
      </c>
      <c r="E2078" s="89">
        <f t="shared" si="485"/>
        <v>41974</v>
      </c>
      <c r="F2078" s="61"/>
      <c r="G2078" s="92">
        <v>3471</v>
      </c>
      <c r="H2078" s="138">
        <v>685</v>
      </c>
      <c r="I2078" s="138" t="s">
        <v>93</v>
      </c>
      <c r="J2078" s="141">
        <f t="shared" si="483"/>
        <v>0.3</v>
      </c>
      <c r="K2078" s="95">
        <f t="shared" si="476"/>
        <v>34.468718967229393</v>
      </c>
      <c r="L2078" s="95">
        <f t="shared" si="477"/>
        <v>0.93810810810810807</v>
      </c>
      <c r="M2078" s="133">
        <f t="shared" si="478"/>
        <v>205.5</v>
      </c>
      <c r="N2078" s="133">
        <f t="shared" si="479"/>
        <v>3676.5</v>
      </c>
      <c r="O2078" s="134">
        <f t="shared" si="480"/>
        <v>36.509433962264147</v>
      </c>
      <c r="P2078" s="134">
        <f t="shared" si="481"/>
        <v>0.99364864864864866</v>
      </c>
      <c r="R2078" s="149">
        <f t="shared" si="482"/>
        <v>-8.9468144387344406</v>
      </c>
      <c r="S2078" s="140">
        <f t="shared" si="484"/>
        <v>36.668156239655737</v>
      </c>
    </row>
    <row r="2079" spans="1:19" ht="15" x14ac:dyDescent="0.25">
      <c r="A2079" s="60" t="s">
        <v>1</v>
      </c>
      <c r="B2079" s="60" t="s">
        <v>27</v>
      </c>
      <c r="C2079" s="60" t="s">
        <v>28</v>
      </c>
      <c r="D2079" s="60" t="s">
        <v>91</v>
      </c>
      <c r="E2079" s="89">
        <f t="shared" si="485"/>
        <v>41974</v>
      </c>
      <c r="F2079" s="61"/>
      <c r="G2079" s="92">
        <v>4140</v>
      </c>
      <c r="H2079" s="138">
        <v>812</v>
      </c>
      <c r="I2079" s="138" t="s">
        <v>94</v>
      </c>
      <c r="J2079" s="141">
        <f t="shared" si="483"/>
        <v>0.43</v>
      </c>
      <c r="K2079" s="95">
        <f t="shared" si="476"/>
        <v>41.112214498510426</v>
      </c>
      <c r="L2079" s="95">
        <f t="shared" si="477"/>
        <v>1.1189189189189188</v>
      </c>
      <c r="M2079" s="133">
        <f t="shared" si="478"/>
        <v>349.15999999999997</v>
      </c>
      <c r="N2079" s="133">
        <f t="shared" si="479"/>
        <v>4489.16</v>
      </c>
      <c r="O2079" s="134">
        <f t="shared" si="480"/>
        <v>44.57954319761668</v>
      </c>
      <c r="P2079" s="134">
        <f t="shared" si="481"/>
        <v>1.2132864864864865</v>
      </c>
      <c r="R2079" s="149">
        <f t="shared" si="482"/>
        <v>3.4425866868213806</v>
      </c>
      <c r="S2079" s="140">
        <f t="shared" si="484"/>
        <v>44.713935782853355</v>
      </c>
    </row>
    <row r="2080" spans="1:19" ht="15" x14ac:dyDescent="0.25">
      <c r="A2080" s="60" t="s">
        <v>1</v>
      </c>
      <c r="B2080" s="60" t="s">
        <v>4</v>
      </c>
      <c r="C2080" s="60" t="s">
        <v>26</v>
      </c>
      <c r="D2080" s="60" t="s">
        <v>91</v>
      </c>
      <c r="E2080" s="89">
        <f t="shared" si="485"/>
        <v>41974</v>
      </c>
      <c r="F2080" s="61"/>
      <c r="G2080" s="92">
        <v>5159</v>
      </c>
      <c r="H2080" s="138">
        <v>1520</v>
      </c>
      <c r="I2080" s="138" t="s">
        <v>93</v>
      </c>
      <c r="J2080" s="141">
        <f t="shared" si="483"/>
        <v>0.3</v>
      </c>
      <c r="K2080" s="95">
        <f t="shared" si="476"/>
        <v>51.231380337636544</v>
      </c>
      <c r="L2080" s="95">
        <f t="shared" si="477"/>
        <v>1.3943243243243244</v>
      </c>
      <c r="M2080" s="133">
        <f t="shared" si="478"/>
        <v>456</v>
      </c>
      <c r="N2080" s="133">
        <f t="shared" si="479"/>
        <v>5615</v>
      </c>
      <c r="O2080" s="134">
        <f t="shared" si="480"/>
        <v>55.759682224428992</v>
      </c>
      <c r="P2080" s="134">
        <f t="shared" si="481"/>
        <v>1.5175675675675675</v>
      </c>
      <c r="R2080" s="149">
        <f t="shared" si="482"/>
        <v>-1.3354419258478245</v>
      </c>
      <c r="S2080" s="140">
        <f t="shared" si="484"/>
        <v>56.111883482290629</v>
      </c>
    </row>
    <row r="2081" spans="1:19" ht="15" x14ac:dyDescent="0.25">
      <c r="A2081" s="60" t="s">
        <v>1</v>
      </c>
      <c r="B2081" s="60" t="s">
        <v>4</v>
      </c>
      <c r="C2081" s="60" t="s">
        <v>9</v>
      </c>
      <c r="D2081" s="60" t="s">
        <v>91</v>
      </c>
      <c r="E2081" s="89">
        <f t="shared" si="485"/>
        <v>41974</v>
      </c>
      <c r="F2081" s="61"/>
      <c r="G2081" s="92">
        <v>6084</v>
      </c>
      <c r="H2081" s="138">
        <v>1583</v>
      </c>
      <c r="I2081" s="138" t="s">
        <v>93</v>
      </c>
      <c r="J2081" s="141">
        <f t="shared" si="483"/>
        <v>0.3</v>
      </c>
      <c r="K2081" s="95">
        <f t="shared" si="476"/>
        <v>60.417080436941411</v>
      </c>
      <c r="L2081" s="95">
        <f t="shared" si="477"/>
        <v>1.6443243243243244</v>
      </c>
      <c r="M2081" s="133">
        <f t="shared" si="478"/>
        <v>474.9</v>
      </c>
      <c r="N2081" s="133">
        <f t="shared" si="479"/>
        <v>6558.9</v>
      </c>
      <c r="O2081" s="134">
        <f t="shared" si="480"/>
        <v>65.133068520357497</v>
      </c>
      <c r="P2081" s="134">
        <f t="shared" si="481"/>
        <v>1.7726756756756756</v>
      </c>
      <c r="R2081" s="149">
        <f t="shared" si="482"/>
        <v>-1.1923682406731029</v>
      </c>
      <c r="S2081" s="140">
        <f t="shared" si="484"/>
        <v>65.499867593512079</v>
      </c>
    </row>
    <row r="2082" spans="1:19" ht="15" x14ac:dyDescent="0.25">
      <c r="A2082" s="60" t="s">
        <v>1</v>
      </c>
      <c r="B2082" s="60" t="s">
        <v>10</v>
      </c>
      <c r="C2082" s="60" t="s">
        <v>26</v>
      </c>
      <c r="D2082" s="60" t="s">
        <v>91</v>
      </c>
      <c r="E2082" s="89">
        <f t="shared" si="485"/>
        <v>41974</v>
      </c>
      <c r="F2082" s="61"/>
      <c r="G2082" s="92">
        <v>5260</v>
      </c>
      <c r="H2082" s="138">
        <v>1599</v>
      </c>
      <c r="I2082" s="138" t="s">
        <v>92</v>
      </c>
      <c r="J2082" s="141">
        <f t="shared" si="483"/>
        <v>0.32</v>
      </c>
      <c r="K2082" s="95">
        <f t="shared" si="476"/>
        <v>52.234359483614696</v>
      </c>
      <c r="L2082" s="95">
        <f t="shared" si="477"/>
        <v>1.4216216216216215</v>
      </c>
      <c r="M2082" s="133">
        <f t="shared" si="478"/>
        <v>511.68</v>
      </c>
      <c r="N2082" s="133">
        <f t="shared" si="479"/>
        <v>5771.68</v>
      </c>
      <c r="O2082" s="134">
        <f t="shared" si="480"/>
        <v>57.315590863952337</v>
      </c>
      <c r="P2082" s="134">
        <f t="shared" si="481"/>
        <v>1.5599135135135136</v>
      </c>
      <c r="R2082" s="149">
        <f t="shared" si="482"/>
        <v>2.723790810587623</v>
      </c>
      <c r="S2082" s="140">
        <f t="shared" si="484"/>
        <v>57.580238331678252</v>
      </c>
    </row>
    <row r="2083" spans="1:19" ht="15" x14ac:dyDescent="0.25">
      <c r="A2083" s="60" t="s">
        <v>134</v>
      </c>
      <c r="B2083" s="60" t="s">
        <v>23</v>
      </c>
      <c r="C2083" s="60" t="s">
        <v>26</v>
      </c>
      <c r="D2083" s="60" t="s">
        <v>91</v>
      </c>
      <c r="E2083" s="89">
        <f t="shared" si="485"/>
        <v>41974</v>
      </c>
      <c r="F2083" s="61"/>
      <c r="G2083" s="92">
        <v>5000</v>
      </c>
      <c r="H2083" s="138">
        <v>1851</v>
      </c>
      <c r="I2083" s="138" t="s">
        <v>93</v>
      </c>
      <c r="J2083" s="141">
        <f t="shared" si="483"/>
        <v>0.3</v>
      </c>
      <c r="K2083" s="95">
        <f t="shared" si="476"/>
        <v>49.652432969215489</v>
      </c>
      <c r="L2083" s="95">
        <f t="shared" si="477"/>
        <v>1.2612612612612613</v>
      </c>
      <c r="M2083" s="133">
        <f t="shared" si="478"/>
        <v>555.29999999999995</v>
      </c>
      <c r="N2083" s="133">
        <f t="shared" si="479"/>
        <v>5555.3</v>
      </c>
      <c r="O2083" s="134">
        <f t="shared" si="480"/>
        <v>55.166832174776566</v>
      </c>
      <c r="P2083" s="134">
        <f t="shared" si="481"/>
        <v>1.4013369369369371</v>
      </c>
      <c r="R2083" s="149">
        <f t="shared" si="482"/>
        <v>-1.6386766645714812</v>
      </c>
      <c r="S2083" s="140">
        <f t="shared" si="484"/>
        <v>55.595729890764652</v>
      </c>
    </row>
    <row r="2084" spans="1:19" ht="15" x14ac:dyDescent="0.25">
      <c r="A2084" s="60" t="s">
        <v>134</v>
      </c>
      <c r="B2084" s="60" t="s">
        <v>8</v>
      </c>
      <c r="C2084" s="60" t="s">
        <v>29</v>
      </c>
      <c r="D2084" s="60" t="s">
        <v>91</v>
      </c>
      <c r="E2084" s="89">
        <f t="shared" si="485"/>
        <v>41974</v>
      </c>
      <c r="F2084" s="61"/>
      <c r="G2084" s="92">
        <v>4960</v>
      </c>
      <c r="H2084" s="138">
        <v>1695</v>
      </c>
      <c r="I2084" s="138" t="s">
        <v>93</v>
      </c>
      <c r="J2084" s="141">
        <f t="shared" si="483"/>
        <v>0.3</v>
      </c>
      <c r="K2084" s="95">
        <f t="shared" si="476"/>
        <v>49.255213505461768</v>
      </c>
      <c r="L2084" s="95">
        <f t="shared" si="477"/>
        <v>1.2511711711711713</v>
      </c>
      <c r="M2084" s="133">
        <f t="shared" si="478"/>
        <v>508.5</v>
      </c>
      <c r="N2084" s="133">
        <f t="shared" si="479"/>
        <v>5468.5</v>
      </c>
      <c r="O2084" s="134">
        <f t="shared" si="480"/>
        <v>54.304865938430979</v>
      </c>
      <c r="P2084" s="134">
        <f t="shared" si="481"/>
        <v>1.3794414414414415</v>
      </c>
      <c r="R2084" s="149">
        <f t="shared" si="482"/>
        <v>-1.5261333453383208</v>
      </c>
      <c r="S2084" s="140">
        <f t="shared" si="484"/>
        <v>54.697616683217483</v>
      </c>
    </row>
    <row r="2085" spans="1:19" ht="15" x14ac:dyDescent="0.25">
      <c r="A2085" s="60" t="s">
        <v>134</v>
      </c>
      <c r="B2085" s="60" t="s">
        <v>13</v>
      </c>
      <c r="C2085" s="60" t="s">
        <v>7</v>
      </c>
      <c r="D2085" s="60" t="s">
        <v>91</v>
      </c>
      <c r="E2085" s="89">
        <f t="shared" si="485"/>
        <v>41974</v>
      </c>
      <c r="F2085" s="61"/>
      <c r="G2085" s="92">
        <v>3147</v>
      </c>
      <c r="H2085" s="138">
        <v>1006</v>
      </c>
      <c r="I2085" s="138" t="s">
        <v>92</v>
      </c>
      <c r="J2085" s="141">
        <f t="shared" si="483"/>
        <v>0.32</v>
      </c>
      <c r="K2085" s="95">
        <f t="shared" si="476"/>
        <v>31.251241310824231</v>
      </c>
      <c r="L2085" s="95">
        <f t="shared" si="477"/>
        <v>0.7938378378378379</v>
      </c>
      <c r="M2085" s="133">
        <f t="shared" si="478"/>
        <v>321.92</v>
      </c>
      <c r="N2085" s="133">
        <f t="shared" si="479"/>
        <v>3468.92</v>
      </c>
      <c r="O2085" s="134">
        <f t="shared" si="480"/>
        <v>34.448063555114203</v>
      </c>
      <c r="P2085" s="134">
        <f t="shared" si="481"/>
        <v>0.8750428828828829</v>
      </c>
      <c r="R2085" s="149">
        <f t="shared" si="482"/>
        <v>2.8388810492238736</v>
      </c>
      <c r="S2085" s="140">
        <f t="shared" si="484"/>
        <v>34.614564713670973</v>
      </c>
    </row>
    <row r="2086" spans="1:19" ht="15" x14ac:dyDescent="0.25">
      <c r="A2086" s="60" t="s">
        <v>134</v>
      </c>
      <c r="B2086" s="60" t="s">
        <v>30</v>
      </c>
      <c r="C2086" s="60" t="s">
        <v>9</v>
      </c>
      <c r="D2086" s="60" t="s">
        <v>91</v>
      </c>
      <c r="E2086" s="89">
        <f t="shared" si="485"/>
        <v>41974</v>
      </c>
      <c r="F2086" s="61"/>
      <c r="G2086" s="92">
        <v>3510</v>
      </c>
      <c r="H2086" s="138">
        <v>988</v>
      </c>
      <c r="I2086" s="138" t="s">
        <v>93</v>
      </c>
      <c r="J2086" s="141">
        <f t="shared" si="483"/>
        <v>0.3</v>
      </c>
      <c r="K2086" s="95">
        <f t="shared" si="476"/>
        <v>34.856007944389276</v>
      </c>
      <c r="L2086" s="95">
        <f t="shared" si="477"/>
        <v>0.88540540540540547</v>
      </c>
      <c r="M2086" s="133">
        <f t="shared" si="478"/>
        <v>296.39999999999998</v>
      </c>
      <c r="N2086" s="133">
        <f t="shared" si="479"/>
        <v>3806.4</v>
      </c>
      <c r="O2086" s="134">
        <f t="shared" si="480"/>
        <v>37.799404170804372</v>
      </c>
      <c r="P2086" s="134">
        <f t="shared" si="481"/>
        <v>0.96017297297297299</v>
      </c>
      <c r="R2086" s="149">
        <f t="shared" si="482"/>
        <v>-1.2811867835468616</v>
      </c>
      <c r="S2086" s="140">
        <f t="shared" si="484"/>
        <v>38.028334988414429</v>
      </c>
    </row>
    <row r="2087" spans="1:19" ht="15" x14ac:dyDescent="0.25">
      <c r="A2087" s="60" t="s">
        <v>134</v>
      </c>
      <c r="B2087" s="60" t="s">
        <v>16</v>
      </c>
      <c r="C2087" s="60" t="s">
        <v>11</v>
      </c>
      <c r="D2087" s="60" t="s">
        <v>91</v>
      </c>
      <c r="E2087" s="89">
        <f t="shared" si="485"/>
        <v>41974</v>
      </c>
      <c r="F2087" s="61"/>
      <c r="G2087" s="92">
        <v>3690</v>
      </c>
      <c r="H2087" s="138">
        <v>787</v>
      </c>
      <c r="I2087" s="138" t="s">
        <v>92</v>
      </c>
      <c r="J2087" s="141">
        <f t="shared" si="483"/>
        <v>0.32</v>
      </c>
      <c r="K2087" s="95">
        <f t="shared" si="476"/>
        <v>36.643495531281033</v>
      </c>
      <c r="L2087" s="95">
        <f t="shared" si="477"/>
        <v>0.93081081081081085</v>
      </c>
      <c r="M2087" s="133">
        <f t="shared" si="478"/>
        <v>251.84</v>
      </c>
      <c r="N2087" s="133">
        <f t="shared" si="479"/>
        <v>3941.84</v>
      </c>
      <c r="O2087" s="134">
        <f t="shared" si="480"/>
        <v>39.144389275074481</v>
      </c>
      <c r="P2087" s="134">
        <f t="shared" si="481"/>
        <v>0.99433801801801802</v>
      </c>
      <c r="R2087" s="149">
        <f t="shared" si="482"/>
        <v>1.7690250224613457</v>
      </c>
      <c r="S2087" s="140">
        <f t="shared" si="484"/>
        <v>39.274644157563721</v>
      </c>
    </row>
    <row r="2088" spans="1:19" ht="15" x14ac:dyDescent="0.25">
      <c r="A2088" s="60" t="s">
        <v>134</v>
      </c>
      <c r="B2088" s="60" t="s">
        <v>23</v>
      </c>
      <c r="C2088" s="60" t="s">
        <v>29</v>
      </c>
      <c r="D2088" s="60" t="s">
        <v>91</v>
      </c>
      <c r="E2088" s="89">
        <f t="shared" si="485"/>
        <v>41974</v>
      </c>
      <c r="F2088" s="61"/>
      <c r="G2088" s="92">
        <v>5000</v>
      </c>
      <c r="H2088" s="138">
        <v>1836</v>
      </c>
      <c r="I2088" s="138" t="s">
        <v>93</v>
      </c>
      <c r="J2088" s="141">
        <f t="shared" si="483"/>
        <v>0.3</v>
      </c>
      <c r="K2088" s="95">
        <f t="shared" si="476"/>
        <v>49.652432969215489</v>
      </c>
      <c r="L2088" s="95">
        <f t="shared" si="477"/>
        <v>1.2612612612612613</v>
      </c>
      <c r="M2088" s="133">
        <f t="shared" si="478"/>
        <v>550.79999999999995</v>
      </c>
      <c r="N2088" s="133">
        <f t="shared" si="479"/>
        <v>5550.8</v>
      </c>
      <c r="O2088" s="134">
        <f t="shared" si="480"/>
        <v>55.122144985104271</v>
      </c>
      <c r="P2088" s="134">
        <f t="shared" si="481"/>
        <v>1.4002018018018019</v>
      </c>
      <c r="R2088" s="149">
        <f t="shared" si="482"/>
        <v>-1.6269095806897615</v>
      </c>
      <c r="S2088" s="140">
        <f t="shared" si="484"/>
        <v>55.547567030784506</v>
      </c>
    </row>
    <row r="2089" spans="1:19" ht="15" x14ac:dyDescent="0.25">
      <c r="A2089" s="60" t="s">
        <v>134</v>
      </c>
      <c r="B2089" s="60" t="s">
        <v>31</v>
      </c>
      <c r="C2089" s="60" t="s">
        <v>32</v>
      </c>
      <c r="D2089" s="60" t="s">
        <v>91</v>
      </c>
      <c r="E2089" s="89">
        <f t="shared" si="485"/>
        <v>41974</v>
      </c>
      <c r="F2089" s="61"/>
      <c r="G2089" s="92">
        <v>4400</v>
      </c>
      <c r="H2089" s="138">
        <v>1899</v>
      </c>
      <c r="I2089" s="138" t="s">
        <v>93</v>
      </c>
      <c r="J2089" s="141">
        <f t="shared" si="483"/>
        <v>0.3</v>
      </c>
      <c r="K2089" s="95">
        <f t="shared" si="476"/>
        <v>43.694141012909633</v>
      </c>
      <c r="L2089" s="95">
        <f t="shared" si="477"/>
        <v>1.1099099099099099</v>
      </c>
      <c r="M2089" s="133">
        <f t="shared" si="478"/>
        <v>569.69999999999993</v>
      </c>
      <c r="N2089" s="133">
        <f t="shared" si="479"/>
        <v>4969.7</v>
      </c>
      <c r="O2089" s="134">
        <f t="shared" si="480"/>
        <v>49.351539225422044</v>
      </c>
      <c r="P2089" s="134">
        <f t="shared" si="481"/>
        <v>1.2536180180180181</v>
      </c>
      <c r="R2089" s="149">
        <f t="shared" si="482"/>
        <v>-1.8747593614563685</v>
      </c>
      <c r="S2089" s="140">
        <f t="shared" si="484"/>
        <v>49.791559086395232</v>
      </c>
    </row>
    <row r="2090" spans="1:19" ht="15" x14ac:dyDescent="0.25">
      <c r="A2090" s="60" t="s">
        <v>22</v>
      </c>
      <c r="B2090" s="60" t="s">
        <v>8</v>
      </c>
      <c r="C2090" s="60" t="s">
        <v>29</v>
      </c>
      <c r="D2090" s="60" t="s">
        <v>91</v>
      </c>
      <c r="E2090" s="89">
        <f t="shared" si="485"/>
        <v>41974</v>
      </c>
      <c r="F2090" s="61"/>
      <c r="G2090" s="92">
        <v>5520</v>
      </c>
      <c r="H2090" s="138">
        <v>1695</v>
      </c>
      <c r="I2090" s="138" t="s">
        <v>93</v>
      </c>
      <c r="J2090" s="141">
        <f t="shared" si="483"/>
        <v>0.3</v>
      </c>
      <c r="K2090" s="95">
        <f t="shared" si="476"/>
        <v>54.816285998013903</v>
      </c>
      <c r="L2090" s="95">
        <f t="shared" si="477"/>
        <v>1.491891891891892</v>
      </c>
      <c r="M2090" s="133">
        <f t="shared" si="478"/>
        <v>508.5</v>
      </c>
      <c r="N2090" s="133">
        <f t="shared" si="479"/>
        <v>6028.5</v>
      </c>
      <c r="O2090" s="134">
        <f t="shared" si="480"/>
        <v>59.865938430983114</v>
      </c>
      <c r="P2090" s="134">
        <f t="shared" si="481"/>
        <v>1.6293243243243243</v>
      </c>
      <c r="R2090" s="149">
        <f t="shared" si="482"/>
        <v>-1.3863329652803347</v>
      </c>
      <c r="S2090" s="140">
        <f t="shared" si="484"/>
        <v>60.258689175769611</v>
      </c>
    </row>
    <row r="2091" spans="1:19" ht="15" x14ac:dyDescent="0.25">
      <c r="A2091" s="60" t="s">
        <v>22</v>
      </c>
      <c r="B2091" s="60" t="s">
        <v>23</v>
      </c>
      <c r="C2091" s="60" t="s">
        <v>26</v>
      </c>
      <c r="D2091" s="60" t="s">
        <v>91</v>
      </c>
      <c r="E2091" s="89">
        <f t="shared" si="485"/>
        <v>41974</v>
      </c>
      <c r="F2091" s="61"/>
      <c r="G2091" s="92">
        <v>5530</v>
      </c>
      <c r="H2091" s="138">
        <v>1851</v>
      </c>
      <c r="I2091" s="138" t="s">
        <v>93</v>
      </c>
      <c r="J2091" s="141">
        <f t="shared" si="483"/>
        <v>0.3</v>
      </c>
      <c r="K2091" s="95">
        <f t="shared" si="476"/>
        <v>54.915590863952332</v>
      </c>
      <c r="L2091" s="95">
        <f t="shared" si="477"/>
        <v>1.4945945945945946</v>
      </c>
      <c r="M2091" s="133">
        <f t="shared" si="478"/>
        <v>555.29999999999995</v>
      </c>
      <c r="N2091" s="133">
        <f t="shared" si="479"/>
        <v>6085.3</v>
      </c>
      <c r="O2091" s="134">
        <f t="shared" si="480"/>
        <v>60.429990069513408</v>
      </c>
      <c r="P2091" s="134">
        <f t="shared" si="481"/>
        <v>1.6446756756756757</v>
      </c>
      <c r="R2091" s="149">
        <f t="shared" si="482"/>
        <v>-1.4980939971025564</v>
      </c>
      <c r="S2091" s="140">
        <f t="shared" si="484"/>
        <v>60.858887785501487</v>
      </c>
    </row>
    <row r="2092" spans="1:19" ht="15" x14ac:dyDescent="0.25">
      <c r="A2092" s="60" t="s">
        <v>22</v>
      </c>
      <c r="B2092" s="60" t="s">
        <v>33</v>
      </c>
      <c r="C2092" s="60" t="s">
        <v>29</v>
      </c>
      <c r="D2092" s="60" t="s">
        <v>91</v>
      </c>
      <c r="E2092" s="89">
        <f t="shared" si="485"/>
        <v>41974</v>
      </c>
      <c r="F2092" s="61"/>
      <c r="G2092" s="92">
        <v>5430</v>
      </c>
      <c r="H2092" s="138">
        <v>1507</v>
      </c>
      <c r="I2092" s="138" t="s">
        <v>93</v>
      </c>
      <c r="J2092" s="141">
        <f t="shared" si="483"/>
        <v>0.3</v>
      </c>
      <c r="K2092" s="95">
        <f t="shared" si="476"/>
        <v>53.922542204568025</v>
      </c>
      <c r="L2092" s="95">
        <f t="shared" si="477"/>
        <v>1.4675675675675677</v>
      </c>
      <c r="M2092" s="133">
        <f t="shared" si="478"/>
        <v>452.09999999999997</v>
      </c>
      <c r="N2092" s="133">
        <f t="shared" si="479"/>
        <v>5882.1</v>
      </c>
      <c r="O2092" s="134">
        <f t="shared" si="480"/>
        <v>58.412115193644489</v>
      </c>
      <c r="P2092" s="134">
        <f t="shared" si="481"/>
        <v>1.5897567567567568</v>
      </c>
      <c r="R2092" s="149">
        <f t="shared" si="482"/>
        <v>-1.2648028938555878</v>
      </c>
      <c r="S2092" s="140">
        <f t="shared" si="484"/>
        <v>58.761304203906001</v>
      </c>
    </row>
    <row r="2093" spans="1:19" ht="15" x14ac:dyDescent="0.25">
      <c r="A2093" s="60" t="s">
        <v>22</v>
      </c>
      <c r="B2093" s="60" t="s">
        <v>31</v>
      </c>
      <c r="C2093" s="60" t="s">
        <v>7</v>
      </c>
      <c r="D2093" s="60" t="s">
        <v>91</v>
      </c>
      <c r="E2093" s="89">
        <f t="shared" si="485"/>
        <v>41974</v>
      </c>
      <c r="F2093" s="61"/>
      <c r="G2093" s="92">
        <v>4425</v>
      </c>
      <c r="H2093" s="138">
        <v>1160</v>
      </c>
      <c r="I2093" s="138" t="s">
        <v>92</v>
      </c>
      <c r="J2093" s="141">
        <f t="shared" si="483"/>
        <v>0.32</v>
      </c>
      <c r="K2093" s="95">
        <f t="shared" si="476"/>
        <v>43.942403177755708</v>
      </c>
      <c r="L2093" s="95">
        <f t="shared" si="477"/>
        <v>1.1959459459459461</v>
      </c>
      <c r="M2093" s="133">
        <f t="shared" si="478"/>
        <v>371.2</v>
      </c>
      <c r="N2093" s="133">
        <f t="shared" si="479"/>
        <v>4796.2</v>
      </c>
      <c r="O2093" s="134">
        <f t="shared" si="480"/>
        <v>47.628599801390266</v>
      </c>
      <c r="P2093" s="134">
        <f t="shared" si="481"/>
        <v>1.2962702702702702</v>
      </c>
      <c r="R2093" s="149">
        <f t="shared" si="482"/>
        <v>4.4332186560989362</v>
      </c>
      <c r="S2093" s="140">
        <f t="shared" si="484"/>
        <v>47.820589208871233</v>
      </c>
    </row>
    <row r="2094" spans="1:19" ht="15" x14ac:dyDescent="0.25">
      <c r="A2094" s="60" t="s">
        <v>22</v>
      </c>
      <c r="B2094" s="60" t="s">
        <v>14</v>
      </c>
      <c r="C2094" s="60" t="s">
        <v>24</v>
      </c>
      <c r="D2094" s="60" t="s">
        <v>91</v>
      </c>
      <c r="E2094" s="89">
        <f t="shared" si="485"/>
        <v>41974</v>
      </c>
      <c r="F2094" s="61"/>
      <c r="G2094" s="92">
        <v>2982</v>
      </c>
      <c r="H2094" s="138">
        <v>615</v>
      </c>
      <c r="I2094" s="138" t="s">
        <v>94</v>
      </c>
      <c r="J2094" s="141">
        <f t="shared" si="483"/>
        <v>0.43</v>
      </c>
      <c r="K2094" s="95">
        <f t="shared" si="476"/>
        <v>29.61271102284012</v>
      </c>
      <c r="L2094" s="95">
        <f t="shared" si="477"/>
        <v>0.80594594594594593</v>
      </c>
      <c r="M2094" s="133">
        <f t="shared" si="478"/>
        <v>264.45</v>
      </c>
      <c r="N2094" s="133">
        <f t="shared" si="479"/>
        <v>3246.45</v>
      </c>
      <c r="O2094" s="134">
        <f t="shared" si="480"/>
        <v>32.238828202581921</v>
      </c>
      <c r="P2094" s="134">
        <f t="shared" si="481"/>
        <v>0.87741891891891888</v>
      </c>
      <c r="R2094" s="149">
        <f t="shared" si="482"/>
        <v>2.8268719118206054</v>
      </c>
      <c r="S2094" s="140">
        <f t="shared" si="484"/>
        <v>32.340615690168818</v>
      </c>
    </row>
    <row r="2095" spans="1:19" ht="15" x14ac:dyDescent="0.25">
      <c r="A2095" s="85" t="s">
        <v>22</v>
      </c>
      <c r="B2095" s="85" t="s">
        <v>34</v>
      </c>
      <c r="C2095" s="85" t="s">
        <v>26</v>
      </c>
      <c r="D2095" s="85" t="s">
        <v>91</v>
      </c>
      <c r="E2095" s="91">
        <f t="shared" si="485"/>
        <v>41974</v>
      </c>
      <c r="F2095" s="86"/>
      <c r="G2095" s="105">
        <v>5360</v>
      </c>
      <c r="H2095" s="143">
        <v>1637</v>
      </c>
      <c r="I2095" s="143" t="s">
        <v>92</v>
      </c>
      <c r="J2095" s="117">
        <f t="shared" si="483"/>
        <v>0.32</v>
      </c>
      <c r="K2095" s="108">
        <f t="shared" si="476"/>
        <v>53.227408142999003</v>
      </c>
      <c r="L2095" s="108">
        <f t="shared" si="477"/>
        <v>1.4486486486486487</v>
      </c>
      <c r="M2095" s="115">
        <f t="shared" si="478"/>
        <v>523.84</v>
      </c>
      <c r="N2095" s="115">
        <f t="shared" si="479"/>
        <v>5883.84</v>
      </c>
      <c r="O2095" s="116">
        <f t="shared" si="480"/>
        <v>58.429394240317777</v>
      </c>
      <c r="P2095" s="116">
        <f t="shared" si="481"/>
        <v>1.5902270270270271</v>
      </c>
      <c r="Q2095" s="106"/>
      <c r="R2095" s="152">
        <f t="shared" si="482"/>
        <v>3.237579219977138</v>
      </c>
      <c r="S2095" s="108">
        <f>AVERAGE(O2019,O2057,O2095)</f>
        <v>58.700331016219792</v>
      </c>
    </row>
  </sheetData>
  <pageMargins left="0.7" right="0.7" top="0.75" bottom="0.75" header="0.3" footer="0.3"/>
  <pageSetup scale="5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="90" zoomScaleNormal="90" workbookViewId="0">
      <selection activeCell="B13" sqref="B13"/>
    </sheetView>
  </sheetViews>
  <sheetFormatPr defaultRowHeight="15" x14ac:dyDescent="0.25"/>
  <cols>
    <col min="1" max="1" width="12.140625" customWidth="1"/>
    <col min="2" max="2" width="18.85546875" bestFit="1" customWidth="1"/>
    <col min="3" max="3" width="20" bestFit="1" customWidth="1"/>
    <col min="4" max="4" width="9.7109375" customWidth="1"/>
    <col min="5" max="5" width="9.28515625" customWidth="1"/>
    <col min="6" max="6" width="10.85546875" bestFit="1" customWidth="1"/>
    <col min="7" max="7" width="10.42578125" bestFit="1" customWidth="1"/>
    <col min="8" max="8" width="9.28515625" customWidth="1"/>
  </cols>
  <sheetData>
    <row r="1" spans="1:9" ht="14.45" x14ac:dyDescent="0.3">
      <c r="A1" s="1" t="s">
        <v>35</v>
      </c>
      <c r="B1" s="2"/>
      <c r="C1" s="2"/>
      <c r="D1" s="2"/>
      <c r="E1" s="2"/>
      <c r="F1" s="2"/>
      <c r="G1" s="2"/>
      <c r="H1" s="2"/>
      <c r="I1" s="2"/>
    </row>
    <row r="2" spans="1:9" ht="17.45" x14ac:dyDescent="0.3">
      <c r="A2" s="3" t="s">
        <v>36</v>
      </c>
      <c r="B2" s="4"/>
      <c r="C2" s="5"/>
      <c r="D2" s="6"/>
      <c r="E2" s="6"/>
      <c r="F2" s="7"/>
      <c r="G2" s="8"/>
      <c r="H2" s="6"/>
      <c r="I2" s="2"/>
    </row>
    <row r="3" spans="1:9" x14ac:dyDescent="0.25">
      <c r="A3" s="9" t="s">
        <v>37</v>
      </c>
      <c r="B3" s="10"/>
      <c r="C3" s="11"/>
      <c r="D3" s="12"/>
      <c r="E3" s="174" t="s">
        <v>38</v>
      </c>
      <c r="F3" s="13"/>
      <c r="G3" s="14"/>
      <c r="H3" s="15" t="s">
        <v>39</v>
      </c>
      <c r="I3" s="2"/>
    </row>
    <row r="4" spans="1:9" x14ac:dyDescent="0.25">
      <c r="A4" s="9"/>
      <c r="B4" s="10"/>
      <c r="C4" s="11"/>
      <c r="D4" s="15" t="s">
        <v>40</v>
      </c>
      <c r="E4" s="175"/>
      <c r="F4" s="173" t="s">
        <v>41</v>
      </c>
      <c r="G4" s="173"/>
      <c r="H4" s="15" t="s">
        <v>42</v>
      </c>
      <c r="I4" s="2"/>
    </row>
    <row r="5" spans="1:9" x14ac:dyDescent="0.25">
      <c r="A5" s="16">
        <f>INDEX(Data!E:E,COUNTIF(Data!E:E,"&gt;0")+2,1)</f>
        <v>41974</v>
      </c>
      <c r="B5" s="17" t="s">
        <v>243</v>
      </c>
      <c r="C5" s="17" t="s">
        <v>50</v>
      </c>
      <c r="D5" s="18" t="s">
        <v>43</v>
      </c>
      <c r="E5" s="176"/>
      <c r="F5" s="18" t="s">
        <v>44</v>
      </c>
      <c r="G5" s="18" t="s">
        <v>45</v>
      </c>
      <c r="H5" s="19" t="s">
        <v>46</v>
      </c>
      <c r="I5" s="2"/>
    </row>
    <row r="6" spans="1:9" ht="14.45" x14ac:dyDescent="0.3">
      <c r="A6" s="20" t="s">
        <v>52</v>
      </c>
      <c r="B6" s="21"/>
      <c r="C6" s="21"/>
      <c r="D6" s="21"/>
      <c r="E6" s="21"/>
      <c r="F6" s="21"/>
      <c r="G6" s="21"/>
      <c r="H6" s="21" t="s">
        <v>0</v>
      </c>
      <c r="I6" s="2"/>
    </row>
    <row r="7" spans="1:9" ht="14.45" x14ac:dyDescent="0.3">
      <c r="A7" s="55" t="s">
        <v>1</v>
      </c>
      <c r="B7" s="73" t="s">
        <v>246</v>
      </c>
      <c r="C7" s="73" t="s">
        <v>3</v>
      </c>
      <c r="D7" s="74">
        <f>INDEX(Data!G:G,COUNTIF(Data!$E:$E,"&gt;0")-32,1)</f>
        <v>3387</v>
      </c>
      <c r="E7" s="74">
        <f>INDEX(Data!M:M,COUNTIF(Data!$E:$E,"&gt;0")-32,1)</f>
        <v>161.92000000000002</v>
      </c>
      <c r="F7" s="75">
        <f>INDEX(Data!O:O,COUNTIF(Data!$E:$E,"&gt;0")-32,1)</f>
        <v>35.242502482621646</v>
      </c>
      <c r="G7" s="75">
        <f>INDEX(Data!P:P,COUNTIF(Data!$E:$E,"&gt;0")-32,1)</f>
        <v>0.9591675675675676</v>
      </c>
      <c r="H7" s="145">
        <f>INDEX(Data!R:R,COUNTIF(Data!$E:$E,"&gt;0")-32,1)</f>
        <v>5.2105444153256908</v>
      </c>
      <c r="I7" s="2"/>
    </row>
    <row r="8" spans="1:9" ht="15.6" x14ac:dyDescent="0.3">
      <c r="A8" s="56"/>
      <c r="B8" s="22" t="s">
        <v>4</v>
      </c>
      <c r="C8" s="22" t="s">
        <v>187</v>
      </c>
      <c r="D8" s="23">
        <f>INDEX(Data!G:G,COUNTIF(Data!$E:$E,"&gt;0")-31,1)</f>
        <v>3596</v>
      </c>
      <c r="E8" s="23">
        <f>INDEX(Data!M:M,COUNTIF(Data!$E:$E,"&gt;0")-31,1)</f>
        <v>89.399999999999991</v>
      </c>
      <c r="F8" s="54">
        <f>INDEX(Data!O:O,COUNTIF(Data!$E:$E,"&gt;0")-31,1)</f>
        <v>36.597815292949356</v>
      </c>
      <c r="G8" s="54">
        <f>INDEX(Data!P:P,COUNTIF(Data!$E:$E,"&gt;0")-31,1)</f>
        <v>0.99605405405405412</v>
      </c>
      <c r="H8" s="146">
        <f>INDEX(Data!R:R,COUNTIF(Data!$E:$E,"&gt;0")-31,1)</f>
        <v>-0.40267005377943033</v>
      </c>
      <c r="I8" s="2"/>
    </row>
    <row r="9" spans="1:9" ht="15.6" x14ac:dyDescent="0.3">
      <c r="A9" s="56"/>
      <c r="B9" s="73" t="s">
        <v>246</v>
      </c>
      <c r="C9" s="73" t="s">
        <v>6</v>
      </c>
      <c r="D9" s="74">
        <f>INDEX(Data!G:G,COUNTIF(Data!$E:$E,"&gt;0")-30,1)</f>
        <v>6244</v>
      </c>
      <c r="E9" s="74">
        <f>INDEX(Data!M:M,COUNTIF(Data!$E:$E,"&gt;0")-30,1)</f>
        <v>459</v>
      </c>
      <c r="F9" s="75">
        <f>INDEX(Data!O:O,COUNTIF(Data!$E:$E,"&gt;0")-30,1)</f>
        <v>66.564051638530287</v>
      </c>
      <c r="G9" s="75">
        <f>INDEX(Data!P:P,COUNTIF(Data!$E:$E,"&gt;0")-30,1)</f>
        <v>1.8116216216216217</v>
      </c>
      <c r="H9" s="145">
        <f>INDEX(Data!R:R,COUNTIF(Data!$E:$E,"&gt;0")-30,1)</f>
        <v>-1.1284017995427442</v>
      </c>
      <c r="I9" s="2"/>
    </row>
    <row r="10" spans="1:9" ht="14.45" x14ac:dyDescent="0.3">
      <c r="A10" s="57"/>
      <c r="B10" s="79" t="s">
        <v>246</v>
      </c>
      <c r="C10" s="25" t="s">
        <v>7</v>
      </c>
      <c r="D10" s="23">
        <f>INDEX(Data!G:G,COUNTIF(Data!$E:$E,"&gt;0")-29,1)</f>
        <v>4026</v>
      </c>
      <c r="E10" s="23">
        <f>INDEX(Data!M:M,COUNTIF(Data!$E:$E,"&gt;0")-29,1)</f>
        <v>284.8</v>
      </c>
      <c r="F10" s="54">
        <f>INDEX(Data!O:O,COUNTIF(Data!$E:$E,"&gt;0")-29,1)</f>
        <v>42.808341608738829</v>
      </c>
      <c r="G10" s="54">
        <f>INDEX(Data!P:P,COUNTIF(Data!$E:$E,"&gt;0")-29,1)</f>
        <v>1.1650810810810812</v>
      </c>
      <c r="H10" s="146">
        <f>INDEX(Data!R:R,COUNTIF(Data!$E:$E,"&gt;0")-29,1)</f>
        <v>4.4181765332816703</v>
      </c>
      <c r="I10" s="2"/>
    </row>
    <row r="11" spans="1:9" ht="15.6" x14ac:dyDescent="0.3">
      <c r="A11" s="56"/>
      <c r="B11" s="73" t="s">
        <v>8</v>
      </c>
      <c r="C11" s="73" t="s">
        <v>9</v>
      </c>
      <c r="D11" s="74">
        <f>INDEX(Data!G:G,COUNTIF(Data!$E:$E,"&gt;0")-28,1)</f>
        <v>5824</v>
      </c>
      <c r="E11" s="74">
        <f>INDEX(Data!M:M,COUNTIF(Data!$E:$E,"&gt;0")-28,1)</f>
        <v>376.8</v>
      </c>
      <c r="F11" s="75">
        <f>INDEX(Data!O:O,COUNTIF(Data!$E:$E,"&gt;0")-28,1)</f>
        <v>61.576961271102284</v>
      </c>
      <c r="G11" s="75">
        <f>INDEX(Data!P:P,COUNTIF(Data!$E:$E,"&gt;0")-28,1)</f>
        <v>1.6758918918918919</v>
      </c>
      <c r="H11" s="145">
        <f>INDEX(Data!R:R,COUNTIF(Data!$E:$E,"&gt;0")-28,1)</f>
        <v>-1.0026183025735991</v>
      </c>
      <c r="I11" s="2"/>
    </row>
    <row r="12" spans="1:9" ht="15.6" x14ac:dyDescent="0.3">
      <c r="A12" s="56"/>
      <c r="B12" s="22" t="s">
        <v>10</v>
      </c>
      <c r="C12" s="22" t="s">
        <v>9</v>
      </c>
      <c r="D12" s="23">
        <f>INDEX(Data!G:G,COUNTIF(Data!$E:$E,"&gt;0")-27,1)</f>
        <v>4293</v>
      </c>
      <c r="E12" s="23">
        <f>INDEX(Data!M:M,COUNTIF(Data!$E:$E,"&gt;0")-27,1)</f>
        <v>312</v>
      </c>
      <c r="F12" s="54">
        <f>INDEX(Data!O:O,COUNTIF(Data!$E:$E,"&gt;0")-27,1)</f>
        <v>45.729890764647465</v>
      </c>
      <c r="G12" s="54">
        <f>INDEX(Data!P:P,COUNTIF(Data!$E:$E,"&gt;0")-27,1)</f>
        <v>1.2445945945945946</v>
      </c>
      <c r="H12" s="146">
        <f>INDEX(Data!R:R,COUNTIF(Data!$E:$E,"&gt;0")-27,1)</f>
        <v>4.0207815676530423</v>
      </c>
      <c r="I12" s="2"/>
    </row>
    <row r="13" spans="1:9" ht="14.45" x14ac:dyDescent="0.3">
      <c r="A13" s="55"/>
      <c r="B13" s="73" t="s">
        <v>11</v>
      </c>
      <c r="C13" s="73" t="s">
        <v>6</v>
      </c>
      <c r="D13" s="74">
        <f>INDEX(Data!G:G,COUNTIF(Data!$E:$E,"&gt;0")-26,1)</f>
        <v>4492</v>
      </c>
      <c r="E13" s="74">
        <f>INDEX(Data!M:M,COUNTIF(Data!$E:$E,"&gt;0")-26,1)</f>
        <v>434.24</v>
      </c>
      <c r="F13" s="75">
        <f>INDEX(Data!O:O,COUNTIF(Data!$E:$E,"&gt;0")-26,1)</f>
        <v>48.919960278053622</v>
      </c>
      <c r="G13" s="75">
        <f>INDEX(Data!P:P,COUNTIF(Data!$E:$E,"&gt;0")-26,1)</f>
        <v>1.3314162162162162</v>
      </c>
      <c r="H13" s="145">
        <f>INDEX(Data!R:R,COUNTIF(Data!$E:$E,"&gt;0")-26,1)</f>
        <v>3.4159613059250082</v>
      </c>
      <c r="I13" s="2"/>
    </row>
    <row r="14" spans="1:9" ht="14.45" x14ac:dyDescent="0.3">
      <c r="A14" s="55" t="s">
        <v>12</v>
      </c>
      <c r="B14" s="22" t="s">
        <v>13</v>
      </c>
      <c r="C14" s="22" t="s">
        <v>7</v>
      </c>
      <c r="D14" s="23">
        <f>INDEX(Data!G:G,COUNTIF(Data!$E:$E,"&gt;0")-25,1)</f>
        <v>3328</v>
      </c>
      <c r="E14" s="23">
        <f>INDEX(Data!M:M,COUNTIF(Data!$E:$E,"&gt;0")-25,1)</f>
        <v>321.92</v>
      </c>
      <c r="F14" s="54">
        <f>INDEX(Data!O:O,COUNTIF(Data!$E:$E,"&gt;0")-25,1)</f>
        <v>36.245481628599798</v>
      </c>
      <c r="G14" s="54">
        <f>INDEX(Data!P:P,COUNTIF(Data!$E:$E,"&gt;0")-25,1)</f>
        <v>0.92070054054054062</v>
      </c>
      <c r="H14" s="146">
        <f>INDEX(Data!R:R,COUNTIF(Data!$E:$E,"&gt;0")-25,1)</f>
        <v>2.694307515699923</v>
      </c>
      <c r="I14" s="2"/>
    </row>
    <row r="15" spans="1:9" ht="14.45" x14ac:dyDescent="0.3">
      <c r="A15" s="55"/>
      <c r="B15" s="73" t="s">
        <v>14</v>
      </c>
      <c r="C15" s="73" t="s">
        <v>15</v>
      </c>
      <c r="D15" s="74">
        <f>INDEX(Data!G:G,COUNTIF(Data!$E:$E,"&gt;0")-24,1)</f>
        <v>4875</v>
      </c>
      <c r="E15" s="74">
        <f>INDEX(Data!M:M,COUNTIF(Data!$E:$E,"&gt;0")-24,1)</f>
        <v>372.38</v>
      </c>
      <c r="F15" s="75">
        <f>INDEX(Data!O:O,COUNTIF(Data!$E:$E,"&gt;0")-24,1)</f>
        <v>52.109036742800399</v>
      </c>
      <c r="G15" s="75">
        <f>INDEX(Data!P:P,COUNTIF(Data!$E:$E,"&gt;0")-24,1)</f>
        <v>1.3236634234234235</v>
      </c>
      <c r="H15" s="145">
        <f>INDEX(Data!R:R,COUNTIF(Data!$E:$E,"&gt;0")-24,1)</f>
        <v>2.855921970801778</v>
      </c>
      <c r="I15" s="2"/>
    </row>
    <row r="16" spans="1:9" ht="15.6" x14ac:dyDescent="0.3">
      <c r="A16" s="56"/>
      <c r="B16" s="22" t="s">
        <v>16</v>
      </c>
      <c r="C16" s="22" t="s">
        <v>17</v>
      </c>
      <c r="D16" s="23">
        <f>INDEX(Data!G:G,COUNTIF(Data!$E:$E,"&gt;0")-23,1)</f>
        <v>2168</v>
      </c>
      <c r="E16" s="23">
        <f>INDEX(Data!M:M,COUNTIF(Data!$E:$E,"&gt;0")-23,1)</f>
        <v>68.16</v>
      </c>
      <c r="F16" s="54">
        <f>INDEX(Data!O:O,COUNTIF(Data!$E:$E,"&gt;0")-23,1)</f>
        <v>22.206156901688182</v>
      </c>
      <c r="G16" s="54">
        <f>INDEX(Data!P:P,COUNTIF(Data!$E:$E,"&gt;0")-23,1)</f>
        <v>0.5640763963963964</v>
      </c>
      <c r="H16" s="146">
        <f>INDEX(Data!R:R,COUNTIF(Data!$E:$E,"&gt;0")-23,1)</f>
        <v>3.7815360053464975</v>
      </c>
      <c r="I16" s="2"/>
    </row>
    <row r="17" spans="1:9" ht="14.45" x14ac:dyDescent="0.3">
      <c r="A17" s="55"/>
      <c r="B17" s="73" t="s">
        <v>18</v>
      </c>
      <c r="C17" s="73" t="s">
        <v>19</v>
      </c>
      <c r="D17" s="74">
        <f>INDEX(Data!G:G,COUNTIF(Data!$E:$E,"&gt;0")-22,1)</f>
        <v>4211</v>
      </c>
      <c r="E17" s="74">
        <f>INDEX(Data!M:M,COUNTIF(Data!$E:$E,"&gt;0")-22,1)</f>
        <v>279.5</v>
      </c>
      <c r="F17" s="75">
        <f>INDEX(Data!O:O,COUNTIF(Data!$E:$E,"&gt;0")-22,1)</f>
        <v>44.592850049652434</v>
      </c>
      <c r="G17" s="75">
        <f>INDEX(Data!P:P,COUNTIF(Data!$E:$E,"&gt;0")-22,1)</f>
        <v>1.1327387387387386</v>
      </c>
      <c r="H17" s="145">
        <f>INDEX(Data!R:R,COUNTIF(Data!$E:$E,"&gt;0")-22,1)</f>
        <v>2.6869426023324872</v>
      </c>
      <c r="I17" s="2"/>
    </row>
    <row r="18" spans="1:9" ht="15.6" x14ac:dyDescent="0.3">
      <c r="A18" s="56"/>
      <c r="B18" s="22" t="s">
        <v>18</v>
      </c>
      <c r="C18" s="22" t="s">
        <v>20</v>
      </c>
      <c r="D18" s="23">
        <f>INDEX(Data!G:G,COUNTIF(Data!$E:$E,"&gt;0")-21,1)</f>
        <v>3593</v>
      </c>
      <c r="E18" s="23">
        <f>INDEX(Data!M:M,COUNTIF(Data!$E:$E,"&gt;0")-21,1)</f>
        <v>179.31</v>
      </c>
      <c r="F18" s="54">
        <f>INDEX(Data!O:O,COUNTIF(Data!$E:$E,"&gt;0")-21,1)</f>
        <v>37.460873882820259</v>
      </c>
      <c r="G18" s="54">
        <f>INDEX(Data!P:P,COUNTIF(Data!$E:$E,"&gt;0")-21,1)</f>
        <v>0.95157369369369371</v>
      </c>
      <c r="H18" s="146">
        <f>INDEX(Data!R:R,COUNTIF(Data!$E:$E,"&gt;0")-21,1)</f>
        <v>2.8112701544767749</v>
      </c>
      <c r="I18" s="2"/>
    </row>
    <row r="19" spans="1:9" ht="14.45" x14ac:dyDescent="0.3">
      <c r="A19" s="55"/>
      <c r="B19" s="73" t="s">
        <v>16</v>
      </c>
      <c r="C19" s="73" t="s">
        <v>21</v>
      </c>
      <c r="D19" s="74">
        <f>INDEX(Data!G:G,COUNTIF(Data!$E:$E,"&gt;0")-20,1)</f>
        <v>3308</v>
      </c>
      <c r="E19" s="74">
        <f>INDEX(Data!M:M,COUNTIF(Data!$E:$E,"&gt;0")-20,1)</f>
        <v>200.32</v>
      </c>
      <c r="F19" s="75">
        <f>INDEX(Data!O:O,COUNTIF(Data!$E:$E,"&gt;0")-20,1)</f>
        <v>34.83932472691162</v>
      </c>
      <c r="G19" s="75">
        <f>INDEX(Data!P:P,COUNTIF(Data!$E:$E,"&gt;0")-20,1)</f>
        <v>0.88498162162162164</v>
      </c>
      <c r="H19" s="145">
        <f>INDEX(Data!R:R,COUNTIF(Data!$E:$E,"&gt;0")-20,1)</f>
        <v>1.8865294363644924</v>
      </c>
      <c r="I19" s="2"/>
    </row>
    <row r="20" spans="1:9" ht="15.6" x14ac:dyDescent="0.3">
      <c r="A20" s="56"/>
      <c r="B20" s="22" t="s">
        <v>16</v>
      </c>
      <c r="C20" s="22" t="s">
        <v>6</v>
      </c>
      <c r="D20" s="23">
        <f>INDEX(Data!G:G,COUNTIF(Data!$E:$E,"&gt;0")-19,1)</f>
        <v>5365</v>
      </c>
      <c r="E20" s="23">
        <f>INDEX(Data!M:M,COUNTIF(Data!$E:$E,"&gt;0")-19,1)</f>
        <v>583.36</v>
      </c>
      <c r="F20" s="54">
        <f>INDEX(Data!O:O,COUNTIF(Data!$E:$E,"&gt;0")-19,1)</f>
        <v>59.070109235352525</v>
      </c>
      <c r="G20" s="54">
        <f>INDEX(Data!P:P,COUNTIF(Data!$E:$E,"&gt;0")-19,1)</f>
        <v>1.5004872072072071</v>
      </c>
      <c r="H20" s="146">
        <f>INDEX(Data!R:R,COUNTIF(Data!$E:$E,"&gt;0")-19,1)</f>
        <v>1.3128312735894099</v>
      </c>
      <c r="I20" s="2"/>
    </row>
    <row r="21" spans="1:9" ht="14.45" x14ac:dyDescent="0.3">
      <c r="A21" s="55" t="s">
        <v>22</v>
      </c>
      <c r="B21" s="73" t="s">
        <v>23</v>
      </c>
      <c r="C21" s="73" t="s">
        <v>7</v>
      </c>
      <c r="D21" s="74">
        <f>INDEX(Data!G:G,COUNTIF(Data!$E:$E,"&gt;0")-18,1)</f>
        <v>3839</v>
      </c>
      <c r="E21" s="74">
        <f>INDEX(Data!M:M,COUNTIF(Data!$E:$E,"&gt;0")-18,1)</f>
        <v>350.0385</v>
      </c>
      <c r="F21" s="75">
        <f>INDEX(Data!O:O,COUNTIF(Data!$E:$E,"&gt;0")-18,1)</f>
        <v>41.599190665342597</v>
      </c>
      <c r="G21" s="75">
        <f>INDEX(Data!P:P,COUNTIF(Data!$E:$E,"&gt;0")-18,1)</f>
        <v>1.1321725675675676</v>
      </c>
      <c r="H21" s="145">
        <f>INDEX(Data!R:R,COUNTIF(Data!$E:$E,"&gt;0")-18,1)</f>
        <v>4.890745861748802</v>
      </c>
      <c r="I21" s="2"/>
    </row>
    <row r="22" spans="1:9" ht="15.6" x14ac:dyDescent="0.3">
      <c r="A22" s="56"/>
      <c r="B22" s="22" t="s">
        <v>14</v>
      </c>
      <c r="C22" s="22" t="s">
        <v>24</v>
      </c>
      <c r="D22" s="23">
        <f>INDEX(Data!G:G,COUNTIF(Data!$E:$E,"&gt;0")-17,1)</f>
        <v>3807</v>
      </c>
      <c r="E22" s="23">
        <f>INDEX(Data!M:M,COUNTIF(Data!$E:$E,"&gt;0")-17,1)</f>
        <v>264.45</v>
      </c>
      <c r="F22" s="54">
        <f>INDEX(Data!O:O,COUNTIF(Data!$E:$E,"&gt;0")-17,1)</f>
        <v>40.431479642502481</v>
      </c>
      <c r="G22" s="54">
        <f>INDEX(Data!P:P,COUNTIF(Data!$E:$E,"&gt;0")-17,1)</f>
        <v>1.1003918918918918</v>
      </c>
      <c r="H22" s="146">
        <f>INDEX(Data!R:R,COUNTIF(Data!$E:$E,"&gt;0")-17,1)</f>
        <v>2.2412234443272672</v>
      </c>
      <c r="I22" s="2"/>
    </row>
    <row r="23" spans="1:9" ht="14.45" x14ac:dyDescent="0.3">
      <c r="A23" s="55"/>
      <c r="B23" s="73" t="s">
        <v>18</v>
      </c>
      <c r="C23" s="73" t="s">
        <v>15</v>
      </c>
      <c r="D23" s="74">
        <f>INDEX(Data!G:G,COUNTIF(Data!$E:$E,"&gt;0")-16,1)</f>
        <v>4946</v>
      </c>
      <c r="E23" s="74">
        <f>INDEX(Data!M:M,COUNTIF(Data!$E:$E,"&gt;0")-16,1)</f>
        <v>374.96</v>
      </c>
      <c r="F23" s="75">
        <f>INDEX(Data!O:O,COUNTIF(Data!$E:$E,"&gt;0")-16,1)</f>
        <v>52.83972194637537</v>
      </c>
      <c r="G23" s="75">
        <f>INDEX(Data!P:P,COUNTIF(Data!$E:$E,"&gt;0")-16,1)</f>
        <v>1.4380972972972974</v>
      </c>
      <c r="H23" s="145">
        <f>INDEX(Data!R:R,COUNTIF(Data!$E:$E,"&gt;0")-16,1)</f>
        <v>2.8292260598002494</v>
      </c>
      <c r="I23" s="2"/>
    </row>
    <row r="24" spans="1:9" ht="15.6" x14ac:dyDescent="0.3">
      <c r="A24" s="56"/>
      <c r="B24" s="22" t="s">
        <v>18</v>
      </c>
      <c r="C24" s="22" t="s">
        <v>24</v>
      </c>
      <c r="D24" s="23">
        <f>INDEX(Data!G:G,COUNTIF(Data!$E:$E,"&gt;0")-15,1)</f>
        <v>3499</v>
      </c>
      <c r="E24" s="23">
        <f>INDEX(Data!M:M,COUNTIF(Data!$E:$E,"&gt;0")-15,1)</f>
        <v>179.31</v>
      </c>
      <c r="F24" s="54">
        <f>INDEX(Data!O:O,COUNTIF(Data!$E:$E,"&gt;0")-15,1)</f>
        <v>36.527408142999008</v>
      </c>
      <c r="G24" s="54">
        <f>INDEX(Data!P:P,COUNTIF(Data!$E:$E,"&gt;0")-15,1)</f>
        <v>0.99413783783783782</v>
      </c>
      <c r="H24" s="146">
        <f>INDEX(Data!R:R,COUNTIF(Data!$E:$E,"&gt;0")-15,1)</f>
        <v>2.7702030644061848</v>
      </c>
      <c r="I24" s="2"/>
    </row>
    <row r="25" spans="1:9" ht="14.45" x14ac:dyDescent="0.3">
      <c r="A25" s="55"/>
      <c r="B25" s="73" t="s">
        <v>13</v>
      </c>
      <c r="C25" s="73" t="s">
        <v>7</v>
      </c>
      <c r="D25" s="74">
        <f>INDEX(Data!G:G,COUNTIF(Data!$E:$E,"&gt;0")-14,1)</f>
        <v>3974</v>
      </c>
      <c r="E25" s="74">
        <f>INDEX(Data!M:M,COUNTIF(Data!$E:$E,"&gt;0")-14,1)</f>
        <v>321.92</v>
      </c>
      <c r="F25" s="75">
        <f>INDEX(Data!O:O,COUNTIF(Data!$E:$E,"&gt;0")-14,1)</f>
        <v>42.660575968222446</v>
      </c>
      <c r="G25" s="75">
        <f>INDEX(Data!P:P,COUNTIF(Data!$E:$E,"&gt;0")-14,1)</f>
        <v>1.1610594594594594</v>
      </c>
      <c r="H25" s="145">
        <f>INDEX(Data!R:R,COUNTIF(Data!$E:$E,"&gt;0")-14,1)</f>
        <v>4.5195320863421484</v>
      </c>
      <c r="I25" s="2"/>
    </row>
    <row r="26" spans="1:9" ht="14.45" x14ac:dyDescent="0.3">
      <c r="A26" s="58" t="s">
        <v>53</v>
      </c>
      <c r="B26" s="22"/>
      <c r="C26" s="22"/>
      <c r="D26" s="23"/>
      <c r="E26" s="23"/>
      <c r="F26" s="54"/>
      <c r="G26" s="54"/>
      <c r="H26" s="147"/>
      <c r="I26" s="2"/>
    </row>
    <row r="27" spans="1:9" ht="14.45" x14ac:dyDescent="0.3">
      <c r="A27" s="55" t="s">
        <v>1</v>
      </c>
      <c r="B27" s="73" t="s">
        <v>25</v>
      </c>
      <c r="C27" s="73" t="s">
        <v>26</v>
      </c>
      <c r="D27" s="74">
        <f>INDEX(Data!G:G,COUNTIF(Data!$E:$E,"&gt;0")-13,1)</f>
        <v>3678</v>
      </c>
      <c r="E27" s="74">
        <f>INDEX(Data!M:M,COUNTIF(Data!$E:$E,"&gt;0")-13,1)</f>
        <v>264</v>
      </c>
      <c r="F27" s="75">
        <f>INDEX(Data!O:O,COUNTIF(Data!$E:$E,"&gt;0")-13,1)</f>
        <v>39.145978152929494</v>
      </c>
      <c r="G27" s="75">
        <f>INDEX(Data!P:P,COUNTIF(Data!$E:$E,"&gt;0")-13,1)</f>
        <v>1.0654054054054054</v>
      </c>
      <c r="H27" s="145">
        <f>INDEX(Data!R:R,COUNTIF(Data!$E:$E,"&gt;0")-13,1)</f>
        <v>-1.1038635223281523</v>
      </c>
      <c r="I27" s="22"/>
    </row>
    <row r="28" spans="1:9" ht="15.4" x14ac:dyDescent="0.35">
      <c r="A28" s="56"/>
      <c r="B28" s="79" t="s">
        <v>246</v>
      </c>
      <c r="C28" s="22" t="s">
        <v>9</v>
      </c>
      <c r="D28" s="23">
        <f>INDEX(Data!G:G,COUNTIF(Data!$E:$E,"&gt;0")-12,1)</f>
        <v>3471</v>
      </c>
      <c r="E28" s="23">
        <f>INDEX(Data!M:M,COUNTIF(Data!$E:$E,"&gt;0")-12,1)</f>
        <v>205.5</v>
      </c>
      <c r="F28" s="54">
        <f>INDEX(Data!O:O,COUNTIF(Data!$E:$E,"&gt;0")-12,1)</f>
        <v>36.509433962264147</v>
      </c>
      <c r="G28" s="54">
        <f>INDEX(Data!P:P,COUNTIF(Data!$E:$E,"&gt;0")-12,1)</f>
        <v>0.99364864864864866</v>
      </c>
      <c r="H28" s="146">
        <f>INDEX(Data!R:R,COUNTIF(Data!$E:$E,"&gt;0")-12,1)</f>
        <v>-8.9468144387344406</v>
      </c>
      <c r="I28" s="2"/>
    </row>
    <row r="29" spans="1:9" ht="14.65" x14ac:dyDescent="0.35">
      <c r="A29" s="55"/>
      <c r="B29" s="73" t="s">
        <v>27</v>
      </c>
      <c r="C29" s="73" t="s">
        <v>28</v>
      </c>
      <c r="D29" s="74">
        <f>INDEX(Data!G:G,COUNTIF(Data!$E:$E,"&gt;0")-11,1)</f>
        <v>4140</v>
      </c>
      <c r="E29" s="74">
        <f>INDEX(Data!M:M,COUNTIF(Data!$E:$E,"&gt;0")-11,1)</f>
        <v>349.15999999999997</v>
      </c>
      <c r="F29" s="75">
        <f>INDEX(Data!O:O,COUNTIF(Data!$E:$E,"&gt;0")-11,1)</f>
        <v>44.57954319761668</v>
      </c>
      <c r="G29" s="75">
        <f>INDEX(Data!P:P,COUNTIF(Data!$E:$E,"&gt;0")-11,1)</f>
        <v>1.2132864864864865</v>
      </c>
      <c r="H29" s="145">
        <f>INDEX(Data!R:R,COUNTIF(Data!$E:$E,"&gt;0")-11,1)</f>
        <v>3.4425866868213806</v>
      </c>
      <c r="I29" s="2"/>
    </row>
    <row r="30" spans="1:9" ht="15.4" x14ac:dyDescent="0.35">
      <c r="A30" s="56"/>
      <c r="B30" s="22" t="s">
        <v>4</v>
      </c>
      <c r="C30" s="22" t="s">
        <v>26</v>
      </c>
      <c r="D30" s="23">
        <f>INDEX(Data!G:G,COUNTIF(Data!$E:$E,"&gt;0")-10,1)</f>
        <v>5159</v>
      </c>
      <c r="E30" s="23">
        <f>INDEX(Data!M:M,COUNTIF(Data!$E:$E,"&gt;0")-10,1)</f>
        <v>456</v>
      </c>
      <c r="F30" s="54">
        <f>INDEX(Data!O:O,COUNTIF(Data!$E:$E,"&gt;0")-10,1)</f>
        <v>55.759682224428992</v>
      </c>
      <c r="G30" s="54">
        <f>INDEX(Data!P:P,COUNTIF(Data!$E:$E,"&gt;0")-10,1)</f>
        <v>1.5175675675675675</v>
      </c>
      <c r="H30" s="146">
        <f>INDEX(Data!R:R,COUNTIF(Data!$E:$E,"&gt;0")-10,1)</f>
        <v>-1.3354419258478245</v>
      </c>
      <c r="I30" s="2"/>
    </row>
    <row r="31" spans="1:9" ht="14.65" x14ac:dyDescent="0.35">
      <c r="A31" s="55"/>
      <c r="B31" s="73" t="s">
        <v>4</v>
      </c>
      <c r="C31" s="73" t="s">
        <v>9</v>
      </c>
      <c r="D31" s="74">
        <f>INDEX(Data!G:G,COUNTIF(Data!$E:$E,"&gt;0")-9,1)</f>
        <v>6084</v>
      </c>
      <c r="E31" s="74">
        <f>INDEX(Data!M:M,COUNTIF(Data!$E:$E,"&gt;0")-9,1)</f>
        <v>474.9</v>
      </c>
      <c r="F31" s="75">
        <f>INDEX(Data!O:O,COUNTIF(Data!$E:$E,"&gt;0")-9,1)</f>
        <v>65.133068520357497</v>
      </c>
      <c r="G31" s="75">
        <f>INDEX(Data!P:P,COUNTIF(Data!$E:$E,"&gt;0")-9,1)</f>
        <v>1.7726756756756756</v>
      </c>
      <c r="H31" s="145">
        <f>INDEX(Data!R:R,COUNTIF(Data!$E:$E,"&gt;0")-9,1)</f>
        <v>-1.1923682406731029</v>
      </c>
      <c r="I31" s="2"/>
    </row>
    <row r="32" spans="1:9" ht="15.4" x14ac:dyDescent="0.35">
      <c r="A32" s="56"/>
      <c r="B32" s="22" t="s">
        <v>10</v>
      </c>
      <c r="C32" s="22" t="s">
        <v>26</v>
      </c>
      <c r="D32" s="23">
        <f>INDEX(Data!G:G,COUNTIF(Data!$E:$E,"&gt;0")-8,1)</f>
        <v>5260</v>
      </c>
      <c r="E32" s="23">
        <f>INDEX(Data!M:M,COUNTIF(Data!$E:$E,"&gt;0")-8,1)</f>
        <v>511.68</v>
      </c>
      <c r="F32" s="54">
        <f>INDEX(Data!O:O,COUNTIF(Data!$E:$E,"&gt;0")-8,1)</f>
        <v>57.315590863952337</v>
      </c>
      <c r="G32" s="54">
        <f>INDEX(Data!P:P,COUNTIF(Data!$E:$E,"&gt;0")-8,1)</f>
        <v>1.5599135135135136</v>
      </c>
      <c r="H32" s="146">
        <f>INDEX(Data!R:R,COUNTIF(Data!$E:$E,"&gt;0")-8,1)</f>
        <v>2.723790810587623</v>
      </c>
      <c r="I32" s="2"/>
    </row>
    <row r="33" spans="1:9" x14ac:dyDescent="0.25">
      <c r="A33" s="55" t="s">
        <v>12</v>
      </c>
      <c r="B33" s="73" t="s">
        <v>23</v>
      </c>
      <c r="C33" s="73" t="s">
        <v>26</v>
      </c>
      <c r="D33" s="74">
        <f>INDEX(Data!G:G,COUNTIF(Data!$E:$E,"&gt;0")-7,1)</f>
        <v>5000</v>
      </c>
      <c r="E33" s="74">
        <f>INDEX(Data!M:M,COUNTIF(Data!$E:$E,"&gt;0")-7,1)</f>
        <v>555.29999999999995</v>
      </c>
      <c r="F33" s="75">
        <f>INDEX(Data!O:O,COUNTIF(Data!$E:$E,"&gt;0")-7,1)</f>
        <v>55.166832174776566</v>
      </c>
      <c r="G33" s="75">
        <f>INDEX(Data!P:P,COUNTIF(Data!$E:$E,"&gt;0")-7,1)</f>
        <v>1.4013369369369371</v>
      </c>
      <c r="H33" s="145">
        <f>INDEX(Data!R:R,COUNTIF(Data!$E:$E,"&gt;0")-7,1)</f>
        <v>-1.6386766645714812</v>
      </c>
      <c r="I33" s="2"/>
    </row>
    <row r="34" spans="1:9" ht="15.75" x14ac:dyDescent="0.25">
      <c r="A34" s="56"/>
      <c r="B34" s="22" t="s">
        <v>8</v>
      </c>
      <c r="C34" s="22" t="s">
        <v>29</v>
      </c>
      <c r="D34" s="23">
        <f>INDEX(Data!G:G,COUNTIF(Data!$E:$E,"&gt;0")-6,1)</f>
        <v>4960</v>
      </c>
      <c r="E34" s="23">
        <f>INDEX(Data!M:M,COUNTIF(Data!$E:$E,"&gt;0")-6,1)</f>
        <v>508.5</v>
      </c>
      <c r="F34" s="54">
        <f>INDEX(Data!O:O,COUNTIF(Data!$E:$E,"&gt;0")-6,1)</f>
        <v>54.304865938430979</v>
      </c>
      <c r="G34" s="54">
        <f>INDEX(Data!P:P,COUNTIF(Data!$E:$E,"&gt;0")-6,1)</f>
        <v>1.3794414414414415</v>
      </c>
      <c r="H34" s="146">
        <f>INDEX(Data!R:R,COUNTIF(Data!$E:$E,"&gt;0")-6,1)</f>
        <v>-1.5261333453383208</v>
      </c>
      <c r="I34" s="2"/>
    </row>
    <row r="35" spans="1:9" x14ac:dyDescent="0.25">
      <c r="A35" s="55"/>
      <c r="B35" s="73" t="s">
        <v>13</v>
      </c>
      <c r="C35" s="73" t="s">
        <v>7</v>
      </c>
      <c r="D35" s="74">
        <f>INDEX(Data!G:G,COUNTIF(Data!$E:$E,"&gt;0")-5,1)</f>
        <v>3147</v>
      </c>
      <c r="E35" s="74">
        <f>INDEX(Data!M:M,COUNTIF(Data!$E:$E,"&gt;0")-5,1)</f>
        <v>321.92</v>
      </c>
      <c r="F35" s="75">
        <f>INDEX(Data!O:O,COUNTIF(Data!$E:$E,"&gt;0")-5,1)</f>
        <v>34.448063555114203</v>
      </c>
      <c r="G35" s="75">
        <f>INDEX(Data!P:P,COUNTIF(Data!$E:$E,"&gt;0")-5,1)</f>
        <v>0.8750428828828829</v>
      </c>
      <c r="H35" s="145">
        <f>INDEX(Data!R:R,COUNTIF(Data!$E:$E,"&gt;0")-5,1)</f>
        <v>2.8388810492238736</v>
      </c>
      <c r="I35" s="2"/>
    </row>
    <row r="36" spans="1:9" ht="15.75" x14ac:dyDescent="0.25">
      <c r="A36" s="56"/>
      <c r="B36" s="22" t="s">
        <v>30</v>
      </c>
      <c r="C36" s="22" t="s">
        <v>9</v>
      </c>
      <c r="D36" s="23">
        <f>INDEX(Data!G:G,COUNTIF(Data!$E:$E,"&gt;0")-4,1)</f>
        <v>3510</v>
      </c>
      <c r="E36" s="23">
        <f>INDEX(Data!M:M,COUNTIF(Data!$E:$E,"&gt;0")-4,1)</f>
        <v>296.39999999999998</v>
      </c>
      <c r="F36" s="54">
        <f>INDEX(Data!O:O,COUNTIF(Data!$E:$E,"&gt;0")-4,1)</f>
        <v>37.799404170804372</v>
      </c>
      <c r="G36" s="54">
        <f>INDEX(Data!P:P,COUNTIF(Data!$E:$E,"&gt;0")-4,1)</f>
        <v>0.96017297297297299</v>
      </c>
      <c r="H36" s="146">
        <f>INDEX(Data!R:R,COUNTIF(Data!$E:$E,"&gt;0")-4,1)</f>
        <v>-1.2811867835468616</v>
      </c>
      <c r="I36" s="2"/>
    </row>
    <row r="37" spans="1:9" x14ac:dyDescent="0.25">
      <c r="A37" s="55"/>
      <c r="B37" s="73" t="s">
        <v>16</v>
      </c>
      <c r="C37" s="73" t="s">
        <v>11</v>
      </c>
      <c r="D37" s="74">
        <f>INDEX(Data!G:G,COUNTIF(Data!$E:$E,"&gt;0")-3,1)</f>
        <v>3690</v>
      </c>
      <c r="E37" s="74">
        <f>INDEX(Data!M:M,COUNTIF(Data!$E:$E,"&gt;0")-3,1)</f>
        <v>251.84</v>
      </c>
      <c r="F37" s="75">
        <f>INDEX(Data!O:O,COUNTIF(Data!$E:$E,"&gt;0")-3,1)</f>
        <v>39.144389275074481</v>
      </c>
      <c r="G37" s="75">
        <f>INDEX(Data!P:P,COUNTIF(Data!$E:$E,"&gt;0")-3,1)</f>
        <v>0.99433801801801802</v>
      </c>
      <c r="H37" s="145">
        <f>INDEX(Data!R:R,COUNTIF(Data!$E:$E,"&gt;0")-3,1)</f>
        <v>1.7690250224613457</v>
      </c>
      <c r="I37" s="2"/>
    </row>
    <row r="38" spans="1:9" ht="15.75" x14ac:dyDescent="0.25">
      <c r="A38" s="56"/>
      <c r="B38" s="22" t="s">
        <v>23</v>
      </c>
      <c r="C38" s="22" t="s">
        <v>29</v>
      </c>
      <c r="D38" s="23">
        <f>INDEX(Data!G:G,COUNTIF(Data!$E:$E,"&gt;0")-2,1)</f>
        <v>5000</v>
      </c>
      <c r="E38" s="23">
        <f>INDEX(Data!M:M,COUNTIF(Data!$E:$E,"&gt;0")-2,1)</f>
        <v>550.79999999999995</v>
      </c>
      <c r="F38" s="54">
        <f>INDEX(Data!O:O,COUNTIF(Data!$E:$E,"&gt;0")-2,1)</f>
        <v>55.122144985104271</v>
      </c>
      <c r="G38" s="54">
        <f>INDEX(Data!P:P,COUNTIF(Data!$E:$E,"&gt;0")-2,1)</f>
        <v>1.4002018018018019</v>
      </c>
      <c r="H38" s="146">
        <f>INDEX(Data!R:R,COUNTIF(Data!$E:$E,"&gt;0")-2,1)</f>
        <v>-1.6269095806897615</v>
      </c>
      <c r="I38" s="2"/>
    </row>
    <row r="39" spans="1:9" x14ac:dyDescent="0.25">
      <c r="A39" s="55"/>
      <c r="B39" s="73" t="s">
        <v>31</v>
      </c>
      <c r="C39" s="73" t="s">
        <v>32</v>
      </c>
      <c r="D39" s="74">
        <f>INDEX(Data!G:G,COUNTIF(Data!$E:$E,"&gt;0")-1,1)</f>
        <v>4400</v>
      </c>
      <c r="E39" s="74">
        <f>INDEX(Data!M:M,COUNTIF(Data!$E:$E,"&gt;0")-1,1)</f>
        <v>569.69999999999993</v>
      </c>
      <c r="F39" s="75">
        <f>INDEX(Data!O:O,COUNTIF(Data!$E:$E,"&gt;0")-1,1)</f>
        <v>49.351539225422044</v>
      </c>
      <c r="G39" s="75">
        <f>INDEX(Data!P:P,COUNTIF(Data!$E:$E,"&gt;0")-1,1)</f>
        <v>1.2536180180180181</v>
      </c>
      <c r="H39" s="145">
        <f>INDEX(Data!R:R,COUNTIF(Data!$E:$E,"&gt;0")-1,1)</f>
        <v>-1.8747593614563685</v>
      </c>
      <c r="I39" s="2"/>
    </row>
    <row r="40" spans="1:9" x14ac:dyDescent="0.25">
      <c r="A40" s="55" t="s">
        <v>22</v>
      </c>
      <c r="B40" s="22" t="s">
        <v>8</v>
      </c>
      <c r="C40" s="22" t="s">
        <v>29</v>
      </c>
      <c r="D40" s="23">
        <f>INDEX(Data!G:G,COUNTIF(Data!$E:$E,"&gt;0"),1)</f>
        <v>5520</v>
      </c>
      <c r="E40" s="23">
        <f>INDEX(Data!M:M,COUNTIF(Data!$E:$E,"&gt;0"),1)</f>
        <v>508.5</v>
      </c>
      <c r="F40" s="54">
        <f>INDEX(Data!O:O,COUNTIF(Data!$E:$E,"&gt;0"),1)</f>
        <v>59.865938430983114</v>
      </c>
      <c r="G40" s="54">
        <f>INDEX(Data!P:P,COUNTIF(Data!$E:$E,"&gt;0"),1)</f>
        <v>1.6293243243243243</v>
      </c>
      <c r="H40" s="146">
        <f>INDEX(Data!R:R,COUNTIF(Data!$E:$E,"&gt;0"),1)</f>
        <v>-1.3863329652803347</v>
      </c>
      <c r="I40" s="2"/>
    </row>
    <row r="41" spans="1:9" x14ac:dyDescent="0.25">
      <c r="A41" s="55"/>
      <c r="B41" s="73" t="s">
        <v>23</v>
      </c>
      <c r="C41" s="73" t="s">
        <v>26</v>
      </c>
      <c r="D41" s="74">
        <f>INDEX(Data!G:G,COUNTIF(Data!$E:$E,"&gt;0")+1,1)</f>
        <v>5530</v>
      </c>
      <c r="E41" s="74">
        <f>INDEX(Data!M:M,COUNTIF(Data!$E:$E,"&gt;0")+1,1)</f>
        <v>555.29999999999995</v>
      </c>
      <c r="F41" s="75">
        <f>INDEX(Data!O:O,COUNTIF(Data!$E:$E,"&gt;0")+1,1)</f>
        <v>60.429990069513408</v>
      </c>
      <c r="G41" s="75">
        <f>INDEX(Data!P:P,COUNTIF(Data!$E:$E,"&gt;0")+1,1)</f>
        <v>1.6446756756756757</v>
      </c>
      <c r="H41" s="145">
        <f>INDEX(Data!R:R,COUNTIF(Data!$E:$E,"&gt;0")+1,1)</f>
        <v>-1.4980939971025564</v>
      </c>
      <c r="I41" s="2"/>
    </row>
    <row r="42" spans="1:9" ht="15.75" x14ac:dyDescent="0.25">
      <c r="A42" s="56"/>
      <c r="B42" s="22" t="s">
        <v>33</v>
      </c>
      <c r="C42" s="22" t="s">
        <v>29</v>
      </c>
      <c r="D42" s="23">
        <f>INDEX(Data!G:G,COUNTIF(Data!$E:$E,"&gt;0")+2,1)</f>
        <v>5430</v>
      </c>
      <c r="E42" s="23">
        <f>INDEX(Data!M:M,COUNTIF(Data!$E:$E,"&gt;0")+2,1)</f>
        <v>452.09999999999997</v>
      </c>
      <c r="F42" s="54">
        <f>INDEX(Data!O:O,COUNTIF(Data!$E:$E,"&gt;0")+2,1)</f>
        <v>58.412115193644489</v>
      </c>
      <c r="G42" s="54">
        <f>INDEX(Data!P:P,COUNTIF(Data!$E:$E,"&gt;0")+2,1)</f>
        <v>1.5897567567567568</v>
      </c>
      <c r="H42" s="146">
        <f>INDEX(Data!R:R,COUNTIF(Data!$E:$E,"&gt;0")+2,1)</f>
        <v>-1.2648028938555878</v>
      </c>
      <c r="I42" s="2"/>
    </row>
    <row r="43" spans="1:9" x14ac:dyDescent="0.25">
      <c r="A43" s="55"/>
      <c r="B43" s="73" t="s">
        <v>31</v>
      </c>
      <c r="C43" s="73" t="s">
        <v>7</v>
      </c>
      <c r="D43" s="74">
        <f>INDEX(Data!G:G,COUNTIF(Data!$E:$E,"&gt;0")+3,1)</f>
        <v>4425</v>
      </c>
      <c r="E43" s="74">
        <f>INDEX(Data!M:M,COUNTIF(Data!$E:$E,"&gt;0")+3,1)</f>
        <v>371.2</v>
      </c>
      <c r="F43" s="75">
        <f>INDEX(Data!O:O,COUNTIF(Data!$E:$E,"&gt;0")+3,1)</f>
        <v>47.628599801390266</v>
      </c>
      <c r="G43" s="75">
        <f>INDEX(Data!P:P,COUNTIF(Data!$E:$E,"&gt;0")+3,1)</f>
        <v>1.2962702702702702</v>
      </c>
      <c r="H43" s="145">
        <f>INDEX(Data!R:R,COUNTIF(Data!$E:$E,"&gt;0")+3,1)</f>
        <v>4.4332186560989362</v>
      </c>
    </row>
    <row r="44" spans="1:9" ht="15.75" x14ac:dyDescent="0.25">
      <c r="A44" s="56"/>
      <c r="B44" s="22" t="s">
        <v>14</v>
      </c>
      <c r="C44" s="22" t="s">
        <v>24</v>
      </c>
      <c r="D44" s="23">
        <f>INDEX(Data!G:G,COUNTIF(Data!$E:$E,"&gt;0")+4,1)</f>
        <v>2982</v>
      </c>
      <c r="E44" s="23">
        <f>INDEX(Data!M:M,COUNTIF(Data!$E:$E,"&gt;0")+4,1)</f>
        <v>264.45</v>
      </c>
      <c r="F44" s="54">
        <f>INDEX(Data!O:O,COUNTIF(Data!$E:$E,"&gt;0")+4,1)</f>
        <v>32.238828202581921</v>
      </c>
      <c r="G44" s="54">
        <f>INDEX(Data!P:P,COUNTIF(Data!$E:$E,"&gt;0")+4,1)</f>
        <v>0.87741891891891888</v>
      </c>
      <c r="H44" s="146">
        <f>INDEX(Data!R:R,COUNTIF(Data!$E:$E,"&gt;0")+4,1)</f>
        <v>2.8268719118206054</v>
      </c>
      <c r="I44" s="54" t="s">
        <v>0</v>
      </c>
    </row>
    <row r="45" spans="1:9" ht="15.75" x14ac:dyDescent="0.25">
      <c r="A45" s="59"/>
      <c r="B45" s="76" t="s">
        <v>34</v>
      </c>
      <c r="C45" s="76" t="s">
        <v>26</v>
      </c>
      <c r="D45" s="77">
        <f>INDEX(Data!G:G,COUNTIF(Data!$E:$E,"&gt;0")+5,1)</f>
        <v>5360</v>
      </c>
      <c r="E45" s="77">
        <f>INDEX(Data!M:M,COUNTIF(Data!$E:$E,"&gt;0")+5,1)</f>
        <v>523.84</v>
      </c>
      <c r="F45" s="78">
        <f>INDEX(Data!O:O,COUNTIF(Data!$E:$E,"&gt;0")+5,1)</f>
        <v>58.429394240317777</v>
      </c>
      <c r="G45" s="78">
        <f>INDEX(Data!P:P,COUNTIF(Data!$E:$E,"&gt;0")+5,1)</f>
        <v>1.5902270270270271</v>
      </c>
      <c r="H45" s="148">
        <f>INDEX(Data!R:R,COUNTIF(Data!$E:$E,"&gt;0")+5,1)</f>
        <v>3.237579219977138</v>
      </c>
      <c r="I45" s="24" t="s">
        <v>0</v>
      </c>
    </row>
    <row r="46" spans="1:9" x14ac:dyDescent="0.25">
      <c r="A46" s="26" t="s">
        <v>47</v>
      </c>
      <c r="B46" s="27"/>
      <c r="C46" s="28"/>
      <c r="D46" s="29"/>
      <c r="E46" s="29"/>
      <c r="F46" s="30"/>
      <c r="G46" s="31"/>
      <c r="H46" s="29"/>
      <c r="I46" s="2"/>
    </row>
    <row r="47" spans="1:9" x14ac:dyDescent="0.25">
      <c r="A47" s="32" t="s">
        <v>269</v>
      </c>
      <c r="B47" s="27"/>
      <c r="C47" s="28"/>
      <c r="D47" s="29"/>
      <c r="E47" s="29"/>
      <c r="F47" s="30"/>
      <c r="G47" s="31"/>
      <c r="H47" s="29"/>
      <c r="I47" s="2"/>
    </row>
    <row r="48" spans="1:9" x14ac:dyDescent="0.25">
      <c r="A48" s="26" t="s">
        <v>96</v>
      </c>
      <c r="B48" s="27"/>
      <c r="C48" s="28"/>
      <c r="D48" s="29"/>
      <c r="E48" s="29"/>
      <c r="F48" s="30"/>
      <c r="G48" s="31"/>
      <c r="H48" s="29"/>
      <c r="I48" s="2"/>
    </row>
    <row r="49" spans="1:9" x14ac:dyDescent="0.25">
      <c r="A49" s="26" t="s">
        <v>48</v>
      </c>
      <c r="B49" s="27"/>
      <c r="C49" s="28"/>
      <c r="D49" s="29"/>
      <c r="E49" s="29"/>
      <c r="F49" s="30"/>
      <c r="G49" s="31"/>
      <c r="H49" s="29"/>
      <c r="I49" s="2"/>
    </row>
    <row r="50" spans="1:9" x14ac:dyDescent="0.25">
      <c r="A50" s="33" t="s">
        <v>49</v>
      </c>
      <c r="B50" s="27"/>
      <c r="C50" s="28"/>
      <c r="D50" s="29"/>
      <c r="E50" s="29"/>
      <c r="F50" s="30"/>
      <c r="G50" s="31"/>
      <c r="H50" s="29"/>
      <c r="I50" s="2"/>
    </row>
    <row r="51" spans="1:9" x14ac:dyDescent="0.25">
      <c r="A51" s="33" t="s">
        <v>51</v>
      </c>
      <c r="B51" s="34"/>
      <c r="C51" s="35"/>
      <c r="D51" s="36"/>
      <c r="E51" s="36"/>
      <c r="F51" s="37"/>
      <c r="G51" s="38"/>
      <c r="H51" s="36"/>
      <c r="I51" s="2"/>
    </row>
  </sheetData>
  <mergeCells count="2">
    <mergeCell ref="F4:G4"/>
    <mergeCell ref="E3:E5"/>
  </mergeCells>
  <pageMargins left="0.7" right="0.7" top="0.75" bottom="0.75" header="0.3" footer="0.3"/>
  <pageSetup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9"/>
  <sheetViews>
    <sheetView workbookViewId="0">
      <selection activeCell="D19" sqref="D19"/>
    </sheetView>
  </sheetViews>
  <sheetFormatPr defaultRowHeight="15" x14ac:dyDescent="0.25"/>
  <cols>
    <col min="3" max="4" width="21" customWidth="1"/>
    <col min="5" max="5" width="20.42578125" customWidth="1"/>
    <col min="6" max="6" width="20.7109375" customWidth="1"/>
    <col min="9" max="9" width="24.7109375" customWidth="1"/>
    <col min="10" max="11" width="11.7109375" customWidth="1"/>
    <col min="12" max="12" width="8.28515625" customWidth="1"/>
  </cols>
  <sheetData>
    <row r="1" spans="1:12" ht="14.45" x14ac:dyDescent="0.3">
      <c r="A1" s="62" t="s">
        <v>98</v>
      </c>
      <c r="B1" s="62" t="s">
        <v>272</v>
      </c>
      <c r="C1" s="62" t="s">
        <v>99</v>
      </c>
      <c r="D1" s="62" t="s">
        <v>100</v>
      </c>
      <c r="E1" s="62" t="s">
        <v>101</v>
      </c>
      <c r="F1" s="62" t="s">
        <v>102</v>
      </c>
      <c r="G1" s="62" t="s">
        <v>103</v>
      </c>
      <c r="H1" s="62" t="s">
        <v>104</v>
      </c>
      <c r="I1" s="62" t="s">
        <v>108</v>
      </c>
      <c r="J1" s="62" t="s">
        <v>105</v>
      </c>
      <c r="K1" s="62" t="s">
        <v>106</v>
      </c>
      <c r="L1" s="62" t="s">
        <v>107</v>
      </c>
    </row>
    <row r="2" spans="1:12" ht="14.45" x14ac:dyDescent="0.3">
      <c r="A2" t="s">
        <v>109</v>
      </c>
      <c r="B2" s="154" t="s">
        <v>273</v>
      </c>
      <c r="C2" t="s">
        <v>110</v>
      </c>
      <c r="D2" t="s">
        <v>111</v>
      </c>
      <c r="E2" t="s">
        <v>112</v>
      </c>
      <c r="F2" t="s">
        <v>271</v>
      </c>
      <c r="G2" t="s">
        <v>92</v>
      </c>
      <c r="H2" t="s">
        <v>113</v>
      </c>
      <c r="I2" t="s">
        <v>114</v>
      </c>
      <c r="J2">
        <v>2774</v>
      </c>
      <c r="K2" s="63">
        <v>40353</v>
      </c>
      <c r="L2">
        <v>506</v>
      </c>
    </row>
    <row r="3" spans="1:12" ht="14.45" hidden="1" x14ac:dyDescent="0.3">
      <c r="A3" t="s">
        <v>109</v>
      </c>
      <c r="C3" t="s">
        <v>115</v>
      </c>
      <c r="D3" t="s">
        <v>115</v>
      </c>
      <c r="E3" t="s">
        <v>116</v>
      </c>
      <c r="F3" t="s">
        <v>117</v>
      </c>
      <c r="G3" t="s">
        <v>93</v>
      </c>
      <c r="H3" t="s">
        <v>113</v>
      </c>
      <c r="I3" t="s">
        <v>118</v>
      </c>
      <c r="J3">
        <v>2400</v>
      </c>
      <c r="K3" s="63">
        <v>40271</v>
      </c>
      <c r="L3">
        <v>298</v>
      </c>
    </row>
    <row r="4" spans="1:12" ht="14.45" hidden="1" x14ac:dyDescent="0.3">
      <c r="A4" t="s">
        <v>109</v>
      </c>
      <c r="C4" t="s">
        <v>110</v>
      </c>
      <c r="D4" t="s">
        <v>111</v>
      </c>
      <c r="E4" t="s">
        <v>119</v>
      </c>
      <c r="F4" t="s">
        <v>119</v>
      </c>
      <c r="G4" t="s">
        <v>93</v>
      </c>
      <c r="H4" t="s">
        <v>113</v>
      </c>
      <c r="I4" t="s">
        <v>120</v>
      </c>
      <c r="J4">
        <v>5047</v>
      </c>
      <c r="K4" s="63">
        <v>40330</v>
      </c>
      <c r="L4">
        <v>1530</v>
      </c>
    </row>
    <row r="5" spans="1:12" ht="14.45" x14ac:dyDescent="0.3">
      <c r="A5" t="s">
        <v>109</v>
      </c>
      <c r="C5" t="s">
        <v>110</v>
      </c>
      <c r="D5" t="s">
        <v>111</v>
      </c>
      <c r="E5" t="s">
        <v>121</v>
      </c>
      <c r="F5" t="s">
        <v>122</v>
      </c>
      <c r="G5" t="s">
        <v>92</v>
      </c>
      <c r="H5" t="s">
        <v>113</v>
      </c>
      <c r="I5" t="s">
        <v>123</v>
      </c>
      <c r="J5">
        <v>3275</v>
      </c>
      <c r="K5" s="63">
        <v>40330</v>
      </c>
      <c r="L5">
        <v>890</v>
      </c>
    </row>
    <row r="6" spans="1:12" ht="14.45" hidden="1" x14ac:dyDescent="0.3">
      <c r="A6" t="s">
        <v>109</v>
      </c>
      <c r="C6" t="s">
        <v>124</v>
      </c>
      <c r="D6" t="s">
        <v>125</v>
      </c>
      <c r="E6" t="s">
        <v>126</v>
      </c>
      <c r="F6" t="s">
        <v>127</v>
      </c>
      <c r="G6" t="s">
        <v>93</v>
      </c>
      <c r="H6" t="s">
        <v>113</v>
      </c>
      <c r="I6" t="s">
        <v>128</v>
      </c>
      <c r="J6">
        <v>4981</v>
      </c>
      <c r="K6" s="63">
        <v>40325</v>
      </c>
      <c r="L6">
        <v>1256</v>
      </c>
    </row>
    <row r="7" spans="1:12" ht="14.45" x14ac:dyDescent="0.3">
      <c r="A7" t="s">
        <v>109</v>
      </c>
      <c r="C7" t="s">
        <v>129</v>
      </c>
      <c r="D7" t="s">
        <v>130</v>
      </c>
      <c r="E7" t="s">
        <v>126</v>
      </c>
      <c r="F7" t="s">
        <v>127</v>
      </c>
      <c r="G7" t="s">
        <v>92</v>
      </c>
      <c r="H7" t="s">
        <v>113</v>
      </c>
      <c r="I7" t="s">
        <v>131</v>
      </c>
      <c r="J7">
        <v>3543</v>
      </c>
      <c r="K7" s="63">
        <v>40339</v>
      </c>
      <c r="L7">
        <v>975</v>
      </c>
    </row>
    <row r="8" spans="1:12" ht="14.45" x14ac:dyDescent="0.3">
      <c r="A8" t="s">
        <v>109</v>
      </c>
      <c r="C8" t="s">
        <v>132</v>
      </c>
      <c r="D8" t="s">
        <v>132</v>
      </c>
      <c r="E8" t="s">
        <v>119</v>
      </c>
      <c r="F8" t="s">
        <v>119</v>
      </c>
      <c r="G8" t="s">
        <v>92</v>
      </c>
      <c r="H8" t="s">
        <v>113</v>
      </c>
      <c r="I8" t="s">
        <v>133</v>
      </c>
      <c r="J8">
        <v>3742</v>
      </c>
      <c r="K8" s="63">
        <v>40339</v>
      </c>
      <c r="L8">
        <v>1357</v>
      </c>
    </row>
    <row r="9" spans="1:12" ht="14.45" x14ac:dyDescent="0.3">
      <c r="A9" t="s">
        <v>134</v>
      </c>
      <c r="B9" s="154" t="s">
        <v>274</v>
      </c>
      <c r="C9" t="s">
        <v>135</v>
      </c>
      <c r="D9" t="s">
        <v>136</v>
      </c>
      <c r="E9" t="s">
        <v>121</v>
      </c>
      <c r="F9" t="s">
        <v>122</v>
      </c>
      <c r="G9" t="s">
        <v>92</v>
      </c>
      <c r="H9" t="s">
        <v>113</v>
      </c>
      <c r="I9" t="s">
        <v>137</v>
      </c>
      <c r="J9">
        <v>2785</v>
      </c>
      <c r="K9" s="63">
        <v>40235</v>
      </c>
      <c r="L9">
        <v>1006</v>
      </c>
    </row>
    <row r="10" spans="1:12" ht="14.45" hidden="1" x14ac:dyDescent="0.3">
      <c r="A10" t="s">
        <v>134</v>
      </c>
      <c r="C10" t="s">
        <v>138</v>
      </c>
      <c r="D10" t="s">
        <v>138</v>
      </c>
      <c r="E10" t="s">
        <v>139</v>
      </c>
      <c r="F10" t="s">
        <v>139</v>
      </c>
      <c r="G10" t="s">
        <v>94</v>
      </c>
      <c r="H10" t="s">
        <v>113</v>
      </c>
      <c r="I10" t="s">
        <v>140</v>
      </c>
      <c r="J10">
        <v>3471</v>
      </c>
      <c r="K10" s="63">
        <v>40087</v>
      </c>
      <c r="L10">
        <v>866</v>
      </c>
    </row>
    <row r="11" spans="1:12" ht="14.45" x14ac:dyDescent="0.3">
      <c r="A11" t="s">
        <v>134</v>
      </c>
      <c r="C11" t="s">
        <v>141</v>
      </c>
      <c r="D11" t="s">
        <v>141</v>
      </c>
      <c r="E11" t="s">
        <v>142</v>
      </c>
      <c r="F11" t="s">
        <v>143</v>
      </c>
      <c r="G11" t="s">
        <v>92</v>
      </c>
      <c r="H11" t="s">
        <v>113</v>
      </c>
      <c r="I11" t="s">
        <v>144</v>
      </c>
      <c r="J11">
        <v>1912</v>
      </c>
      <c r="K11" s="63">
        <v>40179</v>
      </c>
      <c r="L11">
        <v>213</v>
      </c>
    </row>
    <row r="12" spans="1:12" ht="14.45" hidden="1" x14ac:dyDescent="0.3">
      <c r="A12" t="s">
        <v>134</v>
      </c>
      <c r="C12" t="s">
        <v>145</v>
      </c>
      <c r="D12" t="s">
        <v>145</v>
      </c>
      <c r="E12" t="s">
        <v>146</v>
      </c>
      <c r="F12" t="s">
        <v>147</v>
      </c>
      <c r="G12" t="s">
        <v>94</v>
      </c>
      <c r="H12" t="s">
        <v>113</v>
      </c>
      <c r="I12" t="s">
        <v>140</v>
      </c>
      <c r="J12">
        <v>2993</v>
      </c>
      <c r="K12" s="63">
        <v>40087</v>
      </c>
      <c r="L12">
        <v>650</v>
      </c>
    </row>
    <row r="13" spans="1:12" ht="14.45" hidden="1" x14ac:dyDescent="0.3">
      <c r="A13" t="s">
        <v>134</v>
      </c>
      <c r="C13" t="s">
        <v>145</v>
      </c>
      <c r="D13" t="s">
        <v>145</v>
      </c>
      <c r="E13" t="s">
        <v>148</v>
      </c>
      <c r="F13" t="s">
        <v>148</v>
      </c>
      <c r="G13" t="s">
        <v>94</v>
      </c>
      <c r="H13" t="s">
        <v>113</v>
      </c>
      <c r="I13" t="s">
        <v>140</v>
      </c>
      <c r="J13">
        <v>2557</v>
      </c>
      <c r="K13" s="63">
        <v>40087</v>
      </c>
      <c r="L13">
        <v>417</v>
      </c>
    </row>
    <row r="14" spans="1:12" ht="14.45" x14ac:dyDescent="0.3">
      <c r="A14" t="s">
        <v>134</v>
      </c>
      <c r="C14" t="s">
        <v>141</v>
      </c>
      <c r="D14" t="s">
        <v>141</v>
      </c>
      <c r="E14" t="s">
        <v>149</v>
      </c>
      <c r="F14" t="s">
        <v>150</v>
      </c>
      <c r="G14" t="s">
        <v>92</v>
      </c>
      <c r="H14" t="s">
        <v>113</v>
      </c>
      <c r="I14" t="s">
        <v>151</v>
      </c>
      <c r="J14">
        <v>2848</v>
      </c>
      <c r="K14" s="63">
        <v>40179</v>
      </c>
      <c r="L14">
        <v>626</v>
      </c>
    </row>
    <row r="15" spans="1:12" ht="14.45" x14ac:dyDescent="0.3">
      <c r="A15" t="s">
        <v>134</v>
      </c>
      <c r="C15" t="s">
        <v>141</v>
      </c>
      <c r="D15" t="s">
        <v>141</v>
      </c>
      <c r="E15" t="s">
        <v>119</v>
      </c>
      <c r="F15" t="s">
        <v>152</v>
      </c>
      <c r="G15" t="s">
        <v>92</v>
      </c>
      <c r="H15" t="s">
        <v>113</v>
      </c>
      <c r="I15" t="s">
        <v>153</v>
      </c>
      <c r="J15">
        <v>4263</v>
      </c>
      <c r="K15" s="63">
        <v>40179</v>
      </c>
      <c r="L15">
        <v>1823</v>
      </c>
    </row>
    <row r="16" spans="1:12" ht="14.45" hidden="1" x14ac:dyDescent="0.3">
      <c r="A16" t="s">
        <v>154</v>
      </c>
      <c r="B16" s="154" t="s">
        <v>275</v>
      </c>
      <c r="C16" t="s">
        <v>155</v>
      </c>
      <c r="D16" t="s">
        <v>156</v>
      </c>
      <c r="E16" t="s">
        <v>121</v>
      </c>
      <c r="F16" t="s">
        <v>157</v>
      </c>
      <c r="G16" t="s">
        <v>95</v>
      </c>
      <c r="H16" t="s">
        <v>113</v>
      </c>
      <c r="I16" t="s">
        <v>158</v>
      </c>
      <c r="J16">
        <v>2851</v>
      </c>
      <c r="K16" s="63">
        <v>40360</v>
      </c>
      <c r="L16" s="52">
        <v>1295</v>
      </c>
    </row>
    <row r="17" spans="1:12" ht="14.45" hidden="1" x14ac:dyDescent="0.3">
      <c r="A17" t="s">
        <v>154</v>
      </c>
      <c r="C17" t="s">
        <v>138</v>
      </c>
      <c r="D17" t="s">
        <v>138</v>
      </c>
      <c r="E17" t="s">
        <v>159</v>
      </c>
      <c r="F17" t="s">
        <v>160</v>
      </c>
      <c r="G17" t="s">
        <v>94</v>
      </c>
      <c r="H17" t="s">
        <v>113</v>
      </c>
      <c r="I17" t="s">
        <v>140</v>
      </c>
      <c r="J17">
        <v>2748</v>
      </c>
      <c r="K17" s="63">
        <v>40087</v>
      </c>
      <c r="L17">
        <v>615</v>
      </c>
    </row>
    <row r="18" spans="1:12" ht="14.45" hidden="1" x14ac:dyDescent="0.3">
      <c r="A18" t="s">
        <v>154</v>
      </c>
      <c r="C18" t="s">
        <v>145</v>
      </c>
      <c r="D18" t="s">
        <v>145</v>
      </c>
      <c r="E18" t="s">
        <v>139</v>
      </c>
      <c r="F18" t="s">
        <v>139</v>
      </c>
      <c r="G18" t="s">
        <v>94</v>
      </c>
      <c r="H18" t="s">
        <v>113</v>
      </c>
      <c r="I18" t="s">
        <v>140</v>
      </c>
      <c r="J18">
        <v>3540</v>
      </c>
      <c r="K18" s="63">
        <v>40087</v>
      </c>
      <c r="L18">
        <v>872</v>
      </c>
    </row>
    <row r="19" spans="1:12" ht="14.45" hidden="1" x14ac:dyDescent="0.3">
      <c r="A19" t="s">
        <v>154</v>
      </c>
      <c r="C19" t="s">
        <v>145</v>
      </c>
      <c r="D19" t="s">
        <v>145</v>
      </c>
      <c r="E19" t="s">
        <v>159</v>
      </c>
      <c r="F19" t="s">
        <v>160</v>
      </c>
      <c r="G19" t="s">
        <v>94</v>
      </c>
      <c r="H19" t="s">
        <v>113</v>
      </c>
      <c r="I19" t="s">
        <v>140</v>
      </c>
      <c r="J19">
        <v>2443</v>
      </c>
      <c r="K19" s="63">
        <v>40087</v>
      </c>
      <c r="L19">
        <v>417</v>
      </c>
    </row>
    <row r="20" spans="1:12" ht="14.45" x14ac:dyDescent="0.3">
      <c r="A20" t="s">
        <v>154</v>
      </c>
      <c r="C20" t="s">
        <v>135</v>
      </c>
      <c r="D20" t="s">
        <v>136</v>
      </c>
      <c r="E20" t="s">
        <v>121</v>
      </c>
      <c r="F20" t="s">
        <v>122</v>
      </c>
      <c r="G20" t="s">
        <v>92</v>
      </c>
      <c r="H20" t="s">
        <v>113</v>
      </c>
      <c r="I20" t="s">
        <v>161</v>
      </c>
      <c r="J20">
        <v>3038</v>
      </c>
      <c r="K20" s="63">
        <v>40179</v>
      </c>
      <c r="L20">
        <v>1006</v>
      </c>
    </row>
    <row r="21" spans="1:12" ht="14.45" hidden="1" x14ac:dyDescent="0.3">
      <c r="A21" t="s">
        <v>109</v>
      </c>
      <c r="B21" s="154" t="s">
        <v>273</v>
      </c>
      <c r="C21" t="s">
        <v>162</v>
      </c>
      <c r="D21" t="s">
        <v>162</v>
      </c>
      <c r="E21" t="s">
        <v>163</v>
      </c>
      <c r="F21" t="s">
        <v>163</v>
      </c>
      <c r="G21" t="s">
        <v>93</v>
      </c>
      <c r="H21" t="s">
        <v>164</v>
      </c>
      <c r="I21" t="s">
        <v>165</v>
      </c>
      <c r="J21">
        <v>2770</v>
      </c>
      <c r="K21" s="63">
        <v>40330</v>
      </c>
      <c r="L21">
        <v>880</v>
      </c>
    </row>
    <row r="22" spans="1:12" ht="14.45" hidden="1" x14ac:dyDescent="0.3">
      <c r="A22" t="s">
        <v>109</v>
      </c>
      <c r="C22" t="s">
        <v>110</v>
      </c>
      <c r="D22" t="s">
        <v>111</v>
      </c>
      <c r="E22" t="s">
        <v>126</v>
      </c>
      <c r="F22" t="s">
        <v>166</v>
      </c>
      <c r="G22" t="s">
        <v>93</v>
      </c>
      <c r="H22" t="s">
        <v>164</v>
      </c>
      <c r="I22" t="s">
        <v>167</v>
      </c>
      <c r="J22">
        <v>2867</v>
      </c>
      <c r="K22" s="63">
        <v>40322</v>
      </c>
      <c r="L22">
        <v>685</v>
      </c>
    </row>
    <row r="23" spans="1:12" ht="14.45" hidden="1" x14ac:dyDescent="0.3">
      <c r="A23" t="s">
        <v>109</v>
      </c>
      <c r="C23" t="s">
        <v>168</v>
      </c>
      <c r="D23" t="s">
        <v>168</v>
      </c>
      <c r="E23" t="s">
        <v>169</v>
      </c>
      <c r="F23" t="s">
        <v>169</v>
      </c>
      <c r="G23" t="s">
        <v>94</v>
      </c>
      <c r="H23" t="s">
        <v>164</v>
      </c>
      <c r="I23" t="s">
        <v>140</v>
      </c>
      <c r="J23">
        <v>3811</v>
      </c>
      <c r="K23" s="63">
        <v>40087</v>
      </c>
      <c r="L23">
        <v>812</v>
      </c>
    </row>
    <row r="24" spans="1:12" ht="14.45" hidden="1" x14ac:dyDescent="0.3">
      <c r="A24" t="s">
        <v>109</v>
      </c>
      <c r="C24" t="s">
        <v>115</v>
      </c>
      <c r="D24" t="s">
        <v>170</v>
      </c>
      <c r="E24" t="s">
        <v>163</v>
      </c>
      <c r="F24" t="s">
        <v>163</v>
      </c>
      <c r="G24" t="s">
        <v>93</v>
      </c>
      <c r="H24" t="s">
        <v>164</v>
      </c>
      <c r="I24" t="s">
        <v>165</v>
      </c>
      <c r="J24">
        <v>4033</v>
      </c>
      <c r="K24" s="63">
        <v>40330</v>
      </c>
      <c r="L24">
        <v>1520</v>
      </c>
    </row>
    <row r="25" spans="1:12" ht="14.45" hidden="1" x14ac:dyDescent="0.3">
      <c r="A25" t="s">
        <v>109</v>
      </c>
      <c r="C25" t="s">
        <v>115</v>
      </c>
      <c r="D25" t="s">
        <v>170</v>
      </c>
      <c r="E25" t="s">
        <v>126</v>
      </c>
      <c r="F25" t="s">
        <v>127</v>
      </c>
      <c r="G25" t="s">
        <v>93</v>
      </c>
      <c r="H25" t="s">
        <v>164</v>
      </c>
      <c r="I25" t="s">
        <v>171</v>
      </c>
      <c r="J25">
        <v>4948</v>
      </c>
      <c r="K25" s="63">
        <v>40322</v>
      </c>
      <c r="L25">
        <v>1583</v>
      </c>
    </row>
    <row r="26" spans="1:12" ht="14.45" x14ac:dyDescent="0.3">
      <c r="A26" t="s">
        <v>109</v>
      </c>
      <c r="C26" t="s">
        <v>129</v>
      </c>
      <c r="D26" t="s">
        <v>130</v>
      </c>
      <c r="E26" t="s">
        <v>163</v>
      </c>
      <c r="F26" t="s">
        <v>163</v>
      </c>
      <c r="G26" t="s">
        <v>92</v>
      </c>
      <c r="H26" t="s">
        <v>164</v>
      </c>
      <c r="I26" t="s">
        <v>172</v>
      </c>
      <c r="J26">
        <v>4510</v>
      </c>
      <c r="K26" s="63">
        <v>40339</v>
      </c>
      <c r="L26">
        <v>1599</v>
      </c>
    </row>
    <row r="27" spans="1:12" ht="14.45" hidden="1" x14ac:dyDescent="0.3">
      <c r="A27" t="s">
        <v>134</v>
      </c>
      <c r="B27" s="154" t="s">
        <v>274</v>
      </c>
      <c r="C27" t="s">
        <v>155</v>
      </c>
      <c r="D27" t="s">
        <v>173</v>
      </c>
      <c r="E27" t="s">
        <v>163</v>
      </c>
      <c r="F27" t="s">
        <v>163</v>
      </c>
      <c r="G27" t="s">
        <v>93</v>
      </c>
      <c r="H27" t="s">
        <v>164</v>
      </c>
      <c r="I27" t="s">
        <v>174</v>
      </c>
      <c r="J27">
        <v>3920</v>
      </c>
      <c r="K27" s="63">
        <v>40346</v>
      </c>
      <c r="L27">
        <v>1851</v>
      </c>
    </row>
    <row r="28" spans="1:12" ht="14.45" hidden="1" x14ac:dyDescent="0.3">
      <c r="A28" t="s">
        <v>134</v>
      </c>
      <c r="C28" t="s">
        <v>124</v>
      </c>
      <c r="D28" t="s">
        <v>125</v>
      </c>
      <c r="E28" t="s">
        <v>175</v>
      </c>
      <c r="F28" t="s">
        <v>175</v>
      </c>
      <c r="G28" t="s">
        <v>93</v>
      </c>
      <c r="H28" t="s">
        <v>164</v>
      </c>
      <c r="I28" t="s">
        <v>174</v>
      </c>
      <c r="J28">
        <v>3920</v>
      </c>
      <c r="K28" s="63">
        <v>40346</v>
      </c>
      <c r="L28">
        <v>1695</v>
      </c>
    </row>
    <row r="29" spans="1:12" ht="14.45" x14ac:dyDescent="0.3">
      <c r="A29" t="s">
        <v>134</v>
      </c>
      <c r="C29" t="s">
        <v>135</v>
      </c>
      <c r="D29" t="s">
        <v>136</v>
      </c>
      <c r="E29" t="s">
        <v>121</v>
      </c>
      <c r="F29" t="s">
        <v>122</v>
      </c>
      <c r="G29" t="s">
        <v>92</v>
      </c>
      <c r="H29" t="s">
        <v>164</v>
      </c>
      <c r="I29" t="s">
        <v>137</v>
      </c>
      <c r="J29">
        <v>2677</v>
      </c>
      <c r="K29" s="63">
        <v>40235</v>
      </c>
      <c r="L29">
        <v>1006</v>
      </c>
    </row>
    <row r="30" spans="1:12" ht="14.45" hidden="1" x14ac:dyDescent="0.3">
      <c r="A30" t="s">
        <v>134</v>
      </c>
      <c r="C30" t="s">
        <v>176</v>
      </c>
      <c r="D30" t="s">
        <v>176</v>
      </c>
      <c r="E30" t="s">
        <v>126</v>
      </c>
      <c r="F30" t="s">
        <v>127</v>
      </c>
      <c r="G30" t="s">
        <v>93</v>
      </c>
      <c r="H30" t="s">
        <v>164</v>
      </c>
      <c r="I30" t="s">
        <v>174</v>
      </c>
      <c r="J30">
        <v>2800</v>
      </c>
      <c r="K30" s="63">
        <v>40346</v>
      </c>
      <c r="L30">
        <v>988</v>
      </c>
    </row>
    <row r="31" spans="1:12" ht="14.65" x14ac:dyDescent="0.35">
      <c r="A31" t="s">
        <v>134</v>
      </c>
      <c r="C31" t="s">
        <v>141</v>
      </c>
      <c r="D31" s="52" t="s">
        <v>177</v>
      </c>
      <c r="E31" t="s">
        <v>132</v>
      </c>
      <c r="F31" t="s">
        <v>132</v>
      </c>
      <c r="G31" t="s">
        <v>92</v>
      </c>
      <c r="H31" t="s">
        <v>164</v>
      </c>
      <c r="I31" s="52" t="s">
        <v>178</v>
      </c>
      <c r="J31" s="52">
        <v>3230</v>
      </c>
      <c r="K31" s="64">
        <v>40179</v>
      </c>
      <c r="L31" s="52">
        <v>787</v>
      </c>
    </row>
    <row r="32" spans="1:12" ht="14.65" hidden="1" x14ac:dyDescent="0.35">
      <c r="A32" t="s">
        <v>134</v>
      </c>
      <c r="C32" t="s">
        <v>155</v>
      </c>
      <c r="D32" t="s">
        <v>173</v>
      </c>
      <c r="E32" t="s">
        <v>175</v>
      </c>
      <c r="F32" t="s">
        <v>175</v>
      </c>
      <c r="G32" t="s">
        <v>93</v>
      </c>
      <c r="H32" t="s">
        <v>164</v>
      </c>
      <c r="I32" t="s">
        <v>174</v>
      </c>
      <c r="J32">
        <v>3920</v>
      </c>
      <c r="K32" s="63">
        <v>40346</v>
      </c>
      <c r="L32">
        <v>1836</v>
      </c>
    </row>
    <row r="33" spans="1:12" ht="14.45" hidden="1" x14ac:dyDescent="0.3">
      <c r="A33" t="s">
        <v>134</v>
      </c>
      <c r="C33" t="s">
        <v>179</v>
      </c>
      <c r="D33" t="s">
        <v>180</v>
      </c>
      <c r="E33" t="s">
        <v>181</v>
      </c>
      <c r="F33" t="s">
        <v>181</v>
      </c>
      <c r="G33" t="s">
        <v>93</v>
      </c>
      <c r="H33" t="s">
        <v>164</v>
      </c>
      <c r="I33" t="s">
        <v>174</v>
      </c>
      <c r="J33">
        <v>3400</v>
      </c>
      <c r="K33" s="63">
        <v>40346</v>
      </c>
      <c r="L33">
        <v>1899</v>
      </c>
    </row>
    <row r="34" spans="1:12" ht="14.45" hidden="1" x14ac:dyDescent="0.3">
      <c r="A34" t="s">
        <v>154</v>
      </c>
      <c r="B34" s="154" t="s">
        <v>275</v>
      </c>
      <c r="C34" t="s">
        <v>124</v>
      </c>
      <c r="D34" s="52" t="s">
        <v>125</v>
      </c>
      <c r="E34" t="s">
        <v>175</v>
      </c>
      <c r="F34" t="s">
        <v>175</v>
      </c>
      <c r="G34" t="s">
        <v>93</v>
      </c>
      <c r="H34" t="s">
        <v>164</v>
      </c>
      <c r="I34" t="s">
        <v>182</v>
      </c>
      <c r="J34" s="52">
        <v>4220</v>
      </c>
      <c r="K34" s="64">
        <v>40299</v>
      </c>
      <c r="L34" s="52">
        <v>1695</v>
      </c>
    </row>
    <row r="35" spans="1:12" ht="14.45" hidden="1" x14ac:dyDescent="0.3">
      <c r="A35" t="s">
        <v>154</v>
      </c>
      <c r="C35" t="s">
        <v>155</v>
      </c>
      <c r="D35" t="s">
        <v>173</v>
      </c>
      <c r="E35" t="s">
        <v>163</v>
      </c>
      <c r="F35" t="s">
        <v>163</v>
      </c>
      <c r="G35" t="s">
        <v>93</v>
      </c>
      <c r="H35" t="s">
        <v>164</v>
      </c>
      <c r="I35" t="s">
        <v>182</v>
      </c>
      <c r="J35">
        <v>4170</v>
      </c>
      <c r="K35" s="63">
        <v>40299</v>
      </c>
      <c r="L35">
        <v>1851</v>
      </c>
    </row>
    <row r="36" spans="1:12" ht="14.45" hidden="1" x14ac:dyDescent="0.3">
      <c r="A36" t="s">
        <v>154</v>
      </c>
      <c r="C36" t="s">
        <v>183</v>
      </c>
      <c r="D36" t="s">
        <v>184</v>
      </c>
      <c r="E36" t="s">
        <v>175</v>
      </c>
      <c r="F36" t="s">
        <v>175</v>
      </c>
      <c r="G36" t="s">
        <v>93</v>
      </c>
      <c r="H36" t="s">
        <v>164</v>
      </c>
      <c r="I36" t="s">
        <v>182</v>
      </c>
      <c r="J36">
        <v>4170</v>
      </c>
      <c r="K36" s="63">
        <v>40299</v>
      </c>
      <c r="L36">
        <v>1507</v>
      </c>
    </row>
    <row r="37" spans="1:12" ht="14.45" x14ac:dyDescent="0.3">
      <c r="A37" t="s">
        <v>154</v>
      </c>
      <c r="C37" t="s">
        <v>179</v>
      </c>
      <c r="D37" t="s">
        <v>179</v>
      </c>
      <c r="E37" t="s">
        <v>121</v>
      </c>
      <c r="F37" t="s">
        <v>122</v>
      </c>
      <c r="G37" t="s">
        <v>92</v>
      </c>
      <c r="H37" t="s">
        <v>164</v>
      </c>
      <c r="I37" t="s">
        <v>161</v>
      </c>
      <c r="J37">
        <v>3410</v>
      </c>
      <c r="K37" s="63">
        <v>40179</v>
      </c>
      <c r="L37">
        <v>1160</v>
      </c>
    </row>
    <row r="38" spans="1:12" ht="14.45" hidden="1" x14ac:dyDescent="0.3">
      <c r="A38" t="s">
        <v>154</v>
      </c>
      <c r="C38" t="s">
        <v>138</v>
      </c>
      <c r="D38" t="s">
        <v>138</v>
      </c>
      <c r="E38" t="s">
        <v>159</v>
      </c>
      <c r="F38" t="s">
        <v>160</v>
      </c>
      <c r="G38" t="s">
        <v>94</v>
      </c>
      <c r="H38" t="s">
        <v>164</v>
      </c>
      <c r="I38" t="s">
        <v>140</v>
      </c>
      <c r="J38">
        <v>2366</v>
      </c>
      <c r="K38" s="63">
        <v>40087</v>
      </c>
      <c r="L38">
        <v>615</v>
      </c>
    </row>
    <row r="39" spans="1:12" ht="14.45" x14ac:dyDescent="0.3">
      <c r="A39" t="s">
        <v>154</v>
      </c>
      <c r="C39" t="s">
        <v>185</v>
      </c>
      <c r="D39" t="s">
        <v>185</v>
      </c>
      <c r="E39" t="s">
        <v>163</v>
      </c>
      <c r="F39" t="s">
        <v>163</v>
      </c>
      <c r="G39" t="s">
        <v>92</v>
      </c>
      <c r="H39" t="s">
        <v>164</v>
      </c>
      <c r="I39" t="s">
        <v>186</v>
      </c>
      <c r="J39">
        <v>4320</v>
      </c>
      <c r="K39" s="63">
        <v>40148</v>
      </c>
      <c r="L39">
        <v>1637</v>
      </c>
    </row>
  </sheetData>
  <autoFilter ref="A1:L39">
    <filterColumn colId="6">
      <filters>
        <filter val="UP"/>
      </filters>
    </filterColumn>
  </autoFilter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C303"/>
  <sheetViews>
    <sheetView zoomScaleNormal="100" workbookViewId="0">
      <selection activeCell="AA26" sqref="AA26"/>
    </sheetView>
  </sheetViews>
  <sheetFormatPr defaultRowHeight="15" x14ac:dyDescent="0.25"/>
  <cols>
    <col min="1" max="1" width="16.140625" customWidth="1"/>
    <col min="2" max="2" width="3.28515625" customWidth="1"/>
    <col min="3" max="3" width="9.140625" bestFit="1" customWidth="1"/>
    <col min="6" max="6" width="9.140625" bestFit="1" customWidth="1"/>
    <col min="11" max="11" width="15.7109375" customWidth="1"/>
    <col min="12" max="12" width="3.7109375" customWidth="1"/>
    <col min="13" max="13" width="9.140625" bestFit="1" customWidth="1"/>
    <col min="15" max="15" width="9.5703125" bestFit="1" customWidth="1"/>
    <col min="16" max="16" width="9.140625" bestFit="1" customWidth="1"/>
    <col min="23" max="23" width="9.5703125" bestFit="1" customWidth="1"/>
  </cols>
  <sheetData>
    <row r="2" spans="1:29" ht="14.45" x14ac:dyDescent="0.3">
      <c r="A2" t="s">
        <v>188</v>
      </c>
      <c r="K2" t="s">
        <v>188</v>
      </c>
      <c r="U2" t="s">
        <v>242</v>
      </c>
    </row>
    <row r="3" spans="1:29" ht="14.45" x14ac:dyDescent="0.3">
      <c r="A3" s="62" t="s">
        <v>155</v>
      </c>
      <c r="B3" s="62" t="s">
        <v>189</v>
      </c>
      <c r="C3" s="62" t="s">
        <v>112</v>
      </c>
      <c r="D3" s="62"/>
      <c r="K3" s="62" t="s">
        <v>155</v>
      </c>
      <c r="L3" s="62" t="s">
        <v>189</v>
      </c>
      <c r="M3" s="62" t="s">
        <v>112</v>
      </c>
      <c r="N3" s="62"/>
      <c r="U3" s="62" t="s">
        <v>296</v>
      </c>
    </row>
    <row r="5" spans="1:29" ht="14.45" x14ac:dyDescent="0.3">
      <c r="A5" s="81" t="s">
        <v>134</v>
      </c>
      <c r="K5" s="81" t="s">
        <v>154</v>
      </c>
      <c r="U5" s="81" t="s">
        <v>300</v>
      </c>
    </row>
    <row r="6" spans="1:29" ht="14.45" x14ac:dyDescent="0.3">
      <c r="A6" t="s">
        <v>250</v>
      </c>
      <c r="E6" t="s">
        <v>229</v>
      </c>
      <c r="F6" s="70">
        <f>111/1.10231</f>
        <v>100.69762589471202</v>
      </c>
      <c r="G6" t="s">
        <v>228</v>
      </c>
      <c r="K6" t="s">
        <v>250</v>
      </c>
      <c r="O6" t="s">
        <v>229</v>
      </c>
      <c r="P6" s="70">
        <f>111/1.10231</f>
        <v>100.69762589471202</v>
      </c>
      <c r="Q6" t="s">
        <v>228</v>
      </c>
      <c r="U6" t="s">
        <v>250</v>
      </c>
    </row>
    <row r="7" spans="1:29" ht="14.45" x14ac:dyDescent="0.3">
      <c r="A7" t="s">
        <v>191</v>
      </c>
      <c r="K7" t="s">
        <v>191</v>
      </c>
      <c r="U7" t="s">
        <v>191</v>
      </c>
    </row>
    <row r="8" spans="1:29" ht="14.45" x14ac:dyDescent="0.3">
      <c r="A8" t="s">
        <v>192</v>
      </c>
      <c r="C8">
        <v>601</v>
      </c>
      <c r="K8" t="s">
        <v>192</v>
      </c>
      <c r="M8">
        <v>601</v>
      </c>
      <c r="U8" t="s">
        <v>192</v>
      </c>
      <c r="W8" s="72">
        <v>681.57894736842104</v>
      </c>
    </row>
    <row r="9" spans="1:29" ht="14.45" x14ac:dyDescent="0.3">
      <c r="D9" t="s">
        <v>195</v>
      </c>
      <c r="E9" t="s">
        <v>195</v>
      </c>
      <c r="F9" t="s">
        <v>219</v>
      </c>
      <c r="H9" t="s">
        <v>230</v>
      </c>
      <c r="N9" t="s">
        <v>195</v>
      </c>
      <c r="O9" t="s">
        <v>195</v>
      </c>
      <c r="P9" t="s">
        <v>219</v>
      </c>
      <c r="R9" t="s">
        <v>230</v>
      </c>
      <c r="X9" t="s">
        <v>195</v>
      </c>
      <c r="Y9" t="s">
        <v>195</v>
      </c>
      <c r="Z9" t="s">
        <v>219</v>
      </c>
      <c r="AB9" t="s">
        <v>230</v>
      </c>
    </row>
    <row r="10" spans="1:29" thickBot="1" x14ac:dyDescent="0.35">
      <c r="A10" s="66" t="s">
        <v>193</v>
      </c>
      <c r="B10" s="66"/>
      <c r="C10" s="66" t="s">
        <v>194</v>
      </c>
      <c r="D10" s="66" t="s">
        <v>196</v>
      </c>
      <c r="E10" s="66" t="s">
        <v>218</v>
      </c>
      <c r="F10" s="66" t="s">
        <v>195</v>
      </c>
      <c r="H10" s="66" t="s">
        <v>231</v>
      </c>
      <c r="I10" s="66" t="s">
        <v>227</v>
      </c>
      <c r="K10" s="66" t="s">
        <v>193</v>
      </c>
      <c r="L10" s="66"/>
      <c r="M10" s="66" t="s">
        <v>194</v>
      </c>
      <c r="N10" s="66" t="s">
        <v>196</v>
      </c>
      <c r="O10" s="66" t="s">
        <v>218</v>
      </c>
      <c r="P10" s="66" t="s">
        <v>195</v>
      </c>
      <c r="R10" s="66" t="s">
        <v>231</v>
      </c>
      <c r="S10" s="66" t="s">
        <v>227</v>
      </c>
      <c r="U10" s="66" t="s">
        <v>193</v>
      </c>
      <c r="V10" s="66"/>
      <c r="W10" s="66" t="s">
        <v>194</v>
      </c>
      <c r="X10" s="66" t="s">
        <v>196</v>
      </c>
      <c r="Y10" s="66" t="s">
        <v>218</v>
      </c>
      <c r="Z10" s="66" t="s">
        <v>195</v>
      </c>
      <c r="AB10" s="66" t="s">
        <v>231</v>
      </c>
      <c r="AC10" s="66" t="s">
        <v>227</v>
      </c>
    </row>
    <row r="11" spans="1:29" ht="14.45" x14ac:dyDescent="0.3">
      <c r="A11" s="67" t="s">
        <v>292</v>
      </c>
      <c r="C11" s="68">
        <v>4308</v>
      </c>
      <c r="D11" s="65">
        <v>0.34</v>
      </c>
      <c r="E11">
        <f>D11*$C$8</f>
        <v>204.34</v>
      </c>
      <c r="F11" s="69">
        <f>C11+E11</f>
        <v>4512.34</v>
      </c>
      <c r="K11" s="67" t="s">
        <v>292</v>
      </c>
      <c r="M11" s="68">
        <v>3570</v>
      </c>
      <c r="N11" s="65">
        <v>0.34</v>
      </c>
      <c r="O11">
        <f>N11*$C$8</f>
        <v>204.34</v>
      </c>
      <c r="P11" s="69">
        <f>M11+O11</f>
        <v>3774.34</v>
      </c>
      <c r="U11" s="67" t="s">
        <v>292</v>
      </c>
      <c r="W11" s="68">
        <v>4452</v>
      </c>
      <c r="X11" s="65">
        <v>0.35</v>
      </c>
      <c r="Y11" s="72">
        <f t="shared" ref="Y11:Y16" si="0">$W$8*X11</f>
        <v>238.55263157894734</v>
      </c>
      <c r="Z11" s="69">
        <f>W11+Y11</f>
        <v>4690.5526315789475</v>
      </c>
    </row>
    <row r="12" spans="1:29" ht="14.45" x14ac:dyDescent="0.3">
      <c r="A12" s="67" t="s">
        <v>293</v>
      </c>
      <c r="C12" s="68">
        <v>4308</v>
      </c>
      <c r="D12" s="65">
        <v>0.35</v>
      </c>
      <c r="E12">
        <f t="shared" ref="E12:E14" si="1">D12*$C$8</f>
        <v>210.35</v>
      </c>
      <c r="F12" s="69">
        <f t="shared" ref="F12:F14" si="2">C12+E12</f>
        <v>4518.3500000000004</v>
      </c>
      <c r="K12" s="67" t="s">
        <v>293</v>
      </c>
      <c r="M12" s="68">
        <v>3570</v>
      </c>
      <c r="N12" s="65">
        <v>0.35</v>
      </c>
      <c r="O12">
        <f t="shared" ref="O12:O14" si="3">N12*$C$8</f>
        <v>210.35</v>
      </c>
      <c r="P12" s="69">
        <f t="shared" ref="P12:P14" si="4">M12+O12</f>
        <v>3780.35</v>
      </c>
      <c r="U12" s="67" t="s">
        <v>293</v>
      </c>
      <c r="W12" s="68">
        <v>4452</v>
      </c>
      <c r="X12" s="65">
        <v>0.36</v>
      </c>
      <c r="Y12" s="72">
        <f t="shared" si="0"/>
        <v>245.36842105263156</v>
      </c>
      <c r="Z12" s="69">
        <f t="shared" ref="Z12:Z14" si="5">W12+Y12</f>
        <v>4697.3684210526317</v>
      </c>
    </row>
    <row r="13" spans="1:29" ht="14.45" x14ac:dyDescent="0.3">
      <c r="A13" s="67" t="s">
        <v>294</v>
      </c>
      <c r="C13" s="68">
        <v>4308</v>
      </c>
      <c r="D13" s="65">
        <v>0.35</v>
      </c>
      <c r="E13">
        <f t="shared" si="1"/>
        <v>210.35</v>
      </c>
      <c r="F13" s="69">
        <f t="shared" si="2"/>
        <v>4518.3500000000004</v>
      </c>
      <c r="G13" t="s">
        <v>299</v>
      </c>
      <c r="H13" s="69">
        <f>AVERAGE(F11:F13)</f>
        <v>4516.3466666666673</v>
      </c>
      <c r="I13" s="70">
        <f>H13/$F$6</f>
        <v>44.850577424624632</v>
      </c>
      <c r="K13" s="67" t="s">
        <v>294</v>
      </c>
      <c r="M13" s="68">
        <v>3570</v>
      </c>
      <c r="N13" s="65">
        <v>0.35</v>
      </c>
      <c r="O13">
        <f t="shared" si="3"/>
        <v>210.35</v>
      </c>
      <c r="P13" s="69">
        <f t="shared" si="4"/>
        <v>3780.35</v>
      </c>
      <c r="Q13" t="s">
        <v>299</v>
      </c>
      <c r="R13" s="69">
        <f>AVERAGE(P11:P13)</f>
        <v>3778.3466666666668</v>
      </c>
      <c r="S13" s="70">
        <f>R13/$F$6</f>
        <v>37.521705532732732</v>
      </c>
      <c r="U13" s="67" t="s">
        <v>294</v>
      </c>
      <c r="W13" s="68">
        <v>4452</v>
      </c>
      <c r="X13" s="65">
        <v>0.36</v>
      </c>
      <c r="Y13" s="72">
        <f t="shared" si="0"/>
        <v>245.36842105263156</v>
      </c>
      <c r="Z13" s="69">
        <f t="shared" si="5"/>
        <v>4697.3684210526317</v>
      </c>
      <c r="AA13" t="s">
        <v>299</v>
      </c>
      <c r="AB13" s="69">
        <f>AVERAGE(Z11:Z13)</f>
        <v>4695.0964912280706</v>
      </c>
      <c r="AC13" s="70">
        <f>AB13/$F$6</f>
        <v>46.625692011221751</v>
      </c>
    </row>
    <row r="14" spans="1:29" ht="14.45" x14ac:dyDescent="0.3">
      <c r="A14" s="67" t="s">
        <v>295</v>
      </c>
      <c r="C14" s="68">
        <v>4308</v>
      </c>
      <c r="D14">
        <v>0.38</v>
      </c>
      <c r="E14">
        <f t="shared" si="1"/>
        <v>228.38</v>
      </c>
      <c r="F14" s="69">
        <f t="shared" si="2"/>
        <v>4536.38</v>
      </c>
      <c r="K14" s="67" t="s">
        <v>295</v>
      </c>
      <c r="M14" s="68">
        <v>3570</v>
      </c>
      <c r="N14">
        <v>0.38</v>
      </c>
      <c r="O14">
        <f t="shared" si="3"/>
        <v>228.38</v>
      </c>
      <c r="P14" s="69">
        <f t="shared" si="4"/>
        <v>3798.38</v>
      </c>
      <c r="U14" s="67" t="s">
        <v>295</v>
      </c>
      <c r="W14" s="68">
        <v>4452</v>
      </c>
      <c r="X14">
        <v>0.38</v>
      </c>
      <c r="Y14" s="72">
        <f t="shared" si="0"/>
        <v>259</v>
      </c>
      <c r="Z14" s="69">
        <f t="shared" si="5"/>
        <v>4711</v>
      </c>
    </row>
    <row r="15" spans="1:29" ht="14.45" x14ac:dyDescent="0.3">
      <c r="A15" s="67" t="s">
        <v>301</v>
      </c>
      <c r="C15" s="68">
        <v>4308</v>
      </c>
      <c r="D15">
        <v>0.38</v>
      </c>
      <c r="E15">
        <f t="shared" ref="E15" si="6">D15*$C$8</f>
        <v>228.38</v>
      </c>
      <c r="F15" s="69">
        <f t="shared" ref="F15" si="7">C15+E15</f>
        <v>4536.38</v>
      </c>
      <c r="K15" s="67" t="s">
        <v>301</v>
      </c>
      <c r="M15" s="68">
        <v>3570</v>
      </c>
      <c r="N15">
        <v>0.38</v>
      </c>
      <c r="O15">
        <f t="shared" ref="O15" si="8">N15*$C$8</f>
        <v>228.38</v>
      </c>
      <c r="P15" s="69">
        <f t="shared" ref="P15" si="9">M15+O15</f>
        <v>3798.38</v>
      </c>
      <c r="U15" s="67" t="s">
        <v>301</v>
      </c>
      <c r="W15" s="68">
        <v>4452</v>
      </c>
      <c r="X15">
        <v>0.39</v>
      </c>
      <c r="Y15" s="72">
        <f t="shared" si="0"/>
        <v>265.81578947368422</v>
      </c>
      <c r="Z15" s="69">
        <f t="shared" ref="Z15" si="10">W15+Y15</f>
        <v>4717.8157894736842</v>
      </c>
    </row>
    <row r="16" spans="1:29" x14ac:dyDescent="0.25">
      <c r="A16" s="67" t="s">
        <v>302</v>
      </c>
      <c r="C16" s="68">
        <v>4308</v>
      </c>
      <c r="D16">
        <v>0.37</v>
      </c>
      <c r="E16">
        <f t="shared" ref="E16" si="11">D16*$C$8</f>
        <v>222.37</v>
      </c>
      <c r="F16" s="69">
        <f t="shared" ref="F16" si="12">C16+E16</f>
        <v>4530.37</v>
      </c>
      <c r="G16" t="s">
        <v>303</v>
      </c>
      <c r="H16" s="69">
        <f>AVERAGE(F14:F16)</f>
        <v>4534.376666666667</v>
      </c>
      <c r="I16" s="70">
        <f>H16/$F$6</f>
        <v>45.029628319219221</v>
      </c>
      <c r="K16" s="67" t="s">
        <v>302</v>
      </c>
      <c r="M16" s="68">
        <v>3570</v>
      </c>
      <c r="N16">
        <v>0.37</v>
      </c>
      <c r="O16">
        <f t="shared" ref="O16" si="13">N16*$C$8</f>
        <v>222.37</v>
      </c>
      <c r="P16" s="69">
        <f t="shared" ref="P16" si="14">M16+O16</f>
        <v>3792.37</v>
      </c>
      <c r="Q16" t="s">
        <v>303</v>
      </c>
      <c r="R16" s="69">
        <f>AVERAGE(P14:P16)</f>
        <v>3796.376666666667</v>
      </c>
      <c r="S16" s="70">
        <f>R16/$F$6</f>
        <v>37.700756427327327</v>
      </c>
      <c r="U16" s="67" t="s">
        <v>302</v>
      </c>
      <c r="W16" s="68">
        <v>4452</v>
      </c>
      <c r="X16">
        <v>0.38</v>
      </c>
      <c r="Y16" s="72">
        <f t="shared" si="0"/>
        <v>259</v>
      </c>
      <c r="Z16" s="69">
        <f t="shared" ref="Z16" si="15">W16+Y16</f>
        <v>4711</v>
      </c>
      <c r="AA16" t="s">
        <v>303</v>
      </c>
      <c r="AB16" s="69">
        <f>AVERAGE(Z14:Z16)</f>
        <v>4713.2719298245611</v>
      </c>
      <c r="AC16" s="70">
        <f>AB16/$F$6</f>
        <v>46.806187215900103</v>
      </c>
    </row>
    <row r="17" spans="1:29" x14ac:dyDescent="0.25">
      <c r="A17" s="67" t="s">
        <v>304</v>
      </c>
      <c r="C17" s="68">
        <v>4308</v>
      </c>
      <c r="D17" s="65">
        <v>0.37</v>
      </c>
      <c r="E17">
        <f t="shared" ref="E17:E18" si="16">D17*$C$8</f>
        <v>222.37</v>
      </c>
      <c r="F17" s="69">
        <f t="shared" ref="F17:F18" si="17">C17+E17</f>
        <v>4530.37</v>
      </c>
      <c r="K17" s="67" t="s">
        <v>304</v>
      </c>
      <c r="M17" s="68">
        <v>3570</v>
      </c>
      <c r="N17" s="65">
        <v>0.37</v>
      </c>
      <c r="O17">
        <f t="shared" ref="O17:O18" si="18">N17*$C$8</f>
        <v>222.37</v>
      </c>
      <c r="P17" s="69">
        <f t="shared" ref="P17:P18" si="19">M17+O17</f>
        <v>3792.37</v>
      </c>
      <c r="U17" s="67" t="s">
        <v>304</v>
      </c>
      <c r="W17" s="68">
        <v>4452</v>
      </c>
      <c r="X17" s="65">
        <v>0.37</v>
      </c>
      <c r="Y17" s="72">
        <f t="shared" ref="Y17:Y18" si="20">$W$8*X17</f>
        <v>252.18421052631578</v>
      </c>
      <c r="Z17" s="69">
        <f t="shared" ref="Z17:Z18" si="21">W17+Y17</f>
        <v>4704.1842105263158</v>
      </c>
    </row>
    <row r="18" spans="1:29" x14ac:dyDescent="0.25">
      <c r="A18" s="67" t="s">
        <v>305</v>
      </c>
      <c r="C18" s="68">
        <v>4308</v>
      </c>
      <c r="D18" s="65">
        <v>0.36</v>
      </c>
      <c r="E18">
        <f t="shared" si="16"/>
        <v>216.35999999999999</v>
      </c>
      <c r="F18" s="69">
        <f t="shared" si="17"/>
        <v>4524.3599999999997</v>
      </c>
      <c r="K18" s="67" t="s">
        <v>305</v>
      </c>
      <c r="M18" s="68">
        <v>3570</v>
      </c>
      <c r="N18" s="65">
        <v>0.36</v>
      </c>
      <c r="O18">
        <f t="shared" si="18"/>
        <v>216.35999999999999</v>
      </c>
      <c r="P18" s="69">
        <f t="shared" si="19"/>
        <v>3786.36</v>
      </c>
      <c r="U18" s="67" t="s">
        <v>305</v>
      </c>
      <c r="W18" s="68">
        <v>4452</v>
      </c>
      <c r="X18" s="65">
        <v>0.37</v>
      </c>
      <c r="Y18" s="72">
        <f t="shared" si="20"/>
        <v>252.18421052631578</v>
      </c>
      <c r="Z18" s="69">
        <f t="shared" si="21"/>
        <v>4704.1842105263158</v>
      </c>
    </row>
    <row r="19" spans="1:29" x14ac:dyDescent="0.25">
      <c r="A19" s="67" t="s">
        <v>306</v>
      </c>
      <c r="C19" s="68">
        <v>4308</v>
      </c>
      <c r="D19" s="65">
        <v>0.35</v>
      </c>
      <c r="E19">
        <f t="shared" ref="E19:E20" si="22">D19*$C$8</f>
        <v>210.35</v>
      </c>
      <c r="F19" s="69">
        <f t="shared" ref="F19:F20" si="23">C19+E19</f>
        <v>4518.3500000000004</v>
      </c>
      <c r="G19" t="s">
        <v>308</v>
      </c>
      <c r="H19" s="69">
        <f>AVERAGE(F17:F19)</f>
        <v>4524.3599999999997</v>
      </c>
      <c r="I19" s="70">
        <f>H19/$F$30</f>
        <v>44.930155599999992</v>
      </c>
      <c r="K19" s="67" t="s">
        <v>306</v>
      </c>
      <c r="M19" s="68">
        <v>3570</v>
      </c>
      <c r="N19" s="65">
        <v>0.35</v>
      </c>
      <c r="O19">
        <f t="shared" ref="O19:O20" si="24">N19*$C$8</f>
        <v>210.35</v>
      </c>
      <c r="P19" s="69">
        <f t="shared" ref="P19:P20" si="25">M19+O19</f>
        <v>3780.35</v>
      </c>
      <c r="Q19" t="s">
        <v>308</v>
      </c>
      <c r="R19" s="69">
        <f>AVERAGE(P17:P19)</f>
        <v>3786.36</v>
      </c>
      <c r="S19" s="70">
        <f>R19/$F$30</f>
        <v>37.601283708108106</v>
      </c>
      <c r="U19" s="67" t="s">
        <v>306</v>
      </c>
      <c r="W19" s="68">
        <v>4452</v>
      </c>
      <c r="X19" s="65">
        <v>0.36</v>
      </c>
      <c r="Y19" s="72">
        <f t="shared" ref="Y19:Y20" si="26">$W$8*X19</f>
        <v>245.36842105263156</v>
      </c>
      <c r="Z19" s="69">
        <f t="shared" ref="Z19:Z20" si="27">W19+Y19</f>
        <v>4697.3684210526317</v>
      </c>
      <c r="AA19" t="s">
        <v>308</v>
      </c>
      <c r="AB19" s="69">
        <f>AVERAGE(Z17:Z19)</f>
        <v>4701.9122807017548</v>
      </c>
      <c r="AC19" s="70">
        <f>AB19/$F$6</f>
        <v>46.693377712976137</v>
      </c>
    </row>
    <row r="20" spans="1:29" x14ac:dyDescent="0.25">
      <c r="A20" s="67" t="s">
        <v>307</v>
      </c>
      <c r="C20" s="68">
        <v>4308</v>
      </c>
      <c r="D20" s="65">
        <v>0.34</v>
      </c>
      <c r="E20">
        <f t="shared" si="22"/>
        <v>204.34</v>
      </c>
      <c r="F20" s="69">
        <f t="shared" si="23"/>
        <v>4512.34</v>
      </c>
      <c r="K20" s="67" t="s">
        <v>307</v>
      </c>
      <c r="M20" s="68">
        <v>3570</v>
      </c>
      <c r="N20" s="65">
        <v>0.34</v>
      </c>
      <c r="O20">
        <f t="shared" si="24"/>
        <v>204.34</v>
      </c>
      <c r="P20" s="69">
        <f t="shared" si="25"/>
        <v>3774.34</v>
      </c>
      <c r="U20" s="67" t="s">
        <v>307</v>
      </c>
      <c r="W20" s="68">
        <v>4602</v>
      </c>
      <c r="X20" s="65">
        <v>0.35</v>
      </c>
      <c r="Y20" s="72">
        <f t="shared" si="26"/>
        <v>238.55263157894734</v>
      </c>
      <c r="Z20" s="69">
        <f t="shared" si="27"/>
        <v>4840.5526315789475</v>
      </c>
    </row>
    <row r="26" spans="1:29" ht="14.45" x14ac:dyDescent="0.3">
      <c r="A26" t="s">
        <v>188</v>
      </c>
      <c r="K26" t="s">
        <v>188</v>
      </c>
      <c r="U26" t="s">
        <v>242</v>
      </c>
    </row>
    <row r="27" spans="1:29" ht="14.45" x14ac:dyDescent="0.3">
      <c r="A27" s="62" t="s">
        <v>142</v>
      </c>
      <c r="B27" s="62" t="s">
        <v>189</v>
      </c>
      <c r="C27" s="62" t="s">
        <v>112</v>
      </c>
      <c r="D27" s="62"/>
      <c r="K27" s="62" t="s">
        <v>142</v>
      </c>
      <c r="L27" s="62" t="s">
        <v>189</v>
      </c>
      <c r="M27" s="62" t="s">
        <v>112</v>
      </c>
      <c r="N27" s="62"/>
      <c r="U27" s="62" t="s">
        <v>297</v>
      </c>
    </row>
    <row r="28" spans="1:29" ht="14.45" x14ac:dyDescent="0.3">
      <c r="U28" t="s">
        <v>298</v>
      </c>
    </row>
    <row r="29" spans="1:29" ht="14.45" x14ac:dyDescent="0.3">
      <c r="A29" s="81" t="s">
        <v>134</v>
      </c>
      <c r="K29" s="81" t="s">
        <v>154</v>
      </c>
      <c r="U29" s="81" t="s">
        <v>300</v>
      </c>
    </row>
    <row r="30" spans="1:29" x14ac:dyDescent="0.25">
      <c r="A30" t="s">
        <v>250</v>
      </c>
      <c r="E30" t="s">
        <v>229</v>
      </c>
      <c r="F30" s="70">
        <f>111/1.10231</f>
        <v>100.69762589471202</v>
      </c>
      <c r="G30" t="s">
        <v>228</v>
      </c>
      <c r="K30" t="s">
        <v>250</v>
      </c>
      <c r="O30" t="s">
        <v>229</v>
      </c>
      <c r="P30" s="70">
        <f>111/1.10231</f>
        <v>100.69762589471202</v>
      </c>
      <c r="Q30" t="s">
        <v>228</v>
      </c>
      <c r="U30" t="s">
        <v>250</v>
      </c>
    </row>
    <row r="31" spans="1:29" x14ac:dyDescent="0.25">
      <c r="A31" t="s">
        <v>191</v>
      </c>
      <c r="K31" t="s">
        <v>191</v>
      </c>
      <c r="U31" t="s">
        <v>191</v>
      </c>
    </row>
    <row r="32" spans="1:29" x14ac:dyDescent="0.25">
      <c r="A32" t="s">
        <v>192</v>
      </c>
      <c r="C32">
        <v>265</v>
      </c>
      <c r="K32" t="s">
        <v>192</v>
      </c>
      <c r="M32">
        <v>265</v>
      </c>
      <c r="U32" t="s">
        <v>192</v>
      </c>
      <c r="W32" s="72">
        <v>276.31578947368422</v>
      </c>
    </row>
    <row r="33" spans="1:29" x14ac:dyDescent="0.25">
      <c r="D33" t="s">
        <v>195</v>
      </c>
      <c r="E33" t="s">
        <v>195</v>
      </c>
      <c r="F33" t="s">
        <v>219</v>
      </c>
      <c r="H33" t="s">
        <v>230</v>
      </c>
      <c r="N33" t="s">
        <v>195</v>
      </c>
      <c r="O33" t="s">
        <v>195</v>
      </c>
      <c r="P33" t="s">
        <v>219</v>
      </c>
      <c r="R33" t="s">
        <v>230</v>
      </c>
      <c r="X33" t="s">
        <v>195</v>
      </c>
      <c r="Y33" t="s">
        <v>195</v>
      </c>
      <c r="Z33" t="s">
        <v>219</v>
      </c>
      <c r="AB33" t="s">
        <v>230</v>
      </c>
    </row>
    <row r="34" spans="1:29" ht="15.75" thickBot="1" x14ac:dyDescent="0.3">
      <c r="A34" s="66" t="s">
        <v>193</v>
      </c>
      <c r="B34" s="66"/>
      <c r="C34" s="66" t="s">
        <v>194</v>
      </c>
      <c r="D34" s="66" t="s">
        <v>196</v>
      </c>
      <c r="E34" s="66" t="s">
        <v>218</v>
      </c>
      <c r="F34" s="66" t="s">
        <v>195</v>
      </c>
      <c r="H34" s="66" t="s">
        <v>231</v>
      </c>
      <c r="I34" s="66" t="s">
        <v>227</v>
      </c>
      <c r="K34" s="66" t="s">
        <v>193</v>
      </c>
      <c r="L34" s="66"/>
      <c r="M34" s="66" t="s">
        <v>194</v>
      </c>
      <c r="N34" s="66" t="s">
        <v>196</v>
      </c>
      <c r="O34" s="66" t="s">
        <v>218</v>
      </c>
      <c r="P34" s="66" t="s">
        <v>195</v>
      </c>
      <c r="R34" s="66" t="s">
        <v>231</v>
      </c>
      <c r="S34" s="66" t="s">
        <v>227</v>
      </c>
      <c r="U34" s="66" t="s">
        <v>193</v>
      </c>
      <c r="V34" s="66"/>
      <c r="W34" s="66" t="s">
        <v>194</v>
      </c>
      <c r="X34" s="66" t="s">
        <v>196</v>
      </c>
      <c r="Y34" s="66" t="s">
        <v>218</v>
      </c>
      <c r="Z34" s="66" t="s">
        <v>195</v>
      </c>
      <c r="AB34" s="66" t="s">
        <v>231</v>
      </c>
      <c r="AC34" s="66" t="s">
        <v>227</v>
      </c>
    </row>
    <row r="35" spans="1:29" x14ac:dyDescent="0.25">
      <c r="A35" s="67" t="s">
        <v>292</v>
      </c>
      <c r="C35" s="68">
        <v>3620</v>
      </c>
      <c r="D35" s="65">
        <v>0.34</v>
      </c>
      <c r="E35">
        <f>D35*$C$32</f>
        <v>90.100000000000009</v>
      </c>
      <c r="F35" s="69">
        <f>C35+E35</f>
        <v>3710.1</v>
      </c>
      <c r="K35" s="67" t="s">
        <v>292</v>
      </c>
      <c r="M35" s="68">
        <v>2816</v>
      </c>
      <c r="N35" s="65">
        <v>0.34</v>
      </c>
      <c r="O35">
        <f>N35*$C$32</f>
        <v>90.100000000000009</v>
      </c>
      <c r="P35" s="69">
        <f>M35+O35</f>
        <v>2906.1</v>
      </c>
      <c r="U35" s="67" t="s">
        <v>292</v>
      </c>
      <c r="W35" s="68">
        <v>3189</v>
      </c>
      <c r="X35" s="65">
        <v>0.35</v>
      </c>
      <c r="Y35" s="72">
        <f t="shared" ref="Y35:Y40" si="28">$W$32*X35</f>
        <v>96.710526315789465</v>
      </c>
      <c r="Z35" s="69">
        <f>W35+Y35</f>
        <v>3285.7105263157896</v>
      </c>
    </row>
    <row r="36" spans="1:29" x14ac:dyDescent="0.25">
      <c r="A36" s="67" t="s">
        <v>293</v>
      </c>
      <c r="C36" s="68">
        <v>3620</v>
      </c>
      <c r="D36" s="65">
        <v>0.35</v>
      </c>
      <c r="E36">
        <f t="shared" ref="E36:E38" si="29">D36*$C$32</f>
        <v>92.75</v>
      </c>
      <c r="F36" s="69">
        <f t="shared" ref="F36:F37" si="30">C36+E36</f>
        <v>3712.75</v>
      </c>
      <c r="K36" s="67" t="s">
        <v>293</v>
      </c>
      <c r="M36" s="68">
        <v>2816</v>
      </c>
      <c r="N36" s="65">
        <v>0.35</v>
      </c>
      <c r="O36">
        <f t="shared" ref="O36:O37" si="31">N36*$C$32</f>
        <v>92.75</v>
      </c>
      <c r="P36" s="69">
        <f t="shared" ref="P36:P38" si="32">M36+O36</f>
        <v>2908.75</v>
      </c>
      <c r="U36" s="67" t="s">
        <v>293</v>
      </c>
      <c r="W36" s="68">
        <v>3189</v>
      </c>
      <c r="X36" s="65">
        <v>0.36</v>
      </c>
      <c r="Y36" s="72">
        <f t="shared" si="28"/>
        <v>99.473684210526315</v>
      </c>
      <c r="Z36" s="69">
        <f t="shared" ref="Z36" si="33">W36+Y36</f>
        <v>3288.4736842105262</v>
      </c>
    </row>
    <row r="37" spans="1:29" x14ac:dyDescent="0.25">
      <c r="A37" s="67" t="s">
        <v>294</v>
      </c>
      <c r="C37" s="68">
        <v>3620</v>
      </c>
      <c r="D37" s="65">
        <v>0.35</v>
      </c>
      <c r="E37">
        <f t="shared" si="29"/>
        <v>92.75</v>
      </c>
      <c r="F37" s="69">
        <f t="shared" si="30"/>
        <v>3712.75</v>
      </c>
      <c r="G37" t="s">
        <v>299</v>
      </c>
      <c r="H37" s="69">
        <f>AVERAGE(F35:F37)</f>
        <v>3711.8666666666668</v>
      </c>
      <c r="I37" s="70">
        <f>H37/$F$30</f>
        <v>36.861511219219217</v>
      </c>
      <c r="K37" s="67" t="s">
        <v>294</v>
      </c>
      <c r="M37" s="68">
        <v>2816</v>
      </c>
      <c r="N37" s="65">
        <v>0.35</v>
      </c>
      <c r="O37">
        <f t="shared" si="31"/>
        <v>92.75</v>
      </c>
      <c r="P37" s="69">
        <f t="shared" si="32"/>
        <v>2908.75</v>
      </c>
      <c r="Q37" t="s">
        <v>299</v>
      </c>
      <c r="R37" s="69">
        <f>AVERAGE(P35:P37)</f>
        <v>2907.8666666666668</v>
      </c>
      <c r="S37" s="70">
        <f>R37/$F$30</f>
        <v>28.87721175975976</v>
      </c>
      <c r="U37" s="67" t="s">
        <v>294</v>
      </c>
      <c r="W37" s="68">
        <v>3189</v>
      </c>
      <c r="X37" s="65">
        <v>0.36</v>
      </c>
      <c r="Y37" s="72">
        <f t="shared" si="28"/>
        <v>99.473684210526315</v>
      </c>
      <c r="Z37" s="69">
        <f>W37+Y37</f>
        <v>3288.4736842105262</v>
      </c>
      <c r="AA37" t="s">
        <v>299</v>
      </c>
      <c r="AB37" s="69">
        <f>AVERAGE(Z35:Z37)</f>
        <v>3287.5526315789471</v>
      </c>
      <c r="AC37" s="70">
        <f>AB37/$F$6</f>
        <v>32.647767038880978</v>
      </c>
    </row>
    <row r="38" spans="1:29" x14ac:dyDescent="0.25">
      <c r="A38" s="67" t="s">
        <v>295</v>
      </c>
      <c r="C38" s="68">
        <v>3620</v>
      </c>
      <c r="D38">
        <v>0.38</v>
      </c>
      <c r="E38">
        <f t="shared" si="29"/>
        <v>100.7</v>
      </c>
      <c r="F38" s="69">
        <f>C38+E38</f>
        <v>3720.7</v>
      </c>
      <c r="K38" s="67" t="s">
        <v>295</v>
      </c>
      <c r="M38" s="68">
        <v>2816</v>
      </c>
      <c r="N38">
        <v>0.38</v>
      </c>
      <c r="O38">
        <f>N38*$C$32</f>
        <v>100.7</v>
      </c>
      <c r="P38" s="69">
        <f t="shared" si="32"/>
        <v>2916.7</v>
      </c>
      <c r="U38" s="67" t="s">
        <v>295</v>
      </c>
      <c r="W38" s="68">
        <v>3189</v>
      </c>
      <c r="X38">
        <v>0.38</v>
      </c>
      <c r="Y38">
        <f t="shared" si="28"/>
        <v>105</v>
      </c>
      <c r="Z38" s="69">
        <f>W38+Y38</f>
        <v>3294</v>
      </c>
    </row>
    <row r="39" spans="1:29" x14ac:dyDescent="0.25">
      <c r="A39" s="67" t="s">
        <v>301</v>
      </c>
      <c r="C39" s="68">
        <v>3620</v>
      </c>
      <c r="D39">
        <v>0.38</v>
      </c>
      <c r="E39">
        <f t="shared" ref="E39" si="34">D39*$C$32</f>
        <v>100.7</v>
      </c>
      <c r="F39" s="69">
        <f>C39+E39</f>
        <v>3720.7</v>
      </c>
      <c r="K39" s="67" t="s">
        <v>301</v>
      </c>
      <c r="M39" s="68">
        <v>2816</v>
      </c>
      <c r="N39">
        <v>0.38</v>
      </c>
      <c r="O39">
        <f>N39*$C$32</f>
        <v>100.7</v>
      </c>
      <c r="P39" s="69">
        <f t="shared" ref="P39" si="35">M39+O39</f>
        <v>2916.7</v>
      </c>
      <c r="U39" s="67" t="s">
        <v>301</v>
      </c>
      <c r="W39" s="68">
        <v>3189</v>
      </c>
      <c r="X39">
        <v>0.39</v>
      </c>
      <c r="Y39" s="72">
        <f t="shared" si="28"/>
        <v>107.76315789473685</v>
      </c>
      <c r="Z39" s="69">
        <f>W39+Y39</f>
        <v>3296.7631578947367</v>
      </c>
    </row>
    <row r="40" spans="1:29" x14ac:dyDescent="0.25">
      <c r="A40" s="67" t="s">
        <v>302</v>
      </c>
      <c r="C40" s="68">
        <v>3620</v>
      </c>
      <c r="D40">
        <v>0.37</v>
      </c>
      <c r="E40">
        <f t="shared" ref="E40" si="36">D40*$C$32</f>
        <v>98.05</v>
      </c>
      <c r="F40" s="69">
        <f>C40+E40</f>
        <v>3718.05</v>
      </c>
      <c r="G40" t="s">
        <v>303</v>
      </c>
      <c r="H40" s="69">
        <f>AVERAGE(F38:F40)</f>
        <v>3719.8166666666671</v>
      </c>
      <c r="I40" s="70">
        <f>H40/$F$30</f>
        <v>36.940460448948954</v>
      </c>
      <c r="K40" s="67" t="s">
        <v>302</v>
      </c>
      <c r="M40" s="68">
        <v>2816</v>
      </c>
      <c r="N40">
        <v>0.37</v>
      </c>
      <c r="O40">
        <f>N40*$C$32</f>
        <v>98.05</v>
      </c>
      <c r="P40" s="69">
        <f t="shared" ref="P40" si="37">M40+O40</f>
        <v>2914.05</v>
      </c>
      <c r="Q40" t="s">
        <v>303</v>
      </c>
      <c r="R40" s="69">
        <f>AVERAGE(P38:P40)</f>
        <v>2915.8166666666671</v>
      </c>
      <c r="S40" s="70">
        <f>R40/$F$30</f>
        <v>28.956160989489494</v>
      </c>
      <c r="U40" s="67" t="s">
        <v>302</v>
      </c>
      <c r="W40" s="68">
        <v>3189</v>
      </c>
      <c r="X40">
        <v>0.38</v>
      </c>
      <c r="Y40" s="72">
        <f t="shared" si="28"/>
        <v>105</v>
      </c>
      <c r="Z40" s="69">
        <f>W40+Y40</f>
        <v>3294</v>
      </c>
      <c r="AA40" t="s">
        <v>303</v>
      </c>
      <c r="AB40" s="69">
        <f>AVERAGE(Z38:Z40)</f>
        <v>3294.9210526315787</v>
      </c>
      <c r="AC40" s="70">
        <f>AB40/$F$6</f>
        <v>32.720940770507347</v>
      </c>
    </row>
    <row r="41" spans="1:29" x14ac:dyDescent="0.25">
      <c r="A41" s="67" t="s">
        <v>304</v>
      </c>
      <c r="C41" s="68">
        <v>3620</v>
      </c>
      <c r="D41" s="65">
        <v>0.37</v>
      </c>
      <c r="E41">
        <f t="shared" ref="E41:E42" si="38">D41*$C$32</f>
        <v>98.05</v>
      </c>
      <c r="F41" s="69">
        <f t="shared" ref="F41:F42" si="39">C41+E41</f>
        <v>3718.05</v>
      </c>
      <c r="K41" s="67" t="s">
        <v>304</v>
      </c>
      <c r="M41" s="68">
        <v>2816</v>
      </c>
      <c r="N41" s="65">
        <v>0.37</v>
      </c>
      <c r="O41">
        <f t="shared" ref="O41:O42" si="40">N41*$C$32</f>
        <v>98.05</v>
      </c>
      <c r="P41" s="69">
        <f t="shared" ref="P41:P42" si="41">M41+O41</f>
        <v>2914.05</v>
      </c>
      <c r="U41" s="67" t="s">
        <v>304</v>
      </c>
      <c r="W41" s="68">
        <v>3189</v>
      </c>
      <c r="X41" s="65">
        <v>0.37</v>
      </c>
      <c r="Y41" s="72">
        <f t="shared" ref="Y41:Y42" si="42">$W$32*X41</f>
        <v>102.23684210526316</v>
      </c>
      <c r="Z41" s="69">
        <f t="shared" ref="Z41:Z42" si="43">W41+Y41</f>
        <v>3291.2368421052633</v>
      </c>
    </row>
    <row r="42" spans="1:29" x14ac:dyDescent="0.25">
      <c r="A42" s="67" t="s">
        <v>305</v>
      </c>
      <c r="C42" s="68">
        <v>3620</v>
      </c>
      <c r="D42" s="65">
        <v>0.36</v>
      </c>
      <c r="E42">
        <f t="shared" si="38"/>
        <v>95.399999999999991</v>
      </c>
      <c r="F42" s="69">
        <f t="shared" si="39"/>
        <v>3715.4</v>
      </c>
      <c r="K42" s="67" t="s">
        <v>305</v>
      </c>
      <c r="M42" s="68">
        <v>2816</v>
      </c>
      <c r="N42" s="65">
        <v>0.36</v>
      </c>
      <c r="O42">
        <f t="shared" si="40"/>
        <v>95.399999999999991</v>
      </c>
      <c r="P42" s="69">
        <f t="shared" si="41"/>
        <v>2911.4</v>
      </c>
      <c r="U42" s="67" t="s">
        <v>305</v>
      </c>
      <c r="W42" s="68">
        <v>3189</v>
      </c>
      <c r="X42" s="65">
        <v>0.37</v>
      </c>
      <c r="Y42" s="72">
        <f t="shared" si="42"/>
        <v>102.23684210526316</v>
      </c>
      <c r="Z42" s="69">
        <f t="shared" si="43"/>
        <v>3291.2368421052633</v>
      </c>
    </row>
    <row r="43" spans="1:29" x14ac:dyDescent="0.25">
      <c r="A43" s="67" t="s">
        <v>306</v>
      </c>
      <c r="C43" s="68">
        <v>3620</v>
      </c>
      <c r="D43" s="65">
        <v>0.35</v>
      </c>
      <c r="E43">
        <f t="shared" ref="E43:E44" si="44">D43*$C$32</f>
        <v>92.75</v>
      </c>
      <c r="F43" s="69">
        <f t="shared" ref="F43:F44" si="45">C43+E43</f>
        <v>3712.75</v>
      </c>
      <c r="G43" t="s">
        <v>308</v>
      </c>
      <c r="H43" s="69">
        <f>AVERAGE(F41:F43)</f>
        <v>3715.4</v>
      </c>
      <c r="I43" s="70">
        <f>H43/$F$30</f>
        <v>36.896599765765764</v>
      </c>
      <c r="K43" s="67" t="s">
        <v>306</v>
      </c>
      <c r="M43" s="68">
        <v>2816</v>
      </c>
      <c r="N43" s="65">
        <v>0.35</v>
      </c>
      <c r="O43">
        <f t="shared" ref="O43:O44" si="46">N43*$C$32</f>
        <v>92.75</v>
      </c>
      <c r="P43" s="69">
        <f t="shared" ref="P43:P44" si="47">M43+O43</f>
        <v>2908.75</v>
      </c>
      <c r="Q43" t="s">
        <v>308</v>
      </c>
      <c r="R43" s="69">
        <f>AVERAGE(P41:P43)</f>
        <v>2911.4</v>
      </c>
      <c r="S43" s="70">
        <f>R43/$F$30</f>
        <v>28.912300306306307</v>
      </c>
      <c r="U43" s="67" t="s">
        <v>306</v>
      </c>
      <c r="W43" s="68">
        <v>3189</v>
      </c>
      <c r="X43" s="65">
        <v>0.36</v>
      </c>
      <c r="Y43" s="72">
        <f t="shared" ref="Y43:Y44" si="48">$W$32*X43</f>
        <v>99.473684210526315</v>
      </c>
      <c r="Z43" s="69">
        <f t="shared" ref="Z43:Z44" si="49">W43+Y43</f>
        <v>3288.4736842105262</v>
      </c>
      <c r="AA43" t="s">
        <v>308</v>
      </c>
      <c r="AB43" s="69">
        <f>AVERAGE(Z41:Z43)</f>
        <v>3290.3157894736846</v>
      </c>
      <c r="AC43" s="70">
        <f>AB43/$F$6</f>
        <v>32.675207188240876</v>
      </c>
    </row>
    <row r="44" spans="1:29" x14ac:dyDescent="0.25">
      <c r="A44" s="67" t="s">
        <v>307</v>
      </c>
      <c r="C44" s="68">
        <v>3620</v>
      </c>
      <c r="D44" s="65">
        <v>0.34</v>
      </c>
      <c r="E44">
        <f t="shared" si="44"/>
        <v>90.100000000000009</v>
      </c>
      <c r="F44" s="69">
        <f t="shared" si="45"/>
        <v>3710.1</v>
      </c>
      <c r="K44" s="67" t="s">
        <v>307</v>
      </c>
      <c r="M44" s="68">
        <v>2816</v>
      </c>
      <c r="N44" s="65">
        <v>0.34</v>
      </c>
      <c r="O44">
        <f t="shared" si="46"/>
        <v>90.100000000000009</v>
      </c>
      <c r="P44" s="69">
        <f t="shared" si="47"/>
        <v>2906.1</v>
      </c>
      <c r="U44" s="67" t="s">
        <v>307</v>
      </c>
      <c r="W44" s="68">
        <v>3339</v>
      </c>
      <c r="X44" s="65">
        <v>0.35</v>
      </c>
      <c r="Y44" s="72">
        <f t="shared" si="48"/>
        <v>96.710526315789465</v>
      </c>
      <c r="Z44" s="69">
        <f t="shared" si="49"/>
        <v>3435.7105263157896</v>
      </c>
    </row>
    <row r="62" spans="1:11" x14ac:dyDescent="0.25">
      <c r="A62" t="s">
        <v>188</v>
      </c>
      <c r="K62" t="s">
        <v>188</v>
      </c>
    </row>
    <row r="63" spans="1:11" x14ac:dyDescent="0.25">
      <c r="A63" s="62" t="s">
        <v>183</v>
      </c>
      <c r="B63" s="62" t="s">
        <v>189</v>
      </c>
      <c r="C63" s="62" t="s">
        <v>175</v>
      </c>
      <c r="D63" s="62"/>
      <c r="K63" s="62" t="s">
        <v>232</v>
      </c>
    </row>
    <row r="64" spans="1:11" x14ac:dyDescent="0.25">
      <c r="A64" t="s">
        <v>190</v>
      </c>
      <c r="K64" t="s">
        <v>233</v>
      </c>
    </row>
    <row r="65" spans="1:19" x14ac:dyDescent="0.25">
      <c r="A65" s="81" t="s">
        <v>154</v>
      </c>
      <c r="K65" s="81" t="s">
        <v>154</v>
      </c>
    </row>
    <row r="66" spans="1:19" x14ac:dyDescent="0.25">
      <c r="A66" t="s">
        <v>250</v>
      </c>
      <c r="E66" t="s">
        <v>229</v>
      </c>
      <c r="F66" s="70">
        <f>111/1.10231</f>
        <v>100.69762589471202</v>
      </c>
      <c r="G66" t="s">
        <v>228</v>
      </c>
      <c r="K66" t="s">
        <v>250</v>
      </c>
    </row>
    <row r="67" spans="1:19" x14ac:dyDescent="0.25">
      <c r="A67" t="s">
        <v>191</v>
      </c>
      <c r="K67" t="s">
        <v>191</v>
      </c>
    </row>
    <row r="68" spans="1:19" x14ac:dyDescent="0.25">
      <c r="A68" t="s">
        <v>192</v>
      </c>
      <c r="C68">
        <v>1507</v>
      </c>
      <c r="K68" t="s">
        <v>192</v>
      </c>
      <c r="M68">
        <v>1851</v>
      </c>
    </row>
    <row r="69" spans="1:19" x14ac:dyDescent="0.25">
      <c r="D69" t="s">
        <v>195</v>
      </c>
      <c r="E69" t="s">
        <v>195</v>
      </c>
      <c r="F69" t="s">
        <v>219</v>
      </c>
      <c r="H69" t="s">
        <v>230</v>
      </c>
      <c r="N69" t="s">
        <v>195</v>
      </c>
      <c r="O69" t="s">
        <v>195</v>
      </c>
      <c r="P69" t="s">
        <v>219</v>
      </c>
      <c r="R69" t="s">
        <v>230</v>
      </c>
    </row>
    <row r="70" spans="1:19" ht="15.75" thickBot="1" x14ac:dyDescent="0.3">
      <c r="A70" s="66" t="s">
        <v>193</v>
      </c>
      <c r="B70" s="66"/>
      <c r="C70" s="66" t="s">
        <v>194</v>
      </c>
      <c r="D70" s="66" t="s">
        <v>196</v>
      </c>
      <c r="E70" s="66" t="s">
        <v>218</v>
      </c>
      <c r="F70" s="66" t="s">
        <v>195</v>
      </c>
      <c r="H70" s="66" t="s">
        <v>231</v>
      </c>
      <c r="I70" s="66" t="s">
        <v>227</v>
      </c>
      <c r="K70" s="66" t="s">
        <v>193</v>
      </c>
      <c r="L70" s="66"/>
      <c r="M70" s="66" t="s">
        <v>194</v>
      </c>
      <c r="N70" s="66" t="s">
        <v>196</v>
      </c>
      <c r="O70" s="66" t="s">
        <v>218</v>
      </c>
      <c r="P70" s="66" t="s">
        <v>195</v>
      </c>
      <c r="R70" s="66" t="s">
        <v>231</v>
      </c>
      <c r="S70" s="66" t="s">
        <v>227</v>
      </c>
    </row>
    <row r="71" spans="1:19" x14ac:dyDescent="0.25">
      <c r="A71" s="67" t="s">
        <v>197</v>
      </c>
      <c r="C71" s="68">
        <v>3870</v>
      </c>
      <c r="D71" s="65">
        <v>0.41</v>
      </c>
      <c r="E71">
        <f>D71*$C$68</f>
        <v>617.87</v>
      </c>
      <c r="F71" s="69">
        <f>C71+E71</f>
        <v>4487.87</v>
      </c>
      <c r="K71" s="67" t="s">
        <v>197</v>
      </c>
      <c r="M71" s="68">
        <v>3870</v>
      </c>
      <c r="N71" s="65">
        <v>0.41</v>
      </c>
      <c r="O71">
        <f>$M$68*N71</f>
        <v>758.91</v>
      </c>
      <c r="P71" s="69">
        <f>M71+O71</f>
        <v>4628.91</v>
      </c>
    </row>
    <row r="72" spans="1:19" x14ac:dyDescent="0.25">
      <c r="A72" s="67" t="s">
        <v>198</v>
      </c>
      <c r="C72" s="68">
        <v>3870</v>
      </c>
      <c r="D72" s="65">
        <v>0.3</v>
      </c>
      <c r="E72" s="70">
        <f t="shared" ref="E72:E118" si="50">D72*$C$68</f>
        <v>452.09999999999997</v>
      </c>
      <c r="F72" s="69">
        <f t="shared" ref="F72:F118" si="51">C72+E72</f>
        <v>4322.1000000000004</v>
      </c>
      <c r="K72" s="67" t="s">
        <v>198</v>
      </c>
      <c r="M72" s="68">
        <v>3870</v>
      </c>
      <c r="N72" s="65">
        <v>0.3</v>
      </c>
      <c r="O72">
        <f t="shared" ref="O72:O114" si="52">$M$68*N72</f>
        <v>555.29999999999995</v>
      </c>
      <c r="P72" s="69">
        <f t="shared" ref="P72:P114" si="53">M72+O72</f>
        <v>4425.3</v>
      </c>
    </row>
    <row r="73" spans="1:19" x14ac:dyDescent="0.25">
      <c r="A73" s="67" t="s">
        <v>199</v>
      </c>
      <c r="C73" s="68">
        <v>3870</v>
      </c>
      <c r="D73" s="65">
        <v>0.27</v>
      </c>
      <c r="E73">
        <f t="shared" si="50"/>
        <v>406.89000000000004</v>
      </c>
      <c r="F73" s="69">
        <f t="shared" si="51"/>
        <v>4276.8900000000003</v>
      </c>
      <c r="G73" t="s">
        <v>220</v>
      </c>
      <c r="H73" s="69">
        <f>AVERAGE(F71:F73)</f>
        <v>4362.2866666666669</v>
      </c>
      <c r="I73" s="70">
        <f>H73/$F$66</f>
        <v>43.320650590390393</v>
      </c>
      <c r="K73" s="67" t="s">
        <v>199</v>
      </c>
      <c r="M73" s="68">
        <v>3870</v>
      </c>
      <c r="N73" s="65">
        <v>0.27</v>
      </c>
      <c r="O73">
        <f t="shared" si="52"/>
        <v>499.77000000000004</v>
      </c>
      <c r="P73" s="69">
        <f t="shared" si="53"/>
        <v>4369.7700000000004</v>
      </c>
      <c r="Q73" t="s">
        <v>220</v>
      </c>
      <c r="R73" s="69">
        <f>AVERAGE(P71:P73)</f>
        <v>4474.66</v>
      </c>
      <c r="S73" s="70">
        <f>R73/$F$66</f>
        <v>44.436598780180177</v>
      </c>
    </row>
    <row r="74" spans="1:19" x14ac:dyDescent="0.25">
      <c r="A74" s="67" t="s">
        <v>200</v>
      </c>
      <c r="C74" s="68">
        <v>3870</v>
      </c>
      <c r="D74" s="65">
        <v>0.24</v>
      </c>
      <c r="E74">
        <f t="shared" si="50"/>
        <v>361.68</v>
      </c>
      <c r="F74" s="69">
        <f t="shared" si="51"/>
        <v>4231.68</v>
      </c>
      <c r="K74" s="67" t="s">
        <v>200</v>
      </c>
      <c r="M74" s="68">
        <v>3870</v>
      </c>
      <c r="N74" s="65">
        <v>0.24</v>
      </c>
      <c r="O74">
        <f t="shared" si="52"/>
        <v>444.24</v>
      </c>
      <c r="P74" s="69">
        <f t="shared" si="53"/>
        <v>4314.24</v>
      </c>
    </row>
    <row r="75" spans="1:19" x14ac:dyDescent="0.25">
      <c r="A75" s="67" t="s">
        <v>201</v>
      </c>
      <c r="C75" s="68">
        <v>3870</v>
      </c>
      <c r="D75" s="65">
        <v>0.22</v>
      </c>
      <c r="E75">
        <f t="shared" si="50"/>
        <v>331.54</v>
      </c>
      <c r="F75" s="69">
        <f t="shared" si="51"/>
        <v>4201.54</v>
      </c>
      <c r="K75" s="67" t="s">
        <v>201</v>
      </c>
      <c r="M75" s="68">
        <v>3870</v>
      </c>
      <c r="N75" s="65">
        <v>0.22</v>
      </c>
      <c r="O75">
        <f t="shared" si="52"/>
        <v>407.22</v>
      </c>
      <c r="P75" s="69">
        <f t="shared" si="53"/>
        <v>4277.22</v>
      </c>
    </row>
    <row r="76" spans="1:19" x14ac:dyDescent="0.25">
      <c r="A76" s="67" t="s">
        <v>202</v>
      </c>
      <c r="C76" s="68">
        <v>3870</v>
      </c>
      <c r="D76" s="65">
        <v>0.25</v>
      </c>
      <c r="E76">
        <f t="shared" si="50"/>
        <v>376.75</v>
      </c>
      <c r="F76" s="69">
        <f t="shared" si="51"/>
        <v>4246.75</v>
      </c>
      <c r="G76" t="s">
        <v>222</v>
      </c>
      <c r="H76" s="69">
        <f>AVERAGE(F74:F76)</f>
        <v>4226.6566666666668</v>
      </c>
      <c r="I76" s="70">
        <f>H76/$F$66</f>
        <v>41.973746939039039</v>
      </c>
      <c r="K76" s="67" t="s">
        <v>202</v>
      </c>
      <c r="M76" s="68">
        <v>3870</v>
      </c>
      <c r="N76" s="65">
        <v>0.25</v>
      </c>
      <c r="O76">
        <f t="shared" si="52"/>
        <v>462.75</v>
      </c>
      <c r="P76" s="69">
        <f t="shared" si="53"/>
        <v>4332.75</v>
      </c>
      <c r="Q76" t="s">
        <v>222</v>
      </c>
      <c r="R76" s="69">
        <f>AVERAGE(P74:P76)</f>
        <v>4308.07</v>
      </c>
      <c r="S76" s="70">
        <f>R76/$F$66</f>
        <v>42.78224001531531</v>
      </c>
    </row>
    <row r="77" spans="1:19" x14ac:dyDescent="0.25">
      <c r="A77" s="67" t="s">
        <v>203</v>
      </c>
      <c r="C77" s="68">
        <v>3870</v>
      </c>
      <c r="D77" s="65">
        <v>0.25</v>
      </c>
      <c r="E77">
        <f t="shared" si="50"/>
        <v>376.75</v>
      </c>
      <c r="F77" s="69">
        <f t="shared" si="51"/>
        <v>4246.75</v>
      </c>
      <c r="K77" s="67" t="s">
        <v>203</v>
      </c>
      <c r="M77" s="68">
        <v>3870</v>
      </c>
      <c r="N77" s="65">
        <v>0.25</v>
      </c>
      <c r="O77">
        <f t="shared" si="52"/>
        <v>462.75</v>
      </c>
      <c r="P77" s="69">
        <f t="shared" si="53"/>
        <v>4332.75</v>
      </c>
    </row>
    <row r="78" spans="1:19" x14ac:dyDescent="0.25">
      <c r="A78" s="67" t="s">
        <v>204</v>
      </c>
      <c r="C78" s="68">
        <v>3870</v>
      </c>
      <c r="D78" s="65">
        <v>0.32</v>
      </c>
      <c r="E78">
        <f t="shared" si="50"/>
        <v>482.24</v>
      </c>
      <c r="F78" s="69">
        <f t="shared" si="51"/>
        <v>4352.24</v>
      </c>
      <c r="K78" s="67" t="s">
        <v>204</v>
      </c>
      <c r="M78" s="68">
        <v>3870</v>
      </c>
      <c r="N78" s="65">
        <v>0.32</v>
      </c>
      <c r="O78">
        <f t="shared" si="52"/>
        <v>592.32000000000005</v>
      </c>
      <c r="P78" s="69">
        <f t="shared" si="53"/>
        <v>4462.32</v>
      </c>
    </row>
    <row r="79" spans="1:19" x14ac:dyDescent="0.25">
      <c r="A79" s="67" t="s">
        <v>205</v>
      </c>
      <c r="C79" s="68">
        <v>4170</v>
      </c>
      <c r="D79" s="65">
        <v>0.33</v>
      </c>
      <c r="E79">
        <f t="shared" si="50"/>
        <v>497.31</v>
      </c>
      <c r="F79" s="69">
        <f t="shared" si="51"/>
        <v>4667.3100000000004</v>
      </c>
      <c r="G79" t="s">
        <v>221</v>
      </c>
      <c r="H79" s="69">
        <f>AVERAGE(F77:F79)</f>
        <v>4422.0999999999995</v>
      </c>
      <c r="I79" s="70">
        <f>H79/$F$66</f>
        <v>43.914640099099088</v>
      </c>
      <c r="K79" s="67" t="s">
        <v>205</v>
      </c>
      <c r="M79" s="68">
        <v>4170</v>
      </c>
      <c r="N79" s="65">
        <v>0.33</v>
      </c>
      <c r="O79">
        <f t="shared" si="52"/>
        <v>610.83000000000004</v>
      </c>
      <c r="P79" s="69">
        <f t="shared" si="53"/>
        <v>4780.83</v>
      </c>
      <c r="Q79" t="s">
        <v>221</v>
      </c>
      <c r="R79" s="69">
        <f>AVERAGE(P77:P79)</f>
        <v>4525.3</v>
      </c>
      <c r="S79" s="70">
        <f>R79/$F$66</f>
        <v>44.939490477477477</v>
      </c>
    </row>
    <row r="80" spans="1:19" x14ac:dyDescent="0.25">
      <c r="A80" s="67" t="s">
        <v>206</v>
      </c>
      <c r="C80" s="68">
        <v>4170</v>
      </c>
      <c r="D80" s="65">
        <v>0.35</v>
      </c>
      <c r="E80">
        <f t="shared" si="50"/>
        <v>527.44999999999993</v>
      </c>
      <c r="F80" s="69">
        <f t="shared" si="51"/>
        <v>4697.45</v>
      </c>
      <c r="K80" s="67" t="s">
        <v>206</v>
      </c>
      <c r="M80" s="68">
        <v>4170</v>
      </c>
      <c r="N80" s="65">
        <v>0.35</v>
      </c>
      <c r="O80">
        <f t="shared" si="52"/>
        <v>647.84999999999991</v>
      </c>
      <c r="P80" s="69">
        <f t="shared" si="53"/>
        <v>4817.8500000000004</v>
      </c>
    </row>
    <row r="81" spans="1:19" x14ac:dyDescent="0.25">
      <c r="A81" s="67" t="s">
        <v>207</v>
      </c>
      <c r="C81" s="68">
        <v>4170</v>
      </c>
      <c r="D81" s="65">
        <v>0.35</v>
      </c>
      <c r="E81">
        <f t="shared" si="50"/>
        <v>527.44999999999993</v>
      </c>
      <c r="F81" s="69">
        <f t="shared" si="51"/>
        <v>4697.45</v>
      </c>
      <c r="K81" s="67" t="s">
        <v>207</v>
      </c>
      <c r="M81" s="68">
        <v>4170</v>
      </c>
      <c r="N81" s="65">
        <v>0.35</v>
      </c>
      <c r="O81">
        <f t="shared" si="52"/>
        <v>647.84999999999991</v>
      </c>
      <c r="P81" s="69">
        <f t="shared" si="53"/>
        <v>4817.8500000000004</v>
      </c>
    </row>
    <row r="82" spans="1:19" x14ac:dyDescent="0.25">
      <c r="A82" s="67" t="s">
        <v>208</v>
      </c>
      <c r="C82" s="68">
        <v>4170</v>
      </c>
      <c r="D82" s="65">
        <v>0.36</v>
      </c>
      <c r="E82">
        <f t="shared" si="50"/>
        <v>542.52</v>
      </c>
      <c r="F82" s="69">
        <f t="shared" si="51"/>
        <v>4712.5200000000004</v>
      </c>
      <c r="G82" t="s">
        <v>223</v>
      </c>
      <c r="H82" s="69">
        <f>AVERAGE(F80:F82)</f>
        <v>4702.4733333333334</v>
      </c>
      <c r="I82" s="70">
        <f>H82/$F$66</f>
        <v>46.698949369969966</v>
      </c>
      <c r="K82" s="67" t="s">
        <v>208</v>
      </c>
      <c r="M82" s="68">
        <v>4170</v>
      </c>
      <c r="N82" s="65">
        <v>0.36</v>
      </c>
      <c r="O82">
        <f t="shared" si="52"/>
        <v>666.36</v>
      </c>
      <c r="P82" s="69">
        <f t="shared" si="53"/>
        <v>4836.3599999999997</v>
      </c>
      <c r="Q82" t="s">
        <v>223</v>
      </c>
      <c r="R82" s="69">
        <f>AVERAGE(P80:P82)</f>
        <v>4824.0200000000004</v>
      </c>
      <c r="S82" s="70">
        <f>R82/$F$66</f>
        <v>47.905995371171173</v>
      </c>
    </row>
    <row r="83" spans="1:19" x14ac:dyDescent="0.25">
      <c r="A83" s="67" t="s">
        <v>209</v>
      </c>
      <c r="C83" s="68">
        <v>4170</v>
      </c>
      <c r="D83" s="65">
        <v>0.39</v>
      </c>
      <c r="E83">
        <f t="shared" si="50"/>
        <v>587.73</v>
      </c>
      <c r="F83" s="69">
        <f t="shared" si="51"/>
        <v>4757.7299999999996</v>
      </c>
      <c r="K83" s="67" t="s">
        <v>209</v>
      </c>
      <c r="M83" s="68">
        <v>4170</v>
      </c>
      <c r="N83" s="65">
        <v>0.39</v>
      </c>
      <c r="O83">
        <f t="shared" si="52"/>
        <v>721.89</v>
      </c>
      <c r="P83" s="69">
        <f t="shared" si="53"/>
        <v>4891.8900000000003</v>
      </c>
    </row>
    <row r="84" spans="1:19" x14ac:dyDescent="0.25">
      <c r="A84" s="67" t="s">
        <v>210</v>
      </c>
      <c r="C84" s="68">
        <v>4170</v>
      </c>
      <c r="D84" s="65">
        <v>0.38</v>
      </c>
      <c r="E84">
        <f t="shared" si="50"/>
        <v>572.66</v>
      </c>
      <c r="F84" s="69">
        <f t="shared" si="51"/>
        <v>4742.66</v>
      </c>
      <c r="K84" s="67" t="s">
        <v>210</v>
      </c>
      <c r="M84" s="68">
        <v>4170</v>
      </c>
      <c r="N84" s="65">
        <v>0.38</v>
      </c>
      <c r="O84">
        <f t="shared" si="52"/>
        <v>703.38</v>
      </c>
      <c r="P84" s="69">
        <f t="shared" si="53"/>
        <v>4873.38</v>
      </c>
    </row>
    <row r="85" spans="1:19" x14ac:dyDescent="0.25">
      <c r="A85" s="67" t="s">
        <v>211</v>
      </c>
      <c r="C85" s="68">
        <v>4170</v>
      </c>
      <c r="D85" s="65">
        <v>0.4</v>
      </c>
      <c r="E85" s="70">
        <f t="shared" si="50"/>
        <v>602.80000000000007</v>
      </c>
      <c r="F85" s="69">
        <f t="shared" si="51"/>
        <v>4772.8</v>
      </c>
      <c r="G85" t="s">
        <v>224</v>
      </c>
      <c r="H85" s="69">
        <f>AVERAGE(F83:F85)</f>
        <v>4757.7299999999996</v>
      </c>
      <c r="I85" s="70">
        <f>H85/$F$66</f>
        <v>47.247687894594591</v>
      </c>
      <c r="K85" s="67" t="s">
        <v>211</v>
      </c>
      <c r="M85" s="68">
        <v>4170</v>
      </c>
      <c r="N85" s="65">
        <v>0.4</v>
      </c>
      <c r="O85">
        <f t="shared" si="52"/>
        <v>740.40000000000009</v>
      </c>
      <c r="P85" s="69">
        <f t="shared" si="53"/>
        <v>4910.3999999999996</v>
      </c>
      <c r="Q85" t="s">
        <v>224</v>
      </c>
      <c r="R85" s="69">
        <f>AVERAGE(P83:P85)</f>
        <v>4891.8900000000003</v>
      </c>
      <c r="S85" s="70">
        <f>R85/$F$66</f>
        <v>48.579993386486485</v>
      </c>
    </row>
    <row r="86" spans="1:19" x14ac:dyDescent="0.25">
      <c r="A86" s="67" t="s">
        <v>212</v>
      </c>
      <c r="C86" s="68">
        <v>4170</v>
      </c>
      <c r="D86" s="65">
        <v>0.39</v>
      </c>
      <c r="E86">
        <f t="shared" si="50"/>
        <v>587.73</v>
      </c>
      <c r="F86" s="69">
        <f t="shared" si="51"/>
        <v>4757.7299999999996</v>
      </c>
      <c r="K86" s="67" t="s">
        <v>212</v>
      </c>
      <c r="M86" s="68">
        <v>4170</v>
      </c>
      <c r="N86" s="65">
        <v>0.39</v>
      </c>
      <c r="O86">
        <f t="shared" si="52"/>
        <v>721.89</v>
      </c>
      <c r="P86" s="69">
        <f t="shared" si="53"/>
        <v>4891.8900000000003</v>
      </c>
    </row>
    <row r="87" spans="1:19" x14ac:dyDescent="0.25">
      <c r="A87" s="67" t="s">
        <v>213</v>
      </c>
      <c r="C87" s="68">
        <v>4170</v>
      </c>
      <c r="D87" s="65">
        <v>0.42</v>
      </c>
      <c r="E87">
        <f t="shared" si="50"/>
        <v>632.93999999999994</v>
      </c>
      <c r="F87" s="69">
        <f t="shared" si="51"/>
        <v>4802.9399999999996</v>
      </c>
      <c r="K87" s="67" t="s">
        <v>213</v>
      </c>
      <c r="M87" s="68">
        <v>4170</v>
      </c>
      <c r="N87" s="65">
        <v>0.42</v>
      </c>
      <c r="O87">
        <f t="shared" si="52"/>
        <v>777.42</v>
      </c>
      <c r="P87" s="69">
        <f t="shared" si="53"/>
        <v>4947.42</v>
      </c>
    </row>
    <row r="88" spans="1:19" x14ac:dyDescent="0.25">
      <c r="A88" s="67" t="s">
        <v>214</v>
      </c>
      <c r="C88" s="68">
        <v>4170</v>
      </c>
      <c r="D88" s="65">
        <v>0.46</v>
      </c>
      <c r="E88">
        <f t="shared" si="50"/>
        <v>693.22</v>
      </c>
      <c r="F88" s="69">
        <f t="shared" si="51"/>
        <v>4863.22</v>
      </c>
      <c r="G88" t="s">
        <v>225</v>
      </c>
      <c r="H88" s="69">
        <f>AVERAGE(F86:F88)</f>
        <v>4807.9633333333331</v>
      </c>
      <c r="I88" s="70">
        <f>H88/$F$66</f>
        <v>47.746541098798794</v>
      </c>
      <c r="K88" s="67" t="s">
        <v>214</v>
      </c>
      <c r="M88" s="68">
        <v>4170</v>
      </c>
      <c r="N88" s="65">
        <v>0.46</v>
      </c>
      <c r="O88">
        <f t="shared" si="52"/>
        <v>851.46</v>
      </c>
      <c r="P88" s="69">
        <f t="shared" si="53"/>
        <v>5021.46</v>
      </c>
      <c r="Q88" t="s">
        <v>225</v>
      </c>
      <c r="R88" s="69">
        <f>AVERAGE(P86:P88)</f>
        <v>4953.59</v>
      </c>
      <c r="S88" s="70">
        <f>R88/$F$66</f>
        <v>49.192718854954954</v>
      </c>
    </row>
    <row r="89" spans="1:19" x14ac:dyDescent="0.25">
      <c r="A89" s="67" t="s">
        <v>215</v>
      </c>
      <c r="C89" s="68">
        <v>4170</v>
      </c>
      <c r="D89" s="65">
        <v>0.46</v>
      </c>
      <c r="E89">
        <f t="shared" si="50"/>
        <v>693.22</v>
      </c>
      <c r="F89" s="69">
        <f t="shared" si="51"/>
        <v>4863.22</v>
      </c>
      <c r="K89" s="67" t="s">
        <v>215</v>
      </c>
      <c r="M89" s="68">
        <v>4170</v>
      </c>
      <c r="N89" s="65">
        <v>0.46</v>
      </c>
      <c r="O89">
        <f t="shared" si="52"/>
        <v>851.46</v>
      </c>
      <c r="P89" s="69">
        <f t="shared" si="53"/>
        <v>5021.46</v>
      </c>
    </row>
    <row r="90" spans="1:19" x14ac:dyDescent="0.25">
      <c r="A90" s="67" t="s">
        <v>216</v>
      </c>
      <c r="C90" s="68">
        <v>4170</v>
      </c>
      <c r="D90" s="65">
        <v>0.43</v>
      </c>
      <c r="E90">
        <f t="shared" si="50"/>
        <v>648.01</v>
      </c>
      <c r="F90" s="69">
        <f t="shared" si="51"/>
        <v>4818.01</v>
      </c>
      <c r="K90" s="67" t="s">
        <v>216</v>
      </c>
      <c r="M90" s="68">
        <v>4170</v>
      </c>
      <c r="N90" s="65">
        <v>0.43</v>
      </c>
      <c r="O90">
        <f t="shared" si="52"/>
        <v>795.93</v>
      </c>
      <c r="P90" s="69">
        <f t="shared" si="53"/>
        <v>4965.93</v>
      </c>
    </row>
    <row r="91" spans="1:19" x14ac:dyDescent="0.25">
      <c r="A91" s="67" t="s">
        <v>217</v>
      </c>
      <c r="C91" s="68">
        <v>4170</v>
      </c>
      <c r="D91" s="65">
        <v>0.42</v>
      </c>
      <c r="E91">
        <f t="shared" si="50"/>
        <v>632.93999999999994</v>
      </c>
      <c r="F91" s="69">
        <f t="shared" si="51"/>
        <v>4802.9399999999996</v>
      </c>
      <c r="G91" t="s">
        <v>226</v>
      </c>
      <c r="H91" s="69">
        <f>AVERAGE(F89:F91)</f>
        <v>4828.0566666666664</v>
      </c>
      <c r="I91" s="70">
        <f>H91/$F$66</f>
        <v>47.946082380480476</v>
      </c>
      <c r="K91" s="67" t="s">
        <v>217</v>
      </c>
      <c r="M91" s="68">
        <v>4170</v>
      </c>
      <c r="N91" s="65">
        <v>0.42</v>
      </c>
      <c r="O91">
        <f t="shared" si="52"/>
        <v>777.42</v>
      </c>
      <c r="P91" s="69">
        <f t="shared" si="53"/>
        <v>4947.42</v>
      </c>
      <c r="Q91" t="s">
        <v>226</v>
      </c>
      <c r="R91" s="69">
        <f>AVERAGE(P89:P91)</f>
        <v>4978.2699999999995</v>
      </c>
      <c r="S91" s="70">
        <f>R91/$F$66</f>
        <v>49.437809042342337</v>
      </c>
    </row>
    <row r="92" spans="1:19" x14ac:dyDescent="0.25">
      <c r="A92" s="67" t="s">
        <v>247</v>
      </c>
      <c r="C92" s="68">
        <v>4270</v>
      </c>
      <c r="D92" s="65">
        <v>0.43</v>
      </c>
      <c r="E92">
        <f t="shared" si="50"/>
        <v>648.01</v>
      </c>
      <c r="F92" s="69">
        <f t="shared" si="51"/>
        <v>4918.01</v>
      </c>
      <c r="H92" s="69"/>
      <c r="I92" s="70"/>
      <c r="K92" s="67" t="s">
        <v>247</v>
      </c>
      <c r="M92" s="68">
        <v>4270</v>
      </c>
      <c r="N92" s="65">
        <v>0.43</v>
      </c>
      <c r="O92">
        <f t="shared" si="52"/>
        <v>795.93</v>
      </c>
      <c r="P92" s="69">
        <f t="shared" si="53"/>
        <v>5065.93</v>
      </c>
      <c r="R92" s="69"/>
      <c r="S92" s="70"/>
    </row>
    <row r="93" spans="1:19" x14ac:dyDescent="0.25">
      <c r="A93" s="67" t="s">
        <v>248</v>
      </c>
      <c r="C93" s="68">
        <v>4270</v>
      </c>
      <c r="D93" s="65">
        <v>0.43</v>
      </c>
      <c r="E93">
        <f t="shared" si="50"/>
        <v>648.01</v>
      </c>
      <c r="F93" s="69">
        <f t="shared" si="51"/>
        <v>4918.01</v>
      </c>
      <c r="H93" s="69"/>
      <c r="I93" s="70"/>
      <c r="K93" s="67" t="s">
        <v>248</v>
      </c>
      <c r="M93" s="68">
        <v>4270</v>
      </c>
      <c r="N93" s="65">
        <v>0.43</v>
      </c>
      <c r="O93">
        <f t="shared" si="52"/>
        <v>795.93</v>
      </c>
      <c r="P93" s="69">
        <f t="shared" si="53"/>
        <v>5065.93</v>
      </c>
      <c r="R93" s="69"/>
      <c r="S93" s="70"/>
    </row>
    <row r="94" spans="1:19" x14ac:dyDescent="0.25">
      <c r="A94" s="67" t="s">
        <v>249</v>
      </c>
      <c r="C94" s="68">
        <v>4270</v>
      </c>
      <c r="D94" s="65">
        <v>0.46</v>
      </c>
      <c r="E94">
        <f t="shared" si="50"/>
        <v>693.22</v>
      </c>
      <c r="F94" s="69">
        <f t="shared" si="51"/>
        <v>4963.22</v>
      </c>
      <c r="G94" t="s">
        <v>251</v>
      </c>
      <c r="H94" s="69">
        <f>AVERAGE(F92:F94)</f>
        <v>4933.0800000000008</v>
      </c>
      <c r="I94" s="70">
        <f>H94/$F$66</f>
        <v>48.98903977297298</v>
      </c>
      <c r="K94" s="67" t="s">
        <v>249</v>
      </c>
      <c r="M94" s="68">
        <v>4270</v>
      </c>
      <c r="N94" s="65">
        <v>0.46</v>
      </c>
      <c r="O94">
        <f t="shared" si="52"/>
        <v>851.46</v>
      </c>
      <c r="P94" s="69">
        <f t="shared" si="53"/>
        <v>5121.46</v>
      </c>
      <c r="Q94" t="s">
        <v>251</v>
      </c>
      <c r="R94" s="69">
        <f>AVERAGE(P92:P94)</f>
        <v>5084.4399999999996</v>
      </c>
      <c r="S94" s="70">
        <f>R94/$F$66</f>
        <v>50.492153661261256</v>
      </c>
    </row>
    <row r="95" spans="1:19" x14ac:dyDescent="0.25">
      <c r="A95" s="67" t="s">
        <v>252</v>
      </c>
      <c r="C95" s="68">
        <v>4270</v>
      </c>
      <c r="D95" s="65">
        <v>0.48</v>
      </c>
      <c r="E95">
        <f t="shared" si="50"/>
        <v>723.36</v>
      </c>
      <c r="F95" s="69">
        <f t="shared" si="51"/>
        <v>4993.3599999999997</v>
      </c>
      <c r="H95" s="69"/>
      <c r="I95" s="70"/>
      <c r="K95" s="67" t="s">
        <v>252</v>
      </c>
      <c r="M95" s="68">
        <v>4270</v>
      </c>
      <c r="N95" s="65">
        <v>0.48</v>
      </c>
      <c r="O95">
        <f t="shared" si="52"/>
        <v>888.48</v>
      </c>
      <c r="P95" s="69">
        <f t="shared" si="53"/>
        <v>5158.4799999999996</v>
      </c>
      <c r="R95" s="69"/>
      <c r="S95" s="70"/>
    </row>
    <row r="96" spans="1:19" x14ac:dyDescent="0.25">
      <c r="A96" s="67" t="s">
        <v>253</v>
      </c>
      <c r="C96" s="68">
        <v>4270</v>
      </c>
      <c r="D96" s="65">
        <v>0.5</v>
      </c>
      <c r="E96" s="70">
        <f t="shared" si="50"/>
        <v>753.5</v>
      </c>
      <c r="F96" s="69">
        <f t="shared" si="51"/>
        <v>5023.5</v>
      </c>
      <c r="H96" s="69"/>
      <c r="I96" s="70"/>
      <c r="K96" s="67" t="s">
        <v>253</v>
      </c>
      <c r="M96" s="68">
        <v>4270</v>
      </c>
      <c r="N96" s="65">
        <v>0.5</v>
      </c>
      <c r="O96">
        <f t="shared" si="52"/>
        <v>925.5</v>
      </c>
      <c r="P96" s="69">
        <f t="shared" si="53"/>
        <v>5195.5</v>
      </c>
      <c r="R96" s="69"/>
      <c r="S96" s="70"/>
    </row>
    <row r="97" spans="1:19" x14ac:dyDescent="0.25">
      <c r="A97" s="67" t="s">
        <v>254</v>
      </c>
      <c r="C97" s="68">
        <v>4270</v>
      </c>
      <c r="D97" s="65">
        <v>0.23</v>
      </c>
      <c r="E97">
        <f t="shared" si="50"/>
        <v>346.61</v>
      </c>
      <c r="F97" s="69">
        <f t="shared" si="51"/>
        <v>4616.6099999999997</v>
      </c>
      <c r="G97" t="s">
        <v>266</v>
      </c>
      <c r="H97" s="69">
        <f>AVERAGE(F95:F97)</f>
        <v>4877.8233333333337</v>
      </c>
      <c r="I97" s="70">
        <f>H97/$F$66</f>
        <v>48.440301248348348</v>
      </c>
      <c r="K97" s="67" t="s">
        <v>254</v>
      </c>
      <c r="M97" s="68">
        <v>4270</v>
      </c>
      <c r="N97" s="65">
        <v>0.23</v>
      </c>
      <c r="O97">
        <f t="shared" si="52"/>
        <v>425.73</v>
      </c>
      <c r="P97" s="69">
        <f t="shared" si="53"/>
        <v>4695.7299999999996</v>
      </c>
      <c r="Q97" t="s">
        <v>266</v>
      </c>
      <c r="R97" s="69">
        <f>AVERAGE(P95:P97)</f>
        <v>5016.57</v>
      </c>
      <c r="S97" s="70">
        <f>R97/$F$66</f>
        <v>49.818155645945943</v>
      </c>
    </row>
    <row r="98" spans="1:19" x14ac:dyDescent="0.25">
      <c r="A98" s="67" t="s">
        <v>255</v>
      </c>
      <c r="C98" s="68">
        <v>4730</v>
      </c>
      <c r="D98" s="65">
        <v>0.28000000000000003</v>
      </c>
      <c r="E98">
        <f t="shared" si="50"/>
        <v>421.96000000000004</v>
      </c>
      <c r="F98" s="69">
        <f t="shared" si="51"/>
        <v>5151.96</v>
      </c>
      <c r="H98" s="69"/>
      <c r="I98" s="70"/>
      <c r="K98" s="67" t="s">
        <v>255</v>
      </c>
      <c r="M98" s="68">
        <v>4830</v>
      </c>
      <c r="N98" s="65">
        <v>0.28000000000000003</v>
      </c>
      <c r="O98">
        <f t="shared" si="52"/>
        <v>518.28000000000009</v>
      </c>
      <c r="P98" s="69">
        <f t="shared" si="53"/>
        <v>5348.28</v>
      </c>
      <c r="R98" s="69"/>
      <c r="S98" s="70"/>
    </row>
    <row r="99" spans="1:19" x14ac:dyDescent="0.25">
      <c r="A99" s="67" t="s">
        <v>256</v>
      </c>
      <c r="C99" s="68">
        <v>4730</v>
      </c>
      <c r="D99" s="65">
        <v>0.36</v>
      </c>
      <c r="E99">
        <f t="shared" si="50"/>
        <v>542.52</v>
      </c>
      <c r="F99" s="69">
        <f t="shared" si="51"/>
        <v>5272.52</v>
      </c>
      <c r="H99" s="69"/>
      <c r="I99" s="70"/>
      <c r="K99" s="67" t="s">
        <v>256</v>
      </c>
      <c r="M99" s="68">
        <v>4830</v>
      </c>
      <c r="N99" s="65">
        <v>0.36</v>
      </c>
      <c r="O99">
        <f t="shared" si="52"/>
        <v>666.36</v>
      </c>
      <c r="P99" s="69">
        <f t="shared" si="53"/>
        <v>5496.36</v>
      </c>
      <c r="R99" s="69"/>
      <c r="S99" s="70"/>
    </row>
    <row r="100" spans="1:19" x14ac:dyDescent="0.25">
      <c r="A100" s="67" t="s">
        <v>257</v>
      </c>
      <c r="C100" s="68">
        <v>4730</v>
      </c>
      <c r="D100" s="65">
        <v>0.4</v>
      </c>
      <c r="E100">
        <f t="shared" si="50"/>
        <v>602.80000000000007</v>
      </c>
      <c r="F100" s="69">
        <f t="shared" si="51"/>
        <v>5332.8</v>
      </c>
      <c r="G100" t="s">
        <v>267</v>
      </c>
      <c r="H100" s="69">
        <f>AVERAGE(F98:F100)</f>
        <v>5252.4266666666663</v>
      </c>
      <c r="I100" s="70">
        <f>H100/$F$66</f>
        <v>52.160382332732723</v>
      </c>
      <c r="K100" s="67" t="s">
        <v>257</v>
      </c>
      <c r="M100" s="68">
        <v>4830</v>
      </c>
      <c r="N100" s="65">
        <v>0.4</v>
      </c>
      <c r="O100">
        <f t="shared" si="52"/>
        <v>740.40000000000009</v>
      </c>
      <c r="P100" s="69">
        <f t="shared" si="53"/>
        <v>5570.4</v>
      </c>
      <c r="Q100" t="s">
        <v>267</v>
      </c>
      <c r="R100" s="69">
        <f>AVERAGE(P98:P100)</f>
        <v>5471.68</v>
      </c>
      <c r="S100" s="70">
        <f>R100/$F$66</f>
        <v>54.337725953153154</v>
      </c>
    </row>
    <row r="101" spans="1:19" x14ac:dyDescent="0.25">
      <c r="A101" s="67" t="s">
        <v>258</v>
      </c>
      <c r="C101" s="68">
        <v>4730</v>
      </c>
      <c r="D101" s="65">
        <v>0.39</v>
      </c>
      <c r="E101">
        <f t="shared" si="50"/>
        <v>587.73</v>
      </c>
      <c r="F101" s="69">
        <f t="shared" si="51"/>
        <v>5317.73</v>
      </c>
      <c r="H101" s="69"/>
      <c r="I101" s="70"/>
      <c r="K101" s="67" t="s">
        <v>258</v>
      </c>
      <c r="M101" s="68">
        <v>4830</v>
      </c>
      <c r="N101" s="65">
        <v>0.39</v>
      </c>
      <c r="O101">
        <f t="shared" si="52"/>
        <v>721.89</v>
      </c>
      <c r="P101" s="69">
        <f t="shared" si="53"/>
        <v>5551.89</v>
      </c>
      <c r="R101" s="69"/>
      <c r="S101" s="70"/>
    </row>
    <row r="102" spans="1:19" x14ac:dyDescent="0.25">
      <c r="A102" s="67" t="s">
        <v>259</v>
      </c>
      <c r="C102" s="68">
        <v>4730</v>
      </c>
      <c r="D102" s="65">
        <v>0.36</v>
      </c>
      <c r="E102">
        <f t="shared" si="50"/>
        <v>542.52</v>
      </c>
      <c r="F102" s="69">
        <f t="shared" si="51"/>
        <v>5272.52</v>
      </c>
      <c r="H102" s="69"/>
      <c r="I102" s="70"/>
      <c r="K102" s="67" t="s">
        <v>259</v>
      </c>
      <c r="M102" s="68">
        <v>4830</v>
      </c>
      <c r="N102" s="65">
        <v>0.36</v>
      </c>
      <c r="O102">
        <f t="shared" si="52"/>
        <v>666.36</v>
      </c>
      <c r="P102" s="69">
        <f t="shared" si="53"/>
        <v>5496.36</v>
      </c>
      <c r="R102" s="69"/>
      <c r="S102" s="70"/>
    </row>
    <row r="103" spans="1:19" x14ac:dyDescent="0.25">
      <c r="A103" s="67" t="s">
        <v>260</v>
      </c>
      <c r="C103" s="68">
        <v>4730</v>
      </c>
      <c r="D103" s="65">
        <v>0.36</v>
      </c>
      <c r="E103">
        <f t="shared" si="50"/>
        <v>542.52</v>
      </c>
      <c r="F103" s="69">
        <f t="shared" si="51"/>
        <v>5272.52</v>
      </c>
      <c r="G103" t="s">
        <v>268</v>
      </c>
      <c r="H103" s="69">
        <f>AVERAGE(F101:F103)</f>
        <v>5287.59</v>
      </c>
      <c r="I103" s="70">
        <f>H103/$F$66</f>
        <v>52.509579575675673</v>
      </c>
      <c r="K103" s="67" t="s">
        <v>260</v>
      </c>
      <c r="M103" s="68">
        <v>4830</v>
      </c>
      <c r="N103" s="65">
        <v>0.36</v>
      </c>
      <c r="O103">
        <f t="shared" si="52"/>
        <v>666.36</v>
      </c>
      <c r="P103" s="69">
        <f t="shared" si="53"/>
        <v>5496.36</v>
      </c>
      <c r="Q103" t="s">
        <v>268</v>
      </c>
      <c r="R103" s="69">
        <f>AVERAGE(P101:P103)</f>
        <v>5514.87</v>
      </c>
      <c r="S103" s="70">
        <f>R103/$F$66</f>
        <v>54.766633781081076</v>
      </c>
    </row>
    <row r="104" spans="1:19" x14ac:dyDescent="0.25">
      <c r="A104" s="67" t="s">
        <v>261</v>
      </c>
      <c r="C104" s="68">
        <v>4930</v>
      </c>
      <c r="D104" s="65">
        <v>0.35</v>
      </c>
      <c r="E104">
        <f t="shared" si="50"/>
        <v>527.44999999999993</v>
      </c>
      <c r="F104" s="69">
        <f t="shared" si="51"/>
        <v>5457.45</v>
      </c>
      <c r="H104" s="69"/>
      <c r="I104" s="70"/>
      <c r="K104" s="67" t="s">
        <v>261</v>
      </c>
      <c r="M104" s="68">
        <v>5030</v>
      </c>
      <c r="N104" s="65">
        <v>0.35</v>
      </c>
      <c r="O104">
        <f t="shared" si="52"/>
        <v>647.84999999999991</v>
      </c>
      <c r="P104" s="69">
        <f t="shared" si="53"/>
        <v>5677.85</v>
      </c>
      <c r="R104" s="69"/>
      <c r="S104" s="70"/>
    </row>
    <row r="105" spans="1:19" x14ac:dyDescent="0.25">
      <c r="A105" s="67" t="s">
        <v>262</v>
      </c>
      <c r="C105" s="68">
        <v>4930</v>
      </c>
      <c r="D105" s="65">
        <v>0.34</v>
      </c>
      <c r="E105">
        <f t="shared" si="50"/>
        <v>512.38</v>
      </c>
      <c r="F105" s="69">
        <f t="shared" si="51"/>
        <v>5442.38</v>
      </c>
      <c r="H105" s="69"/>
      <c r="I105" s="70"/>
      <c r="K105" s="67" t="s">
        <v>262</v>
      </c>
      <c r="M105" s="68">
        <v>5030</v>
      </c>
      <c r="N105" s="65">
        <v>0.34</v>
      </c>
      <c r="O105">
        <f t="shared" si="52"/>
        <v>629.34</v>
      </c>
      <c r="P105" s="69">
        <f t="shared" si="53"/>
        <v>5659.34</v>
      </c>
      <c r="R105" s="69"/>
      <c r="S105" s="70"/>
    </row>
    <row r="106" spans="1:19" x14ac:dyDescent="0.25">
      <c r="A106" s="67" t="s">
        <v>263</v>
      </c>
      <c r="C106" s="68">
        <v>4930</v>
      </c>
      <c r="D106" s="65">
        <v>0.33</v>
      </c>
      <c r="E106">
        <f t="shared" si="50"/>
        <v>497.31</v>
      </c>
      <c r="F106" s="69">
        <f t="shared" si="51"/>
        <v>5427.31</v>
      </c>
      <c r="G106" t="s">
        <v>270</v>
      </c>
      <c r="H106" s="69">
        <f>AVERAGE(F104:F106)</f>
        <v>5442.38</v>
      </c>
      <c r="I106" s="70">
        <f>H106/$F$66</f>
        <v>54.046755836036034</v>
      </c>
      <c r="K106" s="67" t="s">
        <v>263</v>
      </c>
      <c r="M106" s="68">
        <v>5030</v>
      </c>
      <c r="N106" s="65">
        <v>0.33</v>
      </c>
      <c r="O106">
        <f t="shared" si="52"/>
        <v>610.83000000000004</v>
      </c>
      <c r="P106" s="69">
        <f t="shared" si="53"/>
        <v>5640.83</v>
      </c>
      <c r="Q106" t="s">
        <v>270</v>
      </c>
      <c r="R106" s="69">
        <f>AVERAGE(P104:P106)</f>
        <v>5659.34</v>
      </c>
      <c r="S106" s="70">
        <f>R106/$F$66</f>
        <v>56.2013250036036</v>
      </c>
    </row>
    <row r="107" spans="1:19" x14ac:dyDescent="0.25">
      <c r="A107" s="67" t="s">
        <v>276</v>
      </c>
      <c r="C107" s="68">
        <v>4930</v>
      </c>
      <c r="D107" s="65">
        <v>0.37</v>
      </c>
      <c r="E107">
        <f t="shared" si="50"/>
        <v>557.59</v>
      </c>
      <c r="F107" s="69">
        <f t="shared" si="51"/>
        <v>5487.59</v>
      </c>
      <c r="H107" s="69"/>
      <c r="I107" s="70"/>
      <c r="K107" s="67" t="s">
        <v>276</v>
      </c>
      <c r="M107" s="68">
        <v>5030</v>
      </c>
      <c r="N107" s="65">
        <v>0.37</v>
      </c>
      <c r="O107">
        <f t="shared" si="52"/>
        <v>684.87</v>
      </c>
      <c r="P107" s="69">
        <f t="shared" si="53"/>
        <v>5714.87</v>
      </c>
      <c r="R107" s="69"/>
      <c r="S107" s="70"/>
    </row>
    <row r="108" spans="1:19" x14ac:dyDescent="0.25">
      <c r="A108" s="67" t="s">
        <v>277</v>
      </c>
      <c r="C108" s="68">
        <v>4930</v>
      </c>
      <c r="D108" s="65">
        <v>0.35</v>
      </c>
      <c r="E108">
        <f t="shared" si="50"/>
        <v>527.44999999999993</v>
      </c>
      <c r="F108" s="69">
        <f t="shared" si="51"/>
        <v>5457.45</v>
      </c>
      <c r="H108" s="69"/>
      <c r="I108" s="70"/>
      <c r="K108" s="67" t="s">
        <v>277</v>
      </c>
      <c r="M108" s="68">
        <v>5030</v>
      </c>
      <c r="N108" s="65">
        <v>0.35</v>
      </c>
      <c r="O108">
        <f t="shared" si="52"/>
        <v>647.84999999999991</v>
      </c>
      <c r="P108" s="69">
        <f t="shared" si="53"/>
        <v>5677.85</v>
      </c>
      <c r="R108" s="69"/>
      <c r="S108" s="70"/>
    </row>
    <row r="109" spans="1:19" x14ac:dyDescent="0.25">
      <c r="A109" s="67" t="s">
        <v>278</v>
      </c>
      <c r="C109" s="68">
        <v>4930</v>
      </c>
      <c r="D109" s="65">
        <v>0.34</v>
      </c>
      <c r="E109">
        <f t="shared" si="50"/>
        <v>512.38</v>
      </c>
      <c r="F109" s="69">
        <f t="shared" si="51"/>
        <v>5442.38</v>
      </c>
      <c r="G109" t="s">
        <v>279</v>
      </c>
      <c r="H109" s="69">
        <f>AVERAGE(F107:F109)</f>
        <v>5462.4733333333343</v>
      </c>
      <c r="I109" s="70">
        <f>H109/$F$66</f>
        <v>54.246297117717724</v>
      </c>
      <c r="K109" s="67" t="s">
        <v>278</v>
      </c>
      <c r="M109" s="68">
        <v>5030</v>
      </c>
      <c r="N109" s="65">
        <v>0.34</v>
      </c>
      <c r="O109">
        <f t="shared" si="52"/>
        <v>629.34</v>
      </c>
      <c r="P109" s="69">
        <f t="shared" si="53"/>
        <v>5659.34</v>
      </c>
      <c r="Q109" t="s">
        <v>279</v>
      </c>
      <c r="R109" s="69">
        <f>AVERAGE(P107:P109)</f>
        <v>5684.02</v>
      </c>
      <c r="S109" s="70">
        <f>R109/$F$66</f>
        <v>56.44641519099099</v>
      </c>
    </row>
    <row r="110" spans="1:19" x14ac:dyDescent="0.25">
      <c r="A110" s="67" t="s">
        <v>281</v>
      </c>
      <c r="C110" s="68">
        <v>4930</v>
      </c>
      <c r="D110" s="65">
        <v>0.37</v>
      </c>
      <c r="E110">
        <f t="shared" si="50"/>
        <v>557.59</v>
      </c>
      <c r="F110" s="69">
        <f t="shared" si="51"/>
        <v>5487.59</v>
      </c>
      <c r="H110" s="69"/>
      <c r="I110" s="70"/>
      <c r="K110" s="67" t="s">
        <v>281</v>
      </c>
      <c r="M110" s="68">
        <v>5030</v>
      </c>
      <c r="N110" s="65">
        <v>0.37</v>
      </c>
      <c r="O110">
        <f t="shared" si="52"/>
        <v>684.87</v>
      </c>
      <c r="P110" s="69">
        <f t="shared" si="53"/>
        <v>5714.87</v>
      </c>
      <c r="R110" s="69"/>
      <c r="S110" s="70"/>
    </row>
    <row r="111" spans="1:19" x14ac:dyDescent="0.25">
      <c r="A111" s="67" t="s">
        <v>282</v>
      </c>
      <c r="C111" s="68">
        <v>4930</v>
      </c>
      <c r="D111" s="65">
        <v>0.41</v>
      </c>
      <c r="E111">
        <f t="shared" si="50"/>
        <v>617.87</v>
      </c>
      <c r="F111" s="69">
        <f t="shared" si="51"/>
        <v>5547.87</v>
      </c>
      <c r="H111" s="69"/>
      <c r="I111" s="70"/>
      <c r="K111" s="67" t="s">
        <v>282</v>
      </c>
      <c r="M111" s="68">
        <v>5030</v>
      </c>
      <c r="N111" s="65">
        <v>0.41</v>
      </c>
      <c r="O111">
        <f t="shared" si="52"/>
        <v>758.91</v>
      </c>
      <c r="P111" s="69">
        <f t="shared" si="53"/>
        <v>5788.91</v>
      </c>
      <c r="R111" s="69"/>
      <c r="S111" s="70"/>
    </row>
    <row r="112" spans="1:19" x14ac:dyDescent="0.25">
      <c r="A112" s="67" t="s">
        <v>283</v>
      </c>
      <c r="C112" s="68">
        <v>4930</v>
      </c>
      <c r="D112" s="65">
        <v>0.41</v>
      </c>
      <c r="E112">
        <f t="shared" si="50"/>
        <v>617.87</v>
      </c>
      <c r="F112" s="69">
        <f t="shared" si="51"/>
        <v>5547.87</v>
      </c>
      <c r="G112" t="s">
        <v>289</v>
      </c>
      <c r="H112" s="69">
        <f>AVERAGE(F110:F112)</f>
        <v>5527.7766666666657</v>
      </c>
      <c r="I112" s="70">
        <f>H112/$F$66</f>
        <v>54.894806283183172</v>
      </c>
      <c r="K112" s="67" t="s">
        <v>283</v>
      </c>
      <c r="M112" s="68">
        <v>5030</v>
      </c>
      <c r="N112" s="65">
        <v>0.41</v>
      </c>
      <c r="O112">
        <f t="shared" si="52"/>
        <v>758.91</v>
      </c>
      <c r="P112" s="69">
        <f t="shared" si="53"/>
        <v>5788.91</v>
      </c>
      <c r="Q112" t="s">
        <v>289</v>
      </c>
      <c r="R112" s="69">
        <f>AVERAGE(P110:P112)</f>
        <v>5764.23</v>
      </c>
      <c r="S112" s="70">
        <f>R112/$F$66</f>
        <v>57.242958299999991</v>
      </c>
    </row>
    <row r="113" spans="1:19" x14ac:dyDescent="0.25">
      <c r="A113" s="67" t="s">
        <v>284</v>
      </c>
      <c r="C113" s="68">
        <v>4930</v>
      </c>
      <c r="D113" s="65">
        <v>0.37</v>
      </c>
      <c r="E113">
        <f t="shared" si="50"/>
        <v>557.59</v>
      </c>
      <c r="F113" s="69">
        <f t="shared" si="51"/>
        <v>5487.59</v>
      </c>
      <c r="H113" s="69"/>
      <c r="I113" s="70"/>
      <c r="K113" s="67" t="s">
        <v>284</v>
      </c>
      <c r="M113" s="68">
        <v>5030</v>
      </c>
      <c r="N113" s="65">
        <v>0.37</v>
      </c>
      <c r="O113">
        <f t="shared" si="52"/>
        <v>684.87</v>
      </c>
      <c r="P113" s="69">
        <f t="shared" si="53"/>
        <v>5714.87</v>
      </c>
      <c r="R113" s="69"/>
      <c r="S113" s="70"/>
    </row>
    <row r="114" spans="1:19" x14ac:dyDescent="0.25">
      <c r="A114" s="67" t="s">
        <v>285</v>
      </c>
      <c r="C114" s="68">
        <v>4930</v>
      </c>
      <c r="D114" s="65">
        <v>0.32</v>
      </c>
      <c r="E114">
        <f t="shared" si="50"/>
        <v>482.24</v>
      </c>
      <c r="F114" s="69">
        <f t="shared" si="51"/>
        <v>5412.24</v>
      </c>
      <c r="H114" s="69"/>
      <c r="I114" s="70"/>
      <c r="K114" s="67" t="s">
        <v>285</v>
      </c>
      <c r="M114" s="68">
        <v>5030</v>
      </c>
      <c r="N114" s="65">
        <v>0.32</v>
      </c>
      <c r="O114">
        <f t="shared" si="52"/>
        <v>592.32000000000005</v>
      </c>
      <c r="P114" s="69">
        <f t="shared" si="53"/>
        <v>5622.32</v>
      </c>
      <c r="R114" s="69"/>
      <c r="S114" s="70"/>
    </row>
    <row r="115" spans="1:19" x14ac:dyDescent="0.25">
      <c r="A115" s="67" t="s">
        <v>286</v>
      </c>
      <c r="C115" s="68">
        <v>4930</v>
      </c>
      <c r="D115" s="65">
        <v>0.31</v>
      </c>
      <c r="E115">
        <f t="shared" si="50"/>
        <v>467.17</v>
      </c>
      <c r="F115" s="69">
        <f t="shared" si="51"/>
        <v>5397.17</v>
      </c>
      <c r="G115" t="s">
        <v>290</v>
      </c>
      <c r="H115" s="69">
        <f>AVERAGE(F113:F115)</f>
        <v>5432.333333333333</v>
      </c>
      <c r="I115" s="70">
        <f>H115/$F$66</f>
        <v>53.94698519519519</v>
      </c>
      <c r="K115" s="67" t="s">
        <v>286</v>
      </c>
      <c r="M115" s="68">
        <v>5030</v>
      </c>
      <c r="N115" s="65">
        <v>0.31</v>
      </c>
      <c r="O115">
        <f t="shared" ref="O115:O118" si="54">$M$68*N115</f>
        <v>573.80999999999995</v>
      </c>
      <c r="P115" s="69">
        <f t="shared" ref="P115:P118" si="55">M115+O115</f>
        <v>5603.8099999999995</v>
      </c>
      <c r="Q115" t="s">
        <v>290</v>
      </c>
      <c r="R115" s="69">
        <f>AVERAGE(P113:P115)</f>
        <v>5647</v>
      </c>
      <c r="S115" s="70">
        <f>R115/$F$66</f>
        <v>56.078779909909905</v>
      </c>
    </row>
    <row r="116" spans="1:19" x14ac:dyDescent="0.25">
      <c r="A116" s="67" t="s">
        <v>280</v>
      </c>
      <c r="C116" s="68">
        <v>5230</v>
      </c>
      <c r="D116" s="65">
        <v>0.38</v>
      </c>
      <c r="E116">
        <f t="shared" si="50"/>
        <v>572.66</v>
      </c>
      <c r="F116" s="69">
        <f t="shared" si="51"/>
        <v>5802.66</v>
      </c>
      <c r="H116" s="69"/>
      <c r="I116" s="70"/>
      <c r="K116" s="67" t="s">
        <v>280</v>
      </c>
      <c r="M116" s="68">
        <v>5330</v>
      </c>
      <c r="N116" s="65">
        <v>0.38</v>
      </c>
      <c r="O116">
        <f t="shared" si="54"/>
        <v>703.38</v>
      </c>
      <c r="P116" s="69">
        <f t="shared" si="55"/>
        <v>6033.38</v>
      </c>
      <c r="R116" s="69"/>
      <c r="S116" s="70"/>
    </row>
    <row r="117" spans="1:19" x14ac:dyDescent="0.25">
      <c r="A117" s="67" t="s">
        <v>287</v>
      </c>
      <c r="C117" s="68">
        <v>5230</v>
      </c>
      <c r="D117" s="65">
        <v>0.41</v>
      </c>
      <c r="E117">
        <f t="shared" si="50"/>
        <v>617.87</v>
      </c>
      <c r="F117" s="69">
        <f t="shared" si="51"/>
        <v>5847.87</v>
      </c>
      <c r="H117" s="69"/>
      <c r="I117" s="70"/>
      <c r="K117" s="67" t="s">
        <v>287</v>
      </c>
      <c r="M117" s="68">
        <v>5330</v>
      </c>
      <c r="N117" s="65">
        <v>0.41</v>
      </c>
      <c r="O117">
        <f t="shared" si="54"/>
        <v>758.91</v>
      </c>
      <c r="P117" s="69">
        <f t="shared" si="55"/>
        <v>6088.91</v>
      </c>
      <c r="R117" s="69"/>
      <c r="S117" s="70"/>
    </row>
    <row r="118" spans="1:19" x14ac:dyDescent="0.25">
      <c r="A118" s="67" t="s">
        <v>288</v>
      </c>
      <c r="C118" s="68">
        <v>5230</v>
      </c>
      <c r="D118" s="65">
        <v>0.4</v>
      </c>
      <c r="E118">
        <f t="shared" si="50"/>
        <v>602.80000000000007</v>
      </c>
      <c r="F118" s="69">
        <f t="shared" si="51"/>
        <v>5832.8</v>
      </c>
      <c r="G118" t="s">
        <v>291</v>
      </c>
      <c r="H118" s="69">
        <f>AVERAGE(F116:F118)</f>
        <v>5827.7766666666657</v>
      </c>
      <c r="I118" s="70">
        <f>H118/$F$66</f>
        <v>57.874022499399388</v>
      </c>
      <c r="K118" s="67" t="s">
        <v>288</v>
      </c>
      <c r="M118" s="68">
        <v>5330</v>
      </c>
      <c r="N118" s="65">
        <v>0.4</v>
      </c>
      <c r="O118">
        <f t="shared" si="54"/>
        <v>740.40000000000009</v>
      </c>
      <c r="P118" s="69">
        <f t="shared" si="55"/>
        <v>6070.4</v>
      </c>
      <c r="Q118" t="s">
        <v>291</v>
      </c>
      <c r="R118" s="69">
        <f>AVERAGE(P116:P118)</f>
        <v>6064.2300000000005</v>
      </c>
      <c r="S118" s="70">
        <f>R118/$F$66</f>
        <v>60.222174516216221</v>
      </c>
    </row>
    <row r="119" spans="1:19" x14ac:dyDescent="0.25">
      <c r="A119" s="67"/>
      <c r="C119" s="68"/>
      <c r="D119" s="65"/>
      <c r="F119" s="69"/>
      <c r="H119" s="69"/>
      <c r="I119" s="70"/>
      <c r="K119" s="67"/>
      <c r="M119" s="68"/>
      <c r="N119" s="65"/>
      <c r="P119" s="69"/>
      <c r="R119" s="69"/>
      <c r="S119" s="70"/>
    </row>
    <row r="123" spans="1:19" x14ac:dyDescent="0.25">
      <c r="A123" t="s">
        <v>188</v>
      </c>
      <c r="K123" t="s">
        <v>188</v>
      </c>
    </row>
    <row r="124" spans="1:19" x14ac:dyDescent="0.25">
      <c r="A124" s="62" t="s">
        <v>234</v>
      </c>
      <c r="B124" s="62" t="s">
        <v>189</v>
      </c>
      <c r="C124" s="62" t="s">
        <v>126</v>
      </c>
      <c r="D124" s="62"/>
      <c r="K124" s="62" t="s">
        <v>237</v>
      </c>
    </row>
    <row r="125" spans="1:19" x14ac:dyDescent="0.25">
      <c r="A125" t="s">
        <v>235</v>
      </c>
      <c r="C125" t="s">
        <v>236</v>
      </c>
      <c r="K125" t="s">
        <v>238</v>
      </c>
    </row>
    <row r="126" spans="1:19" x14ac:dyDescent="0.25">
      <c r="A126" s="81" t="s">
        <v>109</v>
      </c>
      <c r="K126" s="81" t="s">
        <v>109</v>
      </c>
    </row>
    <row r="127" spans="1:19" x14ac:dyDescent="0.25">
      <c r="A127" t="s">
        <v>250</v>
      </c>
      <c r="E127" t="s">
        <v>229</v>
      </c>
      <c r="F127" s="70">
        <f>111/1.10231</f>
        <v>100.69762589471202</v>
      </c>
      <c r="G127" t="s">
        <v>228</v>
      </c>
      <c r="K127" t="s">
        <v>250</v>
      </c>
    </row>
    <row r="128" spans="1:19" x14ac:dyDescent="0.25">
      <c r="A128" t="s">
        <v>191</v>
      </c>
      <c r="K128" t="s">
        <v>191</v>
      </c>
    </row>
    <row r="129" spans="1:19" x14ac:dyDescent="0.25">
      <c r="A129" t="s">
        <v>192</v>
      </c>
      <c r="C129">
        <v>685</v>
      </c>
      <c r="K129" t="s">
        <v>192</v>
      </c>
      <c r="M129">
        <v>1520</v>
      </c>
    </row>
    <row r="130" spans="1:19" x14ac:dyDescent="0.25">
      <c r="D130" t="s">
        <v>195</v>
      </c>
      <c r="E130" t="s">
        <v>195</v>
      </c>
      <c r="F130" t="s">
        <v>219</v>
      </c>
      <c r="H130" t="s">
        <v>230</v>
      </c>
      <c r="N130" t="s">
        <v>195</v>
      </c>
      <c r="O130" t="s">
        <v>195</v>
      </c>
      <c r="P130" t="s">
        <v>219</v>
      </c>
      <c r="R130" t="s">
        <v>230</v>
      </c>
    </row>
    <row r="131" spans="1:19" ht="15.75" thickBot="1" x14ac:dyDescent="0.3">
      <c r="A131" s="66" t="s">
        <v>193</v>
      </c>
      <c r="B131" s="66"/>
      <c r="C131" s="66" t="s">
        <v>194</v>
      </c>
      <c r="D131" s="66" t="s">
        <v>196</v>
      </c>
      <c r="E131" s="66" t="s">
        <v>218</v>
      </c>
      <c r="F131" s="66" t="s">
        <v>195</v>
      </c>
      <c r="H131" s="66" t="s">
        <v>231</v>
      </c>
      <c r="I131" s="66" t="s">
        <v>227</v>
      </c>
      <c r="K131" s="66" t="s">
        <v>193</v>
      </c>
      <c r="L131" s="66"/>
      <c r="M131" s="66" t="s">
        <v>194</v>
      </c>
      <c r="N131" s="66" t="s">
        <v>196</v>
      </c>
      <c r="O131" s="66" t="s">
        <v>218</v>
      </c>
      <c r="P131" s="66" t="s">
        <v>195</v>
      </c>
      <c r="R131" s="66" t="s">
        <v>231</v>
      </c>
      <c r="S131" s="66" t="s">
        <v>227</v>
      </c>
    </row>
    <row r="132" spans="1:19" x14ac:dyDescent="0.25">
      <c r="A132" s="67" t="s">
        <v>197</v>
      </c>
      <c r="C132" s="68">
        <v>2605</v>
      </c>
      <c r="D132" s="65">
        <v>0.41</v>
      </c>
      <c r="E132" s="70">
        <f>$C$129*D132</f>
        <v>280.84999999999997</v>
      </c>
      <c r="F132" s="68">
        <f>C132+E132</f>
        <v>2885.85</v>
      </c>
      <c r="K132" s="67" t="s">
        <v>197</v>
      </c>
      <c r="M132" s="68">
        <v>3859</v>
      </c>
      <c r="N132" s="65">
        <v>0.41</v>
      </c>
      <c r="O132" s="70">
        <f>$M$129*N132</f>
        <v>623.19999999999993</v>
      </c>
      <c r="P132" s="69">
        <f>M132+O132</f>
        <v>4482.2</v>
      </c>
    </row>
    <row r="133" spans="1:19" x14ac:dyDescent="0.25">
      <c r="A133" s="67" t="s">
        <v>198</v>
      </c>
      <c r="C133" s="68">
        <v>2605</v>
      </c>
      <c r="D133" s="65">
        <v>0.3</v>
      </c>
      <c r="E133" s="70">
        <f t="shared" ref="E133:E175" si="56">$C$129*D133</f>
        <v>205.5</v>
      </c>
      <c r="F133" s="68">
        <f t="shared" ref="F133:F175" si="57">C133+E133</f>
        <v>2810.5</v>
      </c>
      <c r="K133" s="67" t="s">
        <v>198</v>
      </c>
      <c r="M133" s="68">
        <v>3859</v>
      </c>
      <c r="N133" s="65">
        <v>0.3</v>
      </c>
      <c r="O133" s="70">
        <f t="shared" ref="O133:O175" si="58">$M$129*N133</f>
        <v>456</v>
      </c>
      <c r="P133" s="69">
        <f t="shared" ref="P133:P175" si="59">M133+O133</f>
        <v>4315</v>
      </c>
    </row>
    <row r="134" spans="1:19" x14ac:dyDescent="0.25">
      <c r="A134" s="67" t="s">
        <v>199</v>
      </c>
      <c r="C134" s="68">
        <v>2605</v>
      </c>
      <c r="D134" s="65">
        <v>0.27</v>
      </c>
      <c r="E134" s="70">
        <f t="shared" si="56"/>
        <v>184.95000000000002</v>
      </c>
      <c r="F134" s="68">
        <f t="shared" si="57"/>
        <v>2789.95</v>
      </c>
      <c r="G134" t="s">
        <v>220</v>
      </c>
      <c r="H134" s="69">
        <f>AVERAGE(F132:F134)</f>
        <v>2828.7666666666664</v>
      </c>
      <c r="I134" s="71">
        <f>H134/$F$127</f>
        <v>28.091691750750748</v>
      </c>
      <c r="K134" s="67" t="s">
        <v>199</v>
      </c>
      <c r="M134" s="68">
        <v>3859</v>
      </c>
      <c r="N134" s="65">
        <v>0.27</v>
      </c>
      <c r="O134" s="70">
        <f t="shared" si="58"/>
        <v>410.40000000000003</v>
      </c>
      <c r="P134" s="69">
        <f t="shared" si="59"/>
        <v>4269.3999999999996</v>
      </c>
      <c r="Q134" t="s">
        <v>220</v>
      </c>
      <c r="R134" s="69">
        <f>AVERAGE(P132:P134)</f>
        <v>4355.5333333333338</v>
      </c>
      <c r="S134" s="71">
        <f>R134/$F$127</f>
        <v>43.253585123123123</v>
      </c>
    </row>
    <row r="135" spans="1:19" x14ac:dyDescent="0.25">
      <c r="A135" s="67" t="s">
        <v>200</v>
      </c>
      <c r="C135" s="68">
        <v>2605</v>
      </c>
      <c r="D135" s="65">
        <v>0.24</v>
      </c>
      <c r="E135" s="70">
        <f t="shared" si="56"/>
        <v>164.4</v>
      </c>
      <c r="F135" s="68">
        <f t="shared" si="57"/>
        <v>2769.4</v>
      </c>
      <c r="K135" s="67" t="s">
        <v>200</v>
      </c>
      <c r="M135" s="68">
        <v>3859</v>
      </c>
      <c r="N135" s="65">
        <v>0.24</v>
      </c>
      <c r="O135" s="70">
        <f t="shared" si="58"/>
        <v>364.8</v>
      </c>
      <c r="P135" s="69">
        <f t="shared" si="59"/>
        <v>4223.8</v>
      </c>
    </row>
    <row r="136" spans="1:19" x14ac:dyDescent="0.25">
      <c r="A136" s="67" t="s">
        <v>201</v>
      </c>
      <c r="C136" s="68">
        <v>2605</v>
      </c>
      <c r="D136" s="65">
        <v>0.22</v>
      </c>
      <c r="E136" s="70">
        <f t="shared" si="56"/>
        <v>150.69999999999999</v>
      </c>
      <c r="F136" s="68">
        <f t="shared" si="57"/>
        <v>2755.7</v>
      </c>
      <c r="K136" s="67" t="s">
        <v>201</v>
      </c>
      <c r="M136" s="68">
        <v>3859</v>
      </c>
      <c r="N136" s="65">
        <v>0.22</v>
      </c>
      <c r="O136" s="70">
        <f t="shared" si="58"/>
        <v>334.4</v>
      </c>
      <c r="P136" s="69">
        <f t="shared" si="59"/>
        <v>4193.3999999999996</v>
      </c>
    </row>
    <row r="137" spans="1:19" x14ac:dyDescent="0.25">
      <c r="A137" s="67" t="s">
        <v>202</v>
      </c>
      <c r="C137" s="68">
        <v>2692</v>
      </c>
      <c r="D137" s="65">
        <v>0.25</v>
      </c>
      <c r="E137" s="70">
        <f t="shared" si="56"/>
        <v>171.25</v>
      </c>
      <c r="F137" s="68">
        <f t="shared" si="57"/>
        <v>2863.25</v>
      </c>
      <c r="G137" t="s">
        <v>222</v>
      </c>
      <c r="H137" s="69">
        <f>AVERAGE(F135:F137)</f>
        <v>2796.1166666666668</v>
      </c>
      <c r="I137" s="71">
        <f>H137/$F$127</f>
        <v>27.767453719219219</v>
      </c>
      <c r="K137" s="67" t="s">
        <v>202</v>
      </c>
      <c r="M137" s="68">
        <v>3859</v>
      </c>
      <c r="N137" s="65">
        <v>0.25</v>
      </c>
      <c r="O137" s="70">
        <f t="shared" si="58"/>
        <v>380</v>
      </c>
      <c r="P137" s="69">
        <f t="shared" si="59"/>
        <v>4239</v>
      </c>
      <c r="Q137" t="s">
        <v>222</v>
      </c>
      <c r="R137" s="69">
        <f>AVERAGE(P135:P137)</f>
        <v>4218.7333333333336</v>
      </c>
      <c r="S137" s="71">
        <f>R137/$F$127</f>
        <v>41.895062528528527</v>
      </c>
    </row>
    <row r="138" spans="1:19" x14ac:dyDescent="0.25">
      <c r="A138" s="67" t="s">
        <v>203</v>
      </c>
      <c r="C138" s="68">
        <v>2692</v>
      </c>
      <c r="D138" s="65">
        <v>0.25</v>
      </c>
      <c r="E138" s="70">
        <f t="shared" si="56"/>
        <v>171.25</v>
      </c>
      <c r="F138" s="68">
        <f t="shared" si="57"/>
        <v>2863.25</v>
      </c>
      <c r="K138" s="67" t="s">
        <v>203</v>
      </c>
      <c r="M138" s="68">
        <v>3859</v>
      </c>
      <c r="N138" s="65">
        <v>0.25</v>
      </c>
      <c r="O138" s="70">
        <f t="shared" si="58"/>
        <v>380</v>
      </c>
      <c r="P138" s="69">
        <f t="shared" si="59"/>
        <v>4239</v>
      </c>
    </row>
    <row r="139" spans="1:19" x14ac:dyDescent="0.25">
      <c r="A139" s="67" t="s">
        <v>204</v>
      </c>
      <c r="C139" s="68">
        <v>2692</v>
      </c>
      <c r="D139" s="65">
        <v>0.32</v>
      </c>
      <c r="E139" s="70">
        <f t="shared" si="56"/>
        <v>219.20000000000002</v>
      </c>
      <c r="F139" s="68">
        <f t="shared" si="57"/>
        <v>2911.2</v>
      </c>
      <c r="K139" s="67" t="s">
        <v>204</v>
      </c>
      <c r="M139" s="68">
        <v>3946</v>
      </c>
      <c r="N139" s="65">
        <v>0.32</v>
      </c>
      <c r="O139" s="70">
        <f t="shared" si="58"/>
        <v>486.40000000000003</v>
      </c>
      <c r="P139" s="69">
        <f t="shared" si="59"/>
        <v>4432.3999999999996</v>
      </c>
    </row>
    <row r="140" spans="1:19" x14ac:dyDescent="0.25">
      <c r="A140" s="67" t="s">
        <v>205</v>
      </c>
      <c r="C140" s="68">
        <v>2692</v>
      </c>
      <c r="D140" s="65">
        <v>0.33</v>
      </c>
      <c r="E140" s="70">
        <f t="shared" si="56"/>
        <v>226.05</v>
      </c>
      <c r="F140" s="68">
        <f t="shared" si="57"/>
        <v>2918.05</v>
      </c>
      <c r="G140" t="s">
        <v>221</v>
      </c>
      <c r="H140" s="69">
        <f>AVERAGE(F138:F140)</f>
        <v>2897.5</v>
      </c>
      <c r="I140" s="71">
        <f>H140/$F$127</f>
        <v>28.774263288288285</v>
      </c>
      <c r="K140" s="67" t="s">
        <v>205</v>
      </c>
      <c r="M140" s="68">
        <v>3946</v>
      </c>
      <c r="N140" s="65">
        <v>0.33</v>
      </c>
      <c r="O140" s="70">
        <f t="shared" si="58"/>
        <v>501.6</v>
      </c>
      <c r="P140" s="69">
        <f t="shared" si="59"/>
        <v>4447.6000000000004</v>
      </c>
      <c r="Q140" t="s">
        <v>221</v>
      </c>
      <c r="R140" s="69">
        <f>AVERAGE(P138:P140)</f>
        <v>4373</v>
      </c>
      <c r="S140" s="71">
        <f>R140/$F$127</f>
        <v>43.427041711711709</v>
      </c>
    </row>
    <row r="141" spans="1:19" x14ac:dyDescent="0.25">
      <c r="A141" s="67" t="s">
        <v>206</v>
      </c>
      <c r="C141" s="68">
        <v>2692</v>
      </c>
      <c r="D141" s="65">
        <v>0.35</v>
      </c>
      <c r="E141" s="70">
        <f t="shared" si="56"/>
        <v>239.74999999999997</v>
      </c>
      <c r="F141" s="68">
        <f t="shared" si="57"/>
        <v>2931.75</v>
      </c>
      <c r="K141" s="67" t="s">
        <v>206</v>
      </c>
      <c r="M141" s="68">
        <v>3946</v>
      </c>
      <c r="N141" s="65">
        <v>0.35</v>
      </c>
      <c r="O141" s="70">
        <f t="shared" si="58"/>
        <v>532</v>
      </c>
      <c r="P141" s="69">
        <f t="shared" si="59"/>
        <v>4478</v>
      </c>
    </row>
    <row r="142" spans="1:19" x14ac:dyDescent="0.25">
      <c r="A142" s="67" t="s">
        <v>207</v>
      </c>
      <c r="C142" s="68">
        <v>2692</v>
      </c>
      <c r="D142" s="65">
        <v>0.35</v>
      </c>
      <c r="E142" s="70">
        <f t="shared" si="56"/>
        <v>239.74999999999997</v>
      </c>
      <c r="F142" s="68">
        <f t="shared" si="57"/>
        <v>2931.75</v>
      </c>
      <c r="K142" s="67" t="s">
        <v>207</v>
      </c>
      <c r="M142" s="68">
        <v>3946</v>
      </c>
      <c r="N142" s="65">
        <v>0.35</v>
      </c>
      <c r="O142" s="70">
        <f t="shared" si="58"/>
        <v>532</v>
      </c>
      <c r="P142" s="69">
        <f t="shared" si="59"/>
        <v>4478</v>
      </c>
    </row>
    <row r="143" spans="1:19" x14ac:dyDescent="0.25">
      <c r="A143" s="67" t="s">
        <v>208</v>
      </c>
      <c r="C143" s="68">
        <v>2692</v>
      </c>
      <c r="D143" s="65">
        <v>0.36</v>
      </c>
      <c r="E143" s="70">
        <f t="shared" si="56"/>
        <v>246.6</v>
      </c>
      <c r="F143" s="68">
        <f t="shared" si="57"/>
        <v>2938.6</v>
      </c>
      <c r="G143" t="s">
        <v>223</v>
      </c>
      <c r="H143" s="69">
        <f>AVERAGE(F141:F143)</f>
        <v>2934.0333333333333</v>
      </c>
      <c r="I143" s="71">
        <f>H143/$F$127</f>
        <v>29.137065618618617</v>
      </c>
      <c r="K143" s="67" t="s">
        <v>208</v>
      </c>
      <c r="M143" s="68">
        <v>3946</v>
      </c>
      <c r="N143" s="65">
        <v>0.36</v>
      </c>
      <c r="O143" s="70">
        <f t="shared" si="58"/>
        <v>547.19999999999993</v>
      </c>
      <c r="P143" s="69">
        <f t="shared" si="59"/>
        <v>4493.2</v>
      </c>
      <c r="Q143" t="s">
        <v>223</v>
      </c>
      <c r="R143" s="69">
        <f>AVERAGE(P141:P143)</f>
        <v>4483.0666666666666</v>
      </c>
      <c r="S143" s="71">
        <f>R143/$F$127</f>
        <v>44.520083039039037</v>
      </c>
    </row>
    <row r="144" spans="1:19" x14ac:dyDescent="0.25">
      <c r="A144" s="67" t="s">
        <v>209</v>
      </c>
      <c r="C144" s="68">
        <v>2779</v>
      </c>
      <c r="D144" s="65">
        <v>0.39</v>
      </c>
      <c r="E144" s="70">
        <f t="shared" si="56"/>
        <v>267.15000000000003</v>
      </c>
      <c r="F144" s="68">
        <f t="shared" si="57"/>
        <v>3046.15</v>
      </c>
      <c r="K144" s="67" t="s">
        <v>209</v>
      </c>
      <c r="M144" s="68">
        <v>4033</v>
      </c>
      <c r="N144" s="65">
        <v>0.39</v>
      </c>
      <c r="O144" s="70">
        <f t="shared" si="58"/>
        <v>592.80000000000007</v>
      </c>
      <c r="P144" s="69">
        <f t="shared" si="59"/>
        <v>4625.8</v>
      </c>
    </row>
    <row r="145" spans="1:19" x14ac:dyDescent="0.25">
      <c r="A145" s="67" t="s">
        <v>210</v>
      </c>
      <c r="C145" s="68">
        <v>2779</v>
      </c>
      <c r="D145" s="65">
        <v>0.38</v>
      </c>
      <c r="E145" s="70">
        <f t="shared" si="56"/>
        <v>260.3</v>
      </c>
      <c r="F145" s="68">
        <f t="shared" si="57"/>
        <v>3039.3</v>
      </c>
      <c r="K145" s="67" t="s">
        <v>210</v>
      </c>
      <c r="M145" s="68">
        <v>4033</v>
      </c>
      <c r="N145" s="65">
        <v>0.38</v>
      </c>
      <c r="O145" s="70">
        <f t="shared" si="58"/>
        <v>577.6</v>
      </c>
      <c r="P145" s="69">
        <f t="shared" si="59"/>
        <v>4610.6000000000004</v>
      </c>
    </row>
    <row r="146" spans="1:19" x14ac:dyDescent="0.25">
      <c r="A146" s="67" t="s">
        <v>211</v>
      </c>
      <c r="C146" s="68">
        <v>2779</v>
      </c>
      <c r="D146" s="65">
        <v>0.4</v>
      </c>
      <c r="E146" s="70">
        <f t="shared" si="56"/>
        <v>274</v>
      </c>
      <c r="F146" s="68">
        <f t="shared" si="57"/>
        <v>3053</v>
      </c>
      <c r="G146" t="s">
        <v>224</v>
      </c>
      <c r="H146" s="69">
        <f>AVERAGE(F144:F146)</f>
        <v>3046.15</v>
      </c>
      <c r="I146" s="71">
        <f>H146/$F$127</f>
        <v>30.250464923423422</v>
      </c>
      <c r="K146" s="67" t="s">
        <v>211</v>
      </c>
      <c r="M146" s="68">
        <v>4033</v>
      </c>
      <c r="N146" s="65">
        <v>0.4</v>
      </c>
      <c r="O146" s="70">
        <f t="shared" si="58"/>
        <v>608</v>
      </c>
      <c r="P146" s="69">
        <f t="shared" si="59"/>
        <v>4641</v>
      </c>
      <c r="Q146" t="s">
        <v>224</v>
      </c>
      <c r="R146" s="69">
        <f>AVERAGE(P144:P146)</f>
        <v>4625.8</v>
      </c>
      <c r="S146" s="71">
        <f>R146/$F$127</f>
        <v>45.93752790990991</v>
      </c>
    </row>
    <row r="147" spans="1:19" x14ac:dyDescent="0.25">
      <c r="A147" s="67" t="s">
        <v>212</v>
      </c>
      <c r="C147" s="68">
        <v>2779</v>
      </c>
      <c r="D147" s="65">
        <v>0.39</v>
      </c>
      <c r="E147" s="70">
        <f t="shared" si="56"/>
        <v>267.15000000000003</v>
      </c>
      <c r="F147" s="68">
        <f t="shared" si="57"/>
        <v>3046.15</v>
      </c>
      <c r="K147" s="67" t="s">
        <v>212</v>
      </c>
      <c r="M147" s="68">
        <v>4033</v>
      </c>
      <c r="N147" s="65">
        <v>0.39</v>
      </c>
      <c r="O147" s="70">
        <f t="shared" si="58"/>
        <v>592.80000000000007</v>
      </c>
      <c r="P147" s="69">
        <f t="shared" si="59"/>
        <v>4625.8</v>
      </c>
    </row>
    <row r="148" spans="1:19" x14ac:dyDescent="0.25">
      <c r="A148" s="67" t="s">
        <v>213</v>
      </c>
      <c r="C148" s="68">
        <v>2779</v>
      </c>
      <c r="D148" s="65">
        <v>0.42</v>
      </c>
      <c r="E148" s="70">
        <f t="shared" si="56"/>
        <v>287.7</v>
      </c>
      <c r="F148" s="68">
        <f t="shared" si="57"/>
        <v>3066.7</v>
      </c>
      <c r="K148" s="67" t="s">
        <v>213</v>
      </c>
      <c r="M148" s="68">
        <v>4033</v>
      </c>
      <c r="N148" s="65">
        <v>0.42</v>
      </c>
      <c r="O148" s="70">
        <f t="shared" si="58"/>
        <v>638.4</v>
      </c>
      <c r="P148" s="69">
        <f t="shared" si="59"/>
        <v>4671.3999999999996</v>
      </c>
    </row>
    <row r="149" spans="1:19" x14ac:dyDescent="0.25">
      <c r="A149" s="67" t="s">
        <v>214</v>
      </c>
      <c r="C149" s="68">
        <v>2867</v>
      </c>
      <c r="D149" s="65">
        <v>0.46</v>
      </c>
      <c r="E149" s="70">
        <f t="shared" si="56"/>
        <v>315.10000000000002</v>
      </c>
      <c r="F149" s="68">
        <f t="shared" si="57"/>
        <v>3182.1</v>
      </c>
      <c r="G149" t="s">
        <v>225</v>
      </c>
      <c r="H149" s="69">
        <f>AVERAGE(F147:F149)</f>
        <v>3098.3166666666671</v>
      </c>
      <c r="I149" s="71">
        <f>H149/$F$127</f>
        <v>30.768517521021025</v>
      </c>
      <c r="K149" s="67" t="s">
        <v>214</v>
      </c>
      <c r="M149" s="68">
        <v>4033</v>
      </c>
      <c r="N149" s="65">
        <v>0.46</v>
      </c>
      <c r="O149" s="70">
        <f t="shared" si="58"/>
        <v>699.2</v>
      </c>
      <c r="P149" s="69">
        <f t="shared" si="59"/>
        <v>4732.2</v>
      </c>
      <c r="Q149" t="s">
        <v>225</v>
      </c>
      <c r="R149" s="69">
        <f>AVERAGE(P147:P149)</f>
        <v>4676.4666666666672</v>
      </c>
      <c r="S149" s="71">
        <f>R149/$F$127</f>
        <v>46.440684426426429</v>
      </c>
    </row>
    <row r="150" spans="1:19" x14ac:dyDescent="0.25">
      <c r="A150" s="67" t="s">
        <v>215</v>
      </c>
      <c r="C150" s="68">
        <v>2867</v>
      </c>
      <c r="D150" s="65">
        <v>0.46</v>
      </c>
      <c r="E150" s="70">
        <f t="shared" si="56"/>
        <v>315.10000000000002</v>
      </c>
      <c r="F150" s="68">
        <f t="shared" si="57"/>
        <v>3182.1</v>
      </c>
      <c r="K150" s="67" t="s">
        <v>215</v>
      </c>
      <c r="M150" s="68">
        <v>4033</v>
      </c>
      <c r="N150" s="65">
        <v>0.46</v>
      </c>
      <c r="O150" s="70">
        <f t="shared" si="58"/>
        <v>699.2</v>
      </c>
      <c r="P150" s="69">
        <f t="shared" si="59"/>
        <v>4732.2</v>
      </c>
    </row>
    <row r="151" spans="1:19" x14ac:dyDescent="0.25">
      <c r="A151" s="67" t="s">
        <v>216</v>
      </c>
      <c r="C151" s="68">
        <v>2867</v>
      </c>
      <c r="D151" s="65">
        <v>0.43</v>
      </c>
      <c r="E151" s="70">
        <f t="shared" si="56"/>
        <v>294.55</v>
      </c>
      <c r="F151" s="68">
        <f t="shared" si="57"/>
        <v>3161.55</v>
      </c>
      <c r="K151" s="67" t="s">
        <v>216</v>
      </c>
      <c r="M151" s="68">
        <v>4131</v>
      </c>
      <c r="N151" s="65">
        <v>0.43</v>
      </c>
      <c r="O151" s="70">
        <f t="shared" si="58"/>
        <v>653.6</v>
      </c>
      <c r="P151" s="69">
        <f t="shared" si="59"/>
        <v>4784.6000000000004</v>
      </c>
    </row>
    <row r="152" spans="1:19" x14ac:dyDescent="0.25">
      <c r="A152" s="67" t="s">
        <v>217</v>
      </c>
      <c r="C152" s="68">
        <v>2867</v>
      </c>
      <c r="D152" s="65">
        <v>0.42</v>
      </c>
      <c r="E152" s="70">
        <f t="shared" si="56"/>
        <v>287.7</v>
      </c>
      <c r="F152" s="68">
        <f t="shared" si="57"/>
        <v>3154.7</v>
      </c>
      <c r="G152" t="s">
        <v>226</v>
      </c>
      <c r="H152" s="69">
        <f>AVERAGE(F150:F152)</f>
        <v>3166.1166666666663</v>
      </c>
      <c r="I152" s="71">
        <f>H152/$F$127</f>
        <v>31.44182038588588</v>
      </c>
      <c r="K152" s="67" t="s">
        <v>217</v>
      </c>
      <c r="M152" s="68">
        <v>4131</v>
      </c>
      <c r="N152" s="65">
        <v>0.42</v>
      </c>
      <c r="O152" s="70">
        <f t="shared" si="58"/>
        <v>638.4</v>
      </c>
      <c r="P152" s="69">
        <f t="shared" si="59"/>
        <v>4769.3999999999996</v>
      </c>
      <c r="Q152" t="s">
        <v>226</v>
      </c>
      <c r="R152" s="69">
        <f>AVERAGE(P150:P152)</f>
        <v>4762.0666666666666</v>
      </c>
      <c r="S152" s="71">
        <f>R152/$F$127</f>
        <v>47.29075412012012</v>
      </c>
    </row>
    <row r="153" spans="1:19" x14ac:dyDescent="0.25">
      <c r="A153" s="67" t="s">
        <v>247</v>
      </c>
      <c r="C153" s="68">
        <v>2867</v>
      </c>
      <c r="D153" s="65">
        <v>0.43</v>
      </c>
      <c r="E153" s="70">
        <f t="shared" si="56"/>
        <v>294.55</v>
      </c>
      <c r="F153" s="68">
        <f t="shared" si="57"/>
        <v>3161.55</v>
      </c>
      <c r="H153" s="69"/>
      <c r="I153" s="71"/>
      <c r="K153" s="67" t="s">
        <v>247</v>
      </c>
      <c r="M153" s="68">
        <v>4131</v>
      </c>
      <c r="N153" s="65">
        <v>0.43</v>
      </c>
      <c r="O153" s="70">
        <f t="shared" si="58"/>
        <v>653.6</v>
      </c>
      <c r="P153" s="69">
        <f t="shared" si="59"/>
        <v>4784.6000000000004</v>
      </c>
      <c r="R153" s="69"/>
      <c r="S153" s="71"/>
    </row>
    <row r="154" spans="1:19" x14ac:dyDescent="0.25">
      <c r="A154" s="67" t="s">
        <v>248</v>
      </c>
      <c r="C154" s="68">
        <v>2867</v>
      </c>
      <c r="D154" s="65">
        <v>0.43</v>
      </c>
      <c r="E154" s="70">
        <f t="shared" si="56"/>
        <v>294.55</v>
      </c>
      <c r="F154" s="68">
        <f t="shared" si="57"/>
        <v>3161.55</v>
      </c>
      <c r="H154" s="69"/>
      <c r="I154" s="71"/>
      <c r="K154" s="67" t="s">
        <v>248</v>
      </c>
      <c r="M154" s="68">
        <v>4131</v>
      </c>
      <c r="N154" s="65">
        <v>0.43</v>
      </c>
      <c r="O154" s="70">
        <f t="shared" si="58"/>
        <v>653.6</v>
      </c>
      <c r="P154" s="69">
        <f t="shared" si="59"/>
        <v>4784.6000000000004</v>
      </c>
      <c r="R154" s="69"/>
      <c r="S154" s="71"/>
    </row>
    <row r="155" spans="1:19" x14ac:dyDescent="0.25">
      <c r="A155" s="67" t="s">
        <v>249</v>
      </c>
      <c r="C155" s="68">
        <v>2867</v>
      </c>
      <c r="D155" s="65">
        <v>0.46</v>
      </c>
      <c r="E155" s="70">
        <f t="shared" si="56"/>
        <v>315.10000000000002</v>
      </c>
      <c r="F155" s="68">
        <f t="shared" si="57"/>
        <v>3182.1</v>
      </c>
      <c r="G155" t="s">
        <v>251</v>
      </c>
      <c r="H155" s="69">
        <f>AVERAGE(F153:F155)</f>
        <v>3168.4</v>
      </c>
      <c r="I155" s="71">
        <f>H155/$F$127</f>
        <v>31.464495531531529</v>
      </c>
      <c r="K155" s="67" t="s">
        <v>249</v>
      </c>
      <c r="M155" s="68">
        <v>4131</v>
      </c>
      <c r="N155" s="65">
        <v>0.46</v>
      </c>
      <c r="O155" s="70">
        <f t="shared" si="58"/>
        <v>699.2</v>
      </c>
      <c r="P155" s="69">
        <f t="shared" si="59"/>
        <v>4830.2</v>
      </c>
      <c r="Q155" t="s">
        <v>251</v>
      </c>
      <c r="R155" s="69">
        <f>AVERAGE(P153:P155)</f>
        <v>4799.8</v>
      </c>
      <c r="S155" s="71">
        <f>R155/$F$127</f>
        <v>47.665473315315317</v>
      </c>
    </row>
    <row r="156" spans="1:19" x14ac:dyDescent="0.25">
      <c r="A156" s="67" t="s">
        <v>252</v>
      </c>
      <c r="C156" s="68">
        <v>2867</v>
      </c>
      <c r="D156" s="65">
        <v>0.48</v>
      </c>
      <c r="E156" s="70">
        <f t="shared" si="56"/>
        <v>328.8</v>
      </c>
      <c r="F156" s="68">
        <f t="shared" si="57"/>
        <v>3195.8</v>
      </c>
      <c r="H156" s="69"/>
      <c r="I156" s="71"/>
      <c r="K156" s="67" t="s">
        <v>252</v>
      </c>
      <c r="M156" s="68">
        <v>4131</v>
      </c>
      <c r="N156" s="65">
        <v>0.48</v>
      </c>
      <c r="O156" s="70">
        <f t="shared" si="58"/>
        <v>729.6</v>
      </c>
      <c r="P156" s="69">
        <f t="shared" si="59"/>
        <v>4860.6000000000004</v>
      </c>
      <c r="R156" s="69"/>
      <c r="S156" s="71"/>
    </row>
    <row r="157" spans="1:19" x14ac:dyDescent="0.25">
      <c r="A157" s="67" t="s">
        <v>253</v>
      </c>
      <c r="C157" s="68">
        <v>2987</v>
      </c>
      <c r="D157" s="65">
        <v>0.5</v>
      </c>
      <c r="E157" s="70">
        <f t="shared" si="56"/>
        <v>342.5</v>
      </c>
      <c r="F157" s="68">
        <f t="shared" si="57"/>
        <v>3329.5</v>
      </c>
      <c r="H157" s="69"/>
      <c r="I157" s="71"/>
      <c r="K157" s="67" t="s">
        <v>253</v>
      </c>
      <c r="M157" s="68">
        <v>4229</v>
      </c>
      <c r="N157" s="65">
        <v>0.5</v>
      </c>
      <c r="O157" s="70">
        <f t="shared" si="58"/>
        <v>760</v>
      </c>
      <c r="P157" s="69">
        <f t="shared" si="59"/>
        <v>4989</v>
      </c>
      <c r="R157" s="69"/>
      <c r="S157" s="71"/>
    </row>
    <row r="158" spans="1:19" x14ac:dyDescent="0.25">
      <c r="A158" s="67" t="s">
        <v>254</v>
      </c>
      <c r="C158" s="68">
        <v>2987</v>
      </c>
      <c r="D158" s="65">
        <v>0.23</v>
      </c>
      <c r="E158" s="70">
        <f t="shared" si="56"/>
        <v>157.55000000000001</v>
      </c>
      <c r="F158" s="68">
        <f t="shared" si="57"/>
        <v>3144.55</v>
      </c>
      <c r="G158" t="s">
        <v>266</v>
      </c>
      <c r="H158" s="69">
        <f>AVERAGE(F156:F158)</f>
        <v>3223.2833333333333</v>
      </c>
      <c r="I158" s="70">
        <f>H158/$F$66</f>
        <v>32.009526587087088</v>
      </c>
      <c r="K158" s="67" t="s">
        <v>254</v>
      </c>
      <c r="M158" s="68">
        <v>4229</v>
      </c>
      <c r="N158" s="65">
        <v>0.23</v>
      </c>
      <c r="O158" s="70">
        <f t="shared" si="58"/>
        <v>349.6</v>
      </c>
      <c r="P158" s="69">
        <f t="shared" si="59"/>
        <v>4578.6000000000004</v>
      </c>
      <c r="Q158" t="s">
        <v>266</v>
      </c>
      <c r="R158" s="69">
        <f>AVERAGE(P156:P158)</f>
        <v>4809.4000000000005</v>
      </c>
      <c r="S158" s="70">
        <f>R158/$F$66</f>
        <v>47.76080823423424</v>
      </c>
    </row>
    <row r="159" spans="1:19" x14ac:dyDescent="0.25">
      <c r="A159" s="67" t="s">
        <v>255</v>
      </c>
      <c r="C159" s="68">
        <v>3144</v>
      </c>
      <c r="D159" s="65">
        <v>0.28000000000000003</v>
      </c>
      <c r="E159" s="70">
        <f t="shared" si="56"/>
        <v>191.8</v>
      </c>
      <c r="F159" s="68">
        <f t="shared" si="57"/>
        <v>3335.8</v>
      </c>
      <c r="H159" s="69"/>
      <c r="I159" s="71"/>
      <c r="K159" s="67" t="s">
        <v>255</v>
      </c>
      <c r="M159" s="68">
        <v>4702</v>
      </c>
      <c r="N159" s="65">
        <v>0.28000000000000003</v>
      </c>
      <c r="O159" s="70">
        <f t="shared" si="58"/>
        <v>425.6</v>
      </c>
      <c r="P159" s="69">
        <f t="shared" si="59"/>
        <v>5127.6000000000004</v>
      </c>
      <c r="R159" s="69"/>
      <c r="S159" s="71"/>
    </row>
    <row r="160" spans="1:19" x14ac:dyDescent="0.25">
      <c r="A160" s="67" t="s">
        <v>256</v>
      </c>
      <c r="C160" s="68">
        <v>3144</v>
      </c>
      <c r="D160" s="65">
        <v>0.36</v>
      </c>
      <c r="E160" s="70">
        <f t="shared" si="56"/>
        <v>246.6</v>
      </c>
      <c r="F160" s="68">
        <f t="shared" si="57"/>
        <v>3390.6</v>
      </c>
      <c r="H160" s="69"/>
      <c r="I160" s="71"/>
      <c r="K160" s="67" t="s">
        <v>256</v>
      </c>
      <c r="M160" s="68">
        <v>4702</v>
      </c>
      <c r="N160" s="65">
        <v>0.36</v>
      </c>
      <c r="O160" s="70">
        <f t="shared" si="58"/>
        <v>547.19999999999993</v>
      </c>
      <c r="P160" s="69">
        <f t="shared" si="59"/>
        <v>5249.2</v>
      </c>
      <c r="R160" s="69"/>
      <c r="S160" s="71"/>
    </row>
    <row r="161" spans="1:19" x14ac:dyDescent="0.25">
      <c r="A161" s="67" t="s">
        <v>257</v>
      </c>
      <c r="C161" s="68">
        <v>3144</v>
      </c>
      <c r="D161" s="65">
        <v>0.4</v>
      </c>
      <c r="E161" s="70">
        <f t="shared" si="56"/>
        <v>274</v>
      </c>
      <c r="F161" s="68">
        <f t="shared" si="57"/>
        <v>3418</v>
      </c>
      <c r="G161" t="s">
        <v>267</v>
      </c>
      <c r="H161" s="69">
        <f>AVERAGE(F159:F161)</f>
        <v>3381.4666666666667</v>
      </c>
      <c r="I161" s="70">
        <f>H161/$F$66</f>
        <v>33.580401093093094</v>
      </c>
      <c r="K161" s="67" t="s">
        <v>257</v>
      </c>
      <c r="M161" s="68">
        <v>4702</v>
      </c>
      <c r="N161" s="65">
        <v>0.4</v>
      </c>
      <c r="O161" s="70">
        <f t="shared" si="58"/>
        <v>608</v>
      </c>
      <c r="P161" s="69">
        <f t="shared" si="59"/>
        <v>5310</v>
      </c>
      <c r="Q161" t="s">
        <v>267</v>
      </c>
      <c r="R161" s="69">
        <f>AVERAGE(P159:P161)</f>
        <v>5228.9333333333334</v>
      </c>
      <c r="S161" s="70">
        <f>R161/$F$66</f>
        <v>51.9270766006006</v>
      </c>
    </row>
    <row r="162" spans="1:19" x14ac:dyDescent="0.25">
      <c r="A162" s="67" t="s">
        <v>258</v>
      </c>
      <c r="C162" s="68">
        <v>3144</v>
      </c>
      <c r="D162" s="65">
        <v>0.39</v>
      </c>
      <c r="E162" s="70">
        <f t="shared" si="56"/>
        <v>267.15000000000003</v>
      </c>
      <c r="F162" s="68">
        <f t="shared" si="57"/>
        <v>3411.15</v>
      </c>
      <c r="H162" s="69"/>
      <c r="I162" s="71"/>
      <c r="K162" s="67" t="s">
        <v>258</v>
      </c>
      <c r="M162" s="68">
        <v>4702</v>
      </c>
      <c r="N162" s="65">
        <v>0.39</v>
      </c>
      <c r="O162" s="70">
        <f t="shared" si="58"/>
        <v>592.80000000000007</v>
      </c>
      <c r="P162" s="69">
        <f t="shared" si="59"/>
        <v>5294.8</v>
      </c>
      <c r="R162" s="69"/>
      <c r="S162" s="71"/>
    </row>
    <row r="163" spans="1:19" x14ac:dyDescent="0.25">
      <c r="A163" s="67" t="s">
        <v>259</v>
      </c>
      <c r="C163" s="68">
        <v>3144</v>
      </c>
      <c r="D163" s="65">
        <v>0.36</v>
      </c>
      <c r="E163" s="70">
        <f t="shared" si="56"/>
        <v>246.6</v>
      </c>
      <c r="F163" s="68">
        <f t="shared" si="57"/>
        <v>3390.6</v>
      </c>
      <c r="H163" s="69"/>
      <c r="I163" s="71"/>
      <c r="K163" s="67" t="s">
        <v>259</v>
      </c>
      <c r="M163" s="68">
        <v>4702</v>
      </c>
      <c r="N163" s="65">
        <v>0.36</v>
      </c>
      <c r="O163" s="70">
        <f t="shared" si="58"/>
        <v>547.19999999999993</v>
      </c>
      <c r="P163" s="69">
        <f t="shared" si="59"/>
        <v>5249.2</v>
      </c>
      <c r="R163" s="69"/>
      <c r="S163" s="71"/>
    </row>
    <row r="164" spans="1:19" x14ac:dyDescent="0.25">
      <c r="A164" s="67" t="s">
        <v>260</v>
      </c>
      <c r="C164" s="68">
        <v>3144</v>
      </c>
      <c r="D164" s="65">
        <v>0.36</v>
      </c>
      <c r="E164" s="70">
        <f t="shared" si="56"/>
        <v>246.6</v>
      </c>
      <c r="F164" s="68">
        <f t="shared" si="57"/>
        <v>3390.6</v>
      </c>
      <c r="G164" t="s">
        <v>268</v>
      </c>
      <c r="H164" s="69">
        <f>AVERAGE(F162:F164)</f>
        <v>3397.4500000000003</v>
      </c>
      <c r="I164" s="70">
        <f>H164/$F$66</f>
        <v>33.739127112612614</v>
      </c>
      <c r="K164" s="67" t="s">
        <v>260</v>
      </c>
      <c r="M164" s="68">
        <v>4702</v>
      </c>
      <c r="N164" s="65">
        <v>0.36</v>
      </c>
      <c r="O164" s="70">
        <f t="shared" si="58"/>
        <v>547.19999999999993</v>
      </c>
      <c r="P164" s="69">
        <f t="shared" si="59"/>
        <v>5249.2</v>
      </c>
      <c r="Q164" t="s">
        <v>268</v>
      </c>
      <c r="R164" s="69">
        <f>AVERAGE(P162:P164)</f>
        <v>5264.4000000000005</v>
      </c>
      <c r="S164" s="70">
        <f>R164/$F$66</f>
        <v>52.279286162162165</v>
      </c>
    </row>
    <row r="165" spans="1:19" x14ac:dyDescent="0.25">
      <c r="A165" s="67" t="s">
        <v>261</v>
      </c>
      <c r="C165" s="68">
        <v>3144</v>
      </c>
      <c r="D165" s="65">
        <v>0.35</v>
      </c>
      <c r="E165" s="70">
        <f t="shared" si="56"/>
        <v>239.74999999999997</v>
      </c>
      <c r="F165" s="68">
        <f t="shared" si="57"/>
        <v>3383.75</v>
      </c>
      <c r="H165" s="69"/>
      <c r="I165" s="71"/>
      <c r="K165" s="67" t="s">
        <v>261</v>
      </c>
      <c r="M165" s="68">
        <v>4702</v>
      </c>
      <c r="N165" s="65">
        <v>0.35</v>
      </c>
      <c r="O165" s="70">
        <f t="shared" si="58"/>
        <v>532</v>
      </c>
      <c r="P165" s="69">
        <f t="shared" si="59"/>
        <v>5234</v>
      </c>
      <c r="R165" s="69"/>
      <c r="S165" s="71"/>
    </row>
    <row r="166" spans="1:19" x14ac:dyDescent="0.25">
      <c r="A166" s="67" t="s">
        <v>262</v>
      </c>
      <c r="C166" s="68">
        <v>3144</v>
      </c>
      <c r="D166" s="65">
        <v>0.34</v>
      </c>
      <c r="E166" s="70">
        <f t="shared" si="56"/>
        <v>232.9</v>
      </c>
      <c r="F166" s="68">
        <f t="shared" si="57"/>
        <v>3376.9</v>
      </c>
      <c r="H166" s="69"/>
      <c r="I166" s="71"/>
      <c r="K166" s="67" t="s">
        <v>262</v>
      </c>
      <c r="M166" s="68">
        <v>4702</v>
      </c>
      <c r="N166" s="65">
        <v>0.34</v>
      </c>
      <c r="O166" s="70">
        <f t="shared" si="58"/>
        <v>516.80000000000007</v>
      </c>
      <c r="P166" s="69">
        <f t="shared" si="59"/>
        <v>5218.8</v>
      </c>
      <c r="R166" s="69"/>
      <c r="S166" s="71"/>
    </row>
    <row r="167" spans="1:19" x14ac:dyDescent="0.25">
      <c r="A167" s="67" t="s">
        <v>263</v>
      </c>
      <c r="C167" s="68">
        <v>3144</v>
      </c>
      <c r="D167" s="65">
        <v>0.33</v>
      </c>
      <c r="E167" s="70">
        <f t="shared" si="56"/>
        <v>226.05</v>
      </c>
      <c r="F167" s="68">
        <f t="shared" si="57"/>
        <v>3370.05</v>
      </c>
      <c r="G167" t="s">
        <v>270</v>
      </c>
      <c r="H167" s="69">
        <f>AVERAGE(F165:F167)</f>
        <v>3376.9</v>
      </c>
      <c r="I167" s="70">
        <f>H167/$F$66</f>
        <v>33.535050801801802</v>
      </c>
      <c r="K167" s="67" t="s">
        <v>263</v>
      </c>
      <c r="M167" s="68">
        <v>4702</v>
      </c>
      <c r="N167" s="65">
        <v>0.33</v>
      </c>
      <c r="O167" s="70">
        <f t="shared" si="58"/>
        <v>501.6</v>
      </c>
      <c r="P167" s="69">
        <f t="shared" si="59"/>
        <v>5203.6000000000004</v>
      </c>
      <c r="Q167" t="s">
        <v>270</v>
      </c>
      <c r="R167" s="69">
        <f>AVERAGE(P165:P167)</f>
        <v>5218.8</v>
      </c>
      <c r="S167" s="70">
        <f>R167/$F$66</f>
        <v>51.826445297297298</v>
      </c>
    </row>
    <row r="168" spans="1:19" x14ac:dyDescent="0.25">
      <c r="A168" s="67" t="s">
        <v>276</v>
      </c>
      <c r="C168" s="68">
        <v>3144</v>
      </c>
      <c r="D168" s="65">
        <v>0.37</v>
      </c>
      <c r="E168" s="70">
        <f t="shared" si="56"/>
        <v>253.45</v>
      </c>
      <c r="F168" s="68">
        <f t="shared" si="57"/>
        <v>3397.45</v>
      </c>
      <c r="H168" s="69"/>
      <c r="I168" s="70"/>
      <c r="K168" s="67" t="s">
        <v>276</v>
      </c>
      <c r="M168" s="68">
        <v>4702</v>
      </c>
      <c r="N168" s="65">
        <v>0.37</v>
      </c>
      <c r="O168" s="70">
        <f t="shared" si="58"/>
        <v>562.4</v>
      </c>
      <c r="P168" s="69">
        <f t="shared" si="59"/>
        <v>5264.4</v>
      </c>
      <c r="R168" s="69"/>
      <c r="S168" s="70"/>
    </row>
    <row r="169" spans="1:19" x14ac:dyDescent="0.25">
      <c r="A169" s="67" t="s">
        <v>277</v>
      </c>
      <c r="C169" s="68">
        <v>3247</v>
      </c>
      <c r="D169" s="65">
        <v>0.35</v>
      </c>
      <c r="E169" s="70">
        <f t="shared" si="56"/>
        <v>239.74999999999997</v>
      </c>
      <c r="F169" s="68">
        <f t="shared" si="57"/>
        <v>3486.75</v>
      </c>
      <c r="H169" s="69"/>
      <c r="I169" s="70"/>
      <c r="K169" s="67" t="s">
        <v>277</v>
      </c>
      <c r="M169" s="68">
        <v>4832</v>
      </c>
      <c r="N169" s="65">
        <v>0.35</v>
      </c>
      <c r="O169" s="70">
        <f t="shared" si="58"/>
        <v>532</v>
      </c>
      <c r="P169" s="69">
        <f t="shared" si="59"/>
        <v>5364</v>
      </c>
      <c r="R169" s="69"/>
      <c r="S169" s="70"/>
    </row>
    <row r="170" spans="1:19" x14ac:dyDescent="0.25">
      <c r="A170" s="67" t="s">
        <v>278</v>
      </c>
      <c r="C170" s="68">
        <v>3247</v>
      </c>
      <c r="D170" s="65">
        <v>0.34</v>
      </c>
      <c r="E170" s="70">
        <f t="shared" si="56"/>
        <v>232.9</v>
      </c>
      <c r="F170" s="68">
        <f t="shared" si="57"/>
        <v>3479.9</v>
      </c>
      <c r="G170" t="s">
        <v>279</v>
      </c>
      <c r="H170" s="69">
        <f>AVERAGE(F168:F170)</f>
        <v>3454.7000000000003</v>
      </c>
      <c r="I170" s="70">
        <f>H170/$F$66</f>
        <v>34.307660873873878</v>
      </c>
      <c r="K170" s="67" t="s">
        <v>278</v>
      </c>
      <c r="M170" s="68">
        <v>4832</v>
      </c>
      <c r="N170" s="65">
        <v>0.34</v>
      </c>
      <c r="O170" s="70">
        <f t="shared" si="58"/>
        <v>516.80000000000007</v>
      </c>
      <c r="P170" s="69">
        <f t="shared" si="59"/>
        <v>5348.8</v>
      </c>
      <c r="Q170" t="s">
        <v>279</v>
      </c>
      <c r="R170" s="69">
        <f>AVERAGE(P168:P170)</f>
        <v>5325.7333333333336</v>
      </c>
      <c r="S170" s="70">
        <f>R170/$F$66</f>
        <v>52.888370366366367</v>
      </c>
    </row>
    <row r="171" spans="1:19" x14ac:dyDescent="0.25">
      <c r="A171" s="67" t="s">
        <v>281</v>
      </c>
      <c r="C171" s="68">
        <v>3247</v>
      </c>
      <c r="D171" s="65">
        <v>0.37</v>
      </c>
      <c r="E171" s="70">
        <f t="shared" si="56"/>
        <v>253.45</v>
      </c>
      <c r="F171" s="68">
        <f t="shared" si="57"/>
        <v>3500.45</v>
      </c>
      <c r="H171" s="69"/>
      <c r="I171" s="70"/>
      <c r="K171" s="67" t="s">
        <v>281</v>
      </c>
      <c r="M171" s="68">
        <v>4832</v>
      </c>
      <c r="N171" s="65">
        <v>0.37</v>
      </c>
      <c r="O171" s="70">
        <f t="shared" si="58"/>
        <v>562.4</v>
      </c>
      <c r="P171" s="69">
        <f t="shared" si="59"/>
        <v>5394.4</v>
      </c>
      <c r="R171" s="69"/>
      <c r="S171" s="70"/>
    </row>
    <row r="172" spans="1:19" x14ac:dyDescent="0.25">
      <c r="A172" s="67" t="s">
        <v>282</v>
      </c>
      <c r="C172" s="68">
        <v>3247</v>
      </c>
      <c r="D172" s="65">
        <v>0.41</v>
      </c>
      <c r="E172" s="70">
        <f t="shared" si="56"/>
        <v>280.84999999999997</v>
      </c>
      <c r="F172" s="68">
        <f t="shared" si="57"/>
        <v>3527.85</v>
      </c>
      <c r="H172" s="69"/>
      <c r="I172" s="70"/>
      <c r="K172" s="67" t="s">
        <v>282</v>
      </c>
      <c r="M172" s="68">
        <v>4832</v>
      </c>
      <c r="N172" s="65">
        <v>0.41</v>
      </c>
      <c r="O172" s="70">
        <f t="shared" si="58"/>
        <v>623.19999999999993</v>
      </c>
      <c r="P172" s="69">
        <f t="shared" si="59"/>
        <v>5455.2</v>
      </c>
      <c r="R172" s="69"/>
      <c r="S172" s="70"/>
    </row>
    <row r="173" spans="1:19" x14ac:dyDescent="0.25">
      <c r="A173" s="67" t="s">
        <v>283</v>
      </c>
      <c r="C173" s="68">
        <v>3634</v>
      </c>
      <c r="D173" s="65">
        <v>0.41</v>
      </c>
      <c r="E173" s="70">
        <f t="shared" si="56"/>
        <v>280.84999999999997</v>
      </c>
      <c r="F173" s="68">
        <f t="shared" si="57"/>
        <v>3914.85</v>
      </c>
      <c r="G173" t="s">
        <v>289</v>
      </c>
      <c r="H173" s="69">
        <f>AVERAGE(F171:F173)</f>
        <v>3647.7166666666667</v>
      </c>
      <c r="I173" s="70">
        <f>H173/$F$66</f>
        <v>36.224455484984986</v>
      </c>
      <c r="K173" s="67" t="s">
        <v>283</v>
      </c>
      <c r="M173" s="68">
        <v>4832</v>
      </c>
      <c r="N173" s="65">
        <v>0.41</v>
      </c>
      <c r="O173" s="70">
        <f t="shared" si="58"/>
        <v>623.19999999999993</v>
      </c>
      <c r="P173" s="69">
        <f t="shared" si="59"/>
        <v>5455.2</v>
      </c>
      <c r="Q173" t="s">
        <v>289</v>
      </c>
      <c r="R173" s="69">
        <f>AVERAGE(P171:P173)</f>
        <v>5434.9333333333334</v>
      </c>
      <c r="S173" s="70">
        <f>R173/$F$66</f>
        <v>53.972805069069068</v>
      </c>
    </row>
    <row r="174" spans="1:19" x14ac:dyDescent="0.25">
      <c r="A174" s="67" t="s">
        <v>284</v>
      </c>
      <c r="C174" s="68">
        <v>3634</v>
      </c>
      <c r="D174" s="65">
        <v>0.37</v>
      </c>
      <c r="E174" s="70">
        <f t="shared" si="56"/>
        <v>253.45</v>
      </c>
      <c r="F174" s="68">
        <f t="shared" si="57"/>
        <v>3887.45</v>
      </c>
      <c r="H174" s="69"/>
      <c r="I174" s="70"/>
      <c r="K174" s="67" t="s">
        <v>284</v>
      </c>
      <c r="M174" s="68">
        <v>4832</v>
      </c>
      <c r="N174" s="65">
        <v>0.37</v>
      </c>
      <c r="O174" s="70">
        <f t="shared" si="58"/>
        <v>562.4</v>
      </c>
      <c r="P174" s="69">
        <f t="shared" si="59"/>
        <v>5394.4</v>
      </c>
      <c r="R174" s="69"/>
      <c r="S174" s="70"/>
    </row>
    <row r="175" spans="1:19" x14ac:dyDescent="0.25">
      <c r="A175" s="67" t="s">
        <v>285</v>
      </c>
      <c r="C175" s="68">
        <v>3634</v>
      </c>
      <c r="D175" s="65">
        <v>0.32</v>
      </c>
      <c r="E175" s="70">
        <f t="shared" si="56"/>
        <v>219.20000000000002</v>
      </c>
      <c r="F175" s="68">
        <f t="shared" si="57"/>
        <v>3853.2</v>
      </c>
      <c r="H175" s="69"/>
      <c r="I175" s="70"/>
      <c r="K175" s="67" t="s">
        <v>285</v>
      </c>
      <c r="M175" s="68">
        <v>4963</v>
      </c>
      <c r="N175" s="65">
        <v>0.32</v>
      </c>
      <c r="O175" s="70">
        <f t="shared" si="58"/>
        <v>486.40000000000003</v>
      </c>
      <c r="P175" s="69">
        <f t="shared" si="59"/>
        <v>5449.4</v>
      </c>
      <c r="R175" s="69"/>
      <c r="S175" s="70"/>
    </row>
    <row r="176" spans="1:19" x14ac:dyDescent="0.25">
      <c r="A176" s="67" t="s">
        <v>286</v>
      </c>
      <c r="C176" s="68">
        <v>3634</v>
      </c>
      <c r="D176" s="65">
        <v>0.31</v>
      </c>
      <c r="E176" s="70">
        <f t="shared" ref="E176:E179" si="60">$C$129*D176</f>
        <v>212.35</v>
      </c>
      <c r="F176" s="68">
        <f t="shared" ref="F176:F179" si="61">C176+E176</f>
        <v>3846.35</v>
      </c>
      <c r="G176" t="s">
        <v>290</v>
      </c>
      <c r="H176" s="69">
        <f>AVERAGE(F174:F176)</f>
        <v>3862.3333333333335</v>
      </c>
      <c r="I176" s="70">
        <f>H176/$F$66</f>
        <v>38.355753663663663</v>
      </c>
      <c r="K176" s="67" t="s">
        <v>286</v>
      </c>
      <c r="M176" s="68">
        <v>4963</v>
      </c>
      <c r="N176" s="65">
        <v>0.31</v>
      </c>
      <c r="O176" s="70">
        <f t="shared" ref="O176:O179" si="62">$M$129*N176</f>
        <v>471.2</v>
      </c>
      <c r="P176" s="69">
        <f t="shared" ref="P176:P179" si="63">M176+O176</f>
        <v>5434.2</v>
      </c>
      <c r="Q176" t="s">
        <v>290</v>
      </c>
      <c r="R176" s="69">
        <f>AVERAGE(P174:P176)</f>
        <v>5426</v>
      </c>
      <c r="S176" s="70">
        <f>R176/$F$66</f>
        <v>53.884090630630631</v>
      </c>
    </row>
    <row r="177" spans="1:19" x14ac:dyDescent="0.25">
      <c r="A177" s="67" t="s">
        <v>280</v>
      </c>
      <c r="C177" s="68">
        <v>3634</v>
      </c>
      <c r="D177" s="65">
        <v>0.38</v>
      </c>
      <c r="E177" s="70">
        <f t="shared" si="60"/>
        <v>260.3</v>
      </c>
      <c r="F177" s="68">
        <f t="shared" si="61"/>
        <v>3894.3</v>
      </c>
      <c r="H177" s="69"/>
      <c r="I177" s="70"/>
      <c r="K177" s="67" t="s">
        <v>280</v>
      </c>
      <c r="M177" s="68">
        <v>4963</v>
      </c>
      <c r="N177" s="65">
        <v>0.38</v>
      </c>
      <c r="O177" s="70">
        <f t="shared" si="62"/>
        <v>577.6</v>
      </c>
      <c r="P177" s="69">
        <f t="shared" si="63"/>
        <v>5540.6</v>
      </c>
      <c r="R177" s="69"/>
      <c r="S177" s="70"/>
    </row>
    <row r="178" spans="1:19" x14ac:dyDescent="0.25">
      <c r="A178" s="67" t="s">
        <v>287</v>
      </c>
      <c r="C178" s="68">
        <v>3634</v>
      </c>
      <c r="D178" s="65">
        <v>0.41</v>
      </c>
      <c r="E178" s="70">
        <f t="shared" si="60"/>
        <v>280.84999999999997</v>
      </c>
      <c r="F178" s="68">
        <f t="shared" si="61"/>
        <v>3914.85</v>
      </c>
      <c r="H178" s="69"/>
      <c r="I178" s="70"/>
      <c r="K178" s="67" t="s">
        <v>287</v>
      </c>
      <c r="M178" s="68">
        <v>4963</v>
      </c>
      <c r="N178" s="65">
        <v>0.41</v>
      </c>
      <c r="O178" s="70">
        <f t="shared" si="62"/>
        <v>623.19999999999993</v>
      </c>
      <c r="P178" s="69">
        <f t="shared" si="63"/>
        <v>5586.2</v>
      </c>
      <c r="R178" s="69"/>
      <c r="S178" s="70"/>
    </row>
    <row r="179" spans="1:19" x14ac:dyDescent="0.25">
      <c r="A179" s="67" t="s">
        <v>288</v>
      </c>
      <c r="C179" s="68">
        <v>3634</v>
      </c>
      <c r="D179" s="65">
        <v>0.4</v>
      </c>
      <c r="E179" s="70">
        <f t="shared" si="60"/>
        <v>274</v>
      </c>
      <c r="F179" s="68">
        <f t="shared" si="61"/>
        <v>3908</v>
      </c>
      <c r="G179" t="s">
        <v>291</v>
      </c>
      <c r="H179" s="69">
        <f>AVERAGE(F177:F179)</f>
        <v>3905.7166666666667</v>
      </c>
      <c r="I179" s="70">
        <f>H179/$F$66</f>
        <v>38.78658143093093</v>
      </c>
      <c r="K179" s="67" t="s">
        <v>288</v>
      </c>
      <c r="M179" s="68">
        <v>4963</v>
      </c>
      <c r="N179" s="65">
        <v>0.4</v>
      </c>
      <c r="O179" s="70">
        <f t="shared" si="62"/>
        <v>608</v>
      </c>
      <c r="P179" s="69">
        <f t="shared" si="63"/>
        <v>5571</v>
      </c>
      <c r="Q179" t="s">
        <v>291</v>
      </c>
      <c r="R179" s="69">
        <f>AVERAGE(P177:P179)</f>
        <v>5565.9333333333334</v>
      </c>
      <c r="S179" s="70">
        <f>R179/$F$66</f>
        <v>55.273729483483478</v>
      </c>
    </row>
    <row r="180" spans="1:19" x14ac:dyDescent="0.25">
      <c r="A180" s="67"/>
      <c r="C180" s="68"/>
      <c r="D180" s="65"/>
      <c r="E180" s="70"/>
      <c r="F180" s="68"/>
      <c r="H180" s="69"/>
      <c r="I180" s="70"/>
      <c r="K180" s="67"/>
      <c r="M180" s="68"/>
      <c r="N180" s="65"/>
      <c r="O180" s="70"/>
      <c r="P180" s="69"/>
      <c r="R180" s="69"/>
      <c r="S180" s="70"/>
    </row>
    <row r="181" spans="1:19" x14ac:dyDescent="0.25">
      <c r="A181" s="67"/>
      <c r="C181" s="68"/>
      <c r="D181" s="65"/>
      <c r="E181" s="70"/>
      <c r="F181" s="68"/>
      <c r="H181" s="69"/>
      <c r="I181" s="70"/>
      <c r="K181" s="67"/>
      <c r="M181" s="68"/>
      <c r="N181" s="65"/>
      <c r="O181" s="70"/>
      <c r="P181" s="69"/>
      <c r="R181" s="69"/>
      <c r="S181" s="70"/>
    </row>
    <row r="182" spans="1:19" x14ac:dyDescent="0.25">
      <c r="M182" s="68"/>
    </row>
    <row r="185" spans="1:19" x14ac:dyDescent="0.25">
      <c r="A185" t="s">
        <v>188</v>
      </c>
      <c r="K185" t="s">
        <v>242</v>
      </c>
    </row>
    <row r="186" spans="1:19" x14ac:dyDescent="0.25">
      <c r="A186" s="62" t="s">
        <v>115</v>
      </c>
      <c r="B186" s="62" t="s">
        <v>189</v>
      </c>
      <c r="C186" s="62" t="s">
        <v>126</v>
      </c>
      <c r="D186" s="62"/>
      <c r="K186" s="62" t="s">
        <v>240</v>
      </c>
    </row>
    <row r="187" spans="1:19" x14ac:dyDescent="0.25">
      <c r="A187" t="s">
        <v>238</v>
      </c>
      <c r="C187" t="s">
        <v>239</v>
      </c>
      <c r="K187" t="s">
        <v>241</v>
      </c>
    </row>
    <row r="188" spans="1:19" x14ac:dyDescent="0.25">
      <c r="A188" s="81" t="s">
        <v>109</v>
      </c>
      <c r="K188" s="81" t="s">
        <v>109</v>
      </c>
    </row>
    <row r="189" spans="1:19" x14ac:dyDescent="0.25">
      <c r="A189" t="s">
        <v>250</v>
      </c>
      <c r="E189" t="s">
        <v>229</v>
      </c>
      <c r="F189" s="70">
        <f>111/1.10231</f>
        <v>100.69762589471202</v>
      </c>
      <c r="G189" t="s">
        <v>228</v>
      </c>
      <c r="K189" t="s">
        <v>250</v>
      </c>
    </row>
    <row r="190" spans="1:19" x14ac:dyDescent="0.25">
      <c r="A190" t="s">
        <v>191</v>
      </c>
      <c r="K190" t="s">
        <v>191</v>
      </c>
    </row>
    <row r="191" spans="1:19" x14ac:dyDescent="0.25">
      <c r="A191" t="s">
        <v>192</v>
      </c>
      <c r="C191">
        <v>1583</v>
      </c>
      <c r="K191" t="s">
        <v>192</v>
      </c>
      <c r="M191">
        <v>1599</v>
      </c>
    </row>
    <row r="192" spans="1:19" x14ac:dyDescent="0.25">
      <c r="D192" t="s">
        <v>195</v>
      </c>
      <c r="E192" t="s">
        <v>195</v>
      </c>
      <c r="F192" t="s">
        <v>219</v>
      </c>
      <c r="H192" t="s">
        <v>230</v>
      </c>
      <c r="N192" t="s">
        <v>195</v>
      </c>
      <c r="O192" t="s">
        <v>195</v>
      </c>
      <c r="P192" t="s">
        <v>219</v>
      </c>
      <c r="R192" t="s">
        <v>230</v>
      </c>
    </row>
    <row r="193" spans="1:19" ht="15.75" thickBot="1" x14ac:dyDescent="0.3">
      <c r="A193" s="66" t="s">
        <v>193</v>
      </c>
      <c r="B193" s="66"/>
      <c r="C193" s="66" t="s">
        <v>194</v>
      </c>
      <c r="D193" s="66" t="s">
        <v>196</v>
      </c>
      <c r="E193" s="66" t="s">
        <v>218</v>
      </c>
      <c r="F193" s="66" t="s">
        <v>195</v>
      </c>
      <c r="H193" s="66" t="s">
        <v>231</v>
      </c>
      <c r="I193" s="66" t="s">
        <v>227</v>
      </c>
      <c r="K193" s="66" t="s">
        <v>193</v>
      </c>
      <c r="L193" s="66"/>
      <c r="M193" s="66" t="s">
        <v>194</v>
      </c>
      <c r="N193" s="66" t="s">
        <v>196</v>
      </c>
      <c r="O193" s="66" t="s">
        <v>218</v>
      </c>
      <c r="P193" s="66" t="s">
        <v>195</v>
      </c>
      <c r="R193" s="66" t="s">
        <v>231</v>
      </c>
      <c r="S193" s="66" t="s">
        <v>227</v>
      </c>
    </row>
    <row r="194" spans="1:19" x14ac:dyDescent="0.25">
      <c r="A194" s="67" t="s">
        <v>197</v>
      </c>
      <c r="C194" s="68">
        <v>4773</v>
      </c>
      <c r="D194" s="65">
        <v>0.41</v>
      </c>
      <c r="E194" s="70">
        <f>$C$191*D194</f>
        <v>649.03</v>
      </c>
      <c r="F194" s="69">
        <f>C194+E194</f>
        <v>5422.03</v>
      </c>
      <c r="K194" s="67" t="s">
        <v>197</v>
      </c>
      <c r="M194" s="68">
        <v>4238</v>
      </c>
      <c r="N194" s="65">
        <v>0.16</v>
      </c>
      <c r="O194" s="72">
        <f>N194*$M$191</f>
        <v>255.84</v>
      </c>
      <c r="P194" s="68">
        <f t="shared" ref="P194:P199" si="64">M194+O194</f>
        <v>4493.84</v>
      </c>
    </row>
    <row r="195" spans="1:19" x14ac:dyDescent="0.25">
      <c r="A195" s="67" t="s">
        <v>198</v>
      </c>
      <c r="C195" s="68">
        <v>4773</v>
      </c>
      <c r="D195" s="65">
        <v>0.3</v>
      </c>
      <c r="E195" s="70">
        <f t="shared" ref="E195:E237" si="65">$C$191*D195</f>
        <v>474.9</v>
      </c>
      <c r="F195" s="69">
        <f t="shared" ref="F195:F237" si="66">C195+E195</f>
        <v>5247.9</v>
      </c>
      <c r="K195" s="67" t="s">
        <v>198</v>
      </c>
      <c r="M195" s="68">
        <v>4238</v>
      </c>
      <c r="N195" s="65">
        <v>7.0000000000000007E-2</v>
      </c>
      <c r="O195" s="72">
        <f t="shared" ref="O195:O241" si="67">N195*$M$191</f>
        <v>111.93</v>
      </c>
      <c r="P195" s="68">
        <f t="shared" si="64"/>
        <v>4349.93</v>
      </c>
    </row>
    <row r="196" spans="1:19" x14ac:dyDescent="0.25">
      <c r="A196" s="67" t="s">
        <v>199</v>
      </c>
      <c r="C196" s="68">
        <v>4773</v>
      </c>
      <c r="D196" s="65">
        <v>0.27</v>
      </c>
      <c r="E196" s="70">
        <f t="shared" si="65"/>
        <v>427.41</v>
      </c>
      <c r="F196" s="69">
        <f t="shared" si="66"/>
        <v>5200.41</v>
      </c>
      <c r="G196" t="s">
        <v>220</v>
      </c>
      <c r="H196" s="69">
        <f>AVERAGE(F194:F196)</f>
        <v>5290.1133333333337</v>
      </c>
      <c r="I196" s="71">
        <f>H196/$F$189</f>
        <v>52.534638094294294</v>
      </c>
      <c r="K196" s="67" t="s">
        <v>199</v>
      </c>
      <c r="M196" s="68">
        <v>4238</v>
      </c>
      <c r="N196" s="65">
        <v>0</v>
      </c>
      <c r="O196" s="72">
        <f t="shared" si="67"/>
        <v>0</v>
      </c>
      <c r="P196" s="68">
        <f t="shared" si="64"/>
        <v>4238</v>
      </c>
      <c r="Q196" t="s">
        <v>220</v>
      </c>
      <c r="R196" s="69">
        <f>AVERAGE(P194:P196)</f>
        <v>4360.59</v>
      </c>
      <c r="S196" s="71">
        <f>R196/$F$189</f>
        <v>43.303801467567567</v>
      </c>
    </row>
    <row r="197" spans="1:19" x14ac:dyDescent="0.25">
      <c r="A197" s="67" t="s">
        <v>200</v>
      </c>
      <c r="C197" s="68">
        <v>4773</v>
      </c>
      <c r="D197" s="65">
        <v>0.24</v>
      </c>
      <c r="E197" s="70">
        <f t="shared" si="65"/>
        <v>379.91999999999996</v>
      </c>
      <c r="F197" s="69">
        <f t="shared" si="66"/>
        <v>5152.92</v>
      </c>
      <c r="K197" s="67" t="s">
        <v>200</v>
      </c>
      <c r="M197" s="68">
        <v>4238</v>
      </c>
      <c r="N197" s="65">
        <v>0</v>
      </c>
      <c r="O197" s="72">
        <f t="shared" si="67"/>
        <v>0</v>
      </c>
      <c r="P197" s="68">
        <f t="shared" si="64"/>
        <v>4238</v>
      </c>
    </row>
    <row r="198" spans="1:19" x14ac:dyDescent="0.25">
      <c r="A198" s="67" t="s">
        <v>201</v>
      </c>
      <c r="C198" s="68">
        <v>4773</v>
      </c>
      <c r="D198" s="65">
        <v>0.22</v>
      </c>
      <c r="E198" s="70">
        <f t="shared" si="65"/>
        <v>348.26</v>
      </c>
      <c r="F198" s="69">
        <f t="shared" si="66"/>
        <v>5121.26</v>
      </c>
      <c r="K198" s="67" t="s">
        <v>201</v>
      </c>
      <c r="M198" s="68">
        <v>4238</v>
      </c>
      <c r="N198" s="65">
        <v>0</v>
      </c>
      <c r="O198" s="72">
        <f t="shared" si="67"/>
        <v>0</v>
      </c>
      <c r="P198" s="68">
        <f t="shared" si="64"/>
        <v>4238</v>
      </c>
    </row>
    <row r="199" spans="1:19" x14ac:dyDescent="0.25">
      <c r="A199" s="67" t="s">
        <v>202</v>
      </c>
      <c r="C199" s="68">
        <v>4773</v>
      </c>
      <c r="D199" s="65">
        <v>0.25</v>
      </c>
      <c r="E199" s="70">
        <f t="shared" si="65"/>
        <v>395.75</v>
      </c>
      <c r="F199" s="69">
        <f t="shared" si="66"/>
        <v>5168.75</v>
      </c>
      <c r="G199" t="s">
        <v>222</v>
      </c>
      <c r="H199" s="69">
        <f>AVERAGE(F197:F199)</f>
        <v>5147.6433333333334</v>
      </c>
      <c r="I199" s="71">
        <f>H199/$F$189</f>
        <v>51.119808313213213</v>
      </c>
      <c r="K199" s="67" t="s">
        <v>202</v>
      </c>
      <c r="M199" s="68">
        <v>4238</v>
      </c>
      <c r="N199" s="65">
        <v>0</v>
      </c>
      <c r="O199" s="72">
        <f t="shared" si="67"/>
        <v>0</v>
      </c>
      <c r="P199" s="68">
        <f t="shared" si="64"/>
        <v>4238</v>
      </c>
      <c r="Q199" t="s">
        <v>222</v>
      </c>
      <c r="R199" s="69">
        <f>AVERAGE(P197:P199)</f>
        <v>4238</v>
      </c>
      <c r="S199" s="71">
        <f>R199/$F$189</f>
        <v>42.086394414414414</v>
      </c>
    </row>
    <row r="200" spans="1:19" x14ac:dyDescent="0.25">
      <c r="A200" s="67" t="s">
        <v>203</v>
      </c>
      <c r="C200" s="68">
        <v>4773</v>
      </c>
      <c r="D200" s="65">
        <v>0.25</v>
      </c>
      <c r="E200" s="70">
        <f t="shared" si="65"/>
        <v>395.75</v>
      </c>
      <c r="F200" s="69">
        <f t="shared" si="66"/>
        <v>5168.75</v>
      </c>
      <c r="K200" s="67" t="s">
        <v>203</v>
      </c>
      <c r="M200" s="68">
        <v>4347</v>
      </c>
      <c r="N200" s="65">
        <v>0</v>
      </c>
      <c r="O200" s="72">
        <f t="shared" si="67"/>
        <v>0</v>
      </c>
      <c r="P200" s="68">
        <f>M200+O200</f>
        <v>4347</v>
      </c>
      <c r="R200" s="52"/>
      <c r="S200" s="52"/>
    </row>
    <row r="201" spans="1:19" x14ac:dyDescent="0.25">
      <c r="A201" s="67" t="s">
        <v>204</v>
      </c>
      <c r="C201" s="68">
        <v>4860</v>
      </c>
      <c r="D201" s="65">
        <v>0.32</v>
      </c>
      <c r="E201" s="70">
        <f t="shared" si="65"/>
        <v>506.56</v>
      </c>
      <c r="F201" s="69">
        <f t="shared" si="66"/>
        <v>5366.56</v>
      </c>
      <c r="K201" s="67" t="s">
        <v>204</v>
      </c>
      <c r="M201" s="68">
        <v>4347</v>
      </c>
      <c r="N201" s="65">
        <v>0.09</v>
      </c>
      <c r="O201" s="72">
        <f t="shared" si="67"/>
        <v>143.91</v>
      </c>
      <c r="P201" s="68">
        <f t="shared" ref="P201:P241" si="68">M201+O201</f>
        <v>4490.91</v>
      </c>
    </row>
    <row r="202" spans="1:19" x14ac:dyDescent="0.25">
      <c r="A202" s="67" t="s">
        <v>205</v>
      </c>
      <c r="C202" s="68">
        <v>4860</v>
      </c>
      <c r="D202" s="65">
        <v>0.33</v>
      </c>
      <c r="E202" s="70">
        <f t="shared" si="65"/>
        <v>522.39</v>
      </c>
      <c r="F202" s="69">
        <f t="shared" si="66"/>
        <v>5382.39</v>
      </c>
      <c r="G202" t="s">
        <v>221</v>
      </c>
      <c r="H202" s="69">
        <f>AVERAGE(F200:F202)</f>
        <v>5305.9000000000005</v>
      </c>
      <c r="I202" s="71">
        <f>H202/$F$189</f>
        <v>52.691411072072079</v>
      </c>
      <c r="K202" s="67" t="s">
        <v>205</v>
      </c>
      <c r="M202" s="68">
        <v>4347</v>
      </c>
      <c r="N202" s="65">
        <v>0.09</v>
      </c>
      <c r="O202" s="72">
        <f t="shared" si="67"/>
        <v>143.91</v>
      </c>
      <c r="P202" s="68">
        <f t="shared" si="68"/>
        <v>4490.91</v>
      </c>
      <c r="Q202" t="s">
        <v>221</v>
      </c>
      <c r="R202" s="69">
        <f>AVERAGE(P200:P202)</f>
        <v>4442.9399999999996</v>
      </c>
      <c r="S202" s="71">
        <f>R202/$F$189</f>
        <v>44.121596318918911</v>
      </c>
    </row>
    <row r="203" spans="1:19" x14ac:dyDescent="0.25">
      <c r="A203" s="67" t="s">
        <v>206</v>
      </c>
      <c r="C203" s="68">
        <v>4860</v>
      </c>
      <c r="D203" s="65">
        <v>0.35</v>
      </c>
      <c r="E203" s="70">
        <f t="shared" si="65"/>
        <v>554.04999999999995</v>
      </c>
      <c r="F203" s="69">
        <f t="shared" si="66"/>
        <v>5414.05</v>
      </c>
      <c r="K203" s="67" t="s">
        <v>206</v>
      </c>
      <c r="M203" s="68">
        <v>4347</v>
      </c>
      <c r="N203" s="65">
        <v>0.11</v>
      </c>
      <c r="O203" s="72">
        <f t="shared" si="67"/>
        <v>175.89000000000001</v>
      </c>
      <c r="P203" s="68">
        <f t="shared" si="68"/>
        <v>4522.8900000000003</v>
      </c>
    </row>
    <row r="204" spans="1:19" x14ac:dyDescent="0.25">
      <c r="A204" s="67" t="s">
        <v>207</v>
      </c>
      <c r="C204" s="68">
        <v>4860</v>
      </c>
      <c r="D204" s="65">
        <v>0.35</v>
      </c>
      <c r="E204" s="70">
        <f t="shared" si="65"/>
        <v>554.04999999999995</v>
      </c>
      <c r="F204" s="69">
        <f t="shared" si="66"/>
        <v>5414.05</v>
      </c>
      <c r="K204" s="67" t="s">
        <v>207</v>
      </c>
      <c r="M204" s="68">
        <v>4347</v>
      </c>
      <c r="N204" s="65">
        <v>0.11</v>
      </c>
      <c r="O204" s="72">
        <f t="shared" si="67"/>
        <v>175.89000000000001</v>
      </c>
      <c r="P204" s="68">
        <f t="shared" si="68"/>
        <v>4522.8900000000003</v>
      </c>
    </row>
    <row r="205" spans="1:19" x14ac:dyDescent="0.25">
      <c r="A205" s="67" t="s">
        <v>208</v>
      </c>
      <c r="C205" s="68">
        <v>4860</v>
      </c>
      <c r="D205" s="65">
        <v>0.36</v>
      </c>
      <c r="E205" s="70">
        <f t="shared" si="65"/>
        <v>569.88</v>
      </c>
      <c r="F205" s="69">
        <f t="shared" si="66"/>
        <v>5429.88</v>
      </c>
      <c r="G205" t="s">
        <v>223</v>
      </c>
      <c r="H205" s="69">
        <f>AVERAGE(F203:F205)</f>
        <v>5419.3266666666668</v>
      </c>
      <c r="I205" s="71">
        <f>H205/$F$189</f>
        <v>53.817819621021023</v>
      </c>
      <c r="K205" s="67" t="s">
        <v>208</v>
      </c>
      <c r="M205" s="68">
        <v>4347</v>
      </c>
      <c r="N205" s="65">
        <v>0.12</v>
      </c>
      <c r="O205" s="72">
        <f t="shared" si="67"/>
        <v>191.88</v>
      </c>
      <c r="P205" s="68">
        <f t="shared" si="68"/>
        <v>4538.88</v>
      </c>
      <c r="Q205" t="s">
        <v>223</v>
      </c>
      <c r="R205" s="69">
        <f>AVERAGE(P203:P205)</f>
        <v>4528.22</v>
      </c>
      <c r="S205" s="71">
        <f>R205/$F$189</f>
        <v>44.968488181981982</v>
      </c>
    </row>
    <row r="206" spans="1:19" x14ac:dyDescent="0.25">
      <c r="A206" s="67" t="s">
        <v>209</v>
      </c>
      <c r="C206" s="68">
        <v>4948</v>
      </c>
      <c r="D206" s="65">
        <v>0.39</v>
      </c>
      <c r="E206" s="70">
        <f t="shared" si="65"/>
        <v>617.37</v>
      </c>
      <c r="F206" s="69">
        <f t="shared" si="66"/>
        <v>5565.37</v>
      </c>
      <c r="K206" s="67" t="s">
        <v>209</v>
      </c>
      <c r="M206" s="68">
        <f>AVERAGE(4347,4428)</f>
        <v>4387.5</v>
      </c>
      <c r="N206" s="65">
        <v>0.14000000000000001</v>
      </c>
      <c r="O206" s="72">
        <f t="shared" si="67"/>
        <v>223.86</v>
      </c>
      <c r="P206" s="68">
        <f t="shared" si="68"/>
        <v>4611.3599999999997</v>
      </c>
    </row>
    <row r="207" spans="1:19" x14ac:dyDescent="0.25">
      <c r="A207" s="67" t="s">
        <v>210</v>
      </c>
      <c r="C207" s="68">
        <v>4948</v>
      </c>
      <c r="D207" s="65">
        <v>0.38</v>
      </c>
      <c r="E207" s="70">
        <f t="shared" si="65"/>
        <v>601.54</v>
      </c>
      <c r="F207" s="69">
        <f t="shared" si="66"/>
        <v>5549.54</v>
      </c>
      <c r="K207" s="67" t="s">
        <v>210</v>
      </c>
      <c r="M207" s="68">
        <v>4428</v>
      </c>
      <c r="N207" s="65">
        <v>0.13</v>
      </c>
      <c r="O207" s="72">
        <f t="shared" si="67"/>
        <v>207.87</v>
      </c>
      <c r="P207" s="68">
        <f t="shared" si="68"/>
        <v>4635.87</v>
      </c>
    </row>
    <row r="208" spans="1:19" x14ac:dyDescent="0.25">
      <c r="A208" s="67" t="s">
        <v>211</v>
      </c>
      <c r="C208" s="68">
        <v>4948</v>
      </c>
      <c r="D208" s="65">
        <v>0.4</v>
      </c>
      <c r="E208" s="70">
        <f t="shared" si="65"/>
        <v>633.20000000000005</v>
      </c>
      <c r="F208" s="69">
        <f t="shared" si="66"/>
        <v>5581.2</v>
      </c>
      <c r="G208" t="s">
        <v>224</v>
      </c>
      <c r="H208" s="69">
        <f>AVERAGE(F206:F208)</f>
        <v>5565.37</v>
      </c>
      <c r="I208" s="71">
        <f>H208/$F$189</f>
        <v>55.268135177477475</v>
      </c>
      <c r="K208" s="67" t="s">
        <v>211</v>
      </c>
      <c r="M208" s="68">
        <v>4428</v>
      </c>
      <c r="N208" s="65">
        <v>0.15</v>
      </c>
      <c r="O208" s="72">
        <f t="shared" si="67"/>
        <v>239.85</v>
      </c>
      <c r="P208" s="68">
        <f t="shared" si="68"/>
        <v>4667.8500000000004</v>
      </c>
      <c r="Q208" t="s">
        <v>224</v>
      </c>
      <c r="R208" s="69">
        <f>AVERAGE(P206:P208)</f>
        <v>4638.3599999999997</v>
      </c>
      <c r="S208" s="71">
        <f>R208/$F$189</f>
        <v>46.062257762162155</v>
      </c>
    </row>
    <row r="209" spans="1:19" x14ac:dyDescent="0.25">
      <c r="A209" s="67" t="s">
        <v>212</v>
      </c>
      <c r="C209" s="68">
        <v>4948</v>
      </c>
      <c r="D209" s="65">
        <v>0.39</v>
      </c>
      <c r="E209" s="70">
        <f t="shared" si="65"/>
        <v>617.37</v>
      </c>
      <c r="F209" s="69">
        <f t="shared" si="66"/>
        <v>5565.37</v>
      </c>
      <c r="K209" s="67" t="s">
        <v>212</v>
      </c>
      <c r="M209" s="68">
        <v>4428</v>
      </c>
      <c r="N209" s="65">
        <v>0.14000000000000001</v>
      </c>
      <c r="O209" s="72">
        <f t="shared" si="67"/>
        <v>223.86</v>
      </c>
      <c r="P209" s="68">
        <f t="shared" si="68"/>
        <v>4651.8599999999997</v>
      </c>
    </row>
    <row r="210" spans="1:19" x14ac:dyDescent="0.25">
      <c r="A210" s="67" t="s">
        <v>213</v>
      </c>
      <c r="C210" s="68">
        <v>4948</v>
      </c>
      <c r="D210" s="65">
        <v>0.42</v>
      </c>
      <c r="E210" s="70">
        <f t="shared" si="65"/>
        <v>664.86</v>
      </c>
      <c r="F210" s="69">
        <f t="shared" si="66"/>
        <v>5612.86</v>
      </c>
      <c r="K210" s="67" t="s">
        <v>213</v>
      </c>
      <c r="M210" s="68">
        <v>4428</v>
      </c>
      <c r="N210" s="65">
        <v>0.17</v>
      </c>
      <c r="O210" s="72">
        <f t="shared" si="67"/>
        <v>271.83000000000004</v>
      </c>
      <c r="P210" s="68">
        <f t="shared" si="68"/>
        <v>4699.83</v>
      </c>
    </row>
    <row r="211" spans="1:19" x14ac:dyDescent="0.25">
      <c r="A211" s="67" t="s">
        <v>214</v>
      </c>
      <c r="C211" s="68">
        <v>4948</v>
      </c>
      <c r="D211" s="65">
        <v>0.46</v>
      </c>
      <c r="E211" s="70">
        <f t="shared" si="65"/>
        <v>728.18000000000006</v>
      </c>
      <c r="F211" s="69">
        <f t="shared" si="66"/>
        <v>5676.18</v>
      </c>
      <c r="G211" t="s">
        <v>225</v>
      </c>
      <c r="H211" s="69">
        <f>AVERAGE(F209:F211)</f>
        <v>5618.1366666666663</v>
      </c>
      <c r="I211" s="71">
        <f>H211/$F$189</f>
        <v>55.7921462075075</v>
      </c>
      <c r="K211" s="67" t="s">
        <v>214</v>
      </c>
      <c r="M211" s="68">
        <v>4510</v>
      </c>
      <c r="N211" s="65">
        <v>0.2</v>
      </c>
      <c r="O211" s="72">
        <f t="shared" si="67"/>
        <v>319.8</v>
      </c>
      <c r="P211" s="68">
        <f t="shared" si="68"/>
        <v>4829.8</v>
      </c>
      <c r="Q211" t="s">
        <v>225</v>
      </c>
      <c r="R211" s="69">
        <f>AVERAGE(P209:P211)</f>
        <v>4727.163333333333</v>
      </c>
      <c r="S211" s="71">
        <f>R211/$F$189</f>
        <v>46.944138864564557</v>
      </c>
    </row>
    <row r="212" spans="1:19" x14ac:dyDescent="0.25">
      <c r="A212" s="67" t="s">
        <v>215</v>
      </c>
      <c r="C212" s="68">
        <v>4948</v>
      </c>
      <c r="D212" s="65">
        <v>0.46</v>
      </c>
      <c r="E212" s="70">
        <f t="shared" si="65"/>
        <v>728.18000000000006</v>
      </c>
      <c r="F212" s="69">
        <f t="shared" si="66"/>
        <v>5676.18</v>
      </c>
      <c r="K212" s="67" t="s">
        <v>215</v>
      </c>
      <c r="M212" s="68">
        <v>4510</v>
      </c>
      <c r="N212" s="65">
        <v>0.2</v>
      </c>
      <c r="O212" s="72">
        <f t="shared" si="67"/>
        <v>319.8</v>
      </c>
      <c r="P212" s="68">
        <f t="shared" si="68"/>
        <v>4829.8</v>
      </c>
    </row>
    <row r="213" spans="1:19" x14ac:dyDescent="0.25">
      <c r="A213" s="67" t="s">
        <v>216</v>
      </c>
      <c r="C213" s="68">
        <v>5046</v>
      </c>
      <c r="D213" s="65">
        <v>0.43</v>
      </c>
      <c r="E213" s="70">
        <f t="shared" si="65"/>
        <v>680.68999999999994</v>
      </c>
      <c r="F213" s="69">
        <f t="shared" si="66"/>
        <v>5726.69</v>
      </c>
      <c r="K213" s="67" t="s">
        <v>216</v>
      </c>
      <c r="M213" s="68">
        <v>4510</v>
      </c>
      <c r="N213" s="65">
        <v>0.17</v>
      </c>
      <c r="O213" s="72">
        <f t="shared" si="67"/>
        <v>271.83000000000004</v>
      </c>
      <c r="P213" s="68">
        <f t="shared" si="68"/>
        <v>4781.83</v>
      </c>
    </row>
    <row r="214" spans="1:19" x14ac:dyDescent="0.25">
      <c r="A214" s="67" t="s">
        <v>217</v>
      </c>
      <c r="C214" s="68">
        <v>5046</v>
      </c>
      <c r="D214" s="65">
        <v>0.42</v>
      </c>
      <c r="E214" s="70">
        <f t="shared" si="65"/>
        <v>664.86</v>
      </c>
      <c r="F214" s="69">
        <f t="shared" si="66"/>
        <v>5710.86</v>
      </c>
      <c r="G214" t="s">
        <v>226</v>
      </c>
      <c r="H214" s="69">
        <f>AVERAGE(F212:F214)</f>
        <v>5704.5766666666668</v>
      </c>
      <c r="I214" s="71">
        <f>H214/$F$189</f>
        <v>56.650557706606605</v>
      </c>
      <c r="K214" s="67" t="s">
        <v>217</v>
      </c>
      <c r="M214" s="68">
        <v>4510</v>
      </c>
      <c r="N214" s="65">
        <v>0.17</v>
      </c>
      <c r="O214" s="72">
        <f t="shared" si="67"/>
        <v>271.83000000000004</v>
      </c>
      <c r="P214" s="68">
        <f t="shared" si="68"/>
        <v>4781.83</v>
      </c>
      <c r="Q214" t="s">
        <v>226</v>
      </c>
      <c r="R214" s="69">
        <f>AVERAGE(P212:P214)</f>
        <v>4797.8200000000006</v>
      </c>
      <c r="S214" s="71">
        <f>R214/$F$189</f>
        <v>47.645810488288291</v>
      </c>
    </row>
    <row r="215" spans="1:19" x14ac:dyDescent="0.25">
      <c r="A215" s="67" t="s">
        <v>247</v>
      </c>
      <c r="C215" s="68">
        <v>5046</v>
      </c>
      <c r="D215" s="65">
        <v>0.43</v>
      </c>
      <c r="E215" s="70">
        <f t="shared" si="65"/>
        <v>680.68999999999994</v>
      </c>
      <c r="F215" s="69">
        <f t="shared" si="66"/>
        <v>5726.69</v>
      </c>
      <c r="H215" s="69"/>
      <c r="I215" s="71"/>
      <c r="K215" s="67" t="s">
        <v>247</v>
      </c>
      <c r="M215" s="68">
        <v>4510</v>
      </c>
      <c r="N215" s="65">
        <v>0.18</v>
      </c>
      <c r="O215" s="72">
        <f t="shared" si="67"/>
        <v>287.82</v>
      </c>
      <c r="P215" s="68">
        <f t="shared" si="68"/>
        <v>4797.82</v>
      </c>
      <c r="R215" s="69"/>
      <c r="S215" s="71"/>
    </row>
    <row r="216" spans="1:19" x14ac:dyDescent="0.25">
      <c r="A216" s="67" t="s">
        <v>248</v>
      </c>
      <c r="C216" s="68">
        <v>5046</v>
      </c>
      <c r="D216" s="65">
        <v>0.43</v>
      </c>
      <c r="E216" s="70">
        <f t="shared" si="65"/>
        <v>680.68999999999994</v>
      </c>
      <c r="F216" s="69">
        <f t="shared" si="66"/>
        <v>5726.69</v>
      </c>
      <c r="H216" s="69"/>
      <c r="I216" s="71"/>
      <c r="K216" s="67" t="s">
        <v>248</v>
      </c>
      <c r="M216" s="68">
        <v>4510</v>
      </c>
      <c r="N216" s="65">
        <v>0.17</v>
      </c>
      <c r="O216" s="72">
        <f t="shared" si="67"/>
        <v>271.83000000000004</v>
      </c>
      <c r="P216" s="68">
        <f t="shared" si="68"/>
        <v>4781.83</v>
      </c>
      <c r="R216" s="69"/>
      <c r="S216" s="71"/>
    </row>
    <row r="217" spans="1:19" x14ac:dyDescent="0.25">
      <c r="A217" s="67" t="s">
        <v>249</v>
      </c>
      <c r="C217" s="68">
        <v>5046</v>
      </c>
      <c r="D217" s="65">
        <v>0.46</v>
      </c>
      <c r="E217" s="70">
        <f t="shared" si="65"/>
        <v>728.18000000000006</v>
      </c>
      <c r="F217" s="69">
        <f t="shared" si="66"/>
        <v>5774.18</v>
      </c>
      <c r="G217" t="s">
        <v>251</v>
      </c>
      <c r="H217" s="69">
        <f>AVERAGE(F215:F217)</f>
        <v>5742.5199999999995</v>
      </c>
      <c r="I217" s="71">
        <f>H217/$F$189</f>
        <v>57.027362353153144</v>
      </c>
      <c r="K217" s="67" t="s">
        <v>249</v>
      </c>
      <c r="M217" s="68">
        <v>4510</v>
      </c>
      <c r="N217" s="65">
        <v>0.2</v>
      </c>
      <c r="O217" s="72">
        <f t="shared" si="67"/>
        <v>319.8</v>
      </c>
      <c r="P217" s="68">
        <f t="shared" si="68"/>
        <v>4829.8</v>
      </c>
      <c r="Q217" t="s">
        <v>251</v>
      </c>
      <c r="R217" s="69">
        <f>AVERAGE(P215:P217)</f>
        <v>4803.1500000000005</v>
      </c>
      <c r="S217" s="71">
        <f>R217/$F$189</f>
        <v>47.698741229729734</v>
      </c>
    </row>
    <row r="218" spans="1:19" x14ac:dyDescent="0.25">
      <c r="A218" s="67" t="s">
        <v>252</v>
      </c>
      <c r="C218" s="68">
        <v>5046</v>
      </c>
      <c r="D218" s="65">
        <v>0.48</v>
      </c>
      <c r="E218" s="70">
        <f t="shared" si="65"/>
        <v>759.83999999999992</v>
      </c>
      <c r="F218" s="69">
        <f t="shared" si="66"/>
        <v>5805.84</v>
      </c>
      <c r="H218" s="69"/>
      <c r="I218" s="71"/>
      <c r="K218" s="67" t="s">
        <v>252</v>
      </c>
      <c r="M218" s="68">
        <v>4510</v>
      </c>
      <c r="N218" s="65">
        <v>0.21</v>
      </c>
      <c r="O218" s="72">
        <f t="shared" si="67"/>
        <v>335.78999999999996</v>
      </c>
      <c r="P218" s="68">
        <f t="shared" si="68"/>
        <v>4845.79</v>
      </c>
      <c r="R218" s="69"/>
      <c r="S218" s="71"/>
    </row>
    <row r="219" spans="1:19" x14ac:dyDescent="0.25">
      <c r="A219" s="67" t="s">
        <v>253</v>
      </c>
      <c r="C219" s="68">
        <v>5144</v>
      </c>
      <c r="D219" s="65">
        <v>0.5</v>
      </c>
      <c r="E219" s="70">
        <f t="shared" si="65"/>
        <v>791.5</v>
      </c>
      <c r="F219" s="69">
        <f t="shared" si="66"/>
        <v>5935.5</v>
      </c>
      <c r="H219" s="69"/>
      <c r="I219" s="71"/>
      <c r="K219" s="67" t="s">
        <v>253</v>
      </c>
      <c r="M219" s="68">
        <v>4619</v>
      </c>
      <c r="N219" s="65">
        <v>0.23</v>
      </c>
      <c r="O219" s="72">
        <f t="shared" si="67"/>
        <v>367.77000000000004</v>
      </c>
      <c r="P219" s="68">
        <f t="shared" si="68"/>
        <v>4986.7700000000004</v>
      </c>
      <c r="R219" s="69"/>
      <c r="S219" s="71"/>
    </row>
    <row r="220" spans="1:19" x14ac:dyDescent="0.25">
      <c r="A220" s="67" t="s">
        <v>254</v>
      </c>
      <c r="C220" s="68">
        <v>5144</v>
      </c>
      <c r="D220" s="65">
        <v>0.23</v>
      </c>
      <c r="E220" s="70">
        <f t="shared" si="65"/>
        <v>364.09000000000003</v>
      </c>
      <c r="F220" s="69">
        <f t="shared" si="66"/>
        <v>5508.09</v>
      </c>
      <c r="G220" t="s">
        <v>266</v>
      </c>
      <c r="H220" s="69">
        <f>AVERAGE(F218:F220)</f>
        <v>5749.81</v>
      </c>
      <c r="I220" s="70">
        <f>H220/$F$66</f>
        <v>57.099757307207206</v>
      </c>
      <c r="K220" s="67" t="s">
        <v>254</v>
      </c>
      <c r="M220" s="68">
        <v>4619</v>
      </c>
      <c r="N220" s="65">
        <v>0.26</v>
      </c>
      <c r="O220" s="72">
        <f t="shared" si="67"/>
        <v>415.74</v>
      </c>
      <c r="P220" s="68">
        <f t="shared" si="68"/>
        <v>5034.74</v>
      </c>
      <c r="Q220" t="s">
        <v>266</v>
      </c>
      <c r="R220" s="69">
        <f>AVERAGE(P218:P220)</f>
        <v>4955.7666666666673</v>
      </c>
      <c r="S220" s="70">
        <f>R220/$F$66</f>
        <v>49.214334723723731</v>
      </c>
    </row>
    <row r="221" spans="1:19" x14ac:dyDescent="0.25">
      <c r="A221" s="67" t="s">
        <v>255</v>
      </c>
      <c r="C221" s="68">
        <v>5648</v>
      </c>
      <c r="D221" s="65">
        <v>0.28000000000000003</v>
      </c>
      <c r="E221" s="70">
        <f t="shared" si="65"/>
        <v>443.24000000000007</v>
      </c>
      <c r="F221" s="69">
        <f t="shared" si="66"/>
        <v>6091.24</v>
      </c>
      <c r="H221" s="69"/>
      <c r="I221" s="71"/>
      <c r="K221" s="67" t="s">
        <v>255</v>
      </c>
      <c r="M221" s="68">
        <v>4619</v>
      </c>
      <c r="N221" s="65">
        <v>0.3</v>
      </c>
      <c r="O221" s="72">
        <f t="shared" si="67"/>
        <v>479.7</v>
      </c>
      <c r="P221" s="68">
        <f t="shared" si="68"/>
        <v>5098.7</v>
      </c>
      <c r="R221" s="69"/>
      <c r="S221" s="71"/>
    </row>
    <row r="222" spans="1:19" x14ac:dyDescent="0.25">
      <c r="A222" s="67" t="s">
        <v>256</v>
      </c>
      <c r="C222" s="68">
        <v>5648</v>
      </c>
      <c r="D222" s="65">
        <v>0.36</v>
      </c>
      <c r="E222" s="70">
        <f t="shared" si="65"/>
        <v>569.88</v>
      </c>
      <c r="F222" s="69">
        <f t="shared" si="66"/>
        <v>6217.88</v>
      </c>
      <c r="H222" s="69"/>
      <c r="I222" s="71"/>
      <c r="K222" s="67" t="s">
        <v>256</v>
      </c>
      <c r="M222" s="68">
        <v>4619</v>
      </c>
      <c r="N222" s="65">
        <v>0.37</v>
      </c>
      <c r="O222" s="72">
        <f t="shared" si="67"/>
        <v>591.63</v>
      </c>
      <c r="P222" s="68">
        <f t="shared" si="68"/>
        <v>5210.63</v>
      </c>
      <c r="R222" s="69"/>
      <c r="S222" s="71"/>
    </row>
    <row r="223" spans="1:19" x14ac:dyDescent="0.25">
      <c r="A223" s="67" t="s">
        <v>257</v>
      </c>
      <c r="C223" s="68">
        <v>5648</v>
      </c>
      <c r="D223" s="65">
        <v>0.4</v>
      </c>
      <c r="E223" s="70">
        <f t="shared" si="65"/>
        <v>633.20000000000005</v>
      </c>
      <c r="F223" s="69">
        <f t="shared" si="66"/>
        <v>6281.2</v>
      </c>
      <c r="G223" t="s">
        <v>267</v>
      </c>
      <c r="H223" s="69">
        <f>AVERAGE(F221:F223)</f>
        <v>6196.7733333333335</v>
      </c>
      <c r="I223" s="70">
        <f>H223/$F$66</f>
        <v>61.538425342942944</v>
      </c>
      <c r="K223" s="67" t="s">
        <v>257</v>
      </c>
      <c r="M223" s="68">
        <v>4727</v>
      </c>
      <c r="N223" s="65">
        <v>0.4</v>
      </c>
      <c r="O223" s="72">
        <f t="shared" si="67"/>
        <v>639.6</v>
      </c>
      <c r="P223" s="68">
        <f t="shared" si="68"/>
        <v>5366.6</v>
      </c>
      <c r="Q223" t="s">
        <v>267</v>
      </c>
      <c r="R223" s="69">
        <f>AVERAGE(P221:P223)</f>
        <v>5225.3100000000004</v>
      </c>
      <c r="S223" s="70">
        <f>R223/$F$66</f>
        <v>51.891094289189191</v>
      </c>
    </row>
    <row r="224" spans="1:19" x14ac:dyDescent="0.25">
      <c r="A224" s="67" t="s">
        <v>258</v>
      </c>
      <c r="C224" s="68">
        <v>5648</v>
      </c>
      <c r="D224" s="65">
        <v>0.39</v>
      </c>
      <c r="E224" s="70">
        <f t="shared" si="65"/>
        <v>617.37</v>
      </c>
      <c r="F224" s="69">
        <f t="shared" si="66"/>
        <v>6265.37</v>
      </c>
      <c r="H224" s="69"/>
      <c r="I224" s="71"/>
      <c r="K224" s="67" t="s">
        <v>258</v>
      </c>
      <c r="M224" s="68">
        <v>4727</v>
      </c>
      <c r="N224" s="65">
        <v>0.39</v>
      </c>
      <c r="O224" s="72">
        <f t="shared" si="67"/>
        <v>623.61</v>
      </c>
      <c r="P224" s="68">
        <f t="shared" si="68"/>
        <v>5350.61</v>
      </c>
      <c r="R224" s="69"/>
      <c r="S224" s="71"/>
    </row>
    <row r="225" spans="1:19" x14ac:dyDescent="0.25">
      <c r="A225" s="67" t="s">
        <v>259</v>
      </c>
      <c r="C225" s="68">
        <v>5648</v>
      </c>
      <c r="D225" s="65">
        <v>0.36</v>
      </c>
      <c r="E225" s="70">
        <f t="shared" si="65"/>
        <v>569.88</v>
      </c>
      <c r="F225" s="69">
        <f t="shared" si="66"/>
        <v>6217.88</v>
      </c>
      <c r="H225" s="69"/>
      <c r="I225" s="71"/>
      <c r="K225" s="67" t="s">
        <v>259</v>
      </c>
      <c r="M225" s="68">
        <v>4727</v>
      </c>
      <c r="N225" s="65">
        <v>0.37</v>
      </c>
      <c r="O225" s="72">
        <f t="shared" si="67"/>
        <v>591.63</v>
      </c>
      <c r="P225" s="68">
        <f t="shared" si="68"/>
        <v>5318.63</v>
      </c>
      <c r="R225" s="69"/>
      <c r="S225" s="71"/>
    </row>
    <row r="226" spans="1:19" x14ac:dyDescent="0.25">
      <c r="A226" s="67" t="s">
        <v>260</v>
      </c>
      <c r="C226" s="68">
        <v>5745</v>
      </c>
      <c r="D226" s="65">
        <v>0.36</v>
      </c>
      <c r="E226" s="70">
        <f t="shared" si="65"/>
        <v>569.88</v>
      </c>
      <c r="F226" s="69">
        <f t="shared" si="66"/>
        <v>6314.88</v>
      </c>
      <c r="G226" t="s">
        <v>268</v>
      </c>
      <c r="H226" s="69">
        <f>AVERAGE(F224:F226)</f>
        <v>6266.043333333334</v>
      </c>
      <c r="I226" s="70">
        <f>H226/$F$66</f>
        <v>62.226326367267269</v>
      </c>
      <c r="K226" s="67" t="s">
        <v>260</v>
      </c>
      <c r="M226" s="68">
        <v>4727</v>
      </c>
      <c r="N226" s="65">
        <v>0.37</v>
      </c>
      <c r="O226" s="72">
        <f t="shared" si="67"/>
        <v>591.63</v>
      </c>
      <c r="P226" s="68">
        <f t="shared" si="68"/>
        <v>5318.63</v>
      </c>
      <c r="Q226" t="s">
        <v>268</v>
      </c>
      <c r="R226" s="69">
        <f>AVERAGE(P224:P226)</f>
        <v>5329.29</v>
      </c>
      <c r="S226" s="70">
        <f>R226/$F$66</f>
        <v>52.923690629729727</v>
      </c>
    </row>
    <row r="227" spans="1:19" x14ac:dyDescent="0.25">
      <c r="A227" s="67" t="s">
        <v>261</v>
      </c>
      <c r="C227" s="68">
        <v>5745</v>
      </c>
      <c r="D227" s="65">
        <v>0.35</v>
      </c>
      <c r="E227" s="70">
        <f t="shared" si="65"/>
        <v>554.04999999999995</v>
      </c>
      <c r="F227" s="69">
        <f t="shared" si="66"/>
        <v>6299.05</v>
      </c>
      <c r="H227" s="69"/>
      <c r="I227" s="71"/>
      <c r="K227" s="67" t="s">
        <v>261</v>
      </c>
      <c r="M227" s="68">
        <v>4727</v>
      </c>
      <c r="N227" s="65">
        <v>0.36</v>
      </c>
      <c r="O227" s="72">
        <f t="shared" si="67"/>
        <v>575.64</v>
      </c>
      <c r="P227" s="68">
        <f t="shared" si="68"/>
        <v>5302.64</v>
      </c>
      <c r="R227" s="69"/>
      <c r="S227" s="71"/>
    </row>
    <row r="228" spans="1:19" x14ac:dyDescent="0.25">
      <c r="A228" s="67" t="s">
        <v>262</v>
      </c>
      <c r="C228" s="68">
        <v>5745</v>
      </c>
      <c r="D228" s="65">
        <v>0.34</v>
      </c>
      <c r="E228" s="70">
        <f t="shared" si="65"/>
        <v>538.22</v>
      </c>
      <c r="F228" s="69">
        <f t="shared" si="66"/>
        <v>6283.22</v>
      </c>
      <c r="H228" s="69"/>
      <c r="I228" s="71"/>
      <c r="K228" s="67" t="s">
        <v>262</v>
      </c>
      <c r="M228" s="68">
        <v>4727</v>
      </c>
      <c r="N228" s="65">
        <v>0.35</v>
      </c>
      <c r="O228" s="72">
        <f t="shared" si="67"/>
        <v>559.65</v>
      </c>
      <c r="P228" s="68">
        <f t="shared" si="68"/>
        <v>5286.65</v>
      </c>
      <c r="R228" s="69"/>
      <c r="S228" s="71"/>
    </row>
    <row r="229" spans="1:19" x14ac:dyDescent="0.25">
      <c r="A229" s="67" t="s">
        <v>263</v>
      </c>
      <c r="C229" s="68">
        <v>5745</v>
      </c>
      <c r="D229" s="65">
        <v>0.33</v>
      </c>
      <c r="E229" s="70">
        <f t="shared" si="65"/>
        <v>522.39</v>
      </c>
      <c r="F229" s="69">
        <f t="shared" si="66"/>
        <v>6267.39</v>
      </c>
      <c r="G229" t="s">
        <v>270</v>
      </c>
      <c r="H229" s="69">
        <f>AVERAGE(F227:F229)</f>
        <v>6283.22</v>
      </c>
      <c r="I229" s="70">
        <f>H229/$F$66</f>
        <v>62.396903046846845</v>
      </c>
      <c r="K229" s="67" t="s">
        <v>263</v>
      </c>
      <c r="M229" s="68">
        <v>4727</v>
      </c>
      <c r="N229" s="65">
        <v>0.34</v>
      </c>
      <c r="O229" s="72">
        <f t="shared" si="67"/>
        <v>543.66000000000008</v>
      </c>
      <c r="P229" s="68">
        <f t="shared" si="68"/>
        <v>5270.66</v>
      </c>
      <c r="Q229" t="s">
        <v>270</v>
      </c>
      <c r="R229" s="69">
        <f>AVERAGE(P227:P229)</f>
        <v>5286.6500000000005</v>
      </c>
      <c r="S229" s="70">
        <f>R229/$F$66</f>
        <v>52.500244698198202</v>
      </c>
    </row>
    <row r="230" spans="1:19" x14ac:dyDescent="0.25">
      <c r="A230" s="67" t="s">
        <v>276</v>
      </c>
      <c r="C230" s="68">
        <v>5745</v>
      </c>
      <c r="D230" s="65">
        <v>0.37</v>
      </c>
      <c r="E230" s="70">
        <f t="shared" si="65"/>
        <v>585.71</v>
      </c>
      <c r="F230" s="69">
        <f t="shared" si="66"/>
        <v>6330.71</v>
      </c>
      <c r="H230" s="69"/>
      <c r="I230" s="70"/>
      <c r="K230" s="67" t="s">
        <v>276</v>
      </c>
      <c r="M230" s="68">
        <v>4727</v>
      </c>
      <c r="N230" s="65">
        <v>0.38</v>
      </c>
      <c r="O230" s="72">
        <f t="shared" si="67"/>
        <v>607.62</v>
      </c>
      <c r="P230" s="68">
        <f t="shared" si="68"/>
        <v>5334.62</v>
      </c>
      <c r="R230" s="69"/>
      <c r="S230" s="70"/>
    </row>
    <row r="231" spans="1:19" x14ac:dyDescent="0.25">
      <c r="A231" s="67" t="s">
        <v>277</v>
      </c>
      <c r="C231" s="68">
        <v>5854</v>
      </c>
      <c r="D231" s="65">
        <v>0.35</v>
      </c>
      <c r="E231" s="70">
        <f t="shared" si="65"/>
        <v>554.04999999999995</v>
      </c>
      <c r="F231" s="69">
        <f t="shared" si="66"/>
        <v>6408.05</v>
      </c>
      <c r="H231" s="69"/>
      <c r="I231" s="70"/>
      <c r="K231" s="67" t="s">
        <v>277</v>
      </c>
      <c r="M231" s="68">
        <v>4727</v>
      </c>
      <c r="N231" s="65">
        <v>0.36</v>
      </c>
      <c r="O231" s="72">
        <f t="shared" si="67"/>
        <v>575.64</v>
      </c>
      <c r="P231" s="68">
        <f t="shared" si="68"/>
        <v>5302.64</v>
      </c>
      <c r="R231" s="69"/>
      <c r="S231" s="70"/>
    </row>
    <row r="232" spans="1:19" x14ac:dyDescent="0.25">
      <c r="A232" s="67" t="s">
        <v>278</v>
      </c>
      <c r="C232" s="68">
        <v>5854</v>
      </c>
      <c r="D232" s="65">
        <v>0.34</v>
      </c>
      <c r="E232" s="70">
        <f t="shared" si="65"/>
        <v>538.22</v>
      </c>
      <c r="F232" s="69">
        <f t="shared" si="66"/>
        <v>6392.22</v>
      </c>
      <c r="G232" t="s">
        <v>279</v>
      </c>
      <c r="H232" s="69">
        <f>AVERAGE(F230:F232)</f>
        <v>6376.9933333333329</v>
      </c>
      <c r="I232" s="70">
        <f>H232/$F$66</f>
        <v>63.328139831231226</v>
      </c>
      <c r="K232" s="67" t="s">
        <v>278</v>
      </c>
      <c r="M232" s="68">
        <v>4727</v>
      </c>
      <c r="N232" s="65">
        <v>0.35</v>
      </c>
      <c r="O232" s="72">
        <f t="shared" si="67"/>
        <v>559.65</v>
      </c>
      <c r="P232" s="68">
        <f t="shared" si="68"/>
        <v>5286.65</v>
      </c>
      <c r="Q232" t="s">
        <v>279</v>
      </c>
      <c r="R232" s="69">
        <f>AVERAGE(P230:P232)</f>
        <v>5307.97</v>
      </c>
      <c r="S232" s="70">
        <f>R232/$F$66</f>
        <v>52.711967663963961</v>
      </c>
    </row>
    <row r="233" spans="1:19" x14ac:dyDescent="0.25">
      <c r="A233" s="67" t="s">
        <v>281</v>
      </c>
      <c r="C233" s="68">
        <v>5854</v>
      </c>
      <c r="D233" s="65">
        <v>0.37</v>
      </c>
      <c r="E233" s="70">
        <f t="shared" si="65"/>
        <v>585.71</v>
      </c>
      <c r="F233" s="69">
        <f t="shared" si="66"/>
        <v>6439.71</v>
      </c>
      <c r="H233" s="69"/>
      <c r="I233" s="70"/>
      <c r="K233" s="67" t="s">
        <v>281</v>
      </c>
      <c r="M233" s="68">
        <v>4727</v>
      </c>
      <c r="N233" s="65">
        <v>0.38</v>
      </c>
      <c r="O233" s="72">
        <f t="shared" si="67"/>
        <v>607.62</v>
      </c>
      <c r="P233" s="68">
        <f t="shared" si="68"/>
        <v>5334.62</v>
      </c>
      <c r="R233" s="69"/>
      <c r="S233" s="70"/>
    </row>
    <row r="234" spans="1:19" x14ac:dyDescent="0.25">
      <c r="A234" s="67" t="s">
        <v>282</v>
      </c>
      <c r="C234" s="68">
        <v>5854</v>
      </c>
      <c r="D234" s="65">
        <v>0.41</v>
      </c>
      <c r="E234" s="70">
        <f t="shared" si="65"/>
        <v>649.03</v>
      </c>
      <c r="F234" s="69">
        <f t="shared" si="66"/>
        <v>6503.03</v>
      </c>
      <c r="H234" s="69"/>
      <c r="I234" s="70"/>
      <c r="K234" s="67" t="s">
        <v>282</v>
      </c>
      <c r="M234" s="68">
        <v>4727</v>
      </c>
      <c r="N234" s="65">
        <v>0.41</v>
      </c>
      <c r="O234" s="72">
        <f t="shared" si="67"/>
        <v>655.58999999999992</v>
      </c>
      <c r="P234" s="68">
        <f t="shared" si="68"/>
        <v>5382.59</v>
      </c>
      <c r="R234" s="69"/>
      <c r="S234" s="70"/>
    </row>
    <row r="235" spans="1:19" x14ac:dyDescent="0.25">
      <c r="A235" s="67" t="s">
        <v>283</v>
      </c>
      <c r="C235" s="68">
        <v>5854</v>
      </c>
      <c r="D235" s="65">
        <v>0.41</v>
      </c>
      <c r="E235" s="70">
        <f t="shared" si="65"/>
        <v>649.03</v>
      </c>
      <c r="F235" s="69">
        <f t="shared" si="66"/>
        <v>6503.03</v>
      </c>
      <c r="G235" t="s">
        <v>289</v>
      </c>
      <c r="H235" s="69">
        <f>AVERAGE(F233:F235)</f>
        <v>6481.9233333333332</v>
      </c>
      <c r="I235" s="70">
        <f>H235/$F$66</f>
        <v>64.370170356456455</v>
      </c>
      <c r="K235" s="67" t="s">
        <v>283</v>
      </c>
      <c r="M235" s="68">
        <v>4793</v>
      </c>
      <c r="N235" s="65">
        <v>0.41</v>
      </c>
      <c r="O235" s="72">
        <f t="shared" si="67"/>
        <v>655.58999999999992</v>
      </c>
      <c r="P235" s="68">
        <f t="shared" si="68"/>
        <v>5448.59</v>
      </c>
      <c r="Q235" t="s">
        <v>289</v>
      </c>
      <c r="R235" s="69">
        <f>AVERAGE(P233:P235)</f>
        <v>5388.5999999999995</v>
      </c>
      <c r="S235" s="70">
        <f>R235/$F$66</f>
        <v>53.512681675675665</v>
      </c>
    </row>
    <row r="236" spans="1:19" x14ac:dyDescent="0.25">
      <c r="A236" s="67" t="s">
        <v>284</v>
      </c>
      <c r="C236" s="68">
        <v>5854</v>
      </c>
      <c r="D236" s="65">
        <v>0.37</v>
      </c>
      <c r="E236" s="70">
        <f t="shared" si="65"/>
        <v>585.71</v>
      </c>
      <c r="F236" s="69">
        <f t="shared" si="66"/>
        <v>6439.71</v>
      </c>
      <c r="H236" s="69"/>
      <c r="I236" s="70"/>
      <c r="K236" s="67" t="s">
        <v>284</v>
      </c>
      <c r="M236" s="68">
        <v>4880</v>
      </c>
      <c r="N236" s="65">
        <v>0.38</v>
      </c>
      <c r="O236" s="72">
        <f t="shared" si="67"/>
        <v>607.62</v>
      </c>
      <c r="P236" s="68">
        <f t="shared" si="68"/>
        <v>5487.62</v>
      </c>
      <c r="R236" s="69"/>
      <c r="S236" s="70"/>
    </row>
    <row r="237" spans="1:19" x14ac:dyDescent="0.25">
      <c r="A237" s="67" t="s">
        <v>285</v>
      </c>
      <c r="C237" s="68">
        <v>5984</v>
      </c>
      <c r="D237" s="65">
        <v>0.32</v>
      </c>
      <c r="E237" s="70">
        <f t="shared" si="65"/>
        <v>506.56</v>
      </c>
      <c r="F237" s="69">
        <f t="shared" si="66"/>
        <v>6490.56</v>
      </c>
      <c r="H237" s="69"/>
      <c r="I237" s="70"/>
      <c r="K237" s="67" t="s">
        <v>285</v>
      </c>
      <c r="M237" s="68">
        <v>4880</v>
      </c>
      <c r="N237" s="65">
        <v>0.34</v>
      </c>
      <c r="O237" s="72">
        <f t="shared" si="67"/>
        <v>543.66000000000008</v>
      </c>
      <c r="P237" s="68">
        <f t="shared" si="68"/>
        <v>5423.66</v>
      </c>
      <c r="R237" s="69"/>
      <c r="S237" s="70"/>
    </row>
    <row r="238" spans="1:19" x14ac:dyDescent="0.25">
      <c r="A238" s="67" t="s">
        <v>286</v>
      </c>
      <c r="C238" s="68">
        <v>5984</v>
      </c>
      <c r="D238" s="65">
        <v>0.31</v>
      </c>
      <c r="E238" s="70">
        <f t="shared" ref="E238:E241" si="69">$C$191*D238</f>
        <v>490.73</v>
      </c>
      <c r="F238" s="69">
        <f t="shared" ref="F238:F241" si="70">C238+E238</f>
        <v>6474.73</v>
      </c>
      <c r="G238" t="s">
        <v>290</v>
      </c>
      <c r="H238" s="69">
        <f>AVERAGE(F236:F238)</f>
        <v>6468.333333333333</v>
      </c>
      <c r="I238" s="70">
        <f>H238/$F$66</f>
        <v>64.235211861861856</v>
      </c>
      <c r="K238" s="67" t="s">
        <v>286</v>
      </c>
      <c r="M238" s="68">
        <v>4880</v>
      </c>
      <c r="N238" s="65">
        <v>0.33</v>
      </c>
      <c r="O238" s="72">
        <f t="shared" si="67"/>
        <v>527.67000000000007</v>
      </c>
      <c r="P238" s="68">
        <f t="shared" si="68"/>
        <v>5407.67</v>
      </c>
      <c r="Q238" t="s">
        <v>290</v>
      </c>
      <c r="R238" s="69">
        <f>AVERAGE(P236:P238)</f>
        <v>5439.65</v>
      </c>
      <c r="S238" s="70">
        <f>R238/$F$66</f>
        <v>54.019644968468462</v>
      </c>
    </row>
    <row r="239" spans="1:19" x14ac:dyDescent="0.25">
      <c r="A239" s="67" t="s">
        <v>280</v>
      </c>
      <c r="C239" s="68">
        <v>5984</v>
      </c>
      <c r="D239" s="65">
        <v>0.38</v>
      </c>
      <c r="E239" s="70">
        <f t="shared" si="69"/>
        <v>601.54</v>
      </c>
      <c r="F239" s="69">
        <f t="shared" si="70"/>
        <v>6585.54</v>
      </c>
      <c r="H239" s="69"/>
      <c r="I239" s="70"/>
      <c r="K239" s="67" t="s">
        <v>280</v>
      </c>
      <c r="M239" s="68">
        <v>4793</v>
      </c>
      <c r="N239" s="65">
        <v>0.38</v>
      </c>
      <c r="O239" s="72">
        <f t="shared" si="67"/>
        <v>607.62</v>
      </c>
      <c r="P239" s="68">
        <f t="shared" si="68"/>
        <v>5400.62</v>
      </c>
      <c r="R239" s="69"/>
      <c r="S239" s="70"/>
    </row>
    <row r="240" spans="1:19" x14ac:dyDescent="0.25">
      <c r="A240" s="67" t="s">
        <v>287</v>
      </c>
      <c r="C240" s="68">
        <v>5984</v>
      </c>
      <c r="D240" s="65">
        <v>0.41</v>
      </c>
      <c r="E240" s="70">
        <f t="shared" si="69"/>
        <v>649.03</v>
      </c>
      <c r="F240" s="69">
        <f t="shared" si="70"/>
        <v>6633.03</v>
      </c>
      <c r="H240" s="69"/>
      <c r="I240" s="70"/>
      <c r="K240" s="67" t="s">
        <v>287</v>
      </c>
      <c r="M240" s="68">
        <v>4793</v>
      </c>
      <c r="N240" s="65">
        <v>0.41</v>
      </c>
      <c r="O240" s="72">
        <f t="shared" si="67"/>
        <v>655.58999999999992</v>
      </c>
      <c r="P240" s="68">
        <f t="shared" si="68"/>
        <v>5448.59</v>
      </c>
      <c r="R240" s="69"/>
      <c r="S240" s="70"/>
    </row>
    <row r="241" spans="1:19" x14ac:dyDescent="0.25">
      <c r="A241" s="67" t="s">
        <v>288</v>
      </c>
      <c r="C241" s="68">
        <v>5984</v>
      </c>
      <c r="D241" s="65">
        <v>0.4</v>
      </c>
      <c r="E241" s="70">
        <f t="shared" si="69"/>
        <v>633.20000000000005</v>
      </c>
      <c r="F241" s="69">
        <f t="shared" si="70"/>
        <v>6617.2</v>
      </c>
      <c r="G241" t="s">
        <v>291</v>
      </c>
      <c r="H241" s="69">
        <f>AVERAGE(F239:F241)</f>
        <v>6611.9233333333332</v>
      </c>
      <c r="I241" s="70">
        <f>H241/$F$66</f>
        <v>65.661164050150148</v>
      </c>
      <c r="K241" s="67" t="s">
        <v>288</v>
      </c>
      <c r="M241" s="68">
        <v>4963</v>
      </c>
      <c r="N241" s="65">
        <v>0.4</v>
      </c>
      <c r="O241" s="72">
        <f t="shared" si="67"/>
        <v>639.6</v>
      </c>
      <c r="P241" s="68">
        <f t="shared" si="68"/>
        <v>5602.6</v>
      </c>
      <c r="Q241" t="s">
        <v>291</v>
      </c>
      <c r="R241" s="69">
        <f>AVERAGE(P239:P241)</f>
        <v>5483.9366666666656</v>
      </c>
      <c r="S241" s="70">
        <f>R241/$F$66</f>
        <v>54.459443486786775</v>
      </c>
    </row>
    <row r="242" spans="1:19" x14ac:dyDescent="0.25">
      <c r="A242" s="67"/>
      <c r="C242" s="68"/>
      <c r="D242" s="65"/>
      <c r="E242" s="70"/>
      <c r="F242" s="69"/>
      <c r="H242" s="69"/>
      <c r="I242" s="71"/>
      <c r="K242" s="67"/>
      <c r="M242" s="68"/>
      <c r="N242" s="65"/>
      <c r="O242" s="72"/>
      <c r="P242" s="68"/>
      <c r="R242" s="69"/>
      <c r="S242" s="71"/>
    </row>
    <row r="243" spans="1:19" x14ac:dyDescent="0.25">
      <c r="A243" s="67"/>
      <c r="C243" s="68"/>
      <c r="D243" s="65"/>
      <c r="E243" s="70"/>
      <c r="F243" s="69"/>
      <c r="H243" s="69"/>
      <c r="I243" s="71"/>
      <c r="K243" s="67"/>
      <c r="M243" s="68"/>
      <c r="N243" s="65"/>
      <c r="O243" s="72"/>
      <c r="P243" s="68"/>
      <c r="R243" s="69"/>
      <c r="S243" s="71"/>
    </row>
    <row r="247" spans="1:19" x14ac:dyDescent="0.25">
      <c r="A247" t="s">
        <v>188</v>
      </c>
      <c r="K247" t="s">
        <v>188</v>
      </c>
    </row>
    <row r="248" spans="1:19" x14ac:dyDescent="0.25">
      <c r="A248" s="62" t="s">
        <v>155</v>
      </c>
      <c r="B248" s="62" t="s">
        <v>189</v>
      </c>
      <c r="C248" s="62" t="s">
        <v>163</v>
      </c>
      <c r="D248" s="62"/>
      <c r="K248" s="62" t="s">
        <v>244</v>
      </c>
    </row>
    <row r="249" spans="1:19" x14ac:dyDescent="0.25">
      <c r="A249" t="s">
        <v>233</v>
      </c>
      <c r="K249" t="s">
        <v>245</v>
      </c>
    </row>
    <row r="250" spans="1:19" x14ac:dyDescent="0.25">
      <c r="A250" s="81" t="s">
        <v>134</v>
      </c>
      <c r="K250" s="81" t="s">
        <v>154</v>
      </c>
    </row>
    <row r="251" spans="1:19" x14ac:dyDescent="0.25">
      <c r="A251" t="s">
        <v>250</v>
      </c>
      <c r="E251" t="s">
        <v>229</v>
      </c>
      <c r="F251" s="70">
        <f>111/1.10231</f>
        <v>100.69762589471202</v>
      </c>
      <c r="G251" t="s">
        <v>228</v>
      </c>
      <c r="K251" t="s">
        <v>250</v>
      </c>
    </row>
    <row r="252" spans="1:19" x14ac:dyDescent="0.25">
      <c r="A252" t="s">
        <v>191</v>
      </c>
      <c r="K252" t="s">
        <v>191</v>
      </c>
    </row>
    <row r="253" spans="1:19" x14ac:dyDescent="0.25">
      <c r="A253" t="s">
        <v>192</v>
      </c>
      <c r="C253">
        <v>1851</v>
      </c>
      <c r="K253" t="s">
        <v>192</v>
      </c>
      <c r="M253">
        <v>1695</v>
      </c>
    </row>
    <row r="254" spans="1:19" x14ac:dyDescent="0.25">
      <c r="D254" t="s">
        <v>195</v>
      </c>
      <c r="E254" t="s">
        <v>195</v>
      </c>
      <c r="F254" t="s">
        <v>219</v>
      </c>
      <c r="H254" t="s">
        <v>230</v>
      </c>
      <c r="N254" t="s">
        <v>195</v>
      </c>
      <c r="O254" t="s">
        <v>195</v>
      </c>
      <c r="P254" t="s">
        <v>219</v>
      </c>
      <c r="R254" t="s">
        <v>230</v>
      </c>
    </row>
    <row r="255" spans="1:19" ht="15.75" thickBot="1" x14ac:dyDescent="0.3">
      <c r="A255" s="66" t="s">
        <v>193</v>
      </c>
      <c r="B255" s="66"/>
      <c r="C255" s="66" t="s">
        <v>194</v>
      </c>
      <c r="D255" s="66" t="s">
        <v>196</v>
      </c>
      <c r="E255" s="66" t="s">
        <v>218</v>
      </c>
      <c r="F255" s="66" t="s">
        <v>195</v>
      </c>
      <c r="H255" s="66" t="s">
        <v>231</v>
      </c>
      <c r="I255" s="66" t="s">
        <v>227</v>
      </c>
      <c r="K255" s="66" t="s">
        <v>193</v>
      </c>
      <c r="L255" s="66"/>
      <c r="M255" s="66" t="s">
        <v>194</v>
      </c>
      <c r="N255" s="66" t="s">
        <v>196</v>
      </c>
      <c r="O255" s="66" t="s">
        <v>218</v>
      </c>
      <c r="P255" s="66" t="s">
        <v>195</v>
      </c>
      <c r="R255" s="66" t="s">
        <v>231</v>
      </c>
      <c r="S255" s="66" t="s">
        <v>227</v>
      </c>
    </row>
    <row r="256" spans="1:19" x14ac:dyDescent="0.25">
      <c r="A256" s="67" t="s">
        <v>197</v>
      </c>
      <c r="C256" s="68">
        <v>3720</v>
      </c>
      <c r="D256" s="65">
        <v>0.41</v>
      </c>
      <c r="E256" s="70">
        <f>$C$253*D256</f>
        <v>758.91</v>
      </c>
      <c r="F256" s="69">
        <f>C256+E256</f>
        <v>4478.91</v>
      </c>
      <c r="K256" s="67" t="s">
        <v>197</v>
      </c>
      <c r="M256" s="68">
        <v>3920</v>
      </c>
      <c r="N256" s="65">
        <v>0.41</v>
      </c>
      <c r="O256" s="70">
        <f>N256*$M$253</f>
        <v>694.94999999999993</v>
      </c>
      <c r="P256" s="68">
        <f>M256+O256</f>
        <v>4614.95</v>
      </c>
    </row>
    <row r="257" spans="1:19" x14ac:dyDescent="0.25">
      <c r="A257" s="67" t="s">
        <v>198</v>
      </c>
      <c r="C257" s="68">
        <v>3720</v>
      </c>
      <c r="D257" s="65">
        <v>0.3</v>
      </c>
      <c r="E257" s="70">
        <f t="shared" ref="E257:E299" si="71">$C$253*D257</f>
        <v>555.29999999999995</v>
      </c>
      <c r="F257" s="69">
        <f t="shared" ref="F257:F299" si="72">C257+E257</f>
        <v>4275.3</v>
      </c>
      <c r="K257" s="67" t="s">
        <v>198</v>
      </c>
      <c r="M257" s="68">
        <v>3920</v>
      </c>
      <c r="N257" s="65">
        <v>0.3</v>
      </c>
      <c r="O257" s="70">
        <f t="shared" ref="O257:O299" si="73">N257*$M$253</f>
        <v>508.5</v>
      </c>
      <c r="P257" s="68">
        <f t="shared" ref="P257:P299" si="74">M257+O257</f>
        <v>4428.5</v>
      </c>
    </row>
    <row r="258" spans="1:19" x14ac:dyDescent="0.25">
      <c r="A258" s="67" t="s">
        <v>199</v>
      </c>
      <c r="C258" s="68">
        <v>3720</v>
      </c>
      <c r="D258" s="65">
        <v>0.27</v>
      </c>
      <c r="E258" s="70">
        <f t="shared" si="71"/>
        <v>499.77000000000004</v>
      </c>
      <c r="F258" s="69">
        <f t="shared" si="72"/>
        <v>4219.7700000000004</v>
      </c>
      <c r="G258" t="s">
        <v>220</v>
      </c>
      <c r="H258" s="69">
        <f>AVERAGE(F256:F258)</f>
        <v>4324.66</v>
      </c>
      <c r="I258" s="71">
        <f>H258/$F$251</f>
        <v>42.946990672072069</v>
      </c>
      <c r="K258" s="67" t="s">
        <v>199</v>
      </c>
      <c r="M258" s="68">
        <v>3920</v>
      </c>
      <c r="N258" s="65">
        <v>0.27</v>
      </c>
      <c r="O258" s="70">
        <f t="shared" si="73"/>
        <v>457.65000000000003</v>
      </c>
      <c r="P258" s="68">
        <f t="shared" si="74"/>
        <v>4377.6499999999996</v>
      </c>
      <c r="Q258" t="s">
        <v>220</v>
      </c>
      <c r="R258" s="69">
        <f>AVERAGE(P256:P258)</f>
        <v>4473.7</v>
      </c>
      <c r="S258" s="71">
        <f>R258/$F$251</f>
        <v>44.427065288288283</v>
      </c>
    </row>
    <row r="259" spans="1:19" x14ac:dyDescent="0.25">
      <c r="A259" s="67" t="s">
        <v>200</v>
      </c>
      <c r="C259" s="68">
        <v>3720</v>
      </c>
      <c r="D259" s="65">
        <v>0.24</v>
      </c>
      <c r="E259" s="70">
        <f t="shared" si="71"/>
        <v>444.24</v>
      </c>
      <c r="F259" s="69">
        <f t="shared" si="72"/>
        <v>4164.24</v>
      </c>
      <c r="K259" s="67" t="s">
        <v>200</v>
      </c>
      <c r="M259" s="68">
        <v>3920</v>
      </c>
      <c r="N259" s="65">
        <v>0.24</v>
      </c>
      <c r="O259" s="70">
        <f t="shared" si="73"/>
        <v>406.8</v>
      </c>
      <c r="P259" s="68">
        <f t="shared" si="74"/>
        <v>4326.8</v>
      </c>
    </row>
    <row r="260" spans="1:19" x14ac:dyDescent="0.25">
      <c r="A260" s="67" t="s">
        <v>201</v>
      </c>
      <c r="C260" s="68">
        <v>3720</v>
      </c>
      <c r="D260" s="65">
        <v>0.22</v>
      </c>
      <c r="E260" s="70">
        <f t="shared" si="71"/>
        <v>407.22</v>
      </c>
      <c r="F260" s="69">
        <f t="shared" si="72"/>
        <v>4127.22</v>
      </c>
      <c r="K260" s="67" t="s">
        <v>201</v>
      </c>
      <c r="M260" s="68">
        <v>3920</v>
      </c>
      <c r="N260" s="65">
        <v>0.22</v>
      </c>
      <c r="O260" s="70">
        <f t="shared" si="73"/>
        <v>372.9</v>
      </c>
      <c r="P260" s="68">
        <f t="shared" si="74"/>
        <v>4292.8999999999996</v>
      </c>
    </row>
    <row r="261" spans="1:19" x14ac:dyDescent="0.25">
      <c r="A261" s="67" t="s">
        <v>202</v>
      </c>
      <c r="C261" s="68">
        <v>3720</v>
      </c>
      <c r="D261" s="65">
        <v>0.25</v>
      </c>
      <c r="E261" s="70">
        <f t="shared" si="71"/>
        <v>462.75</v>
      </c>
      <c r="F261" s="69">
        <f t="shared" si="72"/>
        <v>4182.75</v>
      </c>
      <c r="G261" t="s">
        <v>222</v>
      </c>
      <c r="H261" s="69">
        <f>AVERAGE(F259:F261)</f>
        <v>4158.07</v>
      </c>
      <c r="I261" s="71">
        <f>H261/$F$251</f>
        <v>41.292631907207202</v>
      </c>
      <c r="K261" s="67" t="s">
        <v>202</v>
      </c>
      <c r="M261" s="68">
        <v>3920</v>
      </c>
      <c r="N261" s="65">
        <v>0.25</v>
      </c>
      <c r="O261" s="70">
        <f t="shared" si="73"/>
        <v>423.75</v>
      </c>
      <c r="P261" s="68">
        <f t="shared" si="74"/>
        <v>4343.75</v>
      </c>
      <c r="Q261" t="s">
        <v>222</v>
      </c>
      <c r="R261" s="69">
        <f>AVERAGE(P259:P261)</f>
        <v>4321.1500000000005</v>
      </c>
      <c r="S261" s="71">
        <f>R261/$F$251</f>
        <v>42.912133842342342</v>
      </c>
    </row>
    <row r="262" spans="1:19" x14ac:dyDescent="0.25">
      <c r="A262" s="67" t="s">
        <v>203</v>
      </c>
      <c r="C262" s="68">
        <v>3720</v>
      </c>
      <c r="D262" s="65">
        <v>0.25</v>
      </c>
      <c r="E262" s="70">
        <f t="shared" si="71"/>
        <v>462.75</v>
      </c>
      <c r="F262" s="69">
        <f t="shared" si="72"/>
        <v>4182.75</v>
      </c>
      <c r="K262" s="67" t="s">
        <v>203</v>
      </c>
      <c r="M262" s="68">
        <v>3920</v>
      </c>
      <c r="N262" s="65">
        <v>0.25</v>
      </c>
      <c r="O262" s="70">
        <f t="shared" si="73"/>
        <v>423.75</v>
      </c>
      <c r="P262" s="68">
        <f t="shared" si="74"/>
        <v>4343.75</v>
      </c>
    </row>
    <row r="263" spans="1:19" x14ac:dyDescent="0.25">
      <c r="A263" s="67" t="s">
        <v>204</v>
      </c>
      <c r="C263" s="68">
        <v>3720</v>
      </c>
      <c r="D263" s="65">
        <v>0.32</v>
      </c>
      <c r="E263" s="70">
        <f t="shared" si="71"/>
        <v>592.32000000000005</v>
      </c>
      <c r="F263" s="69">
        <f t="shared" si="72"/>
        <v>4312.32</v>
      </c>
      <c r="K263" s="67" t="s">
        <v>204</v>
      </c>
      <c r="M263" s="68">
        <v>3920</v>
      </c>
      <c r="N263" s="65">
        <v>0.32</v>
      </c>
      <c r="O263" s="70">
        <f t="shared" si="73"/>
        <v>542.4</v>
      </c>
      <c r="P263" s="68">
        <f t="shared" si="74"/>
        <v>4462.3999999999996</v>
      </c>
    </row>
    <row r="264" spans="1:19" x14ac:dyDescent="0.25">
      <c r="A264" s="67" t="s">
        <v>205</v>
      </c>
      <c r="C264" s="68">
        <v>3920</v>
      </c>
      <c r="D264" s="65">
        <v>0.33</v>
      </c>
      <c r="E264" s="70">
        <f t="shared" si="71"/>
        <v>610.83000000000004</v>
      </c>
      <c r="F264" s="69">
        <f t="shared" si="72"/>
        <v>4530.83</v>
      </c>
      <c r="G264" t="s">
        <v>221</v>
      </c>
      <c r="H264" s="69">
        <f>AVERAGE(F262:F264)</f>
        <v>4341.9666666666662</v>
      </c>
      <c r="I264" s="71">
        <f>H264/$F$251</f>
        <v>43.118858345345338</v>
      </c>
      <c r="K264" s="67" t="s">
        <v>205</v>
      </c>
      <c r="M264" s="68">
        <v>4220</v>
      </c>
      <c r="N264" s="65">
        <v>0.33</v>
      </c>
      <c r="O264" s="70">
        <f t="shared" si="73"/>
        <v>559.35</v>
      </c>
      <c r="P264" s="68">
        <f t="shared" si="74"/>
        <v>4779.3500000000004</v>
      </c>
      <c r="Q264" t="s">
        <v>221</v>
      </c>
      <c r="R264" s="69">
        <f>AVERAGE(P262:P264)</f>
        <v>4528.5</v>
      </c>
      <c r="S264" s="71">
        <f>R264/$F$251</f>
        <v>44.971268783783785</v>
      </c>
    </row>
    <row r="265" spans="1:19" x14ac:dyDescent="0.25">
      <c r="A265" s="67" t="s">
        <v>206</v>
      </c>
      <c r="C265" s="68">
        <v>3920</v>
      </c>
      <c r="D265" s="65">
        <v>0.35</v>
      </c>
      <c r="E265" s="70">
        <f t="shared" si="71"/>
        <v>647.84999999999991</v>
      </c>
      <c r="F265" s="69">
        <f t="shared" si="72"/>
        <v>4567.8500000000004</v>
      </c>
      <c r="K265" s="67" t="s">
        <v>206</v>
      </c>
      <c r="M265" s="68">
        <v>4220</v>
      </c>
      <c r="N265" s="65">
        <v>0.35</v>
      </c>
      <c r="O265" s="70">
        <f t="shared" si="73"/>
        <v>593.25</v>
      </c>
      <c r="P265" s="68">
        <f t="shared" si="74"/>
        <v>4813.25</v>
      </c>
    </row>
    <row r="266" spans="1:19" x14ac:dyDescent="0.25">
      <c r="A266" s="67" t="s">
        <v>207</v>
      </c>
      <c r="C266" s="68">
        <v>3920</v>
      </c>
      <c r="D266" s="65">
        <v>0.35</v>
      </c>
      <c r="E266" s="70">
        <f t="shared" si="71"/>
        <v>647.84999999999991</v>
      </c>
      <c r="F266" s="69">
        <f t="shared" si="72"/>
        <v>4567.8500000000004</v>
      </c>
      <c r="K266" s="67" t="s">
        <v>207</v>
      </c>
      <c r="M266" s="68">
        <v>4220</v>
      </c>
      <c r="N266" s="65">
        <v>0.35</v>
      </c>
      <c r="O266" s="70">
        <f t="shared" si="73"/>
        <v>593.25</v>
      </c>
      <c r="P266" s="68">
        <f t="shared" si="74"/>
        <v>4813.25</v>
      </c>
    </row>
    <row r="267" spans="1:19" x14ac:dyDescent="0.25">
      <c r="A267" s="67" t="s">
        <v>208</v>
      </c>
      <c r="C267" s="68">
        <v>3920</v>
      </c>
      <c r="D267" s="65">
        <v>0.36</v>
      </c>
      <c r="E267" s="70">
        <f t="shared" si="71"/>
        <v>666.36</v>
      </c>
      <c r="F267" s="69">
        <f t="shared" si="72"/>
        <v>4586.3599999999997</v>
      </c>
      <c r="G267" t="s">
        <v>223</v>
      </c>
      <c r="H267" s="69">
        <f>AVERAGE(F265:F267)</f>
        <v>4574.0200000000004</v>
      </c>
      <c r="I267" s="71">
        <f>H267/$F$251</f>
        <v>45.423315190990991</v>
      </c>
      <c r="K267" s="67" t="s">
        <v>208</v>
      </c>
      <c r="M267" s="68">
        <v>4220</v>
      </c>
      <c r="N267" s="65">
        <v>0.36</v>
      </c>
      <c r="O267" s="70">
        <f t="shared" si="73"/>
        <v>610.19999999999993</v>
      </c>
      <c r="P267" s="68">
        <f t="shared" si="74"/>
        <v>4830.2</v>
      </c>
      <c r="Q267" t="s">
        <v>223</v>
      </c>
      <c r="R267" s="69">
        <f>AVERAGE(P265:P267)</f>
        <v>4818.9000000000005</v>
      </c>
      <c r="S267" s="71">
        <f>R267/$F$251</f>
        <v>47.855150081081085</v>
      </c>
    </row>
    <row r="268" spans="1:19" x14ac:dyDescent="0.25">
      <c r="A268" s="67" t="s">
        <v>209</v>
      </c>
      <c r="C268" s="68">
        <v>3920</v>
      </c>
      <c r="D268" s="65">
        <v>0.39</v>
      </c>
      <c r="E268" s="70">
        <f t="shared" si="71"/>
        <v>721.89</v>
      </c>
      <c r="F268" s="69">
        <f t="shared" si="72"/>
        <v>4641.8900000000003</v>
      </c>
      <c r="K268" s="67" t="s">
        <v>209</v>
      </c>
      <c r="M268" s="68">
        <v>4220</v>
      </c>
      <c r="N268" s="65">
        <v>0.39</v>
      </c>
      <c r="O268" s="70">
        <f t="shared" si="73"/>
        <v>661.05000000000007</v>
      </c>
      <c r="P268" s="68">
        <f t="shared" si="74"/>
        <v>4881.05</v>
      </c>
    </row>
    <row r="269" spans="1:19" x14ac:dyDescent="0.25">
      <c r="A269" s="67" t="s">
        <v>210</v>
      </c>
      <c r="C269" s="68">
        <v>3920</v>
      </c>
      <c r="D269" s="65">
        <v>0.38</v>
      </c>
      <c r="E269" s="70">
        <f t="shared" si="71"/>
        <v>703.38</v>
      </c>
      <c r="F269" s="69">
        <f t="shared" si="72"/>
        <v>4623.38</v>
      </c>
      <c r="K269" s="67" t="s">
        <v>210</v>
      </c>
      <c r="M269" s="68">
        <v>4220</v>
      </c>
      <c r="N269" s="65">
        <v>0.38</v>
      </c>
      <c r="O269" s="70">
        <f t="shared" si="73"/>
        <v>644.1</v>
      </c>
      <c r="P269" s="68">
        <f t="shared" si="74"/>
        <v>4864.1000000000004</v>
      </c>
    </row>
    <row r="270" spans="1:19" x14ac:dyDescent="0.25">
      <c r="A270" s="67" t="s">
        <v>211</v>
      </c>
      <c r="C270" s="68">
        <v>3920</v>
      </c>
      <c r="D270" s="65">
        <v>0.4</v>
      </c>
      <c r="E270" s="70">
        <f t="shared" si="71"/>
        <v>740.40000000000009</v>
      </c>
      <c r="F270" s="69">
        <f t="shared" si="72"/>
        <v>4660.3999999999996</v>
      </c>
      <c r="G270" t="s">
        <v>224</v>
      </c>
      <c r="H270" s="69">
        <f>AVERAGE(F268:F270)</f>
        <v>4641.8900000000003</v>
      </c>
      <c r="I270" s="71">
        <f>H270/$F$251</f>
        <v>46.09731320630631</v>
      </c>
      <c r="K270" s="67" t="s">
        <v>211</v>
      </c>
      <c r="M270" s="68">
        <v>4220</v>
      </c>
      <c r="N270" s="65">
        <v>0.4</v>
      </c>
      <c r="O270" s="70">
        <f t="shared" si="73"/>
        <v>678</v>
      </c>
      <c r="P270" s="68">
        <f t="shared" si="74"/>
        <v>4898</v>
      </c>
      <c r="Q270" t="s">
        <v>224</v>
      </c>
      <c r="R270" s="69">
        <f>AVERAGE(P268:P270)</f>
        <v>4881.05</v>
      </c>
      <c r="S270" s="71">
        <f>R270/$F$251</f>
        <v>48.472344373873874</v>
      </c>
    </row>
    <row r="271" spans="1:19" x14ac:dyDescent="0.25">
      <c r="A271" s="67" t="s">
        <v>212</v>
      </c>
      <c r="C271" s="68">
        <v>3920</v>
      </c>
      <c r="D271" s="65">
        <v>0.39</v>
      </c>
      <c r="E271" s="70">
        <f t="shared" si="71"/>
        <v>721.89</v>
      </c>
      <c r="F271" s="69">
        <f t="shared" si="72"/>
        <v>4641.8900000000003</v>
      </c>
      <c r="K271" s="67" t="s">
        <v>212</v>
      </c>
      <c r="M271" s="68">
        <v>4220</v>
      </c>
      <c r="N271" s="65">
        <v>0.39</v>
      </c>
      <c r="O271" s="70">
        <f t="shared" si="73"/>
        <v>661.05000000000007</v>
      </c>
      <c r="P271" s="68">
        <f t="shared" si="74"/>
        <v>4881.05</v>
      </c>
    </row>
    <row r="272" spans="1:19" x14ac:dyDescent="0.25">
      <c r="A272" s="67" t="s">
        <v>213</v>
      </c>
      <c r="C272" s="68">
        <v>3920</v>
      </c>
      <c r="D272" s="65">
        <v>0.42</v>
      </c>
      <c r="E272" s="70">
        <f t="shared" si="71"/>
        <v>777.42</v>
      </c>
      <c r="F272" s="69">
        <f t="shared" si="72"/>
        <v>4697.42</v>
      </c>
      <c r="K272" s="67" t="s">
        <v>213</v>
      </c>
      <c r="M272" s="68">
        <v>4220</v>
      </c>
      <c r="N272" s="65">
        <v>0.42</v>
      </c>
      <c r="O272" s="70">
        <f t="shared" si="73"/>
        <v>711.9</v>
      </c>
      <c r="P272" s="68">
        <f t="shared" si="74"/>
        <v>4931.8999999999996</v>
      </c>
    </row>
    <row r="273" spans="1:19" x14ac:dyDescent="0.25">
      <c r="A273" s="67" t="s">
        <v>214</v>
      </c>
      <c r="C273" s="68">
        <v>3920</v>
      </c>
      <c r="D273" s="65">
        <v>0.46</v>
      </c>
      <c r="E273" s="70">
        <f t="shared" si="71"/>
        <v>851.46</v>
      </c>
      <c r="F273" s="69">
        <f t="shared" si="72"/>
        <v>4771.46</v>
      </c>
      <c r="G273" t="s">
        <v>225</v>
      </c>
      <c r="H273" s="69">
        <f>AVERAGE(F271:F273)</f>
        <v>4703.59</v>
      </c>
      <c r="I273" s="71">
        <f>H273/$F$251</f>
        <v>46.710038674774772</v>
      </c>
      <c r="K273" s="67" t="s">
        <v>214</v>
      </c>
      <c r="M273" s="68">
        <v>4220</v>
      </c>
      <c r="N273" s="65">
        <v>0.46</v>
      </c>
      <c r="O273" s="70">
        <f t="shared" si="73"/>
        <v>779.7</v>
      </c>
      <c r="P273" s="68">
        <f t="shared" si="74"/>
        <v>4999.7</v>
      </c>
      <c r="Q273" t="s">
        <v>225</v>
      </c>
      <c r="R273" s="69">
        <f>AVERAGE(P271:P273)</f>
        <v>4937.55</v>
      </c>
      <c r="S273" s="71">
        <f>R273/$F$251</f>
        <v>49.033430094594593</v>
      </c>
    </row>
    <row r="274" spans="1:19" x14ac:dyDescent="0.25">
      <c r="A274" s="67" t="s">
        <v>215</v>
      </c>
      <c r="C274" s="68">
        <v>3920</v>
      </c>
      <c r="D274" s="65">
        <v>0.46</v>
      </c>
      <c r="E274" s="70">
        <f t="shared" si="71"/>
        <v>851.46</v>
      </c>
      <c r="F274" s="69">
        <f t="shared" si="72"/>
        <v>4771.46</v>
      </c>
      <c r="K274" s="67" t="s">
        <v>215</v>
      </c>
      <c r="M274" s="68">
        <v>4220</v>
      </c>
      <c r="N274" s="65">
        <v>0.46</v>
      </c>
      <c r="O274" s="70">
        <f t="shared" si="73"/>
        <v>779.7</v>
      </c>
      <c r="P274" s="68">
        <f t="shared" si="74"/>
        <v>4999.7</v>
      </c>
    </row>
    <row r="275" spans="1:19" x14ac:dyDescent="0.25">
      <c r="A275" s="67" t="s">
        <v>216</v>
      </c>
      <c r="C275" s="68">
        <v>3920</v>
      </c>
      <c r="D275" s="65">
        <v>0.43</v>
      </c>
      <c r="E275" s="70">
        <f t="shared" si="71"/>
        <v>795.93</v>
      </c>
      <c r="F275" s="69">
        <f t="shared" si="72"/>
        <v>4715.93</v>
      </c>
      <c r="K275" s="67" t="s">
        <v>216</v>
      </c>
      <c r="M275" s="68">
        <v>4220</v>
      </c>
      <c r="N275" s="65">
        <v>0.43</v>
      </c>
      <c r="O275" s="70">
        <f t="shared" si="73"/>
        <v>728.85</v>
      </c>
      <c r="P275" s="68">
        <f t="shared" si="74"/>
        <v>4948.8500000000004</v>
      </c>
    </row>
    <row r="276" spans="1:19" x14ac:dyDescent="0.25">
      <c r="A276" s="67" t="s">
        <v>217</v>
      </c>
      <c r="C276" s="68">
        <v>3920</v>
      </c>
      <c r="D276" s="65">
        <v>0.42</v>
      </c>
      <c r="E276" s="70">
        <f t="shared" si="71"/>
        <v>777.42</v>
      </c>
      <c r="F276" s="69">
        <f t="shared" si="72"/>
        <v>4697.42</v>
      </c>
      <c r="G276" t="s">
        <v>226</v>
      </c>
      <c r="H276" s="69">
        <f>AVERAGE(F274:F276)</f>
        <v>4728.2699999999995</v>
      </c>
      <c r="I276" s="71">
        <f>H276/$F$251</f>
        <v>46.955128862162155</v>
      </c>
      <c r="K276" s="67" t="s">
        <v>217</v>
      </c>
      <c r="M276" s="68">
        <v>4320</v>
      </c>
      <c r="N276" s="65">
        <v>0.42</v>
      </c>
      <c r="O276" s="70">
        <f t="shared" si="73"/>
        <v>711.9</v>
      </c>
      <c r="P276" s="68">
        <f t="shared" si="74"/>
        <v>5031.8999999999996</v>
      </c>
      <c r="Q276" t="s">
        <v>226</v>
      </c>
      <c r="R276" s="69">
        <f>AVERAGE(P274:P276)</f>
        <v>4993.4833333333327</v>
      </c>
      <c r="S276" s="71">
        <f>R276/$F$251</f>
        <v>49.588888406906896</v>
      </c>
    </row>
    <row r="277" spans="1:19" x14ac:dyDescent="0.25">
      <c r="A277" s="67" t="s">
        <v>247</v>
      </c>
      <c r="C277" s="68">
        <v>3920</v>
      </c>
      <c r="D277" s="65">
        <v>0.43</v>
      </c>
      <c r="E277" s="70">
        <f t="shared" si="71"/>
        <v>795.93</v>
      </c>
      <c r="F277" s="69">
        <f t="shared" si="72"/>
        <v>4715.93</v>
      </c>
      <c r="K277" s="67" t="s">
        <v>247</v>
      </c>
      <c r="M277" s="68">
        <v>4320</v>
      </c>
      <c r="N277" s="65">
        <v>0.43</v>
      </c>
      <c r="O277" s="70">
        <f t="shared" si="73"/>
        <v>728.85</v>
      </c>
      <c r="P277" s="68">
        <f t="shared" si="74"/>
        <v>5048.8500000000004</v>
      </c>
    </row>
    <row r="278" spans="1:19" x14ac:dyDescent="0.25">
      <c r="A278" s="67" t="s">
        <v>248</v>
      </c>
      <c r="C278" s="68">
        <v>4000</v>
      </c>
      <c r="D278" s="65">
        <v>0.43</v>
      </c>
      <c r="E278" s="70">
        <f t="shared" si="71"/>
        <v>795.93</v>
      </c>
      <c r="F278" s="69">
        <f t="shared" si="72"/>
        <v>4795.93</v>
      </c>
      <c r="K278" s="67" t="s">
        <v>248</v>
      </c>
      <c r="M278" s="68">
        <v>4320</v>
      </c>
      <c r="N278" s="65">
        <v>0.43</v>
      </c>
      <c r="O278" s="70">
        <f t="shared" si="73"/>
        <v>728.85</v>
      </c>
      <c r="P278" s="68">
        <f t="shared" si="74"/>
        <v>5048.8500000000004</v>
      </c>
    </row>
    <row r="279" spans="1:19" x14ac:dyDescent="0.25">
      <c r="A279" s="67" t="s">
        <v>249</v>
      </c>
      <c r="C279" s="68">
        <v>4120</v>
      </c>
      <c r="D279" s="65">
        <v>0.46</v>
      </c>
      <c r="E279" s="70">
        <f t="shared" si="71"/>
        <v>851.46</v>
      </c>
      <c r="F279" s="69">
        <f t="shared" si="72"/>
        <v>4971.46</v>
      </c>
      <c r="G279" t="s">
        <v>251</v>
      </c>
      <c r="H279" s="69">
        <f>AVERAGE(F277:F279)</f>
        <v>4827.7733333333335</v>
      </c>
      <c r="I279" s="71">
        <f>H279/$F$251</f>
        <v>47.943268676276276</v>
      </c>
      <c r="K279" s="67" t="s">
        <v>249</v>
      </c>
      <c r="M279" s="68">
        <v>4320</v>
      </c>
      <c r="N279" s="65">
        <v>0.46</v>
      </c>
      <c r="O279" s="70">
        <f t="shared" si="73"/>
        <v>779.7</v>
      </c>
      <c r="P279" s="68">
        <f t="shared" si="74"/>
        <v>5099.7</v>
      </c>
      <c r="Q279" t="s">
        <v>251</v>
      </c>
      <c r="R279" s="69">
        <f>AVERAGE(P277:P279)</f>
        <v>5065.8</v>
      </c>
      <c r="S279" s="71">
        <f>R279/$F$251</f>
        <v>50.30704502702703</v>
      </c>
    </row>
    <row r="280" spans="1:19" x14ac:dyDescent="0.25">
      <c r="A280" s="67" t="s">
        <v>252</v>
      </c>
      <c r="C280" s="68">
        <v>4120</v>
      </c>
      <c r="D280" s="65">
        <v>0.48</v>
      </c>
      <c r="E280" s="70">
        <f t="shared" si="71"/>
        <v>888.48</v>
      </c>
      <c r="F280" s="69">
        <f t="shared" si="72"/>
        <v>5008.4799999999996</v>
      </c>
      <c r="K280" s="67" t="s">
        <v>252</v>
      </c>
      <c r="M280" s="68">
        <v>4320</v>
      </c>
      <c r="N280" s="65">
        <v>0.48</v>
      </c>
      <c r="O280" s="70">
        <f t="shared" si="73"/>
        <v>813.6</v>
      </c>
      <c r="P280" s="68">
        <f t="shared" si="74"/>
        <v>5133.6000000000004</v>
      </c>
    </row>
    <row r="281" spans="1:19" x14ac:dyDescent="0.25">
      <c r="A281" s="67" t="s">
        <v>253</v>
      </c>
      <c r="C281" s="68">
        <v>4120</v>
      </c>
      <c r="D281" s="65">
        <v>0.5</v>
      </c>
      <c r="E281" s="70">
        <f t="shared" si="71"/>
        <v>925.5</v>
      </c>
      <c r="F281" s="69">
        <f t="shared" si="72"/>
        <v>5045.5</v>
      </c>
      <c r="K281" s="67" t="s">
        <v>253</v>
      </c>
      <c r="M281" s="68">
        <v>4320</v>
      </c>
      <c r="N281" s="65">
        <v>0.5</v>
      </c>
      <c r="O281" s="70">
        <f t="shared" si="73"/>
        <v>847.5</v>
      </c>
      <c r="P281" s="68">
        <f t="shared" si="74"/>
        <v>5167.5</v>
      </c>
    </row>
    <row r="282" spans="1:19" x14ac:dyDescent="0.25">
      <c r="A282" s="67" t="s">
        <v>254</v>
      </c>
      <c r="C282" s="68">
        <v>4120</v>
      </c>
      <c r="D282" s="65">
        <v>0.23</v>
      </c>
      <c r="E282" s="70">
        <f t="shared" si="71"/>
        <v>425.73</v>
      </c>
      <c r="F282" s="69">
        <f t="shared" si="72"/>
        <v>4545.7299999999996</v>
      </c>
      <c r="G282" t="s">
        <v>266</v>
      </c>
      <c r="H282" s="69">
        <f>AVERAGE(F280:F282)</f>
        <v>4866.57</v>
      </c>
      <c r="I282" s="70">
        <f>H282/$F$66</f>
        <v>48.328547537837835</v>
      </c>
      <c r="K282" s="67" t="s">
        <v>254</v>
      </c>
      <c r="M282" s="68">
        <v>4320</v>
      </c>
      <c r="N282" s="65">
        <v>0.23</v>
      </c>
      <c r="O282" s="70">
        <f t="shared" si="73"/>
        <v>389.85</v>
      </c>
      <c r="P282" s="68">
        <f t="shared" si="74"/>
        <v>4709.8500000000004</v>
      </c>
      <c r="Q282" t="s">
        <v>266</v>
      </c>
      <c r="R282" s="69">
        <f>AVERAGE(P280:P282)</f>
        <v>5003.6500000000005</v>
      </c>
      <c r="S282" s="70">
        <f>R282/$F$66</f>
        <v>49.689850734234234</v>
      </c>
    </row>
    <row r="283" spans="1:19" x14ac:dyDescent="0.25">
      <c r="A283" s="67" t="s">
        <v>255</v>
      </c>
      <c r="C283" s="68">
        <v>4680</v>
      </c>
      <c r="D283" s="65">
        <v>0.28000000000000003</v>
      </c>
      <c r="E283" s="70">
        <f t="shared" si="71"/>
        <v>518.28000000000009</v>
      </c>
      <c r="F283" s="69">
        <f t="shared" si="72"/>
        <v>5198.28</v>
      </c>
      <c r="K283" s="67" t="s">
        <v>255</v>
      </c>
      <c r="M283" s="68">
        <v>4840</v>
      </c>
      <c r="N283" s="65">
        <v>0.28000000000000003</v>
      </c>
      <c r="O283" s="70">
        <f t="shared" si="73"/>
        <v>474.6</v>
      </c>
      <c r="P283" s="68">
        <f t="shared" si="74"/>
        <v>5314.6</v>
      </c>
    </row>
    <row r="284" spans="1:19" x14ac:dyDescent="0.25">
      <c r="A284" s="67" t="s">
        <v>256</v>
      </c>
      <c r="C284" s="68">
        <v>4680</v>
      </c>
      <c r="D284" s="65">
        <v>0.36</v>
      </c>
      <c r="E284" s="70">
        <f t="shared" si="71"/>
        <v>666.36</v>
      </c>
      <c r="F284" s="69">
        <f t="shared" si="72"/>
        <v>5346.36</v>
      </c>
      <c r="K284" s="67" t="s">
        <v>256</v>
      </c>
      <c r="M284" s="68">
        <v>4840</v>
      </c>
      <c r="N284" s="65">
        <v>0.36</v>
      </c>
      <c r="O284" s="70">
        <f t="shared" si="73"/>
        <v>610.19999999999993</v>
      </c>
      <c r="P284" s="68">
        <f t="shared" si="74"/>
        <v>5450.2</v>
      </c>
    </row>
    <row r="285" spans="1:19" x14ac:dyDescent="0.25">
      <c r="A285" s="67" t="s">
        <v>257</v>
      </c>
      <c r="C285" s="68">
        <v>4680</v>
      </c>
      <c r="D285" s="65">
        <v>0.4</v>
      </c>
      <c r="E285" s="70">
        <f t="shared" si="71"/>
        <v>740.40000000000009</v>
      </c>
      <c r="F285" s="69">
        <f t="shared" si="72"/>
        <v>5420.4</v>
      </c>
      <c r="G285" t="s">
        <v>267</v>
      </c>
      <c r="H285" s="69">
        <f>AVERAGE(F283:F285)</f>
        <v>5321.6799999999994</v>
      </c>
      <c r="I285" s="70">
        <f>H285/$F$66</f>
        <v>52.848117845045039</v>
      </c>
      <c r="K285" s="67" t="s">
        <v>257</v>
      </c>
      <c r="M285" s="68">
        <v>4840</v>
      </c>
      <c r="N285" s="65">
        <v>0.4</v>
      </c>
      <c r="O285" s="70">
        <f t="shared" si="73"/>
        <v>678</v>
      </c>
      <c r="P285" s="68">
        <f t="shared" si="74"/>
        <v>5518</v>
      </c>
      <c r="Q285" t="s">
        <v>267</v>
      </c>
      <c r="R285" s="69">
        <f>AVERAGE(P283:P285)</f>
        <v>5427.5999999999995</v>
      </c>
      <c r="S285" s="70">
        <f>R285/$F$66</f>
        <v>53.899979783783778</v>
      </c>
    </row>
    <row r="286" spans="1:19" x14ac:dyDescent="0.25">
      <c r="A286" s="67" t="s">
        <v>258</v>
      </c>
      <c r="C286" s="68">
        <v>4680</v>
      </c>
      <c r="D286" s="65">
        <v>0.39</v>
      </c>
      <c r="E286" s="70">
        <f t="shared" si="71"/>
        <v>721.89</v>
      </c>
      <c r="F286" s="69">
        <f t="shared" si="72"/>
        <v>5401.89</v>
      </c>
      <c r="K286" s="67" t="s">
        <v>258</v>
      </c>
      <c r="M286" s="68">
        <v>4840</v>
      </c>
      <c r="N286" s="65">
        <v>0.39</v>
      </c>
      <c r="O286" s="70">
        <f t="shared" si="73"/>
        <v>661.05000000000007</v>
      </c>
      <c r="P286" s="68">
        <f t="shared" si="74"/>
        <v>5501.05</v>
      </c>
    </row>
    <row r="287" spans="1:19" x14ac:dyDescent="0.25">
      <c r="A287" s="67" t="s">
        <v>259</v>
      </c>
      <c r="C287" s="68">
        <v>4680</v>
      </c>
      <c r="D287" s="65">
        <v>0.36</v>
      </c>
      <c r="E287" s="70">
        <f t="shared" si="71"/>
        <v>666.36</v>
      </c>
      <c r="F287" s="69">
        <f t="shared" si="72"/>
        <v>5346.36</v>
      </c>
      <c r="K287" s="67" t="s">
        <v>259</v>
      </c>
      <c r="M287" s="68">
        <v>4840</v>
      </c>
      <c r="N287" s="65">
        <v>0.36</v>
      </c>
      <c r="O287" s="70">
        <f t="shared" si="73"/>
        <v>610.19999999999993</v>
      </c>
      <c r="P287" s="68">
        <f t="shared" si="74"/>
        <v>5450.2</v>
      </c>
    </row>
    <row r="288" spans="1:19" x14ac:dyDescent="0.25">
      <c r="A288" s="67" t="s">
        <v>260</v>
      </c>
      <c r="C288" s="68">
        <v>4680</v>
      </c>
      <c r="D288" s="65">
        <v>0.36</v>
      </c>
      <c r="E288" s="70">
        <f t="shared" si="71"/>
        <v>666.36</v>
      </c>
      <c r="F288" s="69">
        <f t="shared" si="72"/>
        <v>5346.36</v>
      </c>
      <c r="G288" t="s">
        <v>268</v>
      </c>
      <c r="H288" s="69">
        <f>AVERAGE(F286:F288)</f>
        <v>5364.87</v>
      </c>
      <c r="I288" s="70">
        <f>H288/$F$66</f>
        <v>53.277025672972968</v>
      </c>
      <c r="K288" s="67" t="s">
        <v>260</v>
      </c>
      <c r="M288" s="68">
        <v>4840</v>
      </c>
      <c r="N288" s="65">
        <v>0.36</v>
      </c>
      <c r="O288" s="70">
        <f t="shared" si="73"/>
        <v>610.19999999999993</v>
      </c>
      <c r="P288" s="68">
        <f t="shared" si="74"/>
        <v>5450.2</v>
      </c>
      <c r="Q288" t="s">
        <v>268</v>
      </c>
      <c r="R288" s="69">
        <f>AVERAGE(P286:P288)</f>
        <v>5467.1500000000005</v>
      </c>
      <c r="S288" s="70">
        <f>R288/$F$66</f>
        <v>54.292739788288294</v>
      </c>
    </row>
    <row r="289" spans="1:19" x14ac:dyDescent="0.25">
      <c r="A289" s="67" t="s">
        <v>261</v>
      </c>
      <c r="C289" s="68">
        <v>4800</v>
      </c>
      <c r="D289" s="65">
        <v>0.35</v>
      </c>
      <c r="E289" s="70">
        <f t="shared" si="71"/>
        <v>647.84999999999991</v>
      </c>
      <c r="F289" s="69">
        <f t="shared" si="72"/>
        <v>5447.85</v>
      </c>
      <c r="K289" s="67" t="s">
        <v>261</v>
      </c>
      <c r="M289" s="68">
        <v>5040</v>
      </c>
      <c r="N289" s="65">
        <v>0.35</v>
      </c>
      <c r="O289" s="70">
        <f t="shared" si="73"/>
        <v>593.25</v>
      </c>
      <c r="P289" s="68">
        <f t="shared" si="74"/>
        <v>5633.25</v>
      </c>
    </row>
    <row r="290" spans="1:19" x14ac:dyDescent="0.25">
      <c r="A290" s="67" t="s">
        <v>262</v>
      </c>
      <c r="C290" s="68">
        <v>4800</v>
      </c>
      <c r="D290" s="65">
        <v>0.34</v>
      </c>
      <c r="E290" s="70">
        <f t="shared" si="71"/>
        <v>629.34</v>
      </c>
      <c r="F290" s="69">
        <f t="shared" si="72"/>
        <v>5429.34</v>
      </c>
      <c r="K290" s="67" t="s">
        <v>262</v>
      </c>
      <c r="M290" s="68">
        <v>5040</v>
      </c>
      <c r="N290" s="65">
        <v>0.34</v>
      </c>
      <c r="O290" s="70">
        <f t="shared" si="73"/>
        <v>576.30000000000007</v>
      </c>
      <c r="P290" s="68">
        <f t="shared" si="74"/>
        <v>5616.3</v>
      </c>
    </row>
    <row r="291" spans="1:19" x14ac:dyDescent="0.25">
      <c r="A291" s="67" t="s">
        <v>263</v>
      </c>
      <c r="C291" s="68">
        <v>4800</v>
      </c>
      <c r="D291" s="65">
        <v>0.33</v>
      </c>
      <c r="E291" s="70">
        <f t="shared" si="71"/>
        <v>610.83000000000004</v>
      </c>
      <c r="F291" s="69">
        <f t="shared" si="72"/>
        <v>5410.83</v>
      </c>
      <c r="G291" t="s">
        <v>270</v>
      </c>
      <c r="H291" s="69">
        <f>AVERAGE(F289:F291)</f>
        <v>5429.34</v>
      </c>
      <c r="I291" s="70">
        <f>H291/$F$66</f>
        <v>53.91725923783784</v>
      </c>
      <c r="K291" s="67" t="s">
        <v>263</v>
      </c>
      <c r="M291" s="68">
        <v>5040</v>
      </c>
      <c r="N291" s="65">
        <v>0.33</v>
      </c>
      <c r="O291" s="70">
        <f t="shared" si="73"/>
        <v>559.35</v>
      </c>
      <c r="P291" s="68">
        <f t="shared" si="74"/>
        <v>5599.35</v>
      </c>
      <c r="Q291" t="s">
        <v>270</v>
      </c>
      <c r="R291" s="69">
        <f>AVERAGE(P289:P291)</f>
        <v>5616.3</v>
      </c>
      <c r="S291" s="70">
        <f>R291/$F$66</f>
        <v>55.773906783783779</v>
      </c>
    </row>
    <row r="292" spans="1:19" x14ac:dyDescent="0.25">
      <c r="A292" s="67" t="s">
        <v>276</v>
      </c>
      <c r="C292" s="68">
        <v>4800</v>
      </c>
      <c r="D292" s="65">
        <v>0.37</v>
      </c>
      <c r="E292" s="70">
        <f t="shared" si="71"/>
        <v>684.87</v>
      </c>
      <c r="F292" s="69">
        <f t="shared" si="72"/>
        <v>5484.87</v>
      </c>
      <c r="K292" s="67" t="s">
        <v>276</v>
      </c>
      <c r="M292" s="68">
        <v>5040</v>
      </c>
      <c r="N292" s="65">
        <v>0.37</v>
      </c>
      <c r="O292" s="70">
        <f t="shared" si="73"/>
        <v>627.15</v>
      </c>
      <c r="P292" s="68">
        <f t="shared" si="74"/>
        <v>5667.15</v>
      </c>
    </row>
    <row r="293" spans="1:19" x14ac:dyDescent="0.25">
      <c r="A293" s="67" t="s">
        <v>277</v>
      </c>
      <c r="C293" s="68">
        <v>4800</v>
      </c>
      <c r="D293" s="65">
        <v>0.35</v>
      </c>
      <c r="E293" s="70">
        <f t="shared" si="71"/>
        <v>647.84999999999991</v>
      </c>
      <c r="F293" s="69">
        <f t="shared" si="72"/>
        <v>5447.85</v>
      </c>
      <c r="K293" s="67" t="s">
        <v>277</v>
      </c>
      <c r="M293" s="68">
        <v>5040</v>
      </c>
      <c r="N293" s="65">
        <v>0.35</v>
      </c>
      <c r="O293" s="70">
        <f t="shared" si="73"/>
        <v>593.25</v>
      </c>
      <c r="P293" s="68">
        <f t="shared" si="74"/>
        <v>5633.25</v>
      </c>
    </row>
    <row r="294" spans="1:19" x14ac:dyDescent="0.25">
      <c r="A294" s="67" t="s">
        <v>278</v>
      </c>
      <c r="C294" s="68">
        <v>4800</v>
      </c>
      <c r="D294" s="65">
        <v>0.34</v>
      </c>
      <c r="E294" s="70">
        <f t="shared" si="71"/>
        <v>629.34</v>
      </c>
      <c r="F294" s="69">
        <f t="shared" si="72"/>
        <v>5429.34</v>
      </c>
      <c r="G294" t="s">
        <v>279</v>
      </c>
      <c r="H294" s="69">
        <f>AVERAGE(F292:F294)</f>
        <v>5454.02</v>
      </c>
      <c r="I294" s="70">
        <f>H294/$F$66</f>
        <v>54.16234942522523</v>
      </c>
      <c r="K294" s="67" t="s">
        <v>278</v>
      </c>
      <c r="M294" s="68">
        <v>5040</v>
      </c>
      <c r="N294" s="65">
        <v>0.34</v>
      </c>
      <c r="O294" s="70">
        <f t="shared" si="73"/>
        <v>576.30000000000007</v>
      </c>
      <c r="P294" s="68">
        <f t="shared" si="74"/>
        <v>5616.3</v>
      </c>
      <c r="Q294" t="s">
        <v>279</v>
      </c>
      <c r="R294" s="69">
        <f>AVERAGE(P292:P294)</f>
        <v>5638.9000000000005</v>
      </c>
      <c r="S294" s="70">
        <f>R294/$F$66</f>
        <v>55.998341072072073</v>
      </c>
    </row>
    <row r="295" spans="1:19" x14ac:dyDescent="0.25">
      <c r="A295" s="67" t="s">
        <v>281</v>
      </c>
      <c r="C295" s="68">
        <v>4800</v>
      </c>
      <c r="D295" s="65">
        <v>0.37</v>
      </c>
      <c r="E295" s="70">
        <f t="shared" si="71"/>
        <v>684.87</v>
      </c>
      <c r="F295" s="69">
        <f t="shared" si="72"/>
        <v>5484.87</v>
      </c>
      <c r="K295" s="67" t="s">
        <v>281</v>
      </c>
      <c r="M295" s="68">
        <v>5040</v>
      </c>
      <c r="N295" s="65">
        <v>0.37</v>
      </c>
      <c r="O295" s="70">
        <f t="shared" si="73"/>
        <v>627.15</v>
      </c>
      <c r="P295" s="68">
        <f t="shared" si="74"/>
        <v>5667.15</v>
      </c>
    </row>
    <row r="296" spans="1:19" x14ac:dyDescent="0.25">
      <c r="A296" s="67" t="s">
        <v>282</v>
      </c>
      <c r="C296" s="68">
        <v>4800</v>
      </c>
      <c r="D296" s="65">
        <v>0.41</v>
      </c>
      <c r="E296" s="70">
        <f t="shared" si="71"/>
        <v>758.91</v>
      </c>
      <c r="F296" s="69">
        <f t="shared" si="72"/>
        <v>5558.91</v>
      </c>
      <c r="K296" s="67" t="s">
        <v>282</v>
      </c>
      <c r="M296" s="68">
        <v>5040</v>
      </c>
      <c r="N296" s="65">
        <v>0.41</v>
      </c>
      <c r="O296" s="70">
        <f t="shared" si="73"/>
        <v>694.94999999999993</v>
      </c>
      <c r="P296" s="68">
        <f t="shared" si="74"/>
        <v>5734.95</v>
      </c>
    </row>
    <row r="297" spans="1:19" x14ac:dyDescent="0.25">
      <c r="A297" s="67" t="s">
        <v>283</v>
      </c>
      <c r="C297" s="68">
        <v>4800</v>
      </c>
      <c r="D297" s="65">
        <v>0.41</v>
      </c>
      <c r="E297" s="70">
        <f t="shared" si="71"/>
        <v>758.91</v>
      </c>
      <c r="F297" s="69">
        <f t="shared" si="72"/>
        <v>5558.91</v>
      </c>
      <c r="G297" t="s">
        <v>289</v>
      </c>
      <c r="H297" s="69">
        <f>AVERAGE(F295:F297)</f>
        <v>5534.23</v>
      </c>
      <c r="I297" s="70">
        <f>H297/$F$66</f>
        <v>54.958892534234231</v>
      </c>
      <c r="K297" s="67" t="s">
        <v>283</v>
      </c>
      <c r="M297" s="68">
        <v>5040</v>
      </c>
      <c r="N297" s="65">
        <v>0.41</v>
      </c>
      <c r="O297" s="70">
        <f t="shared" si="73"/>
        <v>694.94999999999993</v>
      </c>
      <c r="P297" s="68">
        <f t="shared" si="74"/>
        <v>5734.95</v>
      </c>
      <c r="Q297" t="s">
        <v>289</v>
      </c>
      <c r="R297" s="69">
        <f>AVERAGE(P295:P297)</f>
        <v>5712.3499999999995</v>
      </c>
      <c r="S297" s="70">
        <f>R297/$F$66</f>
        <v>56.727752509009001</v>
      </c>
    </row>
    <row r="298" spans="1:19" x14ac:dyDescent="0.25">
      <c r="A298" s="67" t="s">
        <v>284</v>
      </c>
      <c r="C298" s="68">
        <v>4800</v>
      </c>
      <c r="D298" s="65">
        <v>0.37</v>
      </c>
      <c r="E298" s="70">
        <f t="shared" si="71"/>
        <v>684.87</v>
      </c>
      <c r="F298" s="69">
        <f t="shared" si="72"/>
        <v>5484.87</v>
      </c>
      <c r="K298" s="67" t="s">
        <v>284</v>
      </c>
      <c r="M298" s="68">
        <v>5040</v>
      </c>
      <c r="N298" s="65">
        <v>0.37</v>
      </c>
      <c r="O298" s="70">
        <f t="shared" si="73"/>
        <v>627.15</v>
      </c>
      <c r="P298" s="68">
        <f t="shared" si="74"/>
        <v>5667.15</v>
      </c>
    </row>
    <row r="299" spans="1:19" x14ac:dyDescent="0.25">
      <c r="A299" s="67" t="s">
        <v>285</v>
      </c>
      <c r="C299" s="68">
        <v>4800</v>
      </c>
      <c r="D299" s="65">
        <v>0.32</v>
      </c>
      <c r="E299" s="70">
        <f t="shared" si="71"/>
        <v>592.32000000000005</v>
      </c>
      <c r="F299" s="69">
        <f t="shared" si="72"/>
        <v>5392.32</v>
      </c>
      <c r="K299" s="67" t="s">
        <v>285</v>
      </c>
      <c r="M299" s="68">
        <v>5040</v>
      </c>
      <c r="N299" s="65">
        <v>0.32</v>
      </c>
      <c r="O299" s="70">
        <f t="shared" si="73"/>
        <v>542.4</v>
      </c>
      <c r="P299" s="68">
        <f t="shared" si="74"/>
        <v>5582.4</v>
      </c>
    </row>
    <row r="300" spans="1:19" x14ac:dyDescent="0.25">
      <c r="A300" s="67" t="s">
        <v>286</v>
      </c>
      <c r="C300" s="68">
        <v>4800</v>
      </c>
      <c r="D300" s="65">
        <v>0.31</v>
      </c>
      <c r="E300" s="70">
        <f t="shared" ref="E300:E303" si="75">$C$253*D300</f>
        <v>573.80999999999995</v>
      </c>
      <c r="F300" s="69">
        <f t="shared" ref="F300:F303" si="76">C300+E300</f>
        <v>5373.8099999999995</v>
      </c>
      <c r="G300" t="s">
        <v>290</v>
      </c>
      <c r="H300" s="69">
        <f>AVERAGE(F298:F300)</f>
        <v>5416.9999999999991</v>
      </c>
      <c r="I300" s="70">
        <f>H300/$F$66</f>
        <v>53.79471414414413</v>
      </c>
      <c r="K300" s="67" t="s">
        <v>286</v>
      </c>
      <c r="M300" s="68">
        <v>5040</v>
      </c>
      <c r="N300" s="65">
        <v>0.31</v>
      </c>
      <c r="O300" s="70">
        <f t="shared" ref="O300:O303" si="77">N300*$M$253</f>
        <v>525.45000000000005</v>
      </c>
      <c r="P300" s="68">
        <f t="shared" ref="P300:P303" si="78">M300+O300</f>
        <v>5565.45</v>
      </c>
      <c r="Q300" t="s">
        <v>290</v>
      </c>
      <c r="R300" s="69">
        <f>AVERAGE(P298:P300)</f>
        <v>5605</v>
      </c>
      <c r="S300" s="70">
        <f>R300/$F$66</f>
        <v>55.66168963963964</v>
      </c>
    </row>
    <row r="301" spans="1:19" x14ac:dyDescent="0.25">
      <c r="A301" s="67" t="s">
        <v>280</v>
      </c>
      <c r="C301" s="68">
        <v>4800</v>
      </c>
      <c r="D301" s="65">
        <v>0.38</v>
      </c>
      <c r="E301" s="70">
        <f t="shared" si="75"/>
        <v>703.38</v>
      </c>
      <c r="F301" s="69">
        <f t="shared" si="76"/>
        <v>5503.38</v>
      </c>
      <c r="K301" s="67" t="s">
        <v>280</v>
      </c>
      <c r="M301" s="68">
        <v>5340</v>
      </c>
      <c r="N301" s="65">
        <v>0.38</v>
      </c>
      <c r="O301" s="70">
        <f t="shared" si="77"/>
        <v>644.1</v>
      </c>
      <c r="P301" s="68">
        <f t="shared" si="78"/>
        <v>5984.1</v>
      </c>
    </row>
    <row r="302" spans="1:19" x14ac:dyDescent="0.25">
      <c r="A302" s="67" t="s">
        <v>287</v>
      </c>
      <c r="C302" s="68">
        <v>4800</v>
      </c>
      <c r="D302" s="65">
        <v>0.41</v>
      </c>
      <c r="E302" s="70">
        <f t="shared" si="75"/>
        <v>758.91</v>
      </c>
      <c r="F302" s="69">
        <f t="shared" si="76"/>
        <v>5558.91</v>
      </c>
      <c r="K302" s="67" t="s">
        <v>287</v>
      </c>
      <c r="M302" s="68">
        <v>5340</v>
      </c>
      <c r="N302" s="65">
        <v>0.41</v>
      </c>
      <c r="O302" s="70">
        <f t="shared" si="77"/>
        <v>694.94999999999993</v>
      </c>
      <c r="P302" s="68">
        <f t="shared" si="78"/>
        <v>6034.95</v>
      </c>
    </row>
    <row r="303" spans="1:19" x14ac:dyDescent="0.25">
      <c r="A303" s="67" t="s">
        <v>288</v>
      </c>
      <c r="C303" s="68">
        <v>4800</v>
      </c>
      <c r="D303" s="65">
        <v>0.4</v>
      </c>
      <c r="E303" s="70">
        <f t="shared" si="75"/>
        <v>740.40000000000009</v>
      </c>
      <c r="F303" s="69">
        <f t="shared" si="76"/>
        <v>5540.4</v>
      </c>
      <c r="G303" t="s">
        <v>291</v>
      </c>
      <c r="H303" s="69">
        <f>AVERAGE(F301:F303)</f>
        <v>5534.2300000000005</v>
      </c>
      <c r="I303" s="70">
        <f>H303/$F$66</f>
        <v>54.958892534234238</v>
      </c>
      <c r="K303" s="67" t="s">
        <v>288</v>
      </c>
      <c r="M303" s="68">
        <v>5320</v>
      </c>
      <c r="N303" s="65">
        <v>0.4</v>
      </c>
      <c r="O303" s="70">
        <f t="shared" si="77"/>
        <v>678</v>
      </c>
      <c r="P303" s="68">
        <f t="shared" si="78"/>
        <v>5998</v>
      </c>
      <c r="Q303" t="s">
        <v>291</v>
      </c>
      <c r="R303" s="69">
        <f>AVERAGE(P301:P303)</f>
        <v>6005.6833333333334</v>
      </c>
      <c r="S303" s="70">
        <f>R303/$F$66</f>
        <v>59.640763920420419</v>
      </c>
    </row>
  </sheetData>
  <pageMargins left="0.7" right="0.7" top="0.75" bottom="0.75" header="0.3" footer="0.3"/>
  <pageSetup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Table 7</vt:lpstr>
      <vt:lpstr>Info</vt:lpstr>
      <vt:lpstr>Selected Hist.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Sparger, Adam</dc:creator>
  <cp:lastModifiedBy>Adam Sparger</cp:lastModifiedBy>
  <cp:lastPrinted>2013-01-02T16:32:57Z</cp:lastPrinted>
  <dcterms:created xsi:type="dcterms:W3CDTF">2010-07-15T20:05:31Z</dcterms:created>
  <dcterms:modified xsi:type="dcterms:W3CDTF">2014-12-03T19:38:40Z</dcterms:modified>
</cp:coreProperties>
</file>