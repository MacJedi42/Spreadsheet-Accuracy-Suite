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/>
  <workbookPr defaultThemeVersion="124226"/>
  <bookViews>
    <workbookView xWindow="480" yWindow="360" windowWidth="26835" windowHeight="11835"/>
  </bookViews>
  <sheets>
    <sheet name="Read_Me_First" sheetId="1" r:id="rId1"/>
    <sheet name="Encode_PES" sheetId="3" r:id="rId2"/>
    <sheet name="Encode_HRS" sheetId="2" r:id="rId3"/>
    <sheet name="Encode_Services" sheetId="6" r:id="rId4"/>
  </sheets>
  <definedNames>
    <definedName name="_xlnm.Print_Area" localSheetId="2">Encode_HRS!$A$2:$AF$11</definedName>
    <definedName name="_xlnm.Print_Area" localSheetId="1">Encode_PES!$A$1:$AD$22</definedName>
    <definedName name="_xlnm.Print_Area" localSheetId="3">Encode_Services!$A$2:$AC$21</definedName>
    <definedName name="_xlnm.Print_Area" localSheetId="0">Read_Me_First!$B$1:$E$37</definedName>
    <definedName name="_xlnm.Print_Titles" localSheetId="2">Encode_HRS!$B:$D</definedName>
    <definedName name="_xlnm.Print_Titles" localSheetId="1">Encode_PES!$A:$B</definedName>
    <definedName name="_xlnm.Print_Titles" localSheetId="3">Encode_Services!$B:$C,Encode_Services!$2:$4</definedName>
  </definedNames>
  <calcPr calcId="145621" calcOnSave="0"/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AC4" i="6" s="1"/>
  <c r="Y4" i="3" l="1"/>
  <c r="Y4" i="6"/>
  <c r="AB4" i="3"/>
  <c r="AB4" i="6"/>
  <c r="Z4" i="3"/>
  <c r="Z4" i="6"/>
  <c r="X4" i="3"/>
  <c r="X4" i="6"/>
  <c r="V4" i="3"/>
  <c r="V4" i="6"/>
  <c r="T4" i="3"/>
  <c r="T4" i="6"/>
  <c r="R4" i="3"/>
  <c r="R4" i="6"/>
  <c r="P4" i="3"/>
  <c r="P4" i="6"/>
  <c r="N4" i="3"/>
  <c r="N4" i="6"/>
  <c r="L4" i="3"/>
  <c r="L4" i="6"/>
  <c r="J4" i="3"/>
  <c r="J4" i="6"/>
  <c r="AA4" i="3"/>
  <c r="AA4" i="6"/>
  <c r="W4" i="3"/>
  <c r="W4" i="6"/>
  <c r="U4" i="3"/>
  <c r="U4" i="6"/>
  <c r="S4" i="3"/>
  <c r="S4" i="6"/>
  <c r="Q4" i="3"/>
  <c r="Q4" i="6"/>
  <c r="O4" i="3"/>
  <c r="O4" i="6"/>
  <c r="M4" i="3"/>
  <c r="M4" i="6"/>
  <c r="K4" i="3"/>
  <c r="K4" i="6"/>
  <c r="A36" i="1" l="1"/>
  <c r="A37" i="1"/>
  <c r="AC4" i="3" s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22" i="1"/>
  <c r="A14" i="1"/>
  <c r="A15" i="1"/>
  <c r="A16" i="1"/>
  <c r="A17" i="1"/>
  <c r="A18" i="1"/>
  <c r="A19" i="1"/>
  <c r="A20" i="1"/>
  <c r="A21" i="1"/>
  <c r="A13" i="1"/>
  <c r="E4" i="6" s="1"/>
  <c r="F3" i="2"/>
  <c r="I4" i="6" l="1"/>
  <c r="I4" i="3"/>
  <c r="G4" i="3"/>
  <c r="G4" i="6"/>
  <c r="E4" i="3"/>
  <c r="H4" i="3"/>
  <c r="H4" i="6"/>
  <c r="F4" i="3"/>
  <c r="F4" i="6"/>
  <c r="P3" i="2"/>
  <c r="N3" i="2"/>
  <c r="L3" i="2"/>
  <c r="J3" i="2"/>
  <c r="Q3" i="2"/>
  <c r="AC3" i="2"/>
  <c r="AA3" i="2"/>
  <c r="Y3" i="2"/>
  <c r="W3" i="2"/>
  <c r="U3" i="2"/>
  <c r="O3" i="2"/>
  <c r="M3" i="2"/>
  <c r="K3" i="2"/>
  <c r="AD3" i="2"/>
  <c r="AB3" i="2"/>
  <c r="Z3" i="2"/>
  <c r="X3" i="2"/>
  <c r="V3" i="2"/>
  <c r="T3" i="2"/>
  <c r="R3" i="2"/>
  <c r="AE3" i="2"/>
  <c r="S3" i="2"/>
  <c r="AF3" i="2"/>
  <c r="I3" i="2"/>
  <c r="H3" i="2"/>
  <c r="D4" i="3"/>
  <c r="B10" i="1" l="1"/>
  <c r="B8" i="1"/>
  <c r="B6" i="1"/>
  <c r="Q10" i="2" l="1"/>
  <c r="M10" i="2"/>
  <c r="K10" i="2"/>
  <c r="F6" i="2"/>
  <c r="F5" i="2"/>
  <c r="F9" i="2"/>
  <c r="O10" i="2"/>
  <c r="AD10" i="2"/>
  <c r="AB10" i="2"/>
  <c r="Z10" i="2"/>
  <c r="X10" i="2"/>
  <c r="V10" i="2"/>
  <c r="T10" i="2"/>
  <c r="S10" i="2"/>
  <c r="I10" i="2"/>
  <c r="P10" i="2"/>
  <c r="N10" i="2"/>
  <c r="L10" i="2"/>
  <c r="J10" i="2"/>
  <c r="AC10" i="2"/>
  <c r="AA10" i="2"/>
  <c r="Y10" i="2"/>
  <c r="W10" i="2"/>
  <c r="U10" i="2"/>
  <c r="R10" i="2"/>
  <c r="AE10" i="2"/>
  <c r="AF10" i="2"/>
  <c r="F8" i="2"/>
  <c r="F7" i="2"/>
  <c r="H10" i="2"/>
  <c r="F4" i="2"/>
  <c r="F10" i="2" l="1"/>
</calcChain>
</file>

<file path=xl/sharedStrings.xml><?xml version="1.0" encoding="utf-8"?>
<sst xmlns="http://schemas.openxmlformats.org/spreadsheetml/2006/main" count="120" uniqueCount="71">
  <si>
    <t>Work Programme duration:</t>
  </si>
  <si>
    <t>24m</t>
  </si>
  <si>
    <t>* mandatory</t>
  </si>
  <si>
    <t>Enter here the highest Partner number in your Consortium  &gt;  (integer) &gt;</t>
  </si>
  <si>
    <t>Partner #</t>
  </si>
  <si>
    <t>Partner name</t>
  </si>
  <si>
    <t>Partner acronym</t>
  </si>
  <si>
    <t>nENTRIES&gt;</t>
  </si>
  <si>
    <t>S#</t>
  </si>
  <si>
    <t>Val_Type</t>
  </si>
  <si>
    <t>A_TYPE</t>
  </si>
  <si>
    <t>ACTIVITY_TYPE</t>
  </si>
  <si>
    <t>HRS</t>
  </si>
  <si>
    <t>A01</t>
  </si>
  <si>
    <t>sum(P)</t>
  </si>
  <si>
    <t>A02</t>
  </si>
  <si>
    <t>Network building and reinforcing the Network</t>
  </si>
  <si>
    <t>A03</t>
  </si>
  <si>
    <t>Advice, support and information activities</t>
  </si>
  <si>
    <t>Cross-border partnering activities for business cooperation, technology transfer and innovation</t>
  </si>
  <si>
    <t>A05</t>
  </si>
  <si>
    <t>SME feedback activities</t>
  </si>
  <si>
    <t>A06</t>
  </si>
  <si>
    <t>DI#</t>
  </si>
  <si>
    <t>DI_LABEL</t>
  </si>
  <si>
    <t>Consortium 
value is</t>
  </si>
  <si>
    <t>DI01</t>
  </si>
  <si>
    <t># Regional/local events organised</t>
  </si>
  <si>
    <t>max(P)</t>
  </si>
  <si>
    <t>DI02</t>
  </si>
  <si>
    <t># Participants in regional/local events</t>
  </si>
  <si>
    <t>DI03</t>
  </si>
  <si>
    <t>DI04</t>
  </si>
  <si>
    <t># Brokerage events/company missions organised</t>
  </si>
  <si>
    <t>DI05</t>
  </si>
  <si>
    <t>DI06</t>
  </si>
  <si>
    <t># Meetings at brokerage events/company missions</t>
  </si>
  <si>
    <t>DI07</t>
  </si>
  <si>
    <t># Partnership profiles produced</t>
  </si>
  <si>
    <t>DI08</t>
  </si>
  <si>
    <t># Expression of interests received</t>
  </si>
  <si>
    <t>DI09</t>
  </si>
  <si>
    <t># Expression of interests made</t>
  </si>
  <si>
    <t>DI10</t>
  </si>
  <si>
    <t># Clients in feed-back related actions</t>
  </si>
  <si>
    <t>DI11</t>
  </si>
  <si>
    <t>DI12</t>
  </si>
  <si>
    <t>DI13</t>
  </si>
  <si>
    <t>DI14</t>
  </si>
  <si>
    <t xml:space="preserve"># Cooperation with local stakeholders </t>
  </si>
  <si>
    <t>DI15</t>
  </si>
  <si>
    <t>DI16</t>
  </si>
  <si>
    <t># Active contributions to Network activities</t>
  </si>
  <si>
    <t># Clients mentored</t>
  </si>
  <si>
    <t># Achievements</t>
  </si>
  <si>
    <t># SMEs/clients using digital services provided by the Network</t>
  </si>
  <si>
    <t># SMEs/clients receiving individual advisory support</t>
  </si>
  <si>
    <t># SMEs/clients in brokerage events/company missions</t>
  </si>
  <si>
    <t># Answered enquiries from Network partners</t>
  </si>
  <si>
    <t>Promotion of Network services and communication activities</t>
  </si>
  <si>
    <t>Management activities</t>
  </si>
  <si>
    <t>A07</t>
  </si>
  <si>
    <t>Enter below your partner's name(s)</t>
  </si>
  <si>
    <t>Enter below your Consortium's ACRONYM</t>
  </si>
  <si>
    <t>SERVICE_TYPE</t>
  </si>
  <si>
    <t>…</t>
  </si>
  <si>
    <t>Annex 1 -
Performance Enhancement System (PES)</t>
  </si>
  <si>
    <t>Annex 3 - Consortium's services</t>
  </si>
  <si>
    <t>Annex 2 - Consortium's hours planned</t>
  </si>
  <si>
    <t>COSME - Enterprise Europe Network - Consortium Preliminary Work Programme (2015-2016) - Annex 1, 2 &amp; 3</t>
  </si>
  <si>
    <r>
      <t xml:space="preserve">Every Coordinator </t>
    </r>
    <r>
      <rPr>
        <b/>
        <sz val="10"/>
        <rFont val="Verdana"/>
        <family val="2"/>
      </rPr>
      <t>must</t>
    </r>
    <r>
      <rPr>
        <sz val="10"/>
        <rFont val="Verdana"/>
        <family val="2"/>
      </rPr>
      <t xml:space="preserve"> use this EXCEL workbook: 
-  to encode their Consortium's PES targets per partner for the 2015-2016 period in Annex 1 of the Preliminary Work Programme (</t>
    </r>
    <r>
      <rPr>
        <b/>
        <i/>
        <sz val="10"/>
        <rFont val="Verdana"/>
        <family val="2"/>
      </rPr>
      <t>'Encode_PES' sheet</t>
    </r>
    <r>
      <rPr>
        <sz val="10"/>
        <rFont val="Verdana"/>
        <family val="2"/>
      </rPr>
      <t>);
-  to encode the hours planned for the 2015-2016 period per partner and per activity in Annex 2 of the Preliminary Work Programme (</t>
    </r>
    <r>
      <rPr>
        <b/>
        <i/>
        <sz val="10"/>
        <rFont val="Verdana"/>
        <family val="2"/>
      </rPr>
      <t>'Encode_HRS'</t>
    </r>
    <r>
      <rPr>
        <i/>
        <sz val="10"/>
        <rFont val="Verdana"/>
        <family val="2"/>
      </rPr>
      <t xml:space="preserve"> </t>
    </r>
    <r>
      <rPr>
        <b/>
        <i/>
        <sz val="10"/>
        <rFont val="Verdana"/>
        <family val="2"/>
      </rPr>
      <t>sheet</t>
    </r>
    <r>
      <rPr>
        <sz val="10"/>
        <rFont val="Verdana"/>
        <family val="2"/>
      </rPr>
      <t>);
-  to encode the Consortium's services in the matrix of Annex 3 of the Preliminary Work Programme (</t>
    </r>
    <r>
      <rPr>
        <b/>
        <i/>
        <sz val="10"/>
        <rFont val="Verdana"/>
        <family val="2"/>
      </rPr>
      <t>'Encode_Services</t>
    </r>
    <r>
      <rPr>
        <b/>
        <sz val="10"/>
        <rFont val="Verdana"/>
        <family val="2"/>
      </rPr>
      <t>'</t>
    </r>
    <r>
      <rPr>
        <i/>
        <sz val="10"/>
        <rFont val="Verdana"/>
        <family val="2"/>
      </rPr>
      <t xml:space="preserve"> </t>
    </r>
    <r>
      <rPr>
        <b/>
        <i/>
        <sz val="10"/>
        <rFont val="Verdana"/>
        <family val="2"/>
      </rPr>
      <t>sheet</t>
    </r>
    <r>
      <rPr>
        <sz val="10"/>
        <rFont val="Verdana"/>
        <family val="2"/>
      </rPr>
      <t>). Encode one service per line and if needed add lines. For each service indicate the corresponding type of activity in the first column;
-  to indicate with "X" the services provided by each individual partner in the matrix "Consortium's services" in Annex 3 of the Preliminary Work Programme (</t>
    </r>
    <r>
      <rPr>
        <b/>
        <i/>
        <sz val="10"/>
        <rFont val="Verdana"/>
        <family val="2"/>
      </rPr>
      <t>'Encode_Services'</t>
    </r>
    <r>
      <rPr>
        <i/>
        <sz val="10"/>
        <rFont val="Verdana"/>
        <family val="2"/>
      </rPr>
      <t xml:space="preserve"> </t>
    </r>
    <r>
      <rPr>
        <b/>
        <i/>
        <sz val="10"/>
        <rFont val="Verdana"/>
        <family val="2"/>
      </rPr>
      <t>sheet</t>
    </r>
    <r>
      <rPr>
        <sz val="10"/>
        <rFont val="Verdana"/>
        <family val="2"/>
      </rPr>
      <t>).
Annex 1, 2 &amp; 3 should be attached to the Preliminary Work Programme and submitted as an integral set.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</si>
</sst>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0"/>
      <color theme="1"/>
      <name val="Arial"/>
      <family val="2"/>
    </font>
    <font>
      <b/>
      <sz val="10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z val="8"/>
      <name val="Verdana"/>
      <family val="2"/>
    </font>
    <font>
      <sz val="10"/>
      <name val="Verdana"/>
      <family val="2"/>
    </font>
    <font>
      <b/>
      <sz val="14"/>
      <name val="Verdana"/>
      <family val="2"/>
    </font>
    <font>
      <b/>
      <sz val="12"/>
      <color indexed="10"/>
      <name val="Wingdings"/>
      <charset val="2"/>
    </font>
    <font>
      <b/>
      <sz val="14"/>
      <color indexed="12"/>
      <name val="Wingdings"/>
      <charset val="2"/>
    </font>
    <font>
      <b/>
      <sz val="10"/>
      <color indexed="12"/>
      <name val="Verdana"/>
      <family val="2"/>
    </font>
    <font>
      <b/>
      <sz val="14"/>
      <name val="Wingdings"/>
      <charset val="2"/>
    </font>
    <font>
      <b/>
      <sz val="11"/>
      <name val="Verdana"/>
      <family val="2"/>
    </font>
    <font>
      <b/>
      <sz val="8"/>
      <name val="Verdana"/>
      <family val="2"/>
    </font>
    <font>
      <sz val="11"/>
      <color indexed="20"/>
      <name val="Verdana"/>
      <family val="2"/>
    </font>
    <font>
      <sz val="6"/>
      <name val="Verdana"/>
      <family val="2"/>
    </font>
    <font>
      <sz val="7"/>
      <name val="Verdana"/>
      <family val="2"/>
    </font>
    <font>
      <b/>
      <sz val="6"/>
      <name val="Verdana"/>
      <family val="2"/>
    </font>
    <font>
      <sz val="9"/>
      <color indexed="60"/>
      <name val="Verdana"/>
      <family val="2"/>
    </font>
    <font>
      <b/>
      <sz val="14"/>
      <color theme="1"/>
      <name val="Verdana"/>
      <family val="2"/>
    </font>
    <font>
      <b/>
      <sz val="12"/>
      <color theme="1"/>
      <name val="Verdana"/>
      <family val="2"/>
    </font>
    <font>
      <i/>
      <sz val="10"/>
      <name val="Verdana"/>
      <family val="2"/>
    </font>
    <font>
      <b/>
      <i/>
      <sz val="1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4506668294322"/>
        <bgColor indexed="64"/>
      </patternFill>
    </fill>
  </fills>
  <borders count="9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6600"/>
      </left>
      <right style="medium">
        <color rgb="FF006600"/>
      </right>
      <top style="medium">
        <color rgb="FF006600"/>
      </top>
      <bottom style="medium">
        <color rgb="FF0066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12"/>
      </right>
      <top/>
      <bottom/>
      <diagonal/>
    </border>
    <border>
      <left style="medium">
        <color indexed="12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 style="medium">
        <color indexed="10"/>
      </bottom>
      <diagonal/>
    </border>
    <border>
      <left/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rgb="FF0000FF"/>
      </left>
      <right style="medium">
        <color indexed="10"/>
      </right>
      <top/>
      <bottom/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53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indexed="64"/>
      </top>
      <bottom style="hair">
        <color theme="9" tint="-0.24994659260841701"/>
      </bottom>
      <diagonal/>
    </border>
    <border>
      <left style="thin">
        <color auto="1"/>
      </left>
      <right/>
      <top style="hair">
        <color theme="9" tint="-0.24994659260841701"/>
      </top>
      <bottom style="hair">
        <color theme="9" tint="-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rgb="FF0000CC"/>
      </left>
      <right style="thin">
        <color rgb="FF0000CC"/>
      </right>
      <top style="hair">
        <color rgb="FF0000CC"/>
      </top>
      <bottom style="hair">
        <color rgb="FF0000CC"/>
      </bottom>
      <diagonal/>
    </border>
    <border>
      <left/>
      <right style="medium">
        <color indexed="64"/>
      </right>
      <top/>
      <bottom style="thin">
        <color rgb="FF0000CC"/>
      </bottom>
      <diagonal/>
    </border>
    <border>
      <left style="medium">
        <color indexed="12"/>
      </left>
      <right/>
      <top/>
      <bottom/>
      <diagonal/>
    </border>
    <border>
      <left style="thin">
        <color rgb="FF0000CC"/>
      </left>
      <right style="thin">
        <color rgb="FF0000CC"/>
      </right>
      <top/>
      <bottom style="hair">
        <color rgb="FF0000CC"/>
      </bottom>
      <diagonal/>
    </border>
    <border>
      <left style="thin">
        <color auto="1"/>
      </left>
      <right/>
      <top style="hair">
        <color theme="9" tint="-0.2499465926084170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 style="thin">
        <color theme="9" tint="-0.24994659260841701"/>
      </left>
      <right style="hair">
        <color theme="1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9" tint="-0.24994659260841701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9" tint="-0.24994659260841701"/>
      </left>
      <right style="hair">
        <color theme="1"/>
      </right>
      <top style="hair">
        <color indexed="64"/>
      </top>
      <bottom style="thin">
        <color auto="1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thin">
        <color auto="1"/>
      </bottom>
      <diagonal/>
    </border>
    <border>
      <left style="hair">
        <color theme="1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hair">
        <color theme="1"/>
      </right>
      <top style="thin">
        <color indexed="64"/>
      </top>
      <bottom style="thin">
        <color auto="1"/>
      </bottom>
      <diagonal/>
    </border>
    <border>
      <left style="hair">
        <color theme="1"/>
      </left>
      <right style="thin">
        <color theme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theme="1"/>
      </left>
      <right style="hair">
        <color theme="1"/>
      </right>
      <top style="hair">
        <color indexed="64"/>
      </top>
      <bottom/>
      <diagonal/>
    </border>
    <border>
      <left style="hair">
        <color theme="1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hair">
        <color indexed="64"/>
      </bottom>
      <diagonal/>
    </border>
    <border>
      <left/>
      <right/>
      <top style="medium">
        <color auto="1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medium">
        <color auto="1"/>
      </top>
      <bottom style="hair">
        <color indexed="64"/>
      </bottom>
      <diagonal/>
    </border>
    <border>
      <left style="hair">
        <color theme="1"/>
      </left>
      <right style="thin">
        <color indexed="64"/>
      </right>
      <top style="medium">
        <color auto="1"/>
      </top>
      <bottom style="hair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theme="1"/>
      </left>
      <right style="hair">
        <color theme="1"/>
      </right>
      <top style="medium">
        <color auto="1"/>
      </top>
      <bottom/>
      <diagonal/>
    </border>
    <border>
      <left style="hair">
        <color theme="1"/>
      </left>
      <right style="thin">
        <color indexed="64"/>
      </right>
      <top style="medium">
        <color auto="1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indexed="64"/>
      </top>
      <bottom style="thin">
        <color theme="9" tint="0.39994506668294322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indexed="64"/>
      </bottom>
      <diagonal/>
    </border>
    <border>
      <left style="hair">
        <color theme="1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2" borderId="3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Fill="1" applyAlignment="1" applyProtection="1">
      <alignment vertical="center" wrapText="1"/>
      <protection hidden="1"/>
    </xf>
    <xf numFmtId="0" fontId="5" fillId="3" borderId="6" xfId="0" applyFont="1" applyFill="1" applyBorder="1" applyAlignment="1" applyProtection="1">
      <alignment horizontal="center" vertical="center" wrapText="1"/>
      <protection hidden="1"/>
    </xf>
    <xf numFmtId="0" fontId="1" fillId="4" borderId="0" xfId="0" applyFont="1" applyFill="1" applyBorder="1" applyAlignment="1" applyProtection="1">
      <alignment horizontal="right" vertical="center" wrapText="1"/>
      <protection hidden="1"/>
    </xf>
    <xf numFmtId="49" fontId="6" fillId="4" borderId="7" xfId="0" applyNumberFormat="1" applyFont="1" applyFill="1" applyBorder="1" applyAlignment="1" applyProtection="1">
      <alignment horizontal="center" vertical="center" wrapText="1"/>
      <protection hidden="1"/>
    </xf>
    <xf numFmtId="0" fontId="7" fillId="3" borderId="8" xfId="0" applyFont="1" applyFill="1" applyBorder="1" applyAlignment="1" applyProtection="1">
      <alignment vertical="center"/>
      <protection hidden="1"/>
    </xf>
    <xf numFmtId="0" fontId="8" fillId="3" borderId="9" xfId="0" applyFont="1" applyFill="1" applyBorder="1" applyAlignment="1" applyProtection="1">
      <alignment horizontal="center" vertical="center"/>
      <protection hidden="1"/>
    </xf>
    <xf numFmtId="0" fontId="2" fillId="4" borderId="8" xfId="0" applyFont="1" applyFill="1" applyBorder="1" applyAlignment="1" applyProtection="1">
      <alignment vertical="center"/>
      <protection hidden="1"/>
    </xf>
    <xf numFmtId="0" fontId="10" fillId="3" borderId="6" xfId="0" applyFont="1" applyFill="1" applyBorder="1" applyAlignment="1" applyProtection="1">
      <alignment horizontal="center" vertical="center" wrapText="1"/>
      <protection hidden="1"/>
    </xf>
    <xf numFmtId="0" fontId="12" fillId="3" borderId="8" xfId="0" applyFont="1" applyFill="1" applyBorder="1" applyAlignment="1" applyProtection="1">
      <alignment horizontal="left" vertical="center" wrapText="1"/>
      <protection hidden="1"/>
    </xf>
    <xf numFmtId="0" fontId="8" fillId="3" borderId="6" xfId="0" applyFont="1" applyFill="1" applyBorder="1" applyAlignment="1" applyProtection="1">
      <alignment horizontal="center" vertical="center"/>
      <protection hidden="1"/>
    </xf>
    <xf numFmtId="0" fontId="1" fillId="3" borderId="0" xfId="0" applyFont="1" applyFill="1" applyBorder="1" applyAlignment="1" applyProtection="1">
      <alignment horizontal="right" vertical="center"/>
      <protection hidden="1"/>
    </xf>
    <xf numFmtId="0" fontId="5" fillId="3" borderId="0" xfId="0" applyFont="1" applyFill="1" applyBorder="1" applyAlignment="1" applyProtection="1">
      <alignment horizontal="left" vertical="center"/>
      <protection hidden="1"/>
    </xf>
    <xf numFmtId="0" fontId="13" fillId="3" borderId="8" xfId="0" applyFont="1" applyFill="1" applyBorder="1" applyAlignment="1" applyProtection="1">
      <alignment vertical="center"/>
      <protection hidden="1"/>
    </xf>
    <xf numFmtId="0" fontId="9" fillId="3" borderId="14" xfId="0" applyFont="1" applyFill="1" applyBorder="1" applyAlignment="1" applyProtection="1">
      <alignment horizontal="right" vertical="center"/>
      <protection hidden="1"/>
    </xf>
    <xf numFmtId="0" fontId="11" fillId="5" borderId="15" xfId="0" applyFont="1" applyFill="1" applyBorder="1" applyAlignment="1" applyProtection="1">
      <alignment horizontal="center" vertical="center"/>
      <protection locked="0" hidden="1"/>
    </xf>
    <xf numFmtId="0" fontId="8" fillId="3" borderId="6" xfId="0" applyFont="1" applyFill="1" applyBorder="1" applyAlignment="1" applyProtection="1">
      <alignment horizontal="center" vertical="center" wrapText="1"/>
      <protection hidden="1"/>
    </xf>
    <xf numFmtId="0" fontId="13" fillId="3" borderId="0" xfId="0" applyFont="1" applyFill="1" applyBorder="1" applyAlignment="1" applyProtection="1">
      <alignment vertical="center"/>
      <protection hidden="1"/>
    </xf>
    <xf numFmtId="0" fontId="2" fillId="3" borderId="8" xfId="0" applyFont="1" applyFill="1" applyBorder="1" applyAlignment="1" applyProtection="1">
      <alignment vertical="center" wrapText="1"/>
      <protection hidden="1"/>
    </xf>
    <xf numFmtId="0" fontId="10" fillId="3" borderId="16" xfId="0" applyFont="1" applyFill="1" applyBorder="1" applyAlignment="1" applyProtection="1">
      <alignment horizontal="center" vertical="center"/>
      <protection hidden="1"/>
    </xf>
    <xf numFmtId="0" fontId="5" fillId="3" borderId="17" xfId="0" applyFont="1" applyFill="1" applyBorder="1" applyAlignment="1" applyProtection="1">
      <alignment horizontal="center" vertical="center"/>
      <protection hidden="1"/>
    </xf>
    <xf numFmtId="0" fontId="5" fillId="3" borderId="17" xfId="0" applyFont="1" applyFill="1" applyBorder="1" applyAlignment="1" applyProtection="1">
      <alignment horizontal="left" vertical="center"/>
      <protection hidden="1"/>
    </xf>
    <xf numFmtId="0" fontId="2" fillId="3" borderId="18" xfId="0" applyFont="1" applyFill="1" applyBorder="1" applyAlignment="1" applyProtection="1">
      <alignment vertical="center" wrapText="1"/>
      <protection hidden="1"/>
    </xf>
    <xf numFmtId="0" fontId="5" fillId="3" borderId="8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vertical="center" wrapText="1"/>
      <protection hidden="1"/>
    </xf>
    <xf numFmtId="0" fontId="2" fillId="0" borderId="0" xfId="0" applyFont="1" applyFill="1" applyBorder="1" applyAlignment="1" applyProtection="1">
      <alignment vertical="center"/>
      <protection hidden="1"/>
    </xf>
    <xf numFmtId="0" fontId="2" fillId="0" borderId="0" xfId="0" applyFont="1" applyFill="1" applyAlignment="1" applyProtection="1">
      <alignment vertical="center"/>
      <protection hidden="1"/>
    </xf>
    <xf numFmtId="0" fontId="5" fillId="3" borderId="0" xfId="0" applyFont="1" applyFill="1" applyBorder="1" applyAlignment="1" applyProtection="1">
      <alignment horizontal="center" vertical="center"/>
      <protection hidden="1"/>
    </xf>
    <xf numFmtId="0" fontId="5" fillId="0" borderId="0" xfId="0" applyFont="1" applyFill="1" applyAlignment="1" applyProtection="1">
      <alignment vertical="center"/>
      <protection hidden="1"/>
    </xf>
    <xf numFmtId="0" fontId="5" fillId="0" borderId="0" xfId="0" applyFont="1" applyFill="1" applyAlignment="1" applyProtection="1">
      <alignment vertical="center" wrapText="1"/>
      <protection hidden="1"/>
    </xf>
    <xf numFmtId="0" fontId="14" fillId="3" borderId="0" xfId="0" applyFont="1" applyFill="1" applyAlignment="1" applyProtection="1">
      <alignment horizontal="center" wrapText="1"/>
      <protection hidden="1"/>
    </xf>
    <xf numFmtId="0" fontId="0" fillId="3" borderId="0" xfId="0" applyFill="1"/>
    <xf numFmtId="0" fontId="16" fillId="7" borderId="0" xfId="0" applyFont="1" applyFill="1" applyBorder="1" applyAlignment="1" applyProtection="1">
      <alignment horizontal="center" vertical="center" wrapText="1"/>
      <protection hidden="1"/>
    </xf>
    <xf numFmtId="0" fontId="12" fillId="6" borderId="21" xfId="0" applyFont="1" applyFill="1" applyBorder="1" applyAlignment="1" applyProtection="1">
      <alignment horizontal="center" vertical="center" wrapText="1"/>
      <protection hidden="1"/>
    </xf>
    <xf numFmtId="0" fontId="0" fillId="3" borderId="0" xfId="0" applyFill="1" applyAlignment="1">
      <alignment vertical="center"/>
    </xf>
    <xf numFmtId="0" fontId="4" fillId="7" borderId="0" xfId="0" applyFont="1" applyFill="1" applyBorder="1" applyAlignment="1" applyProtection="1">
      <alignment horizontal="center"/>
      <protection hidden="1"/>
    </xf>
    <xf numFmtId="0" fontId="15" fillId="6" borderId="0" xfId="0" applyFont="1" applyFill="1" applyAlignment="1" applyProtection="1">
      <alignment horizontal="center"/>
      <protection hidden="1"/>
    </xf>
    <xf numFmtId="0" fontId="12" fillId="6" borderId="23" xfId="0" applyFont="1" applyFill="1" applyBorder="1" applyAlignment="1" applyProtection="1">
      <alignment horizontal="center" vertical="center" wrapText="1"/>
      <protection hidden="1"/>
    </xf>
    <xf numFmtId="0" fontId="12" fillId="6" borderId="24" xfId="0" applyFont="1" applyFill="1" applyBorder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vertical="center" wrapText="1"/>
      <protection hidden="1"/>
    </xf>
    <xf numFmtId="0" fontId="12" fillId="8" borderId="0" xfId="0" applyFont="1" applyFill="1" applyBorder="1" applyAlignment="1" applyProtection="1">
      <alignment horizontal="center" vertical="center" wrapText="1"/>
      <protection hidden="1"/>
    </xf>
    <xf numFmtId="0" fontId="12" fillId="8" borderId="0" xfId="0" applyFont="1" applyFill="1" applyAlignment="1" applyProtection="1">
      <alignment vertical="center" wrapText="1"/>
      <protection hidden="1"/>
    </xf>
    <xf numFmtId="0" fontId="12" fillId="6" borderId="43" xfId="0" applyFont="1" applyFill="1" applyBorder="1" applyAlignment="1" applyProtection="1">
      <alignment horizontal="center" vertical="center" wrapText="1"/>
      <protection hidden="1"/>
    </xf>
    <xf numFmtId="49" fontId="17" fillId="3" borderId="25" xfId="0" applyNumberFormat="1" applyFont="1" applyFill="1" applyBorder="1" applyAlignment="1" applyProtection="1">
      <alignment horizontal="center" vertical="center" wrapText="1"/>
      <protection hidden="1"/>
    </xf>
    <xf numFmtId="0" fontId="17" fillId="3" borderId="26" xfId="0" applyFont="1" applyFill="1" applyBorder="1" applyAlignment="1" applyProtection="1">
      <alignment horizontal="left" vertical="center" wrapText="1"/>
      <protection hidden="1"/>
    </xf>
    <xf numFmtId="0" fontId="2" fillId="3" borderId="27" xfId="0" applyFont="1" applyFill="1" applyBorder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vertical="center"/>
      <protection hidden="1"/>
    </xf>
    <xf numFmtId="0" fontId="2" fillId="8" borderId="0" xfId="0" applyFont="1" applyFill="1" applyBorder="1" applyAlignment="1" applyProtection="1">
      <alignment vertical="center"/>
      <protection hidden="1"/>
    </xf>
    <xf numFmtId="0" fontId="2" fillId="8" borderId="0" xfId="0" applyFont="1" applyFill="1" applyAlignment="1" applyProtection="1">
      <alignment vertical="center"/>
      <protection hidden="1"/>
    </xf>
    <xf numFmtId="49" fontId="17" fillId="3" borderId="31" xfId="0" applyNumberFormat="1" applyFont="1" applyFill="1" applyBorder="1" applyAlignment="1" applyProtection="1">
      <alignment horizontal="center" vertical="center" wrapText="1"/>
      <protection hidden="1"/>
    </xf>
    <xf numFmtId="0" fontId="17" fillId="3" borderId="32" xfId="0" applyFont="1" applyFill="1" applyBorder="1" applyAlignment="1" applyProtection="1">
      <alignment horizontal="left" vertical="center" wrapText="1"/>
      <protection hidden="1"/>
    </xf>
    <xf numFmtId="0" fontId="2" fillId="3" borderId="33" xfId="0" applyFont="1" applyFill="1" applyBorder="1" applyAlignment="1" applyProtection="1">
      <alignment horizontal="center" vertical="center"/>
      <protection hidden="1"/>
    </xf>
    <xf numFmtId="0" fontId="17" fillId="3" borderId="32" xfId="0" applyFont="1" applyFill="1" applyBorder="1" applyAlignment="1" applyProtection="1">
      <alignment horizontal="left" vertical="center" wrapText="1" shrinkToFit="1"/>
      <protection hidden="1"/>
    </xf>
    <xf numFmtId="49" fontId="17" fillId="3" borderId="37" xfId="0" applyNumberFormat="1" applyFont="1" applyFill="1" applyBorder="1" applyAlignment="1" applyProtection="1">
      <alignment horizontal="center" vertical="center" wrapText="1"/>
      <protection hidden="1"/>
    </xf>
    <xf numFmtId="0" fontId="17" fillId="3" borderId="38" xfId="0" applyFont="1" applyFill="1" applyBorder="1" applyAlignment="1" applyProtection="1">
      <alignment horizontal="left" vertical="center" wrapText="1"/>
      <protection hidden="1"/>
    </xf>
    <xf numFmtId="0" fontId="2" fillId="3" borderId="39" xfId="0" applyFont="1" applyFill="1" applyBorder="1" applyAlignment="1" applyProtection="1">
      <alignment horizontal="center" vertical="center"/>
      <protection hidden="1"/>
    </xf>
    <xf numFmtId="0" fontId="2" fillId="7" borderId="0" xfId="0" applyFont="1" applyFill="1" applyBorder="1" applyAlignment="1" applyProtection="1">
      <alignment horizontal="center" vertical="center"/>
      <protection hidden="1"/>
    </xf>
    <xf numFmtId="0" fontId="2" fillId="7" borderId="0" xfId="0" applyFont="1" applyFill="1" applyAlignment="1" applyProtection="1">
      <alignment horizontal="left" vertical="center"/>
      <protection hidden="1"/>
    </xf>
    <xf numFmtId="0" fontId="2" fillId="7" borderId="19" xfId="0" applyFont="1" applyFill="1" applyBorder="1" applyAlignment="1" applyProtection="1">
      <alignment horizontal="center" vertical="center"/>
      <protection hidden="1"/>
    </xf>
    <xf numFmtId="0" fontId="2" fillId="7" borderId="20" xfId="0" applyFont="1" applyFill="1" applyBorder="1" applyAlignment="1" applyProtection="1">
      <alignment horizontal="center" vertical="center"/>
      <protection hidden="1"/>
    </xf>
    <xf numFmtId="0" fontId="2" fillId="7" borderId="0" xfId="0" applyFont="1" applyFill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0" fontId="2" fillId="3" borderId="0" xfId="0" applyFont="1" applyFill="1" applyBorder="1" applyAlignment="1" applyProtection="1">
      <alignment horizontal="center" vertical="center"/>
      <protection hidden="1"/>
    </xf>
    <xf numFmtId="0" fontId="3" fillId="6" borderId="23" xfId="0" applyFont="1" applyFill="1" applyBorder="1" applyAlignment="1" applyProtection="1">
      <alignment horizontal="center" vertical="center" wrapText="1"/>
      <protection hidden="1"/>
    </xf>
    <xf numFmtId="0" fontId="3" fillId="6" borderId="21" xfId="0" applyFont="1" applyFill="1" applyBorder="1" applyAlignment="1" applyProtection="1">
      <alignment horizontal="center" vertical="center" wrapText="1"/>
      <protection hidden="1"/>
    </xf>
    <xf numFmtId="0" fontId="3" fillId="9" borderId="21" xfId="0" applyFont="1" applyFill="1" applyBorder="1" applyAlignment="1" applyProtection="1">
      <alignment horizontal="left" vertical="center"/>
      <protection hidden="1"/>
    </xf>
    <xf numFmtId="0" fontId="3" fillId="9" borderId="21" xfId="0" applyFont="1" applyFill="1" applyBorder="1" applyAlignment="1" applyProtection="1">
      <alignment horizontal="center" vertical="center" wrapText="1"/>
      <protection hidden="1"/>
    </xf>
    <xf numFmtId="0" fontId="3" fillId="9" borderId="43" xfId="0" applyFont="1" applyFill="1" applyBorder="1" applyAlignment="1" applyProtection="1">
      <alignment horizontal="center" vertical="center" wrapText="1"/>
      <protection hidden="1"/>
    </xf>
    <xf numFmtId="0" fontId="2" fillId="9" borderId="43" xfId="0" applyFont="1" applyFill="1" applyBorder="1" applyAlignment="1" applyProtection="1">
      <alignment vertical="center"/>
      <protection hidden="1"/>
    </xf>
    <xf numFmtId="0" fontId="2" fillId="9" borderId="22" xfId="0" applyFont="1" applyFill="1" applyBorder="1" applyAlignment="1" applyProtection="1">
      <alignment vertical="center"/>
      <protection hidden="1"/>
    </xf>
    <xf numFmtId="0" fontId="3" fillId="3" borderId="0" xfId="0" applyFont="1" applyFill="1" applyAlignment="1" applyProtection="1">
      <alignment horizontal="right" vertical="center"/>
      <protection hidden="1"/>
    </xf>
    <xf numFmtId="0" fontId="2" fillId="3" borderId="0" xfId="0" applyFont="1" applyFill="1" applyAlignment="1" applyProtection="1">
      <alignment horizontal="left" vertical="center"/>
      <protection hidden="1"/>
    </xf>
    <xf numFmtId="0" fontId="2" fillId="3" borderId="0" xfId="0" applyFont="1" applyFill="1" applyBorder="1" applyAlignment="1" applyProtection="1">
      <alignment vertical="center"/>
      <protection hidden="1"/>
    </xf>
    <xf numFmtId="0" fontId="4" fillId="10" borderId="0" xfId="0" applyFont="1" applyFill="1" applyAlignment="1" applyProtection="1">
      <alignment horizontal="center" vertical="center" wrapText="1"/>
      <protection hidden="1"/>
    </xf>
    <xf numFmtId="0" fontId="2" fillId="3" borderId="28" xfId="0" applyFont="1" applyFill="1" applyBorder="1" applyAlignment="1" applyProtection="1">
      <alignment horizontal="center" vertical="center"/>
      <protection locked="0" hidden="1"/>
    </xf>
    <xf numFmtId="0" fontId="2" fillId="3" borderId="29" xfId="0" applyFont="1" applyFill="1" applyBorder="1" applyAlignment="1" applyProtection="1">
      <alignment horizontal="center" vertical="center"/>
      <protection locked="0" hidden="1"/>
    </xf>
    <xf numFmtId="0" fontId="2" fillId="3" borderId="30" xfId="0" applyFont="1" applyFill="1" applyBorder="1" applyAlignment="1" applyProtection="1">
      <alignment horizontal="center" vertical="center"/>
      <protection locked="0" hidden="1"/>
    </xf>
    <xf numFmtId="0" fontId="2" fillId="3" borderId="34" xfId="0" applyFont="1" applyFill="1" applyBorder="1" applyAlignment="1" applyProtection="1">
      <alignment horizontal="center" vertical="center"/>
      <protection locked="0" hidden="1"/>
    </xf>
    <xf numFmtId="0" fontId="2" fillId="3" borderId="35" xfId="0" applyFont="1" applyFill="1" applyBorder="1" applyAlignment="1" applyProtection="1">
      <alignment horizontal="center" vertical="center"/>
      <protection locked="0" hidden="1"/>
    </xf>
    <xf numFmtId="0" fontId="2" fillId="3" borderId="36" xfId="0" applyFont="1" applyFill="1" applyBorder="1" applyAlignment="1" applyProtection="1">
      <alignment horizontal="center" vertical="center"/>
      <protection locked="0" hidden="1"/>
    </xf>
    <xf numFmtId="0" fontId="2" fillId="3" borderId="40" xfId="0" applyFont="1" applyFill="1" applyBorder="1" applyAlignment="1" applyProtection="1">
      <alignment horizontal="center" vertical="center"/>
      <protection locked="0" hidden="1"/>
    </xf>
    <xf numFmtId="0" fontId="2" fillId="3" borderId="41" xfId="0" applyFont="1" applyFill="1" applyBorder="1" applyAlignment="1" applyProtection="1">
      <alignment horizontal="center" vertical="center"/>
      <protection locked="0" hidden="1"/>
    </xf>
    <xf numFmtId="0" fontId="2" fillId="3" borderId="42" xfId="0" applyFont="1" applyFill="1" applyBorder="1" applyAlignment="1" applyProtection="1">
      <alignment horizontal="center" vertical="center"/>
      <protection locked="0" hidden="1"/>
    </xf>
    <xf numFmtId="0" fontId="11" fillId="5" borderId="51" xfId="0" applyFont="1" applyFill="1" applyBorder="1" applyAlignment="1" applyProtection="1">
      <alignment horizontal="center" vertical="center"/>
      <protection locked="0" hidden="1"/>
    </xf>
    <xf numFmtId="0" fontId="11" fillId="5" borderId="51" xfId="0" quotePrefix="1" applyFont="1" applyFill="1" applyBorder="1" applyAlignment="1" applyProtection="1">
      <alignment horizontal="center" vertical="center"/>
      <protection locked="0" hidden="1"/>
    </xf>
    <xf numFmtId="0" fontId="5" fillId="3" borderId="52" xfId="0" applyFont="1" applyFill="1" applyBorder="1" applyAlignment="1" applyProtection="1">
      <alignment horizontal="center" vertical="center"/>
      <protection hidden="1"/>
    </xf>
    <xf numFmtId="0" fontId="11" fillId="5" borderId="54" xfId="0" applyFont="1" applyFill="1" applyBorder="1" applyAlignment="1" applyProtection="1">
      <alignment horizontal="center" vertical="center"/>
      <protection locked="0" hidden="1"/>
    </xf>
    <xf numFmtId="0" fontId="2" fillId="3" borderId="26" xfId="0" applyFont="1" applyFill="1" applyBorder="1" applyAlignment="1" applyProtection="1">
      <alignment horizontal="center" vertical="center"/>
      <protection locked="0" hidden="1"/>
    </xf>
    <xf numFmtId="0" fontId="2" fillId="3" borderId="32" xfId="0" applyFont="1" applyFill="1" applyBorder="1" applyAlignment="1" applyProtection="1">
      <alignment horizontal="center" vertical="center"/>
      <protection locked="0" hidden="1"/>
    </xf>
    <xf numFmtId="0" fontId="2" fillId="3" borderId="38" xfId="0" applyFont="1" applyFill="1" applyBorder="1" applyAlignment="1" applyProtection="1">
      <alignment horizontal="center" vertical="center"/>
      <protection locked="0" hidden="1"/>
    </xf>
    <xf numFmtId="0" fontId="11" fillId="5" borderId="54" xfId="0" quotePrefix="1" applyFont="1" applyFill="1" applyBorder="1" applyAlignment="1" applyProtection="1">
      <alignment horizontal="center" vertical="center"/>
      <protection locked="0" hidden="1"/>
    </xf>
    <xf numFmtId="0" fontId="5" fillId="6" borderId="21" xfId="0" applyFont="1" applyFill="1" applyBorder="1" applyAlignment="1" applyProtection="1">
      <alignment horizontal="center" vertical="center"/>
      <protection hidden="1"/>
    </xf>
    <xf numFmtId="0" fontId="12" fillId="12" borderId="21" xfId="0" applyFont="1" applyFill="1" applyBorder="1" applyAlignment="1" applyProtection="1">
      <alignment horizontal="center" vertical="center" wrapText="1"/>
      <protection hidden="1"/>
    </xf>
    <xf numFmtId="0" fontId="11" fillId="11" borderId="54" xfId="0" applyFont="1" applyFill="1" applyBorder="1" applyAlignment="1" applyProtection="1">
      <alignment horizontal="center" vertical="center"/>
      <protection hidden="1"/>
    </xf>
    <xf numFmtId="0" fontId="12" fillId="11" borderId="23" xfId="0" applyFont="1" applyFill="1" applyBorder="1" applyAlignment="1" applyProtection="1">
      <alignment horizontal="center" vertical="center" wrapText="1"/>
      <protection hidden="1"/>
    </xf>
    <xf numFmtId="0" fontId="12" fillId="11" borderId="69" xfId="0" applyFont="1" applyFill="1" applyBorder="1" applyAlignment="1" applyProtection="1">
      <alignment horizontal="center" vertical="center" wrapText="1"/>
      <protection hidden="1"/>
    </xf>
    <xf numFmtId="0" fontId="12" fillId="11" borderId="22" xfId="0" applyFont="1" applyFill="1" applyBorder="1" applyAlignment="1" applyProtection="1">
      <alignment horizontal="left" vertical="center" wrapText="1"/>
      <protection hidden="1"/>
    </xf>
    <xf numFmtId="0" fontId="12" fillId="11" borderId="21" xfId="0" applyFont="1" applyFill="1" applyBorder="1" applyAlignment="1" applyProtection="1">
      <alignment horizontal="center" vertical="center" wrapText="1"/>
      <protection hidden="1"/>
    </xf>
    <xf numFmtId="0" fontId="4" fillId="11" borderId="0" xfId="0" applyFont="1" applyFill="1" applyBorder="1" applyAlignment="1" applyProtection="1">
      <alignment horizontal="center"/>
      <protection hidden="1"/>
    </xf>
    <xf numFmtId="0" fontId="4" fillId="11" borderId="0" xfId="0" applyFont="1" applyFill="1" applyAlignment="1" applyProtection="1">
      <alignment horizontal="left"/>
      <protection hidden="1"/>
    </xf>
    <xf numFmtId="0" fontId="4" fillId="11" borderId="0" xfId="0" applyFont="1" applyFill="1" applyProtection="1">
      <protection hidden="1"/>
    </xf>
    <xf numFmtId="0" fontId="15" fillId="11" borderId="48" xfId="0" applyFont="1" applyFill="1" applyBorder="1" applyAlignment="1" applyProtection="1">
      <alignment horizontal="center" vertical="center"/>
      <protection hidden="1"/>
    </xf>
    <xf numFmtId="0" fontId="4" fillId="11" borderId="25" xfId="0" applyFont="1" applyFill="1" applyBorder="1" applyAlignment="1" applyProtection="1">
      <alignment horizontal="center" vertical="center"/>
      <protection hidden="1"/>
    </xf>
    <xf numFmtId="0" fontId="4" fillId="11" borderId="47" xfId="0" applyFont="1" applyFill="1" applyBorder="1" applyAlignment="1" applyProtection="1">
      <alignment horizontal="left" vertical="center"/>
      <protection hidden="1"/>
    </xf>
    <xf numFmtId="0" fontId="4" fillId="11" borderId="27" xfId="0" applyFont="1" applyFill="1" applyBorder="1" applyAlignment="1" applyProtection="1">
      <alignment horizontal="center" vertical="center"/>
      <protection hidden="1"/>
    </xf>
    <xf numFmtId="0" fontId="15" fillId="11" borderId="49" xfId="0" applyFont="1" applyFill="1" applyBorder="1" applyAlignment="1" applyProtection="1">
      <alignment horizontal="center" vertical="center"/>
      <protection hidden="1"/>
    </xf>
    <xf numFmtId="0" fontId="4" fillId="11" borderId="31" xfId="0" applyFont="1" applyFill="1" applyBorder="1" applyAlignment="1" applyProtection="1">
      <alignment horizontal="center" vertical="center"/>
      <protection hidden="1"/>
    </xf>
    <xf numFmtId="0" fontId="4" fillId="11" borderId="45" xfId="0" applyFont="1" applyFill="1" applyBorder="1" applyAlignment="1" applyProtection="1">
      <alignment horizontal="left" vertical="center" wrapText="1"/>
      <protection hidden="1"/>
    </xf>
    <xf numFmtId="0" fontId="4" fillId="11" borderId="33" xfId="0" applyFont="1" applyFill="1" applyBorder="1" applyAlignment="1" applyProtection="1">
      <alignment horizontal="center" vertical="center"/>
      <protection hidden="1"/>
    </xf>
    <xf numFmtId="0" fontId="4" fillId="11" borderId="45" xfId="0" applyFont="1" applyFill="1" applyBorder="1" applyAlignment="1" applyProtection="1">
      <alignment horizontal="left" vertical="center"/>
      <protection hidden="1"/>
    </xf>
    <xf numFmtId="0" fontId="4" fillId="11" borderId="72" xfId="0" applyFont="1" applyFill="1" applyBorder="1" applyAlignment="1" applyProtection="1">
      <alignment horizontal="center" vertical="center"/>
      <protection hidden="1"/>
    </xf>
    <xf numFmtId="0" fontId="15" fillId="11" borderId="55" xfId="0" applyFont="1" applyFill="1" applyBorder="1" applyAlignment="1" applyProtection="1">
      <alignment horizontal="center" vertical="center"/>
      <protection hidden="1"/>
    </xf>
    <xf numFmtId="0" fontId="4" fillId="11" borderId="37" xfId="0" applyFont="1" applyFill="1" applyBorder="1" applyAlignment="1" applyProtection="1">
      <alignment horizontal="center" vertical="center"/>
      <protection hidden="1"/>
    </xf>
    <xf numFmtId="0" fontId="4" fillId="11" borderId="46" xfId="0" applyFont="1" applyFill="1" applyBorder="1" applyAlignment="1" applyProtection="1">
      <alignment horizontal="left" vertical="center"/>
      <protection hidden="1"/>
    </xf>
    <xf numFmtId="0" fontId="4" fillId="11" borderId="39" xfId="0" applyFont="1" applyFill="1" applyBorder="1" applyAlignment="1" applyProtection="1">
      <alignment horizontal="center" vertical="center"/>
      <protection hidden="1"/>
    </xf>
    <xf numFmtId="0" fontId="15" fillId="11" borderId="23" xfId="0" applyFont="1" applyFill="1" applyBorder="1" applyAlignment="1" applyProtection="1">
      <alignment horizontal="center" vertical="center"/>
      <protection hidden="1"/>
    </xf>
    <xf numFmtId="0" fontId="4" fillId="11" borderId="43" xfId="0" applyFont="1" applyFill="1" applyBorder="1" applyAlignment="1" applyProtection="1">
      <alignment horizontal="center" vertical="center"/>
      <protection hidden="1"/>
    </xf>
    <xf numFmtId="0" fontId="4" fillId="11" borderId="43" xfId="0" applyFont="1" applyFill="1" applyBorder="1" applyAlignment="1" applyProtection="1">
      <alignment horizontal="left" vertical="center"/>
      <protection hidden="1"/>
    </xf>
    <xf numFmtId="0" fontId="4" fillId="11" borderId="21" xfId="0" applyFont="1" applyFill="1" applyBorder="1" applyAlignment="1" applyProtection="1">
      <alignment horizontal="center" vertical="center"/>
      <protection hidden="1"/>
    </xf>
    <xf numFmtId="0" fontId="2" fillId="3" borderId="27" xfId="0" applyFont="1" applyFill="1" applyBorder="1" applyAlignment="1" applyProtection="1">
      <alignment horizontal="center" vertical="center"/>
      <protection locked="0" hidden="1"/>
    </xf>
    <xf numFmtId="0" fontId="2" fillId="3" borderId="33" xfId="0" applyFont="1" applyFill="1" applyBorder="1" applyAlignment="1" applyProtection="1">
      <alignment horizontal="center" vertical="center"/>
      <protection locked="0" hidden="1"/>
    </xf>
    <xf numFmtId="0" fontId="2" fillId="3" borderId="39" xfId="0" applyFont="1" applyFill="1" applyBorder="1" applyAlignment="1" applyProtection="1">
      <alignment horizontal="center" vertical="center"/>
      <protection locked="0" hidden="1"/>
    </xf>
    <xf numFmtId="0" fontId="12" fillId="11" borderId="21" xfId="0" applyFont="1" applyFill="1" applyBorder="1" applyAlignment="1" applyProtection="1">
      <alignment horizontal="left" vertical="center" wrapText="1"/>
      <protection hidden="1"/>
    </xf>
    <xf numFmtId="0" fontId="15" fillId="6" borderId="89" xfId="0" applyFont="1" applyFill="1" applyBorder="1" applyAlignment="1" applyProtection="1">
      <alignment horizontal="center"/>
      <protection hidden="1"/>
    </xf>
    <xf numFmtId="0" fontId="4" fillId="11" borderId="89" xfId="0" applyFont="1" applyFill="1" applyBorder="1" applyAlignment="1" applyProtection="1">
      <alignment horizontal="left"/>
      <protection hidden="1"/>
    </xf>
    <xf numFmtId="0" fontId="4" fillId="11" borderId="89" xfId="0" applyFont="1" applyFill="1" applyBorder="1" applyProtection="1">
      <protection hidden="1"/>
    </xf>
    <xf numFmtId="0" fontId="4" fillId="11" borderId="90" xfId="0" applyFont="1" applyFill="1" applyBorder="1" applyProtection="1">
      <protection hidden="1"/>
    </xf>
    <xf numFmtId="0" fontId="4" fillId="4" borderId="47" xfId="0" applyFont="1" applyFill="1" applyBorder="1" applyAlignment="1" applyProtection="1">
      <alignment horizontal="left" vertical="center"/>
      <protection locked="0" hidden="1"/>
    </xf>
    <xf numFmtId="0" fontId="4" fillId="4" borderId="56" xfId="0" applyFont="1" applyFill="1" applyBorder="1" applyAlignment="1" applyProtection="1">
      <alignment horizontal="center" vertical="center"/>
      <protection locked="0" hidden="1"/>
    </xf>
    <xf numFmtId="0" fontId="4" fillId="4" borderId="60" xfId="0" applyFont="1" applyFill="1" applyBorder="1" applyAlignment="1" applyProtection="1">
      <alignment horizontal="center" vertical="center"/>
      <protection locked="0" hidden="1"/>
    </xf>
    <xf numFmtId="0" fontId="4" fillId="4" borderId="61" xfId="0" applyFont="1" applyFill="1" applyBorder="1" applyAlignment="1" applyProtection="1">
      <alignment horizontal="center" vertical="center"/>
      <protection locked="0" hidden="1"/>
    </xf>
    <xf numFmtId="0" fontId="4" fillId="4" borderId="45" xfId="0" applyFont="1" applyFill="1" applyBorder="1" applyAlignment="1" applyProtection="1">
      <alignment horizontal="left" vertical="center" wrapText="1"/>
      <protection locked="0" hidden="1"/>
    </xf>
    <xf numFmtId="0" fontId="4" fillId="4" borderId="57" xfId="0" applyFont="1" applyFill="1" applyBorder="1" applyAlignment="1" applyProtection="1">
      <alignment horizontal="center" vertical="center"/>
      <protection locked="0" hidden="1"/>
    </xf>
    <xf numFmtId="0" fontId="4" fillId="4" borderId="63" xfId="0" applyFont="1" applyFill="1" applyBorder="1" applyAlignment="1" applyProtection="1">
      <alignment horizontal="center" vertical="center"/>
      <protection locked="0" hidden="1"/>
    </xf>
    <xf numFmtId="0" fontId="4" fillId="4" borderId="64" xfId="0" applyFont="1" applyFill="1" applyBorder="1" applyAlignment="1" applyProtection="1">
      <alignment horizontal="center" vertical="center"/>
      <protection locked="0" hidden="1"/>
    </xf>
    <xf numFmtId="0" fontId="4" fillId="4" borderId="73" xfId="0" applyFont="1" applyFill="1" applyBorder="1" applyAlignment="1" applyProtection="1">
      <alignment horizontal="left" vertical="center"/>
      <protection locked="0" hidden="1"/>
    </xf>
    <xf numFmtId="0" fontId="4" fillId="4" borderId="74" xfId="0" applyFont="1" applyFill="1" applyBorder="1" applyAlignment="1" applyProtection="1">
      <alignment horizontal="center" vertical="center"/>
      <protection locked="0" hidden="1"/>
    </xf>
    <xf numFmtId="0" fontId="4" fillId="4" borderId="75" xfId="0" applyFont="1" applyFill="1" applyBorder="1" applyAlignment="1" applyProtection="1">
      <alignment horizontal="center" vertical="center"/>
      <protection locked="0" hidden="1"/>
    </xf>
    <xf numFmtId="0" fontId="4" fillId="4" borderId="76" xfId="0" applyFont="1" applyFill="1" applyBorder="1" applyAlignment="1" applyProtection="1">
      <alignment horizontal="center" vertical="center"/>
      <protection locked="0" hidden="1"/>
    </xf>
    <xf numFmtId="0" fontId="4" fillId="4" borderId="77" xfId="0" applyFont="1" applyFill="1" applyBorder="1" applyAlignment="1" applyProtection="1">
      <alignment horizontal="left" vertical="center" wrapText="1"/>
      <protection locked="0" hidden="1"/>
    </xf>
    <xf numFmtId="0" fontId="4" fillId="4" borderId="79" xfId="0" applyFont="1" applyFill="1" applyBorder="1" applyAlignment="1" applyProtection="1">
      <alignment horizontal="center" vertical="center"/>
      <protection locked="0" hidden="1"/>
    </xf>
    <xf numFmtId="0" fontId="4" fillId="4" borderId="80" xfId="0" applyFont="1" applyFill="1" applyBorder="1" applyAlignment="1" applyProtection="1">
      <alignment horizontal="center" vertical="center"/>
      <protection locked="0" hidden="1"/>
    </xf>
    <xf numFmtId="0" fontId="4" fillId="4" borderId="81" xfId="0" applyFont="1" applyFill="1" applyBorder="1" applyAlignment="1" applyProtection="1">
      <alignment horizontal="center" vertical="center"/>
      <protection locked="0" hidden="1"/>
    </xf>
    <xf numFmtId="0" fontId="4" fillId="4" borderId="45" xfId="0" applyFont="1" applyFill="1" applyBorder="1" applyAlignment="1" applyProtection="1">
      <alignment horizontal="left" vertical="center"/>
      <protection locked="0" hidden="1"/>
    </xf>
    <xf numFmtId="0" fontId="4" fillId="4" borderId="82" xfId="0" applyFont="1" applyFill="1" applyBorder="1" applyAlignment="1" applyProtection="1">
      <alignment horizontal="left" vertical="center"/>
      <protection locked="0" hidden="1"/>
    </xf>
    <xf numFmtId="0" fontId="4" fillId="4" borderId="83" xfId="0" applyFont="1" applyFill="1" applyBorder="1" applyAlignment="1" applyProtection="1">
      <alignment horizontal="center" vertical="center"/>
      <protection locked="0" hidden="1"/>
    </xf>
    <xf numFmtId="0" fontId="4" fillId="4" borderId="84" xfId="0" applyFont="1" applyFill="1" applyBorder="1" applyAlignment="1" applyProtection="1">
      <alignment horizontal="center" vertical="center"/>
      <protection locked="0" hidden="1"/>
    </xf>
    <xf numFmtId="0" fontId="4" fillId="4" borderId="85" xfId="0" applyFont="1" applyFill="1" applyBorder="1" applyAlignment="1" applyProtection="1">
      <alignment horizontal="center" vertical="center"/>
      <protection locked="0" hidden="1"/>
    </xf>
    <xf numFmtId="0" fontId="4" fillId="4" borderId="77" xfId="0" applyFont="1" applyFill="1" applyBorder="1" applyAlignment="1" applyProtection="1">
      <alignment horizontal="left" vertical="center"/>
      <protection locked="0" hidden="1"/>
    </xf>
    <xf numFmtId="0" fontId="4" fillId="4" borderId="50" xfId="0" applyFont="1" applyFill="1" applyBorder="1" applyAlignment="1" applyProtection="1">
      <alignment horizontal="left" vertical="center"/>
      <protection locked="0" hidden="1"/>
    </xf>
    <xf numFmtId="0" fontId="4" fillId="4" borderId="0" xfId="0" applyFont="1" applyFill="1" applyBorder="1" applyAlignment="1" applyProtection="1">
      <alignment horizontal="center" vertical="center"/>
      <protection locked="0" hidden="1"/>
    </xf>
    <xf numFmtId="0" fontId="4" fillId="4" borderId="86" xfId="0" applyFont="1" applyFill="1" applyBorder="1" applyAlignment="1" applyProtection="1">
      <alignment horizontal="center" vertical="center"/>
      <protection locked="0" hidden="1"/>
    </xf>
    <xf numFmtId="0" fontId="4" fillId="4" borderId="87" xfId="0" applyFont="1" applyFill="1" applyBorder="1" applyAlignment="1" applyProtection="1">
      <alignment horizontal="center" vertical="center"/>
      <protection locked="0" hidden="1"/>
    </xf>
    <xf numFmtId="0" fontId="4" fillId="4" borderId="46" xfId="0" applyFont="1" applyFill="1" applyBorder="1" applyAlignment="1" applyProtection="1">
      <alignment horizontal="left" vertical="center"/>
      <protection locked="0" hidden="1"/>
    </xf>
    <xf numFmtId="0" fontId="4" fillId="4" borderId="58" xfId="0" applyFont="1" applyFill="1" applyBorder="1" applyAlignment="1" applyProtection="1">
      <alignment horizontal="center" vertical="center"/>
      <protection locked="0" hidden="1"/>
    </xf>
    <xf numFmtId="0" fontId="4" fillId="4" borderId="66" xfId="0" applyFont="1" applyFill="1" applyBorder="1" applyAlignment="1" applyProtection="1">
      <alignment horizontal="center" vertical="center"/>
      <protection locked="0" hidden="1"/>
    </xf>
    <xf numFmtId="0" fontId="4" fillId="4" borderId="67" xfId="0" applyFont="1" applyFill="1" applyBorder="1" applyAlignment="1" applyProtection="1">
      <alignment horizontal="center" vertical="center"/>
      <protection locked="0"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vertical="center"/>
      <protection hidden="1"/>
    </xf>
    <xf numFmtId="0" fontId="9" fillId="3" borderId="53" xfId="0" applyFont="1" applyFill="1" applyBorder="1" applyAlignment="1" applyProtection="1">
      <alignment horizontal="center" vertical="center"/>
      <protection hidden="1"/>
    </xf>
    <xf numFmtId="0" fontId="5" fillId="0" borderId="0" xfId="0" applyFont="1" applyBorder="1" applyAlignment="1" applyProtection="1">
      <alignment horizontal="center" vertical="center"/>
      <protection hidden="1"/>
    </xf>
    <xf numFmtId="0" fontId="9" fillId="3" borderId="10" xfId="0" applyFont="1" applyFill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11" fillId="5" borderId="12" xfId="0" applyFont="1" applyFill="1" applyBorder="1" applyAlignment="1" applyProtection="1">
      <alignment horizontal="center" vertical="center"/>
      <protection locked="0" hidden="1"/>
    </xf>
    <xf numFmtId="0" fontId="11" fillId="5" borderId="13" xfId="0" quotePrefix="1" applyFont="1" applyFill="1" applyBorder="1" applyAlignment="1" applyProtection="1">
      <alignment horizontal="center" vertical="center"/>
      <protection locked="0" hidden="1"/>
    </xf>
    <xf numFmtId="0" fontId="11" fillId="2" borderId="1" xfId="0" applyFont="1" applyFill="1" applyBorder="1" applyAlignment="1" applyProtection="1">
      <alignment horizontal="center" vertical="center" wrapText="1"/>
      <protection hidden="1"/>
    </xf>
    <xf numFmtId="0" fontId="11" fillId="2" borderId="2" xfId="0" applyFont="1" applyFill="1" applyBorder="1" applyAlignment="1" applyProtection="1">
      <alignment horizontal="center" vertical="center" wrapText="1"/>
      <protection hidden="1"/>
    </xf>
    <xf numFmtId="0" fontId="2" fillId="3" borderId="4" xfId="0" applyFont="1" applyFill="1" applyBorder="1" applyAlignment="1" applyProtection="1">
      <alignment horizontal="left" vertical="center" wrapText="1"/>
      <protection hidden="1"/>
    </xf>
    <xf numFmtId="0" fontId="2" fillId="3" borderId="5" xfId="0" applyFont="1" applyFill="1" applyBorder="1" applyAlignment="1" applyProtection="1">
      <alignment horizontal="left" vertical="center" wrapText="1"/>
      <protection hidden="1"/>
    </xf>
    <xf numFmtId="0" fontId="19" fillId="6" borderId="23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Alignment="1">
      <alignment horizontal="center" vertical="center"/>
    </xf>
    <xf numFmtId="0" fontId="6" fillId="12" borderId="23" xfId="0" applyFont="1" applyFill="1" applyBorder="1" applyAlignment="1" applyProtection="1">
      <alignment horizontal="center" vertical="center" wrapText="1"/>
      <protection hidden="1"/>
    </xf>
    <xf numFmtId="0" fontId="6" fillId="12" borderId="22" xfId="0" applyFont="1" applyFill="1" applyBorder="1" applyAlignment="1" applyProtection="1">
      <alignment horizontal="center" vertical="center" wrapText="1"/>
      <protection hidden="1"/>
    </xf>
    <xf numFmtId="0" fontId="18" fillId="12" borderId="23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22" xfId="0" applyFont="1" applyFill="1" applyBorder="1" applyAlignment="1">
      <alignment horizontal="center" vertical="center"/>
    </xf>
    <xf numFmtId="3" fontId="12" fillId="11" borderId="27" xfId="0" applyNumberFormat="1" applyFont="1" applyFill="1" applyBorder="1" applyAlignment="1" applyProtection="1">
      <alignment horizontal="center" vertical="center"/>
      <protection hidden="1"/>
    </xf>
    <xf numFmtId="3" fontId="4" fillId="11" borderId="56" xfId="0" applyNumberFormat="1" applyFont="1" applyFill="1" applyBorder="1" applyAlignment="1" applyProtection="1">
      <alignment horizontal="center" vertical="center"/>
      <protection hidden="1"/>
    </xf>
    <xf numFmtId="3" fontId="4" fillId="4" borderId="59" xfId="0" applyNumberFormat="1" applyFont="1" applyFill="1" applyBorder="1" applyAlignment="1" applyProtection="1">
      <alignment horizontal="center" vertical="center"/>
      <protection locked="0"/>
    </xf>
    <xf numFmtId="3" fontId="4" fillId="4" borderId="60" xfId="0" applyNumberFormat="1" applyFont="1" applyFill="1" applyBorder="1" applyAlignment="1" applyProtection="1">
      <alignment horizontal="center" vertical="center"/>
      <protection locked="0"/>
    </xf>
    <xf numFmtId="3" fontId="4" fillId="4" borderId="61" xfId="0" applyNumberFormat="1" applyFont="1" applyFill="1" applyBorder="1" applyAlignment="1" applyProtection="1">
      <alignment horizontal="center" vertical="center"/>
      <protection locked="0"/>
    </xf>
    <xf numFmtId="3" fontId="12" fillId="11" borderId="33" xfId="0" applyNumberFormat="1" applyFont="1" applyFill="1" applyBorder="1" applyAlignment="1" applyProtection="1">
      <alignment horizontal="center" vertical="center"/>
      <protection hidden="1"/>
    </xf>
    <xf numFmtId="3" fontId="4" fillId="11" borderId="57" xfId="0" applyNumberFormat="1" applyFont="1" applyFill="1" applyBorder="1" applyAlignment="1" applyProtection="1">
      <alignment horizontal="center" vertical="center"/>
      <protection hidden="1"/>
    </xf>
    <xf numFmtId="3" fontId="4" fillId="4" borderId="62" xfId="0" applyNumberFormat="1" applyFont="1" applyFill="1" applyBorder="1" applyAlignment="1" applyProtection="1">
      <alignment horizontal="center" vertical="center"/>
      <protection locked="0"/>
    </xf>
    <xf numFmtId="3" fontId="4" fillId="4" borderId="63" xfId="0" applyNumberFormat="1" applyFont="1" applyFill="1" applyBorder="1" applyAlignment="1" applyProtection="1">
      <alignment horizontal="center" vertical="center"/>
      <protection locked="0"/>
    </xf>
    <xf numFmtId="3" fontId="4" fillId="4" borderId="64" xfId="0" applyNumberFormat="1" applyFont="1" applyFill="1" applyBorder="1" applyAlignment="1" applyProtection="1">
      <alignment horizontal="center" vertical="center"/>
      <protection locked="0"/>
    </xf>
    <xf numFmtId="3" fontId="12" fillId="11" borderId="39" xfId="0" applyNumberFormat="1" applyFont="1" applyFill="1" applyBorder="1" applyAlignment="1" applyProtection="1">
      <alignment horizontal="center" vertical="center"/>
      <protection hidden="1"/>
    </xf>
    <xf numFmtId="3" fontId="4" fillId="11" borderId="58" xfId="0" applyNumberFormat="1" applyFont="1" applyFill="1" applyBorder="1" applyAlignment="1" applyProtection="1">
      <alignment horizontal="center" vertical="center"/>
      <protection hidden="1"/>
    </xf>
    <xf numFmtId="3" fontId="4" fillId="4" borderId="65" xfId="0" applyNumberFormat="1" applyFont="1" applyFill="1" applyBorder="1" applyAlignment="1" applyProtection="1">
      <alignment horizontal="center" vertical="center"/>
      <protection locked="0"/>
    </xf>
    <xf numFmtId="3" fontId="4" fillId="4" borderId="66" xfId="0" applyNumberFormat="1" applyFont="1" applyFill="1" applyBorder="1" applyAlignment="1" applyProtection="1">
      <alignment horizontal="center" vertical="center"/>
      <protection locked="0"/>
    </xf>
    <xf numFmtId="3" fontId="4" fillId="4" borderId="67" xfId="0" applyNumberFormat="1" applyFont="1" applyFill="1" applyBorder="1" applyAlignment="1" applyProtection="1">
      <alignment horizontal="center" vertical="center"/>
      <protection locked="0"/>
    </xf>
    <xf numFmtId="3" fontId="12" fillId="11" borderId="21" xfId="0" applyNumberFormat="1" applyFont="1" applyFill="1" applyBorder="1" applyAlignment="1" applyProtection="1">
      <alignment horizontal="center" vertical="center"/>
      <protection hidden="1"/>
    </xf>
    <xf numFmtId="3" fontId="12" fillId="11" borderId="43" xfId="0" applyNumberFormat="1" applyFont="1" applyFill="1" applyBorder="1" applyAlignment="1" applyProtection="1">
      <alignment horizontal="center" vertical="center"/>
      <protection hidden="1"/>
    </xf>
    <xf numFmtId="3" fontId="12" fillId="11" borderId="70" xfId="0" applyNumberFormat="1" applyFont="1" applyFill="1" applyBorder="1" applyAlignment="1" applyProtection="1">
      <alignment horizontal="center" vertical="center"/>
      <protection hidden="1"/>
    </xf>
    <xf numFmtId="3" fontId="12" fillId="11" borderId="68" xfId="0" applyNumberFormat="1" applyFont="1" applyFill="1" applyBorder="1" applyAlignment="1" applyProtection="1">
      <alignment horizontal="center" vertical="center"/>
      <protection hidden="1"/>
    </xf>
    <xf numFmtId="3" fontId="12" fillId="11" borderId="71" xfId="0" applyNumberFormat="1" applyFont="1" applyFill="1" applyBorder="1" applyAlignment="1" applyProtection="1">
      <alignment horizontal="center" vertical="center"/>
      <protection hidden="1"/>
    </xf>
    <xf numFmtId="0" fontId="5" fillId="3" borderId="91" xfId="0" applyFont="1" applyFill="1" applyBorder="1" applyAlignment="1" applyProtection="1">
      <alignment horizontal="left" vertical="center" wrapText="1"/>
      <protection hidden="1"/>
    </xf>
    <xf numFmtId="0" fontId="5" fillId="0" borderId="92" xfId="0" applyFont="1" applyBorder="1" applyAlignment="1" applyProtection="1">
      <alignment horizontal="left" vertical="center" wrapText="1"/>
      <protection hidden="1"/>
    </xf>
    <xf numFmtId="0" fontId="5" fillId="0" borderId="93" xfId="0" applyFont="1" applyBorder="1" applyAlignment="1" applyProtection="1">
      <alignment horizontal="left" vertical="center" wrapText="1"/>
      <protection hidden="1"/>
    </xf>
    <xf numFmtId="0" fontId="4" fillId="4" borderId="95" xfId="0" applyFont="1" applyFill="1" applyBorder="1" applyAlignment="1" applyProtection="1">
      <alignment horizontal="center" vertical="center"/>
      <protection locked="0" hidden="1"/>
    </xf>
    <xf numFmtId="0" fontId="4" fillId="4" borderId="96" xfId="0" applyFont="1" applyFill="1" applyBorder="1" applyAlignment="1" applyProtection="1">
      <alignment horizontal="center" vertical="center"/>
      <protection locked="0" hidden="1"/>
    </xf>
    <xf numFmtId="0" fontId="4" fillId="4" borderId="97" xfId="0" applyFont="1" applyFill="1" applyBorder="1" applyAlignment="1" applyProtection="1">
      <alignment horizontal="center" vertical="center"/>
      <protection locked="0" hidden="1"/>
    </xf>
    <xf numFmtId="0" fontId="4" fillId="4" borderId="44" xfId="0" applyFont="1" applyFill="1" applyBorder="1" applyAlignment="1" applyProtection="1">
      <alignment horizontal="left" vertical="center" wrapText="1"/>
      <protection locked="0" hidden="1"/>
    </xf>
    <xf numFmtId="0" fontId="15" fillId="4" borderId="27" xfId="0" applyFont="1" applyFill="1" applyBorder="1" applyAlignment="1" applyProtection="1">
      <alignment horizontal="center" vertical="center"/>
      <protection locked="0"/>
    </xf>
    <xf numFmtId="0" fontId="15" fillId="4" borderId="94" xfId="0" applyFont="1" applyFill="1" applyBorder="1" applyAlignment="1" applyProtection="1">
      <alignment horizontal="center" vertical="center"/>
      <protection locked="0"/>
    </xf>
    <xf numFmtId="0" fontId="15" fillId="4" borderId="33" xfId="0" applyFont="1" applyFill="1" applyBorder="1" applyAlignment="1" applyProtection="1">
      <alignment horizontal="center" vertical="center"/>
      <protection locked="0"/>
    </xf>
    <xf numFmtId="0" fontId="15" fillId="4" borderId="88" xfId="0" applyFont="1" applyFill="1" applyBorder="1" applyAlignment="1" applyProtection="1">
      <alignment horizontal="center" vertical="center"/>
      <protection locked="0"/>
    </xf>
    <xf numFmtId="0" fontId="15" fillId="4" borderId="78" xfId="0" applyFont="1" applyFill="1" applyBorder="1" applyAlignment="1" applyProtection="1">
      <alignment horizontal="center" vertical="center"/>
      <protection locked="0"/>
    </xf>
    <xf numFmtId="0" fontId="15" fillId="4" borderId="39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9"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bottom style="thin">
          <color rgb="FF0000CC"/>
        </bottom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vertical/>
        <horizontal/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top style="hair">
          <color rgb="FF0000CC"/>
        </top>
        <bottom style="hair">
          <color rgb="FF0000CC"/>
        </bottom>
      </border>
    </dxf>
    <dxf>
      <font>
        <b/>
        <i val="0"/>
        <condense val="0"/>
        <extend val="0"/>
        <color indexed="9"/>
      </font>
      <fill>
        <patternFill>
          <bgColor indexed="17"/>
        </patternFill>
      </fill>
      <border>
        <left style="thin">
          <color indexed="51"/>
        </left>
        <right style="thin">
          <color indexed="51"/>
        </right>
        <top style="thin">
          <color indexed="51"/>
        </top>
        <bottom style="thin">
          <color indexed="51"/>
        </bottom>
      </border>
    </dxf>
    <dxf>
      <font>
        <color rgb="FFFFFFCC"/>
      </font>
      <fill>
        <patternFill>
          <bgColor rgb="FFFFFFCC"/>
        </patternFill>
      </fill>
      <border>
        <left style="thin">
          <color rgb="FF0000CC"/>
        </left>
        <right style="thin">
          <color rgb="FF0000CC"/>
        </right>
        <top style="hair">
          <color rgb="FF0000CC"/>
        </top>
        <bottom style="hair">
          <color rgb="FF0000CC"/>
        </bottom>
      </border>
    </dxf>
    <dxf>
      <font>
        <b/>
        <i val="0"/>
        <condense val="0"/>
        <extend val="0"/>
        <color indexed="9"/>
      </font>
      <fill>
        <patternFill>
          <bgColor indexed="17"/>
        </patternFill>
      </fill>
      <border>
        <left style="thin">
          <color indexed="51"/>
        </left>
        <right style="thin">
          <color indexed="51"/>
        </right>
        <top style="thin">
          <color indexed="51"/>
        </top>
        <bottom style="thin">
          <color indexed="51"/>
        </bottom>
      </border>
    </dxf>
    <dxf>
      <font>
        <b/>
        <i val="0"/>
        <condense val="0"/>
        <extend val="0"/>
        <color indexed="9"/>
      </font>
      <fill>
        <patternFill>
          <bgColor indexed="17"/>
        </patternFill>
      </fill>
      <border>
        <left style="thin">
          <color indexed="51"/>
        </left>
        <right style="thin">
          <color indexed="51"/>
        </right>
        <top style="thin">
          <color indexed="51"/>
        </top>
        <bottom style="thin">
          <color indexed="51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colors>
    <mruColors>
      <color rgb="FFFFFFCC"/>
      <color rgb="FF9933FF"/>
      <color rgb="FF0000CC"/>
      <color rgb="FFFFCC99"/>
      <color rgb="FFFFCC8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59"/>
  <sheetViews>
    <sheetView tabSelected="1" topLeftCell="B1" zoomScaleNormal="100" workbookViewId="0">
      <selection activeCell="B2" sqref="B2:E2"/>
    </sheetView>
  </sheetViews>
  <sheetFormatPr defaultRowHeight="12.75" x14ac:dyDescent="0.2"/>
  <cols>
    <col min="1" max="1" width="7.28515625" style="2" hidden="1" customWidth="1"/>
    <col min="2" max="2" width="11.28515625" style="30" customWidth="1"/>
    <col min="3" max="3" width="87" style="30" customWidth="1"/>
    <col min="4" max="4" width="16.5703125" style="2" customWidth="1"/>
    <col min="5" max="5" width="13.28515625" style="2" customWidth="1"/>
    <col min="6" max="6" width="9.140625" style="25"/>
    <col min="7" max="16384" width="9.140625" style="2"/>
  </cols>
  <sheetData>
    <row r="1" spans="1:6" ht="32.25" customHeight="1" x14ac:dyDescent="0.2">
      <c r="B1" s="166" t="s">
        <v>69</v>
      </c>
      <c r="C1" s="167"/>
      <c r="D1" s="167"/>
      <c r="E1" s="1"/>
      <c r="F1" s="2"/>
    </row>
    <row r="2" spans="1:6" ht="161.25" customHeight="1" x14ac:dyDescent="0.2">
      <c r="B2" s="197" t="s">
        <v>70</v>
      </c>
      <c r="C2" s="198"/>
      <c r="D2" s="198"/>
      <c r="E2" s="199"/>
      <c r="F2" s="2"/>
    </row>
    <row r="3" spans="1:6" ht="23.25" customHeight="1" thickBot="1" x14ac:dyDescent="0.25">
      <c r="B3" s="168"/>
      <c r="C3" s="169"/>
      <c r="D3" s="169"/>
      <c r="E3" s="169"/>
      <c r="F3" s="2"/>
    </row>
    <row r="4" spans="1:6" ht="28.5" customHeight="1" thickBot="1" x14ac:dyDescent="0.25">
      <c r="B4" s="3"/>
      <c r="C4" s="4" t="s">
        <v>0</v>
      </c>
      <c r="D4" s="5" t="s">
        <v>1</v>
      </c>
      <c r="E4" s="6"/>
      <c r="F4" s="2"/>
    </row>
    <row r="5" spans="1:6" ht="28.5" customHeight="1" thickBot="1" x14ac:dyDescent="0.25">
      <c r="B5" s="7"/>
      <c r="C5" s="162" t="s">
        <v>63</v>
      </c>
      <c r="D5" s="163"/>
      <c r="E5" s="8"/>
      <c r="F5" s="2"/>
    </row>
    <row r="6" spans="1:6" ht="28.5" customHeight="1" thickBot="1" x14ac:dyDescent="0.25">
      <c r="B6" s="9" t="str">
        <f>CHAR(73)&amp;" "&amp;CHAR(232)</f>
        <v>I è</v>
      </c>
      <c r="C6" s="164"/>
      <c r="D6" s="165"/>
      <c r="E6" s="10" t="s">
        <v>2</v>
      </c>
      <c r="F6" s="2"/>
    </row>
    <row r="7" spans="1:6" ht="28.5" customHeight="1" thickBot="1" x14ac:dyDescent="0.25">
      <c r="B7" s="11"/>
      <c r="C7" s="12"/>
      <c r="D7" s="13"/>
      <c r="E7" s="14"/>
      <c r="F7" s="2"/>
    </row>
    <row r="8" spans="1:6" ht="28.5" customHeight="1" thickBot="1" x14ac:dyDescent="0.25">
      <c r="B8" s="9" t="str">
        <f>CHAR(73)&amp;" "&amp;CHAR(232)</f>
        <v>I è</v>
      </c>
      <c r="C8" s="15" t="s">
        <v>3</v>
      </c>
      <c r="D8" s="16"/>
      <c r="E8" s="10" t="s">
        <v>2</v>
      </c>
      <c r="F8" s="2"/>
    </row>
    <row r="9" spans="1:6" ht="28.5" customHeight="1" x14ac:dyDescent="0.2">
      <c r="B9" s="17"/>
      <c r="C9" s="18"/>
      <c r="D9" s="18"/>
      <c r="E9" s="14"/>
      <c r="F9" s="2"/>
    </row>
    <row r="10" spans="1:6" ht="28.5" customHeight="1" x14ac:dyDescent="0.2">
      <c r="B10" s="9" t="str">
        <f>CHAR(73)&amp;" "&amp;CHAR(232)</f>
        <v>I è</v>
      </c>
      <c r="C10" s="160" t="s">
        <v>62</v>
      </c>
      <c r="D10" s="161"/>
      <c r="E10" s="19"/>
      <c r="F10" s="2"/>
    </row>
    <row r="11" spans="1:6" ht="28.5" customHeight="1" x14ac:dyDescent="0.2">
      <c r="B11" s="20"/>
      <c r="C11" s="21"/>
      <c r="D11" s="22"/>
      <c r="E11" s="23"/>
      <c r="F11" s="2"/>
    </row>
    <row r="12" spans="1:6" ht="18.75" customHeight="1" x14ac:dyDescent="0.2">
      <c r="B12" s="92" t="s">
        <v>4</v>
      </c>
      <c r="C12" s="92" t="s">
        <v>5</v>
      </c>
      <c r="D12" s="92" t="s">
        <v>6</v>
      </c>
      <c r="E12" s="92"/>
      <c r="F12" s="2"/>
    </row>
    <row r="13" spans="1:6" ht="14.25" x14ac:dyDescent="0.2">
      <c r="A13" s="74" t="str">
        <f>CONCATENATE("P0",B13)</f>
        <v>P0</v>
      </c>
      <c r="B13" s="94" t="str">
        <f>IF($C13="","","1")</f>
        <v/>
      </c>
      <c r="C13" s="87"/>
      <c r="D13" s="91"/>
      <c r="E13" s="24"/>
      <c r="F13" s="2"/>
    </row>
    <row r="14" spans="1:6" ht="14.25" x14ac:dyDescent="0.2">
      <c r="A14" s="74" t="str">
        <f t="shared" ref="A14:A21" si="0">CONCATENATE("P0",B14)</f>
        <v>P0</v>
      </c>
      <c r="B14" s="94" t="str">
        <f>IF($C14="","","2")</f>
        <v/>
      </c>
      <c r="C14" s="84"/>
      <c r="D14" s="85"/>
      <c r="E14" s="24"/>
      <c r="F14" s="2"/>
    </row>
    <row r="15" spans="1:6" ht="14.25" x14ac:dyDescent="0.2">
      <c r="A15" s="74" t="str">
        <f t="shared" si="0"/>
        <v>P0</v>
      </c>
      <c r="B15" s="94" t="str">
        <f>IF($C15="","","3")</f>
        <v/>
      </c>
      <c r="C15" s="84"/>
      <c r="D15" s="85"/>
      <c r="E15" s="24"/>
      <c r="F15" s="2"/>
    </row>
    <row r="16" spans="1:6" ht="14.25" x14ac:dyDescent="0.2">
      <c r="A16" s="74" t="str">
        <f t="shared" si="0"/>
        <v>P0</v>
      </c>
      <c r="B16" s="94" t="str">
        <f>IF($C16="","","4")</f>
        <v/>
      </c>
      <c r="C16" s="84"/>
      <c r="D16" s="85"/>
      <c r="E16" s="24"/>
      <c r="F16" s="2"/>
    </row>
    <row r="17" spans="1:6" ht="14.25" x14ac:dyDescent="0.2">
      <c r="A17" s="74" t="str">
        <f t="shared" si="0"/>
        <v>P0</v>
      </c>
      <c r="B17" s="94" t="str">
        <f>IF($C17="","","5")</f>
        <v/>
      </c>
      <c r="C17" s="84"/>
      <c r="D17" s="85"/>
      <c r="E17" s="24"/>
    </row>
    <row r="18" spans="1:6" ht="14.25" x14ac:dyDescent="0.2">
      <c r="A18" s="74" t="str">
        <f t="shared" si="0"/>
        <v>P0</v>
      </c>
      <c r="B18" s="94" t="str">
        <f>IF($C18="","","6")</f>
        <v/>
      </c>
      <c r="C18" s="84"/>
      <c r="D18" s="85"/>
      <c r="E18" s="24"/>
    </row>
    <row r="19" spans="1:6" ht="14.25" x14ac:dyDescent="0.2">
      <c r="A19" s="74" t="str">
        <f t="shared" si="0"/>
        <v>P0</v>
      </c>
      <c r="B19" s="94" t="str">
        <f>IF($C19="","","7")</f>
        <v/>
      </c>
      <c r="C19" s="84"/>
      <c r="D19" s="85"/>
      <c r="E19" s="24"/>
    </row>
    <row r="20" spans="1:6" ht="14.25" x14ac:dyDescent="0.2">
      <c r="A20" s="74" t="str">
        <f t="shared" si="0"/>
        <v>P0</v>
      </c>
      <c r="B20" s="94" t="str">
        <f>IF($C20="","","8")</f>
        <v/>
      </c>
      <c r="C20" s="84"/>
      <c r="D20" s="85"/>
      <c r="E20" s="24"/>
    </row>
    <row r="21" spans="1:6" ht="14.25" x14ac:dyDescent="0.2">
      <c r="A21" s="74" t="str">
        <f t="shared" si="0"/>
        <v>P0</v>
      </c>
      <c r="B21" s="94" t="str">
        <f>IF($C21="","","9")</f>
        <v/>
      </c>
      <c r="C21" s="84"/>
      <c r="D21" s="85"/>
      <c r="E21" s="24"/>
    </row>
    <row r="22" spans="1:6" ht="14.25" x14ac:dyDescent="0.2">
      <c r="A22" s="74" t="str">
        <f>CONCATENATE("P",B22)</f>
        <v>P</v>
      </c>
      <c r="B22" s="94" t="str">
        <f>IF($C22="","","10")</f>
        <v/>
      </c>
      <c r="C22" s="84"/>
      <c r="D22" s="85"/>
      <c r="E22" s="24"/>
    </row>
    <row r="23" spans="1:6" ht="14.25" x14ac:dyDescent="0.2">
      <c r="A23" s="74" t="str">
        <f t="shared" ref="A23:A37" si="1">CONCATENATE("P",B23)</f>
        <v>P</v>
      </c>
      <c r="B23" s="94" t="str">
        <f>IF($C23="","","11")</f>
        <v/>
      </c>
      <c r="C23" s="84"/>
      <c r="D23" s="85"/>
      <c r="E23" s="24"/>
    </row>
    <row r="24" spans="1:6" ht="14.25" x14ac:dyDescent="0.2">
      <c r="A24" s="74" t="str">
        <f t="shared" si="1"/>
        <v>P</v>
      </c>
      <c r="B24" s="94" t="str">
        <f>IF($C24="","","12")</f>
        <v/>
      </c>
      <c r="C24" s="84"/>
      <c r="D24" s="85"/>
      <c r="E24" s="24"/>
    </row>
    <row r="25" spans="1:6" s="27" customFormat="1" ht="14.25" x14ac:dyDescent="0.2">
      <c r="A25" s="74" t="str">
        <f t="shared" si="1"/>
        <v>P</v>
      </c>
      <c r="B25" s="94" t="str">
        <f>IF($C25="","","13")</f>
        <v/>
      </c>
      <c r="C25" s="84"/>
      <c r="D25" s="85"/>
      <c r="E25" s="24"/>
      <c r="F25" s="26"/>
    </row>
    <row r="26" spans="1:6" s="27" customFormat="1" ht="14.25" x14ac:dyDescent="0.2">
      <c r="A26" s="74" t="str">
        <f t="shared" si="1"/>
        <v>P</v>
      </c>
      <c r="B26" s="94" t="str">
        <f>IF($C26="","","14")</f>
        <v/>
      </c>
      <c r="C26" s="84"/>
      <c r="D26" s="85"/>
      <c r="E26" s="24"/>
      <c r="F26" s="26"/>
    </row>
    <row r="27" spans="1:6" s="27" customFormat="1" ht="14.25" x14ac:dyDescent="0.2">
      <c r="A27" s="74" t="str">
        <f t="shared" si="1"/>
        <v>P</v>
      </c>
      <c r="B27" s="94" t="str">
        <f>IF($C27="","","15")</f>
        <v/>
      </c>
      <c r="C27" s="84"/>
      <c r="D27" s="85"/>
      <c r="E27" s="24"/>
      <c r="F27" s="26"/>
    </row>
    <row r="28" spans="1:6" s="27" customFormat="1" ht="14.25" x14ac:dyDescent="0.2">
      <c r="A28" s="74" t="str">
        <f t="shared" si="1"/>
        <v>P</v>
      </c>
      <c r="B28" s="94" t="str">
        <f>IF($C28="","","16")</f>
        <v/>
      </c>
      <c r="C28" s="84"/>
      <c r="D28" s="85"/>
      <c r="E28" s="24"/>
      <c r="F28" s="26"/>
    </row>
    <row r="29" spans="1:6" ht="14.25" x14ac:dyDescent="0.2">
      <c r="A29" s="74" t="str">
        <f t="shared" si="1"/>
        <v>P</v>
      </c>
      <c r="B29" s="94" t="str">
        <f>IF($C29="","","17")</f>
        <v/>
      </c>
      <c r="C29" s="84"/>
      <c r="D29" s="85"/>
      <c r="E29" s="24"/>
    </row>
    <row r="30" spans="1:6" ht="14.25" x14ac:dyDescent="0.2">
      <c r="A30" s="74" t="str">
        <f t="shared" si="1"/>
        <v>P</v>
      </c>
      <c r="B30" s="94" t="str">
        <f>IF($C30="","","18")</f>
        <v/>
      </c>
      <c r="C30" s="84"/>
      <c r="D30" s="85"/>
      <c r="E30" s="24"/>
    </row>
    <row r="31" spans="1:6" ht="14.25" x14ac:dyDescent="0.2">
      <c r="A31" s="74" t="str">
        <f t="shared" si="1"/>
        <v>P</v>
      </c>
      <c r="B31" s="94" t="str">
        <f>IF($C31="","","19")</f>
        <v/>
      </c>
      <c r="C31" s="84"/>
      <c r="D31" s="85"/>
      <c r="E31" s="24"/>
    </row>
    <row r="32" spans="1:6" ht="14.25" x14ac:dyDescent="0.2">
      <c r="A32" s="74" t="str">
        <f t="shared" si="1"/>
        <v>P</v>
      </c>
      <c r="B32" s="94" t="str">
        <f>IF($C32="","","20")</f>
        <v/>
      </c>
      <c r="C32" s="84"/>
      <c r="D32" s="85"/>
      <c r="E32" s="24"/>
    </row>
    <row r="33" spans="1:6" ht="14.25" x14ac:dyDescent="0.2">
      <c r="A33" s="74" t="str">
        <f t="shared" si="1"/>
        <v>P</v>
      </c>
      <c r="B33" s="94" t="str">
        <f>IF($C33="","","21")</f>
        <v/>
      </c>
      <c r="C33" s="84"/>
      <c r="D33" s="85"/>
      <c r="E33" s="24"/>
      <c r="F33" s="2"/>
    </row>
    <row r="34" spans="1:6" ht="14.25" x14ac:dyDescent="0.2">
      <c r="A34" s="74" t="str">
        <f t="shared" si="1"/>
        <v>P</v>
      </c>
      <c r="B34" s="94" t="str">
        <f>IF($C34="","","22")</f>
        <v/>
      </c>
      <c r="C34" s="84"/>
      <c r="D34" s="85"/>
      <c r="E34" s="24"/>
      <c r="F34" s="2"/>
    </row>
    <row r="35" spans="1:6" ht="14.25" x14ac:dyDescent="0.2">
      <c r="A35" s="74" t="str">
        <f t="shared" si="1"/>
        <v>P</v>
      </c>
      <c r="B35" s="94" t="str">
        <f>IF($C35="","","23")</f>
        <v/>
      </c>
      <c r="C35" s="84"/>
      <c r="D35" s="85"/>
      <c r="E35" s="24"/>
      <c r="F35" s="2"/>
    </row>
    <row r="36" spans="1:6" ht="14.25" x14ac:dyDescent="0.2">
      <c r="A36" s="74" t="str">
        <f t="shared" si="1"/>
        <v>P</v>
      </c>
      <c r="B36" s="94" t="str">
        <f>IF($C36="","","24")</f>
        <v/>
      </c>
      <c r="C36" s="84"/>
      <c r="D36" s="85"/>
      <c r="E36" s="24"/>
      <c r="F36" s="2"/>
    </row>
    <row r="37" spans="1:6" ht="14.25" x14ac:dyDescent="0.2">
      <c r="A37" s="74" t="str">
        <f t="shared" si="1"/>
        <v>P</v>
      </c>
      <c r="B37" s="94" t="str">
        <f>IF($C37="","","25")</f>
        <v/>
      </c>
      <c r="C37" s="84"/>
      <c r="D37" s="85"/>
      <c r="E37" s="86"/>
      <c r="F37" s="2"/>
    </row>
    <row r="38" spans="1:6" x14ac:dyDescent="0.2">
      <c r="B38" s="28"/>
      <c r="C38" s="28"/>
      <c r="D38" s="28"/>
      <c r="E38" s="28"/>
      <c r="F38" s="2"/>
    </row>
    <row r="39" spans="1:6" x14ac:dyDescent="0.2">
      <c r="B39" s="28"/>
      <c r="C39" s="28"/>
      <c r="D39" s="28"/>
      <c r="E39" s="28"/>
      <c r="F39" s="2"/>
    </row>
    <row r="40" spans="1:6" x14ac:dyDescent="0.2">
      <c r="B40" s="28"/>
      <c r="C40" s="28"/>
      <c r="D40" s="28"/>
      <c r="E40" s="28"/>
      <c r="F40" s="2"/>
    </row>
    <row r="41" spans="1:6" x14ac:dyDescent="0.2">
      <c r="B41" s="28"/>
      <c r="C41" s="28"/>
      <c r="D41" s="28"/>
      <c r="E41" s="28"/>
      <c r="F41" s="2"/>
    </row>
    <row r="42" spans="1:6" ht="21.6" customHeight="1" x14ac:dyDescent="0.2">
      <c r="B42" s="28"/>
      <c r="C42" s="28"/>
      <c r="D42" s="28"/>
      <c r="E42" s="28"/>
      <c r="F42" s="2"/>
    </row>
    <row r="43" spans="1:6" x14ac:dyDescent="0.2">
      <c r="B43" s="28"/>
      <c r="C43" s="28"/>
      <c r="D43" s="28"/>
      <c r="E43" s="28"/>
      <c r="F43" s="2"/>
    </row>
    <row r="44" spans="1:6" ht="21" customHeight="1" x14ac:dyDescent="0.2">
      <c r="B44" s="28"/>
      <c r="C44" s="28"/>
      <c r="D44" s="28"/>
      <c r="E44" s="28"/>
      <c r="F44" s="2"/>
    </row>
    <row r="45" spans="1:6" ht="31.9" customHeight="1" x14ac:dyDescent="0.2">
      <c r="B45" s="28"/>
      <c r="C45" s="28"/>
      <c r="D45" s="28"/>
      <c r="E45" s="28"/>
      <c r="F45" s="2"/>
    </row>
    <row r="46" spans="1:6" x14ac:dyDescent="0.2">
      <c r="B46" s="28"/>
      <c r="C46" s="28"/>
      <c r="D46" s="28"/>
      <c r="E46" s="28"/>
      <c r="F46" s="2"/>
    </row>
    <row r="47" spans="1:6" ht="23.45" customHeight="1" x14ac:dyDescent="0.2">
      <c r="B47" s="28"/>
      <c r="C47" s="28"/>
      <c r="D47" s="28"/>
      <c r="E47" s="28"/>
      <c r="F47" s="2"/>
    </row>
    <row r="48" spans="1:6" ht="59.45" customHeight="1" x14ac:dyDescent="0.2">
      <c r="B48" s="28"/>
      <c r="C48" s="28"/>
      <c r="D48" s="28"/>
      <c r="E48" s="28"/>
    </row>
    <row r="49" spans="2:6" ht="19.149999999999999" customHeight="1" x14ac:dyDescent="0.2">
      <c r="B49" s="28"/>
      <c r="C49" s="28"/>
      <c r="D49" s="28"/>
      <c r="E49" s="28"/>
    </row>
    <row r="50" spans="2:6" ht="15.6" customHeight="1" x14ac:dyDescent="0.2">
      <c r="B50" s="28"/>
      <c r="C50" s="28"/>
      <c r="D50" s="28"/>
      <c r="E50" s="28"/>
    </row>
    <row r="51" spans="2:6" ht="18.75" customHeight="1" x14ac:dyDescent="0.2">
      <c r="B51" s="28"/>
      <c r="C51" s="28"/>
      <c r="D51" s="28"/>
      <c r="E51" s="28"/>
    </row>
    <row r="52" spans="2:6" x14ac:dyDescent="0.2">
      <c r="B52" s="28"/>
      <c r="C52" s="28"/>
      <c r="D52" s="28"/>
      <c r="E52" s="28"/>
    </row>
    <row r="53" spans="2:6" x14ac:dyDescent="0.2">
      <c r="B53" s="28"/>
      <c r="C53" s="28"/>
      <c r="D53" s="28"/>
      <c r="E53" s="28"/>
    </row>
    <row r="54" spans="2:6" x14ac:dyDescent="0.2">
      <c r="B54" s="28"/>
      <c r="C54" s="28"/>
      <c r="D54" s="28"/>
      <c r="E54" s="28"/>
    </row>
    <row r="55" spans="2:6" x14ac:dyDescent="0.2">
      <c r="B55" s="28"/>
      <c r="C55" s="28"/>
      <c r="D55" s="28"/>
      <c r="E55" s="28"/>
    </row>
    <row r="56" spans="2:6" ht="30.75" customHeight="1" x14ac:dyDescent="0.2">
      <c r="B56" s="28"/>
      <c r="C56" s="28"/>
      <c r="D56" s="28"/>
      <c r="E56" s="28"/>
    </row>
    <row r="57" spans="2:6" x14ac:dyDescent="0.2">
      <c r="B57" s="28"/>
      <c r="C57" s="28"/>
      <c r="D57" s="28"/>
      <c r="E57" s="28"/>
    </row>
    <row r="58" spans="2:6" s="27" customFormat="1" x14ac:dyDescent="0.2">
      <c r="B58" s="29"/>
      <c r="C58" s="30"/>
      <c r="F58" s="26"/>
    </row>
    <row r="59" spans="2:6" s="27" customFormat="1" x14ac:dyDescent="0.2">
      <c r="B59" s="29"/>
      <c r="C59" s="30"/>
      <c r="F59" s="26"/>
    </row>
  </sheetData>
  <sheetProtection password="CD2B" sheet="1" objects="1" scenarios="1"/>
  <mergeCells count="6">
    <mergeCell ref="C10:D10"/>
    <mergeCell ref="B2:E2"/>
    <mergeCell ref="C5:D5"/>
    <mergeCell ref="C6:D6"/>
    <mergeCell ref="B1:D1"/>
    <mergeCell ref="B3:E3"/>
  </mergeCells>
  <conditionalFormatting sqref="E13:E37">
    <cfRule type="expression" dxfId="28" priority="32" stopIfTrue="1">
      <formula>OR(#REF!=FALSE,#REF!=FALSE)</formula>
    </cfRule>
  </conditionalFormatting>
  <conditionalFormatting sqref="D8">
    <cfRule type="notContainsBlanks" dxfId="27" priority="37" stopIfTrue="1">
      <formula>LEN(TRIM(D8))&gt;0</formula>
    </cfRule>
  </conditionalFormatting>
  <conditionalFormatting sqref="C6:D6">
    <cfRule type="notContainsBlanks" dxfId="26" priority="36" stopIfTrue="1">
      <formula>LEN(TRIM(C6))&gt;0</formula>
    </cfRule>
  </conditionalFormatting>
  <conditionalFormatting sqref="B13:D37">
    <cfRule type="expression" dxfId="25" priority="29" stopIfTrue="1">
      <formula>$D$8=""</formula>
    </cfRule>
    <cfRule type="notContainsBlanks" dxfId="24" priority="39" stopIfTrue="1">
      <formula>LEN(TRIM(B13))&gt;0</formula>
    </cfRule>
  </conditionalFormatting>
  <conditionalFormatting sqref="B14:D14 B16:D16 B18:D18 B20:D20 B22:D22 B24:D24 B26:D26 B28:D28 B30:D30 B32:D32 B34:D34 B36:D36">
    <cfRule type="expression" dxfId="23" priority="28" stopIfTrue="1">
      <formula>$D$8&lt;2</formula>
    </cfRule>
  </conditionalFormatting>
  <conditionalFormatting sqref="B15:D15 B17:D17 B19:D19 B21:D21 B23:D23 B25:D25 B27:D27 B29:D29 B31:D31 B33:D33 B35:D35 C37:D37">
    <cfRule type="expression" dxfId="22" priority="27" stopIfTrue="1">
      <formula>$D$8&lt;3</formula>
    </cfRule>
  </conditionalFormatting>
  <conditionalFormatting sqref="B16:D16">
    <cfRule type="expression" dxfId="21" priority="26" stopIfTrue="1">
      <formula>$D$8&lt;4</formula>
    </cfRule>
  </conditionalFormatting>
  <conditionalFormatting sqref="B17:D17">
    <cfRule type="expression" dxfId="20" priority="25" stopIfTrue="1">
      <formula>$D$8&lt;5</formula>
    </cfRule>
  </conditionalFormatting>
  <conditionalFormatting sqref="B18:D18">
    <cfRule type="expression" dxfId="19" priority="24" stopIfTrue="1">
      <formula>$D$8&lt;6</formula>
    </cfRule>
  </conditionalFormatting>
  <conditionalFormatting sqref="B19:D19">
    <cfRule type="expression" dxfId="18" priority="23" stopIfTrue="1">
      <formula>$D$8&lt;7</formula>
    </cfRule>
  </conditionalFormatting>
  <conditionalFormatting sqref="B20:D20">
    <cfRule type="expression" dxfId="17" priority="22" stopIfTrue="1">
      <formula>$D$8&lt;8</formula>
    </cfRule>
  </conditionalFormatting>
  <conditionalFormatting sqref="B21:D21">
    <cfRule type="expression" dxfId="16" priority="20" stopIfTrue="1">
      <formula>$D$8&lt;9</formula>
    </cfRule>
  </conditionalFormatting>
  <conditionalFormatting sqref="B22:D22">
    <cfRule type="expression" dxfId="15" priority="18" stopIfTrue="1">
      <formula>$D$8&lt;10</formula>
    </cfRule>
  </conditionalFormatting>
  <conditionalFormatting sqref="B23:D23">
    <cfRule type="expression" dxfId="14" priority="16" stopIfTrue="1">
      <formula>$D$8&lt;11</formula>
    </cfRule>
  </conditionalFormatting>
  <conditionalFormatting sqref="B24:D24">
    <cfRule type="expression" dxfId="13" priority="15" stopIfTrue="1">
      <formula>$D$8&lt;12</formula>
    </cfRule>
  </conditionalFormatting>
  <conditionalFormatting sqref="B25:D25">
    <cfRule type="expression" dxfId="12" priority="14" stopIfTrue="1">
      <formula>$D$8&lt;13</formula>
    </cfRule>
  </conditionalFormatting>
  <conditionalFormatting sqref="B26:D26">
    <cfRule type="expression" dxfId="11" priority="13" stopIfTrue="1">
      <formula>$D$8&lt;14</formula>
    </cfRule>
  </conditionalFormatting>
  <conditionalFormatting sqref="B27:D27">
    <cfRule type="expression" dxfId="10" priority="11" stopIfTrue="1">
      <formula>$D$8&lt;15</formula>
    </cfRule>
  </conditionalFormatting>
  <conditionalFormatting sqref="B28:D28">
    <cfRule type="expression" dxfId="9" priority="10" stopIfTrue="1">
      <formula>$D$8&lt;16</formula>
    </cfRule>
  </conditionalFormatting>
  <conditionalFormatting sqref="B29:D29">
    <cfRule type="expression" dxfId="8" priority="9" stopIfTrue="1">
      <formula>$D$8&lt;17</formula>
    </cfRule>
  </conditionalFormatting>
  <conditionalFormatting sqref="B30:D30">
    <cfRule type="expression" dxfId="7" priority="8" stopIfTrue="1">
      <formula>$D$8&lt;18</formula>
    </cfRule>
  </conditionalFormatting>
  <conditionalFormatting sqref="B31:D31">
    <cfRule type="expression" dxfId="6" priority="7" stopIfTrue="1">
      <formula>$D$8&lt;19</formula>
    </cfRule>
  </conditionalFormatting>
  <conditionalFormatting sqref="B32:D32">
    <cfRule type="expression" dxfId="5" priority="6" stopIfTrue="1">
      <formula>$D$8&lt;20</formula>
    </cfRule>
  </conditionalFormatting>
  <conditionalFormatting sqref="B33:D33">
    <cfRule type="expression" dxfId="4" priority="5" stopIfTrue="1">
      <formula>$D$8&lt;21</formula>
    </cfRule>
  </conditionalFormatting>
  <conditionalFormatting sqref="B34:D34">
    <cfRule type="expression" dxfId="3" priority="4" stopIfTrue="1">
      <formula>$D$8&lt;22</formula>
    </cfRule>
  </conditionalFormatting>
  <conditionalFormatting sqref="B35:D35">
    <cfRule type="expression" dxfId="2" priority="3" stopIfTrue="1">
      <formula>$D$8&lt;23</formula>
    </cfRule>
  </conditionalFormatting>
  <conditionalFormatting sqref="B36:D36">
    <cfRule type="expression" dxfId="1" priority="2" stopIfTrue="1">
      <formula>$D$8&lt;24</formula>
    </cfRule>
  </conditionalFormatting>
  <conditionalFormatting sqref="B37:D37">
    <cfRule type="expression" dxfId="0" priority="1" stopIfTrue="1">
      <formula>$D$8&lt;25</formula>
    </cfRule>
  </conditionalFormatting>
  <pageMargins left="0.70866141732283472" right="0.70866141732283472" top="0.74803149606299213" bottom="0.74803149606299213" header="0.31496062992125984" footer="0.31496062992125984"/>
  <pageSetup paperSize="9" scale="70" orientation="portrait" r:id="rId1"/>
  <headerFooter>
    <oddFooter>&amp;LAnnexes_cover_&amp;P</oddFooter>
  </headerFooter>
  <colBreaks count="1" manualBreakCount="1">
    <brk id="1" max="3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G22"/>
  <sheetViews>
    <sheetView zoomScale="80" zoomScaleNormal="80" workbookViewId="0">
      <selection activeCell="R31" sqref="R31"/>
    </sheetView>
  </sheetViews>
  <sheetFormatPr defaultRowHeight="30" customHeight="1" x14ac:dyDescent="0.2"/>
  <cols>
    <col min="1" max="1" width="6" style="62" customWidth="1"/>
    <col min="2" max="2" width="37.85546875" style="72" customWidth="1"/>
    <col min="3" max="3" width="14.85546875" style="47" customWidth="1"/>
    <col min="4" max="4" width="12.85546875" style="62" customWidth="1"/>
    <col min="5" max="5" width="11.42578125" style="47" customWidth="1"/>
    <col min="6" max="13" width="11.140625" style="47" customWidth="1"/>
    <col min="14" max="14" width="13.42578125" style="47" customWidth="1"/>
    <col min="15" max="29" width="11.140625" style="47" customWidth="1"/>
    <col min="30" max="30" width="2.28515625" style="47" customWidth="1"/>
    <col min="31" max="31" width="0" style="73" hidden="1" customWidth="1"/>
    <col min="32" max="32" width="2.42578125" style="47" hidden="1" customWidth="1"/>
    <col min="33" max="33" width="0" style="47" hidden="1" customWidth="1"/>
    <col min="34" max="16384" width="9.140625" style="47"/>
  </cols>
  <sheetData>
    <row r="1" spans="1:33" ht="46.5" customHeight="1" x14ac:dyDescent="0.2">
      <c r="A1" s="170" t="s">
        <v>66</v>
      </c>
      <c r="B1" s="171"/>
      <c r="D1" s="47"/>
    </row>
    <row r="2" spans="1:33" ht="18" customHeight="1" x14ac:dyDescent="0.2"/>
    <row r="3" spans="1:33" s="62" customFormat="1" ht="25.5" hidden="1" customHeight="1" x14ac:dyDescent="0.2">
      <c r="A3" s="57"/>
      <c r="B3" s="58"/>
      <c r="C3" s="59" t="s">
        <v>7</v>
      </c>
      <c r="D3" s="60">
        <v>16</v>
      </c>
      <c r="E3" s="61">
        <v>1</v>
      </c>
      <c r="F3" s="61">
        <v>2</v>
      </c>
      <c r="G3" s="61">
        <v>3</v>
      </c>
      <c r="H3" s="61">
        <v>4</v>
      </c>
      <c r="I3" s="61">
        <v>5</v>
      </c>
      <c r="J3" s="61">
        <v>6</v>
      </c>
      <c r="K3" s="61">
        <v>7</v>
      </c>
      <c r="L3" s="61">
        <v>8</v>
      </c>
      <c r="M3" s="61">
        <v>9</v>
      </c>
      <c r="N3" s="61">
        <v>10</v>
      </c>
      <c r="O3" s="61">
        <v>11</v>
      </c>
      <c r="P3" s="61">
        <v>12</v>
      </c>
      <c r="Q3" s="61">
        <v>13</v>
      </c>
      <c r="R3" s="61">
        <v>14</v>
      </c>
      <c r="S3" s="61">
        <v>15</v>
      </c>
      <c r="T3" s="61">
        <v>16</v>
      </c>
      <c r="U3" s="61">
        <v>17</v>
      </c>
      <c r="V3" s="61">
        <v>18</v>
      </c>
      <c r="W3" s="61">
        <v>19</v>
      </c>
      <c r="X3" s="61">
        <v>20</v>
      </c>
      <c r="Y3" s="61">
        <v>21</v>
      </c>
      <c r="Z3" s="61">
        <v>22</v>
      </c>
      <c r="AA3" s="61"/>
      <c r="AB3" s="61"/>
      <c r="AC3" s="57">
        <v>23</v>
      </c>
      <c r="AE3" s="63"/>
    </row>
    <row r="4" spans="1:33" s="40" customFormat="1" ht="30" customHeight="1" x14ac:dyDescent="0.2">
      <c r="A4" s="38" t="s">
        <v>23</v>
      </c>
      <c r="B4" s="39" t="s">
        <v>24</v>
      </c>
      <c r="C4" s="34" t="s">
        <v>25</v>
      </c>
      <c r="D4" s="34" t="str">
        <f>CONCATENATE("Consortium  ",Read_Me_First!C6)</f>
        <v xml:space="preserve">Consortium  </v>
      </c>
      <c r="E4" s="93" t="str">
        <f>+IF(Read_Me_First!$B13="","",CONCATENATE(Read_Me_First!$A13,"-",Read_Me_First!$D13))</f>
        <v/>
      </c>
      <c r="F4" s="93" t="str">
        <f>+IF(Read_Me_First!$B14="","",CONCATENATE(Read_Me_First!$A14,"-",Read_Me_First!$D14))</f>
        <v/>
      </c>
      <c r="G4" s="93" t="str">
        <f>+IF(Read_Me_First!$B15="","",CONCATENATE(Read_Me_First!$A15,"-",Read_Me_First!$D15))</f>
        <v/>
      </c>
      <c r="H4" s="93" t="str">
        <f>+IF(Read_Me_First!$B16="","",CONCATENATE(Read_Me_First!$A16,"-",Read_Me_First!$D16))</f>
        <v/>
      </c>
      <c r="I4" s="93" t="str">
        <f>+IF(Read_Me_First!$B17="","",CONCATENATE(Read_Me_First!$A17,"-",Read_Me_First!$D17))</f>
        <v/>
      </c>
      <c r="J4" s="93" t="str">
        <f>+IF(Read_Me_First!$B18="","",CONCATENATE(Read_Me_First!$A18,"-",Read_Me_First!$D18))</f>
        <v/>
      </c>
      <c r="K4" s="93" t="str">
        <f>+IF(Read_Me_First!$B19="","",CONCATENATE(Read_Me_First!$A19,"-",Read_Me_First!$D19))</f>
        <v/>
      </c>
      <c r="L4" s="93" t="str">
        <f>+IF(Read_Me_First!$B20="","",CONCATENATE(Read_Me_First!$A20,"-",Read_Me_First!$D20))</f>
        <v/>
      </c>
      <c r="M4" s="93" t="str">
        <f>+IF(Read_Me_First!$B21="","",CONCATENATE(Read_Me_First!$A21,"-",Read_Me_First!$D21))</f>
        <v/>
      </c>
      <c r="N4" s="93" t="str">
        <f>+IF(Read_Me_First!$B22="","",CONCATENATE(Read_Me_First!$A22,"-",Read_Me_First!$D22))</f>
        <v/>
      </c>
      <c r="O4" s="93" t="str">
        <f>+IF(Read_Me_First!$B23="","",CONCATENATE(Read_Me_First!$A23,"-",Read_Me_First!$D23))</f>
        <v/>
      </c>
      <c r="P4" s="93" t="str">
        <f>+IF(Read_Me_First!$B24="","",CONCATENATE(Read_Me_First!$A24,"-",Read_Me_First!$D24))</f>
        <v/>
      </c>
      <c r="Q4" s="93" t="str">
        <f>+IF(Read_Me_First!$B25="","",CONCATENATE(Read_Me_First!$A25,"-",Read_Me_First!$D25))</f>
        <v/>
      </c>
      <c r="R4" s="93" t="str">
        <f>+IF(Read_Me_First!$B26="","",CONCATENATE(Read_Me_First!$A26,"-",Read_Me_First!$D26))</f>
        <v/>
      </c>
      <c r="S4" s="93" t="str">
        <f>+IF(Read_Me_First!$B27="","",CONCATENATE(Read_Me_First!$A27,"-",Read_Me_First!$D27))</f>
        <v/>
      </c>
      <c r="T4" s="93" t="str">
        <f>+IF(Read_Me_First!$B28="","",CONCATENATE(Read_Me_First!$A28,"-",Read_Me_First!$D28))</f>
        <v/>
      </c>
      <c r="U4" s="93" t="str">
        <f>+IF(Read_Me_First!$B29="","",CONCATENATE(Read_Me_First!$A29,"-",Read_Me_First!$D29))</f>
        <v/>
      </c>
      <c r="V4" s="93" t="str">
        <f>+IF(Read_Me_First!$B30="","",CONCATENATE(Read_Me_First!$A30,"-",Read_Me_First!$D30))</f>
        <v/>
      </c>
      <c r="W4" s="93" t="str">
        <f>+IF(Read_Me_First!$B31="","",CONCATENATE(Read_Me_First!$A31,"-",Read_Me_First!$D31))</f>
        <v/>
      </c>
      <c r="X4" s="93" t="str">
        <f>+IF(Read_Me_First!$B32="","",CONCATENATE(Read_Me_First!$A32,"-",Read_Me_First!$D32))</f>
        <v/>
      </c>
      <c r="Y4" s="93" t="str">
        <f>+IF(Read_Me_First!$B33="","",CONCATENATE(Read_Me_First!$A33,"-",Read_Me_First!$D33))</f>
        <v/>
      </c>
      <c r="Z4" s="93" t="str">
        <f>+IF(Read_Me_First!$B34="","",CONCATENATE(Read_Me_First!$A34,"-",Read_Me_First!$D34))</f>
        <v/>
      </c>
      <c r="AA4" s="93" t="str">
        <f>+IF(Read_Me_First!$B35="","",CONCATENATE(Read_Me_First!$A35,"-",Read_Me_First!$D35))</f>
        <v/>
      </c>
      <c r="AB4" s="93" t="str">
        <f>+IF(Read_Me_First!$B36="","",CONCATENATE(Read_Me_First!$A36,"-",Read_Me_First!$D36))</f>
        <v/>
      </c>
      <c r="AC4" s="93" t="str">
        <f>+IF(Read_Me_First!$B37="","",CONCATENATE(Read_Me_First!$A37,"-",Read_Me_First!$D37))</f>
        <v/>
      </c>
      <c r="AE4" s="41"/>
      <c r="AF4" s="42"/>
      <c r="AG4" s="42"/>
    </row>
    <row r="5" spans="1:33" ht="24" customHeight="1" x14ac:dyDescent="0.2">
      <c r="A5" s="44" t="s">
        <v>26</v>
      </c>
      <c r="B5" s="45" t="s">
        <v>27</v>
      </c>
      <c r="C5" s="46" t="s">
        <v>28</v>
      </c>
      <c r="D5" s="120"/>
      <c r="E5" s="75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88"/>
      <c r="AB5" s="88"/>
      <c r="AC5" s="77"/>
      <c r="AE5" s="48"/>
      <c r="AF5" s="49"/>
      <c r="AG5" s="49"/>
    </row>
    <row r="6" spans="1:33" ht="24" customHeight="1" x14ac:dyDescent="0.2">
      <c r="A6" s="50" t="s">
        <v>29</v>
      </c>
      <c r="B6" s="51" t="s">
        <v>30</v>
      </c>
      <c r="C6" s="52" t="s">
        <v>14</v>
      </c>
      <c r="D6" s="121"/>
      <c r="E6" s="78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89"/>
      <c r="AB6" s="89"/>
      <c r="AC6" s="80"/>
      <c r="AE6" s="48"/>
      <c r="AF6" s="49"/>
      <c r="AG6" s="49"/>
    </row>
    <row r="7" spans="1:33" ht="24" customHeight="1" x14ac:dyDescent="0.2">
      <c r="A7" s="50" t="s">
        <v>31</v>
      </c>
      <c r="B7" s="51" t="s">
        <v>56</v>
      </c>
      <c r="C7" s="52" t="s">
        <v>14</v>
      </c>
      <c r="D7" s="121"/>
      <c r="E7" s="78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89"/>
      <c r="AB7" s="89"/>
      <c r="AC7" s="80"/>
      <c r="AE7" s="48"/>
      <c r="AF7" s="49"/>
      <c r="AG7" s="49"/>
    </row>
    <row r="8" spans="1:33" ht="24" customHeight="1" x14ac:dyDescent="0.2">
      <c r="A8" s="50" t="s">
        <v>32</v>
      </c>
      <c r="B8" s="51" t="s">
        <v>33</v>
      </c>
      <c r="C8" s="52" t="s">
        <v>14</v>
      </c>
      <c r="D8" s="121"/>
      <c r="E8" s="78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89"/>
      <c r="AB8" s="89"/>
      <c r="AC8" s="80"/>
      <c r="AE8" s="48"/>
      <c r="AF8" s="49"/>
      <c r="AG8" s="49"/>
    </row>
    <row r="9" spans="1:33" ht="24" customHeight="1" x14ac:dyDescent="0.2">
      <c r="A9" s="50" t="s">
        <v>34</v>
      </c>
      <c r="B9" s="51" t="s">
        <v>57</v>
      </c>
      <c r="C9" s="52" t="s">
        <v>14</v>
      </c>
      <c r="D9" s="121"/>
      <c r="E9" s="7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89"/>
      <c r="AB9" s="89"/>
      <c r="AC9" s="80"/>
      <c r="AE9" s="48"/>
      <c r="AF9" s="49"/>
      <c r="AG9" s="49"/>
    </row>
    <row r="10" spans="1:33" ht="24" customHeight="1" x14ac:dyDescent="0.2">
      <c r="A10" s="50" t="s">
        <v>35</v>
      </c>
      <c r="B10" s="51" t="s">
        <v>36</v>
      </c>
      <c r="C10" s="52" t="s">
        <v>14</v>
      </c>
      <c r="D10" s="121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89"/>
      <c r="AB10" s="89"/>
      <c r="AC10" s="80"/>
      <c r="AE10" s="48"/>
      <c r="AF10" s="49"/>
      <c r="AG10" s="49"/>
    </row>
    <row r="11" spans="1:33" ht="24" customHeight="1" x14ac:dyDescent="0.2">
      <c r="A11" s="50" t="s">
        <v>37</v>
      </c>
      <c r="B11" s="51" t="s">
        <v>38</v>
      </c>
      <c r="C11" s="52" t="s">
        <v>14</v>
      </c>
      <c r="D11" s="121"/>
      <c r="E11" s="78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9"/>
      <c r="AB11" s="89"/>
      <c r="AC11" s="80"/>
      <c r="AE11" s="48"/>
      <c r="AF11" s="49"/>
      <c r="AG11" s="49"/>
    </row>
    <row r="12" spans="1:33" ht="24" customHeight="1" x14ac:dyDescent="0.2">
      <c r="A12" s="50" t="s">
        <v>39</v>
      </c>
      <c r="B12" s="53" t="s">
        <v>40</v>
      </c>
      <c r="C12" s="52" t="s">
        <v>14</v>
      </c>
      <c r="D12" s="121"/>
      <c r="E12" s="78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9"/>
      <c r="AB12" s="89"/>
      <c r="AC12" s="80"/>
      <c r="AE12" s="48"/>
      <c r="AF12" s="49"/>
      <c r="AG12" s="49"/>
    </row>
    <row r="13" spans="1:33" ht="24" customHeight="1" x14ac:dyDescent="0.2">
      <c r="A13" s="50" t="s">
        <v>41</v>
      </c>
      <c r="B13" s="51" t="s">
        <v>42</v>
      </c>
      <c r="C13" s="52" t="s">
        <v>14</v>
      </c>
      <c r="D13" s="121"/>
      <c r="E13" s="78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89"/>
      <c r="AB13" s="89"/>
      <c r="AC13" s="80"/>
      <c r="AE13" s="48"/>
      <c r="AF13" s="49"/>
      <c r="AG13" s="49"/>
    </row>
    <row r="14" spans="1:33" ht="24" customHeight="1" x14ac:dyDescent="0.2">
      <c r="A14" s="50" t="s">
        <v>43</v>
      </c>
      <c r="B14" s="51" t="s">
        <v>44</v>
      </c>
      <c r="C14" s="52" t="s">
        <v>14</v>
      </c>
      <c r="D14" s="121"/>
      <c r="E14" s="78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89"/>
      <c r="AB14" s="89"/>
      <c r="AC14" s="80"/>
      <c r="AE14" s="48"/>
      <c r="AF14" s="49"/>
      <c r="AG14" s="49"/>
    </row>
    <row r="15" spans="1:33" ht="24" customHeight="1" x14ac:dyDescent="0.2">
      <c r="A15" s="50" t="s">
        <v>45</v>
      </c>
      <c r="B15" s="51" t="s">
        <v>53</v>
      </c>
      <c r="C15" s="52" t="s">
        <v>14</v>
      </c>
      <c r="D15" s="121"/>
      <c r="E15" s="78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89"/>
      <c r="AB15" s="89"/>
      <c r="AC15" s="80"/>
      <c r="AE15" s="48"/>
      <c r="AF15" s="49"/>
      <c r="AG15" s="49"/>
    </row>
    <row r="16" spans="1:33" ht="24" customHeight="1" x14ac:dyDescent="0.2">
      <c r="A16" s="50" t="s">
        <v>46</v>
      </c>
      <c r="B16" s="53" t="s">
        <v>54</v>
      </c>
      <c r="C16" s="52" t="s">
        <v>14</v>
      </c>
      <c r="D16" s="121"/>
      <c r="E16" s="78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89"/>
      <c r="AB16" s="89"/>
      <c r="AC16" s="80"/>
      <c r="AE16" s="48"/>
      <c r="AF16" s="49"/>
      <c r="AG16" s="49"/>
    </row>
    <row r="17" spans="1:33" ht="24" customHeight="1" x14ac:dyDescent="0.2">
      <c r="A17" s="50" t="s">
        <v>47</v>
      </c>
      <c r="B17" s="51" t="s">
        <v>55</v>
      </c>
      <c r="C17" s="52" t="s">
        <v>14</v>
      </c>
      <c r="D17" s="121"/>
      <c r="E17" s="78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89"/>
      <c r="AB17" s="89"/>
      <c r="AC17" s="80"/>
      <c r="AE17" s="48"/>
      <c r="AF17" s="49"/>
      <c r="AG17" s="49"/>
    </row>
    <row r="18" spans="1:33" ht="24" customHeight="1" x14ac:dyDescent="0.2">
      <c r="A18" s="50" t="s">
        <v>48</v>
      </c>
      <c r="B18" s="51" t="s">
        <v>49</v>
      </c>
      <c r="C18" s="52" t="s">
        <v>14</v>
      </c>
      <c r="D18" s="121"/>
      <c r="E18" s="78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89"/>
      <c r="AB18" s="89"/>
      <c r="AC18" s="80"/>
      <c r="AE18" s="48"/>
      <c r="AF18" s="49"/>
      <c r="AG18" s="49"/>
    </row>
    <row r="19" spans="1:33" ht="24" customHeight="1" x14ac:dyDescent="0.2">
      <c r="A19" s="50" t="s">
        <v>50</v>
      </c>
      <c r="B19" s="51" t="s">
        <v>58</v>
      </c>
      <c r="C19" s="52" t="s">
        <v>14</v>
      </c>
      <c r="D19" s="121"/>
      <c r="E19" s="78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89"/>
      <c r="AB19" s="89"/>
      <c r="AC19" s="80"/>
      <c r="AE19" s="48"/>
      <c r="AF19" s="49"/>
      <c r="AG19" s="49"/>
    </row>
    <row r="20" spans="1:33" ht="24" customHeight="1" x14ac:dyDescent="0.2">
      <c r="A20" s="54" t="s">
        <v>51</v>
      </c>
      <c r="B20" s="55" t="s">
        <v>52</v>
      </c>
      <c r="C20" s="56" t="s">
        <v>14</v>
      </c>
      <c r="D20" s="122"/>
      <c r="E20" s="81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90"/>
      <c r="AB20" s="90"/>
      <c r="AC20" s="83"/>
      <c r="AE20" s="48"/>
      <c r="AF20" s="49"/>
      <c r="AG20" s="49"/>
    </row>
    <row r="21" spans="1:33" ht="13.5" customHeight="1" x14ac:dyDescent="0.2">
      <c r="A21" s="66"/>
      <c r="B21" s="64"/>
      <c r="C21" s="65"/>
      <c r="D21" s="67"/>
      <c r="E21" s="68"/>
      <c r="F21" s="68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70"/>
      <c r="AD21" s="71"/>
      <c r="AE21" s="48"/>
      <c r="AF21" s="49"/>
      <c r="AG21" s="49"/>
    </row>
    <row r="22" spans="1:33" ht="30" customHeight="1" x14ac:dyDescent="0.2">
      <c r="AD22" s="71"/>
    </row>
  </sheetData>
  <sheetProtection password="CD2B" sheet="1" objects="1" scenarios="1"/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scale="84" orientation="landscape" r:id="rId1"/>
  <headerFooter>
    <oddHeader>&amp;CCOSME - Enterprise Europe Network - Consortium Work Programme (2015-2016) - Annex 1</oddHeader>
    <oddFooter>&amp;LPES_&amp;P</oddFooter>
  </headerFooter>
  <colBreaks count="3" manualBreakCount="3">
    <brk id="11" max="21" man="1"/>
    <brk id="20" max="21" man="1"/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11"/>
  <sheetViews>
    <sheetView topLeftCell="B1" zoomScale="80" zoomScaleNormal="80" workbookViewId="0">
      <selection activeCell="I18" sqref="I18"/>
    </sheetView>
  </sheetViews>
  <sheetFormatPr defaultRowHeight="24.75" customHeight="1" x14ac:dyDescent="0.2"/>
  <cols>
    <col min="1" max="1" width="3.140625" style="32" hidden="1" customWidth="1"/>
    <col min="2" max="2" width="9.7109375" style="32" customWidth="1"/>
    <col min="3" max="3" width="9.42578125" style="32" customWidth="1"/>
    <col min="4" max="4" width="39.7109375" style="32" customWidth="1"/>
    <col min="5" max="5" width="7.5703125" style="32" customWidth="1"/>
    <col min="6" max="6" width="12.140625" style="32" customWidth="1"/>
    <col min="7" max="7" width="13" style="32" hidden="1" customWidth="1"/>
    <col min="8" max="32" width="10.28515625" style="32" customWidth="1"/>
    <col min="33" max="16384" width="9.140625" style="32"/>
  </cols>
  <sheetData>
    <row r="1" spans="1:32" ht="30.75" customHeight="1" x14ac:dyDescent="0.2">
      <c r="B1" s="174" t="s">
        <v>68</v>
      </c>
      <c r="C1" s="175"/>
      <c r="D1" s="176"/>
    </row>
    <row r="2" spans="1:32" ht="19.5" customHeight="1" x14ac:dyDescent="0.2">
      <c r="A2" s="31"/>
    </row>
    <row r="3" spans="1:32" s="35" customFormat="1" ht="24.75" customHeight="1" x14ac:dyDescent="0.2">
      <c r="A3" s="33" t="s">
        <v>8</v>
      </c>
      <c r="B3" s="95" t="s">
        <v>9</v>
      </c>
      <c r="C3" s="96" t="s">
        <v>10</v>
      </c>
      <c r="D3" s="97" t="s">
        <v>11</v>
      </c>
      <c r="E3" s="98"/>
      <c r="F3" s="98" t="str">
        <f>CONCATENATE("Consortium  ",Read_Me_First!C6)</f>
        <v xml:space="preserve">Consortium  </v>
      </c>
      <c r="G3" s="43"/>
      <c r="H3" s="93" t="str">
        <f>+IF(Read_Me_First!$B13="","",CONCATENATE(Read_Me_First!$A13,"-",Read_Me_First!$D13))</f>
        <v/>
      </c>
      <c r="I3" s="93" t="str">
        <f>+IF(Read_Me_First!$B14="","",CONCATENATE(Read_Me_First!$A14,"-",Read_Me_First!$D14))</f>
        <v/>
      </c>
      <c r="J3" s="93" t="str">
        <f>+IF(Read_Me_First!$B15="","",CONCATENATE(Read_Me_First!$A15,"-",Read_Me_First!$D15))</f>
        <v/>
      </c>
      <c r="K3" s="93" t="str">
        <f>+IF(Read_Me_First!$B16="","",CONCATENATE(Read_Me_First!$A16,"-",Read_Me_First!$D16))</f>
        <v/>
      </c>
      <c r="L3" s="93" t="str">
        <f>+IF(Read_Me_First!$B17="","",CONCATENATE(Read_Me_First!$A17,"-",Read_Me_First!$D17))</f>
        <v/>
      </c>
      <c r="M3" s="93" t="str">
        <f>+IF(Read_Me_First!$B18="","",CONCATENATE(Read_Me_First!$A18,"-",Read_Me_First!$D18))</f>
        <v/>
      </c>
      <c r="N3" s="93" t="str">
        <f>+IF(Read_Me_First!$B19="","",CONCATENATE(Read_Me_First!$A19,"-",Read_Me_First!$D19))</f>
        <v/>
      </c>
      <c r="O3" s="93" t="str">
        <f>+IF(Read_Me_First!$B20="","",CONCATENATE(Read_Me_First!$A20,"-",Read_Me_First!$D20))</f>
        <v/>
      </c>
      <c r="P3" s="93" t="str">
        <f>+IF(Read_Me_First!$B21="","",CONCATENATE(Read_Me_First!$A21,"-",Read_Me_First!$D21))</f>
        <v/>
      </c>
      <c r="Q3" s="93" t="str">
        <f>+IF(Read_Me_First!$B22="","",CONCATENATE(Read_Me_First!$A22,"-",Read_Me_First!$D22))</f>
        <v/>
      </c>
      <c r="R3" s="93" t="str">
        <f>+IF(Read_Me_First!$B23="","",CONCATENATE(Read_Me_First!$A23,"-",Read_Me_First!$D23))</f>
        <v/>
      </c>
      <c r="S3" s="93" t="str">
        <f>+IF(Read_Me_First!$B24="","",CONCATENATE(Read_Me_First!$A24,"-",Read_Me_First!$D24))</f>
        <v/>
      </c>
      <c r="T3" s="93" t="str">
        <f>+IF(Read_Me_First!$B25="","",CONCATENATE(Read_Me_First!$A25,"-",Read_Me_First!$D25))</f>
        <v/>
      </c>
      <c r="U3" s="93" t="str">
        <f>+IF(Read_Me_First!$B26="","",CONCATENATE(Read_Me_First!$A26,"-",Read_Me_First!$D26))</f>
        <v/>
      </c>
      <c r="V3" s="93" t="str">
        <f>+IF(Read_Me_First!$B27="","",CONCATENATE(Read_Me_First!$A27,"-",Read_Me_First!$D27))</f>
        <v/>
      </c>
      <c r="W3" s="93" t="str">
        <f>+IF(Read_Me_First!$B28="","",CONCATENATE(Read_Me_First!$A28,"-",Read_Me_First!$D28))</f>
        <v/>
      </c>
      <c r="X3" s="93" t="str">
        <f>+IF(Read_Me_First!$B29="","",CONCATENATE(Read_Me_First!$A29,"-",Read_Me_First!$D29))</f>
        <v/>
      </c>
      <c r="Y3" s="93" t="str">
        <f>+IF(Read_Me_First!$B30="","",CONCATENATE(Read_Me_First!$A30,"-",Read_Me_First!$D30))</f>
        <v/>
      </c>
      <c r="Z3" s="93" t="str">
        <f>+IF(Read_Me_First!$B31="","",CONCATENATE(Read_Me_First!$A31,"-",Read_Me_First!$D31))</f>
        <v/>
      </c>
      <c r="AA3" s="93" t="str">
        <f>+IF(Read_Me_First!$B32="","",CONCATENATE(Read_Me_First!$A32,"-",Read_Me_First!$D32))</f>
        <v/>
      </c>
      <c r="AB3" s="93" t="str">
        <f>+IF(Read_Me_First!$B33="","",CONCATENATE(Read_Me_First!$A33,"-",Read_Me_First!$D33))</f>
        <v/>
      </c>
      <c r="AC3" s="93" t="str">
        <f>+IF(Read_Me_First!$B34="","",CONCATENATE(Read_Me_First!$A34,"-",Read_Me_First!$D34))</f>
        <v/>
      </c>
      <c r="AD3" s="93" t="str">
        <f>+IF(Read_Me_First!$B35="","",CONCATENATE(Read_Me_First!$A35,"-",Read_Me_First!$D35))</f>
        <v/>
      </c>
      <c r="AE3" s="93" t="str">
        <f>+IF(Read_Me_First!$B36="","",CONCATENATE(Read_Me_First!$A36,"-",Read_Me_First!$D36))</f>
        <v/>
      </c>
      <c r="AF3" s="93" t="str">
        <f>+IF(Read_Me_First!$B37="","",CONCATENATE(Read_Me_First!$A37,"-",Read_Me_First!$D37))</f>
        <v/>
      </c>
    </row>
    <row r="4" spans="1:32" ht="21" customHeight="1" x14ac:dyDescent="0.2">
      <c r="A4" s="36">
        <v>1</v>
      </c>
      <c r="B4" s="102" t="s">
        <v>12</v>
      </c>
      <c r="C4" s="103" t="s">
        <v>13</v>
      </c>
      <c r="D4" s="104" t="s">
        <v>18</v>
      </c>
      <c r="E4" s="105" t="s">
        <v>14</v>
      </c>
      <c r="F4" s="177" t="str">
        <f>IF(SUM($H4:$AF4)=0,"",SUM($H4:$AF4))</f>
        <v/>
      </c>
      <c r="G4" s="178"/>
      <c r="H4" s="179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1"/>
    </row>
    <row r="5" spans="1:32" ht="21" customHeight="1" x14ac:dyDescent="0.2">
      <c r="A5" s="36">
        <v>2</v>
      </c>
      <c r="B5" s="106" t="s">
        <v>12</v>
      </c>
      <c r="C5" s="107" t="s">
        <v>15</v>
      </c>
      <c r="D5" s="108" t="s">
        <v>19</v>
      </c>
      <c r="E5" s="109" t="s">
        <v>14</v>
      </c>
      <c r="F5" s="182" t="str">
        <f t="shared" ref="F5:F9" si="0">IF(SUM($H5:$AF5)=0,"",SUM($H5:$AF5))</f>
        <v/>
      </c>
      <c r="G5" s="183"/>
      <c r="H5" s="184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6"/>
    </row>
    <row r="6" spans="1:32" ht="21" customHeight="1" x14ac:dyDescent="0.2">
      <c r="A6" s="36">
        <v>3</v>
      </c>
      <c r="B6" s="106" t="s">
        <v>12</v>
      </c>
      <c r="C6" s="107" t="s">
        <v>17</v>
      </c>
      <c r="D6" s="110" t="s">
        <v>21</v>
      </c>
      <c r="E6" s="109" t="s">
        <v>14</v>
      </c>
      <c r="F6" s="182" t="str">
        <f t="shared" si="0"/>
        <v/>
      </c>
      <c r="G6" s="183"/>
      <c r="H6" s="184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6"/>
    </row>
    <row r="7" spans="1:32" ht="21" customHeight="1" x14ac:dyDescent="0.2">
      <c r="A7" s="36">
        <v>4</v>
      </c>
      <c r="B7" s="106" t="s">
        <v>12</v>
      </c>
      <c r="C7" s="107" t="s">
        <v>20</v>
      </c>
      <c r="D7" s="108" t="s">
        <v>59</v>
      </c>
      <c r="E7" s="109" t="s">
        <v>14</v>
      </c>
      <c r="F7" s="182" t="str">
        <f t="shared" si="0"/>
        <v/>
      </c>
      <c r="G7" s="183"/>
      <c r="H7" s="184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6"/>
    </row>
    <row r="8" spans="1:32" ht="21" customHeight="1" x14ac:dyDescent="0.2">
      <c r="A8" s="36">
        <v>5</v>
      </c>
      <c r="B8" s="106" t="s">
        <v>12</v>
      </c>
      <c r="C8" s="111" t="s">
        <v>22</v>
      </c>
      <c r="D8" s="110" t="s">
        <v>16</v>
      </c>
      <c r="E8" s="109" t="s">
        <v>14</v>
      </c>
      <c r="F8" s="182" t="str">
        <f t="shared" si="0"/>
        <v/>
      </c>
      <c r="G8" s="183"/>
      <c r="H8" s="184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6"/>
    </row>
    <row r="9" spans="1:32" ht="21" customHeight="1" x14ac:dyDescent="0.2">
      <c r="A9" s="36">
        <v>6</v>
      </c>
      <c r="B9" s="112" t="s">
        <v>12</v>
      </c>
      <c r="C9" s="113" t="s">
        <v>61</v>
      </c>
      <c r="D9" s="114" t="s">
        <v>60</v>
      </c>
      <c r="E9" s="115" t="s">
        <v>14</v>
      </c>
      <c r="F9" s="187" t="str">
        <f t="shared" si="0"/>
        <v/>
      </c>
      <c r="G9" s="188"/>
      <c r="H9" s="189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1"/>
    </row>
    <row r="10" spans="1:32" ht="21" customHeight="1" x14ac:dyDescent="0.2">
      <c r="A10" s="36"/>
      <c r="B10" s="116" t="s">
        <v>12</v>
      </c>
      <c r="C10" s="117"/>
      <c r="D10" s="118"/>
      <c r="E10" s="119" t="s">
        <v>14</v>
      </c>
      <c r="F10" s="192" t="str">
        <f>IF(SUM($H$10:$AF$10)=0,"",SUM($H$10:$AF$10))</f>
        <v/>
      </c>
      <c r="G10" s="193"/>
      <c r="H10" s="194" t="str">
        <f>IF(SUM(H$4:H$9)=0,"",SUM(H$4:H$9))</f>
        <v/>
      </c>
      <c r="I10" s="195" t="str">
        <f t="shared" ref="I10:AF10" si="1">IF(SUM(I$4:I$9)=0,"",SUM(I$4:I$9))</f>
        <v/>
      </c>
      <c r="J10" s="195" t="str">
        <f t="shared" si="1"/>
        <v/>
      </c>
      <c r="K10" s="195" t="str">
        <f t="shared" si="1"/>
        <v/>
      </c>
      <c r="L10" s="195" t="str">
        <f t="shared" si="1"/>
        <v/>
      </c>
      <c r="M10" s="195" t="str">
        <f t="shared" si="1"/>
        <v/>
      </c>
      <c r="N10" s="195" t="str">
        <f t="shared" si="1"/>
        <v/>
      </c>
      <c r="O10" s="195" t="str">
        <f t="shared" si="1"/>
        <v/>
      </c>
      <c r="P10" s="195" t="str">
        <f t="shared" si="1"/>
        <v/>
      </c>
      <c r="Q10" s="195" t="str">
        <f t="shared" si="1"/>
        <v/>
      </c>
      <c r="R10" s="195" t="str">
        <f t="shared" si="1"/>
        <v/>
      </c>
      <c r="S10" s="195" t="str">
        <f t="shared" si="1"/>
        <v/>
      </c>
      <c r="T10" s="195" t="str">
        <f t="shared" si="1"/>
        <v/>
      </c>
      <c r="U10" s="195" t="str">
        <f t="shared" si="1"/>
        <v/>
      </c>
      <c r="V10" s="195" t="str">
        <f t="shared" si="1"/>
        <v/>
      </c>
      <c r="W10" s="195" t="str">
        <f t="shared" si="1"/>
        <v/>
      </c>
      <c r="X10" s="195" t="str">
        <f t="shared" si="1"/>
        <v/>
      </c>
      <c r="Y10" s="195" t="str">
        <f t="shared" si="1"/>
        <v/>
      </c>
      <c r="Z10" s="195" t="str">
        <f t="shared" si="1"/>
        <v/>
      </c>
      <c r="AA10" s="195" t="str">
        <f t="shared" si="1"/>
        <v/>
      </c>
      <c r="AB10" s="195" t="str">
        <f t="shared" si="1"/>
        <v/>
      </c>
      <c r="AC10" s="195" t="str">
        <f t="shared" si="1"/>
        <v/>
      </c>
      <c r="AD10" s="195" t="str">
        <f t="shared" si="1"/>
        <v/>
      </c>
      <c r="AE10" s="195" t="str">
        <f t="shared" si="1"/>
        <v/>
      </c>
      <c r="AF10" s="196" t="str">
        <f t="shared" si="1"/>
        <v/>
      </c>
    </row>
    <row r="11" spans="1:32" ht="8.25" customHeight="1" x14ac:dyDescent="0.2">
      <c r="A11" s="37"/>
      <c r="B11" s="37"/>
      <c r="C11" s="99"/>
      <c r="D11" s="100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</row>
  </sheetData>
  <sheetProtection password="CD2B" sheet="1" objects="1" scenarios="1"/>
  <mergeCells count="1">
    <mergeCell ref="B1:D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headerFooter>
    <oddHeader>&amp;CCOSME - Enterprise Europe Network - Consortium Work Programme (2015-2016) -
Annex 2</oddHeader>
    <oddFooter>&amp;LTotal_HRS_&amp;P</oddFooter>
  </headerFooter>
  <colBreaks count="1" manualBreakCount="1">
    <brk id="19" min="1" max="1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21"/>
  <sheetViews>
    <sheetView topLeftCell="B2" zoomScale="80" zoomScaleNormal="80" workbookViewId="0">
      <selection activeCell="C37" sqref="C37"/>
    </sheetView>
  </sheetViews>
  <sheetFormatPr defaultRowHeight="24.75" customHeight="1" x14ac:dyDescent="0.2"/>
  <cols>
    <col min="1" max="1" width="3.140625" style="158" hidden="1" customWidth="1"/>
    <col min="2" max="2" width="9.7109375" style="158" customWidth="1"/>
    <col min="3" max="3" width="43" style="158" customWidth="1"/>
    <col min="4" max="4" width="13" style="158" hidden="1" customWidth="1"/>
    <col min="5" max="29" width="10.28515625" style="158" customWidth="1"/>
    <col min="30" max="16384" width="9.140625" style="158"/>
  </cols>
  <sheetData>
    <row r="1" spans="1:29" ht="24.75" hidden="1" customHeight="1" x14ac:dyDescent="0.2"/>
    <row r="2" spans="1:29" ht="32.25" customHeight="1" x14ac:dyDescent="0.2">
      <c r="A2" s="31"/>
      <c r="B2" s="172" t="s">
        <v>67</v>
      </c>
      <c r="C2" s="173"/>
    </row>
    <row r="3" spans="1:29" ht="16.5" customHeight="1" x14ac:dyDescent="0.2">
      <c r="A3" s="31"/>
    </row>
    <row r="4" spans="1:29" s="159" customFormat="1" ht="24.75" customHeight="1" x14ac:dyDescent="0.2">
      <c r="A4" s="33" t="s">
        <v>8</v>
      </c>
      <c r="B4" s="98" t="s">
        <v>10</v>
      </c>
      <c r="C4" s="123" t="s">
        <v>64</v>
      </c>
      <c r="D4" s="43"/>
      <c r="E4" s="93" t="str">
        <f>+IF(Read_Me_First!$B13="","",CONCATENATE(Read_Me_First!$A13,"-",Read_Me_First!$D13))</f>
        <v/>
      </c>
      <c r="F4" s="93" t="str">
        <f>+IF(Read_Me_First!$B14="","",CONCATENATE(Read_Me_First!$A14,"-",Read_Me_First!$D14))</f>
        <v/>
      </c>
      <c r="G4" s="93" t="str">
        <f>+IF(Read_Me_First!$B15="","",CONCATENATE(Read_Me_First!$A15,"-",Read_Me_First!$D15))</f>
        <v/>
      </c>
      <c r="H4" s="93" t="str">
        <f>+IF(Read_Me_First!$B16="","",CONCATENATE(Read_Me_First!$A16,"-",Read_Me_First!$D16))</f>
        <v/>
      </c>
      <c r="I4" s="93" t="str">
        <f>+IF(Read_Me_First!$B17="","",CONCATENATE(Read_Me_First!$A17,"-",Read_Me_First!$D17))</f>
        <v/>
      </c>
      <c r="J4" s="93" t="str">
        <f>+IF(Read_Me_First!$B18="","",CONCATENATE(Read_Me_First!$A18,"-",Read_Me_First!$D18))</f>
        <v/>
      </c>
      <c r="K4" s="93" t="str">
        <f>+IF(Read_Me_First!$B19="","",CONCATENATE(Read_Me_First!$A19,"-",Read_Me_First!$D19))</f>
        <v/>
      </c>
      <c r="L4" s="93" t="str">
        <f>+IF(Read_Me_First!$B20="","",CONCATENATE(Read_Me_First!$A20,"-",Read_Me_First!$D20))</f>
        <v/>
      </c>
      <c r="M4" s="93" t="str">
        <f>+IF(Read_Me_First!$B21="","",CONCATENATE(Read_Me_First!$A21,"-",Read_Me_First!$D21))</f>
        <v/>
      </c>
      <c r="N4" s="93" t="str">
        <f>+IF(Read_Me_First!$B22="","",CONCATENATE(Read_Me_First!$A22,"-",Read_Me_First!$D22))</f>
        <v/>
      </c>
      <c r="O4" s="93" t="str">
        <f>+IF(Read_Me_First!$B23="","",CONCATENATE(Read_Me_First!$A23,"-",Read_Me_First!$D23))</f>
        <v/>
      </c>
      <c r="P4" s="93" t="str">
        <f>+IF(Read_Me_First!$B24="","",CONCATENATE(Read_Me_First!$A24,"-",Read_Me_First!$D24))</f>
        <v/>
      </c>
      <c r="Q4" s="93" t="str">
        <f>+IF(Read_Me_First!$B25="","",CONCATENATE(Read_Me_First!$A25,"-",Read_Me_First!$D25))</f>
        <v/>
      </c>
      <c r="R4" s="93" t="str">
        <f>+IF(Read_Me_First!$B26="","",CONCATENATE(Read_Me_First!$A26,"-",Read_Me_First!$D26))</f>
        <v/>
      </c>
      <c r="S4" s="93" t="str">
        <f>+IF(Read_Me_First!$B27="","",CONCATENATE(Read_Me_First!$A27,"-",Read_Me_First!$D27))</f>
        <v/>
      </c>
      <c r="T4" s="93" t="str">
        <f>+IF(Read_Me_First!$B28="","",CONCATENATE(Read_Me_First!$A28,"-",Read_Me_First!$D28))</f>
        <v/>
      </c>
      <c r="U4" s="93" t="str">
        <f>+IF(Read_Me_First!$B29="","",CONCATENATE(Read_Me_First!$A29,"-",Read_Me_First!$D29))</f>
        <v/>
      </c>
      <c r="V4" s="93" t="str">
        <f>+IF(Read_Me_First!$B30="","",CONCATENATE(Read_Me_First!$A30,"-",Read_Me_First!$D30))</f>
        <v/>
      </c>
      <c r="W4" s="93" t="str">
        <f>+IF(Read_Me_First!$B31="","",CONCATENATE(Read_Me_First!$A31,"-",Read_Me_First!$D31))</f>
        <v/>
      </c>
      <c r="X4" s="93" t="str">
        <f>+IF(Read_Me_First!$B32="","",CONCATENATE(Read_Me_First!$A32,"-",Read_Me_First!$D32))</f>
        <v/>
      </c>
      <c r="Y4" s="93" t="str">
        <f>+IF(Read_Me_First!$B33="","",CONCATENATE(Read_Me_First!$A33,"-",Read_Me_First!$D33))</f>
        <v/>
      </c>
      <c r="Z4" s="93" t="str">
        <f>+IF(Read_Me_First!$B34="","",CONCATENATE(Read_Me_First!$A34,"-",Read_Me_First!$D34))</f>
        <v/>
      </c>
      <c r="AA4" s="93" t="str">
        <f>+IF(Read_Me_First!$B35="","",CONCATENATE(Read_Me_First!$A35,"-",Read_Me_First!$D35))</f>
        <v/>
      </c>
      <c r="AB4" s="93" t="str">
        <f>+IF(Read_Me_First!$B36="","",CONCATENATE(Read_Me_First!$A36,"-",Read_Me_First!$D36))</f>
        <v/>
      </c>
      <c r="AC4" s="93" t="str">
        <f>+IF(Read_Me_First!$B37="","",CONCATENATE(Read_Me_First!$A37,"-",Read_Me_First!$D37))</f>
        <v/>
      </c>
    </row>
    <row r="5" spans="1:29" ht="21" customHeight="1" x14ac:dyDescent="0.2">
      <c r="A5" s="36">
        <v>1</v>
      </c>
      <c r="B5" s="204" t="s">
        <v>13</v>
      </c>
      <c r="C5" s="128"/>
      <c r="D5" s="129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1"/>
    </row>
    <row r="6" spans="1:29" ht="21" customHeight="1" x14ac:dyDescent="0.2">
      <c r="A6" s="36">
        <v>2</v>
      </c>
      <c r="B6" s="206" t="s">
        <v>13</v>
      </c>
      <c r="C6" s="132"/>
      <c r="D6" s="133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5"/>
    </row>
    <row r="7" spans="1:29" ht="21" customHeight="1" thickBot="1" x14ac:dyDescent="0.25">
      <c r="A7" s="36">
        <v>3</v>
      </c>
      <c r="B7" s="207" t="s">
        <v>13</v>
      </c>
      <c r="C7" s="136" t="s">
        <v>65</v>
      </c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9"/>
    </row>
    <row r="8" spans="1:29" ht="21" customHeight="1" x14ac:dyDescent="0.2">
      <c r="A8" s="36">
        <v>4</v>
      </c>
      <c r="B8" s="208" t="s">
        <v>15</v>
      </c>
      <c r="C8" s="140"/>
      <c r="D8" s="141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3"/>
    </row>
    <row r="9" spans="1:29" ht="21" hidden="1" customHeight="1" x14ac:dyDescent="0.2">
      <c r="A9" s="36"/>
      <c r="B9" s="205"/>
      <c r="C9" s="203"/>
      <c r="D9" s="200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2"/>
    </row>
    <row r="10" spans="1:29" ht="21" customHeight="1" x14ac:dyDescent="0.2">
      <c r="A10" s="36">
        <v>5</v>
      </c>
      <c r="B10" s="206" t="s">
        <v>15</v>
      </c>
      <c r="C10" s="144"/>
      <c r="D10" s="133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5"/>
    </row>
    <row r="11" spans="1:29" ht="21" customHeight="1" thickBot="1" x14ac:dyDescent="0.25">
      <c r="A11" s="36">
        <v>6</v>
      </c>
      <c r="B11" s="207" t="s">
        <v>15</v>
      </c>
      <c r="C11" s="136" t="s">
        <v>65</v>
      </c>
      <c r="D11" s="137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9"/>
    </row>
    <row r="12" spans="1:29" ht="21" customHeight="1" x14ac:dyDescent="0.2">
      <c r="A12" s="36">
        <v>7</v>
      </c>
      <c r="B12" s="208" t="s">
        <v>17</v>
      </c>
      <c r="C12" s="145"/>
      <c r="D12" s="146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8"/>
    </row>
    <row r="13" spans="1:29" ht="21" customHeight="1" x14ac:dyDescent="0.2">
      <c r="A13" s="36">
        <v>8</v>
      </c>
      <c r="B13" s="206" t="s">
        <v>17</v>
      </c>
      <c r="C13" s="136"/>
      <c r="D13" s="137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9"/>
    </row>
    <row r="14" spans="1:29" ht="21" customHeight="1" thickBot="1" x14ac:dyDescent="0.25">
      <c r="A14" s="36">
        <v>9</v>
      </c>
      <c r="B14" s="207" t="s">
        <v>17</v>
      </c>
      <c r="C14" s="136" t="s">
        <v>65</v>
      </c>
      <c r="D14" s="137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9"/>
    </row>
    <row r="15" spans="1:29" ht="21" customHeight="1" x14ac:dyDescent="0.2">
      <c r="A15" s="36">
        <v>10</v>
      </c>
      <c r="B15" s="208" t="s">
        <v>20</v>
      </c>
      <c r="C15" s="145"/>
      <c r="D15" s="146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8"/>
    </row>
    <row r="16" spans="1:29" ht="21" customHeight="1" x14ac:dyDescent="0.2">
      <c r="A16" s="36">
        <v>11</v>
      </c>
      <c r="B16" s="206" t="s">
        <v>20</v>
      </c>
      <c r="C16" s="136"/>
      <c r="D16" s="137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9"/>
    </row>
    <row r="17" spans="1:29" ht="21" customHeight="1" thickBot="1" x14ac:dyDescent="0.25">
      <c r="A17" s="36">
        <v>12</v>
      </c>
      <c r="B17" s="207" t="s">
        <v>20</v>
      </c>
      <c r="C17" s="136" t="s">
        <v>65</v>
      </c>
      <c r="D17" s="137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9"/>
    </row>
    <row r="18" spans="1:29" ht="21" customHeight="1" x14ac:dyDescent="0.2">
      <c r="A18" s="36">
        <v>13</v>
      </c>
      <c r="B18" s="208" t="s">
        <v>22</v>
      </c>
      <c r="C18" s="149"/>
      <c r="D18" s="141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3"/>
    </row>
    <row r="19" spans="1:29" ht="21" customHeight="1" x14ac:dyDescent="0.2">
      <c r="A19" s="36">
        <v>14</v>
      </c>
      <c r="B19" s="206" t="s">
        <v>22</v>
      </c>
      <c r="C19" s="150"/>
      <c r="D19" s="151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3"/>
    </row>
    <row r="20" spans="1:29" ht="21" customHeight="1" x14ac:dyDescent="0.2">
      <c r="A20" s="36">
        <v>15</v>
      </c>
      <c r="B20" s="209" t="s">
        <v>22</v>
      </c>
      <c r="C20" s="154" t="s">
        <v>65</v>
      </c>
      <c r="D20" s="155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7"/>
    </row>
    <row r="21" spans="1:29" ht="12.75" customHeight="1" x14ac:dyDescent="0.2">
      <c r="A21" s="37"/>
      <c r="B21" s="124"/>
      <c r="C21" s="125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7"/>
    </row>
  </sheetData>
  <sheetProtection password="CD2B" sheet="1" objects="1" scenarios="1" insertRows="0"/>
  <mergeCells count="1">
    <mergeCell ref="B2:C2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headerFooter>
    <oddHeader>&amp;CCOSME - Enterprise Europe Network - Consortium Work Programme (2015-2016) -
Annex 3</oddHeader>
    <oddFooter>&amp;LServices_&amp;P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Read_Me_First</vt:lpstr>
      <vt:lpstr>Encode_PES</vt:lpstr>
      <vt:lpstr>Encode_HRS</vt:lpstr>
      <vt:lpstr>Encode_Services</vt:lpstr>
      <vt:lpstr>Encode_HRS!Print_Area</vt:lpstr>
      <vt:lpstr>Encode_PES!Print_Area</vt:lpstr>
      <vt:lpstr>Encode_Services!Print_Area</vt:lpstr>
      <vt:lpstr>Read_Me_First!Print_Area</vt:lpstr>
      <vt:lpstr>Encode_HRS!Print_Titles</vt:lpstr>
      <vt:lpstr>Encode_PES!Print_Titles</vt:lpstr>
      <vt:lpstr>Encode_Services!Print_Titles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TODOROV Yassen (EACI)</dc:creator>
  <cp:lastModifiedBy>TODOROV Yassen (EASME)</cp:lastModifiedBy>
  <cp:lastPrinted>2014-05-05T09:48:25Z</cp:lastPrinted>
  <dcterms:created xsi:type="dcterms:W3CDTF">2013-12-02T17:20:53Z</dcterms:created>
  <dcterms:modified xsi:type="dcterms:W3CDTF">2014-05-05T10:00:19Z</dcterms:modified>
</cp:coreProperties>
</file>