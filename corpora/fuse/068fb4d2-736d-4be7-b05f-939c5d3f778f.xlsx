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" windowWidth="15480" windowHeight="8280"/>
  </bookViews>
  <sheets>
    <sheet name="Fund 47" sheetId="9" r:id="rId1"/>
    <sheet name="Fund 7" sheetId="7" r:id="rId2"/>
  </sheets>
  <definedNames>
    <definedName name="_xlnm.Print_Area" localSheetId="0">'Fund 47'!$A$1:$L$98</definedName>
    <definedName name="_xlnm.Print_Area" localSheetId="1">'Fund 7'!$A$1:$L$336</definedName>
  </definedNames>
  <calcPr calcId="145621"/>
</workbook>
</file>

<file path=xl/calcChain.xml><?xml version="1.0" encoding="utf-8"?>
<calcChain xmlns="http://schemas.openxmlformats.org/spreadsheetml/2006/main">
  <c r="J6" i="7" l="1"/>
  <c r="J7" i="7"/>
  <c r="I331" i="7"/>
  <c r="I308" i="7"/>
  <c r="I274" i="7"/>
  <c r="I273" i="7"/>
  <c r="I204" i="7"/>
  <c r="I201" i="7"/>
  <c r="I196" i="7"/>
  <c r="I195" i="7"/>
  <c r="I120" i="7"/>
  <c r="I105" i="7"/>
  <c r="I53" i="7"/>
  <c r="J98" i="9" l="1"/>
  <c r="L98" i="9" s="1"/>
  <c r="J97" i="9"/>
  <c r="L97" i="9" s="1"/>
  <c r="J96" i="9"/>
  <c r="L96" i="9" s="1"/>
  <c r="J95" i="9"/>
  <c r="L95" i="9" s="1"/>
  <c r="J94" i="9"/>
  <c r="L94" i="9" s="1"/>
  <c r="J93" i="9"/>
  <c r="L93" i="9" s="1"/>
  <c r="J92" i="9"/>
  <c r="L92" i="9" s="1"/>
  <c r="J91" i="9"/>
  <c r="L91" i="9" s="1"/>
  <c r="J90" i="9"/>
  <c r="L90" i="9" s="1"/>
  <c r="J89" i="9"/>
  <c r="L89" i="9" s="1"/>
  <c r="J88" i="9"/>
  <c r="L88" i="9" s="1"/>
  <c r="J87" i="9"/>
  <c r="L87" i="9" s="1"/>
  <c r="J86" i="9"/>
  <c r="L86" i="9" s="1"/>
  <c r="J85" i="9"/>
  <c r="L85" i="9" s="1"/>
  <c r="J84" i="9"/>
  <c r="L84" i="9" s="1"/>
  <c r="J83" i="9"/>
  <c r="L83" i="9" s="1"/>
  <c r="J82" i="9"/>
  <c r="L82" i="9" s="1"/>
  <c r="J81" i="9"/>
  <c r="L81" i="9" s="1"/>
  <c r="J80" i="9"/>
  <c r="L80" i="9" s="1"/>
  <c r="J79" i="9"/>
  <c r="L79" i="9" s="1"/>
  <c r="J78" i="9"/>
  <c r="L78" i="9" s="1"/>
  <c r="J77" i="9"/>
  <c r="L77" i="9" s="1"/>
  <c r="J76" i="9"/>
  <c r="L76" i="9" s="1"/>
  <c r="J75" i="9"/>
  <c r="L75" i="9" s="1"/>
  <c r="J74" i="9"/>
  <c r="L74" i="9" s="1"/>
  <c r="J73" i="9"/>
  <c r="L73" i="9" s="1"/>
  <c r="J72" i="9"/>
  <c r="L72" i="9" s="1"/>
  <c r="J71" i="9"/>
  <c r="L71" i="9" s="1"/>
  <c r="J70" i="9"/>
  <c r="L70" i="9" s="1"/>
  <c r="J69" i="9"/>
  <c r="L69" i="9" s="1"/>
  <c r="J68" i="9"/>
  <c r="K68" i="9" s="1"/>
  <c r="L68" i="9" s="1"/>
  <c r="J67" i="9"/>
  <c r="L67" i="9" s="1"/>
  <c r="J66" i="9"/>
  <c r="L66" i="9" s="1"/>
  <c r="J65" i="9"/>
  <c r="L65" i="9" s="1"/>
  <c r="J64" i="9"/>
  <c r="L64" i="9" s="1"/>
  <c r="J63" i="9"/>
  <c r="L63" i="9" s="1"/>
  <c r="J62" i="9"/>
  <c r="L62" i="9" s="1"/>
  <c r="J61" i="9"/>
  <c r="L61" i="9" s="1"/>
  <c r="J60" i="9"/>
  <c r="L60" i="9" s="1"/>
  <c r="J59" i="9"/>
  <c r="L59" i="9" s="1"/>
  <c r="J58" i="9"/>
  <c r="L58" i="9" s="1"/>
  <c r="J57" i="9"/>
  <c r="L57" i="9" s="1"/>
  <c r="J56" i="9"/>
  <c r="L56" i="9" s="1"/>
  <c r="J55" i="9"/>
  <c r="J54" i="9"/>
  <c r="L54" i="9" s="1"/>
  <c r="J53" i="9"/>
  <c r="L53" i="9" s="1"/>
  <c r="J52" i="9"/>
  <c r="L52" i="9" s="1"/>
  <c r="J51" i="9"/>
  <c r="L51" i="9" s="1"/>
  <c r="J50" i="9"/>
  <c r="L50" i="9" s="1"/>
  <c r="J49" i="9"/>
  <c r="L49" i="9" s="1"/>
  <c r="J48" i="9"/>
  <c r="L48" i="9" s="1"/>
  <c r="J47" i="9"/>
  <c r="L47" i="9" s="1"/>
  <c r="J46" i="9"/>
  <c r="L46" i="9" s="1"/>
  <c r="J45" i="9"/>
  <c r="L45" i="9" s="1"/>
  <c r="J44" i="9"/>
  <c r="L44" i="9" s="1"/>
  <c r="J43" i="9"/>
  <c r="L43" i="9" s="1"/>
  <c r="J42" i="9"/>
  <c r="L42" i="9" s="1"/>
  <c r="J41" i="9"/>
  <c r="L41" i="9" s="1"/>
  <c r="J40" i="9"/>
  <c r="L40" i="9" s="1"/>
  <c r="J39" i="9"/>
  <c r="L39" i="9" s="1"/>
  <c r="J38" i="9"/>
  <c r="L38" i="9" s="1"/>
  <c r="J37" i="9"/>
  <c r="L37" i="9" s="1"/>
  <c r="J36" i="9"/>
  <c r="L36" i="9" s="1"/>
  <c r="J35" i="9"/>
  <c r="L35" i="9" s="1"/>
  <c r="J34" i="9"/>
  <c r="L34" i="9" s="1"/>
  <c r="J33" i="9"/>
  <c r="L33" i="9" s="1"/>
  <c r="J32" i="9"/>
  <c r="L32" i="9" s="1"/>
  <c r="J31" i="9"/>
  <c r="L31" i="9" s="1"/>
  <c r="J30" i="9"/>
  <c r="L30" i="9" s="1"/>
  <c r="J29" i="9"/>
  <c r="L29" i="9" s="1"/>
  <c r="J28" i="9"/>
  <c r="L28" i="9" s="1"/>
  <c r="J27" i="9"/>
  <c r="L27" i="9" s="1"/>
  <c r="J26" i="9"/>
  <c r="L26" i="9" s="1"/>
  <c r="J25" i="9"/>
  <c r="L25" i="9" s="1"/>
  <c r="J24" i="9"/>
  <c r="L24" i="9" s="1"/>
  <c r="J23" i="9"/>
  <c r="L23" i="9" s="1"/>
  <c r="J22" i="9"/>
  <c r="L22" i="9" s="1"/>
  <c r="J21" i="9"/>
  <c r="L21" i="9" s="1"/>
  <c r="J20" i="9"/>
  <c r="L20" i="9" s="1"/>
  <c r="J19" i="9"/>
  <c r="L19" i="9" s="1"/>
  <c r="J18" i="9"/>
  <c r="L18" i="9" s="1"/>
  <c r="J17" i="9"/>
  <c r="L17" i="9" s="1"/>
  <c r="J16" i="9"/>
  <c r="L16" i="9" s="1"/>
  <c r="J15" i="9"/>
  <c r="L15" i="9" s="1"/>
  <c r="J14" i="9"/>
  <c r="L14" i="9" s="1"/>
  <c r="J13" i="9"/>
  <c r="L13" i="9" s="1"/>
  <c r="J12" i="9"/>
  <c r="L12" i="9" s="1"/>
  <c r="J11" i="9"/>
  <c r="L11" i="9" s="1"/>
  <c r="J10" i="9"/>
  <c r="L10" i="9" s="1"/>
  <c r="J9" i="9"/>
  <c r="L9" i="9" s="1"/>
  <c r="J8" i="9"/>
  <c r="L8" i="9" s="1"/>
  <c r="J7" i="9"/>
  <c r="L7" i="9" s="1"/>
  <c r="J6" i="9"/>
  <c r="L6" i="9" s="1"/>
  <c r="J336" i="7"/>
  <c r="L336" i="7" s="1"/>
  <c r="J335" i="7"/>
  <c r="L335" i="7" s="1"/>
  <c r="J334" i="7"/>
  <c r="J333" i="7"/>
  <c r="J332" i="7"/>
  <c r="L332" i="7" s="1"/>
  <c r="J331" i="7"/>
  <c r="L331" i="7" s="1"/>
  <c r="J330" i="7"/>
  <c r="L330" i="7" s="1"/>
  <c r="J329" i="7"/>
  <c r="L329" i="7" s="1"/>
  <c r="J328" i="7"/>
  <c r="L328" i="7" s="1"/>
  <c r="J327" i="7"/>
  <c r="L327" i="7" s="1"/>
  <c r="J326" i="7"/>
  <c r="L326" i="7" s="1"/>
  <c r="J325" i="7"/>
  <c r="L325" i="7" s="1"/>
  <c r="J324" i="7"/>
  <c r="L324" i="7" s="1"/>
  <c r="J323" i="7"/>
  <c r="L323" i="7" s="1"/>
  <c r="J322" i="7"/>
  <c r="L322" i="7" s="1"/>
  <c r="J321" i="7"/>
  <c r="L321" i="7" s="1"/>
  <c r="J320" i="7"/>
  <c r="L320" i="7" s="1"/>
  <c r="J319" i="7"/>
  <c r="L319" i="7" s="1"/>
  <c r="J318" i="7"/>
  <c r="L318" i="7" s="1"/>
  <c r="J317" i="7"/>
  <c r="L317" i="7" s="1"/>
  <c r="J316" i="7"/>
  <c r="L316" i="7" s="1"/>
  <c r="J315" i="7"/>
  <c r="L315" i="7" s="1"/>
  <c r="J314" i="7"/>
  <c r="L314" i="7" s="1"/>
  <c r="J313" i="7"/>
  <c r="L313" i="7" s="1"/>
  <c r="J312" i="7"/>
  <c r="L312" i="7" s="1"/>
  <c r="J311" i="7"/>
  <c r="L311" i="7" s="1"/>
  <c r="J310" i="7"/>
  <c r="L310" i="7" s="1"/>
  <c r="J309" i="7"/>
  <c r="L309" i="7" s="1"/>
  <c r="J308" i="7"/>
  <c r="L308" i="7" s="1"/>
  <c r="J307" i="7"/>
  <c r="L307" i="7" s="1"/>
  <c r="J306" i="7"/>
  <c r="L306" i="7" s="1"/>
  <c r="J305" i="7"/>
  <c r="L305" i="7" s="1"/>
  <c r="J304" i="7"/>
  <c r="L304" i="7" s="1"/>
  <c r="J303" i="7"/>
  <c r="K303" i="7" s="1"/>
  <c r="L303" i="7" s="1"/>
  <c r="J302" i="7"/>
  <c r="L302" i="7" s="1"/>
  <c r="J301" i="7"/>
  <c r="L301" i="7" s="1"/>
  <c r="J300" i="7"/>
  <c r="L300" i="7" s="1"/>
  <c r="J299" i="7"/>
  <c r="L299" i="7" s="1"/>
  <c r="J298" i="7"/>
  <c r="L298" i="7" s="1"/>
  <c r="J297" i="7"/>
  <c r="L297" i="7" s="1"/>
  <c r="J296" i="7"/>
  <c r="L296" i="7" s="1"/>
  <c r="J295" i="7"/>
  <c r="L295" i="7" s="1"/>
  <c r="J294" i="7"/>
  <c r="L294" i="7" s="1"/>
  <c r="J293" i="7"/>
  <c r="L293" i="7" s="1"/>
  <c r="J292" i="7"/>
  <c r="L292" i="7" s="1"/>
  <c r="J291" i="7"/>
  <c r="L291" i="7" s="1"/>
  <c r="J290" i="7"/>
  <c r="L290" i="7" s="1"/>
  <c r="J289" i="7"/>
  <c r="L289" i="7" s="1"/>
  <c r="J288" i="7"/>
  <c r="L288" i="7" s="1"/>
  <c r="J287" i="7"/>
  <c r="L287" i="7" s="1"/>
  <c r="J286" i="7"/>
  <c r="L286" i="7" s="1"/>
  <c r="J285" i="7"/>
  <c r="L285" i="7" s="1"/>
  <c r="J284" i="7"/>
  <c r="L284" i="7" s="1"/>
  <c r="J283" i="7"/>
  <c r="L283" i="7" s="1"/>
  <c r="J282" i="7"/>
  <c r="L282" i="7" s="1"/>
  <c r="J281" i="7"/>
  <c r="L281" i="7" s="1"/>
  <c r="J280" i="7"/>
  <c r="L280" i="7" s="1"/>
  <c r="J279" i="7"/>
  <c r="L279" i="7" s="1"/>
  <c r="J278" i="7"/>
  <c r="L278" i="7" s="1"/>
  <c r="J277" i="7"/>
  <c r="L277" i="7" s="1"/>
  <c r="J276" i="7"/>
  <c r="L276" i="7" s="1"/>
  <c r="J275" i="7"/>
  <c r="L275" i="7" s="1"/>
  <c r="J274" i="7"/>
  <c r="L274" i="7" s="1"/>
  <c r="J273" i="7"/>
  <c r="L273" i="7" s="1"/>
  <c r="J272" i="7"/>
  <c r="L272" i="7" s="1"/>
  <c r="J271" i="7"/>
  <c r="L271" i="7" s="1"/>
  <c r="J270" i="7"/>
  <c r="L270" i="7" s="1"/>
  <c r="J269" i="7"/>
  <c r="L269" i="7" s="1"/>
  <c r="J268" i="7"/>
  <c r="L268" i="7" s="1"/>
  <c r="J267" i="7"/>
  <c r="L267" i="7" s="1"/>
  <c r="J266" i="7"/>
  <c r="L266" i="7" s="1"/>
  <c r="J265" i="7"/>
  <c r="L265" i="7" s="1"/>
  <c r="J264" i="7"/>
  <c r="L264" i="7" s="1"/>
  <c r="J263" i="7"/>
  <c r="L263" i="7" s="1"/>
  <c r="J262" i="7"/>
  <c r="L262" i="7" s="1"/>
  <c r="J261" i="7"/>
  <c r="L261" i="7" s="1"/>
  <c r="J260" i="7"/>
  <c r="L260" i="7" s="1"/>
  <c r="J259" i="7"/>
  <c r="L259" i="7" s="1"/>
  <c r="J258" i="7"/>
  <c r="L258" i="7" s="1"/>
  <c r="J257" i="7"/>
  <c r="L257" i="7" s="1"/>
  <c r="J256" i="7"/>
  <c r="L256" i="7" s="1"/>
  <c r="J255" i="7"/>
  <c r="L255" i="7" s="1"/>
  <c r="J254" i="7"/>
  <c r="L254" i="7" s="1"/>
  <c r="J253" i="7"/>
  <c r="L253" i="7" s="1"/>
  <c r="J252" i="7"/>
  <c r="L252" i="7" s="1"/>
  <c r="J251" i="7"/>
  <c r="L251" i="7" s="1"/>
  <c r="J250" i="7"/>
  <c r="L250" i="7" s="1"/>
  <c r="J249" i="7"/>
  <c r="L249" i="7" s="1"/>
  <c r="J248" i="7"/>
  <c r="L248" i="7" s="1"/>
  <c r="J247" i="7"/>
  <c r="L247" i="7" s="1"/>
  <c r="J246" i="7"/>
  <c r="L246" i="7" s="1"/>
  <c r="J245" i="7"/>
  <c r="L245" i="7" s="1"/>
  <c r="J244" i="7"/>
  <c r="L244" i="7" s="1"/>
  <c r="J243" i="7"/>
  <c r="L243" i="7" s="1"/>
  <c r="J242" i="7"/>
  <c r="L242" i="7" s="1"/>
  <c r="J241" i="7"/>
  <c r="L241" i="7" s="1"/>
  <c r="J240" i="7"/>
  <c r="L240" i="7" s="1"/>
  <c r="J239" i="7"/>
  <c r="L239" i="7" s="1"/>
  <c r="J238" i="7"/>
  <c r="L238" i="7" s="1"/>
  <c r="J237" i="7"/>
  <c r="L237" i="7" s="1"/>
  <c r="J236" i="7"/>
  <c r="L236" i="7" s="1"/>
  <c r="J235" i="7"/>
  <c r="L235" i="7" s="1"/>
  <c r="J234" i="7"/>
  <c r="L234" i="7" s="1"/>
  <c r="J233" i="7"/>
  <c r="L233" i="7" s="1"/>
  <c r="J232" i="7"/>
  <c r="L232" i="7" s="1"/>
  <c r="J231" i="7"/>
  <c r="L231" i="7" s="1"/>
  <c r="J230" i="7"/>
  <c r="L230" i="7" s="1"/>
  <c r="J229" i="7"/>
  <c r="L229" i="7" s="1"/>
  <c r="J228" i="7"/>
  <c r="L228" i="7" s="1"/>
  <c r="J227" i="7"/>
  <c r="L227" i="7" s="1"/>
  <c r="J226" i="7"/>
  <c r="L226" i="7" s="1"/>
  <c r="J225" i="7"/>
  <c r="L225" i="7" s="1"/>
  <c r="J224" i="7"/>
  <c r="L224" i="7" s="1"/>
  <c r="J223" i="7"/>
  <c r="L223" i="7" s="1"/>
  <c r="J222" i="7"/>
  <c r="L222" i="7" s="1"/>
  <c r="J221" i="7"/>
  <c r="L221" i="7" s="1"/>
  <c r="J220" i="7"/>
  <c r="L220" i="7" s="1"/>
  <c r="J219" i="7"/>
  <c r="L219" i="7" s="1"/>
  <c r="J218" i="7"/>
  <c r="L218" i="7" s="1"/>
  <c r="J217" i="7"/>
  <c r="L217" i="7" s="1"/>
  <c r="J216" i="7"/>
  <c r="L216" i="7" s="1"/>
  <c r="J215" i="7"/>
  <c r="L215" i="7" s="1"/>
  <c r="J214" i="7"/>
  <c r="L214" i="7" s="1"/>
  <c r="J213" i="7"/>
  <c r="L213" i="7" s="1"/>
  <c r="J212" i="7"/>
  <c r="L212" i="7" s="1"/>
  <c r="J211" i="7"/>
  <c r="L211" i="7" s="1"/>
  <c r="J210" i="7"/>
  <c r="L210" i="7" s="1"/>
  <c r="J209" i="7"/>
  <c r="L209" i="7" s="1"/>
  <c r="J208" i="7"/>
  <c r="L208" i="7" s="1"/>
  <c r="J207" i="7"/>
  <c r="L207" i="7" s="1"/>
  <c r="J206" i="7"/>
  <c r="L206" i="7" s="1"/>
  <c r="J205" i="7"/>
  <c r="L205" i="7" s="1"/>
  <c r="J204" i="7"/>
  <c r="L204" i="7" s="1"/>
  <c r="J203" i="7"/>
  <c r="L203" i="7" s="1"/>
  <c r="J202" i="7"/>
  <c r="K202" i="7" s="1"/>
  <c r="L202" i="7" s="1"/>
  <c r="J201" i="7"/>
  <c r="L201" i="7" s="1"/>
  <c r="J200" i="7"/>
  <c r="L200" i="7" s="1"/>
  <c r="J199" i="7"/>
  <c r="L199" i="7" s="1"/>
  <c r="J198" i="7"/>
  <c r="L198" i="7" s="1"/>
  <c r="J197" i="7"/>
  <c r="L197" i="7" s="1"/>
  <c r="J196" i="7"/>
  <c r="L196" i="7" s="1"/>
  <c r="J195" i="7"/>
  <c r="L195" i="7" s="1"/>
  <c r="J194" i="7"/>
  <c r="K194" i="7" s="1"/>
  <c r="L194" i="7" s="1"/>
  <c r="J193" i="7"/>
  <c r="K193" i="7" s="1"/>
  <c r="L193" i="7" s="1"/>
  <c r="J192" i="7"/>
  <c r="L192" i="7" s="1"/>
  <c r="J191" i="7"/>
  <c r="L191" i="7" s="1"/>
  <c r="J190" i="7"/>
  <c r="L190" i="7" s="1"/>
  <c r="J189" i="7"/>
  <c r="L189" i="7" s="1"/>
  <c r="J188" i="7"/>
  <c r="L188" i="7" s="1"/>
  <c r="J187" i="7"/>
  <c r="L187" i="7" s="1"/>
  <c r="J186" i="7"/>
  <c r="L186" i="7" s="1"/>
  <c r="J185" i="7"/>
  <c r="L185" i="7" s="1"/>
  <c r="J184" i="7"/>
  <c r="L184" i="7" s="1"/>
  <c r="J183" i="7"/>
  <c r="L183" i="7" s="1"/>
  <c r="J182" i="7"/>
  <c r="L182" i="7" s="1"/>
  <c r="J181" i="7"/>
  <c r="L181" i="7" s="1"/>
  <c r="J180" i="7"/>
  <c r="L180" i="7" s="1"/>
  <c r="J179" i="7"/>
  <c r="L179" i="7" s="1"/>
  <c r="J178" i="7"/>
  <c r="L178" i="7" s="1"/>
  <c r="J177" i="7"/>
  <c r="L177" i="7" s="1"/>
  <c r="J176" i="7"/>
  <c r="L176" i="7" s="1"/>
  <c r="J175" i="7"/>
  <c r="L175" i="7" s="1"/>
  <c r="J174" i="7"/>
  <c r="L174" i="7" s="1"/>
  <c r="J173" i="7"/>
  <c r="L173" i="7" s="1"/>
  <c r="J172" i="7"/>
  <c r="L172" i="7" s="1"/>
  <c r="J171" i="7"/>
  <c r="L171" i="7" s="1"/>
  <c r="J170" i="7"/>
  <c r="L170" i="7" s="1"/>
  <c r="J169" i="7"/>
  <c r="L169" i="7" s="1"/>
  <c r="J168" i="7"/>
  <c r="L168" i="7" s="1"/>
  <c r="J167" i="7"/>
  <c r="L167" i="7" s="1"/>
  <c r="J166" i="7"/>
  <c r="L166" i="7" s="1"/>
  <c r="J165" i="7"/>
  <c r="L165" i="7" s="1"/>
  <c r="J164" i="7"/>
  <c r="L164" i="7" s="1"/>
  <c r="J163" i="7"/>
  <c r="L163" i="7" s="1"/>
  <c r="J162" i="7"/>
  <c r="L162" i="7" s="1"/>
  <c r="J161" i="7"/>
  <c r="L161" i="7" s="1"/>
  <c r="J160" i="7"/>
  <c r="L160" i="7" s="1"/>
  <c r="J159" i="7"/>
  <c r="L159" i="7" s="1"/>
  <c r="J158" i="7"/>
  <c r="L158" i="7" s="1"/>
  <c r="J157" i="7"/>
  <c r="L157" i="7" s="1"/>
  <c r="J156" i="7"/>
  <c r="L156" i="7" s="1"/>
  <c r="J155" i="7"/>
  <c r="L155" i="7" s="1"/>
  <c r="J154" i="7"/>
  <c r="L154" i="7" s="1"/>
  <c r="J153" i="7"/>
  <c r="L153" i="7" s="1"/>
  <c r="J152" i="7"/>
  <c r="L152" i="7" s="1"/>
  <c r="J151" i="7"/>
  <c r="L151" i="7" s="1"/>
  <c r="J150" i="7"/>
  <c r="L150" i="7" s="1"/>
  <c r="J149" i="7"/>
  <c r="L149" i="7" s="1"/>
  <c r="J148" i="7"/>
  <c r="L148" i="7" s="1"/>
  <c r="J147" i="7"/>
  <c r="L147" i="7" s="1"/>
  <c r="J146" i="7"/>
  <c r="L146" i="7" s="1"/>
  <c r="J145" i="7"/>
  <c r="L145" i="7" s="1"/>
  <c r="J144" i="7"/>
  <c r="L144" i="7" s="1"/>
  <c r="J143" i="7"/>
  <c r="L143" i="7" s="1"/>
  <c r="J142" i="7"/>
  <c r="L142" i="7" s="1"/>
  <c r="J141" i="7"/>
  <c r="L141" i="7" s="1"/>
  <c r="J140" i="7"/>
  <c r="L140" i="7" s="1"/>
  <c r="J139" i="7"/>
  <c r="L139" i="7" s="1"/>
  <c r="J138" i="7"/>
  <c r="L138" i="7" s="1"/>
  <c r="J137" i="7"/>
  <c r="L137" i="7" s="1"/>
  <c r="J136" i="7"/>
  <c r="L136" i="7" s="1"/>
  <c r="J135" i="7"/>
  <c r="L135" i="7" s="1"/>
  <c r="J134" i="7"/>
  <c r="L134" i="7" s="1"/>
  <c r="J133" i="7"/>
  <c r="L133" i="7" s="1"/>
  <c r="J132" i="7"/>
  <c r="L132" i="7" s="1"/>
  <c r="J131" i="7"/>
  <c r="L131" i="7" s="1"/>
  <c r="J130" i="7"/>
  <c r="L130" i="7" s="1"/>
  <c r="J129" i="7"/>
  <c r="L129" i="7" s="1"/>
  <c r="J128" i="7"/>
  <c r="L128" i="7" s="1"/>
  <c r="J127" i="7"/>
  <c r="L127" i="7" s="1"/>
  <c r="J126" i="7"/>
  <c r="L126" i="7" s="1"/>
  <c r="J125" i="7"/>
  <c r="L125" i="7" s="1"/>
  <c r="J124" i="7"/>
  <c r="L124" i="7" s="1"/>
  <c r="J123" i="7"/>
  <c r="L123" i="7" s="1"/>
  <c r="J122" i="7"/>
  <c r="L122" i="7" s="1"/>
  <c r="J121" i="7"/>
  <c r="L121" i="7" s="1"/>
  <c r="J120" i="7"/>
  <c r="L120" i="7" s="1"/>
  <c r="J119" i="7"/>
  <c r="L119" i="7" s="1"/>
  <c r="J118" i="7"/>
  <c r="L118" i="7" s="1"/>
  <c r="J117" i="7"/>
  <c r="J116" i="7"/>
  <c r="L116" i="7" s="1"/>
  <c r="J115" i="7"/>
  <c r="L115" i="7" s="1"/>
  <c r="J114" i="7"/>
  <c r="L114" i="7" s="1"/>
  <c r="J113" i="7"/>
  <c r="L113" i="7" s="1"/>
  <c r="J112" i="7"/>
  <c r="K112" i="7" s="1"/>
  <c r="L112" i="7" s="1"/>
  <c r="J111" i="7"/>
  <c r="L111" i="7" s="1"/>
  <c r="J110" i="7"/>
  <c r="L110" i="7" s="1"/>
  <c r="J109" i="7"/>
  <c r="L109" i="7" s="1"/>
  <c r="J108" i="7"/>
  <c r="L108" i="7" s="1"/>
  <c r="J107" i="7"/>
  <c r="L107" i="7" s="1"/>
  <c r="J106" i="7"/>
  <c r="L106" i="7" s="1"/>
  <c r="J105" i="7"/>
  <c r="L105" i="7" s="1"/>
  <c r="J104" i="7"/>
  <c r="L104" i="7" s="1"/>
  <c r="J103" i="7"/>
  <c r="L103" i="7" s="1"/>
  <c r="J102" i="7"/>
  <c r="L102" i="7" s="1"/>
  <c r="J101" i="7"/>
  <c r="K101" i="7" s="1"/>
  <c r="L101" i="7" s="1"/>
  <c r="J100" i="7"/>
  <c r="L100" i="7" s="1"/>
  <c r="J99" i="7"/>
  <c r="K99" i="7" s="1"/>
  <c r="L99" i="7" s="1"/>
  <c r="J98" i="7"/>
  <c r="L98" i="7" s="1"/>
  <c r="J97" i="7"/>
  <c r="L97" i="7" s="1"/>
  <c r="J96" i="7"/>
  <c r="L96" i="7" s="1"/>
  <c r="J95" i="7"/>
  <c r="L95" i="7" s="1"/>
  <c r="J94" i="7"/>
  <c r="L94" i="7" s="1"/>
  <c r="J93" i="7"/>
  <c r="L93" i="7" s="1"/>
  <c r="J92" i="7"/>
  <c r="L92" i="7" s="1"/>
  <c r="J91" i="7"/>
  <c r="L91" i="7" s="1"/>
  <c r="J90" i="7"/>
  <c r="L90" i="7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L65" i="7" s="1"/>
  <c r="J64" i="7"/>
  <c r="L64" i="7" s="1"/>
  <c r="J63" i="7"/>
  <c r="L63" i="7" s="1"/>
  <c r="J62" i="7"/>
  <c r="L62" i="7" s="1"/>
  <c r="J61" i="7"/>
  <c r="L61" i="7" s="1"/>
  <c r="J60" i="7"/>
  <c r="L60" i="7" s="1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K34" i="7" s="1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K24" i="7" s="1"/>
  <c r="L24" i="7" s="1"/>
  <c r="J23" i="7"/>
  <c r="L23" i="7" s="1"/>
  <c r="J22" i="7"/>
  <c r="K22" i="7" s="1"/>
  <c r="L22" i="7" s="1"/>
  <c r="J21" i="7"/>
  <c r="J20" i="7"/>
  <c r="L20" i="7" s="1"/>
  <c r="J19" i="7"/>
  <c r="L19" i="7" s="1"/>
  <c r="J18" i="7"/>
  <c r="L18" i="7" s="1"/>
  <c r="J17" i="7"/>
  <c r="L17" i="7" s="1"/>
  <c r="J16" i="7"/>
  <c r="L16" i="7" s="1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L7" i="7"/>
  <c r="L6" i="7"/>
  <c r="K55" i="9" l="1"/>
  <c r="L55" i="9" s="1"/>
  <c r="K117" i="7"/>
  <c r="L117" i="7" s="1"/>
  <c r="K21" i="7"/>
  <c r="L21" i="7" s="1"/>
  <c r="D334" i="7"/>
  <c r="L334" i="7" s="1"/>
  <c r="D333" i="7" l="1"/>
  <c r="L333" i="7" l="1"/>
</calcChain>
</file>

<file path=xl/sharedStrings.xml><?xml version="1.0" encoding="utf-8"?>
<sst xmlns="http://schemas.openxmlformats.org/spreadsheetml/2006/main" count="485" uniqueCount="361">
  <si>
    <t xml:space="preserve">AITKIN          </t>
  </si>
  <si>
    <t xml:space="preserve">MINNEAPOLIS     </t>
  </si>
  <si>
    <t xml:space="preserve">HILL CITY       </t>
  </si>
  <si>
    <t xml:space="preserve">MCGREGOR        </t>
  </si>
  <si>
    <t xml:space="preserve">CENTENNIAL      </t>
  </si>
  <si>
    <t xml:space="preserve">FRIDLEY         </t>
  </si>
  <si>
    <t xml:space="preserve">ST. FRANCIS     </t>
  </si>
  <si>
    <t xml:space="preserve">DETROIT LAKES   </t>
  </si>
  <si>
    <t xml:space="preserve">FRAZEE          </t>
  </si>
  <si>
    <t xml:space="preserve">BEMIDJI         </t>
  </si>
  <si>
    <t xml:space="preserve">BLACKDUCK       </t>
  </si>
  <si>
    <t xml:space="preserve">SAUK RAPIDS     </t>
  </si>
  <si>
    <t xml:space="preserve">ST. CLAIR       </t>
  </si>
  <si>
    <t xml:space="preserve">MANKATO         </t>
  </si>
  <si>
    <t xml:space="preserve">COMFREY         </t>
  </si>
  <si>
    <t xml:space="preserve">SLEEPY EYE      </t>
  </si>
  <si>
    <t xml:space="preserve">SPRINGFIELD     </t>
  </si>
  <si>
    <t xml:space="preserve">NEW ULM         </t>
  </si>
  <si>
    <t xml:space="preserve">BARNUM          </t>
  </si>
  <si>
    <t xml:space="preserve">CARLTON         </t>
  </si>
  <si>
    <t xml:space="preserve">CLOQUET         </t>
  </si>
  <si>
    <t xml:space="preserve">MOOSE LAKE      </t>
  </si>
  <si>
    <t xml:space="preserve">ESKO            </t>
  </si>
  <si>
    <t xml:space="preserve">WRENSHALL       </t>
  </si>
  <si>
    <t xml:space="preserve">NORWOOD         </t>
  </si>
  <si>
    <t xml:space="preserve">WACONIA         </t>
  </si>
  <si>
    <t xml:space="preserve">CASS LAKE       </t>
  </si>
  <si>
    <t xml:space="preserve">PILLAGER        </t>
  </si>
  <si>
    <t xml:space="preserve">MONTEVIDEO      </t>
  </si>
  <si>
    <t xml:space="preserve">RUSH CITY       </t>
  </si>
  <si>
    <t xml:space="preserve">CHISAGO LAKES   </t>
  </si>
  <si>
    <t xml:space="preserve">BARNESVILLE     </t>
  </si>
  <si>
    <t xml:space="preserve">HAWLEY          </t>
  </si>
  <si>
    <t xml:space="preserve">MOORHEAD        </t>
  </si>
  <si>
    <t xml:space="preserve">BAGLEY          </t>
  </si>
  <si>
    <t xml:space="preserve">COOK COUNTY     </t>
  </si>
  <si>
    <t xml:space="preserve">WINDOM          </t>
  </si>
  <si>
    <t xml:space="preserve">BRAINERD        </t>
  </si>
  <si>
    <t xml:space="preserve">PEQUOT LAKES    </t>
  </si>
  <si>
    <t xml:space="preserve">BURNSVILLE      </t>
  </si>
  <si>
    <t xml:space="preserve">FARMINGTON      </t>
  </si>
  <si>
    <t xml:space="preserve">LAKEVILLE       </t>
  </si>
  <si>
    <t xml:space="preserve">RANDOLPH        </t>
  </si>
  <si>
    <t xml:space="preserve">INVER GROVE     </t>
  </si>
  <si>
    <t xml:space="preserve">HASTINGS        </t>
  </si>
  <si>
    <t xml:space="preserve">HAYFIELD        </t>
  </si>
  <si>
    <t xml:space="preserve">ALEXANDRIA      </t>
  </si>
  <si>
    <t xml:space="preserve">OSAKIS          </t>
  </si>
  <si>
    <t xml:space="preserve">CHATFIELD       </t>
  </si>
  <si>
    <t xml:space="preserve">LANESBORO       </t>
  </si>
  <si>
    <t xml:space="preserve">ALBERT LEA      </t>
  </si>
  <si>
    <t xml:space="preserve">ALDEN           </t>
  </si>
  <si>
    <t xml:space="preserve">CANNON FALLS    </t>
  </si>
  <si>
    <t xml:space="preserve">GOODHUE         </t>
  </si>
  <si>
    <t xml:space="preserve">PINE ISLAND     </t>
  </si>
  <si>
    <t xml:space="preserve">RED WING        </t>
  </si>
  <si>
    <t xml:space="preserve">ASHBY           </t>
  </si>
  <si>
    <t xml:space="preserve">HOPKINS         </t>
  </si>
  <si>
    <t xml:space="preserve">BLOOMINGTON     </t>
  </si>
  <si>
    <t xml:space="preserve">EDEN PRAIRIE    </t>
  </si>
  <si>
    <t xml:space="preserve">EDINA           </t>
  </si>
  <si>
    <t xml:space="preserve">MINNETONKA      </t>
  </si>
  <si>
    <t xml:space="preserve">WESTONKA        </t>
  </si>
  <si>
    <t xml:space="preserve">ORONO           </t>
  </si>
  <si>
    <t xml:space="preserve">OSSEO           </t>
  </si>
  <si>
    <t xml:space="preserve">RICHFIELD       </t>
  </si>
  <si>
    <t xml:space="preserve">ROBBINSDALE     </t>
  </si>
  <si>
    <t xml:space="preserve">WAYZATA         </t>
  </si>
  <si>
    <t xml:space="preserve">HOUSTON         </t>
  </si>
  <si>
    <t xml:space="preserve">SPRING GROVE    </t>
  </si>
  <si>
    <t xml:space="preserve">NEVIS           </t>
  </si>
  <si>
    <t xml:space="preserve">PARK RAPIDS     </t>
  </si>
  <si>
    <t xml:space="preserve">BRAHAM          </t>
  </si>
  <si>
    <t xml:space="preserve">GREENWAY        </t>
  </si>
  <si>
    <t xml:space="preserve">DEER RIVER      </t>
  </si>
  <si>
    <t xml:space="preserve">FRANCONIA       </t>
  </si>
  <si>
    <t xml:space="preserve">MORA            </t>
  </si>
  <si>
    <t xml:space="preserve">WILLMAR         </t>
  </si>
  <si>
    <t xml:space="preserve">LANCASTER       </t>
  </si>
  <si>
    <t xml:space="preserve">CLEVELAND       </t>
  </si>
  <si>
    <t xml:space="preserve">HENDRICKS       </t>
  </si>
  <si>
    <t xml:space="preserve">IVANHOE         </t>
  </si>
  <si>
    <t xml:space="preserve">LAKE BENTON     </t>
  </si>
  <si>
    <t xml:space="preserve">MARSHALL        </t>
  </si>
  <si>
    <t xml:space="preserve">MINNEOTA        </t>
  </si>
  <si>
    <t xml:space="preserve">LYND            </t>
  </si>
  <si>
    <t xml:space="preserve">HUTCHINSON      </t>
  </si>
  <si>
    <t xml:space="preserve">MAHNOMEN        </t>
  </si>
  <si>
    <t xml:space="preserve">WAUBUN          </t>
  </si>
  <si>
    <t xml:space="preserve">GRYGLA          </t>
  </si>
  <si>
    <t xml:space="preserve">LITCHFIELD      </t>
  </si>
  <si>
    <t xml:space="preserve">ISLE            </t>
  </si>
  <si>
    <t xml:space="preserve">PRINCETON       </t>
  </si>
  <si>
    <t xml:space="preserve">ONAMIA          </t>
  </si>
  <si>
    <t xml:space="preserve">LITTLE FALLS    </t>
  </si>
  <si>
    <t xml:space="preserve">PIERZ           </t>
  </si>
  <si>
    <t xml:space="preserve">ROYALTON        </t>
  </si>
  <si>
    <t xml:space="preserve">SWANVILLE       </t>
  </si>
  <si>
    <t xml:space="preserve">UPSALA          </t>
  </si>
  <si>
    <t xml:space="preserve">AUSTIN          </t>
  </si>
  <si>
    <t xml:space="preserve">LYLE            </t>
  </si>
  <si>
    <t xml:space="preserve">LEROY           </t>
  </si>
  <si>
    <t xml:space="preserve">SOUTHLAND       </t>
  </si>
  <si>
    <t xml:space="preserve">FULDA           </t>
  </si>
  <si>
    <t xml:space="preserve">NICOLLET        </t>
  </si>
  <si>
    <t xml:space="preserve">ST. PETER       </t>
  </si>
  <si>
    <t xml:space="preserve">ADRIAN          </t>
  </si>
  <si>
    <t xml:space="preserve">ELLSWORTH       </t>
  </si>
  <si>
    <t xml:space="preserve">BYRON           </t>
  </si>
  <si>
    <t xml:space="preserve">DOVER-EYOTA     </t>
  </si>
  <si>
    <t xml:space="preserve">STEWARTVILLE    </t>
  </si>
  <si>
    <t xml:space="preserve">ROCHESTER       </t>
  </si>
  <si>
    <t xml:space="preserve">BATTLE LAKE     </t>
  </si>
  <si>
    <t xml:space="preserve">FERGUS FALLS    </t>
  </si>
  <si>
    <t xml:space="preserve">HENNING         </t>
  </si>
  <si>
    <t xml:space="preserve">PERHAM          </t>
  </si>
  <si>
    <t xml:space="preserve">UNDERWOOD       </t>
  </si>
  <si>
    <t xml:space="preserve">GOODRIDGE       </t>
  </si>
  <si>
    <t xml:space="preserve">WILLOW RIVER    </t>
  </si>
  <si>
    <t xml:space="preserve">PINE CITY       </t>
  </si>
  <si>
    <t xml:space="preserve">EDGERTON        </t>
  </si>
  <si>
    <t xml:space="preserve">CLIMAX          </t>
  </si>
  <si>
    <t xml:space="preserve">CROOKSTON       </t>
  </si>
  <si>
    <t xml:space="preserve">FISHER          </t>
  </si>
  <si>
    <t xml:space="preserve">FOSSTON         </t>
  </si>
  <si>
    <t xml:space="preserve">MOUNDS VIEW     </t>
  </si>
  <si>
    <t xml:space="preserve">ROSEVILLE       </t>
  </si>
  <si>
    <t xml:space="preserve">RED LAKE FALLS  </t>
  </si>
  <si>
    <t xml:space="preserve">MILROY          </t>
  </si>
  <si>
    <t xml:space="preserve">WABASSO         </t>
  </si>
  <si>
    <t xml:space="preserve">FARIBAULT       </t>
  </si>
  <si>
    <t xml:space="preserve">NORTHFIELD      </t>
  </si>
  <si>
    <t xml:space="preserve">LUVERNE         </t>
  </si>
  <si>
    <t xml:space="preserve">BADGER          </t>
  </si>
  <si>
    <t xml:space="preserve">CHISHOLM        </t>
  </si>
  <si>
    <t xml:space="preserve">ELY             </t>
  </si>
  <si>
    <t xml:space="preserve">FLOODWOOD       </t>
  </si>
  <si>
    <t xml:space="preserve">HIBBING         </t>
  </si>
  <si>
    <t xml:space="preserve">PROCTOR         </t>
  </si>
  <si>
    <t xml:space="preserve">VIRGINIA        </t>
  </si>
  <si>
    <t xml:space="preserve">DULUTH          </t>
  </si>
  <si>
    <t xml:space="preserve">BELLE PLAINE    </t>
  </si>
  <si>
    <t xml:space="preserve">JORDAN          </t>
  </si>
  <si>
    <t xml:space="preserve">PRIOR LAKE      </t>
  </si>
  <si>
    <t xml:space="preserve">SHAKOPEE        </t>
  </si>
  <si>
    <t xml:space="preserve">NEW PRAGUE      </t>
  </si>
  <si>
    <t xml:space="preserve">BECKER          </t>
  </si>
  <si>
    <t xml:space="preserve">BIG LAKE        </t>
  </si>
  <si>
    <t xml:space="preserve">ELK RIVER       </t>
  </si>
  <si>
    <t xml:space="preserve">HOLDINGFORD     </t>
  </si>
  <si>
    <t xml:space="preserve">KIMBALL         </t>
  </si>
  <si>
    <t xml:space="preserve">MELROSE         </t>
  </si>
  <si>
    <t xml:space="preserve">PAYNESVILLE     </t>
  </si>
  <si>
    <t xml:space="preserve">ST. CLOUD       </t>
  </si>
  <si>
    <t xml:space="preserve">SAUK CENTRE     </t>
  </si>
  <si>
    <t xml:space="preserve">ALBANY          </t>
  </si>
  <si>
    <t xml:space="preserve">SARTELL         </t>
  </si>
  <si>
    <t xml:space="preserve">ROCORI          </t>
  </si>
  <si>
    <t xml:space="preserve">OWATONNA        </t>
  </si>
  <si>
    <t xml:space="preserve">MEDFORD         </t>
  </si>
  <si>
    <t xml:space="preserve">HANCOCK         </t>
  </si>
  <si>
    <t xml:space="preserve">BENSON          </t>
  </si>
  <si>
    <t xml:space="preserve">BROWERVILLE     </t>
  </si>
  <si>
    <t xml:space="preserve">LAKE CITY       </t>
  </si>
  <si>
    <t xml:space="preserve">PRINSBURG       </t>
  </si>
  <si>
    <t xml:space="preserve">VERNDALE        </t>
  </si>
  <si>
    <t xml:space="preserve">SEBEKA          </t>
  </si>
  <si>
    <t xml:space="preserve">MENAHGA         </t>
  </si>
  <si>
    <t xml:space="preserve">WASECA          </t>
  </si>
  <si>
    <t xml:space="preserve">FOREST LAKE     </t>
  </si>
  <si>
    <t xml:space="preserve">MAHTOMEDI       </t>
  </si>
  <si>
    <t xml:space="preserve">STILLWATER      </t>
  </si>
  <si>
    <t xml:space="preserve">BUTTERFIELD     </t>
  </si>
  <si>
    <t xml:space="preserve">MADELIA         </t>
  </si>
  <si>
    <t xml:space="preserve">ST. JAMES       </t>
  </si>
  <si>
    <t xml:space="preserve">BRECKENRIDGE    </t>
  </si>
  <si>
    <t xml:space="preserve">ROTHSAY         </t>
  </si>
  <si>
    <t xml:space="preserve">LEWISTON        </t>
  </si>
  <si>
    <t xml:space="preserve">ST. CHARLES     </t>
  </si>
  <si>
    <t xml:space="preserve">WINONA          </t>
  </si>
  <si>
    <t xml:space="preserve">ANNANDALE       </t>
  </si>
  <si>
    <t xml:space="preserve">BUFFALO         </t>
  </si>
  <si>
    <t xml:space="preserve">DELANO          </t>
  </si>
  <si>
    <t xml:space="preserve">MAPLE LAKE      </t>
  </si>
  <si>
    <t xml:space="preserve">MONTICELLO      </t>
  </si>
  <si>
    <t xml:space="preserve">ROCKFORD        </t>
  </si>
  <si>
    <t xml:space="preserve">CANBY           </t>
  </si>
  <si>
    <t xml:space="preserve">MILACA          </t>
  </si>
  <si>
    <t xml:space="preserve">TRITON          </t>
  </si>
  <si>
    <t xml:space="preserve">MAPLE RIVER     </t>
  </si>
  <si>
    <t xml:space="preserve">KINGSLAND       </t>
  </si>
  <si>
    <t xml:space="preserve">MINNEWASKA      </t>
  </si>
  <si>
    <t xml:space="preserve">LAKEVIEW        </t>
  </si>
  <si>
    <t xml:space="preserve">N.R.H.E.G.      </t>
  </si>
  <si>
    <t xml:space="preserve">M.A.C.C.R.A.Y.  </t>
  </si>
  <si>
    <t xml:space="preserve">SIBLEY EAST     </t>
  </si>
  <si>
    <t xml:space="preserve">TRI-COUNTY      </t>
  </si>
  <si>
    <t xml:space="preserve">G.F.W.          </t>
  </si>
  <si>
    <t xml:space="preserve">WIN-E-MAC       </t>
  </si>
  <si>
    <t xml:space="preserve">MESABI EAST     </t>
  </si>
  <si>
    <t xml:space="preserve">EAGLE VALLEY    </t>
  </si>
  <si>
    <t xml:space="preserve">ADA-BORUP       </t>
  </si>
  <si>
    <t xml:space="preserve">WATERTOWN </t>
  </si>
  <si>
    <t>WALKER</t>
  </si>
  <si>
    <t>NORTHLAND</t>
  </si>
  <si>
    <t>ROSEMOUNT</t>
  </si>
  <si>
    <t>WEST ST. PAUL</t>
  </si>
  <si>
    <t>HERMAN</t>
  </si>
  <si>
    <t>ST. ANTHONY</t>
  </si>
  <si>
    <t>NASHWAUK</t>
  </si>
  <si>
    <t>LACRESCENT</t>
  </si>
  <si>
    <t>HERON LAKE</t>
  </si>
  <si>
    <t>RUSHFORD</t>
  </si>
  <si>
    <t>KASSON-MANT</t>
  </si>
  <si>
    <t xml:space="preserve">CROSBY-IRONT  </t>
  </si>
  <si>
    <t xml:space="preserve">ANOKA  </t>
  </si>
  <si>
    <t>NEW LONDON</t>
  </si>
  <si>
    <t>INTNL FALLS</t>
  </si>
  <si>
    <t>LAKE/WOODS</t>
  </si>
  <si>
    <t xml:space="preserve">MARSHALL CO </t>
  </si>
  <si>
    <t>EDEN VALLEY</t>
  </si>
  <si>
    <t>FERTILE</t>
  </si>
  <si>
    <t xml:space="preserve">WHITE BEAR LK </t>
  </si>
  <si>
    <t xml:space="preserve">ST PAUL        </t>
  </si>
  <si>
    <t>MORRIS AREA</t>
  </si>
  <si>
    <t>HILLS-BC</t>
  </si>
  <si>
    <t>MT IRON</t>
  </si>
  <si>
    <t>BLOOMING PR</t>
  </si>
  <si>
    <t xml:space="preserve">CHOKIO  </t>
  </si>
  <si>
    <t>K.M.S.</t>
  </si>
  <si>
    <t xml:space="preserve">BERTHA   </t>
  </si>
  <si>
    <t xml:space="preserve">WABASHA </t>
  </si>
  <si>
    <t xml:space="preserve">CAMPBELL </t>
  </si>
  <si>
    <t>ST. MICHAEL</t>
  </si>
  <si>
    <t>CAMBRIDGE</t>
  </si>
  <si>
    <t xml:space="preserve">ULEN-HITTERDL  </t>
  </si>
  <si>
    <t>LAKE CRYSTAL</t>
  </si>
  <si>
    <t>ST. LOUIS CO</t>
  </si>
  <si>
    <t>WATERVILLE</t>
  </si>
  <si>
    <t xml:space="preserve">EVELETH-GILB </t>
  </si>
  <si>
    <t>WADENA</t>
  </si>
  <si>
    <t>B. L.-HECTOR</t>
  </si>
  <si>
    <t>DILWORTH-G.F.</t>
  </si>
  <si>
    <t>HINCKLEY</t>
  </si>
  <si>
    <t>MURRAY CO</t>
  </si>
  <si>
    <t xml:space="preserve">STAPLES  </t>
  </si>
  <si>
    <t xml:space="preserve">KITTSON CNTR </t>
  </si>
  <si>
    <t>KENYON</t>
  </si>
  <si>
    <t>PINE RIVER</t>
  </si>
  <si>
    <t>WARREN</t>
  </si>
  <si>
    <t xml:space="preserve">YELLOW MED E </t>
  </si>
  <si>
    <t>FILLMORE CNTR</t>
  </si>
  <si>
    <t>NORMAN CO E</t>
  </si>
  <si>
    <t>CLEARBROOK</t>
  </si>
  <si>
    <t>WEST CENTRAL</t>
  </si>
  <si>
    <t>B.B.E.</t>
  </si>
  <si>
    <t xml:space="preserve">A.C.G.C. </t>
  </si>
  <si>
    <t>LESUEUR</t>
  </si>
  <si>
    <t>MARTIN CO W</t>
  </si>
  <si>
    <t>NORMAN CO W</t>
  </si>
  <si>
    <t>B.O.L.D.</t>
  </si>
  <si>
    <t>GRANADA H</t>
  </si>
  <si>
    <t>GREENBUSH</t>
  </si>
  <si>
    <t>HOWARD LAKE</t>
  </si>
  <si>
    <t>PIPESTONE</t>
  </si>
  <si>
    <t>LONG PRAIRIE</t>
  </si>
  <si>
    <t xml:space="preserve">CEDAR MOUNT  </t>
  </si>
  <si>
    <t>ZUMBROTA</t>
  </si>
  <si>
    <t>J.W.P.</t>
  </si>
  <si>
    <t>LAC QUI PARLE</t>
  </si>
  <si>
    <t>STEPHEN-ARG</t>
  </si>
  <si>
    <t>GLENCOE-S L</t>
  </si>
  <si>
    <t xml:space="preserve">BLUE EARTH </t>
  </si>
  <si>
    <t>RED ROCK CNTR</t>
  </si>
  <si>
    <t>GLENVILLE</t>
  </si>
  <si>
    <t>CLINTON-G.B.</t>
  </si>
  <si>
    <t>LAKE PK AUDB</t>
  </si>
  <si>
    <t>WESTBRK-W G</t>
  </si>
  <si>
    <t>PLAINVIEW</t>
  </si>
  <si>
    <t xml:space="preserve">R.T.R. </t>
  </si>
  <si>
    <t>ORTONVILLE</t>
  </si>
  <si>
    <t>TRACY AREA</t>
  </si>
  <si>
    <t xml:space="preserve">RED LAKE CO C </t>
  </si>
  <si>
    <t>BRAND-EVANS</t>
  </si>
  <si>
    <t>Dist</t>
  </si>
  <si>
    <t>Num</t>
  </si>
  <si>
    <t xml:space="preserve"> </t>
  </si>
  <si>
    <t>Ty</t>
  </si>
  <si>
    <t>Fun7  GNL464</t>
  </si>
  <si>
    <t xml:space="preserve">MOUNTAIN LK   </t>
  </si>
  <si>
    <t xml:space="preserve">NEW YORK MILL  </t>
  </si>
  <si>
    <t>TH RIVER FALLS</t>
  </si>
  <si>
    <t xml:space="preserve">BROWNS VAL   </t>
  </si>
  <si>
    <t>WHEATON</t>
  </si>
  <si>
    <t>FAIRMONT</t>
  </si>
  <si>
    <t xml:space="preserve">TRICITY UNITED </t>
  </si>
  <si>
    <t>RND LK-BRWST</t>
  </si>
  <si>
    <t>UNITD SO CNTR</t>
  </si>
  <si>
    <t>SO WASHINGT</t>
  </si>
  <si>
    <t xml:space="preserve">HERMANTWN      </t>
  </si>
  <si>
    <t>NO ST PAUL</t>
  </si>
  <si>
    <t>E GRND FORKS</t>
  </si>
  <si>
    <t xml:space="preserve">PELICAN RPDS  </t>
  </si>
  <si>
    <t xml:space="preserve">PARKERS PR </t>
  </si>
  <si>
    <t xml:space="preserve">WORTHINGTN     </t>
  </si>
  <si>
    <t xml:space="preserve">GRND MEADW    </t>
  </si>
  <si>
    <t xml:space="preserve">LESTER PR </t>
  </si>
  <si>
    <t xml:space="preserve">LK SUPERIOR   </t>
  </si>
  <si>
    <t xml:space="preserve">DAWSON     </t>
  </si>
  <si>
    <t>SO KOOCH</t>
  </si>
  <si>
    <t xml:space="preserve">GRND RAPIDS    </t>
  </si>
  <si>
    <t xml:space="preserve">BROOKLYN C </t>
  </si>
  <si>
    <t xml:space="preserve">ST LOUIS PARK  </t>
  </si>
  <si>
    <t xml:space="preserve">MABEL-CANT    </t>
  </si>
  <si>
    <t xml:space="preserve">NORTH BRNCH    </t>
  </si>
  <si>
    <t>EAST CARVER</t>
  </si>
  <si>
    <t>SPRING LK PK</t>
  </si>
  <si>
    <t xml:space="preserve">SO ST PAUL  </t>
  </si>
  <si>
    <t xml:space="preserve">DASSEL-COKAT   </t>
  </si>
  <si>
    <t>Unavail Bal Fun7</t>
  </si>
  <si>
    <t>Restricted Bal</t>
  </si>
  <si>
    <t>GNL425,451,460</t>
  </si>
  <si>
    <t>Pay 13 debt</t>
  </si>
  <si>
    <t>excess retained</t>
  </si>
  <si>
    <t>COL. HEIGHTS</t>
  </si>
  <si>
    <t xml:space="preserve">KELLIHER (CL)       </t>
  </si>
  <si>
    <t xml:space="preserve">RED LAKE (CL)       </t>
  </si>
  <si>
    <t xml:space="preserve">FOLEY (CL)           </t>
  </si>
  <si>
    <t>Dist Name</t>
  </si>
  <si>
    <t>(CL) Cap Loan Out</t>
  </si>
  <si>
    <t xml:space="preserve">CROMWELL (CL)       </t>
  </si>
  <si>
    <t xml:space="preserve">CALEDONIA (CL)      </t>
  </si>
  <si>
    <t xml:space="preserve">LAPORTE (CL)         </t>
  </si>
  <si>
    <t xml:space="preserve">OGILVIE (CL)         </t>
  </si>
  <si>
    <t>LITTLEFORK (CL)</t>
  </si>
  <si>
    <t xml:space="preserve">ROSEAU (CL)          </t>
  </si>
  <si>
    <t xml:space="preserve">WARROAD (CL)         </t>
  </si>
  <si>
    <t xml:space="preserve">NETT LAKE (CL)       </t>
  </si>
  <si>
    <t xml:space="preserve">EAST CNTRL (CL)    </t>
  </si>
  <si>
    <t>TRUMAN</t>
  </si>
  <si>
    <t xml:space="preserve">REDWOOD </t>
  </si>
  <si>
    <t xml:space="preserve">RENVILLE CO </t>
  </si>
  <si>
    <t xml:space="preserve">JACKSON CO </t>
  </si>
  <si>
    <t>Debt Service Levy</t>
  </si>
  <si>
    <t>5% of Required</t>
  </si>
  <si>
    <t>Debt Serv Levy</t>
  </si>
  <si>
    <t>Debt Excess</t>
  </si>
  <si>
    <t>Pay 14  Fun7 Req</t>
  </si>
  <si>
    <t>Pay 14 Fund 7</t>
  </si>
  <si>
    <t>Fun47  GNL464</t>
  </si>
  <si>
    <t>GNL 425 &amp; 460</t>
  </si>
  <si>
    <t>Capital Loan</t>
  </si>
  <si>
    <t>Retained for</t>
  </si>
  <si>
    <t xml:space="preserve">Payable 2014 Debt Excess (Fund 7)     Col (9) = Cols (1)-(3)-(4)-(7)-(8)  </t>
  </si>
  <si>
    <t>Pay 14 Fund 47</t>
  </si>
  <si>
    <t>Pay14  Fun47 Req</t>
  </si>
  <si>
    <t>Unavail Bal Fn47</t>
  </si>
  <si>
    <t>Pay 12 debt exc</t>
  </si>
  <si>
    <t>Pay 13 debt exc</t>
  </si>
  <si>
    <t>levy reduction</t>
  </si>
  <si>
    <t xml:space="preserve">Payable 2014 Debt Excess (Fund 47)     Col (9) = Cols (1)-(3)-(4)-(7)-(8)   Display is for districts that have a Fund 47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</si>
</sst>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_);\(0\)"/>
    <numFmt numFmtId="165" formatCode="[$-409]d\-mmm\-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2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3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43" fontId="0" fillId="0" borderId="0" xfId="0" applyNumberFormat="1"/>
    <xf numFmtId="0" fontId="0" fillId="0" borderId="0" xfId="0" applyFill="1"/>
    <xf numFmtId="43" fontId="0" fillId="2" borderId="0" xfId="1" applyFont="1" applyFill="1"/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K8" sqref="K8"/>
    </sheetView>
  </sheetViews>
  <sheetFormatPr defaultRowHeight="15" x14ac:dyDescent="0.25"/>
  <cols>
    <col min="1" max="1" width="5.28515625" customWidth="1"/>
    <col min="2" max="2" width="2.7109375" customWidth="1"/>
    <col min="3" max="3" width="14.7109375" customWidth="1"/>
    <col min="4" max="4" width="13.28515625" customWidth="1"/>
    <col min="5" max="5" width="14" customWidth="1"/>
    <col min="6" max="8" width="13.28515625" customWidth="1"/>
    <col min="9" max="9" width="13.7109375" customWidth="1"/>
    <col min="10" max="11" width="12.7109375" customWidth="1"/>
    <col min="12" max="12" width="13.28515625" customWidth="1"/>
  </cols>
  <sheetData>
    <row r="1" spans="1:12" x14ac:dyDescent="0.25">
      <c r="A1" s="8" t="s">
        <v>360</v>
      </c>
    </row>
    <row r="2" spans="1:12" x14ac:dyDescent="0.25">
      <c r="D2" s="3">
        <v>-1</v>
      </c>
      <c r="E2" s="3">
        <v>-2</v>
      </c>
      <c r="F2" s="3">
        <v>-3</v>
      </c>
      <c r="G2" s="3">
        <v>-4</v>
      </c>
      <c r="H2" s="3">
        <v>-5</v>
      </c>
      <c r="I2" s="3">
        <v>-6</v>
      </c>
      <c r="J2" s="3">
        <v>-7</v>
      </c>
      <c r="K2" s="3">
        <v>-8</v>
      </c>
      <c r="L2" s="3">
        <v>-9</v>
      </c>
    </row>
    <row r="3" spans="1:12" x14ac:dyDescent="0.25">
      <c r="A3" s="2" t="s">
        <v>284</v>
      </c>
      <c r="B3" t="s">
        <v>287</v>
      </c>
      <c r="C3" t="s">
        <v>328</v>
      </c>
      <c r="D3" s="2" t="s">
        <v>320</v>
      </c>
      <c r="E3" s="6" t="s">
        <v>356</v>
      </c>
      <c r="F3" s="6" t="s">
        <v>357</v>
      </c>
      <c r="G3" s="6" t="s">
        <v>358</v>
      </c>
      <c r="H3" s="2" t="s">
        <v>322</v>
      </c>
      <c r="I3" s="6" t="s">
        <v>355</v>
      </c>
      <c r="J3" s="6" t="s">
        <v>344</v>
      </c>
      <c r="K3" s="2" t="s">
        <v>352</v>
      </c>
      <c r="L3" s="2" t="s">
        <v>354</v>
      </c>
    </row>
    <row r="4" spans="1:12" x14ac:dyDescent="0.25">
      <c r="A4" s="2" t="s">
        <v>285</v>
      </c>
      <c r="B4" t="s">
        <v>286</v>
      </c>
      <c r="C4" s="7" t="s">
        <v>329</v>
      </c>
      <c r="D4" s="2" t="s">
        <v>349</v>
      </c>
      <c r="E4" s="6" t="s">
        <v>350</v>
      </c>
      <c r="F4" s="6" t="s">
        <v>359</v>
      </c>
      <c r="G4" s="6" t="s">
        <v>359</v>
      </c>
      <c r="H4" s="6" t="s">
        <v>323</v>
      </c>
      <c r="I4" s="7" t="s">
        <v>343</v>
      </c>
      <c r="J4" s="6" t="s">
        <v>345</v>
      </c>
      <c r="K4" s="2" t="s">
        <v>351</v>
      </c>
      <c r="L4" s="2" t="s">
        <v>346</v>
      </c>
    </row>
    <row r="5" spans="1:12" x14ac:dyDescent="0.25">
      <c r="D5" s="4">
        <v>41090</v>
      </c>
      <c r="E5" s="4">
        <v>41090</v>
      </c>
      <c r="F5" s="2" t="s">
        <v>286</v>
      </c>
      <c r="G5" s="2" t="s">
        <v>286</v>
      </c>
    </row>
    <row r="6" spans="1:12" x14ac:dyDescent="0.25">
      <c r="A6">
        <v>4</v>
      </c>
      <c r="B6">
        <v>1</v>
      </c>
      <c r="C6" t="s">
        <v>3</v>
      </c>
      <c r="D6" s="1">
        <v>13343.51</v>
      </c>
      <c r="E6" s="1">
        <v>0</v>
      </c>
      <c r="F6" s="1">
        <v>0</v>
      </c>
      <c r="G6" s="1">
        <v>53777.87</v>
      </c>
      <c r="H6" s="1">
        <v>0</v>
      </c>
      <c r="I6" s="1">
        <v>159522</v>
      </c>
      <c r="J6" s="1">
        <f t="shared" ref="J6:J32" si="0">ROUND(I6/20,2)</f>
        <v>7976.1</v>
      </c>
      <c r="K6" s="1">
        <v>0</v>
      </c>
      <c r="L6" s="11">
        <f t="shared" ref="L6:L32" si="1">MAX((D6-F6-G6-J6),0)</f>
        <v>0</v>
      </c>
    </row>
    <row r="7" spans="1:12" x14ac:dyDescent="0.25">
      <c r="A7">
        <v>6</v>
      </c>
      <c r="B7">
        <v>3</v>
      </c>
      <c r="C7" t="s">
        <v>317</v>
      </c>
      <c r="D7" s="1">
        <v>19107.66</v>
      </c>
      <c r="E7" s="1">
        <v>0</v>
      </c>
      <c r="F7" s="1">
        <v>156515</v>
      </c>
      <c r="G7" s="1">
        <v>0</v>
      </c>
      <c r="H7" s="1">
        <v>0</v>
      </c>
      <c r="I7" s="1">
        <v>753491</v>
      </c>
      <c r="J7" s="1">
        <f t="shared" si="0"/>
        <v>37674.550000000003</v>
      </c>
      <c r="K7" s="1">
        <v>0</v>
      </c>
      <c r="L7" s="11">
        <f t="shared" si="1"/>
        <v>0</v>
      </c>
    </row>
    <row r="8" spans="1:12" x14ac:dyDescent="0.25">
      <c r="A8">
        <v>11</v>
      </c>
      <c r="B8">
        <v>1</v>
      </c>
      <c r="C8" t="s">
        <v>215</v>
      </c>
      <c r="D8" s="1">
        <v>434732.25</v>
      </c>
      <c r="E8" s="1">
        <v>0</v>
      </c>
      <c r="F8" s="1">
        <v>161906.69</v>
      </c>
      <c r="G8" s="1">
        <v>75213.75</v>
      </c>
      <c r="H8" s="1">
        <v>0</v>
      </c>
      <c r="I8" s="1">
        <v>2224394</v>
      </c>
      <c r="J8" s="1">
        <f t="shared" si="0"/>
        <v>111219.7</v>
      </c>
      <c r="K8" s="1">
        <v>0</v>
      </c>
      <c r="L8" s="11">
        <f t="shared" si="1"/>
        <v>86392.11</v>
      </c>
    </row>
    <row r="9" spans="1:12" x14ac:dyDescent="0.25">
      <c r="A9">
        <v>12</v>
      </c>
      <c r="B9">
        <v>1</v>
      </c>
      <c r="C9" t="s">
        <v>4</v>
      </c>
      <c r="D9" s="1">
        <v>118909</v>
      </c>
      <c r="E9" s="1">
        <v>0</v>
      </c>
      <c r="F9" s="1">
        <v>11618.59</v>
      </c>
      <c r="G9" s="1">
        <v>17213.3</v>
      </c>
      <c r="H9" s="1">
        <v>0</v>
      </c>
      <c r="I9" s="1">
        <v>651672</v>
      </c>
      <c r="J9" s="1">
        <f t="shared" si="0"/>
        <v>32583.599999999999</v>
      </c>
      <c r="K9" s="1">
        <v>0</v>
      </c>
      <c r="L9" s="11">
        <f t="shared" si="1"/>
        <v>57493.51</v>
      </c>
    </row>
    <row r="10" spans="1:12" x14ac:dyDescent="0.25">
      <c r="A10">
        <v>14</v>
      </c>
      <c r="B10">
        <v>1</v>
      </c>
      <c r="C10" t="s">
        <v>5</v>
      </c>
      <c r="D10" s="1">
        <v>35142.660000000003</v>
      </c>
      <c r="E10" s="1">
        <v>0</v>
      </c>
      <c r="F10" s="1">
        <v>0</v>
      </c>
      <c r="G10" s="1">
        <v>0</v>
      </c>
      <c r="H10" s="1">
        <v>0</v>
      </c>
      <c r="I10" s="1">
        <v>592335</v>
      </c>
      <c r="J10" s="1">
        <f t="shared" si="0"/>
        <v>29616.75</v>
      </c>
      <c r="K10" s="1">
        <v>0</v>
      </c>
      <c r="L10" s="11">
        <f t="shared" si="1"/>
        <v>5525.9100000000035</v>
      </c>
    </row>
    <row r="11" spans="1:12" x14ac:dyDescent="0.25">
      <c r="A11">
        <v>15</v>
      </c>
      <c r="B11">
        <v>1</v>
      </c>
      <c r="C11" t="s">
        <v>6</v>
      </c>
      <c r="D11" s="1">
        <v>30879.07</v>
      </c>
      <c r="E11" s="1">
        <v>0</v>
      </c>
      <c r="F11" s="1">
        <v>0</v>
      </c>
      <c r="G11" s="1">
        <v>0</v>
      </c>
      <c r="H11" s="1">
        <v>0</v>
      </c>
      <c r="I11" s="1">
        <v>681613</v>
      </c>
      <c r="J11" s="1">
        <f t="shared" si="0"/>
        <v>34080.65</v>
      </c>
      <c r="K11" s="1">
        <v>0</v>
      </c>
      <c r="L11" s="11">
        <f t="shared" si="1"/>
        <v>0</v>
      </c>
    </row>
    <row r="12" spans="1:12" x14ac:dyDescent="0.25">
      <c r="A12">
        <v>16</v>
      </c>
      <c r="B12">
        <v>1</v>
      </c>
      <c r="C12" t="s">
        <v>316</v>
      </c>
      <c r="D12" s="1">
        <v>27761.07</v>
      </c>
      <c r="E12" s="1">
        <v>0</v>
      </c>
      <c r="F12" s="1">
        <v>0</v>
      </c>
      <c r="G12" s="1">
        <v>2711.5</v>
      </c>
      <c r="H12" s="1">
        <v>0</v>
      </c>
      <c r="I12" s="1">
        <v>413931</v>
      </c>
      <c r="J12" s="1">
        <f t="shared" si="0"/>
        <v>20696.55</v>
      </c>
      <c r="K12" s="1">
        <v>0</v>
      </c>
      <c r="L12" s="11">
        <f t="shared" si="1"/>
        <v>4353.0200000000004</v>
      </c>
    </row>
    <row r="13" spans="1:12" x14ac:dyDescent="0.25">
      <c r="A13">
        <v>31</v>
      </c>
      <c r="B13">
        <v>1</v>
      </c>
      <c r="C13" t="s">
        <v>9</v>
      </c>
      <c r="D13" s="1">
        <v>0</v>
      </c>
      <c r="E13" s="1">
        <v>0</v>
      </c>
      <c r="F13" s="1">
        <v>494744</v>
      </c>
      <c r="G13" s="1">
        <v>0</v>
      </c>
      <c r="H13" s="1">
        <v>0</v>
      </c>
      <c r="I13" s="1">
        <v>567357</v>
      </c>
      <c r="J13" s="1">
        <f t="shared" si="0"/>
        <v>28367.85</v>
      </c>
      <c r="K13" s="1">
        <v>0</v>
      </c>
      <c r="L13" s="11">
        <f t="shared" si="1"/>
        <v>0</v>
      </c>
    </row>
    <row r="14" spans="1:12" x14ac:dyDescent="0.25">
      <c r="A14">
        <v>77</v>
      </c>
      <c r="B14">
        <v>1</v>
      </c>
      <c r="C14" t="s">
        <v>13</v>
      </c>
      <c r="D14" s="1">
        <v>143475.57999999999</v>
      </c>
      <c r="E14" s="1">
        <v>0</v>
      </c>
      <c r="F14" s="1">
        <v>0</v>
      </c>
      <c r="G14" s="1">
        <v>0</v>
      </c>
      <c r="H14" s="1">
        <v>0</v>
      </c>
      <c r="I14" s="1">
        <v>1847171</v>
      </c>
      <c r="J14" s="1">
        <f t="shared" si="0"/>
        <v>92358.55</v>
      </c>
      <c r="K14" s="1">
        <v>0</v>
      </c>
      <c r="L14" s="11">
        <f t="shared" si="1"/>
        <v>51117.029999999984</v>
      </c>
    </row>
    <row r="15" spans="1:12" x14ac:dyDescent="0.25">
      <c r="A15">
        <v>93</v>
      </c>
      <c r="B15">
        <v>1</v>
      </c>
      <c r="C15" t="s">
        <v>19</v>
      </c>
      <c r="D15" s="1">
        <v>26306.81</v>
      </c>
      <c r="E15" s="1">
        <v>0</v>
      </c>
      <c r="F15" s="1">
        <v>0</v>
      </c>
      <c r="G15" s="1">
        <v>6931.52</v>
      </c>
      <c r="H15" s="1">
        <v>0</v>
      </c>
      <c r="I15" s="1">
        <v>232360</v>
      </c>
      <c r="J15" s="1">
        <f t="shared" si="0"/>
        <v>11618</v>
      </c>
      <c r="K15" s="1">
        <v>0</v>
      </c>
      <c r="L15" s="11">
        <f t="shared" si="1"/>
        <v>7757.2900000000009</v>
      </c>
    </row>
    <row r="16" spans="1:12" x14ac:dyDescent="0.25">
      <c r="A16">
        <v>94</v>
      </c>
      <c r="B16">
        <v>1</v>
      </c>
      <c r="C16" t="s">
        <v>20</v>
      </c>
      <c r="D16" s="1">
        <v>34601.65</v>
      </c>
      <c r="E16" s="1">
        <v>0</v>
      </c>
      <c r="F16" s="1">
        <v>0</v>
      </c>
      <c r="G16" s="1">
        <v>0</v>
      </c>
      <c r="H16" s="1">
        <v>0</v>
      </c>
      <c r="I16" s="1">
        <v>552726</v>
      </c>
      <c r="J16" s="1">
        <f t="shared" si="0"/>
        <v>27636.3</v>
      </c>
      <c r="K16" s="1">
        <v>0</v>
      </c>
      <c r="L16" s="11">
        <f t="shared" si="1"/>
        <v>6965.3500000000022</v>
      </c>
    </row>
    <row r="17" spans="1:12" x14ac:dyDescent="0.25">
      <c r="A17">
        <v>99</v>
      </c>
      <c r="B17">
        <v>1</v>
      </c>
      <c r="C17" t="s">
        <v>22</v>
      </c>
      <c r="D17" s="1">
        <v>23789.53</v>
      </c>
      <c r="E17" s="1">
        <v>0</v>
      </c>
      <c r="F17" s="1">
        <v>14005.15</v>
      </c>
      <c r="G17" s="1">
        <v>7162.76</v>
      </c>
      <c r="H17" s="1">
        <v>0</v>
      </c>
      <c r="I17" s="1">
        <v>122840</v>
      </c>
      <c r="J17" s="1">
        <f t="shared" si="0"/>
        <v>6142</v>
      </c>
      <c r="K17" s="1">
        <v>0</v>
      </c>
      <c r="L17" s="11">
        <f t="shared" si="1"/>
        <v>0</v>
      </c>
    </row>
    <row r="18" spans="1:12" x14ac:dyDescent="0.25">
      <c r="A18">
        <v>110</v>
      </c>
      <c r="B18">
        <v>1</v>
      </c>
      <c r="C18" t="s">
        <v>25</v>
      </c>
      <c r="D18" s="1">
        <v>64071.93</v>
      </c>
      <c r="E18" s="1">
        <v>0</v>
      </c>
      <c r="F18" s="1">
        <v>6167.47</v>
      </c>
      <c r="G18" s="1">
        <v>23852.400000000001</v>
      </c>
      <c r="H18" s="1">
        <v>0</v>
      </c>
      <c r="I18" s="1">
        <v>370742</v>
      </c>
      <c r="J18" s="1">
        <f t="shared" si="0"/>
        <v>18537.099999999999</v>
      </c>
      <c r="K18" s="1">
        <v>0</v>
      </c>
      <c r="L18" s="11">
        <f t="shared" si="1"/>
        <v>15514.96</v>
      </c>
    </row>
    <row r="19" spans="1:12" x14ac:dyDescent="0.25">
      <c r="A19">
        <v>112</v>
      </c>
      <c r="B19">
        <v>1</v>
      </c>
      <c r="C19" t="s">
        <v>315</v>
      </c>
      <c r="D19" s="1">
        <v>167944.04</v>
      </c>
      <c r="E19" s="1">
        <v>0</v>
      </c>
      <c r="F19" s="1">
        <v>74844.42</v>
      </c>
      <c r="G19" s="1">
        <v>73613.37</v>
      </c>
      <c r="H19" s="1">
        <v>0</v>
      </c>
      <c r="I19" s="1">
        <v>770490</v>
      </c>
      <c r="J19" s="1">
        <f t="shared" si="0"/>
        <v>38524.5</v>
      </c>
      <c r="K19" s="1">
        <v>0</v>
      </c>
      <c r="L19" s="11">
        <f t="shared" si="1"/>
        <v>0</v>
      </c>
    </row>
    <row r="20" spans="1:12" x14ac:dyDescent="0.25">
      <c r="A20">
        <v>116</v>
      </c>
      <c r="B20">
        <v>1</v>
      </c>
      <c r="C20" t="s">
        <v>27</v>
      </c>
      <c r="D20" s="1">
        <v>14276.62</v>
      </c>
      <c r="E20" s="1">
        <v>0</v>
      </c>
      <c r="F20" s="1">
        <v>0</v>
      </c>
      <c r="G20" s="1">
        <v>0</v>
      </c>
      <c r="H20" s="1">
        <v>0</v>
      </c>
      <c r="I20" s="1">
        <v>210111</v>
      </c>
      <c r="J20" s="1">
        <f t="shared" si="0"/>
        <v>10505.55</v>
      </c>
      <c r="K20" s="1">
        <v>0</v>
      </c>
      <c r="L20" s="11">
        <f t="shared" si="1"/>
        <v>3771.0700000000015</v>
      </c>
    </row>
    <row r="21" spans="1:12" x14ac:dyDescent="0.25">
      <c r="A21">
        <v>138</v>
      </c>
      <c r="B21">
        <v>1</v>
      </c>
      <c r="C21" t="s">
        <v>314</v>
      </c>
      <c r="D21" s="1">
        <v>65480.84</v>
      </c>
      <c r="E21" s="1">
        <v>0</v>
      </c>
      <c r="F21" s="1">
        <v>0</v>
      </c>
      <c r="G21" s="1">
        <v>4299.67</v>
      </c>
      <c r="H21" s="1">
        <v>0</v>
      </c>
      <c r="I21" s="1">
        <v>434399</v>
      </c>
      <c r="J21" s="1">
        <f t="shared" si="0"/>
        <v>21719.95</v>
      </c>
      <c r="K21" s="1">
        <v>0</v>
      </c>
      <c r="L21" s="11">
        <f t="shared" si="1"/>
        <v>39461.22</v>
      </c>
    </row>
    <row r="22" spans="1:12" x14ac:dyDescent="0.25">
      <c r="A22">
        <v>152</v>
      </c>
      <c r="B22">
        <v>1</v>
      </c>
      <c r="C22" t="s">
        <v>33</v>
      </c>
      <c r="D22" s="1">
        <v>221623.06</v>
      </c>
      <c r="E22" s="1">
        <v>0</v>
      </c>
      <c r="F22" s="1">
        <v>142430.59</v>
      </c>
      <c r="G22" s="1">
        <v>15940.85</v>
      </c>
      <c r="H22" s="1">
        <v>0</v>
      </c>
      <c r="I22" s="1">
        <v>1546007</v>
      </c>
      <c r="J22" s="1">
        <f t="shared" si="0"/>
        <v>77300.350000000006</v>
      </c>
      <c r="K22" s="1">
        <v>0</v>
      </c>
      <c r="L22" s="11">
        <f t="shared" si="1"/>
        <v>0</v>
      </c>
    </row>
    <row r="23" spans="1:12" x14ac:dyDescent="0.25">
      <c r="A23">
        <v>166</v>
      </c>
      <c r="B23">
        <v>1</v>
      </c>
      <c r="C23" t="s">
        <v>35</v>
      </c>
      <c r="D23" s="1">
        <v>7571.47</v>
      </c>
      <c r="E23" s="1">
        <v>0</v>
      </c>
      <c r="F23" s="1">
        <v>0</v>
      </c>
      <c r="G23" s="1">
        <v>0</v>
      </c>
      <c r="H23" s="1">
        <v>0</v>
      </c>
      <c r="I23" s="1">
        <v>92820</v>
      </c>
      <c r="J23" s="1">
        <f t="shared" si="0"/>
        <v>4641</v>
      </c>
      <c r="K23" s="1">
        <v>0</v>
      </c>
      <c r="L23" s="11">
        <f t="shared" si="1"/>
        <v>2930.4700000000003</v>
      </c>
    </row>
    <row r="24" spans="1:12" x14ac:dyDescent="0.25">
      <c r="A24">
        <v>181</v>
      </c>
      <c r="B24">
        <v>1</v>
      </c>
      <c r="C24" t="s">
        <v>37</v>
      </c>
      <c r="D24" s="1">
        <v>155072.26999999999</v>
      </c>
      <c r="E24" s="1">
        <v>0</v>
      </c>
      <c r="F24" s="1">
        <v>0</v>
      </c>
      <c r="G24" s="1">
        <v>0</v>
      </c>
      <c r="H24" s="1">
        <v>0</v>
      </c>
      <c r="I24" s="1">
        <v>2685391</v>
      </c>
      <c r="J24" s="1">
        <f t="shared" si="0"/>
        <v>134269.54999999999</v>
      </c>
      <c r="K24" s="1">
        <v>0</v>
      </c>
      <c r="L24" s="11">
        <f t="shared" si="1"/>
        <v>20802.72</v>
      </c>
    </row>
    <row r="25" spans="1:12" x14ac:dyDescent="0.25">
      <c r="A25">
        <v>182</v>
      </c>
      <c r="B25">
        <v>1</v>
      </c>
      <c r="C25" t="s">
        <v>214</v>
      </c>
      <c r="D25" s="1">
        <v>89426.42</v>
      </c>
      <c r="E25" s="1">
        <v>0</v>
      </c>
      <c r="F25" s="1">
        <v>0</v>
      </c>
      <c r="G25" s="1">
        <v>9339.89</v>
      </c>
      <c r="H25" s="1">
        <v>0</v>
      </c>
      <c r="I25" s="1">
        <v>715260</v>
      </c>
      <c r="J25" s="1">
        <f t="shared" si="0"/>
        <v>35763</v>
      </c>
      <c r="K25" s="1">
        <v>0</v>
      </c>
      <c r="L25" s="11">
        <f t="shared" si="1"/>
        <v>44323.53</v>
      </c>
    </row>
    <row r="26" spans="1:12" x14ac:dyDescent="0.25">
      <c r="A26">
        <v>191</v>
      </c>
      <c r="B26">
        <v>1</v>
      </c>
      <c r="C26" t="s">
        <v>39</v>
      </c>
      <c r="D26" s="1">
        <v>139924.03</v>
      </c>
      <c r="E26" s="1">
        <v>0</v>
      </c>
      <c r="F26" s="1">
        <v>0</v>
      </c>
      <c r="G26" s="1">
        <v>0</v>
      </c>
      <c r="H26" s="1">
        <v>0</v>
      </c>
      <c r="I26" s="1">
        <v>1664408</v>
      </c>
      <c r="J26" s="1">
        <f t="shared" si="0"/>
        <v>83220.399999999994</v>
      </c>
      <c r="K26" s="1">
        <v>0</v>
      </c>
      <c r="L26" s="11">
        <f t="shared" si="1"/>
        <v>56703.630000000005</v>
      </c>
    </row>
    <row r="27" spans="1:12" x14ac:dyDescent="0.25">
      <c r="A27">
        <v>192</v>
      </c>
      <c r="B27">
        <v>1</v>
      </c>
      <c r="C27" t="s">
        <v>40</v>
      </c>
      <c r="D27" s="1">
        <v>53895.16</v>
      </c>
      <c r="E27" s="1">
        <v>0</v>
      </c>
      <c r="F27" s="1">
        <v>521.98</v>
      </c>
      <c r="G27" s="1">
        <v>0</v>
      </c>
      <c r="H27" s="1">
        <v>0</v>
      </c>
      <c r="I27" s="1">
        <v>592383</v>
      </c>
      <c r="J27" s="1">
        <f t="shared" si="0"/>
        <v>29619.15</v>
      </c>
      <c r="K27" s="1">
        <v>0</v>
      </c>
      <c r="L27" s="11">
        <f t="shared" si="1"/>
        <v>23754.03</v>
      </c>
    </row>
    <row r="28" spans="1:12" x14ac:dyDescent="0.25">
      <c r="A28">
        <v>196</v>
      </c>
      <c r="B28">
        <v>1</v>
      </c>
      <c r="C28" t="s">
        <v>205</v>
      </c>
      <c r="D28" s="1">
        <v>474320.09</v>
      </c>
      <c r="E28" s="1">
        <v>0</v>
      </c>
      <c r="F28" s="1">
        <v>142154.57999999999</v>
      </c>
      <c r="G28" s="1">
        <v>109541.12</v>
      </c>
      <c r="H28" s="1">
        <v>0</v>
      </c>
      <c r="I28" s="1">
        <v>2620787</v>
      </c>
      <c r="J28" s="1">
        <f t="shared" si="0"/>
        <v>131039.35</v>
      </c>
      <c r="K28" s="1">
        <v>0</v>
      </c>
      <c r="L28" s="11">
        <f t="shared" si="1"/>
        <v>91585.040000000008</v>
      </c>
    </row>
    <row r="29" spans="1:12" x14ac:dyDescent="0.25">
      <c r="A29">
        <v>197</v>
      </c>
      <c r="B29">
        <v>1</v>
      </c>
      <c r="C29" t="s">
        <v>206</v>
      </c>
      <c r="D29" s="1">
        <v>101260.77</v>
      </c>
      <c r="E29" s="1">
        <v>0</v>
      </c>
      <c r="F29" s="1">
        <v>3636.8</v>
      </c>
      <c r="G29" s="1">
        <v>28149.17</v>
      </c>
      <c r="H29" s="1">
        <v>0</v>
      </c>
      <c r="I29" s="1">
        <v>697410</v>
      </c>
      <c r="J29" s="1">
        <f t="shared" si="0"/>
        <v>34870.5</v>
      </c>
      <c r="K29" s="1">
        <v>0</v>
      </c>
      <c r="L29" s="11">
        <f t="shared" si="1"/>
        <v>34604.300000000003</v>
      </c>
    </row>
    <row r="30" spans="1:12" x14ac:dyDescent="0.25">
      <c r="A30">
        <v>199</v>
      </c>
      <c r="B30">
        <v>1</v>
      </c>
      <c r="C30" t="s">
        <v>43</v>
      </c>
      <c r="D30" s="1">
        <v>75677.33</v>
      </c>
      <c r="E30" s="1">
        <v>0</v>
      </c>
      <c r="F30" s="1">
        <v>0</v>
      </c>
      <c r="G30" s="1">
        <v>21472.42</v>
      </c>
      <c r="H30" s="1">
        <v>0</v>
      </c>
      <c r="I30" s="1">
        <v>780489</v>
      </c>
      <c r="J30" s="1">
        <f t="shared" si="0"/>
        <v>39024.449999999997</v>
      </c>
      <c r="K30" s="1">
        <v>0</v>
      </c>
      <c r="L30" s="11">
        <f t="shared" si="1"/>
        <v>15180.460000000006</v>
      </c>
    </row>
    <row r="31" spans="1:12" x14ac:dyDescent="0.25">
      <c r="A31">
        <v>206</v>
      </c>
      <c r="B31">
        <v>1</v>
      </c>
      <c r="C31" t="s">
        <v>46</v>
      </c>
      <c r="D31" s="1">
        <v>42547.199999999997</v>
      </c>
      <c r="E31" s="1">
        <v>0</v>
      </c>
      <c r="F31" s="1">
        <v>0</v>
      </c>
      <c r="G31" s="1">
        <v>8506.16</v>
      </c>
      <c r="H31" s="1">
        <v>0</v>
      </c>
      <c r="I31" s="1">
        <v>744721</v>
      </c>
      <c r="J31" s="1">
        <f t="shared" si="0"/>
        <v>37236.050000000003</v>
      </c>
      <c r="K31" s="1">
        <v>0</v>
      </c>
      <c r="L31" s="11">
        <f t="shared" si="1"/>
        <v>0</v>
      </c>
    </row>
    <row r="32" spans="1:12" x14ac:dyDescent="0.25">
      <c r="A32">
        <v>213</v>
      </c>
      <c r="B32">
        <v>1</v>
      </c>
      <c r="C32" t="s">
        <v>47</v>
      </c>
      <c r="D32" s="1">
        <v>3543.22</v>
      </c>
      <c r="E32" s="1">
        <v>0</v>
      </c>
      <c r="F32" s="1">
        <v>0</v>
      </c>
      <c r="G32" s="1">
        <v>0</v>
      </c>
      <c r="H32" s="1">
        <v>0</v>
      </c>
      <c r="I32" s="1">
        <v>55997</v>
      </c>
      <c r="J32" s="1">
        <f t="shared" si="0"/>
        <v>2799.85</v>
      </c>
      <c r="K32" s="1">
        <v>0</v>
      </c>
      <c r="L32" s="11">
        <f t="shared" si="1"/>
        <v>743.36999999999989</v>
      </c>
    </row>
    <row r="33" spans="1:12" x14ac:dyDescent="0.25">
      <c r="A33">
        <v>241</v>
      </c>
      <c r="B33">
        <v>1</v>
      </c>
      <c r="C33" t="s">
        <v>50</v>
      </c>
      <c r="D33" s="1">
        <v>43136.58</v>
      </c>
      <c r="E33" s="1">
        <v>0</v>
      </c>
      <c r="F33" s="1">
        <v>0</v>
      </c>
      <c r="G33" s="1">
        <v>11937.5</v>
      </c>
      <c r="H33" s="1">
        <v>0</v>
      </c>
      <c r="I33" s="1">
        <v>309677</v>
      </c>
      <c r="J33" s="1">
        <f t="shared" ref="J33:J58" si="2">ROUND(I33/20,2)</f>
        <v>15483.85</v>
      </c>
      <c r="K33" s="1">
        <v>0</v>
      </c>
      <c r="L33" s="11">
        <f t="shared" ref="L33:L58" si="3">MAX((D33-F33-G33-J33),0)</f>
        <v>15715.230000000001</v>
      </c>
    </row>
    <row r="34" spans="1:12" x14ac:dyDescent="0.25">
      <c r="A34">
        <v>252</v>
      </c>
      <c r="B34">
        <v>1</v>
      </c>
      <c r="C34" t="s">
        <v>52</v>
      </c>
      <c r="D34" s="1">
        <v>25446.57</v>
      </c>
      <c r="E34" s="1">
        <v>0</v>
      </c>
      <c r="F34" s="1">
        <v>0</v>
      </c>
      <c r="G34" s="1">
        <v>2401.19</v>
      </c>
      <c r="H34" s="1">
        <v>0</v>
      </c>
      <c r="I34" s="1">
        <v>129360</v>
      </c>
      <c r="J34" s="1">
        <f t="shared" si="2"/>
        <v>6468</v>
      </c>
      <c r="K34" s="1">
        <v>0</v>
      </c>
      <c r="L34" s="11">
        <f t="shared" si="3"/>
        <v>16577.38</v>
      </c>
    </row>
    <row r="35" spans="1:12" x14ac:dyDescent="0.25">
      <c r="A35">
        <v>256</v>
      </c>
      <c r="B35">
        <v>1</v>
      </c>
      <c r="C35" t="s">
        <v>55</v>
      </c>
      <c r="D35" s="1">
        <v>41261.07</v>
      </c>
      <c r="E35" s="1">
        <v>0</v>
      </c>
      <c r="F35" s="1">
        <v>78774.179999999993</v>
      </c>
      <c r="G35" s="1">
        <v>0</v>
      </c>
      <c r="H35" s="1">
        <v>0</v>
      </c>
      <c r="I35" s="1">
        <v>2462943</v>
      </c>
      <c r="J35" s="1">
        <f t="shared" si="2"/>
        <v>123147.15</v>
      </c>
      <c r="K35" s="1">
        <v>0</v>
      </c>
      <c r="L35" s="11">
        <f t="shared" si="3"/>
        <v>0</v>
      </c>
    </row>
    <row r="36" spans="1:12" x14ac:dyDescent="0.25">
      <c r="A36">
        <v>270</v>
      </c>
      <c r="B36">
        <v>1</v>
      </c>
      <c r="C36" t="s">
        <v>57</v>
      </c>
      <c r="D36" s="1">
        <v>26345.19</v>
      </c>
      <c r="E36" s="1">
        <v>0</v>
      </c>
      <c r="F36" s="1">
        <v>52898</v>
      </c>
      <c r="G36" s="1">
        <v>0</v>
      </c>
      <c r="H36" s="1">
        <v>0</v>
      </c>
      <c r="I36" s="1">
        <v>2585077</v>
      </c>
      <c r="J36" s="1">
        <f t="shared" si="2"/>
        <v>129253.85</v>
      </c>
      <c r="K36" s="1">
        <v>0</v>
      </c>
      <c r="L36" s="11">
        <f t="shared" si="3"/>
        <v>0</v>
      </c>
    </row>
    <row r="37" spans="1:12" x14ac:dyDescent="0.25">
      <c r="A37">
        <v>271</v>
      </c>
      <c r="B37">
        <v>1</v>
      </c>
      <c r="C37" t="s">
        <v>58</v>
      </c>
      <c r="D37" s="1">
        <v>46394.52</v>
      </c>
      <c r="E37" s="1">
        <v>0</v>
      </c>
      <c r="F37" s="1">
        <v>0</v>
      </c>
      <c r="G37" s="1">
        <v>0</v>
      </c>
      <c r="H37" s="1">
        <v>0</v>
      </c>
      <c r="I37" s="1">
        <v>921592</v>
      </c>
      <c r="J37" s="1">
        <f t="shared" si="2"/>
        <v>46079.6</v>
      </c>
      <c r="K37" s="1">
        <v>0</v>
      </c>
      <c r="L37" s="11">
        <f t="shared" si="3"/>
        <v>314.91999999999825</v>
      </c>
    </row>
    <row r="38" spans="1:12" x14ac:dyDescent="0.25">
      <c r="A38">
        <v>272</v>
      </c>
      <c r="B38">
        <v>1</v>
      </c>
      <c r="C38" t="s">
        <v>59</v>
      </c>
      <c r="D38" s="1">
        <v>138743.82</v>
      </c>
      <c r="E38" s="1">
        <v>0</v>
      </c>
      <c r="F38" s="1">
        <v>473086.01</v>
      </c>
      <c r="G38" s="1">
        <v>20320.39</v>
      </c>
      <c r="H38" s="1">
        <v>0</v>
      </c>
      <c r="I38" s="1">
        <v>773890</v>
      </c>
      <c r="J38" s="1">
        <f t="shared" si="2"/>
        <v>38694.5</v>
      </c>
      <c r="K38" s="1">
        <v>0</v>
      </c>
      <c r="L38" s="11">
        <f t="shared" si="3"/>
        <v>0</v>
      </c>
    </row>
    <row r="39" spans="1:12" x14ac:dyDescent="0.25">
      <c r="A39">
        <v>276</v>
      </c>
      <c r="B39">
        <v>1</v>
      </c>
      <c r="C39" t="s">
        <v>61</v>
      </c>
      <c r="D39" s="1">
        <v>0</v>
      </c>
      <c r="E39" s="1">
        <v>1750986.31</v>
      </c>
      <c r="F39" s="1">
        <v>2435543</v>
      </c>
      <c r="G39" s="1">
        <v>0</v>
      </c>
      <c r="H39" s="1">
        <v>0</v>
      </c>
      <c r="I39" s="1">
        <v>2174047</v>
      </c>
      <c r="J39" s="1">
        <f t="shared" si="2"/>
        <v>108702.35</v>
      </c>
      <c r="K39" s="1">
        <v>0</v>
      </c>
      <c r="L39" s="11">
        <f t="shared" si="3"/>
        <v>0</v>
      </c>
    </row>
    <row r="40" spans="1:12" x14ac:dyDescent="0.25">
      <c r="A40">
        <v>277</v>
      </c>
      <c r="B40">
        <v>1</v>
      </c>
      <c r="C40" t="s">
        <v>62</v>
      </c>
      <c r="D40" s="1">
        <v>58626.27</v>
      </c>
      <c r="E40" s="1">
        <v>0</v>
      </c>
      <c r="F40" s="1">
        <v>0</v>
      </c>
      <c r="G40" s="1">
        <v>2235.75</v>
      </c>
      <c r="H40" s="1">
        <v>0</v>
      </c>
      <c r="I40" s="1">
        <v>577834</v>
      </c>
      <c r="J40" s="1">
        <f t="shared" si="2"/>
        <v>28891.7</v>
      </c>
      <c r="K40" s="1">
        <v>0</v>
      </c>
      <c r="L40" s="11">
        <f t="shared" si="3"/>
        <v>27498.819999999996</v>
      </c>
    </row>
    <row r="41" spans="1:12" x14ac:dyDescent="0.25">
      <c r="A41">
        <v>278</v>
      </c>
      <c r="B41">
        <v>1</v>
      </c>
      <c r="C41" t="s">
        <v>63</v>
      </c>
      <c r="D41" s="1">
        <v>52224.89</v>
      </c>
      <c r="E41" s="1">
        <v>0</v>
      </c>
      <c r="F41" s="1">
        <v>0</v>
      </c>
      <c r="G41" s="1">
        <v>11311.46</v>
      </c>
      <c r="H41" s="1">
        <v>0</v>
      </c>
      <c r="I41" s="1">
        <v>449845</v>
      </c>
      <c r="J41" s="1">
        <f t="shared" si="2"/>
        <v>22492.25</v>
      </c>
      <c r="K41" s="1">
        <v>0</v>
      </c>
      <c r="L41" s="11">
        <f t="shared" si="3"/>
        <v>18421.18</v>
      </c>
    </row>
    <row r="42" spans="1:12" x14ac:dyDescent="0.25">
      <c r="A42">
        <v>279</v>
      </c>
      <c r="B42">
        <v>1</v>
      </c>
      <c r="C42" t="s">
        <v>64</v>
      </c>
      <c r="D42" s="1">
        <v>141226.04999999999</v>
      </c>
      <c r="E42" s="1">
        <v>0</v>
      </c>
      <c r="F42" s="1">
        <v>12310.59</v>
      </c>
      <c r="G42" s="1">
        <v>38893.839999999997</v>
      </c>
      <c r="H42" s="1">
        <v>0</v>
      </c>
      <c r="I42" s="1">
        <v>2283750</v>
      </c>
      <c r="J42" s="1">
        <f t="shared" si="2"/>
        <v>114187.5</v>
      </c>
      <c r="K42" s="1">
        <v>0</v>
      </c>
      <c r="L42" s="11">
        <f t="shared" si="3"/>
        <v>0</v>
      </c>
    </row>
    <row r="43" spans="1:12" x14ac:dyDescent="0.25">
      <c r="A43">
        <v>280</v>
      </c>
      <c r="B43">
        <v>1</v>
      </c>
      <c r="C43" t="s">
        <v>65</v>
      </c>
      <c r="D43" s="1">
        <v>56806.02</v>
      </c>
      <c r="E43" s="1">
        <v>0</v>
      </c>
      <c r="F43" s="1">
        <v>0</v>
      </c>
      <c r="G43" s="1">
        <v>25000</v>
      </c>
      <c r="H43" s="1">
        <v>0</v>
      </c>
      <c r="I43" s="1">
        <v>1254022</v>
      </c>
      <c r="J43" s="1">
        <f t="shared" si="2"/>
        <v>62701.1</v>
      </c>
      <c r="K43" s="1">
        <v>0</v>
      </c>
      <c r="L43" s="11">
        <f t="shared" si="3"/>
        <v>0</v>
      </c>
    </row>
    <row r="44" spans="1:12" x14ac:dyDescent="0.25">
      <c r="A44">
        <v>281</v>
      </c>
      <c r="B44">
        <v>1</v>
      </c>
      <c r="C44" t="s">
        <v>66</v>
      </c>
      <c r="D44" s="1">
        <v>146439.53</v>
      </c>
      <c r="E44" s="1">
        <v>0</v>
      </c>
      <c r="F44" s="1">
        <v>0</v>
      </c>
      <c r="G44" s="1">
        <v>0</v>
      </c>
      <c r="H44" s="1">
        <v>0</v>
      </c>
      <c r="I44" s="1">
        <v>1968346</v>
      </c>
      <c r="J44" s="1">
        <f t="shared" si="2"/>
        <v>98417.3</v>
      </c>
      <c r="K44" s="1">
        <v>0</v>
      </c>
      <c r="L44" s="11">
        <f t="shared" si="3"/>
        <v>48022.229999999996</v>
      </c>
    </row>
    <row r="45" spans="1:12" x14ac:dyDescent="0.25">
      <c r="A45">
        <v>282</v>
      </c>
      <c r="B45">
        <v>1</v>
      </c>
      <c r="C45" t="s">
        <v>208</v>
      </c>
      <c r="D45" s="1">
        <v>35787.43</v>
      </c>
      <c r="E45" s="1">
        <v>0</v>
      </c>
      <c r="F45" s="1">
        <v>13292</v>
      </c>
      <c r="G45" s="1">
        <v>0</v>
      </c>
      <c r="H45" s="1">
        <v>0</v>
      </c>
      <c r="I45" s="1">
        <v>0</v>
      </c>
      <c r="J45" s="1">
        <f t="shared" si="2"/>
        <v>0</v>
      </c>
      <c r="K45" s="1">
        <v>0</v>
      </c>
      <c r="L45" s="11">
        <f t="shared" si="3"/>
        <v>22495.43</v>
      </c>
    </row>
    <row r="46" spans="1:12" x14ac:dyDescent="0.25">
      <c r="A46">
        <v>283</v>
      </c>
      <c r="B46">
        <v>1</v>
      </c>
      <c r="C46" t="s">
        <v>312</v>
      </c>
      <c r="D46" s="1">
        <v>145519.9</v>
      </c>
      <c r="E46" s="1">
        <v>0</v>
      </c>
      <c r="F46" s="1">
        <v>0</v>
      </c>
      <c r="G46" s="1">
        <v>72393.62</v>
      </c>
      <c r="H46" s="1">
        <v>0</v>
      </c>
      <c r="I46" s="1">
        <v>878677</v>
      </c>
      <c r="J46" s="1">
        <f t="shared" si="2"/>
        <v>43933.85</v>
      </c>
      <c r="K46" s="1">
        <v>0</v>
      </c>
      <c r="L46" s="11">
        <f t="shared" si="3"/>
        <v>29192.43</v>
      </c>
    </row>
    <row r="47" spans="1:12" x14ac:dyDescent="0.25">
      <c r="A47">
        <v>284</v>
      </c>
      <c r="B47">
        <v>1</v>
      </c>
      <c r="C47" t="s">
        <v>67</v>
      </c>
      <c r="D47" s="1">
        <v>40225.18</v>
      </c>
      <c r="E47" s="1">
        <v>0</v>
      </c>
      <c r="F47" s="1">
        <v>0</v>
      </c>
      <c r="G47" s="1">
        <v>0</v>
      </c>
      <c r="H47" s="1">
        <v>0</v>
      </c>
      <c r="I47" s="1">
        <v>1523354</v>
      </c>
      <c r="J47" s="1">
        <f t="shared" si="2"/>
        <v>76167.7</v>
      </c>
      <c r="K47" s="1">
        <v>0</v>
      </c>
      <c r="L47" s="11">
        <f t="shared" si="3"/>
        <v>0</v>
      </c>
    </row>
    <row r="48" spans="1:12" x14ac:dyDescent="0.25">
      <c r="A48">
        <v>286</v>
      </c>
      <c r="B48">
        <v>1</v>
      </c>
      <c r="C48" t="s">
        <v>311</v>
      </c>
      <c r="D48" s="1">
        <v>12175.17</v>
      </c>
      <c r="E48" s="1">
        <v>0</v>
      </c>
      <c r="F48" s="1">
        <v>0</v>
      </c>
      <c r="G48" s="1">
        <v>0</v>
      </c>
      <c r="H48" s="1">
        <v>0</v>
      </c>
      <c r="I48" s="1">
        <v>356738</v>
      </c>
      <c r="J48" s="1">
        <f t="shared" si="2"/>
        <v>17836.900000000001</v>
      </c>
      <c r="K48" s="1">
        <v>0</v>
      </c>
      <c r="L48" s="11">
        <f t="shared" si="3"/>
        <v>0</v>
      </c>
    </row>
    <row r="49" spans="1:12" x14ac:dyDescent="0.25">
      <c r="A49">
        <v>300</v>
      </c>
      <c r="B49">
        <v>1</v>
      </c>
      <c r="C49" t="s">
        <v>210</v>
      </c>
      <c r="D49" s="1">
        <v>36614.550000000003</v>
      </c>
      <c r="E49" s="1">
        <v>0</v>
      </c>
      <c r="F49" s="1">
        <v>17704.96</v>
      </c>
      <c r="G49" s="1">
        <v>4836.6400000000003</v>
      </c>
      <c r="H49" s="1">
        <v>0</v>
      </c>
      <c r="I49" s="1">
        <v>168678</v>
      </c>
      <c r="J49" s="1">
        <f t="shared" si="2"/>
        <v>8433.9</v>
      </c>
      <c r="K49" s="1">
        <v>0</v>
      </c>
      <c r="L49" s="11">
        <f t="shared" si="3"/>
        <v>5639.0500000000047</v>
      </c>
    </row>
    <row r="50" spans="1:12" x14ac:dyDescent="0.25">
      <c r="A50">
        <v>314</v>
      </c>
      <c r="B50">
        <v>1</v>
      </c>
      <c r="C50" t="s">
        <v>72</v>
      </c>
      <c r="D50" s="1">
        <v>14494.56</v>
      </c>
      <c r="E50" s="1">
        <v>0</v>
      </c>
      <c r="F50" s="1">
        <v>0</v>
      </c>
      <c r="G50" s="1">
        <v>0</v>
      </c>
      <c r="H50" s="1">
        <v>0</v>
      </c>
      <c r="I50" s="1">
        <v>159306</v>
      </c>
      <c r="J50" s="1">
        <f t="shared" si="2"/>
        <v>7965.3</v>
      </c>
      <c r="K50" s="1">
        <v>0</v>
      </c>
      <c r="L50" s="11">
        <f t="shared" si="3"/>
        <v>6529.2599999999993</v>
      </c>
    </row>
    <row r="51" spans="1:12" x14ac:dyDescent="0.25">
      <c r="A51">
        <v>316</v>
      </c>
      <c r="B51">
        <v>1</v>
      </c>
      <c r="C51" t="s">
        <v>73</v>
      </c>
      <c r="D51" s="1">
        <v>99059.74</v>
      </c>
      <c r="E51" s="1">
        <v>0</v>
      </c>
      <c r="F51" s="1">
        <v>149363.65</v>
      </c>
      <c r="G51" s="1">
        <v>0</v>
      </c>
      <c r="H51" s="1">
        <v>0</v>
      </c>
      <c r="I51" s="1">
        <v>1663862</v>
      </c>
      <c r="J51" s="1">
        <f t="shared" si="2"/>
        <v>83193.100000000006</v>
      </c>
      <c r="K51" s="1">
        <v>0</v>
      </c>
      <c r="L51" s="11">
        <f t="shared" si="3"/>
        <v>0</v>
      </c>
    </row>
    <row r="52" spans="1:12" x14ac:dyDescent="0.25">
      <c r="A52">
        <v>317</v>
      </c>
      <c r="B52">
        <v>1</v>
      </c>
      <c r="C52" t="s">
        <v>74</v>
      </c>
      <c r="D52" s="1">
        <v>16462.900000000001</v>
      </c>
      <c r="E52" s="1">
        <v>0</v>
      </c>
      <c r="F52" s="1">
        <v>0</v>
      </c>
      <c r="G52" s="1">
        <v>0</v>
      </c>
      <c r="H52" s="1">
        <v>0</v>
      </c>
      <c r="I52" s="1">
        <v>186599</v>
      </c>
      <c r="J52" s="1">
        <f t="shared" si="2"/>
        <v>9329.9500000000007</v>
      </c>
      <c r="K52" s="1">
        <v>0</v>
      </c>
      <c r="L52" s="11">
        <f t="shared" si="3"/>
        <v>7132.9500000000007</v>
      </c>
    </row>
    <row r="53" spans="1:12" x14ac:dyDescent="0.25">
      <c r="A53">
        <v>318</v>
      </c>
      <c r="B53">
        <v>1</v>
      </c>
      <c r="C53" t="s">
        <v>310</v>
      </c>
      <c r="D53" s="1">
        <v>181947.89</v>
      </c>
      <c r="E53" s="1">
        <v>0</v>
      </c>
      <c r="F53" s="1">
        <v>0</v>
      </c>
      <c r="G53" s="1">
        <v>0</v>
      </c>
      <c r="H53" s="1">
        <v>0</v>
      </c>
      <c r="I53" s="1">
        <v>2529260</v>
      </c>
      <c r="J53" s="1">
        <f t="shared" si="2"/>
        <v>126463</v>
      </c>
      <c r="K53" s="1">
        <v>0</v>
      </c>
      <c r="L53" s="11">
        <f t="shared" si="3"/>
        <v>55484.890000000014</v>
      </c>
    </row>
    <row r="54" spans="1:12" x14ac:dyDescent="0.25">
      <c r="A54">
        <v>319</v>
      </c>
      <c r="B54">
        <v>1</v>
      </c>
      <c r="C54" t="s">
        <v>209</v>
      </c>
      <c r="D54" s="1">
        <v>46692.42</v>
      </c>
      <c r="E54" s="1">
        <v>0</v>
      </c>
      <c r="F54" s="1">
        <v>0</v>
      </c>
      <c r="G54" s="1">
        <v>0</v>
      </c>
      <c r="H54" s="1">
        <v>0</v>
      </c>
      <c r="I54" s="1">
        <v>323353</v>
      </c>
      <c r="J54" s="1">
        <f t="shared" si="2"/>
        <v>16167.65</v>
      </c>
      <c r="K54" s="1">
        <v>0</v>
      </c>
      <c r="L54" s="11">
        <f t="shared" si="3"/>
        <v>30524.769999999997</v>
      </c>
    </row>
    <row r="55" spans="1:12" x14ac:dyDescent="0.25">
      <c r="A55">
        <v>333</v>
      </c>
      <c r="B55">
        <v>1</v>
      </c>
      <c r="C55" t="s">
        <v>333</v>
      </c>
      <c r="D55" s="1">
        <v>14059.11</v>
      </c>
      <c r="E55" s="1">
        <v>0</v>
      </c>
      <c r="F55" s="1">
        <v>0</v>
      </c>
      <c r="G55" s="1">
        <v>2716.84</v>
      </c>
      <c r="H55" s="1">
        <v>0</v>
      </c>
      <c r="I55" s="1">
        <v>136090</v>
      </c>
      <c r="J55" s="1">
        <f t="shared" si="2"/>
        <v>6804.5</v>
      </c>
      <c r="K55" s="1">
        <f>MAX((D55-F55-G55-J55),0)</f>
        <v>4537.7700000000004</v>
      </c>
      <c r="L55" s="11">
        <f>MAX((D55-F55-G55-J55-K55),0)</f>
        <v>0</v>
      </c>
    </row>
    <row r="56" spans="1:12" x14ac:dyDescent="0.25">
      <c r="A56">
        <v>345</v>
      </c>
      <c r="B56">
        <v>1</v>
      </c>
      <c r="C56" t="s">
        <v>216</v>
      </c>
      <c r="D56" s="1">
        <v>21197.33</v>
      </c>
      <c r="E56" s="1">
        <v>0</v>
      </c>
      <c r="F56" s="1">
        <v>0</v>
      </c>
      <c r="G56" s="1">
        <v>0</v>
      </c>
      <c r="H56" s="1">
        <v>0</v>
      </c>
      <c r="I56" s="1">
        <v>261009</v>
      </c>
      <c r="J56" s="1">
        <f t="shared" si="2"/>
        <v>13050.45</v>
      </c>
      <c r="K56" s="1">
        <v>0</v>
      </c>
      <c r="L56" s="11">
        <f t="shared" si="3"/>
        <v>8146.880000000001</v>
      </c>
    </row>
    <row r="57" spans="1:12" x14ac:dyDescent="0.25">
      <c r="A57">
        <v>381</v>
      </c>
      <c r="B57">
        <v>1</v>
      </c>
      <c r="C57" t="s">
        <v>307</v>
      </c>
      <c r="D57" s="1">
        <v>117678.91</v>
      </c>
      <c r="E57" s="1">
        <v>0</v>
      </c>
      <c r="F57" s="1">
        <v>12680.52</v>
      </c>
      <c r="G57" s="1">
        <v>14352.38</v>
      </c>
      <c r="H57" s="1">
        <v>0</v>
      </c>
      <c r="I57" s="1">
        <v>835076</v>
      </c>
      <c r="J57" s="1">
        <f t="shared" si="2"/>
        <v>41753.800000000003</v>
      </c>
      <c r="K57" s="1">
        <v>0</v>
      </c>
      <c r="L57" s="11">
        <f t="shared" si="3"/>
        <v>48892.209999999992</v>
      </c>
    </row>
    <row r="58" spans="1:12" x14ac:dyDescent="0.25">
      <c r="A58">
        <v>413</v>
      </c>
      <c r="B58">
        <v>1</v>
      </c>
      <c r="C58" t="s">
        <v>83</v>
      </c>
      <c r="D58" s="1">
        <v>11899.56</v>
      </c>
      <c r="E58" s="1">
        <v>0</v>
      </c>
      <c r="F58" s="1">
        <v>0</v>
      </c>
      <c r="G58" s="1">
        <v>0</v>
      </c>
      <c r="H58" s="1">
        <v>0</v>
      </c>
      <c r="I58" s="1">
        <v>135438</v>
      </c>
      <c r="J58" s="1">
        <f t="shared" si="2"/>
        <v>6771.9</v>
      </c>
      <c r="K58" s="1">
        <v>0</v>
      </c>
      <c r="L58" s="11">
        <f t="shared" si="3"/>
        <v>5127.66</v>
      </c>
    </row>
    <row r="59" spans="1:12" x14ac:dyDescent="0.25">
      <c r="A59">
        <v>482</v>
      </c>
      <c r="B59">
        <v>1</v>
      </c>
      <c r="C59" t="s">
        <v>94</v>
      </c>
      <c r="D59" s="1">
        <v>20221.689999999999</v>
      </c>
      <c r="E59" s="1">
        <v>0</v>
      </c>
      <c r="F59" s="1">
        <v>0</v>
      </c>
      <c r="G59" s="1">
        <v>0</v>
      </c>
      <c r="H59" s="1">
        <v>0</v>
      </c>
      <c r="I59" s="1">
        <v>273591</v>
      </c>
      <c r="J59" s="1">
        <f t="shared" ref="J59:J69" si="4">ROUND(I59/20,2)</f>
        <v>13679.55</v>
      </c>
      <c r="K59" s="1">
        <v>0</v>
      </c>
      <c r="L59" s="11">
        <f t="shared" ref="L59:L69" si="5">MAX((D59-F59-G59-J59),0)</f>
        <v>6542.1399999999994</v>
      </c>
    </row>
    <row r="60" spans="1:12" x14ac:dyDescent="0.25">
      <c r="A60">
        <v>499</v>
      </c>
      <c r="B60">
        <v>1</v>
      </c>
      <c r="C60" t="s">
        <v>101</v>
      </c>
      <c r="D60" s="1">
        <v>27585.360000000001</v>
      </c>
      <c r="E60" s="1">
        <v>0</v>
      </c>
      <c r="F60" s="1">
        <v>8039.34</v>
      </c>
      <c r="G60" s="1">
        <v>6731.59</v>
      </c>
      <c r="H60" s="1">
        <v>0</v>
      </c>
      <c r="I60" s="1">
        <v>111075</v>
      </c>
      <c r="J60" s="1">
        <f t="shared" si="4"/>
        <v>5553.75</v>
      </c>
      <c r="K60" s="1">
        <v>0</v>
      </c>
      <c r="L60" s="11">
        <f t="shared" si="5"/>
        <v>7260.68</v>
      </c>
    </row>
    <row r="61" spans="1:12" x14ac:dyDescent="0.25">
      <c r="A61">
        <v>548</v>
      </c>
      <c r="B61">
        <v>1</v>
      </c>
      <c r="C61" t="s">
        <v>302</v>
      </c>
      <c r="D61" s="1">
        <v>20566.419999999998</v>
      </c>
      <c r="E61" s="1">
        <v>0</v>
      </c>
      <c r="F61" s="1">
        <v>6225.92</v>
      </c>
      <c r="G61" s="1">
        <v>5431.78</v>
      </c>
      <c r="H61" s="1">
        <v>0</v>
      </c>
      <c r="I61" s="1">
        <v>138824</v>
      </c>
      <c r="J61" s="1">
        <f t="shared" si="4"/>
        <v>6941.2</v>
      </c>
      <c r="K61" s="1">
        <v>0</v>
      </c>
      <c r="L61" s="11">
        <f t="shared" si="5"/>
        <v>1967.5199999999977</v>
      </c>
    </row>
    <row r="62" spans="1:12" x14ac:dyDescent="0.25">
      <c r="A62">
        <v>549</v>
      </c>
      <c r="B62">
        <v>1</v>
      </c>
      <c r="C62" t="s">
        <v>115</v>
      </c>
      <c r="D62" s="1">
        <v>7734.45</v>
      </c>
      <c r="E62" s="1">
        <v>0</v>
      </c>
      <c r="F62" s="1">
        <v>11890.99</v>
      </c>
      <c r="G62" s="1">
        <v>0</v>
      </c>
      <c r="H62" s="1">
        <v>0</v>
      </c>
      <c r="I62" s="1">
        <v>1137938</v>
      </c>
      <c r="J62" s="1">
        <f t="shared" si="4"/>
        <v>56896.9</v>
      </c>
      <c r="K62" s="1">
        <v>0</v>
      </c>
      <c r="L62" s="11">
        <f t="shared" si="5"/>
        <v>0</v>
      </c>
    </row>
    <row r="63" spans="1:12" x14ac:dyDescent="0.25">
      <c r="A63">
        <v>564</v>
      </c>
      <c r="B63">
        <v>1</v>
      </c>
      <c r="C63" t="s">
        <v>291</v>
      </c>
      <c r="D63" s="1">
        <v>36690.68</v>
      </c>
      <c r="E63" s="1">
        <v>0</v>
      </c>
      <c r="F63" s="1">
        <v>0</v>
      </c>
      <c r="G63" s="1">
        <v>11003.44</v>
      </c>
      <c r="H63" s="1">
        <v>0</v>
      </c>
      <c r="I63" s="1">
        <v>245438</v>
      </c>
      <c r="J63" s="1">
        <f t="shared" si="4"/>
        <v>12271.9</v>
      </c>
      <c r="K63" s="1">
        <v>0</v>
      </c>
      <c r="L63" s="11">
        <f t="shared" si="5"/>
        <v>13415.339999999998</v>
      </c>
    </row>
    <row r="64" spans="1:12" x14ac:dyDescent="0.25">
      <c r="A64">
        <v>621</v>
      </c>
      <c r="B64">
        <v>1</v>
      </c>
      <c r="C64" t="s">
        <v>125</v>
      </c>
      <c r="D64" s="1">
        <v>194396.56</v>
      </c>
      <c r="E64" s="1">
        <v>0</v>
      </c>
      <c r="F64" s="1">
        <v>0</v>
      </c>
      <c r="G64" s="1">
        <v>0</v>
      </c>
      <c r="H64" s="1">
        <v>0</v>
      </c>
      <c r="I64" s="1">
        <v>2661213</v>
      </c>
      <c r="J64" s="1">
        <f t="shared" si="4"/>
        <v>133060.65</v>
      </c>
      <c r="K64" s="1">
        <v>0</v>
      </c>
      <c r="L64" s="11">
        <f t="shared" si="5"/>
        <v>61335.91</v>
      </c>
    </row>
    <row r="65" spans="1:12" x14ac:dyDescent="0.25">
      <c r="A65">
        <v>622</v>
      </c>
      <c r="B65">
        <v>1</v>
      </c>
      <c r="C65" t="s">
        <v>300</v>
      </c>
      <c r="D65" s="1">
        <v>348523.64</v>
      </c>
      <c r="E65" s="1">
        <v>0</v>
      </c>
      <c r="F65" s="1">
        <v>0</v>
      </c>
      <c r="G65" s="1">
        <v>70062.039999999994</v>
      </c>
      <c r="H65" s="1">
        <v>0</v>
      </c>
      <c r="I65" s="1">
        <v>2790221</v>
      </c>
      <c r="J65" s="1">
        <f t="shared" si="4"/>
        <v>139511.04999999999</v>
      </c>
      <c r="K65" s="1">
        <v>0</v>
      </c>
      <c r="L65" s="11">
        <f t="shared" si="5"/>
        <v>138950.55000000005</v>
      </c>
    </row>
    <row r="66" spans="1:12" x14ac:dyDescent="0.25">
      <c r="A66">
        <v>623</v>
      </c>
      <c r="B66">
        <v>1</v>
      </c>
      <c r="C66" t="s">
        <v>126</v>
      </c>
      <c r="D66" s="1">
        <v>76621.789999999994</v>
      </c>
      <c r="E66" s="1">
        <v>0</v>
      </c>
      <c r="F66" s="1">
        <v>0</v>
      </c>
      <c r="G66" s="1">
        <v>0</v>
      </c>
      <c r="H66" s="1">
        <v>0</v>
      </c>
      <c r="I66" s="1">
        <v>1440123</v>
      </c>
      <c r="J66" s="1">
        <f t="shared" si="4"/>
        <v>72006.149999999994</v>
      </c>
      <c r="K66" s="1">
        <v>0</v>
      </c>
      <c r="L66" s="11">
        <f t="shared" si="5"/>
        <v>4615.6399999999994</v>
      </c>
    </row>
    <row r="67" spans="1:12" x14ac:dyDescent="0.25">
      <c r="A67">
        <v>624</v>
      </c>
      <c r="B67">
        <v>1</v>
      </c>
      <c r="C67" t="s">
        <v>222</v>
      </c>
      <c r="D67" s="1">
        <v>83083.759999999995</v>
      </c>
      <c r="E67" s="1">
        <v>0</v>
      </c>
      <c r="F67" s="1">
        <v>0</v>
      </c>
      <c r="G67" s="1">
        <v>0</v>
      </c>
      <c r="H67" s="1">
        <v>0</v>
      </c>
      <c r="I67" s="1">
        <v>5631754</v>
      </c>
      <c r="J67" s="1">
        <f t="shared" si="4"/>
        <v>281587.7</v>
      </c>
      <c r="K67" s="1">
        <v>0</v>
      </c>
      <c r="L67" s="11">
        <f t="shared" si="5"/>
        <v>0</v>
      </c>
    </row>
    <row r="68" spans="1:12" x14ac:dyDescent="0.25">
      <c r="A68">
        <v>690</v>
      </c>
      <c r="B68">
        <v>1</v>
      </c>
      <c r="C68" t="s">
        <v>336</v>
      </c>
      <c r="D68" s="1">
        <v>12963.66</v>
      </c>
      <c r="E68" s="1">
        <v>0</v>
      </c>
      <c r="F68" s="1">
        <v>16810.64</v>
      </c>
      <c r="G68" s="1">
        <v>0</v>
      </c>
      <c r="H68" s="1">
        <v>0</v>
      </c>
      <c r="I68" s="1">
        <v>475477</v>
      </c>
      <c r="J68" s="1">
        <f t="shared" si="4"/>
        <v>23773.85</v>
      </c>
      <c r="K68" s="1">
        <f>MAX((D68-F68-G68-J68),0)</f>
        <v>0</v>
      </c>
      <c r="L68" s="11">
        <f>MAX((D68-F68-G68-J68-K68),0)</f>
        <v>0</v>
      </c>
    </row>
    <row r="69" spans="1:12" x14ac:dyDescent="0.25">
      <c r="A69">
        <v>695</v>
      </c>
      <c r="B69">
        <v>1</v>
      </c>
      <c r="C69" t="s">
        <v>134</v>
      </c>
      <c r="D69" s="1">
        <v>19994.72</v>
      </c>
      <c r="E69" s="1">
        <v>0</v>
      </c>
      <c r="F69" s="1">
        <v>127939</v>
      </c>
      <c r="G69" s="1">
        <v>0</v>
      </c>
      <c r="H69" s="1">
        <v>0</v>
      </c>
      <c r="I69" s="1">
        <v>552274</v>
      </c>
      <c r="J69" s="1">
        <f t="shared" si="4"/>
        <v>27613.7</v>
      </c>
      <c r="K69" s="1">
        <v>0</v>
      </c>
      <c r="L69" s="11">
        <f t="shared" si="5"/>
        <v>0</v>
      </c>
    </row>
    <row r="70" spans="1:12" x14ac:dyDescent="0.25">
      <c r="A70">
        <v>704</v>
      </c>
      <c r="B70">
        <v>1</v>
      </c>
      <c r="C70" t="s">
        <v>138</v>
      </c>
      <c r="D70" s="1">
        <v>54527.33</v>
      </c>
      <c r="E70" s="1">
        <v>0</v>
      </c>
      <c r="F70" s="1">
        <v>0</v>
      </c>
      <c r="G70" s="1">
        <v>11682.47</v>
      </c>
      <c r="H70" s="1">
        <v>0</v>
      </c>
      <c r="I70" s="1">
        <v>446282</v>
      </c>
      <c r="J70" s="1">
        <f t="shared" ref="J70:J85" si="6">ROUND(I70/20,2)</f>
        <v>22314.1</v>
      </c>
      <c r="K70" s="1">
        <v>0</v>
      </c>
      <c r="L70" s="11">
        <f t="shared" ref="L70:L85" si="7">MAX((D70-F70-G70-J70),0)</f>
        <v>20530.760000000002</v>
      </c>
    </row>
    <row r="71" spans="1:12" x14ac:dyDescent="0.25">
      <c r="A71">
        <v>706</v>
      </c>
      <c r="B71">
        <v>1</v>
      </c>
      <c r="C71" t="s">
        <v>139</v>
      </c>
      <c r="D71" s="1">
        <v>285913.71000000002</v>
      </c>
      <c r="E71" s="1">
        <v>0</v>
      </c>
      <c r="F71" s="1">
        <v>982120</v>
      </c>
      <c r="G71" s="1">
        <v>0</v>
      </c>
      <c r="H71" s="1">
        <v>0</v>
      </c>
      <c r="I71" s="1">
        <v>474725</v>
      </c>
      <c r="J71" s="1">
        <f t="shared" si="6"/>
        <v>23736.25</v>
      </c>
      <c r="K71" s="1">
        <v>0</v>
      </c>
      <c r="L71" s="11">
        <f t="shared" si="7"/>
        <v>0</v>
      </c>
    </row>
    <row r="72" spans="1:12" x14ac:dyDescent="0.25">
      <c r="A72">
        <v>712</v>
      </c>
      <c r="B72">
        <v>1</v>
      </c>
      <c r="C72" t="s">
        <v>226</v>
      </c>
      <c r="D72" s="1">
        <v>11345.82</v>
      </c>
      <c r="E72" s="1">
        <v>0</v>
      </c>
      <c r="F72" s="1">
        <v>0</v>
      </c>
      <c r="G72" s="1">
        <v>6695.58</v>
      </c>
      <c r="H72" s="1">
        <v>0</v>
      </c>
      <c r="I72" s="1">
        <v>157798</v>
      </c>
      <c r="J72" s="1">
        <f t="shared" si="6"/>
        <v>7889.9</v>
      </c>
      <c r="K72" s="1">
        <v>0</v>
      </c>
      <c r="L72" s="11">
        <f t="shared" si="7"/>
        <v>0</v>
      </c>
    </row>
    <row r="73" spans="1:12" x14ac:dyDescent="0.25">
      <c r="A73">
        <v>727</v>
      </c>
      <c r="B73">
        <v>1</v>
      </c>
      <c r="C73" t="s">
        <v>147</v>
      </c>
      <c r="D73" s="1">
        <v>23738.92</v>
      </c>
      <c r="E73" s="1">
        <v>0</v>
      </c>
      <c r="F73" s="1">
        <v>0</v>
      </c>
      <c r="G73" s="1">
        <v>0</v>
      </c>
      <c r="H73" s="1">
        <v>0</v>
      </c>
      <c r="I73" s="1">
        <v>407431</v>
      </c>
      <c r="J73" s="1">
        <f t="shared" si="6"/>
        <v>20371.55</v>
      </c>
      <c r="K73" s="1">
        <v>0</v>
      </c>
      <c r="L73" s="11">
        <f t="shared" si="7"/>
        <v>3367.369999999999</v>
      </c>
    </row>
    <row r="74" spans="1:12" x14ac:dyDescent="0.25">
      <c r="A74">
        <v>728</v>
      </c>
      <c r="B74">
        <v>1</v>
      </c>
      <c r="C74" t="s">
        <v>148</v>
      </c>
      <c r="D74" s="1">
        <v>32783.9</v>
      </c>
      <c r="E74" s="1">
        <v>0</v>
      </c>
      <c r="F74" s="1">
        <v>0</v>
      </c>
      <c r="G74" s="1">
        <v>2691.34</v>
      </c>
      <c r="H74" s="1">
        <v>0</v>
      </c>
      <c r="I74" s="1">
        <v>321222</v>
      </c>
      <c r="J74" s="1">
        <f t="shared" si="6"/>
        <v>16061.1</v>
      </c>
      <c r="K74" s="1">
        <v>0</v>
      </c>
      <c r="L74" s="11">
        <f t="shared" si="7"/>
        <v>14031.460000000001</v>
      </c>
    </row>
    <row r="75" spans="1:12" x14ac:dyDescent="0.25">
      <c r="A75">
        <v>738</v>
      </c>
      <c r="B75">
        <v>1</v>
      </c>
      <c r="C75" t="s">
        <v>149</v>
      </c>
      <c r="D75" s="1">
        <v>10231.09</v>
      </c>
      <c r="E75" s="1">
        <v>0</v>
      </c>
      <c r="F75" s="1">
        <v>0</v>
      </c>
      <c r="G75" s="1">
        <v>0</v>
      </c>
      <c r="H75" s="1">
        <v>0</v>
      </c>
      <c r="I75" s="1">
        <v>178191</v>
      </c>
      <c r="J75" s="1">
        <f t="shared" si="6"/>
        <v>8909.5499999999993</v>
      </c>
      <c r="K75" s="1">
        <v>0</v>
      </c>
      <c r="L75" s="11">
        <f t="shared" si="7"/>
        <v>1321.5400000000009</v>
      </c>
    </row>
    <row r="76" spans="1:12" x14ac:dyDescent="0.25">
      <c r="A76">
        <v>742</v>
      </c>
      <c r="B76">
        <v>1</v>
      </c>
      <c r="C76" t="s">
        <v>153</v>
      </c>
      <c r="D76" s="1">
        <v>102266.35</v>
      </c>
      <c r="E76" s="1">
        <v>0</v>
      </c>
      <c r="F76" s="1">
        <v>2047256</v>
      </c>
      <c r="G76" s="1">
        <v>0</v>
      </c>
      <c r="H76" s="1">
        <v>0</v>
      </c>
      <c r="I76" s="1">
        <v>0</v>
      </c>
      <c r="J76" s="1">
        <f t="shared" si="6"/>
        <v>0</v>
      </c>
      <c r="K76" s="1">
        <v>0</v>
      </c>
      <c r="L76" s="11">
        <f t="shared" si="7"/>
        <v>0</v>
      </c>
    </row>
    <row r="77" spans="1:12" x14ac:dyDescent="0.25">
      <c r="A77">
        <v>750</v>
      </c>
      <c r="B77">
        <v>1</v>
      </c>
      <c r="C77" t="s">
        <v>157</v>
      </c>
      <c r="D77" s="1">
        <v>67759.55</v>
      </c>
      <c r="E77" s="1">
        <v>0</v>
      </c>
      <c r="F77" s="1">
        <v>8269.1</v>
      </c>
      <c r="G77" s="1">
        <v>20729.68</v>
      </c>
      <c r="H77" s="1">
        <v>0</v>
      </c>
      <c r="I77" s="1">
        <v>421510</v>
      </c>
      <c r="J77" s="1">
        <f t="shared" si="6"/>
        <v>21075.5</v>
      </c>
      <c r="K77" s="1">
        <v>0</v>
      </c>
      <c r="L77" s="11">
        <f t="shared" si="7"/>
        <v>17685.270000000004</v>
      </c>
    </row>
    <row r="78" spans="1:12" x14ac:dyDescent="0.25">
      <c r="A78">
        <v>831</v>
      </c>
      <c r="B78">
        <v>1</v>
      </c>
      <c r="C78" t="s">
        <v>169</v>
      </c>
      <c r="D78" s="1">
        <v>45991.73</v>
      </c>
      <c r="E78" s="1">
        <v>0</v>
      </c>
      <c r="F78" s="1">
        <v>0</v>
      </c>
      <c r="G78" s="1">
        <v>0</v>
      </c>
      <c r="H78" s="1">
        <v>0</v>
      </c>
      <c r="I78" s="1">
        <v>549037</v>
      </c>
      <c r="J78" s="1">
        <f t="shared" si="6"/>
        <v>27451.85</v>
      </c>
      <c r="K78" s="1">
        <v>0</v>
      </c>
      <c r="L78" s="11">
        <f t="shared" si="7"/>
        <v>18539.880000000005</v>
      </c>
    </row>
    <row r="79" spans="1:12" x14ac:dyDescent="0.25">
      <c r="A79">
        <v>832</v>
      </c>
      <c r="B79">
        <v>1</v>
      </c>
      <c r="C79" t="s">
        <v>170</v>
      </c>
      <c r="D79" s="1">
        <v>54425.120000000003</v>
      </c>
      <c r="E79" s="1">
        <v>0</v>
      </c>
      <c r="F79" s="1">
        <v>0</v>
      </c>
      <c r="G79" s="1">
        <v>0</v>
      </c>
      <c r="H79" s="1">
        <v>0</v>
      </c>
      <c r="I79" s="1">
        <v>350131</v>
      </c>
      <c r="J79" s="1">
        <f t="shared" si="6"/>
        <v>17506.55</v>
      </c>
      <c r="K79" s="1">
        <v>0</v>
      </c>
      <c r="L79" s="11">
        <f t="shared" si="7"/>
        <v>36918.570000000007</v>
      </c>
    </row>
    <row r="80" spans="1:12" x14ac:dyDescent="0.25">
      <c r="A80">
        <v>834</v>
      </c>
      <c r="B80">
        <v>1</v>
      </c>
      <c r="C80" t="s">
        <v>171</v>
      </c>
      <c r="D80" s="1">
        <v>278991.06</v>
      </c>
      <c r="E80" s="1">
        <v>0</v>
      </c>
      <c r="F80" s="1">
        <v>65720</v>
      </c>
      <c r="G80" s="1">
        <v>68213.22</v>
      </c>
      <c r="H80" s="1">
        <v>0</v>
      </c>
      <c r="I80" s="1">
        <v>1487853</v>
      </c>
      <c r="J80" s="1">
        <f t="shared" si="6"/>
        <v>74392.649999999994</v>
      </c>
      <c r="K80" s="1">
        <v>0</v>
      </c>
      <c r="L80" s="11">
        <f t="shared" si="7"/>
        <v>70665.19</v>
      </c>
    </row>
    <row r="81" spans="1:12" x14ac:dyDescent="0.25">
      <c r="A81">
        <v>861</v>
      </c>
      <c r="B81">
        <v>1</v>
      </c>
      <c r="C81" t="s">
        <v>179</v>
      </c>
      <c r="D81" s="1">
        <v>125560.8</v>
      </c>
      <c r="E81" s="1">
        <v>0</v>
      </c>
      <c r="F81" s="1">
        <v>0</v>
      </c>
      <c r="G81" s="1">
        <v>46646.43</v>
      </c>
      <c r="H81" s="1">
        <v>0</v>
      </c>
      <c r="I81" s="1">
        <v>789669</v>
      </c>
      <c r="J81" s="1">
        <f t="shared" si="6"/>
        <v>39483.449999999997</v>
      </c>
      <c r="K81" s="1">
        <v>0</v>
      </c>
      <c r="L81" s="11">
        <f t="shared" si="7"/>
        <v>39430.92</v>
      </c>
    </row>
    <row r="82" spans="1:12" x14ac:dyDescent="0.25">
      <c r="A82">
        <v>877</v>
      </c>
      <c r="B82">
        <v>1</v>
      </c>
      <c r="C82" t="s">
        <v>181</v>
      </c>
      <c r="D82" s="1">
        <v>53741.14</v>
      </c>
      <c r="E82" s="1">
        <v>0</v>
      </c>
      <c r="F82" s="1">
        <v>0</v>
      </c>
      <c r="G82" s="1">
        <v>1031.3900000000001</v>
      </c>
      <c r="H82" s="1">
        <v>0</v>
      </c>
      <c r="I82" s="1">
        <v>518688</v>
      </c>
      <c r="J82" s="1">
        <f t="shared" si="6"/>
        <v>25934.400000000001</v>
      </c>
      <c r="K82" s="1">
        <v>0</v>
      </c>
      <c r="L82" s="11">
        <f t="shared" si="7"/>
        <v>26775.35</v>
      </c>
    </row>
    <row r="83" spans="1:12" x14ac:dyDescent="0.25">
      <c r="A83">
        <v>881</v>
      </c>
      <c r="B83">
        <v>1</v>
      </c>
      <c r="C83" t="s">
        <v>183</v>
      </c>
      <c r="D83" s="1">
        <v>38740.76</v>
      </c>
      <c r="E83" s="1">
        <v>0</v>
      </c>
      <c r="F83" s="1">
        <v>0</v>
      </c>
      <c r="G83" s="1">
        <v>30929.71</v>
      </c>
      <c r="H83" s="1">
        <v>0</v>
      </c>
      <c r="I83" s="1">
        <v>82202</v>
      </c>
      <c r="J83" s="1">
        <f t="shared" si="6"/>
        <v>4110.1000000000004</v>
      </c>
      <c r="K83" s="1">
        <v>0</v>
      </c>
      <c r="L83" s="11">
        <f t="shared" si="7"/>
        <v>3700.9500000000025</v>
      </c>
    </row>
    <row r="84" spans="1:12" x14ac:dyDescent="0.25">
      <c r="A84">
        <v>883</v>
      </c>
      <c r="B84">
        <v>1</v>
      </c>
      <c r="C84" t="s">
        <v>185</v>
      </c>
      <c r="D84" s="1">
        <v>10502.58</v>
      </c>
      <c r="E84" s="1">
        <v>0</v>
      </c>
      <c r="F84" s="1">
        <v>0</v>
      </c>
      <c r="G84" s="1">
        <v>0</v>
      </c>
      <c r="H84" s="1">
        <v>0</v>
      </c>
      <c r="I84" s="1">
        <v>302904</v>
      </c>
      <c r="J84" s="1">
        <f t="shared" si="6"/>
        <v>15145.2</v>
      </c>
      <c r="K84" s="1">
        <v>0</v>
      </c>
      <c r="L84" s="11">
        <f t="shared" si="7"/>
        <v>0</v>
      </c>
    </row>
    <row r="85" spans="1:12" x14ac:dyDescent="0.25">
      <c r="A85">
        <v>912</v>
      </c>
      <c r="B85">
        <v>1</v>
      </c>
      <c r="C85" t="s">
        <v>187</v>
      </c>
      <c r="D85" s="1">
        <v>23838.93</v>
      </c>
      <c r="E85" s="1">
        <v>0</v>
      </c>
      <c r="F85" s="1">
        <v>0</v>
      </c>
      <c r="G85" s="1">
        <v>0</v>
      </c>
      <c r="H85" s="1">
        <v>0</v>
      </c>
      <c r="I85" s="1">
        <v>337537</v>
      </c>
      <c r="J85" s="1">
        <f t="shared" si="6"/>
        <v>16876.849999999999</v>
      </c>
      <c r="K85" s="1">
        <v>0</v>
      </c>
      <c r="L85" s="11">
        <f t="shared" si="7"/>
        <v>6962.0800000000017</v>
      </c>
    </row>
    <row r="86" spans="1:12" x14ac:dyDescent="0.25">
      <c r="A86">
        <v>2071</v>
      </c>
      <c r="B86">
        <v>1</v>
      </c>
      <c r="C86" t="s">
        <v>236</v>
      </c>
      <c r="D86" s="1">
        <v>12770.66</v>
      </c>
      <c r="E86" s="1">
        <v>0</v>
      </c>
      <c r="F86" s="1">
        <v>8537</v>
      </c>
      <c r="G86" s="1">
        <v>0</v>
      </c>
      <c r="H86" s="1">
        <v>0</v>
      </c>
      <c r="I86" s="1">
        <v>188619</v>
      </c>
      <c r="J86" s="1">
        <f t="shared" ref="J86:J98" si="8">ROUND(I86/20,2)</f>
        <v>9430.9500000000007</v>
      </c>
      <c r="K86" s="1">
        <v>0</v>
      </c>
      <c r="L86" s="11">
        <f t="shared" ref="L86:L98" si="9">MAX((D86-F86-G86-J86),0)</f>
        <v>0</v>
      </c>
    </row>
    <row r="87" spans="1:12" x14ac:dyDescent="0.25">
      <c r="A87">
        <v>2134</v>
      </c>
      <c r="B87">
        <v>1</v>
      </c>
      <c r="C87" t="s">
        <v>297</v>
      </c>
      <c r="D87" s="1">
        <v>9457.75</v>
      </c>
      <c r="E87" s="1">
        <v>0</v>
      </c>
      <c r="F87" s="1">
        <v>0</v>
      </c>
      <c r="G87" s="1">
        <v>0</v>
      </c>
      <c r="H87" s="1">
        <v>0</v>
      </c>
      <c r="I87" s="1">
        <v>180461</v>
      </c>
      <c r="J87" s="1">
        <f t="shared" si="8"/>
        <v>9023.0499999999993</v>
      </c>
      <c r="K87" s="1">
        <v>0</v>
      </c>
      <c r="L87" s="11">
        <f t="shared" si="9"/>
        <v>434.70000000000073</v>
      </c>
    </row>
    <row r="88" spans="1:12" x14ac:dyDescent="0.25">
      <c r="A88">
        <v>2137</v>
      </c>
      <c r="B88">
        <v>1</v>
      </c>
      <c r="C88" t="s">
        <v>190</v>
      </c>
      <c r="D88" s="1">
        <v>20700.419999999998</v>
      </c>
      <c r="E88" s="1">
        <v>0</v>
      </c>
      <c r="F88" s="1">
        <v>7307.9</v>
      </c>
      <c r="G88" s="1">
        <v>4384.53</v>
      </c>
      <c r="H88" s="1">
        <v>0</v>
      </c>
      <c r="I88" s="1">
        <v>87484</v>
      </c>
      <c r="J88" s="1">
        <f t="shared" si="8"/>
        <v>4374.2</v>
      </c>
      <c r="K88" s="1">
        <v>0</v>
      </c>
      <c r="L88" s="11">
        <f t="shared" si="9"/>
        <v>4633.7899999999981</v>
      </c>
    </row>
    <row r="89" spans="1:12" x14ac:dyDescent="0.25">
      <c r="A89">
        <v>2149</v>
      </c>
      <c r="B89">
        <v>1</v>
      </c>
      <c r="C89" t="s">
        <v>191</v>
      </c>
      <c r="D89" s="1">
        <v>6310.97</v>
      </c>
      <c r="E89" s="1">
        <v>0</v>
      </c>
      <c r="F89" s="1">
        <v>0</v>
      </c>
      <c r="G89" s="1">
        <v>0</v>
      </c>
      <c r="H89" s="1">
        <v>0</v>
      </c>
      <c r="I89" s="1">
        <v>501127</v>
      </c>
      <c r="J89" s="1">
        <f t="shared" si="8"/>
        <v>25056.35</v>
      </c>
      <c r="K89" s="1">
        <v>0</v>
      </c>
      <c r="L89" s="11">
        <f t="shared" si="9"/>
        <v>0</v>
      </c>
    </row>
    <row r="90" spans="1:12" x14ac:dyDescent="0.25">
      <c r="A90">
        <v>2154</v>
      </c>
      <c r="B90">
        <v>1</v>
      </c>
      <c r="C90" t="s">
        <v>239</v>
      </c>
      <c r="D90" s="1">
        <v>20040.57</v>
      </c>
      <c r="E90" s="1">
        <v>0</v>
      </c>
      <c r="F90" s="1">
        <v>0</v>
      </c>
      <c r="G90" s="1">
        <v>3304.55</v>
      </c>
      <c r="H90" s="1">
        <v>0</v>
      </c>
      <c r="I90" s="1">
        <v>173838</v>
      </c>
      <c r="J90" s="1">
        <f t="shared" si="8"/>
        <v>8691.9</v>
      </c>
      <c r="K90" s="1">
        <v>0</v>
      </c>
      <c r="L90" s="11">
        <f t="shared" si="9"/>
        <v>8044.1200000000008</v>
      </c>
    </row>
    <row r="91" spans="1:12" x14ac:dyDescent="0.25">
      <c r="A91">
        <v>2164</v>
      </c>
      <c r="B91">
        <v>1</v>
      </c>
      <c r="C91" t="s">
        <v>242</v>
      </c>
      <c r="D91" s="1">
        <v>143168.5</v>
      </c>
      <c r="E91" s="1">
        <v>0</v>
      </c>
      <c r="F91" s="1">
        <v>0</v>
      </c>
      <c r="G91" s="1">
        <v>0</v>
      </c>
      <c r="H91" s="1">
        <v>0</v>
      </c>
      <c r="I91" s="1">
        <v>158435</v>
      </c>
      <c r="J91" s="1">
        <f t="shared" si="8"/>
        <v>7921.75</v>
      </c>
      <c r="K91" s="1">
        <v>0</v>
      </c>
      <c r="L91" s="11">
        <f t="shared" si="9"/>
        <v>135246.75</v>
      </c>
    </row>
    <row r="92" spans="1:12" x14ac:dyDescent="0.25">
      <c r="A92">
        <v>2170</v>
      </c>
      <c r="B92">
        <v>1</v>
      </c>
      <c r="C92" t="s">
        <v>245</v>
      </c>
      <c r="D92" s="1">
        <v>6793.26</v>
      </c>
      <c r="E92" s="1">
        <v>0</v>
      </c>
      <c r="F92" s="1">
        <v>0</v>
      </c>
      <c r="G92" s="1">
        <v>2486.88</v>
      </c>
      <c r="H92" s="1">
        <v>0</v>
      </c>
      <c r="I92" s="1">
        <v>144559</v>
      </c>
      <c r="J92" s="1">
        <f t="shared" si="8"/>
        <v>7227.95</v>
      </c>
      <c r="K92" s="1">
        <v>0</v>
      </c>
      <c r="L92" s="11">
        <f t="shared" si="9"/>
        <v>0</v>
      </c>
    </row>
    <row r="93" spans="1:12" x14ac:dyDescent="0.25">
      <c r="A93">
        <v>2190</v>
      </c>
      <c r="B93">
        <v>1</v>
      </c>
      <c r="C93" t="s">
        <v>250</v>
      </c>
      <c r="D93" s="1">
        <v>19341.29</v>
      </c>
      <c r="E93" s="1">
        <v>0</v>
      </c>
      <c r="F93" s="1">
        <v>0</v>
      </c>
      <c r="G93" s="1">
        <v>603.35</v>
      </c>
      <c r="H93" s="1">
        <v>0</v>
      </c>
      <c r="I93" s="1">
        <v>199968</v>
      </c>
      <c r="J93" s="1">
        <f t="shared" si="8"/>
        <v>9998.4</v>
      </c>
      <c r="K93" s="1">
        <v>0</v>
      </c>
      <c r="L93" s="11">
        <f t="shared" si="9"/>
        <v>8739.5400000000027</v>
      </c>
    </row>
    <row r="94" spans="1:12" x14ac:dyDescent="0.25">
      <c r="A94">
        <v>2198</v>
      </c>
      <c r="B94">
        <v>1</v>
      </c>
      <c r="C94" t="s">
        <v>251</v>
      </c>
      <c r="D94" s="1">
        <v>12729.22</v>
      </c>
      <c r="E94" s="1">
        <v>0</v>
      </c>
      <c r="F94" s="1">
        <v>0</v>
      </c>
      <c r="G94" s="1">
        <v>2668.22</v>
      </c>
      <c r="H94" s="1">
        <v>0</v>
      </c>
      <c r="I94" s="1">
        <v>112459</v>
      </c>
      <c r="J94" s="1">
        <f t="shared" si="8"/>
        <v>5622.95</v>
      </c>
      <c r="K94" s="1">
        <v>0</v>
      </c>
      <c r="L94" s="11">
        <f t="shared" si="9"/>
        <v>4438.05</v>
      </c>
    </row>
    <row r="95" spans="1:12" x14ac:dyDescent="0.25">
      <c r="A95">
        <v>2365</v>
      </c>
      <c r="B95">
        <v>1</v>
      </c>
      <c r="C95" t="s">
        <v>197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111967</v>
      </c>
      <c r="J95" s="1">
        <f t="shared" si="8"/>
        <v>5598.35</v>
      </c>
      <c r="K95" s="1">
        <v>0</v>
      </c>
      <c r="L95" s="11">
        <f t="shared" si="9"/>
        <v>0</v>
      </c>
    </row>
    <row r="96" spans="1:12" x14ac:dyDescent="0.25">
      <c r="A96">
        <v>2711</v>
      </c>
      <c r="B96">
        <v>1</v>
      </c>
      <c r="C96" t="s">
        <v>199</v>
      </c>
      <c r="D96" s="1">
        <v>123641.7</v>
      </c>
      <c r="E96" s="1">
        <v>0</v>
      </c>
      <c r="F96" s="1">
        <v>0</v>
      </c>
      <c r="G96" s="1">
        <v>42191.49</v>
      </c>
      <c r="H96" s="1">
        <v>0</v>
      </c>
      <c r="I96" s="1">
        <v>1317724</v>
      </c>
      <c r="J96" s="1">
        <f t="shared" si="8"/>
        <v>65886.2</v>
      </c>
      <c r="K96" s="1">
        <v>0</v>
      </c>
      <c r="L96" s="11">
        <f t="shared" si="9"/>
        <v>15564.009999999995</v>
      </c>
    </row>
    <row r="97" spans="1:12" x14ac:dyDescent="0.25">
      <c r="A97">
        <v>2769</v>
      </c>
      <c r="B97">
        <v>1</v>
      </c>
      <c r="C97" t="s">
        <v>224</v>
      </c>
      <c r="D97" s="1">
        <v>21073.59</v>
      </c>
      <c r="E97" s="1">
        <v>0</v>
      </c>
      <c r="F97" s="1">
        <v>6113.79</v>
      </c>
      <c r="G97" s="1">
        <v>4959.04</v>
      </c>
      <c r="H97" s="1">
        <v>0</v>
      </c>
      <c r="I97" s="1">
        <v>104706</v>
      </c>
      <c r="J97" s="1">
        <f t="shared" si="8"/>
        <v>5235.3</v>
      </c>
      <c r="K97" s="1">
        <v>0</v>
      </c>
      <c r="L97" s="11">
        <f t="shared" si="9"/>
        <v>4765.4599999999982</v>
      </c>
    </row>
    <row r="98" spans="1:12" x14ac:dyDescent="0.25">
      <c r="A98">
        <v>2853</v>
      </c>
      <c r="B98">
        <v>1</v>
      </c>
      <c r="C98" t="s">
        <v>269</v>
      </c>
      <c r="D98" s="1">
        <v>19219.2</v>
      </c>
      <c r="E98" s="1">
        <v>0</v>
      </c>
      <c r="F98" s="1">
        <v>0</v>
      </c>
      <c r="G98" s="1">
        <v>0</v>
      </c>
      <c r="H98" s="1">
        <v>0</v>
      </c>
      <c r="I98" s="1">
        <v>177230</v>
      </c>
      <c r="J98" s="1">
        <f t="shared" si="8"/>
        <v>8861.5</v>
      </c>
      <c r="K98" s="1">
        <v>0</v>
      </c>
      <c r="L98" s="11">
        <f t="shared" si="9"/>
        <v>10357.700000000001</v>
      </c>
    </row>
    <row r="99" spans="1:12" x14ac:dyDescent="0.25">
      <c r="D99" s="5" t="s">
        <v>286</v>
      </c>
      <c r="E99" s="5" t="s">
        <v>286</v>
      </c>
      <c r="F99" s="9" t="s">
        <v>286</v>
      </c>
      <c r="G99" s="9" t="s">
        <v>286</v>
      </c>
      <c r="I99" s="5" t="s">
        <v>286</v>
      </c>
    </row>
    <row r="100" spans="1:12" x14ac:dyDescent="0.25">
      <c r="G100" s="9" t="s">
        <v>286</v>
      </c>
    </row>
    <row r="101" spans="1:12" x14ac:dyDescent="0.25">
      <c r="G101" s="9" t="s">
        <v>286</v>
      </c>
    </row>
  </sheetData>
  <pageMargins left="0.7" right="0.7" top="0.75" bottom="0.75" header="0.3" footer="0.3"/>
  <pageSetup scale="8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7"/>
  <sheetViews>
    <sheetView workbookViewId="0">
      <pane xSplit="3" ySplit="5" topLeftCell="G57" activePane="bottomRight" state="frozen"/>
      <selection pane="topRight" activeCell="D1" sqref="D1"/>
      <selection pane="bottomLeft" activeCell="A6" sqref="A6"/>
      <selection pane="bottomRight" activeCell="M68" sqref="M68"/>
    </sheetView>
  </sheetViews>
  <sheetFormatPr defaultRowHeight="15" x14ac:dyDescent="0.25"/>
  <cols>
    <col min="1" max="1" width="5.28515625" customWidth="1"/>
    <col min="2" max="2" width="2.7109375" customWidth="1"/>
    <col min="3" max="3" width="14.7109375" customWidth="1"/>
    <col min="4" max="5" width="13.85546875" customWidth="1"/>
    <col min="6" max="8" width="13.140625" customWidth="1"/>
    <col min="9" max="9" width="14.7109375" customWidth="1"/>
    <col min="10" max="10" width="13" customWidth="1"/>
    <col min="11" max="11" width="12.7109375" customWidth="1"/>
    <col min="12" max="12" width="13.28515625" customWidth="1"/>
  </cols>
  <sheetData>
    <row r="1" spans="1:12" x14ac:dyDescent="0.25">
      <c r="A1" s="8" t="s">
        <v>353</v>
      </c>
    </row>
    <row r="2" spans="1:12" x14ac:dyDescent="0.25">
      <c r="D2" s="3">
        <v>-1</v>
      </c>
      <c r="E2" s="3">
        <v>-2</v>
      </c>
      <c r="F2" s="3">
        <v>-3</v>
      </c>
      <c r="G2" s="3">
        <v>-4</v>
      </c>
      <c r="H2" s="3">
        <v>-5</v>
      </c>
      <c r="I2" s="3">
        <v>-6</v>
      </c>
      <c r="J2" s="3">
        <v>-7</v>
      </c>
      <c r="K2" s="3">
        <v>-8</v>
      </c>
      <c r="L2" s="3">
        <v>-9</v>
      </c>
    </row>
    <row r="3" spans="1:12" x14ac:dyDescent="0.25">
      <c r="A3" s="2" t="s">
        <v>284</v>
      </c>
      <c r="B3" t="s">
        <v>287</v>
      </c>
      <c r="C3" t="s">
        <v>328</v>
      </c>
      <c r="D3" s="2" t="s">
        <v>320</v>
      </c>
      <c r="E3" s="6" t="s">
        <v>319</v>
      </c>
      <c r="F3" s="6" t="s">
        <v>357</v>
      </c>
      <c r="G3" s="6" t="s">
        <v>358</v>
      </c>
      <c r="H3" s="2" t="s">
        <v>322</v>
      </c>
      <c r="I3" s="6" t="s">
        <v>347</v>
      </c>
      <c r="J3" s="6" t="s">
        <v>344</v>
      </c>
      <c r="K3" s="2" t="s">
        <v>352</v>
      </c>
      <c r="L3" s="2" t="s">
        <v>348</v>
      </c>
    </row>
    <row r="4" spans="1:12" x14ac:dyDescent="0.25">
      <c r="A4" s="2" t="s">
        <v>285</v>
      </c>
      <c r="B4" t="s">
        <v>286</v>
      </c>
      <c r="C4" s="7" t="s">
        <v>329</v>
      </c>
      <c r="D4" s="2" t="s">
        <v>288</v>
      </c>
      <c r="E4" s="7" t="s">
        <v>321</v>
      </c>
      <c r="F4" s="6" t="s">
        <v>359</v>
      </c>
      <c r="G4" s="6" t="s">
        <v>359</v>
      </c>
      <c r="H4" s="6" t="s">
        <v>323</v>
      </c>
      <c r="I4" s="7" t="s">
        <v>343</v>
      </c>
      <c r="J4" s="6" t="s">
        <v>345</v>
      </c>
      <c r="K4" s="2" t="s">
        <v>351</v>
      </c>
      <c r="L4" s="2" t="s">
        <v>346</v>
      </c>
    </row>
    <row r="5" spans="1:12" x14ac:dyDescent="0.25">
      <c r="D5" s="4">
        <v>41090</v>
      </c>
      <c r="E5" s="4">
        <v>41090</v>
      </c>
      <c r="F5" s="2"/>
      <c r="G5" s="2"/>
    </row>
    <row r="6" spans="1:12" x14ac:dyDescent="0.25">
      <c r="A6">
        <v>1</v>
      </c>
      <c r="B6">
        <v>1</v>
      </c>
      <c r="C6" t="s">
        <v>0</v>
      </c>
      <c r="D6" s="1">
        <v>965.06</v>
      </c>
      <c r="E6" s="1">
        <v>0</v>
      </c>
      <c r="F6" s="1">
        <v>54280.73</v>
      </c>
      <c r="G6" s="1">
        <v>0</v>
      </c>
      <c r="H6" s="1">
        <v>0</v>
      </c>
      <c r="I6" s="1">
        <v>122128</v>
      </c>
      <c r="J6" s="1">
        <f t="shared" ref="J6:J69" si="0">ROUND(I6/20,2)</f>
        <v>6106.4</v>
      </c>
      <c r="K6" s="1">
        <v>0</v>
      </c>
      <c r="L6" s="11">
        <f t="shared" ref="L6:L20" si="1">MAX((D6-F6-G6-J6),0)</f>
        <v>0</v>
      </c>
    </row>
    <row r="7" spans="1:12" x14ac:dyDescent="0.25">
      <c r="A7">
        <v>1</v>
      </c>
      <c r="B7">
        <v>3</v>
      </c>
      <c r="C7" t="s">
        <v>1</v>
      </c>
      <c r="D7" s="1">
        <v>11926220.060000001</v>
      </c>
      <c r="E7" s="1">
        <v>16722823.539999999</v>
      </c>
      <c r="F7" s="1">
        <v>2409008.6800000002</v>
      </c>
      <c r="G7" s="1">
        <v>0</v>
      </c>
      <c r="H7" s="1">
        <v>2293458</v>
      </c>
      <c r="I7" s="1">
        <v>16716998</v>
      </c>
      <c r="J7" s="1">
        <f t="shared" si="0"/>
        <v>835849.9</v>
      </c>
      <c r="K7" s="1">
        <v>0</v>
      </c>
      <c r="L7" s="11">
        <f t="shared" si="1"/>
        <v>8681361.4800000004</v>
      </c>
    </row>
    <row r="8" spans="1:12" x14ac:dyDescent="0.25">
      <c r="A8">
        <v>2</v>
      </c>
      <c r="B8">
        <v>1</v>
      </c>
      <c r="C8" t="s">
        <v>2</v>
      </c>
      <c r="D8" s="1">
        <v>10673.47</v>
      </c>
      <c r="E8" s="1">
        <v>0</v>
      </c>
      <c r="F8" s="1">
        <v>0</v>
      </c>
      <c r="G8" s="1">
        <v>0</v>
      </c>
      <c r="H8" s="1">
        <v>0</v>
      </c>
      <c r="I8" s="1">
        <v>206089</v>
      </c>
      <c r="J8" s="1">
        <f t="shared" si="0"/>
        <v>10304.450000000001</v>
      </c>
      <c r="K8" s="1">
        <v>0</v>
      </c>
      <c r="L8" s="11">
        <f t="shared" si="1"/>
        <v>369.01999999999862</v>
      </c>
    </row>
    <row r="9" spans="1:12" x14ac:dyDescent="0.25">
      <c r="A9">
        <v>4</v>
      </c>
      <c r="B9">
        <v>1</v>
      </c>
      <c r="C9" t="s">
        <v>3</v>
      </c>
      <c r="D9" s="1">
        <v>95447.29</v>
      </c>
      <c r="E9" s="1">
        <v>0</v>
      </c>
      <c r="F9" s="1">
        <v>39434.089999999997</v>
      </c>
      <c r="G9" s="1">
        <v>0</v>
      </c>
      <c r="H9" s="1">
        <v>0</v>
      </c>
      <c r="I9" s="1">
        <v>803229</v>
      </c>
      <c r="J9" s="1">
        <f t="shared" si="0"/>
        <v>40161.449999999997</v>
      </c>
      <c r="K9" s="1">
        <v>0</v>
      </c>
      <c r="L9" s="11">
        <f t="shared" si="1"/>
        <v>15851.75</v>
      </c>
    </row>
    <row r="10" spans="1:12" x14ac:dyDescent="0.25">
      <c r="A10">
        <v>6</v>
      </c>
      <c r="B10">
        <v>3</v>
      </c>
      <c r="C10" t="s">
        <v>317</v>
      </c>
      <c r="D10" s="1">
        <v>438938.37</v>
      </c>
      <c r="E10" s="1">
        <v>0</v>
      </c>
      <c r="F10" s="1">
        <v>158265.65</v>
      </c>
      <c r="G10" s="1">
        <v>101883.36</v>
      </c>
      <c r="H10" s="1">
        <v>0</v>
      </c>
      <c r="I10" s="1">
        <v>1277247</v>
      </c>
      <c r="J10" s="1">
        <f t="shared" si="0"/>
        <v>63862.35</v>
      </c>
      <c r="K10" s="1">
        <v>0</v>
      </c>
      <c r="L10" s="11">
        <f t="shared" si="1"/>
        <v>114927.00999999998</v>
      </c>
    </row>
    <row r="11" spans="1:12" x14ac:dyDescent="0.25">
      <c r="A11">
        <v>11</v>
      </c>
      <c r="B11">
        <v>1</v>
      </c>
      <c r="C11" t="s">
        <v>215</v>
      </c>
      <c r="D11" s="1">
        <v>4377382.8099999996</v>
      </c>
      <c r="E11" s="1">
        <v>0</v>
      </c>
      <c r="F11" s="1">
        <v>1302630.6599999999</v>
      </c>
      <c r="G11" s="1">
        <v>1017496.08</v>
      </c>
      <c r="H11" s="1">
        <v>0</v>
      </c>
      <c r="I11" s="1">
        <v>19283644</v>
      </c>
      <c r="J11" s="1">
        <f t="shared" si="0"/>
        <v>964182.2</v>
      </c>
      <c r="K11" s="1">
        <v>0</v>
      </c>
      <c r="L11" s="11">
        <f t="shared" si="1"/>
        <v>1093073.8699999994</v>
      </c>
    </row>
    <row r="12" spans="1:12" x14ac:dyDescent="0.25">
      <c r="A12">
        <v>12</v>
      </c>
      <c r="B12">
        <v>1</v>
      </c>
      <c r="C12" t="s">
        <v>4</v>
      </c>
      <c r="D12" s="1">
        <v>2623294.15</v>
      </c>
      <c r="E12" s="1">
        <v>1628</v>
      </c>
      <c r="F12" s="1">
        <v>621322.31999999995</v>
      </c>
      <c r="G12" s="1">
        <v>466320.15</v>
      </c>
      <c r="H12" s="1">
        <v>0</v>
      </c>
      <c r="I12" s="1">
        <v>7211558</v>
      </c>
      <c r="J12" s="1">
        <f t="shared" si="0"/>
        <v>360577.9</v>
      </c>
      <c r="K12" s="1">
        <v>0</v>
      </c>
      <c r="L12" s="11">
        <f t="shared" si="1"/>
        <v>1175073.7800000003</v>
      </c>
    </row>
    <row r="13" spans="1:12" x14ac:dyDescent="0.25">
      <c r="A13">
        <v>13</v>
      </c>
      <c r="B13">
        <v>1</v>
      </c>
      <c r="C13" t="s">
        <v>324</v>
      </c>
      <c r="D13" s="1">
        <v>498526.7</v>
      </c>
      <c r="E13" s="1">
        <v>0</v>
      </c>
      <c r="F13" s="1">
        <v>116592.3</v>
      </c>
      <c r="G13" s="1">
        <v>111510.17</v>
      </c>
      <c r="H13" s="1">
        <v>0</v>
      </c>
      <c r="I13" s="1">
        <v>2242709</v>
      </c>
      <c r="J13" s="1">
        <f t="shared" si="0"/>
        <v>112135.45</v>
      </c>
      <c r="K13" s="1">
        <v>0</v>
      </c>
      <c r="L13" s="11">
        <f t="shared" si="1"/>
        <v>158288.78000000003</v>
      </c>
    </row>
    <row r="14" spans="1:12" x14ac:dyDescent="0.25">
      <c r="A14">
        <v>14</v>
      </c>
      <c r="B14">
        <v>1</v>
      </c>
      <c r="C14" t="s">
        <v>5</v>
      </c>
      <c r="D14" s="1">
        <v>477441.63</v>
      </c>
      <c r="E14" s="1">
        <v>0</v>
      </c>
      <c r="F14" s="1">
        <v>113549.82</v>
      </c>
      <c r="G14" s="1">
        <v>106241.37</v>
      </c>
      <c r="H14" s="1">
        <v>0</v>
      </c>
      <c r="I14" s="1">
        <v>2866894</v>
      </c>
      <c r="J14" s="1">
        <f t="shared" si="0"/>
        <v>143344.70000000001</v>
      </c>
      <c r="K14" s="1">
        <v>0</v>
      </c>
      <c r="L14" s="11">
        <f t="shared" si="1"/>
        <v>114305.73999999999</v>
      </c>
    </row>
    <row r="15" spans="1:12" x14ac:dyDescent="0.25">
      <c r="A15">
        <v>15</v>
      </c>
      <c r="B15">
        <v>1</v>
      </c>
      <c r="C15" t="s">
        <v>6</v>
      </c>
      <c r="D15" s="1">
        <v>989091.57</v>
      </c>
      <c r="E15" s="1">
        <v>0</v>
      </c>
      <c r="F15" s="1">
        <v>233368.06</v>
      </c>
      <c r="G15" s="1">
        <v>273990.61</v>
      </c>
      <c r="H15" s="1">
        <v>0</v>
      </c>
      <c r="I15" s="1">
        <v>5695557</v>
      </c>
      <c r="J15" s="1">
        <f t="shared" si="0"/>
        <v>284777.84999999998</v>
      </c>
      <c r="K15" s="1">
        <v>0</v>
      </c>
      <c r="L15" s="11">
        <f t="shared" si="1"/>
        <v>196955.05000000005</v>
      </c>
    </row>
    <row r="16" spans="1:12" x14ac:dyDescent="0.25">
      <c r="A16">
        <v>16</v>
      </c>
      <c r="B16">
        <v>1</v>
      </c>
      <c r="C16" t="s">
        <v>316</v>
      </c>
      <c r="D16" s="1">
        <v>1209773.8</v>
      </c>
      <c r="E16" s="1">
        <v>8833123</v>
      </c>
      <c r="F16" s="1">
        <v>86322.45</v>
      </c>
      <c r="G16" s="1">
        <v>345468.07</v>
      </c>
      <c r="H16" s="1">
        <v>0</v>
      </c>
      <c r="I16" s="1">
        <v>9650342</v>
      </c>
      <c r="J16" s="1">
        <f t="shared" si="0"/>
        <v>482517.1</v>
      </c>
      <c r="K16" s="1">
        <v>0</v>
      </c>
      <c r="L16" s="11">
        <f t="shared" si="1"/>
        <v>295466.18000000005</v>
      </c>
    </row>
    <row r="17" spans="1:12" x14ac:dyDescent="0.25">
      <c r="A17">
        <v>22</v>
      </c>
      <c r="B17">
        <v>1</v>
      </c>
      <c r="C17" t="s">
        <v>7</v>
      </c>
      <c r="D17" s="1">
        <v>214265.68</v>
      </c>
      <c r="E17" s="1">
        <v>0</v>
      </c>
      <c r="F17" s="1">
        <v>105541.1</v>
      </c>
      <c r="G17" s="1">
        <v>11086.41</v>
      </c>
      <c r="H17" s="1">
        <v>0</v>
      </c>
      <c r="I17" s="1">
        <v>819683</v>
      </c>
      <c r="J17" s="1">
        <f t="shared" si="0"/>
        <v>40984.15</v>
      </c>
      <c r="K17" s="1">
        <v>0</v>
      </c>
      <c r="L17" s="11">
        <f t="shared" si="1"/>
        <v>56654.019999999982</v>
      </c>
    </row>
    <row r="18" spans="1:12" x14ac:dyDescent="0.25">
      <c r="A18">
        <v>23</v>
      </c>
      <c r="B18">
        <v>1</v>
      </c>
      <c r="C18" t="s">
        <v>8</v>
      </c>
      <c r="D18" s="1">
        <v>1039641.79</v>
      </c>
      <c r="E18" s="1">
        <v>0</v>
      </c>
      <c r="F18" s="1">
        <v>334000</v>
      </c>
      <c r="G18" s="1">
        <v>294260.90000000002</v>
      </c>
      <c r="H18" s="1">
        <v>292636</v>
      </c>
      <c r="I18" s="1">
        <v>1144294</v>
      </c>
      <c r="J18" s="1">
        <f t="shared" si="0"/>
        <v>57214.7</v>
      </c>
      <c r="K18" s="1">
        <v>0</v>
      </c>
      <c r="L18" s="11">
        <f t="shared" si="1"/>
        <v>354166.19</v>
      </c>
    </row>
    <row r="19" spans="1:12" x14ac:dyDescent="0.25">
      <c r="A19">
        <v>31</v>
      </c>
      <c r="B19">
        <v>1</v>
      </c>
      <c r="C19" t="s">
        <v>9</v>
      </c>
      <c r="D19" s="1">
        <v>950817.8</v>
      </c>
      <c r="E19" s="1">
        <v>0</v>
      </c>
      <c r="F19" s="1">
        <v>264352.89</v>
      </c>
      <c r="G19" s="1">
        <v>226303.45</v>
      </c>
      <c r="H19" s="1">
        <v>0</v>
      </c>
      <c r="I19" s="1">
        <v>3644130</v>
      </c>
      <c r="J19" s="1">
        <f t="shared" si="0"/>
        <v>182206.5</v>
      </c>
      <c r="K19" s="1">
        <v>0</v>
      </c>
      <c r="L19" s="11">
        <f t="shared" si="1"/>
        <v>277954.96000000002</v>
      </c>
    </row>
    <row r="20" spans="1:12" x14ac:dyDescent="0.25">
      <c r="A20">
        <v>32</v>
      </c>
      <c r="B20">
        <v>1</v>
      </c>
      <c r="C20" t="s">
        <v>10</v>
      </c>
      <c r="D20" s="1">
        <v>126957.47</v>
      </c>
      <c r="E20" s="1">
        <v>0</v>
      </c>
      <c r="F20" s="1">
        <v>33362.129999999997</v>
      </c>
      <c r="G20" s="1">
        <v>27032.04</v>
      </c>
      <c r="H20" s="1">
        <v>20000</v>
      </c>
      <c r="I20" s="1">
        <v>68632</v>
      </c>
      <c r="J20" s="1">
        <f t="shared" si="0"/>
        <v>3431.6</v>
      </c>
      <c r="K20" s="1">
        <v>0</v>
      </c>
      <c r="L20" s="11">
        <f t="shared" si="1"/>
        <v>63131.69999999999</v>
      </c>
    </row>
    <row r="21" spans="1:12" x14ac:dyDescent="0.25">
      <c r="A21">
        <v>36</v>
      </c>
      <c r="B21">
        <v>1</v>
      </c>
      <c r="C21" t="s">
        <v>325</v>
      </c>
      <c r="D21" s="1">
        <v>28400.79</v>
      </c>
      <c r="E21" s="1">
        <v>0</v>
      </c>
      <c r="F21" s="1">
        <v>0</v>
      </c>
      <c r="G21" s="1">
        <v>0</v>
      </c>
      <c r="H21" s="1">
        <v>0</v>
      </c>
      <c r="I21" s="1">
        <v>190103</v>
      </c>
      <c r="J21" s="1">
        <f t="shared" si="0"/>
        <v>9505.15</v>
      </c>
      <c r="K21" s="1">
        <f>MAX((D21-F21-G21-J21),0)</f>
        <v>18895.64</v>
      </c>
      <c r="L21" s="11">
        <f>MAX((D21-F21-G21-J21-K21),0)</f>
        <v>0</v>
      </c>
    </row>
    <row r="22" spans="1:12" x14ac:dyDescent="0.25">
      <c r="A22">
        <v>38</v>
      </c>
      <c r="B22">
        <v>1</v>
      </c>
      <c r="C22" t="s">
        <v>326</v>
      </c>
      <c r="D22" s="1">
        <v>2320.33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f t="shared" si="0"/>
        <v>0</v>
      </c>
      <c r="K22" s="1">
        <f>MAX((D22-F22-G22-J22),0)</f>
        <v>2320.33</v>
      </c>
      <c r="L22" s="11">
        <f>MAX((D22-F22-G22-J22-K22),0)</f>
        <v>0</v>
      </c>
    </row>
    <row r="23" spans="1:12" x14ac:dyDescent="0.25">
      <c r="A23">
        <v>47</v>
      </c>
      <c r="B23">
        <v>1</v>
      </c>
      <c r="C23" t="s">
        <v>11</v>
      </c>
      <c r="D23" s="1">
        <v>1320719.33</v>
      </c>
      <c r="E23" s="1">
        <v>0</v>
      </c>
      <c r="F23" s="1">
        <v>372739.25</v>
      </c>
      <c r="G23" s="1">
        <v>363999.58</v>
      </c>
      <c r="H23" s="1">
        <v>0</v>
      </c>
      <c r="I23" s="1">
        <v>6003244</v>
      </c>
      <c r="J23" s="1">
        <f t="shared" si="0"/>
        <v>300162.2</v>
      </c>
      <c r="K23" s="1">
        <v>0</v>
      </c>
      <c r="L23" s="11">
        <f>MAX((D23-F23-G23-J23),0)</f>
        <v>283818.3</v>
      </c>
    </row>
    <row r="24" spans="1:12" x14ac:dyDescent="0.25">
      <c r="A24">
        <v>51</v>
      </c>
      <c r="B24">
        <v>1</v>
      </c>
      <c r="C24" t="s">
        <v>327</v>
      </c>
      <c r="D24" s="1">
        <v>393194.27</v>
      </c>
      <c r="E24" s="1">
        <v>5470303.04</v>
      </c>
      <c r="F24" s="1">
        <v>0</v>
      </c>
      <c r="G24" s="1">
        <v>0</v>
      </c>
      <c r="H24" s="1">
        <v>0</v>
      </c>
      <c r="I24" s="1">
        <v>4013301</v>
      </c>
      <c r="J24" s="1">
        <f t="shared" si="0"/>
        <v>200665.05</v>
      </c>
      <c r="K24" s="1">
        <f>MAX((D24-F24-G24-J24),0)</f>
        <v>192529.22000000003</v>
      </c>
      <c r="L24" s="11">
        <f>MAX((D24-F24-G24-J24-K24),0)</f>
        <v>0</v>
      </c>
    </row>
    <row r="25" spans="1:12" x14ac:dyDescent="0.25">
      <c r="A25">
        <v>75</v>
      </c>
      <c r="B25">
        <v>1</v>
      </c>
      <c r="C25" t="s">
        <v>12</v>
      </c>
      <c r="D25" s="1">
        <v>219829.06</v>
      </c>
      <c r="E25" s="1">
        <v>0</v>
      </c>
      <c r="F25" s="1">
        <v>92901.25</v>
      </c>
      <c r="G25" s="1">
        <v>16225.47</v>
      </c>
      <c r="H25" s="1">
        <v>0</v>
      </c>
      <c r="I25" s="1">
        <v>790099</v>
      </c>
      <c r="J25" s="1">
        <f t="shared" si="0"/>
        <v>39504.949999999997</v>
      </c>
      <c r="K25" s="1">
        <v>0</v>
      </c>
      <c r="L25" s="11">
        <f t="shared" ref="L25:L33" si="2">MAX((D25-F25-G25-J25),0)</f>
        <v>71197.39</v>
      </c>
    </row>
    <row r="26" spans="1:12" x14ac:dyDescent="0.25">
      <c r="A26">
        <v>77</v>
      </c>
      <c r="B26">
        <v>1</v>
      </c>
      <c r="C26" t="s">
        <v>13</v>
      </c>
      <c r="D26" s="1">
        <v>2184917.64</v>
      </c>
      <c r="E26" s="1">
        <v>0</v>
      </c>
      <c r="F26" s="1">
        <v>280761.48</v>
      </c>
      <c r="G26" s="1">
        <v>885867</v>
      </c>
      <c r="H26" s="1">
        <v>0</v>
      </c>
      <c r="I26" s="1">
        <v>3891810</v>
      </c>
      <c r="J26" s="1">
        <f t="shared" si="0"/>
        <v>194590.5</v>
      </c>
      <c r="K26" s="1">
        <v>0</v>
      </c>
      <c r="L26" s="11">
        <f t="shared" si="2"/>
        <v>823698.66000000015</v>
      </c>
    </row>
    <row r="27" spans="1:12" x14ac:dyDescent="0.25">
      <c r="A27">
        <v>81</v>
      </c>
      <c r="B27">
        <v>1</v>
      </c>
      <c r="C27" t="s">
        <v>14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f t="shared" si="0"/>
        <v>0</v>
      </c>
      <c r="K27" s="1">
        <v>0</v>
      </c>
      <c r="L27" s="11">
        <f t="shared" si="2"/>
        <v>0</v>
      </c>
    </row>
    <row r="28" spans="1:12" x14ac:dyDescent="0.25">
      <c r="A28">
        <v>84</v>
      </c>
      <c r="B28">
        <v>1</v>
      </c>
      <c r="C28" t="s">
        <v>15</v>
      </c>
      <c r="D28" s="1">
        <v>126425</v>
      </c>
      <c r="E28" s="1">
        <v>0</v>
      </c>
      <c r="F28" s="1">
        <v>16274.58</v>
      </c>
      <c r="G28" s="1">
        <v>64905.47</v>
      </c>
      <c r="H28" s="1">
        <v>0</v>
      </c>
      <c r="I28" s="1">
        <v>387237</v>
      </c>
      <c r="J28" s="1">
        <f t="shared" si="0"/>
        <v>19361.849999999999</v>
      </c>
      <c r="K28" s="1">
        <v>0</v>
      </c>
      <c r="L28" s="11">
        <f t="shared" si="2"/>
        <v>25883.1</v>
      </c>
    </row>
    <row r="29" spans="1:12" x14ac:dyDescent="0.25">
      <c r="A29">
        <v>85</v>
      </c>
      <c r="B29">
        <v>1</v>
      </c>
      <c r="C29" t="s">
        <v>16</v>
      </c>
      <c r="D29" s="1">
        <v>94477.94</v>
      </c>
      <c r="E29" s="1">
        <v>0</v>
      </c>
      <c r="F29" s="1">
        <v>24851.16</v>
      </c>
      <c r="G29" s="1">
        <v>49752.7</v>
      </c>
      <c r="H29" s="1">
        <v>0</v>
      </c>
      <c r="I29" s="1">
        <v>0</v>
      </c>
      <c r="J29" s="1">
        <f t="shared" si="0"/>
        <v>0</v>
      </c>
      <c r="K29" s="1">
        <v>0</v>
      </c>
      <c r="L29" s="11">
        <f t="shared" si="2"/>
        <v>19874.080000000002</v>
      </c>
    </row>
    <row r="30" spans="1:12" x14ac:dyDescent="0.25">
      <c r="A30">
        <v>88</v>
      </c>
      <c r="B30">
        <v>1</v>
      </c>
      <c r="C30" t="s">
        <v>17</v>
      </c>
      <c r="D30" s="1">
        <v>243.55</v>
      </c>
      <c r="E30" s="1">
        <v>5191733.25</v>
      </c>
      <c r="F30" s="1">
        <v>73534.19</v>
      </c>
      <c r="G30" s="1">
        <v>0</v>
      </c>
      <c r="H30" s="1">
        <v>90881</v>
      </c>
      <c r="I30" s="1">
        <v>1587703</v>
      </c>
      <c r="J30" s="1">
        <f t="shared" si="0"/>
        <v>79385.149999999994</v>
      </c>
      <c r="K30" s="1">
        <v>0</v>
      </c>
      <c r="L30" s="11">
        <f t="shared" si="2"/>
        <v>0</v>
      </c>
    </row>
    <row r="31" spans="1:12" x14ac:dyDescent="0.25">
      <c r="A31">
        <v>91</v>
      </c>
      <c r="B31">
        <v>1</v>
      </c>
      <c r="C31" t="s">
        <v>18</v>
      </c>
      <c r="D31" s="1">
        <v>157785.93</v>
      </c>
      <c r="E31" s="1">
        <v>0</v>
      </c>
      <c r="F31" s="1">
        <v>0</v>
      </c>
      <c r="G31" s="1">
        <v>0</v>
      </c>
      <c r="H31" s="1">
        <v>0</v>
      </c>
      <c r="I31" s="1">
        <v>277896</v>
      </c>
      <c r="J31" s="1">
        <f t="shared" si="0"/>
        <v>13894.8</v>
      </c>
      <c r="K31" s="1">
        <v>0</v>
      </c>
      <c r="L31" s="11">
        <f t="shared" si="2"/>
        <v>143891.13</v>
      </c>
    </row>
    <row r="32" spans="1:12" x14ac:dyDescent="0.25">
      <c r="A32">
        <v>93</v>
      </c>
      <c r="B32">
        <v>1</v>
      </c>
      <c r="C32" t="s">
        <v>19</v>
      </c>
      <c r="D32" s="1">
        <v>7988.52</v>
      </c>
      <c r="E32" s="1">
        <v>0</v>
      </c>
      <c r="F32" s="1">
        <v>0</v>
      </c>
      <c r="G32" s="1">
        <v>0</v>
      </c>
      <c r="H32" s="1">
        <v>0</v>
      </c>
      <c r="I32" s="1">
        <v>69547</v>
      </c>
      <c r="J32" s="1">
        <f t="shared" si="0"/>
        <v>3477.35</v>
      </c>
      <c r="K32" s="1">
        <v>0</v>
      </c>
      <c r="L32" s="11">
        <f t="shared" si="2"/>
        <v>4511.17</v>
      </c>
    </row>
    <row r="33" spans="1:12" x14ac:dyDescent="0.25">
      <c r="A33">
        <v>94</v>
      </c>
      <c r="B33">
        <v>1</v>
      </c>
      <c r="C33" t="s">
        <v>20</v>
      </c>
      <c r="D33" s="1">
        <v>543315.59</v>
      </c>
      <c r="E33" s="1">
        <v>0</v>
      </c>
      <c r="F33" s="1">
        <v>109962.21</v>
      </c>
      <c r="G33" s="1">
        <v>222951.7</v>
      </c>
      <c r="H33" s="1">
        <v>0</v>
      </c>
      <c r="I33" s="1">
        <v>2190327</v>
      </c>
      <c r="J33" s="1">
        <f t="shared" si="0"/>
        <v>109516.35</v>
      </c>
      <c r="K33" s="1">
        <v>0</v>
      </c>
      <c r="L33" s="11">
        <f t="shared" si="2"/>
        <v>100885.32999999993</v>
      </c>
    </row>
    <row r="34" spans="1:12" x14ac:dyDescent="0.25">
      <c r="A34">
        <v>95</v>
      </c>
      <c r="B34">
        <v>1</v>
      </c>
      <c r="C34" t="s">
        <v>330</v>
      </c>
      <c r="D34" s="1">
        <v>33059.9</v>
      </c>
      <c r="E34" s="1">
        <v>0</v>
      </c>
      <c r="F34" s="1">
        <v>0</v>
      </c>
      <c r="G34" s="1">
        <v>0</v>
      </c>
      <c r="H34" s="1">
        <v>0</v>
      </c>
      <c r="I34" s="1">
        <v>410306</v>
      </c>
      <c r="J34" s="1">
        <f t="shared" si="0"/>
        <v>20515.3</v>
      </c>
      <c r="K34" s="1">
        <f>MAX((D34-F34-G34-J34),0)</f>
        <v>12544.600000000002</v>
      </c>
      <c r="L34" s="11">
        <f>MAX((D34-F34-G34-J34-K34),0)</f>
        <v>0</v>
      </c>
    </row>
    <row r="35" spans="1:12" x14ac:dyDescent="0.25">
      <c r="A35">
        <v>97</v>
      </c>
      <c r="B35">
        <v>1</v>
      </c>
      <c r="C35" t="s">
        <v>21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f t="shared" si="0"/>
        <v>0</v>
      </c>
      <c r="K35" s="1">
        <v>0</v>
      </c>
      <c r="L35" s="11">
        <f t="shared" ref="L35:L66" si="3">MAX((D35-F35-G35-J35),0)</f>
        <v>0</v>
      </c>
    </row>
    <row r="36" spans="1:12" x14ac:dyDescent="0.25">
      <c r="A36">
        <v>99</v>
      </c>
      <c r="B36">
        <v>1</v>
      </c>
      <c r="C36" t="s">
        <v>22</v>
      </c>
      <c r="D36" s="1">
        <v>409024.55</v>
      </c>
      <c r="E36" s="1">
        <v>0</v>
      </c>
      <c r="F36" s="1">
        <v>229999.55</v>
      </c>
      <c r="G36" s="1">
        <v>0</v>
      </c>
      <c r="H36" s="1">
        <v>64610</v>
      </c>
      <c r="I36" s="1">
        <v>1033410</v>
      </c>
      <c r="J36" s="1">
        <f t="shared" si="0"/>
        <v>51670.5</v>
      </c>
      <c r="K36" s="1">
        <v>0</v>
      </c>
      <c r="L36" s="11">
        <f t="shared" si="3"/>
        <v>127354.5</v>
      </c>
    </row>
    <row r="37" spans="1:12" x14ac:dyDescent="0.25">
      <c r="A37">
        <v>100</v>
      </c>
      <c r="B37">
        <v>1</v>
      </c>
      <c r="C37" t="s">
        <v>23</v>
      </c>
      <c r="D37" s="1">
        <v>75459.58</v>
      </c>
      <c r="E37" s="1">
        <v>0</v>
      </c>
      <c r="F37" s="1">
        <v>15105.46</v>
      </c>
      <c r="G37" s="1">
        <v>19092.240000000002</v>
      </c>
      <c r="H37" s="1">
        <v>0</v>
      </c>
      <c r="I37" s="1">
        <v>371622</v>
      </c>
      <c r="J37" s="1">
        <f t="shared" si="0"/>
        <v>18581.099999999999</v>
      </c>
      <c r="K37" s="1">
        <v>0</v>
      </c>
      <c r="L37" s="11">
        <f t="shared" si="3"/>
        <v>22680.780000000006</v>
      </c>
    </row>
    <row r="38" spans="1:12" x14ac:dyDescent="0.25">
      <c r="A38">
        <v>108</v>
      </c>
      <c r="B38">
        <v>1</v>
      </c>
      <c r="C38" t="s">
        <v>24</v>
      </c>
      <c r="D38" s="1">
        <v>120490.32</v>
      </c>
      <c r="E38" s="1">
        <v>0</v>
      </c>
      <c r="F38" s="1">
        <v>17577.73</v>
      </c>
      <c r="G38" s="1">
        <v>35310.99</v>
      </c>
      <c r="H38" s="1">
        <v>0</v>
      </c>
      <c r="I38" s="1">
        <v>836138</v>
      </c>
      <c r="J38" s="1">
        <f t="shared" si="0"/>
        <v>41806.9</v>
      </c>
      <c r="K38" s="1">
        <v>0</v>
      </c>
      <c r="L38" s="11">
        <f t="shared" si="3"/>
        <v>25794.700000000004</v>
      </c>
    </row>
    <row r="39" spans="1:12" x14ac:dyDescent="0.25">
      <c r="A39">
        <v>110</v>
      </c>
      <c r="B39">
        <v>1</v>
      </c>
      <c r="C39" t="s">
        <v>25</v>
      </c>
      <c r="D39" s="1">
        <v>1036200.17</v>
      </c>
      <c r="E39" s="1">
        <v>0</v>
      </c>
      <c r="F39" s="1">
        <v>212185.53</v>
      </c>
      <c r="G39" s="1">
        <v>289986.46000000002</v>
      </c>
      <c r="H39" s="1">
        <v>0</v>
      </c>
      <c r="I39" s="1">
        <v>6015366</v>
      </c>
      <c r="J39" s="1">
        <f t="shared" si="0"/>
        <v>300768.3</v>
      </c>
      <c r="K39" s="1">
        <v>0</v>
      </c>
      <c r="L39" s="11">
        <f t="shared" si="3"/>
        <v>233259.87999999995</v>
      </c>
    </row>
    <row r="40" spans="1:12" x14ac:dyDescent="0.25">
      <c r="A40">
        <v>111</v>
      </c>
      <c r="B40">
        <v>1</v>
      </c>
      <c r="C40" t="s">
        <v>202</v>
      </c>
      <c r="D40" s="1">
        <v>727930.29</v>
      </c>
      <c r="E40" s="1">
        <v>0</v>
      </c>
      <c r="F40" s="1">
        <v>172923.51999999999</v>
      </c>
      <c r="G40" s="1">
        <v>139706.46</v>
      </c>
      <c r="H40" s="1">
        <v>0</v>
      </c>
      <c r="I40" s="1">
        <v>4769159</v>
      </c>
      <c r="J40" s="1">
        <f t="shared" si="0"/>
        <v>238457.95</v>
      </c>
      <c r="K40" s="1">
        <v>0</v>
      </c>
      <c r="L40" s="11">
        <f t="shared" si="3"/>
        <v>176842.36000000004</v>
      </c>
    </row>
    <row r="41" spans="1:12" x14ac:dyDescent="0.25">
      <c r="A41">
        <v>112</v>
      </c>
      <c r="B41">
        <v>1</v>
      </c>
      <c r="C41" t="s">
        <v>315</v>
      </c>
      <c r="D41" s="1">
        <v>3980204.08</v>
      </c>
      <c r="E41" s="1">
        <v>44759840.810000002</v>
      </c>
      <c r="F41" s="1">
        <v>563478.86</v>
      </c>
      <c r="G41" s="1">
        <v>933251.1</v>
      </c>
      <c r="H41" s="1">
        <v>0</v>
      </c>
      <c r="I41" s="1">
        <v>20314241</v>
      </c>
      <c r="J41" s="1">
        <f t="shared" si="0"/>
        <v>1015712.05</v>
      </c>
      <c r="K41" s="1">
        <v>0</v>
      </c>
      <c r="L41" s="11">
        <f t="shared" si="3"/>
        <v>1467762.07</v>
      </c>
    </row>
    <row r="42" spans="1:12" x14ac:dyDescent="0.25">
      <c r="A42">
        <v>113</v>
      </c>
      <c r="B42">
        <v>1</v>
      </c>
      <c r="C42" t="s">
        <v>203</v>
      </c>
      <c r="D42" s="1">
        <v>162806.42000000001</v>
      </c>
      <c r="E42" s="1">
        <v>0</v>
      </c>
      <c r="F42" s="1">
        <v>0</v>
      </c>
      <c r="G42" s="1">
        <v>19485.939999999999</v>
      </c>
      <c r="H42" s="1">
        <v>0</v>
      </c>
      <c r="I42" s="1">
        <v>1301428</v>
      </c>
      <c r="J42" s="1">
        <f t="shared" si="0"/>
        <v>65071.4</v>
      </c>
      <c r="K42" s="1">
        <v>0</v>
      </c>
      <c r="L42" s="11">
        <f t="shared" si="3"/>
        <v>78249.080000000016</v>
      </c>
    </row>
    <row r="43" spans="1:12" x14ac:dyDescent="0.25">
      <c r="A43">
        <v>115</v>
      </c>
      <c r="B43">
        <v>1</v>
      </c>
      <c r="C43" t="s">
        <v>26</v>
      </c>
      <c r="D43" s="1">
        <v>483885.88</v>
      </c>
      <c r="E43" s="1">
        <v>16753209.58</v>
      </c>
      <c r="F43" s="1">
        <v>84282.79</v>
      </c>
      <c r="G43" s="1">
        <v>179241.3</v>
      </c>
      <c r="H43" s="1">
        <v>0</v>
      </c>
      <c r="I43" s="1">
        <v>1954691</v>
      </c>
      <c r="J43" s="1">
        <f t="shared" si="0"/>
        <v>97734.55</v>
      </c>
      <c r="K43" s="1">
        <v>0</v>
      </c>
      <c r="L43" s="11">
        <f t="shared" si="3"/>
        <v>122627.24000000003</v>
      </c>
    </row>
    <row r="44" spans="1:12" x14ac:dyDescent="0.25">
      <c r="A44">
        <v>116</v>
      </c>
      <c r="B44">
        <v>1</v>
      </c>
      <c r="C44" t="s">
        <v>27</v>
      </c>
      <c r="D44" s="1">
        <v>105631.88</v>
      </c>
      <c r="E44" s="1">
        <v>0</v>
      </c>
      <c r="F44" s="1">
        <v>1986.68</v>
      </c>
      <c r="G44" s="1">
        <v>25069.27</v>
      </c>
      <c r="H44" s="1">
        <v>0</v>
      </c>
      <c r="I44" s="1">
        <v>1116115</v>
      </c>
      <c r="J44" s="1">
        <f t="shared" si="0"/>
        <v>55805.75</v>
      </c>
      <c r="K44" s="1">
        <v>0</v>
      </c>
      <c r="L44" s="11">
        <f t="shared" si="3"/>
        <v>22770.180000000008</v>
      </c>
    </row>
    <row r="45" spans="1:12" x14ac:dyDescent="0.25">
      <c r="A45">
        <v>118</v>
      </c>
      <c r="B45">
        <v>1</v>
      </c>
      <c r="C45" t="s">
        <v>204</v>
      </c>
      <c r="D45" s="1">
        <v>90172.03</v>
      </c>
      <c r="E45" s="1">
        <v>0</v>
      </c>
      <c r="F45" s="1">
        <v>17344</v>
      </c>
      <c r="G45" s="1">
        <v>18734.47</v>
      </c>
      <c r="H45" s="1">
        <v>0</v>
      </c>
      <c r="I45" s="1">
        <v>159306</v>
      </c>
      <c r="J45" s="1">
        <f t="shared" si="0"/>
        <v>7965.3</v>
      </c>
      <c r="K45" s="1">
        <v>0</v>
      </c>
      <c r="L45" s="11">
        <f t="shared" si="3"/>
        <v>46128.259999999995</v>
      </c>
    </row>
    <row r="46" spans="1:12" x14ac:dyDescent="0.25">
      <c r="A46">
        <v>129</v>
      </c>
      <c r="B46">
        <v>1</v>
      </c>
      <c r="C46" t="s">
        <v>28</v>
      </c>
      <c r="D46" s="1">
        <v>335600.18</v>
      </c>
      <c r="E46" s="1">
        <v>0</v>
      </c>
      <c r="F46" s="1">
        <v>131463.16</v>
      </c>
      <c r="G46" s="1">
        <v>69821.03</v>
      </c>
      <c r="H46" s="1">
        <v>0</v>
      </c>
      <c r="I46" s="1">
        <v>1370077</v>
      </c>
      <c r="J46" s="1">
        <f t="shared" si="0"/>
        <v>68503.850000000006</v>
      </c>
      <c r="K46" s="1">
        <v>0</v>
      </c>
      <c r="L46" s="11">
        <f t="shared" si="3"/>
        <v>65812.139999999985</v>
      </c>
    </row>
    <row r="47" spans="1:12" x14ac:dyDescent="0.25">
      <c r="A47">
        <v>138</v>
      </c>
      <c r="B47">
        <v>1</v>
      </c>
      <c r="C47" t="s">
        <v>314</v>
      </c>
      <c r="D47" s="1">
        <v>883799.57</v>
      </c>
      <c r="E47" s="1">
        <v>18022446.43</v>
      </c>
      <c r="F47" s="1">
        <v>222197.18</v>
      </c>
      <c r="G47" s="1">
        <v>161337.85999999999</v>
      </c>
      <c r="H47" s="1">
        <v>0</v>
      </c>
      <c r="I47" s="1">
        <v>4702441</v>
      </c>
      <c r="J47" s="1">
        <f t="shared" si="0"/>
        <v>235122.05</v>
      </c>
      <c r="K47" s="1">
        <v>0</v>
      </c>
      <c r="L47" s="11">
        <f t="shared" si="3"/>
        <v>265142.47999999992</v>
      </c>
    </row>
    <row r="48" spans="1:12" x14ac:dyDescent="0.25">
      <c r="A48">
        <v>139</v>
      </c>
      <c r="B48">
        <v>1</v>
      </c>
      <c r="C48" t="s">
        <v>29</v>
      </c>
      <c r="D48" s="1">
        <v>280785.3</v>
      </c>
      <c r="E48" s="1">
        <v>12340480.369999999</v>
      </c>
      <c r="F48" s="1">
        <v>66660.800000000003</v>
      </c>
      <c r="G48" s="1">
        <v>59349.58</v>
      </c>
      <c r="H48" s="1">
        <v>0</v>
      </c>
      <c r="I48" s="1">
        <v>1419984</v>
      </c>
      <c r="J48" s="1">
        <f t="shared" si="0"/>
        <v>70999.199999999997</v>
      </c>
      <c r="K48" s="1">
        <v>0</v>
      </c>
      <c r="L48" s="11">
        <f t="shared" si="3"/>
        <v>83775.719999999987</v>
      </c>
    </row>
    <row r="49" spans="1:12" x14ac:dyDescent="0.25">
      <c r="A49">
        <v>146</v>
      </c>
      <c r="B49">
        <v>1</v>
      </c>
      <c r="C49" t="s">
        <v>31</v>
      </c>
      <c r="D49" s="1">
        <v>0</v>
      </c>
      <c r="E49" s="1">
        <v>0</v>
      </c>
      <c r="F49" s="1">
        <v>126962.29</v>
      </c>
      <c r="G49" s="1">
        <v>0</v>
      </c>
      <c r="H49" s="1">
        <v>0</v>
      </c>
      <c r="I49" s="1">
        <v>0</v>
      </c>
      <c r="J49" s="1">
        <f t="shared" si="0"/>
        <v>0</v>
      </c>
      <c r="K49" s="1">
        <v>0</v>
      </c>
      <c r="L49" s="11">
        <f t="shared" si="3"/>
        <v>0</v>
      </c>
    </row>
    <row r="50" spans="1:12" x14ac:dyDescent="0.25">
      <c r="A50">
        <v>150</v>
      </c>
      <c r="B50">
        <v>1</v>
      </c>
      <c r="C50" t="s">
        <v>32</v>
      </c>
      <c r="D50" s="1">
        <v>189657.37</v>
      </c>
      <c r="E50" s="1">
        <v>0</v>
      </c>
      <c r="F50" s="1">
        <v>30964.35</v>
      </c>
      <c r="G50" s="1">
        <v>38132.47</v>
      </c>
      <c r="H50" s="1">
        <v>0</v>
      </c>
      <c r="I50" s="1">
        <v>948059</v>
      </c>
      <c r="J50" s="1">
        <f t="shared" si="0"/>
        <v>47402.95</v>
      </c>
      <c r="K50" s="1">
        <v>0</v>
      </c>
      <c r="L50" s="11">
        <f t="shared" si="3"/>
        <v>73157.599999999991</v>
      </c>
    </row>
    <row r="51" spans="1:12" x14ac:dyDescent="0.25">
      <c r="A51">
        <v>152</v>
      </c>
      <c r="B51">
        <v>1</v>
      </c>
      <c r="C51" t="s">
        <v>33</v>
      </c>
      <c r="D51" s="1">
        <v>1206101.08</v>
      </c>
      <c r="E51" s="1">
        <v>0</v>
      </c>
      <c r="F51" s="1">
        <v>288049.46000000002</v>
      </c>
      <c r="G51" s="1">
        <v>315335.34000000003</v>
      </c>
      <c r="H51" s="1">
        <v>0</v>
      </c>
      <c r="I51" s="1">
        <v>5487577</v>
      </c>
      <c r="J51" s="1">
        <f t="shared" si="0"/>
        <v>274378.84999999998</v>
      </c>
      <c r="K51" s="1">
        <v>0</v>
      </c>
      <c r="L51" s="11">
        <f t="shared" si="3"/>
        <v>328337.43000000005</v>
      </c>
    </row>
    <row r="52" spans="1:12" x14ac:dyDescent="0.25">
      <c r="A52">
        <v>162</v>
      </c>
      <c r="B52">
        <v>1</v>
      </c>
      <c r="C52" t="s">
        <v>34</v>
      </c>
      <c r="D52" s="1">
        <v>250414.59</v>
      </c>
      <c r="E52" s="1">
        <v>0</v>
      </c>
      <c r="F52" s="1">
        <v>62807.79</v>
      </c>
      <c r="G52" s="1">
        <v>63200.24</v>
      </c>
      <c r="H52" s="1">
        <v>0</v>
      </c>
      <c r="I52" s="1">
        <v>0</v>
      </c>
      <c r="J52" s="1">
        <f t="shared" si="0"/>
        <v>0</v>
      </c>
      <c r="K52" s="1">
        <v>0</v>
      </c>
      <c r="L52" s="11">
        <f t="shared" si="3"/>
        <v>124406.56</v>
      </c>
    </row>
    <row r="53" spans="1:12" x14ac:dyDescent="0.25">
      <c r="A53">
        <v>166</v>
      </c>
      <c r="B53">
        <v>1</v>
      </c>
      <c r="C53" t="s">
        <v>35</v>
      </c>
      <c r="D53" s="1">
        <v>284983.03999999998</v>
      </c>
      <c r="E53" s="1">
        <v>0</v>
      </c>
      <c r="F53" s="1">
        <v>49116.78</v>
      </c>
      <c r="G53" s="1">
        <v>0</v>
      </c>
      <c r="H53" s="1">
        <v>166959</v>
      </c>
      <c r="I53" s="1">
        <f>304691+433940</f>
        <v>738631</v>
      </c>
      <c r="J53" s="1">
        <f t="shared" si="0"/>
        <v>36931.550000000003</v>
      </c>
      <c r="K53" s="1">
        <v>0</v>
      </c>
      <c r="L53" s="11">
        <f t="shared" si="3"/>
        <v>198934.70999999996</v>
      </c>
    </row>
    <row r="54" spans="1:12" x14ac:dyDescent="0.25">
      <c r="A54">
        <v>173</v>
      </c>
      <c r="B54">
        <v>1</v>
      </c>
      <c r="C54" t="s">
        <v>289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f t="shared" si="0"/>
        <v>0</v>
      </c>
      <c r="K54" s="1">
        <v>0</v>
      </c>
      <c r="L54" s="11">
        <f t="shared" si="3"/>
        <v>0</v>
      </c>
    </row>
    <row r="55" spans="1:12" x14ac:dyDescent="0.25">
      <c r="A55">
        <v>177</v>
      </c>
      <c r="B55">
        <v>1</v>
      </c>
      <c r="C55" t="s">
        <v>36</v>
      </c>
      <c r="D55" s="1">
        <v>296167.71000000002</v>
      </c>
      <c r="E55" s="1">
        <v>0</v>
      </c>
      <c r="F55" s="1">
        <v>125246.66</v>
      </c>
      <c r="G55" s="1">
        <v>56797.5</v>
      </c>
      <c r="H55" s="1">
        <v>0</v>
      </c>
      <c r="I55" s="1">
        <v>1180849</v>
      </c>
      <c r="J55" s="1">
        <f t="shared" si="0"/>
        <v>59042.45</v>
      </c>
      <c r="K55" s="1">
        <v>0</v>
      </c>
      <c r="L55" s="11">
        <f t="shared" si="3"/>
        <v>55081.10000000002</v>
      </c>
    </row>
    <row r="56" spans="1:12" x14ac:dyDescent="0.25">
      <c r="A56">
        <v>181</v>
      </c>
      <c r="B56">
        <v>1</v>
      </c>
      <c r="C56" t="s">
        <v>37</v>
      </c>
      <c r="D56" s="1">
        <v>1496346.13</v>
      </c>
      <c r="E56" s="1">
        <v>51312737.640000001</v>
      </c>
      <c r="F56" s="1">
        <v>327370.18</v>
      </c>
      <c r="G56" s="1">
        <v>347850.11</v>
      </c>
      <c r="H56" s="1">
        <v>0</v>
      </c>
      <c r="I56" s="1">
        <v>6702591</v>
      </c>
      <c r="J56" s="1">
        <f t="shared" si="0"/>
        <v>335129.55</v>
      </c>
      <c r="K56" s="1">
        <v>0</v>
      </c>
      <c r="L56" s="11">
        <f t="shared" si="3"/>
        <v>485996.29</v>
      </c>
    </row>
    <row r="57" spans="1:12" x14ac:dyDescent="0.25">
      <c r="A57">
        <v>182</v>
      </c>
      <c r="B57">
        <v>1</v>
      </c>
      <c r="C57" t="s">
        <v>214</v>
      </c>
      <c r="D57" s="1">
        <v>422466.87</v>
      </c>
      <c r="E57" s="1">
        <v>14117354.08</v>
      </c>
      <c r="F57" s="1">
        <v>113546.35</v>
      </c>
      <c r="G57" s="1">
        <v>110907.24</v>
      </c>
      <c r="H57" s="1">
        <v>0</v>
      </c>
      <c r="I57" s="1">
        <v>1682914</v>
      </c>
      <c r="J57" s="1">
        <f t="shared" si="0"/>
        <v>84145.7</v>
      </c>
      <c r="K57" s="1">
        <v>0</v>
      </c>
      <c r="L57" s="11">
        <f t="shared" si="3"/>
        <v>113867.58000000003</v>
      </c>
    </row>
    <row r="58" spans="1:12" x14ac:dyDescent="0.25">
      <c r="A58">
        <v>186</v>
      </c>
      <c r="B58">
        <v>1</v>
      </c>
      <c r="C58" t="s">
        <v>38</v>
      </c>
      <c r="D58" s="1">
        <v>646463.18999999994</v>
      </c>
      <c r="E58" s="1">
        <v>0</v>
      </c>
      <c r="F58" s="1">
        <v>51302.25</v>
      </c>
      <c r="G58" s="1">
        <v>111002.98</v>
      </c>
      <c r="H58" s="1">
        <v>281968.26</v>
      </c>
      <c r="I58" s="1">
        <v>2847779</v>
      </c>
      <c r="J58" s="1">
        <f t="shared" si="0"/>
        <v>142388.95000000001</v>
      </c>
      <c r="K58" s="1">
        <v>0</v>
      </c>
      <c r="L58" s="11">
        <f t="shared" si="3"/>
        <v>341769.00999999995</v>
      </c>
    </row>
    <row r="59" spans="1:12" x14ac:dyDescent="0.25">
      <c r="A59">
        <v>191</v>
      </c>
      <c r="B59">
        <v>1</v>
      </c>
      <c r="C59" t="s">
        <v>39</v>
      </c>
      <c r="D59" s="1">
        <v>1177844.1499999999</v>
      </c>
      <c r="E59" s="1">
        <v>0</v>
      </c>
      <c r="F59" s="1">
        <v>636541.26</v>
      </c>
      <c r="G59" s="1">
        <v>279297.28999999998</v>
      </c>
      <c r="H59" s="1">
        <v>0</v>
      </c>
      <c r="I59" s="1">
        <v>8093357</v>
      </c>
      <c r="J59" s="1">
        <f t="shared" si="0"/>
        <v>404667.85</v>
      </c>
      <c r="K59" s="1">
        <v>0</v>
      </c>
      <c r="L59" s="11">
        <f t="shared" si="3"/>
        <v>0</v>
      </c>
    </row>
    <row r="60" spans="1:12" x14ac:dyDescent="0.25">
      <c r="A60">
        <v>192</v>
      </c>
      <c r="B60">
        <v>1</v>
      </c>
      <c r="C60" t="s">
        <v>40</v>
      </c>
      <c r="D60" s="1">
        <v>2181303.2599999998</v>
      </c>
      <c r="E60" s="1">
        <v>0</v>
      </c>
      <c r="F60" s="1">
        <v>14696.45</v>
      </c>
      <c r="G60" s="1">
        <v>46361.48</v>
      </c>
      <c r="H60" s="1">
        <v>1273194</v>
      </c>
      <c r="I60" s="1">
        <v>18945375</v>
      </c>
      <c r="J60" s="1">
        <f t="shared" si="0"/>
        <v>947268.75</v>
      </c>
      <c r="K60" s="1">
        <v>0</v>
      </c>
      <c r="L60" s="11">
        <f t="shared" si="3"/>
        <v>1172976.5799999996</v>
      </c>
    </row>
    <row r="61" spans="1:12" x14ac:dyDescent="0.25">
      <c r="A61">
        <v>194</v>
      </c>
      <c r="B61">
        <v>1</v>
      </c>
      <c r="C61" t="s">
        <v>41</v>
      </c>
      <c r="D61" s="1">
        <v>3167120.74</v>
      </c>
      <c r="E61" s="1">
        <v>85546622.719999999</v>
      </c>
      <c r="F61" s="1">
        <v>730466.45</v>
      </c>
      <c r="G61" s="1">
        <v>716062.46</v>
      </c>
      <c r="H61" s="1">
        <v>0</v>
      </c>
      <c r="I61" s="1">
        <v>16972261</v>
      </c>
      <c r="J61" s="1">
        <f t="shared" si="0"/>
        <v>848613.05</v>
      </c>
      <c r="K61" s="1">
        <v>0</v>
      </c>
      <c r="L61" s="11">
        <f t="shared" si="3"/>
        <v>871978.78</v>
      </c>
    </row>
    <row r="62" spans="1:12" x14ac:dyDescent="0.25">
      <c r="A62">
        <v>195</v>
      </c>
      <c r="B62">
        <v>1</v>
      </c>
      <c r="C62" t="s">
        <v>42</v>
      </c>
      <c r="D62" s="1">
        <v>105560.07</v>
      </c>
      <c r="E62" s="1">
        <v>0</v>
      </c>
      <c r="F62" s="1">
        <v>40449.58</v>
      </c>
      <c r="G62" s="1">
        <v>34473.129999999997</v>
      </c>
      <c r="H62" s="1">
        <v>0</v>
      </c>
      <c r="I62" s="1">
        <v>582461</v>
      </c>
      <c r="J62" s="1">
        <f t="shared" si="0"/>
        <v>29123.05</v>
      </c>
      <c r="K62" s="1">
        <v>0</v>
      </c>
      <c r="L62" s="11">
        <f t="shared" si="3"/>
        <v>1514.3100000000086</v>
      </c>
    </row>
    <row r="63" spans="1:12" x14ac:dyDescent="0.25">
      <c r="A63">
        <v>196</v>
      </c>
      <c r="B63">
        <v>1</v>
      </c>
      <c r="C63" t="s">
        <v>205</v>
      </c>
      <c r="D63" s="1">
        <v>3875768.15</v>
      </c>
      <c r="E63" s="1">
        <v>27888435.800000001</v>
      </c>
      <c r="F63" s="1">
        <v>1077933.26</v>
      </c>
      <c r="G63" s="1">
        <v>1020434.27</v>
      </c>
      <c r="H63" s="1">
        <v>0</v>
      </c>
      <c r="I63" s="1">
        <v>20206293</v>
      </c>
      <c r="J63" s="1">
        <f t="shared" si="0"/>
        <v>1010314.65</v>
      </c>
      <c r="K63" s="1">
        <v>0</v>
      </c>
      <c r="L63" s="11">
        <f t="shared" si="3"/>
        <v>767085.96999999962</v>
      </c>
    </row>
    <row r="64" spans="1:12" x14ac:dyDescent="0.25">
      <c r="A64">
        <v>197</v>
      </c>
      <c r="B64">
        <v>1</v>
      </c>
      <c r="C64" t="s">
        <v>206</v>
      </c>
      <c r="D64" s="1">
        <v>1568437.74</v>
      </c>
      <c r="E64" s="1">
        <v>0</v>
      </c>
      <c r="F64" s="1">
        <v>396870.2</v>
      </c>
      <c r="G64" s="1">
        <v>346371.21</v>
      </c>
      <c r="H64" s="1">
        <v>0</v>
      </c>
      <c r="I64" s="1">
        <v>7688419</v>
      </c>
      <c r="J64" s="1">
        <f t="shared" si="0"/>
        <v>384420.95</v>
      </c>
      <c r="K64" s="1">
        <v>0</v>
      </c>
      <c r="L64" s="11">
        <f t="shared" si="3"/>
        <v>440775.38000000006</v>
      </c>
    </row>
    <row r="65" spans="1:13" x14ac:dyDescent="0.25">
      <c r="A65">
        <v>199</v>
      </c>
      <c r="B65">
        <v>1</v>
      </c>
      <c r="C65" t="s">
        <v>43</v>
      </c>
      <c r="D65" s="1">
        <v>824473.93</v>
      </c>
      <c r="E65" s="1">
        <v>0</v>
      </c>
      <c r="F65" s="1">
        <v>141617.01999999999</v>
      </c>
      <c r="G65" s="1">
        <v>300081.3</v>
      </c>
      <c r="H65" s="1">
        <v>0</v>
      </c>
      <c r="I65" s="1">
        <v>3923299</v>
      </c>
      <c r="J65" s="1">
        <f t="shared" si="0"/>
        <v>196164.95</v>
      </c>
      <c r="K65" s="1">
        <v>0</v>
      </c>
      <c r="L65" s="11">
        <f t="shared" si="3"/>
        <v>186610.66000000003</v>
      </c>
      <c r="M65" s="10"/>
    </row>
    <row r="66" spans="1:13" x14ac:dyDescent="0.25">
      <c r="A66">
        <v>200</v>
      </c>
      <c r="B66">
        <v>1</v>
      </c>
      <c r="C66" t="s">
        <v>44</v>
      </c>
      <c r="D66" s="1">
        <v>1062453.5</v>
      </c>
      <c r="E66" s="1">
        <v>5042252.25</v>
      </c>
      <c r="F66" s="1">
        <v>184598.8</v>
      </c>
      <c r="G66" s="1">
        <v>338116.32</v>
      </c>
      <c r="H66" s="1">
        <v>0</v>
      </c>
      <c r="I66" s="1">
        <v>5289714</v>
      </c>
      <c r="J66" s="1">
        <f t="shared" si="0"/>
        <v>264485.7</v>
      </c>
      <c r="K66" s="1">
        <v>0</v>
      </c>
      <c r="L66" s="11">
        <f t="shared" si="3"/>
        <v>275252.67999999988</v>
      </c>
    </row>
    <row r="67" spans="1:13" x14ac:dyDescent="0.25">
      <c r="A67">
        <v>203</v>
      </c>
      <c r="B67">
        <v>1</v>
      </c>
      <c r="C67" t="s">
        <v>45</v>
      </c>
      <c r="D67" s="1">
        <v>121709.55</v>
      </c>
      <c r="E67" s="1">
        <v>-0.44</v>
      </c>
      <c r="F67" s="1">
        <v>29787.78</v>
      </c>
      <c r="G67" s="1">
        <v>32838.339999999997</v>
      </c>
      <c r="H67" s="1">
        <v>0</v>
      </c>
      <c r="I67" s="1">
        <v>585885</v>
      </c>
      <c r="J67" s="1">
        <f t="shared" si="0"/>
        <v>29294.25</v>
      </c>
      <c r="K67" s="1">
        <v>0</v>
      </c>
      <c r="L67" s="11">
        <f t="shared" ref="L67:L98" si="4">MAX((D67-F67-G67-J67),0)</f>
        <v>29789.180000000008</v>
      </c>
    </row>
    <row r="68" spans="1:13" x14ac:dyDescent="0.25">
      <c r="A68">
        <v>204</v>
      </c>
      <c r="B68">
        <v>1</v>
      </c>
      <c r="C68" t="s">
        <v>213</v>
      </c>
      <c r="D68" s="1">
        <v>237839.41</v>
      </c>
      <c r="E68" s="1">
        <v>0</v>
      </c>
      <c r="F68" s="1">
        <v>68596.850000000006</v>
      </c>
      <c r="G68" s="1">
        <v>101222.11</v>
      </c>
      <c r="H68" s="1">
        <v>0</v>
      </c>
      <c r="I68" s="1">
        <v>2958169</v>
      </c>
      <c r="J68" s="1">
        <f t="shared" si="0"/>
        <v>147908.45000000001</v>
      </c>
      <c r="K68" s="1">
        <v>0</v>
      </c>
      <c r="L68" s="11">
        <f t="shared" si="4"/>
        <v>0</v>
      </c>
    </row>
    <row r="69" spans="1:13" x14ac:dyDescent="0.25">
      <c r="A69">
        <v>206</v>
      </c>
      <c r="B69">
        <v>1</v>
      </c>
      <c r="C69" t="s">
        <v>46</v>
      </c>
      <c r="D69" s="1">
        <v>630890.07999999996</v>
      </c>
      <c r="E69" s="1">
        <v>0</v>
      </c>
      <c r="F69" s="1">
        <v>22517.23</v>
      </c>
      <c r="G69" s="1">
        <v>167509.07</v>
      </c>
      <c r="H69" s="1">
        <v>0</v>
      </c>
      <c r="I69" s="1">
        <v>6494960</v>
      </c>
      <c r="J69" s="1">
        <f t="shared" si="0"/>
        <v>324748</v>
      </c>
      <c r="K69" s="1">
        <v>0</v>
      </c>
      <c r="L69" s="11">
        <f t="shared" si="4"/>
        <v>116115.77999999997</v>
      </c>
    </row>
    <row r="70" spans="1:13" x14ac:dyDescent="0.25">
      <c r="A70">
        <v>213</v>
      </c>
      <c r="B70">
        <v>1</v>
      </c>
      <c r="C70" t="s">
        <v>47</v>
      </c>
      <c r="D70" s="1">
        <v>223899.69</v>
      </c>
      <c r="E70" s="1">
        <v>0</v>
      </c>
      <c r="F70" s="1">
        <v>44148.39</v>
      </c>
      <c r="G70" s="1">
        <v>67621.78</v>
      </c>
      <c r="H70" s="1">
        <v>0</v>
      </c>
      <c r="I70" s="1">
        <v>1172202</v>
      </c>
      <c r="J70" s="1">
        <f t="shared" ref="J70:J133" si="5">ROUND(I70/20,2)</f>
        <v>58610.1</v>
      </c>
      <c r="K70" s="1">
        <v>0</v>
      </c>
      <c r="L70" s="11">
        <f t="shared" si="4"/>
        <v>53519.419999999991</v>
      </c>
    </row>
    <row r="71" spans="1:13" x14ac:dyDescent="0.25">
      <c r="A71">
        <v>227</v>
      </c>
      <c r="B71">
        <v>1</v>
      </c>
      <c r="C71" t="s">
        <v>48</v>
      </c>
      <c r="D71" s="1">
        <v>302888.02</v>
      </c>
      <c r="E71" s="1">
        <v>1237023.8400000001</v>
      </c>
      <c r="F71" s="1">
        <v>76559.39</v>
      </c>
      <c r="G71" s="1">
        <v>53279.17</v>
      </c>
      <c r="H71" s="1">
        <v>0</v>
      </c>
      <c r="I71" s="1">
        <v>1415584</v>
      </c>
      <c r="J71" s="1">
        <f t="shared" si="5"/>
        <v>70779.199999999997</v>
      </c>
      <c r="K71" s="1">
        <v>0</v>
      </c>
      <c r="L71" s="11">
        <f t="shared" si="4"/>
        <v>102270.26000000002</v>
      </c>
    </row>
    <row r="72" spans="1:13" x14ac:dyDescent="0.25">
      <c r="A72">
        <v>229</v>
      </c>
      <c r="B72">
        <v>1</v>
      </c>
      <c r="C72" t="s">
        <v>49</v>
      </c>
      <c r="D72" s="1">
        <v>66953.59</v>
      </c>
      <c r="E72" s="1">
        <v>0</v>
      </c>
      <c r="F72" s="1">
        <v>8816.73</v>
      </c>
      <c r="G72" s="1">
        <v>23344.87</v>
      </c>
      <c r="H72" s="1">
        <v>0</v>
      </c>
      <c r="I72" s="1">
        <v>127552</v>
      </c>
      <c r="J72" s="1">
        <f t="shared" si="5"/>
        <v>6377.6</v>
      </c>
      <c r="K72" s="1">
        <v>0</v>
      </c>
      <c r="L72" s="11">
        <f t="shared" si="4"/>
        <v>28414.390000000007</v>
      </c>
    </row>
    <row r="73" spans="1:13" x14ac:dyDescent="0.25">
      <c r="A73">
        <v>238</v>
      </c>
      <c r="B73">
        <v>1</v>
      </c>
      <c r="C73" t="s">
        <v>313</v>
      </c>
      <c r="D73" s="1">
        <v>75236.009999999995</v>
      </c>
      <c r="E73" s="1">
        <v>0</v>
      </c>
      <c r="F73" s="1">
        <v>18068.62</v>
      </c>
      <c r="G73" s="1">
        <v>18196.919999999998</v>
      </c>
      <c r="H73" s="1">
        <v>0</v>
      </c>
      <c r="I73" s="1">
        <v>394971</v>
      </c>
      <c r="J73" s="1">
        <f t="shared" si="5"/>
        <v>19748.55</v>
      </c>
      <c r="K73" s="1">
        <v>0</v>
      </c>
      <c r="L73" s="11">
        <f t="shared" si="4"/>
        <v>19221.920000000002</v>
      </c>
    </row>
    <row r="74" spans="1:13" x14ac:dyDescent="0.25">
      <c r="A74">
        <v>239</v>
      </c>
      <c r="B74">
        <v>1</v>
      </c>
      <c r="C74" t="s">
        <v>212</v>
      </c>
      <c r="D74" s="1">
        <v>0</v>
      </c>
      <c r="E74" s="1">
        <v>0</v>
      </c>
      <c r="F74" s="1">
        <v>5757.44</v>
      </c>
      <c r="G74" s="1">
        <v>0</v>
      </c>
      <c r="H74" s="1">
        <v>0</v>
      </c>
      <c r="I74" s="1">
        <v>0</v>
      </c>
      <c r="J74" s="1">
        <f t="shared" si="5"/>
        <v>0</v>
      </c>
      <c r="K74" s="1">
        <v>0</v>
      </c>
      <c r="L74" s="11">
        <f t="shared" si="4"/>
        <v>0</v>
      </c>
    </row>
    <row r="75" spans="1:13" x14ac:dyDescent="0.25">
      <c r="A75">
        <v>241</v>
      </c>
      <c r="B75">
        <v>1</v>
      </c>
      <c r="C75" t="s">
        <v>50</v>
      </c>
      <c r="D75" s="1">
        <v>602617.28</v>
      </c>
      <c r="E75" s="1">
        <v>0</v>
      </c>
      <c r="F75" s="1">
        <v>127257.16</v>
      </c>
      <c r="G75" s="1">
        <v>148109.42000000001</v>
      </c>
      <c r="H75" s="1">
        <v>0</v>
      </c>
      <c r="I75" s="1">
        <v>3065592</v>
      </c>
      <c r="J75" s="1">
        <f t="shared" si="5"/>
        <v>153279.6</v>
      </c>
      <c r="K75" s="1">
        <v>0</v>
      </c>
      <c r="L75" s="11">
        <f t="shared" si="4"/>
        <v>173971.09999999995</v>
      </c>
    </row>
    <row r="76" spans="1:13" x14ac:dyDescent="0.25">
      <c r="A76">
        <v>242</v>
      </c>
      <c r="B76">
        <v>1</v>
      </c>
      <c r="C76" t="s">
        <v>51</v>
      </c>
      <c r="D76" s="1">
        <v>83536.160000000003</v>
      </c>
      <c r="E76" s="1">
        <v>0</v>
      </c>
      <c r="F76" s="1">
        <v>26048.79</v>
      </c>
      <c r="G76" s="1">
        <v>17433.79</v>
      </c>
      <c r="H76" s="1">
        <v>0</v>
      </c>
      <c r="I76" s="1">
        <v>454244</v>
      </c>
      <c r="J76" s="1">
        <f t="shared" si="5"/>
        <v>22712.2</v>
      </c>
      <c r="K76" s="1">
        <v>0</v>
      </c>
      <c r="L76" s="11">
        <f t="shared" si="4"/>
        <v>17341.38</v>
      </c>
    </row>
    <row r="77" spans="1:13" x14ac:dyDescent="0.25">
      <c r="A77">
        <v>252</v>
      </c>
      <c r="B77">
        <v>1</v>
      </c>
      <c r="C77" t="s">
        <v>52</v>
      </c>
      <c r="D77" s="1">
        <v>334132.53999999998</v>
      </c>
      <c r="E77" s="1">
        <v>0</v>
      </c>
      <c r="F77" s="1">
        <v>201010</v>
      </c>
      <c r="G77" s="1">
        <v>200000</v>
      </c>
      <c r="H77" s="1">
        <v>0</v>
      </c>
      <c r="I77" s="1">
        <v>1676720</v>
      </c>
      <c r="J77" s="1">
        <f t="shared" si="5"/>
        <v>83836</v>
      </c>
      <c r="K77" s="1">
        <v>0</v>
      </c>
      <c r="L77" s="11">
        <f t="shared" si="4"/>
        <v>0</v>
      </c>
    </row>
    <row r="78" spans="1:13" x14ac:dyDescent="0.25">
      <c r="A78">
        <v>253</v>
      </c>
      <c r="B78">
        <v>1</v>
      </c>
      <c r="C78" t="s">
        <v>53</v>
      </c>
      <c r="D78" s="1">
        <v>109933.81</v>
      </c>
      <c r="E78" s="1">
        <v>0</v>
      </c>
      <c r="F78" s="1">
        <v>28383.07</v>
      </c>
      <c r="G78" s="1">
        <v>25192.720000000001</v>
      </c>
      <c r="H78" s="1">
        <v>0</v>
      </c>
      <c r="I78" s="1">
        <v>492414</v>
      </c>
      <c r="J78" s="1">
        <f t="shared" si="5"/>
        <v>24620.7</v>
      </c>
      <c r="K78" s="1">
        <v>0</v>
      </c>
      <c r="L78" s="11">
        <f t="shared" si="4"/>
        <v>31737.319999999989</v>
      </c>
    </row>
    <row r="79" spans="1:13" x14ac:dyDescent="0.25">
      <c r="A79">
        <v>255</v>
      </c>
      <c r="B79">
        <v>1</v>
      </c>
      <c r="C79" t="s">
        <v>54</v>
      </c>
      <c r="D79" s="1">
        <v>158410.41</v>
      </c>
      <c r="E79" s="1">
        <v>0</v>
      </c>
      <c r="F79" s="1">
        <v>42538.92</v>
      </c>
      <c r="G79" s="1">
        <v>36943.47</v>
      </c>
      <c r="H79" s="1">
        <v>0</v>
      </c>
      <c r="I79" s="1">
        <v>674943</v>
      </c>
      <c r="J79" s="1">
        <f t="shared" si="5"/>
        <v>33747.15</v>
      </c>
      <c r="K79" s="1">
        <v>0</v>
      </c>
      <c r="L79" s="11">
        <f t="shared" si="4"/>
        <v>45180.87</v>
      </c>
    </row>
    <row r="80" spans="1:13" x14ac:dyDescent="0.25">
      <c r="A80">
        <v>256</v>
      </c>
      <c r="B80">
        <v>1</v>
      </c>
      <c r="C80" t="s">
        <v>55</v>
      </c>
      <c r="D80" s="1">
        <v>2577004.81</v>
      </c>
      <c r="E80" s="1">
        <v>0</v>
      </c>
      <c r="F80" s="1">
        <v>2081586</v>
      </c>
      <c r="G80" s="1">
        <v>394600.01</v>
      </c>
      <c r="H80" s="1">
        <v>0</v>
      </c>
      <c r="I80" s="1">
        <v>187523</v>
      </c>
      <c r="J80" s="1">
        <f t="shared" si="5"/>
        <v>9376.15</v>
      </c>
      <c r="K80" s="1">
        <v>0</v>
      </c>
      <c r="L80" s="11">
        <f t="shared" si="4"/>
        <v>91442.650000000052</v>
      </c>
    </row>
    <row r="81" spans="1:12" x14ac:dyDescent="0.25">
      <c r="A81">
        <v>261</v>
      </c>
      <c r="B81">
        <v>1</v>
      </c>
      <c r="C81" t="s">
        <v>56</v>
      </c>
      <c r="D81" s="1">
        <v>100051.38</v>
      </c>
      <c r="E81" s="1">
        <v>0</v>
      </c>
      <c r="F81" s="1">
        <v>28758.78</v>
      </c>
      <c r="G81" s="1">
        <v>7787.84</v>
      </c>
      <c r="H81" s="1">
        <v>0</v>
      </c>
      <c r="I81" s="1">
        <v>559362</v>
      </c>
      <c r="J81" s="1">
        <f t="shared" si="5"/>
        <v>27968.1</v>
      </c>
      <c r="K81" s="1">
        <v>0</v>
      </c>
      <c r="L81" s="11">
        <f t="shared" si="4"/>
        <v>35536.660000000011</v>
      </c>
    </row>
    <row r="82" spans="1:12" x14ac:dyDescent="0.25">
      <c r="A82">
        <v>264</v>
      </c>
      <c r="B82">
        <v>1</v>
      </c>
      <c r="C82" t="s">
        <v>207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f t="shared" si="5"/>
        <v>0</v>
      </c>
      <c r="K82" s="1">
        <v>0</v>
      </c>
      <c r="L82" s="11">
        <f t="shared" si="4"/>
        <v>0</v>
      </c>
    </row>
    <row r="83" spans="1:12" x14ac:dyDescent="0.25">
      <c r="A83">
        <v>270</v>
      </c>
      <c r="B83">
        <v>1</v>
      </c>
      <c r="C83" t="s">
        <v>57</v>
      </c>
      <c r="D83" s="1">
        <v>1705603</v>
      </c>
      <c r="E83" s="1">
        <v>6043345.2000000002</v>
      </c>
      <c r="F83" s="1">
        <v>0</v>
      </c>
      <c r="G83" s="1">
        <v>445995.05</v>
      </c>
      <c r="H83" s="1">
        <v>996680</v>
      </c>
      <c r="I83" s="1">
        <v>12029183</v>
      </c>
      <c r="J83" s="1">
        <f t="shared" si="5"/>
        <v>601459.15</v>
      </c>
      <c r="K83" s="1">
        <v>0</v>
      </c>
      <c r="L83" s="11">
        <f t="shared" si="4"/>
        <v>658148.79999999993</v>
      </c>
    </row>
    <row r="84" spans="1:12" x14ac:dyDescent="0.25">
      <c r="A84">
        <v>271</v>
      </c>
      <c r="B84">
        <v>1</v>
      </c>
      <c r="C84" t="s">
        <v>58</v>
      </c>
      <c r="D84" s="1">
        <v>1526082.55</v>
      </c>
      <c r="E84" s="1">
        <v>0</v>
      </c>
      <c r="F84" s="1">
        <v>710496</v>
      </c>
      <c r="G84" s="1">
        <v>0</v>
      </c>
      <c r="H84" s="1">
        <v>0</v>
      </c>
      <c r="I84" s="1">
        <v>9834275</v>
      </c>
      <c r="J84" s="1">
        <f t="shared" si="5"/>
        <v>491713.75</v>
      </c>
      <c r="K84" s="1">
        <v>0</v>
      </c>
      <c r="L84" s="11">
        <f t="shared" si="4"/>
        <v>323872.80000000005</v>
      </c>
    </row>
    <row r="85" spans="1:12" x14ac:dyDescent="0.25">
      <c r="A85">
        <v>272</v>
      </c>
      <c r="B85">
        <v>1</v>
      </c>
      <c r="C85" t="s">
        <v>59</v>
      </c>
      <c r="D85" s="1">
        <v>1794026.4</v>
      </c>
      <c r="E85" s="1">
        <v>13545007.6</v>
      </c>
      <c r="F85" s="1">
        <v>0</v>
      </c>
      <c r="G85" s="1">
        <v>872186.88</v>
      </c>
      <c r="H85" s="1">
        <v>0</v>
      </c>
      <c r="I85" s="1">
        <v>12176634</v>
      </c>
      <c r="J85" s="1">
        <f t="shared" si="5"/>
        <v>608831.69999999995</v>
      </c>
      <c r="K85" s="1">
        <v>0</v>
      </c>
      <c r="L85" s="11">
        <f t="shared" si="4"/>
        <v>313007.81999999995</v>
      </c>
    </row>
    <row r="86" spans="1:12" x14ac:dyDescent="0.25">
      <c r="A86">
        <v>273</v>
      </c>
      <c r="B86">
        <v>1</v>
      </c>
      <c r="C86" t="s">
        <v>60</v>
      </c>
      <c r="D86" s="1">
        <v>393308.65</v>
      </c>
      <c r="E86" s="1">
        <v>58664371.780000001</v>
      </c>
      <c r="F86" s="1">
        <v>250000</v>
      </c>
      <c r="G86" s="1">
        <v>0</v>
      </c>
      <c r="H86" s="1">
        <v>0</v>
      </c>
      <c r="I86" s="1">
        <v>7536142</v>
      </c>
      <c r="J86" s="1">
        <f t="shared" si="5"/>
        <v>376807.1</v>
      </c>
      <c r="K86" s="1">
        <v>0</v>
      </c>
      <c r="L86" s="11">
        <f t="shared" si="4"/>
        <v>0</v>
      </c>
    </row>
    <row r="87" spans="1:12" x14ac:dyDescent="0.25">
      <c r="A87">
        <v>276</v>
      </c>
      <c r="B87">
        <v>1</v>
      </c>
      <c r="C87" t="s">
        <v>61</v>
      </c>
      <c r="D87" s="1">
        <v>2400448.16</v>
      </c>
      <c r="E87" s="1">
        <v>3269694.26</v>
      </c>
      <c r="F87" s="1">
        <v>1300000</v>
      </c>
      <c r="G87" s="1">
        <v>710000</v>
      </c>
      <c r="H87" s="1">
        <v>0</v>
      </c>
      <c r="I87" s="1">
        <v>7511228</v>
      </c>
      <c r="J87" s="1">
        <f t="shared" si="5"/>
        <v>375561.4</v>
      </c>
      <c r="K87" s="1">
        <v>0</v>
      </c>
      <c r="L87" s="11">
        <f t="shared" si="4"/>
        <v>14886.760000000126</v>
      </c>
    </row>
    <row r="88" spans="1:12" x14ac:dyDescent="0.25">
      <c r="A88">
        <v>277</v>
      </c>
      <c r="B88">
        <v>1</v>
      </c>
      <c r="C88" t="s">
        <v>62</v>
      </c>
      <c r="D88" s="1">
        <v>244132.53</v>
      </c>
      <c r="E88" s="1">
        <v>0</v>
      </c>
      <c r="F88" s="1">
        <v>0</v>
      </c>
      <c r="G88" s="1">
        <v>33690.83</v>
      </c>
      <c r="H88" s="1">
        <v>0</v>
      </c>
      <c r="I88" s="1">
        <v>2617355</v>
      </c>
      <c r="J88" s="1">
        <f t="shared" si="5"/>
        <v>130867.75</v>
      </c>
      <c r="K88" s="1">
        <v>0</v>
      </c>
      <c r="L88" s="11">
        <f t="shared" si="4"/>
        <v>79573.950000000012</v>
      </c>
    </row>
    <row r="89" spans="1:12" x14ac:dyDescent="0.25">
      <c r="A89">
        <v>278</v>
      </c>
      <c r="B89">
        <v>1</v>
      </c>
      <c r="C89" t="s">
        <v>63</v>
      </c>
      <c r="D89" s="1">
        <v>499544.11</v>
      </c>
      <c r="E89" s="1">
        <v>0</v>
      </c>
      <c r="F89" s="1">
        <v>212000</v>
      </c>
      <c r="G89" s="1">
        <v>205000</v>
      </c>
      <c r="H89" s="1">
        <v>0</v>
      </c>
      <c r="I89" s="1">
        <v>4267321</v>
      </c>
      <c r="J89" s="1">
        <f t="shared" si="5"/>
        <v>213366.05</v>
      </c>
      <c r="K89" s="1">
        <v>0</v>
      </c>
      <c r="L89" s="11">
        <f t="shared" si="4"/>
        <v>0</v>
      </c>
    </row>
    <row r="90" spans="1:12" x14ac:dyDescent="0.25">
      <c r="A90">
        <v>279</v>
      </c>
      <c r="B90">
        <v>1</v>
      </c>
      <c r="C90" t="s">
        <v>64</v>
      </c>
      <c r="D90" s="1">
        <v>3611879.64</v>
      </c>
      <c r="E90" s="1">
        <v>0</v>
      </c>
      <c r="F90" s="1">
        <v>797013.04</v>
      </c>
      <c r="G90" s="1">
        <v>1106237.43</v>
      </c>
      <c r="H90" s="1">
        <v>0</v>
      </c>
      <c r="I90" s="1">
        <v>16387056</v>
      </c>
      <c r="J90" s="1">
        <f t="shared" si="5"/>
        <v>819352.8</v>
      </c>
      <c r="K90" s="1">
        <v>0</v>
      </c>
      <c r="L90" s="11">
        <f t="shared" si="4"/>
        <v>889276.37000000011</v>
      </c>
    </row>
    <row r="91" spans="1:12" x14ac:dyDescent="0.25">
      <c r="A91">
        <v>280</v>
      </c>
      <c r="B91">
        <v>1</v>
      </c>
      <c r="C91" t="s">
        <v>65</v>
      </c>
      <c r="D91" s="1">
        <v>926255.71</v>
      </c>
      <c r="E91" s="1">
        <v>0</v>
      </c>
      <c r="F91" s="1">
        <v>650000</v>
      </c>
      <c r="G91" s="1">
        <v>300000</v>
      </c>
      <c r="H91" s="1">
        <v>0</v>
      </c>
      <c r="I91" s="1">
        <v>4468949</v>
      </c>
      <c r="J91" s="1">
        <f t="shared" si="5"/>
        <v>223447.45</v>
      </c>
      <c r="K91" s="1">
        <v>0</v>
      </c>
      <c r="L91" s="11">
        <f t="shared" si="4"/>
        <v>0</v>
      </c>
    </row>
    <row r="92" spans="1:12" x14ac:dyDescent="0.25">
      <c r="A92">
        <v>281</v>
      </c>
      <c r="B92">
        <v>1</v>
      </c>
      <c r="C92" t="s">
        <v>66</v>
      </c>
      <c r="D92" s="1">
        <v>3054052.17</v>
      </c>
      <c r="E92" s="1">
        <v>7485396.2000000002</v>
      </c>
      <c r="F92" s="1">
        <v>942656.73</v>
      </c>
      <c r="G92" s="1">
        <v>770479.26</v>
      </c>
      <c r="H92" s="1">
        <v>68240</v>
      </c>
      <c r="I92" s="1">
        <v>10288726</v>
      </c>
      <c r="J92" s="1">
        <f t="shared" si="5"/>
        <v>514436.3</v>
      </c>
      <c r="K92" s="1">
        <v>0</v>
      </c>
      <c r="L92" s="11">
        <f t="shared" si="4"/>
        <v>826479.87999999989</v>
      </c>
    </row>
    <row r="93" spans="1:12" x14ac:dyDescent="0.25">
      <c r="A93">
        <v>282</v>
      </c>
      <c r="B93">
        <v>1</v>
      </c>
      <c r="C93" t="s">
        <v>208</v>
      </c>
      <c r="D93" s="1">
        <v>286542.78999999998</v>
      </c>
      <c r="E93" s="1">
        <v>0</v>
      </c>
      <c r="F93" s="1">
        <v>66227.539999999994</v>
      </c>
      <c r="G93" s="1">
        <v>53412.61</v>
      </c>
      <c r="H93" s="1">
        <v>0</v>
      </c>
      <c r="I93" s="1">
        <v>1978374</v>
      </c>
      <c r="J93" s="1">
        <f t="shared" si="5"/>
        <v>98918.7</v>
      </c>
      <c r="K93" s="1">
        <v>0</v>
      </c>
      <c r="L93" s="11">
        <f t="shared" si="4"/>
        <v>67983.940000000017</v>
      </c>
    </row>
    <row r="94" spans="1:12" x14ac:dyDescent="0.25">
      <c r="A94">
        <v>283</v>
      </c>
      <c r="B94">
        <v>1</v>
      </c>
      <c r="C94" t="s">
        <v>312</v>
      </c>
      <c r="D94" s="1">
        <v>1049402.24</v>
      </c>
      <c r="E94" s="1">
        <v>5737692.21</v>
      </c>
      <c r="F94" s="1">
        <v>86348.19</v>
      </c>
      <c r="G94" s="1">
        <v>404870.74</v>
      </c>
      <c r="H94" s="1">
        <v>0</v>
      </c>
      <c r="I94" s="1">
        <v>6308223</v>
      </c>
      <c r="J94" s="1">
        <f t="shared" si="5"/>
        <v>315411.15000000002</v>
      </c>
      <c r="K94" s="1">
        <v>0</v>
      </c>
      <c r="L94" s="11">
        <f t="shared" si="4"/>
        <v>242772.16000000003</v>
      </c>
    </row>
    <row r="95" spans="1:12" x14ac:dyDescent="0.25">
      <c r="A95">
        <v>284</v>
      </c>
      <c r="B95">
        <v>1</v>
      </c>
      <c r="C95" t="s">
        <v>67</v>
      </c>
      <c r="D95" s="1">
        <v>2333335.83</v>
      </c>
      <c r="E95" s="1">
        <v>0</v>
      </c>
      <c r="F95" s="1">
        <v>600000</v>
      </c>
      <c r="G95" s="1">
        <v>332227.03999999998</v>
      </c>
      <c r="H95" s="1">
        <v>0</v>
      </c>
      <c r="I95" s="1">
        <v>9988165</v>
      </c>
      <c r="J95" s="1">
        <f t="shared" si="5"/>
        <v>499408.25</v>
      </c>
      <c r="K95" s="1">
        <v>0</v>
      </c>
      <c r="L95" s="11">
        <f t="shared" si="4"/>
        <v>901700.54</v>
      </c>
    </row>
    <row r="96" spans="1:12" x14ac:dyDescent="0.25">
      <c r="A96">
        <v>286</v>
      </c>
      <c r="B96">
        <v>1</v>
      </c>
      <c r="C96" t="s">
        <v>311</v>
      </c>
      <c r="D96" s="1">
        <v>304009.82</v>
      </c>
      <c r="E96" s="1">
        <v>0</v>
      </c>
      <c r="F96" s="1">
        <v>0</v>
      </c>
      <c r="G96" s="1">
        <v>73793.259999999995</v>
      </c>
      <c r="H96" s="1">
        <v>0</v>
      </c>
      <c r="I96" s="1">
        <v>2472545</v>
      </c>
      <c r="J96" s="1">
        <f t="shared" si="5"/>
        <v>123627.25</v>
      </c>
      <c r="K96" s="1">
        <v>0</v>
      </c>
      <c r="L96" s="11">
        <f t="shared" si="4"/>
        <v>106589.31</v>
      </c>
    </row>
    <row r="97" spans="1:12" x14ac:dyDescent="0.25">
      <c r="A97">
        <v>294</v>
      </c>
      <c r="B97">
        <v>1</v>
      </c>
      <c r="C97" t="s">
        <v>68</v>
      </c>
      <c r="D97" s="1">
        <v>19275.54</v>
      </c>
      <c r="E97" s="1">
        <v>0</v>
      </c>
      <c r="F97" s="1">
        <v>5207.6499999999996</v>
      </c>
      <c r="G97" s="1">
        <v>35905.620000000003</v>
      </c>
      <c r="H97" s="1">
        <v>0</v>
      </c>
      <c r="I97" s="1">
        <v>143255</v>
      </c>
      <c r="J97" s="1">
        <f t="shared" si="5"/>
        <v>7162.75</v>
      </c>
      <c r="K97" s="1">
        <v>0</v>
      </c>
      <c r="L97" s="11">
        <f t="shared" si="4"/>
        <v>0</v>
      </c>
    </row>
    <row r="98" spans="1:12" x14ac:dyDescent="0.25">
      <c r="A98">
        <v>297</v>
      </c>
      <c r="B98">
        <v>1</v>
      </c>
      <c r="C98" t="s">
        <v>69</v>
      </c>
      <c r="D98" s="1">
        <v>0</v>
      </c>
      <c r="E98" s="1">
        <v>0</v>
      </c>
      <c r="F98" s="1">
        <v>18544.75</v>
      </c>
      <c r="G98" s="1">
        <v>18958.82</v>
      </c>
      <c r="H98" s="1">
        <v>0</v>
      </c>
      <c r="I98" s="1">
        <v>0</v>
      </c>
      <c r="J98" s="1">
        <f t="shared" si="5"/>
        <v>0</v>
      </c>
      <c r="K98" s="1">
        <v>0</v>
      </c>
      <c r="L98" s="11">
        <f t="shared" si="4"/>
        <v>0</v>
      </c>
    </row>
    <row r="99" spans="1:12" x14ac:dyDescent="0.25">
      <c r="A99">
        <v>299</v>
      </c>
      <c r="B99">
        <v>1</v>
      </c>
      <c r="C99" t="s">
        <v>331</v>
      </c>
      <c r="D99" s="1">
        <v>589.1</v>
      </c>
      <c r="E99" s="1">
        <v>0</v>
      </c>
      <c r="F99" s="1">
        <v>0</v>
      </c>
      <c r="G99" s="1">
        <v>0</v>
      </c>
      <c r="H99" s="1">
        <v>0</v>
      </c>
      <c r="I99" s="1">
        <v>814063</v>
      </c>
      <c r="J99" s="1">
        <f t="shared" si="5"/>
        <v>40703.15</v>
      </c>
      <c r="K99" s="1">
        <f>MAX((D99-F99-G99-J99),0)</f>
        <v>0</v>
      </c>
      <c r="L99" s="11">
        <f>MAX((D99-F99-G99-J99-K99),0)</f>
        <v>0</v>
      </c>
    </row>
    <row r="100" spans="1:12" x14ac:dyDescent="0.25">
      <c r="A100">
        <v>300</v>
      </c>
      <c r="B100">
        <v>1</v>
      </c>
      <c r="C100" t="s">
        <v>210</v>
      </c>
      <c r="D100" s="1">
        <v>167360.51999999999</v>
      </c>
      <c r="E100" s="1">
        <v>0</v>
      </c>
      <c r="F100" s="1">
        <v>66019.55</v>
      </c>
      <c r="G100" s="1">
        <v>34212.31</v>
      </c>
      <c r="H100" s="1">
        <v>0</v>
      </c>
      <c r="I100" s="1">
        <v>723018</v>
      </c>
      <c r="J100" s="1">
        <f t="shared" si="5"/>
        <v>36150.9</v>
      </c>
      <c r="K100" s="1">
        <v>0</v>
      </c>
      <c r="L100" s="11">
        <f>MAX((D100-F100-G100-J100),0)</f>
        <v>30977.759999999987</v>
      </c>
    </row>
    <row r="101" spans="1:12" x14ac:dyDescent="0.25">
      <c r="A101">
        <v>306</v>
      </c>
      <c r="B101">
        <v>1</v>
      </c>
      <c r="C101" t="s">
        <v>332</v>
      </c>
      <c r="D101" s="1">
        <v>31348.93</v>
      </c>
      <c r="E101" s="1">
        <v>0</v>
      </c>
      <c r="F101" s="1">
        <v>0</v>
      </c>
      <c r="G101" s="1">
        <v>0</v>
      </c>
      <c r="H101" s="1">
        <v>0</v>
      </c>
      <c r="I101" s="1">
        <v>593430</v>
      </c>
      <c r="J101" s="1">
        <f t="shared" si="5"/>
        <v>29671.5</v>
      </c>
      <c r="K101" s="1">
        <f>MAX((D101-F101-G101-J101),0)</f>
        <v>1677.4300000000003</v>
      </c>
      <c r="L101" s="11">
        <f>MAX((D101-F101-G101-J101-K101),0)</f>
        <v>0</v>
      </c>
    </row>
    <row r="102" spans="1:12" x14ac:dyDescent="0.25">
      <c r="A102">
        <v>308</v>
      </c>
      <c r="B102">
        <v>1</v>
      </c>
      <c r="C102" t="s">
        <v>70</v>
      </c>
      <c r="D102" s="1">
        <v>16028.34</v>
      </c>
      <c r="E102" s="1">
        <v>0</v>
      </c>
      <c r="F102" s="1">
        <v>8235.1</v>
      </c>
      <c r="G102" s="1">
        <v>0</v>
      </c>
      <c r="H102" s="1">
        <v>0</v>
      </c>
      <c r="I102" s="1">
        <v>318725</v>
      </c>
      <c r="J102" s="1">
        <f t="shared" si="5"/>
        <v>15936.25</v>
      </c>
      <c r="K102" s="1">
        <v>0</v>
      </c>
      <c r="L102" s="11">
        <f t="shared" ref="L102:L111" si="6">MAX((D102-F102-G102-J102),0)</f>
        <v>0</v>
      </c>
    </row>
    <row r="103" spans="1:12" x14ac:dyDescent="0.25">
      <c r="A103">
        <v>309</v>
      </c>
      <c r="B103">
        <v>1</v>
      </c>
      <c r="C103" t="s">
        <v>71</v>
      </c>
      <c r="D103" s="1">
        <v>536754.56000000006</v>
      </c>
      <c r="E103" s="1">
        <v>0</v>
      </c>
      <c r="F103" s="1">
        <v>119998.02</v>
      </c>
      <c r="G103" s="1">
        <v>75547.59</v>
      </c>
      <c r="H103" s="1">
        <v>0</v>
      </c>
      <c r="I103" s="1">
        <v>3180968</v>
      </c>
      <c r="J103" s="1">
        <f t="shared" si="5"/>
        <v>159048.4</v>
      </c>
      <c r="K103" s="1">
        <v>0</v>
      </c>
      <c r="L103" s="11">
        <f t="shared" si="6"/>
        <v>182160.55000000008</v>
      </c>
    </row>
    <row r="104" spans="1:12" x14ac:dyDescent="0.25">
      <c r="A104">
        <v>314</v>
      </c>
      <c r="B104">
        <v>1</v>
      </c>
      <c r="C104" t="s">
        <v>72</v>
      </c>
      <c r="D104" s="1">
        <v>137843.19</v>
      </c>
      <c r="E104" s="1">
        <v>0</v>
      </c>
      <c r="F104" s="1">
        <v>31399.8</v>
      </c>
      <c r="G104" s="1">
        <v>29861.05</v>
      </c>
      <c r="H104" s="1">
        <v>0</v>
      </c>
      <c r="I104" s="1">
        <v>836961</v>
      </c>
      <c r="J104" s="1">
        <f t="shared" si="5"/>
        <v>41848.050000000003</v>
      </c>
      <c r="K104" s="1">
        <v>0</v>
      </c>
      <c r="L104" s="11">
        <f t="shared" si="6"/>
        <v>34734.289999999994</v>
      </c>
    </row>
    <row r="105" spans="1:12" x14ac:dyDescent="0.25">
      <c r="A105">
        <v>316</v>
      </c>
      <c r="B105">
        <v>1</v>
      </c>
      <c r="C105" t="s">
        <v>73</v>
      </c>
      <c r="D105" s="1">
        <v>43966.29</v>
      </c>
      <c r="E105" s="1">
        <v>0</v>
      </c>
      <c r="F105" s="1">
        <v>0</v>
      </c>
      <c r="G105" s="1">
        <v>0</v>
      </c>
      <c r="H105" s="1">
        <v>0</v>
      </c>
      <c r="I105" s="1">
        <f>705987+48975</f>
        <v>754962</v>
      </c>
      <c r="J105" s="1">
        <f t="shared" si="5"/>
        <v>37748.1</v>
      </c>
      <c r="K105" s="1">
        <v>0</v>
      </c>
      <c r="L105" s="11">
        <f t="shared" si="6"/>
        <v>6218.1900000000023</v>
      </c>
    </row>
    <row r="106" spans="1:12" x14ac:dyDescent="0.25">
      <c r="A106">
        <v>317</v>
      </c>
      <c r="B106">
        <v>1</v>
      </c>
      <c r="C106" t="s">
        <v>74</v>
      </c>
      <c r="D106" s="1">
        <v>286841.49</v>
      </c>
      <c r="E106" s="1">
        <v>0</v>
      </c>
      <c r="F106" s="1">
        <v>51872.92</v>
      </c>
      <c r="G106" s="1">
        <v>135888.91</v>
      </c>
      <c r="H106" s="1">
        <v>0</v>
      </c>
      <c r="I106" s="1">
        <v>959683</v>
      </c>
      <c r="J106" s="1">
        <f t="shared" si="5"/>
        <v>47984.15</v>
      </c>
      <c r="K106" s="1">
        <v>0</v>
      </c>
      <c r="L106" s="11">
        <f t="shared" si="6"/>
        <v>51095.51</v>
      </c>
    </row>
    <row r="107" spans="1:12" x14ac:dyDescent="0.25">
      <c r="A107">
        <v>318</v>
      </c>
      <c r="B107">
        <v>1</v>
      </c>
      <c r="C107" t="s">
        <v>310</v>
      </c>
      <c r="D107" s="1">
        <v>612025.63</v>
      </c>
      <c r="E107" s="1">
        <v>0</v>
      </c>
      <c r="F107" s="1">
        <v>0</v>
      </c>
      <c r="G107" s="1">
        <v>218793.44</v>
      </c>
      <c r="H107" s="1">
        <v>0</v>
      </c>
      <c r="I107" s="1">
        <v>3041168</v>
      </c>
      <c r="J107" s="1">
        <f t="shared" si="5"/>
        <v>152058.4</v>
      </c>
      <c r="K107" s="1">
        <v>0</v>
      </c>
      <c r="L107" s="11">
        <f t="shared" si="6"/>
        <v>241173.79</v>
      </c>
    </row>
    <row r="108" spans="1:12" x14ac:dyDescent="0.25">
      <c r="A108">
        <v>319</v>
      </c>
      <c r="B108">
        <v>1</v>
      </c>
      <c r="C108" t="s">
        <v>209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f t="shared" si="5"/>
        <v>0</v>
      </c>
      <c r="K108" s="1">
        <v>0</v>
      </c>
      <c r="L108" s="11">
        <f t="shared" si="6"/>
        <v>0</v>
      </c>
    </row>
    <row r="109" spans="1:12" x14ac:dyDescent="0.25">
      <c r="A109">
        <v>323</v>
      </c>
      <c r="B109">
        <v>2</v>
      </c>
      <c r="C109" t="s">
        <v>75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f t="shared" si="5"/>
        <v>0</v>
      </c>
      <c r="K109" s="1">
        <v>0</v>
      </c>
      <c r="L109" s="11">
        <f t="shared" si="6"/>
        <v>0</v>
      </c>
    </row>
    <row r="110" spans="1:12" x14ac:dyDescent="0.25">
      <c r="A110">
        <v>330</v>
      </c>
      <c r="B110">
        <v>1</v>
      </c>
      <c r="C110" t="s">
        <v>211</v>
      </c>
      <c r="D110" s="1">
        <v>53289.36</v>
      </c>
      <c r="E110" s="1">
        <v>0</v>
      </c>
      <c r="F110" s="1">
        <v>14144.68</v>
      </c>
      <c r="G110" s="1">
        <v>12592.93</v>
      </c>
      <c r="H110" s="1">
        <v>0</v>
      </c>
      <c r="I110" s="1">
        <v>282450</v>
      </c>
      <c r="J110" s="1">
        <f t="shared" si="5"/>
        <v>14122.5</v>
      </c>
      <c r="K110" s="1">
        <v>0</v>
      </c>
      <c r="L110" s="11">
        <f t="shared" si="6"/>
        <v>12429.25</v>
      </c>
    </row>
    <row r="111" spans="1:12" x14ac:dyDescent="0.25">
      <c r="A111">
        <v>332</v>
      </c>
      <c r="B111">
        <v>1</v>
      </c>
      <c r="C111" t="s">
        <v>76</v>
      </c>
      <c r="D111" s="1">
        <v>153315.31</v>
      </c>
      <c r="E111" s="1">
        <v>0</v>
      </c>
      <c r="F111" s="1">
        <v>37697.81</v>
      </c>
      <c r="G111" s="1">
        <v>32770.9</v>
      </c>
      <c r="H111" s="1">
        <v>0</v>
      </c>
      <c r="I111" s="1">
        <v>731745</v>
      </c>
      <c r="J111" s="1">
        <f t="shared" si="5"/>
        <v>36587.25</v>
      </c>
      <c r="K111" s="1">
        <v>0</v>
      </c>
      <c r="L111" s="11">
        <f t="shared" si="6"/>
        <v>46259.350000000006</v>
      </c>
    </row>
    <row r="112" spans="1:12" x14ac:dyDescent="0.25">
      <c r="A112">
        <v>333</v>
      </c>
      <c r="B112">
        <v>1</v>
      </c>
      <c r="C112" t="s">
        <v>333</v>
      </c>
      <c r="D112" s="1">
        <v>82476.13</v>
      </c>
      <c r="E112" s="1">
        <v>0</v>
      </c>
      <c r="F112" s="1">
        <v>0</v>
      </c>
      <c r="G112" s="1">
        <v>0</v>
      </c>
      <c r="H112" s="1">
        <v>0</v>
      </c>
      <c r="I112" s="1">
        <v>375914</v>
      </c>
      <c r="J112" s="1">
        <f t="shared" si="5"/>
        <v>18795.7</v>
      </c>
      <c r="K112" s="1">
        <f>MAX((D112-F112-G112-J112),0)</f>
        <v>63680.430000000008</v>
      </c>
      <c r="L112" s="11">
        <f>MAX((D112-F112-G112-J112-K112),0)</f>
        <v>0</v>
      </c>
    </row>
    <row r="113" spans="1:12" x14ac:dyDescent="0.25">
      <c r="A113">
        <v>345</v>
      </c>
      <c r="B113">
        <v>1</v>
      </c>
      <c r="C113" t="s">
        <v>216</v>
      </c>
      <c r="D113" s="1">
        <v>288543.40000000002</v>
      </c>
      <c r="E113" s="1">
        <v>0</v>
      </c>
      <c r="F113" s="1">
        <v>300000</v>
      </c>
      <c r="G113" s="1">
        <v>0</v>
      </c>
      <c r="H113" s="1">
        <v>0</v>
      </c>
      <c r="I113" s="1">
        <v>1650741</v>
      </c>
      <c r="J113" s="1">
        <f t="shared" si="5"/>
        <v>82537.05</v>
      </c>
      <c r="K113" s="1">
        <v>0</v>
      </c>
      <c r="L113" s="11">
        <f>MAX((D113-F113-G113-J113),0)</f>
        <v>0</v>
      </c>
    </row>
    <row r="114" spans="1:12" x14ac:dyDescent="0.25">
      <c r="A114">
        <v>347</v>
      </c>
      <c r="B114">
        <v>1</v>
      </c>
      <c r="C114" t="s">
        <v>77</v>
      </c>
      <c r="D114" s="1">
        <v>572276.6</v>
      </c>
      <c r="E114" s="1">
        <v>400</v>
      </c>
      <c r="F114" s="1">
        <v>141841.49</v>
      </c>
      <c r="G114" s="1">
        <v>166297.81</v>
      </c>
      <c r="H114" s="1">
        <v>0</v>
      </c>
      <c r="I114" s="1">
        <v>1102500</v>
      </c>
      <c r="J114" s="1">
        <f t="shared" si="5"/>
        <v>55125</v>
      </c>
      <c r="K114" s="1">
        <v>0</v>
      </c>
      <c r="L114" s="11">
        <f>MAX((D114-F114-G114-J114),0)</f>
        <v>209012.3</v>
      </c>
    </row>
    <row r="115" spans="1:12" x14ac:dyDescent="0.25">
      <c r="A115">
        <v>356</v>
      </c>
      <c r="B115">
        <v>1</v>
      </c>
      <c r="C115" t="s">
        <v>78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f t="shared" si="5"/>
        <v>0</v>
      </c>
      <c r="K115" s="1">
        <v>0</v>
      </c>
      <c r="L115" s="11">
        <f>MAX((D115-F115-G115-J115),0)</f>
        <v>0</v>
      </c>
    </row>
    <row r="116" spans="1:12" x14ac:dyDescent="0.25">
      <c r="A116">
        <v>361</v>
      </c>
      <c r="B116">
        <v>1</v>
      </c>
      <c r="C116" t="s">
        <v>217</v>
      </c>
      <c r="D116" s="1">
        <v>7006.59</v>
      </c>
      <c r="E116" s="1">
        <v>0</v>
      </c>
      <c r="F116" s="1">
        <v>0</v>
      </c>
      <c r="G116" s="1">
        <v>0</v>
      </c>
      <c r="H116" s="1">
        <v>11718</v>
      </c>
      <c r="I116" s="1">
        <v>171479</v>
      </c>
      <c r="J116" s="1">
        <f t="shared" si="5"/>
        <v>8573.9500000000007</v>
      </c>
      <c r="K116" s="1">
        <v>0</v>
      </c>
      <c r="L116" s="11">
        <f>MAX((D116-F116-G116-J116),0)</f>
        <v>0</v>
      </c>
    </row>
    <row r="117" spans="1:12" x14ac:dyDescent="0.25">
      <c r="A117">
        <v>362</v>
      </c>
      <c r="B117">
        <v>1</v>
      </c>
      <c r="C117" t="s">
        <v>334</v>
      </c>
      <c r="D117" s="1">
        <v>30414.880000000001</v>
      </c>
      <c r="E117" s="1">
        <v>0</v>
      </c>
      <c r="F117" s="1">
        <v>0</v>
      </c>
      <c r="G117" s="1">
        <v>0</v>
      </c>
      <c r="H117" s="1">
        <v>0</v>
      </c>
      <c r="I117" s="1">
        <v>265961</v>
      </c>
      <c r="J117" s="1">
        <f t="shared" si="5"/>
        <v>13298.05</v>
      </c>
      <c r="K117" s="1">
        <f>MAX((D117-F117-G117-J117),0)</f>
        <v>17116.830000000002</v>
      </c>
      <c r="L117" s="11">
        <f>MAX((D117-F117-G117-J117-K117),0)</f>
        <v>0</v>
      </c>
    </row>
    <row r="118" spans="1:12" x14ac:dyDescent="0.25">
      <c r="A118">
        <v>363</v>
      </c>
      <c r="B118">
        <v>1</v>
      </c>
      <c r="C118" t="s">
        <v>309</v>
      </c>
      <c r="D118" s="1">
        <v>40521.68</v>
      </c>
      <c r="E118" s="1">
        <v>0</v>
      </c>
      <c r="F118" s="1">
        <v>26539.51</v>
      </c>
      <c r="G118" s="1">
        <v>0</v>
      </c>
      <c r="H118" s="1">
        <v>0</v>
      </c>
      <c r="I118" s="1">
        <v>210263</v>
      </c>
      <c r="J118" s="1">
        <f t="shared" si="5"/>
        <v>10513.15</v>
      </c>
      <c r="K118" s="1">
        <v>0</v>
      </c>
      <c r="L118" s="11">
        <f t="shared" ref="L118:L149" si="7">MAX((D118-F118-G118-J118),0)</f>
        <v>3469.0200000000023</v>
      </c>
    </row>
    <row r="119" spans="1:12" x14ac:dyDescent="0.25">
      <c r="A119">
        <v>378</v>
      </c>
      <c r="B119">
        <v>1</v>
      </c>
      <c r="C119" t="s">
        <v>308</v>
      </c>
      <c r="D119" s="1">
        <v>120663.82</v>
      </c>
      <c r="E119" s="1">
        <v>0</v>
      </c>
      <c r="F119" s="1">
        <v>39041.08</v>
      </c>
      <c r="G119" s="1">
        <v>31738.81</v>
      </c>
      <c r="H119" s="1">
        <v>0</v>
      </c>
      <c r="I119" s="1">
        <v>345656</v>
      </c>
      <c r="J119" s="1">
        <f t="shared" si="5"/>
        <v>17282.8</v>
      </c>
      <c r="K119" s="1">
        <v>0</v>
      </c>
      <c r="L119" s="11">
        <f t="shared" si="7"/>
        <v>32601.130000000008</v>
      </c>
    </row>
    <row r="120" spans="1:12" x14ac:dyDescent="0.25">
      <c r="A120">
        <v>381</v>
      </c>
      <c r="B120">
        <v>1</v>
      </c>
      <c r="C120" t="s">
        <v>307</v>
      </c>
      <c r="D120" s="1">
        <v>482433.05</v>
      </c>
      <c r="E120" s="1">
        <v>23674695.27</v>
      </c>
      <c r="F120" s="1">
        <v>18243.91</v>
      </c>
      <c r="G120" s="1">
        <v>84758.44</v>
      </c>
      <c r="H120" s="1">
        <v>0</v>
      </c>
      <c r="I120" s="1">
        <f>152144+2749315</f>
        <v>2901459</v>
      </c>
      <c r="J120" s="1">
        <f t="shared" si="5"/>
        <v>145072.95000000001</v>
      </c>
      <c r="K120" s="1">
        <v>0</v>
      </c>
      <c r="L120" s="11">
        <f t="shared" si="7"/>
        <v>234357.75</v>
      </c>
    </row>
    <row r="121" spans="1:12" x14ac:dyDescent="0.25">
      <c r="A121">
        <v>390</v>
      </c>
      <c r="B121">
        <v>1</v>
      </c>
      <c r="C121" t="s">
        <v>218</v>
      </c>
      <c r="D121" s="1">
        <v>90134.1</v>
      </c>
      <c r="E121" s="1">
        <v>0</v>
      </c>
      <c r="F121" s="1">
        <v>0</v>
      </c>
      <c r="G121" s="1">
        <v>19845.32</v>
      </c>
      <c r="H121" s="1">
        <v>0</v>
      </c>
      <c r="I121" s="1">
        <v>1185120</v>
      </c>
      <c r="J121" s="1">
        <f t="shared" si="5"/>
        <v>59256</v>
      </c>
      <c r="K121" s="1">
        <v>0</v>
      </c>
      <c r="L121" s="11">
        <f t="shared" si="7"/>
        <v>11032.779999999999</v>
      </c>
    </row>
    <row r="122" spans="1:12" x14ac:dyDescent="0.25">
      <c r="A122">
        <v>391</v>
      </c>
      <c r="B122">
        <v>1</v>
      </c>
      <c r="C122" t="s">
        <v>79</v>
      </c>
      <c r="D122" s="1">
        <v>0</v>
      </c>
      <c r="E122" s="1">
        <v>0</v>
      </c>
      <c r="F122" s="1">
        <v>41857.480000000003</v>
      </c>
      <c r="G122" s="1">
        <v>0</v>
      </c>
      <c r="H122" s="1">
        <v>0</v>
      </c>
      <c r="I122" s="1">
        <v>0</v>
      </c>
      <c r="J122" s="1">
        <f t="shared" si="5"/>
        <v>0</v>
      </c>
      <c r="K122" s="1">
        <v>0</v>
      </c>
      <c r="L122" s="11">
        <f t="shared" si="7"/>
        <v>0</v>
      </c>
    </row>
    <row r="123" spans="1:12" x14ac:dyDescent="0.25">
      <c r="A123">
        <v>402</v>
      </c>
      <c r="B123">
        <v>1</v>
      </c>
      <c r="C123" t="s">
        <v>80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f t="shared" si="5"/>
        <v>0</v>
      </c>
      <c r="K123" s="1">
        <v>0</v>
      </c>
      <c r="L123" s="11">
        <f t="shared" si="7"/>
        <v>0</v>
      </c>
    </row>
    <row r="124" spans="1:12" x14ac:dyDescent="0.25">
      <c r="A124">
        <v>403</v>
      </c>
      <c r="B124">
        <v>1</v>
      </c>
      <c r="C124" t="s">
        <v>81</v>
      </c>
      <c r="D124" s="1">
        <v>105821</v>
      </c>
      <c r="E124" s="1">
        <v>0</v>
      </c>
      <c r="F124" s="1">
        <v>4024.87</v>
      </c>
      <c r="G124" s="1">
        <v>37703.660000000003</v>
      </c>
      <c r="H124" s="1">
        <v>0</v>
      </c>
      <c r="I124" s="1">
        <v>663730</v>
      </c>
      <c r="J124" s="1">
        <f t="shared" si="5"/>
        <v>33186.5</v>
      </c>
      <c r="K124" s="1">
        <v>0</v>
      </c>
      <c r="L124" s="11">
        <f t="shared" si="7"/>
        <v>30905.97</v>
      </c>
    </row>
    <row r="125" spans="1:12" x14ac:dyDescent="0.25">
      <c r="A125">
        <v>404</v>
      </c>
      <c r="B125">
        <v>1</v>
      </c>
      <c r="C125" t="s">
        <v>82</v>
      </c>
      <c r="D125" s="1">
        <v>58517.7</v>
      </c>
      <c r="E125" s="1">
        <v>0</v>
      </c>
      <c r="F125" s="1">
        <v>13348.63</v>
      </c>
      <c r="G125" s="1">
        <v>15663.89</v>
      </c>
      <c r="H125" s="1">
        <v>0</v>
      </c>
      <c r="I125" s="1">
        <v>292336</v>
      </c>
      <c r="J125" s="1">
        <f t="shared" si="5"/>
        <v>14616.8</v>
      </c>
      <c r="K125" s="1">
        <v>0</v>
      </c>
      <c r="L125" s="11">
        <f t="shared" si="7"/>
        <v>14888.380000000001</v>
      </c>
    </row>
    <row r="126" spans="1:12" x14ac:dyDescent="0.25">
      <c r="A126">
        <v>413</v>
      </c>
      <c r="B126">
        <v>1</v>
      </c>
      <c r="C126" t="s">
        <v>83</v>
      </c>
      <c r="D126" s="1">
        <v>404969.11</v>
      </c>
      <c r="E126" s="1">
        <v>0</v>
      </c>
      <c r="F126" s="1">
        <v>130000</v>
      </c>
      <c r="G126" s="1">
        <v>0</v>
      </c>
      <c r="H126" s="1">
        <v>0</v>
      </c>
      <c r="I126" s="1">
        <v>3025007</v>
      </c>
      <c r="J126" s="1">
        <f t="shared" si="5"/>
        <v>151250.35</v>
      </c>
      <c r="K126" s="1">
        <v>0</v>
      </c>
      <c r="L126" s="11">
        <f t="shared" si="7"/>
        <v>123718.75999999998</v>
      </c>
    </row>
    <row r="127" spans="1:12" x14ac:dyDescent="0.25">
      <c r="A127">
        <v>414</v>
      </c>
      <c r="B127">
        <v>1</v>
      </c>
      <c r="C127" t="s">
        <v>84</v>
      </c>
      <c r="D127" s="1">
        <v>26762.83</v>
      </c>
      <c r="E127" s="1">
        <v>0</v>
      </c>
      <c r="F127" s="1">
        <v>0</v>
      </c>
      <c r="G127" s="1">
        <v>0</v>
      </c>
      <c r="H127" s="1">
        <v>0</v>
      </c>
      <c r="I127" s="1">
        <v>526224</v>
      </c>
      <c r="J127" s="1">
        <f t="shared" si="5"/>
        <v>26311.200000000001</v>
      </c>
      <c r="K127" s="1">
        <v>0</v>
      </c>
      <c r="L127" s="11">
        <f t="shared" si="7"/>
        <v>451.63000000000102</v>
      </c>
    </row>
    <row r="128" spans="1:12" x14ac:dyDescent="0.25">
      <c r="A128">
        <v>415</v>
      </c>
      <c r="B128">
        <v>1</v>
      </c>
      <c r="C128" t="s">
        <v>85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f t="shared" si="5"/>
        <v>0</v>
      </c>
      <c r="K128" s="1">
        <v>0</v>
      </c>
      <c r="L128" s="11">
        <f t="shared" si="7"/>
        <v>0</v>
      </c>
    </row>
    <row r="129" spans="1:12" x14ac:dyDescent="0.25">
      <c r="A129">
        <v>423</v>
      </c>
      <c r="B129">
        <v>1</v>
      </c>
      <c r="C129" t="s">
        <v>86</v>
      </c>
      <c r="D129" s="1">
        <v>243691.85</v>
      </c>
      <c r="E129" s="1">
        <v>0</v>
      </c>
      <c r="F129" s="1">
        <v>65890.23</v>
      </c>
      <c r="G129" s="1">
        <v>56347.62</v>
      </c>
      <c r="H129" s="1">
        <v>0</v>
      </c>
      <c r="I129" s="1">
        <v>1147204</v>
      </c>
      <c r="J129" s="1">
        <f t="shared" si="5"/>
        <v>57360.2</v>
      </c>
      <c r="K129" s="1">
        <v>0</v>
      </c>
      <c r="L129" s="11">
        <f t="shared" si="7"/>
        <v>64093.8</v>
      </c>
    </row>
    <row r="130" spans="1:12" x14ac:dyDescent="0.25">
      <c r="A130">
        <v>424</v>
      </c>
      <c r="B130">
        <v>1</v>
      </c>
      <c r="C130" t="s">
        <v>306</v>
      </c>
      <c r="D130" s="1">
        <v>18990.23</v>
      </c>
      <c r="E130" s="1">
        <v>0</v>
      </c>
      <c r="F130" s="1">
        <v>5536.41</v>
      </c>
      <c r="G130" s="1">
        <v>0</v>
      </c>
      <c r="H130" s="1">
        <v>0</v>
      </c>
      <c r="I130" s="1">
        <v>315814</v>
      </c>
      <c r="J130" s="1">
        <f t="shared" si="5"/>
        <v>15790.7</v>
      </c>
      <c r="K130" s="1">
        <v>0</v>
      </c>
      <c r="L130" s="11">
        <f t="shared" si="7"/>
        <v>0</v>
      </c>
    </row>
    <row r="131" spans="1:12" x14ac:dyDescent="0.25">
      <c r="A131">
        <v>432</v>
      </c>
      <c r="B131">
        <v>1</v>
      </c>
      <c r="C131" t="s">
        <v>87</v>
      </c>
      <c r="D131" s="1">
        <v>15145.18</v>
      </c>
      <c r="E131" s="1">
        <v>-0.38</v>
      </c>
      <c r="F131" s="1">
        <v>0</v>
      </c>
      <c r="G131" s="1">
        <v>0</v>
      </c>
      <c r="H131" s="1">
        <v>0</v>
      </c>
      <c r="I131" s="1">
        <v>366923</v>
      </c>
      <c r="J131" s="1">
        <f t="shared" si="5"/>
        <v>18346.150000000001</v>
      </c>
      <c r="K131" s="1">
        <v>0</v>
      </c>
      <c r="L131" s="11">
        <f t="shared" si="7"/>
        <v>0</v>
      </c>
    </row>
    <row r="132" spans="1:12" x14ac:dyDescent="0.25">
      <c r="A132">
        <v>435</v>
      </c>
      <c r="B132">
        <v>1</v>
      </c>
      <c r="C132" t="s">
        <v>88</v>
      </c>
      <c r="D132" s="1">
        <v>232035.21</v>
      </c>
      <c r="E132" s="1">
        <v>8140973.04</v>
      </c>
      <c r="F132" s="1">
        <v>81281.25</v>
      </c>
      <c r="G132" s="1">
        <v>71363.47</v>
      </c>
      <c r="H132" s="1">
        <v>0</v>
      </c>
      <c r="I132" s="1">
        <v>785349</v>
      </c>
      <c r="J132" s="1">
        <f t="shared" si="5"/>
        <v>39267.449999999997</v>
      </c>
      <c r="K132" s="1">
        <v>0</v>
      </c>
      <c r="L132" s="11">
        <f t="shared" si="7"/>
        <v>40123.039999999994</v>
      </c>
    </row>
    <row r="133" spans="1:12" x14ac:dyDescent="0.25">
      <c r="A133">
        <v>441</v>
      </c>
      <c r="B133">
        <v>1</v>
      </c>
      <c r="C133" t="s">
        <v>219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f t="shared" si="5"/>
        <v>0</v>
      </c>
      <c r="K133" s="1">
        <v>0</v>
      </c>
      <c r="L133" s="11">
        <f t="shared" si="7"/>
        <v>0</v>
      </c>
    </row>
    <row r="134" spans="1:12" x14ac:dyDescent="0.25">
      <c r="A134">
        <v>447</v>
      </c>
      <c r="B134">
        <v>1</v>
      </c>
      <c r="C134" t="s">
        <v>89</v>
      </c>
      <c r="D134" s="1">
        <v>16954.23</v>
      </c>
      <c r="E134" s="1">
        <v>0</v>
      </c>
      <c r="F134" s="1">
        <v>4917.43</v>
      </c>
      <c r="G134" s="1">
        <v>1626.24</v>
      </c>
      <c r="H134" s="1">
        <v>0</v>
      </c>
      <c r="I134" s="1">
        <v>97477</v>
      </c>
      <c r="J134" s="1">
        <f t="shared" ref="J134:J197" si="8">ROUND(I134/20,2)</f>
        <v>4873.8500000000004</v>
      </c>
      <c r="K134" s="1">
        <v>0</v>
      </c>
      <c r="L134" s="11">
        <f t="shared" si="7"/>
        <v>5536.7099999999991</v>
      </c>
    </row>
    <row r="135" spans="1:12" x14ac:dyDescent="0.25">
      <c r="A135">
        <v>458</v>
      </c>
      <c r="B135">
        <v>1</v>
      </c>
      <c r="C135" t="s">
        <v>339</v>
      </c>
      <c r="D135" s="1">
        <v>8950.31</v>
      </c>
      <c r="E135" s="1">
        <v>0</v>
      </c>
      <c r="F135" s="1">
        <v>0</v>
      </c>
      <c r="G135" s="1">
        <v>0</v>
      </c>
      <c r="H135" s="1">
        <v>0</v>
      </c>
      <c r="I135" s="1">
        <v>99160</v>
      </c>
      <c r="J135" s="1">
        <f t="shared" si="8"/>
        <v>4958</v>
      </c>
      <c r="K135" s="1">
        <v>0</v>
      </c>
      <c r="L135" s="11">
        <f t="shared" si="7"/>
        <v>3992.3099999999995</v>
      </c>
    </row>
    <row r="136" spans="1:12" x14ac:dyDescent="0.25">
      <c r="A136">
        <v>463</v>
      </c>
      <c r="B136">
        <v>1</v>
      </c>
      <c r="C136" t="s">
        <v>220</v>
      </c>
      <c r="D136" s="1">
        <v>220688.15</v>
      </c>
      <c r="E136" s="1">
        <v>0</v>
      </c>
      <c r="F136" s="1">
        <v>8292.86</v>
      </c>
      <c r="G136" s="1">
        <v>21647.08</v>
      </c>
      <c r="H136" s="1">
        <v>0</v>
      </c>
      <c r="I136" s="1">
        <v>1502652</v>
      </c>
      <c r="J136" s="1">
        <f t="shared" si="8"/>
        <v>75132.600000000006</v>
      </c>
      <c r="K136" s="1">
        <v>0</v>
      </c>
      <c r="L136" s="11">
        <f t="shared" si="7"/>
        <v>115615.60999999996</v>
      </c>
    </row>
    <row r="137" spans="1:12" x14ac:dyDescent="0.25">
      <c r="A137">
        <v>465</v>
      </c>
      <c r="B137">
        <v>1</v>
      </c>
      <c r="C137" t="s">
        <v>90</v>
      </c>
      <c r="D137" s="1">
        <v>275425.71999999997</v>
      </c>
      <c r="E137" s="1">
        <v>0</v>
      </c>
      <c r="F137" s="1">
        <v>75427.8</v>
      </c>
      <c r="G137" s="1">
        <v>53741.55</v>
      </c>
      <c r="H137" s="1">
        <v>0</v>
      </c>
      <c r="I137" s="1">
        <v>1551135</v>
      </c>
      <c r="J137" s="1">
        <f t="shared" si="8"/>
        <v>77556.75</v>
      </c>
      <c r="K137" s="1">
        <v>0</v>
      </c>
      <c r="L137" s="11">
        <f t="shared" si="7"/>
        <v>68699.62</v>
      </c>
    </row>
    <row r="138" spans="1:12" x14ac:dyDescent="0.25">
      <c r="A138">
        <v>466</v>
      </c>
      <c r="B138">
        <v>1</v>
      </c>
      <c r="C138" t="s">
        <v>318</v>
      </c>
      <c r="D138" s="1">
        <v>391129.29</v>
      </c>
      <c r="E138" s="1">
        <v>7646539.3399999999</v>
      </c>
      <c r="F138" s="1">
        <v>100315.69</v>
      </c>
      <c r="G138" s="1">
        <v>128337.45</v>
      </c>
      <c r="H138" s="1">
        <v>0</v>
      </c>
      <c r="I138" s="1">
        <v>1283807</v>
      </c>
      <c r="J138" s="1">
        <f t="shared" si="8"/>
        <v>64190.35</v>
      </c>
      <c r="K138" s="1">
        <v>0</v>
      </c>
      <c r="L138" s="11">
        <f t="shared" si="7"/>
        <v>98285.799999999959</v>
      </c>
    </row>
    <row r="139" spans="1:12" x14ac:dyDescent="0.25">
      <c r="A139">
        <v>473</v>
      </c>
      <c r="B139">
        <v>1</v>
      </c>
      <c r="C139" t="s">
        <v>91</v>
      </c>
      <c r="D139" s="1">
        <v>144490.54</v>
      </c>
      <c r="E139" s="1">
        <v>0</v>
      </c>
      <c r="F139" s="1">
        <v>47835.39</v>
      </c>
      <c r="G139" s="1">
        <v>31492.31</v>
      </c>
      <c r="H139" s="1">
        <v>0</v>
      </c>
      <c r="I139" s="1">
        <v>698040</v>
      </c>
      <c r="J139" s="1">
        <f t="shared" si="8"/>
        <v>34902</v>
      </c>
      <c r="K139" s="1">
        <v>0</v>
      </c>
      <c r="L139" s="11">
        <f t="shared" si="7"/>
        <v>30260.840000000011</v>
      </c>
    </row>
    <row r="140" spans="1:12" x14ac:dyDescent="0.25">
      <c r="A140">
        <v>477</v>
      </c>
      <c r="B140">
        <v>1</v>
      </c>
      <c r="C140" t="s">
        <v>92</v>
      </c>
      <c r="D140" s="1">
        <v>431390.47</v>
      </c>
      <c r="E140" s="1">
        <v>0</v>
      </c>
      <c r="F140" s="1">
        <v>94363.79</v>
      </c>
      <c r="G140" s="1">
        <v>76131.929999999993</v>
      </c>
      <c r="H140" s="1">
        <v>0</v>
      </c>
      <c r="I140" s="1">
        <v>2719128</v>
      </c>
      <c r="J140" s="1">
        <f t="shared" si="8"/>
        <v>135956.4</v>
      </c>
      <c r="K140" s="1">
        <v>0</v>
      </c>
      <c r="L140" s="11">
        <f t="shared" si="7"/>
        <v>124938.35</v>
      </c>
    </row>
    <row r="141" spans="1:12" x14ac:dyDescent="0.25">
      <c r="A141">
        <v>480</v>
      </c>
      <c r="B141">
        <v>1</v>
      </c>
      <c r="C141" t="s">
        <v>93</v>
      </c>
      <c r="D141" s="1">
        <v>161018.23000000001</v>
      </c>
      <c r="E141" s="1">
        <v>0</v>
      </c>
      <c r="F141" s="1">
        <v>80134.789999999994</v>
      </c>
      <c r="G141" s="1">
        <v>130397.8</v>
      </c>
      <c r="H141" s="1">
        <v>0</v>
      </c>
      <c r="I141" s="1">
        <v>45984</v>
      </c>
      <c r="J141" s="1">
        <f t="shared" si="8"/>
        <v>2299.1999999999998</v>
      </c>
      <c r="K141" s="1">
        <v>0</v>
      </c>
      <c r="L141" s="11">
        <f t="shared" si="7"/>
        <v>0</v>
      </c>
    </row>
    <row r="142" spans="1:12" x14ac:dyDescent="0.25">
      <c r="A142">
        <v>482</v>
      </c>
      <c r="B142">
        <v>1</v>
      </c>
      <c r="C142" t="s">
        <v>94</v>
      </c>
      <c r="D142" s="1">
        <v>49162.77</v>
      </c>
      <c r="E142" s="1">
        <v>0</v>
      </c>
      <c r="F142" s="1">
        <v>27871.439999999999</v>
      </c>
      <c r="G142" s="1">
        <v>0</v>
      </c>
      <c r="H142" s="1">
        <v>0</v>
      </c>
      <c r="I142" s="1">
        <v>793019</v>
      </c>
      <c r="J142" s="1">
        <f t="shared" si="8"/>
        <v>39650.949999999997</v>
      </c>
      <c r="K142" s="1">
        <v>0</v>
      </c>
      <c r="L142" s="11">
        <f t="shared" si="7"/>
        <v>0</v>
      </c>
    </row>
    <row r="143" spans="1:12" x14ac:dyDescent="0.25">
      <c r="A143">
        <v>484</v>
      </c>
      <c r="B143">
        <v>1</v>
      </c>
      <c r="C143" t="s">
        <v>95</v>
      </c>
      <c r="D143" s="1">
        <v>106025.21</v>
      </c>
      <c r="E143" s="1">
        <v>0</v>
      </c>
      <c r="F143" s="1">
        <v>20545.099999999999</v>
      </c>
      <c r="G143" s="1">
        <v>32517.27</v>
      </c>
      <c r="H143" s="1">
        <v>0</v>
      </c>
      <c r="I143" s="1">
        <v>379890</v>
      </c>
      <c r="J143" s="1">
        <f t="shared" si="8"/>
        <v>18994.5</v>
      </c>
      <c r="K143" s="1">
        <v>0</v>
      </c>
      <c r="L143" s="11">
        <f t="shared" si="7"/>
        <v>33968.340000000011</v>
      </c>
    </row>
    <row r="144" spans="1:12" x14ac:dyDescent="0.25">
      <c r="A144">
        <v>485</v>
      </c>
      <c r="B144">
        <v>1</v>
      </c>
      <c r="C144" t="s">
        <v>96</v>
      </c>
      <c r="D144" s="1">
        <v>155873.51</v>
      </c>
      <c r="E144" s="1">
        <v>0</v>
      </c>
      <c r="F144" s="1">
        <v>85310.84</v>
      </c>
      <c r="G144" s="1">
        <v>0</v>
      </c>
      <c r="H144" s="1">
        <v>0</v>
      </c>
      <c r="I144" s="1">
        <v>832650</v>
      </c>
      <c r="J144" s="1">
        <f t="shared" si="8"/>
        <v>41632.5</v>
      </c>
      <c r="K144" s="1">
        <v>0</v>
      </c>
      <c r="L144" s="11">
        <f t="shared" si="7"/>
        <v>28930.170000000013</v>
      </c>
    </row>
    <row r="145" spans="1:12" x14ac:dyDescent="0.25">
      <c r="A145">
        <v>486</v>
      </c>
      <c r="B145">
        <v>1</v>
      </c>
      <c r="C145" t="s">
        <v>97</v>
      </c>
      <c r="D145" s="1">
        <v>85029.55</v>
      </c>
      <c r="E145" s="1">
        <v>0</v>
      </c>
      <c r="F145" s="1">
        <v>20032.46</v>
      </c>
      <c r="G145" s="1">
        <v>22705.84</v>
      </c>
      <c r="H145" s="1">
        <v>0</v>
      </c>
      <c r="I145" s="1">
        <v>491885</v>
      </c>
      <c r="J145" s="1">
        <f t="shared" si="8"/>
        <v>24594.25</v>
      </c>
      <c r="K145" s="1">
        <v>0</v>
      </c>
      <c r="L145" s="11">
        <f t="shared" si="7"/>
        <v>17697</v>
      </c>
    </row>
    <row r="146" spans="1:12" x14ac:dyDescent="0.25">
      <c r="A146">
        <v>487</v>
      </c>
      <c r="B146">
        <v>1</v>
      </c>
      <c r="C146" t="s">
        <v>98</v>
      </c>
      <c r="D146" s="1">
        <v>204621.53</v>
      </c>
      <c r="E146" s="1">
        <v>8560121</v>
      </c>
      <c r="F146" s="1">
        <v>40479.25</v>
      </c>
      <c r="G146" s="1">
        <v>44154.47</v>
      </c>
      <c r="H146" s="1">
        <v>0</v>
      </c>
      <c r="I146" s="1">
        <v>825650</v>
      </c>
      <c r="J146" s="1">
        <f t="shared" si="8"/>
        <v>41282.5</v>
      </c>
      <c r="K146" s="1">
        <v>0</v>
      </c>
      <c r="L146" s="11">
        <f t="shared" si="7"/>
        <v>78705.31</v>
      </c>
    </row>
    <row r="147" spans="1:12" x14ac:dyDescent="0.25">
      <c r="A147">
        <v>492</v>
      </c>
      <c r="B147">
        <v>1</v>
      </c>
      <c r="C147" t="s">
        <v>99</v>
      </c>
      <c r="D147" s="1">
        <v>714718.62</v>
      </c>
      <c r="E147" s="1">
        <v>1701213.24</v>
      </c>
      <c r="F147" s="1">
        <v>10638.83</v>
      </c>
      <c r="G147" s="1">
        <v>8935.7999999999993</v>
      </c>
      <c r="H147" s="1">
        <v>0</v>
      </c>
      <c r="I147" s="1">
        <v>2768511</v>
      </c>
      <c r="J147" s="1">
        <f t="shared" si="8"/>
        <v>138425.54999999999</v>
      </c>
      <c r="K147" s="1">
        <v>0</v>
      </c>
      <c r="L147" s="11">
        <f t="shared" si="7"/>
        <v>556718.43999999994</v>
      </c>
    </row>
    <row r="148" spans="1:12" x14ac:dyDescent="0.25">
      <c r="A148">
        <v>495</v>
      </c>
      <c r="B148">
        <v>1</v>
      </c>
      <c r="C148" t="s">
        <v>305</v>
      </c>
      <c r="D148" s="1">
        <v>114800.42</v>
      </c>
      <c r="E148" s="1">
        <v>0</v>
      </c>
      <c r="F148" s="1">
        <v>27083.759999999998</v>
      </c>
      <c r="G148" s="1">
        <v>32665.49</v>
      </c>
      <c r="H148" s="1">
        <v>0</v>
      </c>
      <c r="I148" s="1">
        <v>602221</v>
      </c>
      <c r="J148" s="1">
        <f t="shared" si="8"/>
        <v>30111.05</v>
      </c>
      <c r="K148" s="1">
        <v>0</v>
      </c>
      <c r="L148" s="11">
        <f t="shared" si="7"/>
        <v>24940.12</v>
      </c>
    </row>
    <row r="149" spans="1:12" x14ac:dyDescent="0.25">
      <c r="A149">
        <v>497</v>
      </c>
      <c r="B149">
        <v>1</v>
      </c>
      <c r="C149" t="s">
        <v>100</v>
      </c>
      <c r="D149" s="1">
        <v>108414.13</v>
      </c>
      <c r="E149" s="1">
        <v>0</v>
      </c>
      <c r="F149" s="1">
        <v>27793.26</v>
      </c>
      <c r="G149" s="1">
        <v>30583.33</v>
      </c>
      <c r="H149" s="1">
        <v>0</v>
      </c>
      <c r="I149" s="1">
        <v>559980</v>
      </c>
      <c r="J149" s="1">
        <f t="shared" si="8"/>
        <v>27999</v>
      </c>
      <c r="K149" s="1">
        <v>0</v>
      </c>
      <c r="L149" s="11">
        <f t="shared" si="7"/>
        <v>22038.540000000008</v>
      </c>
    </row>
    <row r="150" spans="1:12" x14ac:dyDescent="0.25">
      <c r="A150">
        <v>499</v>
      </c>
      <c r="B150">
        <v>1</v>
      </c>
      <c r="C150" t="s">
        <v>101</v>
      </c>
      <c r="D150" s="1">
        <v>63525.25</v>
      </c>
      <c r="E150" s="1">
        <v>0</v>
      </c>
      <c r="F150" s="1">
        <v>11420.75</v>
      </c>
      <c r="G150" s="1">
        <v>29044.84</v>
      </c>
      <c r="H150" s="1">
        <v>0</v>
      </c>
      <c r="I150" s="1">
        <v>227115</v>
      </c>
      <c r="J150" s="1">
        <f t="shared" si="8"/>
        <v>11355.75</v>
      </c>
      <c r="K150" s="1">
        <v>0</v>
      </c>
      <c r="L150" s="11">
        <f t="shared" ref="L150:L181" si="9">MAX((D150-F150-G150-J150),0)</f>
        <v>11703.91</v>
      </c>
    </row>
    <row r="151" spans="1:12" x14ac:dyDescent="0.25">
      <c r="A151">
        <v>500</v>
      </c>
      <c r="B151">
        <v>1</v>
      </c>
      <c r="C151" t="s">
        <v>102</v>
      </c>
      <c r="D151" s="1">
        <v>33239.99</v>
      </c>
      <c r="E151" s="1">
        <v>0</v>
      </c>
      <c r="F151" s="1">
        <v>8310.75</v>
      </c>
      <c r="G151" s="1">
        <v>8481.7099999999991</v>
      </c>
      <c r="H151" s="1">
        <v>0</v>
      </c>
      <c r="I151" s="1">
        <v>157351</v>
      </c>
      <c r="J151" s="1">
        <f t="shared" si="8"/>
        <v>7867.55</v>
      </c>
      <c r="K151" s="1">
        <v>0</v>
      </c>
      <c r="L151" s="11">
        <f t="shared" si="9"/>
        <v>8579.98</v>
      </c>
    </row>
    <row r="152" spans="1:12" x14ac:dyDescent="0.25">
      <c r="A152">
        <v>505</v>
      </c>
      <c r="B152">
        <v>1</v>
      </c>
      <c r="C152" t="s">
        <v>103</v>
      </c>
      <c r="D152" s="1">
        <v>0</v>
      </c>
      <c r="E152" s="1">
        <v>0</v>
      </c>
      <c r="F152" s="1">
        <v>41798.92</v>
      </c>
      <c r="G152" s="1">
        <v>0</v>
      </c>
      <c r="H152" s="1">
        <v>0</v>
      </c>
      <c r="I152" s="1">
        <v>0</v>
      </c>
      <c r="J152" s="1">
        <f t="shared" si="8"/>
        <v>0</v>
      </c>
      <c r="K152" s="1">
        <v>0</v>
      </c>
      <c r="L152" s="11">
        <f t="shared" si="9"/>
        <v>0</v>
      </c>
    </row>
    <row r="153" spans="1:12" x14ac:dyDescent="0.25">
      <c r="A153">
        <v>507</v>
      </c>
      <c r="B153">
        <v>1</v>
      </c>
      <c r="C153" t="s">
        <v>104</v>
      </c>
      <c r="D153" s="1">
        <v>134823.29999999999</v>
      </c>
      <c r="E153" s="1">
        <v>6281523.79</v>
      </c>
      <c r="F153" s="1">
        <v>28836.22</v>
      </c>
      <c r="G153" s="1">
        <v>33180.36</v>
      </c>
      <c r="H153" s="1">
        <v>0</v>
      </c>
      <c r="I153" s="1">
        <v>1224365</v>
      </c>
      <c r="J153" s="1">
        <f t="shared" si="8"/>
        <v>61218.25</v>
      </c>
      <c r="K153" s="1">
        <v>0</v>
      </c>
      <c r="L153" s="11">
        <f t="shared" si="9"/>
        <v>11588.469999999987</v>
      </c>
    </row>
    <row r="154" spans="1:12" x14ac:dyDescent="0.25">
      <c r="A154">
        <v>508</v>
      </c>
      <c r="B154">
        <v>1</v>
      </c>
      <c r="C154" t="s">
        <v>105</v>
      </c>
      <c r="D154" s="1">
        <v>61318.7</v>
      </c>
      <c r="E154" s="1">
        <v>0</v>
      </c>
      <c r="F154" s="1">
        <v>33102.6</v>
      </c>
      <c r="G154" s="1">
        <v>10951.23</v>
      </c>
      <c r="H154" s="1">
        <v>0</v>
      </c>
      <c r="I154" s="1">
        <v>143407</v>
      </c>
      <c r="J154" s="1">
        <f t="shared" si="8"/>
        <v>7170.35</v>
      </c>
      <c r="K154" s="1">
        <v>0</v>
      </c>
      <c r="L154" s="11">
        <f t="shared" si="9"/>
        <v>10094.519999999999</v>
      </c>
    </row>
    <row r="155" spans="1:12" x14ac:dyDescent="0.25">
      <c r="A155">
        <v>511</v>
      </c>
      <c r="B155">
        <v>1</v>
      </c>
      <c r="C155" t="s">
        <v>106</v>
      </c>
      <c r="D155" s="1">
        <v>272053.62</v>
      </c>
      <c r="E155" s="1">
        <v>0</v>
      </c>
      <c r="F155" s="1">
        <v>109839.3</v>
      </c>
      <c r="G155" s="1">
        <v>101100.05</v>
      </c>
      <c r="H155" s="1">
        <v>0</v>
      </c>
      <c r="I155" s="1">
        <v>607177</v>
      </c>
      <c r="J155" s="1">
        <f t="shared" si="8"/>
        <v>30358.85</v>
      </c>
      <c r="K155" s="1">
        <v>0</v>
      </c>
      <c r="L155" s="11">
        <f t="shared" si="9"/>
        <v>30755.420000000006</v>
      </c>
    </row>
    <row r="156" spans="1:12" x14ac:dyDescent="0.25">
      <c r="A156">
        <v>514</v>
      </c>
      <c r="B156">
        <v>1</v>
      </c>
      <c r="C156" t="s">
        <v>107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f t="shared" si="8"/>
        <v>0</v>
      </c>
      <c r="K156" s="1">
        <v>0</v>
      </c>
      <c r="L156" s="11">
        <f t="shared" si="9"/>
        <v>0</v>
      </c>
    </row>
    <row r="157" spans="1:12" x14ac:dyDescent="0.25">
      <c r="A157">
        <v>518</v>
      </c>
      <c r="B157">
        <v>1</v>
      </c>
      <c r="C157" t="s">
        <v>304</v>
      </c>
      <c r="D157" s="1">
        <v>486449.87</v>
      </c>
      <c r="E157" s="1">
        <v>0</v>
      </c>
      <c r="F157" s="1">
        <v>0</v>
      </c>
      <c r="G157" s="1">
        <v>227183.25</v>
      </c>
      <c r="H157" s="1">
        <v>0</v>
      </c>
      <c r="I157" s="1">
        <v>2313985</v>
      </c>
      <c r="J157" s="1">
        <f t="shared" si="8"/>
        <v>115699.25</v>
      </c>
      <c r="K157" s="1">
        <v>0</v>
      </c>
      <c r="L157" s="11">
        <f t="shared" si="9"/>
        <v>143567.37</v>
      </c>
    </row>
    <row r="158" spans="1:12" x14ac:dyDescent="0.25">
      <c r="A158">
        <v>531</v>
      </c>
      <c r="B158">
        <v>1</v>
      </c>
      <c r="C158" t="s">
        <v>108</v>
      </c>
      <c r="D158" s="1">
        <v>1592218.22</v>
      </c>
      <c r="E158" s="1">
        <v>23947253.77</v>
      </c>
      <c r="F158" s="1">
        <v>78763.88</v>
      </c>
      <c r="G158" s="1">
        <v>120768.25</v>
      </c>
      <c r="H158" s="1">
        <v>0</v>
      </c>
      <c r="I158" s="1">
        <v>1903091</v>
      </c>
      <c r="J158" s="1">
        <f t="shared" si="8"/>
        <v>95154.55</v>
      </c>
      <c r="K158" s="1">
        <v>0</v>
      </c>
      <c r="L158" s="11">
        <f t="shared" si="9"/>
        <v>1297531.5399999998</v>
      </c>
    </row>
    <row r="159" spans="1:12" x14ac:dyDescent="0.25">
      <c r="A159">
        <v>533</v>
      </c>
      <c r="B159">
        <v>1</v>
      </c>
      <c r="C159" t="s">
        <v>109</v>
      </c>
      <c r="D159" s="1">
        <v>312670.81</v>
      </c>
      <c r="E159" s="1">
        <v>0</v>
      </c>
      <c r="F159" s="1">
        <v>82267.87</v>
      </c>
      <c r="G159" s="1">
        <v>79926.55</v>
      </c>
      <c r="H159" s="1">
        <v>0</v>
      </c>
      <c r="I159" s="1">
        <v>1356227</v>
      </c>
      <c r="J159" s="1">
        <f t="shared" si="8"/>
        <v>67811.350000000006</v>
      </c>
      <c r="K159" s="1">
        <v>0</v>
      </c>
      <c r="L159" s="11">
        <f t="shared" si="9"/>
        <v>82665.040000000008</v>
      </c>
    </row>
    <row r="160" spans="1:12" x14ac:dyDescent="0.25">
      <c r="A160">
        <v>534</v>
      </c>
      <c r="B160">
        <v>1</v>
      </c>
      <c r="C160" t="s">
        <v>110</v>
      </c>
      <c r="D160" s="1">
        <v>200607.79</v>
      </c>
      <c r="E160" s="1">
        <v>0</v>
      </c>
      <c r="F160" s="1">
        <v>0</v>
      </c>
      <c r="G160" s="1">
        <v>55223.040000000001</v>
      </c>
      <c r="H160" s="1">
        <v>0</v>
      </c>
      <c r="I160" s="1">
        <v>1633662</v>
      </c>
      <c r="J160" s="1">
        <f t="shared" si="8"/>
        <v>81683.100000000006</v>
      </c>
      <c r="K160" s="1">
        <v>0</v>
      </c>
      <c r="L160" s="11">
        <f t="shared" si="9"/>
        <v>63701.649999999994</v>
      </c>
    </row>
    <row r="161" spans="1:12" x14ac:dyDescent="0.25">
      <c r="A161">
        <v>535</v>
      </c>
      <c r="B161">
        <v>1</v>
      </c>
      <c r="C161" t="s">
        <v>111</v>
      </c>
      <c r="D161" s="1">
        <v>2082029.12</v>
      </c>
      <c r="E161" s="1">
        <v>16270472.58</v>
      </c>
      <c r="F161" s="1">
        <v>616509.32999999996</v>
      </c>
      <c r="G161" s="1">
        <v>531688.13</v>
      </c>
      <c r="H161" s="1">
        <v>0</v>
      </c>
      <c r="I161" s="1">
        <v>9828145</v>
      </c>
      <c r="J161" s="1">
        <f t="shared" si="8"/>
        <v>491407.25</v>
      </c>
      <c r="K161" s="1">
        <v>0</v>
      </c>
      <c r="L161" s="11">
        <f t="shared" si="9"/>
        <v>442424.41000000003</v>
      </c>
    </row>
    <row r="162" spans="1:12" x14ac:dyDescent="0.25">
      <c r="A162">
        <v>542</v>
      </c>
      <c r="B162">
        <v>1</v>
      </c>
      <c r="C162" t="s">
        <v>112</v>
      </c>
      <c r="D162" s="1">
        <v>206707.64</v>
      </c>
      <c r="E162" s="1">
        <v>0</v>
      </c>
      <c r="F162" s="1">
        <v>67603.02</v>
      </c>
      <c r="G162" s="1">
        <v>77682.89</v>
      </c>
      <c r="H162" s="1">
        <v>0</v>
      </c>
      <c r="I162" s="1">
        <v>616207</v>
      </c>
      <c r="J162" s="1">
        <f t="shared" si="8"/>
        <v>30810.35</v>
      </c>
      <c r="K162" s="1">
        <v>0</v>
      </c>
      <c r="L162" s="11">
        <f t="shared" si="9"/>
        <v>30611.379999999997</v>
      </c>
    </row>
    <row r="163" spans="1:12" x14ac:dyDescent="0.25">
      <c r="A163">
        <v>544</v>
      </c>
      <c r="B163">
        <v>1</v>
      </c>
      <c r="C163" t="s">
        <v>113</v>
      </c>
      <c r="D163" s="1">
        <v>663522.96</v>
      </c>
      <c r="E163" s="1">
        <v>0</v>
      </c>
      <c r="F163" s="1">
        <v>0</v>
      </c>
      <c r="G163" s="1">
        <v>167281.1</v>
      </c>
      <c r="H163" s="1">
        <v>0</v>
      </c>
      <c r="I163" s="1">
        <v>2742343</v>
      </c>
      <c r="J163" s="1">
        <f t="shared" si="8"/>
        <v>137117.15</v>
      </c>
      <c r="K163" s="1">
        <v>0</v>
      </c>
      <c r="L163" s="11">
        <f t="shared" si="9"/>
        <v>359124.70999999996</v>
      </c>
    </row>
    <row r="164" spans="1:12" x14ac:dyDescent="0.25">
      <c r="A164">
        <v>545</v>
      </c>
      <c r="B164">
        <v>1</v>
      </c>
      <c r="C164" t="s">
        <v>114</v>
      </c>
      <c r="D164" s="1">
        <v>97048.25</v>
      </c>
      <c r="E164" s="1">
        <v>0</v>
      </c>
      <c r="F164" s="1">
        <v>33200.089999999997</v>
      </c>
      <c r="G164" s="1">
        <v>24316</v>
      </c>
      <c r="H164" s="1">
        <v>0</v>
      </c>
      <c r="I164" s="1">
        <v>0</v>
      </c>
      <c r="J164" s="1">
        <f t="shared" si="8"/>
        <v>0</v>
      </c>
      <c r="K164" s="1">
        <v>0</v>
      </c>
      <c r="L164" s="11">
        <f t="shared" si="9"/>
        <v>39532.160000000003</v>
      </c>
    </row>
    <row r="165" spans="1:12" x14ac:dyDescent="0.25">
      <c r="A165">
        <v>547</v>
      </c>
      <c r="B165">
        <v>1</v>
      </c>
      <c r="C165" t="s">
        <v>303</v>
      </c>
      <c r="D165" s="1">
        <v>60626.78</v>
      </c>
      <c r="E165" s="1">
        <v>532554.39</v>
      </c>
      <c r="F165" s="1">
        <v>6477.56</v>
      </c>
      <c r="G165" s="1">
        <v>16913.509999999998</v>
      </c>
      <c r="H165" s="1">
        <v>0</v>
      </c>
      <c r="I165" s="1">
        <v>406968</v>
      </c>
      <c r="J165" s="1">
        <f t="shared" si="8"/>
        <v>20348.400000000001</v>
      </c>
      <c r="K165" s="1">
        <v>0</v>
      </c>
      <c r="L165" s="11">
        <f t="shared" si="9"/>
        <v>16887.310000000005</v>
      </c>
    </row>
    <row r="166" spans="1:12" x14ac:dyDescent="0.25">
      <c r="A166">
        <v>548</v>
      </c>
      <c r="B166">
        <v>1</v>
      </c>
      <c r="C166" t="s">
        <v>302</v>
      </c>
      <c r="D166" s="1">
        <v>27030.97</v>
      </c>
      <c r="E166" s="1">
        <v>0</v>
      </c>
      <c r="F166" s="1">
        <v>0</v>
      </c>
      <c r="G166" s="1">
        <v>0</v>
      </c>
      <c r="H166" s="1">
        <v>0</v>
      </c>
      <c r="I166" s="1">
        <v>613885</v>
      </c>
      <c r="J166" s="1">
        <f t="shared" si="8"/>
        <v>30694.25</v>
      </c>
      <c r="K166" s="1">
        <v>0</v>
      </c>
      <c r="L166" s="11">
        <f t="shared" si="9"/>
        <v>0</v>
      </c>
    </row>
    <row r="167" spans="1:12" x14ac:dyDescent="0.25">
      <c r="A167">
        <v>549</v>
      </c>
      <c r="B167">
        <v>1</v>
      </c>
      <c r="C167" t="s">
        <v>115</v>
      </c>
      <c r="D167" s="1">
        <v>221779.11</v>
      </c>
      <c r="E167" s="1">
        <v>0</v>
      </c>
      <c r="F167" s="1">
        <v>39282.120000000003</v>
      </c>
      <c r="G167" s="1">
        <v>46397.63</v>
      </c>
      <c r="H167" s="1">
        <v>0</v>
      </c>
      <c r="I167" s="1">
        <v>218400</v>
      </c>
      <c r="J167" s="1">
        <f t="shared" si="8"/>
        <v>10920</v>
      </c>
      <c r="K167" s="1">
        <v>0</v>
      </c>
      <c r="L167" s="11">
        <f t="shared" si="9"/>
        <v>125179.35999999999</v>
      </c>
    </row>
    <row r="168" spans="1:12" x14ac:dyDescent="0.25">
      <c r="A168">
        <v>550</v>
      </c>
      <c r="B168">
        <v>1</v>
      </c>
      <c r="C168" t="s">
        <v>116</v>
      </c>
      <c r="D168" s="1">
        <v>134863.42000000001</v>
      </c>
      <c r="E168" s="1">
        <v>0</v>
      </c>
      <c r="F168" s="1">
        <v>42417.24</v>
      </c>
      <c r="G168" s="1">
        <v>27687.78</v>
      </c>
      <c r="H168" s="1">
        <v>0</v>
      </c>
      <c r="I168" s="1">
        <v>672545</v>
      </c>
      <c r="J168" s="1">
        <f t="shared" si="8"/>
        <v>33627.25</v>
      </c>
      <c r="K168" s="1">
        <v>0</v>
      </c>
      <c r="L168" s="11">
        <f t="shared" si="9"/>
        <v>31131.150000000023</v>
      </c>
    </row>
    <row r="169" spans="1:12" x14ac:dyDescent="0.25">
      <c r="A169">
        <v>553</v>
      </c>
      <c r="B169">
        <v>1</v>
      </c>
      <c r="C169" t="s">
        <v>290</v>
      </c>
      <c r="D169" s="1">
        <v>151795.28</v>
      </c>
      <c r="E169" s="1">
        <v>0</v>
      </c>
      <c r="F169" s="1">
        <v>30309.09</v>
      </c>
      <c r="G169" s="1">
        <v>51689.29</v>
      </c>
      <c r="H169" s="1">
        <v>0</v>
      </c>
      <c r="I169" s="1">
        <v>702237</v>
      </c>
      <c r="J169" s="1">
        <f t="shared" si="8"/>
        <v>35111.85</v>
      </c>
      <c r="K169" s="1">
        <v>0</v>
      </c>
      <c r="L169" s="11">
        <f t="shared" si="9"/>
        <v>34685.049999999996</v>
      </c>
    </row>
    <row r="170" spans="1:12" x14ac:dyDescent="0.25">
      <c r="A170">
        <v>561</v>
      </c>
      <c r="B170">
        <v>1</v>
      </c>
      <c r="C170" t="s">
        <v>117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f t="shared" si="8"/>
        <v>0</v>
      </c>
      <c r="K170" s="1">
        <v>0</v>
      </c>
      <c r="L170" s="11">
        <f t="shared" si="9"/>
        <v>0</v>
      </c>
    </row>
    <row r="171" spans="1:12" x14ac:dyDescent="0.25">
      <c r="A171">
        <v>564</v>
      </c>
      <c r="B171">
        <v>1</v>
      </c>
      <c r="C171" t="s">
        <v>291</v>
      </c>
      <c r="D171" s="1">
        <v>1033810.05</v>
      </c>
      <c r="E171" s="1">
        <v>0</v>
      </c>
      <c r="F171" s="1">
        <v>56028.67</v>
      </c>
      <c r="G171" s="1">
        <v>0</v>
      </c>
      <c r="H171" s="1">
        <v>186623</v>
      </c>
      <c r="I171" s="1">
        <v>740205</v>
      </c>
      <c r="J171" s="1">
        <f t="shared" si="8"/>
        <v>37010.25</v>
      </c>
      <c r="K171" s="1">
        <v>0</v>
      </c>
      <c r="L171" s="11">
        <f t="shared" si="9"/>
        <v>940771.13</v>
      </c>
    </row>
    <row r="172" spans="1:12" x14ac:dyDescent="0.25">
      <c r="A172">
        <v>577</v>
      </c>
      <c r="B172">
        <v>1</v>
      </c>
      <c r="C172" t="s">
        <v>118</v>
      </c>
      <c r="D172" s="1">
        <v>70157.919999999998</v>
      </c>
      <c r="E172" s="1">
        <v>0</v>
      </c>
      <c r="F172" s="1">
        <v>29883.13</v>
      </c>
      <c r="G172" s="1">
        <v>14518.14</v>
      </c>
      <c r="H172" s="1">
        <v>0</v>
      </c>
      <c r="I172" s="1">
        <v>192292</v>
      </c>
      <c r="J172" s="1">
        <f t="shared" si="8"/>
        <v>9614.6</v>
      </c>
      <c r="K172" s="1">
        <v>0</v>
      </c>
      <c r="L172" s="11">
        <f t="shared" si="9"/>
        <v>16142.049999999994</v>
      </c>
    </row>
    <row r="173" spans="1:12" x14ac:dyDescent="0.25">
      <c r="A173">
        <v>578</v>
      </c>
      <c r="B173">
        <v>1</v>
      </c>
      <c r="C173" t="s">
        <v>119</v>
      </c>
      <c r="D173" s="1">
        <v>511105.04</v>
      </c>
      <c r="E173" s="1">
        <v>0</v>
      </c>
      <c r="F173" s="1">
        <v>35280.86</v>
      </c>
      <c r="G173" s="1">
        <v>156314.92000000001</v>
      </c>
      <c r="H173" s="1">
        <v>0</v>
      </c>
      <c r="I173" s="1">
        <v>1579610</v>
      </c>
      <c r="J173" s="1">
        <f t="shared" si="8"/>
        <v>78980.5</v>
      </c>
      <c r="K173" s="1">
        <v>0</v>
      </c>
      <c r="L173" s="11">
        <f t="shared" si="9"/>
        <v>240528.76</v>
      </c>
    </row>
    <row r="174" spans="1:12" x14ac:dyDescent="0.25">
      <c r="A174">
        <v>581</v>
      </c>
      <c r="B174">
        <v>1</v>
      </c>
      <c r="C174" t="s">
        <v>120</v>
      </c>
      <c r="D174" s="1">
        <v>11217.89</v>
      </c>
      <c r="E174" s="1">
        <v>0</v>
      </c>
      <c r="F174" s="1">
        <v>3174.06</v>
      </c>
      <c r="G174" s="1">
        <v>2970.7</v>
      </c>
      <c r="H174" s="1">
        <v>0</v>
      </c>
      <c r="I174" s="1">
        <v>64712</v>
      </c>
      <c r="J174" s="1">
        <f t="shared" si="8"/>
        <v>3235.6</v>
      </c>
      <c r="K174" s="1">
        <v>0</v>
      </c>
      <c r="L174" s="11">
        <f t="shared" si="9"/>
        <v>1837.5300000000002</v>
      </c>
    </row>
    <row r="175" spans="1:12" x14ac:dyDescent="0.25">
      <c r="A175">
        <v>592</v>
      </c>
      <c r="B175">
        <v>1</v>
      </c>
      <c r="C175" t="s">
        <v>121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59236</v>
      </c>
      <c r="J175" s="1">
        <f t="shared" si="8"/>
        <v>2961.8</v>
      </c>
      <c r="K175" s="1">
        <v>0</v>
      </c>
      <c r="L175" s="11">
        <f t="shared" si="9"/>
        <v>0</v>
      </c>
    </row>
    <row r="176" spans="1:12" x14ac:dyDescent="0.25">
      <c r="A176">
        <v>593</v>
      </c>
      <c r="B176">
        <v>1</v>
      </c>
      <c r="C176" t="s">
        <v>122</v>
      </c>
      <c r="D176" s="1">
        <v>239652</v>
      </c>
      <c r="E176" s="1">
        <v>0</v>
      </c>
      <c r="F176" s="1">
        <v>65325.16</v>
      </c>
      <c r="G176" s="1">
        <v>47248.29</v>
      </c>
      <c r="H176" s="1">
        <v>0</v>
      </c>
      <c r="I176" s="1">
        <v>1085937</v>
      </c>
      <c r="J176" s="1">
        <f t="shared" si="8"/>
        <v>54296.85</v>
      </c>
      <c r="K176" s="1">
        <v>0</v>
      </c>
      <c r="L176" s="11">
        <f t="shared" si="9"/>
        <v>72781.699999999983</v>
      </c>
    </row>
    <row r="177" spans="1:12" x14ac:dyDescent="0.25">
      <c r="A177">
        <v>595</v>
      </c>
      <c r="B177">
        <v>1</v>
      </c>
      <c r="C177" t="s">
        <v>301</v>
      </c>
      <c r="D177" s="1">
        <v>52806.98</v>
      </c>
      <c r="E177" s="1">
        <v>0</v>
      </c>
      <c r="F177" s="1">
        <v>0</v>
      </c>
      <c r="G177" s="1">
        <v>7668.44</v>
      </c>
      <c r="H177" s="1">
        <v>0</v>
      </c>
      <c r="I177" s="1">
        <v>546688</v>
      </c>
      <c r="J177" s="1">
        <f t="shared" si="8"/>
        <v>27334.400000000001</v>
      </c>
      <c r="K177" s="1">
        <v>0</v>
      </c>
      <c r="L177" s="11">
        <f t="shared" si="9"/>
        <v>17804.14</v>
      </c>
    </row>
    <row r="178" spans="1:12" x14ac:dyDescent="0.25">
      <c r="A178">
        <v>599</v>
      </c>
      <c r="B178">
        <v>1</v>
      </c>
      <c r="C178" t="s">
        <v>221</v>
      </c>
      <c r="D178" s="1">
        <v>224.09</v>
      </c>
      <c r="E178" s="1">
        <v>0</v>
      </c>
      <c r="F178" s="1">
        <v>28344.84</v>
      </c>
      <c r="G178" s="1">
        <v>0</v>
      </c>
      <c r="H178" s="1">
        <v>0</v>
      </c>
      <c r="I178" s="1">
        <v>0</v>
      </c>
      <c r="J178" s="1">
        <f t="shared" si="8"/>
        <v>0</v>
      </c>
      <c r="K178" s="1">
        <v>0</v>
      </c>
      <c r="L178" s="11">
        <f t="shared" si="9"/>
        <v>0</v>
      </c>
    </row>
    <row r="179" spans="1:12" x14ac:dyDescent="0.25">
      <c r="A179">
        <v>600</v>
      </c>
      <c r="B179">
        <v>1</v>
      </c>
      <c r="C179" t="s">
        <v>123</v>
      </c>
      <c r="D179" s="1">
        <v>43209.54</v>
      </c>
      <c r="E179" s="1">
        <v>0</v>
      </c>
      <c r="F179" s="1">
        <v>11861.41</v>
      </c>
      <c r="G179" s="1">
        <v>6881.63</v>
      </c>
      <c r="H179" s="1">
        <v>0</v>
      </c>
      <c r="I179" s="1">
        <v>270034</v>
      </c>
      <c r="J179" s="1">
        <f t="shared" si="8"/>
        <v>13501.7</v>
      </c>
      <c r="K179" s="1">
        <v>0</v>
      </c>
      <c r="L179" s="11">
        <f t="shared" si="9"/>
        <v>10964.8</v>
      </c>
    </row>
    <row r="180" spans="1:12" x14ac:dyDescent="0.25">
      <c r="A180">
        <v>601</v>
      </c>
      <c r="B180">
        <v>1</v>
      </c>
      <c r="C180" t="s">
        <v>124</v>
      </c>
      <c r="D180" s="1">
        <v>85412.58</v>
      </c>
      <c r="E180" s="1">
        <v>0</v>
      </c>
      <c r="F180" s="1">
        <v>13394.94</v>
      </c>
      <c r="G180" s="1">
        <v>27701.99</v>
      </c>
      <c r="H180" s="1">
        <v>0</v>
      </c>
      <c r="I180" s="1">
        <v>379400</v>
      </c>
      <c r="J180" s="1">
        <f t="shared" si="8"/>
        <v>18970</v>
      </c>
      <c r="K180" s="1">
        <v>0</v>
      </c>
      <c r="L180" s="11">
        <f t="shared" si="9"/>
        <v>25345.649999999994</v>
      </c>
    </row>
    <row r="181" spans="1:12" x14ac:dyDescent="0.25">
      <c r="A181">
        <v>621</v>
      </c>
      <c r="B181">
        <v>1</v>
      </c>
      <c r="C181" t="s">
        <v>125</v>
      </c>
      <c r="D181" s="1">
        <v>1448501.05</v>
      </c>
      <c r="E181" s="1">
        <v>38339348</v>
      </c>
      <c r="F181" s="1">
        <v>600000</v>
      </c>
      <c r="G181" s="1">
        <v>600000</v>
      </c>
      <c r="H181" s="1">
        <v>0</v>
      </c>
      <c r="I181" s="1">
        <v>11416192</v>
      </c>
      <c r="J181" s="1">
        <f t="shared" si="8"/>
        <v>570809.59999999998</v>
      </c>
      <c r="K181" s="1">
        <v>0</v>
      </c>
      <c r="L181" s="11">
        <f t="shared" si="9"/>
        <v>0</v>
      </c>
    </row>
    <row r="182" spans="1:12" x14ac:dyDescent="0.25">
      <c r="A182">
        <v>622</v>
      </c>
      <c r="B182">
        <v>1</v>
      </c>
      <c r="C182" t="s">
        <v>300</v>
      </c>
      <c r="D182" s="1">
        <v>3049411.77</v>
      </c>
      <c r="E182" s="1">
        <v>9032457</v>
      </c>
      <c r="F182" s="1">
        <v>743466.2</v>
      </c>
      <c r="G182" s="1">
        <v>1068108.6399999999</v>
      </c>
      <c r="H182" s="1">
        <v>0</v>
      </c>
      <c r="I182" s="1">
        <v>12400040</v>
      </c>
      <c r="J182" s="1">
        <f t="shared" si="8"/>
        <v>620002</v>
      </c>
      <c r="K182" s="1">
        <v>0</v>
      </c>
      <c r="L182" s="11">
        <f t="shared" ref="L182:L192" si="10">MAX((D182-F182-G182-J182),0)</f>
        <v>617834.9300000004</v>
      </c>
    </row>
    <row r="183" spans="1:12" x14ac:dyDescent="0.25">
      <c r="A183">
        <v>623</v>
      </c>
      <c r="B183">
        <v>1</v>
      </c>
      <c r="C183" t="s">
        <v>126</v>
      </c>
      <c r="D183" s="1">
        <v>553292.19999999995</v>
      </c>
      <c r="E183" s="1">
        <v>0</v>
      </c>
      <c r="F183" s="1">
        <v>174639.55</v>
      </c>
      <c r="G183" s="1">
        <v>139999.35999999999</v>
      </c>
      <c r="H183" s="1">
        <v>0</v>
      </c>
      <c r="I183" s="1">
        <v>3068251</v>
      </c>
      <c r="J183" s="1">
        <f t="shared" si="8"/>
        <v>153412.54999999999</v>
      </c>
      <c r="K183" s="1">
        <v>0</v>
      </c>
      <c r="L183" s="11">
        <f t="shared" si="10"/>
        <v>85240.739999999991</v>
      </c>
    </row>
    <row r="184" spans="1:12" x14ac:dyDescent="0.25">
      <c r="A184">
        <v>624</v>
      </c>
      <c r="B184">
        <v>1</v>
      </c>
      <c r="C184" t="s">
        <v>222</v>
      </c>
      <c r="D184" s="1">
        <v>1621982.94</v>
      </c>
      <c r="E184" s="1">
        <v>26808736</v>
      </c>
      <c r="F184" s="1">
        <v>340844.93</v>
      </c>
      <c r="G184" s="1">
        <v>259014.93</v>
      </c>
      <c r="H184" s="1">
        <v>0</v>
      </c>
      <c r="I184" s="1">
        <v>5528080</v>
      </c>
      <c r="J184" s="1">
        <f t="shared" si="8"/>
        <v>276404</v>
      </c>
      <c r="K184" s="1">
        <v>0</v>
      </c>
      <c r="L184" s="11">
        <f t="shared" si="10"/>
        <v>745719.08000000007</v>
      </c>
    </row>
    <row r="185" spans="1:12" x14ac:dyDescent="0.25">
      <c r="A185">
        <v>625</v>
      </c>
      <c r="B185">
        <v>1</v>
      </c>
      <c r="C185" t="s">
        <v>223</v>
      </c>
      <c r="D185" s="1">
        <v>0</v>
      </c>
      <c r="E185" s="1">
        <v>53175826.420000002</v>
      </c>
      <c r="F185" s="1">
        <v>0</v>
      </c>
      <c r="G185" s="1">
        <v>0</v>
      </c>
      <c r="H185" s="1">
        <v>0</v>
      </c>
      <c r="I185" s="1">
        <v>31129115</v>
      </c>
      <c r="J185" s="1">
        <f t="shared" si="8"/>
        <v>1556455.75</v>
      </c>
      <c r="K185" s="1">
        <v>0</v>
      </c>
      <c r="L185" s="11">
        <f t="shared" si="10"/>
        <v>0</v>
      </c>
    </row>
    <row r="186" spans="1:12" x14ac:dyDescent="0.25">
      <c r="A186">
        <v>630</v>
      </c>
      <c r="B186">
        <v>1</v>
      </c>
      <c r="C186" t="s">
        <v>127</v>
      </c>
      <c r="D186" s="1">
        <v>102683.34</v>
      </c>
      <c r="E186" s="1">
        <v>0</v>
      </c>
      <c r="F186" s="1">
        <v>31439.8</v>
      </c>
      <c r="G186" s="1">
        <v>15313.85</v>
      </c>
      <c r="H186" s="1">
        <v>0</v>
      </c>
      <c r="I186" s="1">
        <v>442470</v>
      </c>
      <c r="J186" s="1">
        <f t="shared" si="8"/>
        <v>22123.5</v>
      </c>
      <c r="K186" s="1">
        <v>0</v>
      </c>
      <c r="L186" s="11">
        <f t="shared" si="10"/>
        <v>33806.189999999995</v>
      </c>
    </row>
    <row r="187" spans="1:12" x14ac:dyDescent="0.25">
      <c r="A187">
        <v>635</v>
      </c>
      <c r="B187">
        <v>1</v>
      </c>
      <c r="C187" t="s">
        <v>128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f t="shared" si="8"/>
        <v>0</v>
      </c>
      <c r="K187" s="1">
        <v>0</v>
      </c>
      <c r="L187" s="11">
        <f t="shared" si="10"/>
        <v>0</v>
      </c>
    </row>
    <row r="188" spans="1:12" x14ac:dyDescent="0.25">
      <c r="A188">
        <v>640</v>
      </c>
      <c r="B188">
        <v>1</v>
      </c>
      <c r="C188" t="s">
        <v>129</v>
      </c>
      <c r="D188" s="1">
        <v>82783.100000000006</v>
      </c>
      <c r="E188" s="1">
        <v>0</v>
      </c>
      <c r="F188" s="1">
        <v>25450.91</v>
      </c>
      <c r="G188" s="1">
        <v>23589.81</v>
      </c>
      <c r="H188" s="1">
        <v>0</v>
      </c>
      <c r="I188" s="1">
        <v>344894</v>
      </c>
      <c r="J188" s="1">
        <f t="shared" si="8"/>
        <v>17244.7</v>
      </c>
      <c r="K188" s="1">
        <v>0</v>
      </c>
      <c r="L188" s="11">
        <f t="shared" si="10"/>
        <v>16497.680000000004</v>
      </c>
    </row>
    <row r="189" spans="1:12" x14ac:dyDescent="0.25">
      <c r="A189">
        <v>656</v>
      </c>
      <c r="B189">
        <v>1</v>
      </c>
      <c r="C189" t="s">
        <v>130</v>
      </c>
      <c r="D189" s="1">
        <v>904181.59</v>
      </c>
      <c r="E189" s="1">
        <v>5525205.4299999997</v>
      </c>
      <c r="F189" s="1">
        <v>323691.84000000003</v>
      </c>
      <c r="G189" s="1">
        <v>135144.5</v>
      </c>
      <c r="H189" s="1">
        <v>0</v>
      </c>
      <c r="I189" s="1">
        <v>5019649</v>
      </c>
      <c r="J189" s="1">
        <f t="shared" si="8"/>
        <v>250982.45</v>
      </c>
      <c r="K189" s="1">
        <v>0</v>
      </c>
      <c r="L189" s="11">
        <f t="shared" si="10"/>
        <v>194362.8</v>
      </c>
    </row>
    <row r="190" spans="1:12" x14ac:dyDescent="0.25">
      <c r="A190">
        <v>659</v>
      </c>
      <c r="B190">
        <v>1</v>
      </c>
      <c r="C190" t="s">
        <v>131</v>
      </c>
      <c r="D190" s="1">
        <v>1206129.26</v>
      </c>
      <c r="E190" s="1">
        <v>9584080.9299999997</v>
      </c>
      <c r="F190" s="1">
        <v>300909.34999999998</v>
      </c>
      <c r="G190" s="1">
        <v>345015.42</v>
      </c>
      <c r="H190" s="1">
        <v>0</v>
      </c>
      <c r="I190" s="1">
        <v>5854893</v>
      </c>
      <c r="J190" s="1">
        <f t="shared" si="8"/>
        <v>292744.65000000002</v>
      </c>
      <c r="K190" s="1">
        <v>0</v>
      </c>
      <c r="L190" s="11">
        <f t="shared" si="10"/>
        <v>267459.83999999997</v>
      </c>
    </row>
    <row r="191" spans="1:12" x14ac:dyDescent="0.25">
      <c r="A191">
        <v>671</v>
      </c>
      <c r="B191">
        <v>1</v>
      </c>
      <c r="C191" t="s">
        <v>225</v>
      </c>
      <c r="D191" s="1">
        <v>33011.29</v>
      </c>
      <c r="E191" s="1">
        <v>0</v>
      </c>
      <c r="F191" s="1">
        <v>0</v>
      </c>
      <c r="G191" s="1">
        <v>0</v>
      </c>
      <c r="H191" s="1">
        <v>0</v>
      </c>
      <c r="I191" s="1">
        <v>800821</v>
      </c>
      <c r="J191" s="1">
        <f t="shared" si="8"/>
        <v>40041.050000000003</v>
      </c>
      <c r="K191" s="1">
        <v>0</v>
      </c>
      <c r="L191" s="11">
        <f t="shared" si="10"/>
        <v>0</v>
      </c>
    </row>
    <row r="192" spans="1:12" x14ac:dyDescent="0.25">
      <c r="A192">
        <v>676</v>
      </c>
      <c r="B192">
        <v>1</v>
      </c>
      <c r="C192" t="s">
        <v>133</v>
      </c>
      <c r="D192" s="1">
        <v>0</v>
      </c>
      <c r="E192" s="1">
        <v>0</v>
      </c>
      <c r="F192" s="1">
        <v>9256.36</v>
      </c>
      <c r="G192" s="1">
        <v>12765.31</v>
      </c>
      <c r="H192" s="1">
        <v>0</v>
      </c>
      <c r="I192" s="1">
        <v>0</v>
      </c>
      <c r="J192" s="1">
        <f t="shared" si="8"/>
        <v>0</v>
      </c>
      <c r="K192" s="1">
        <v>0</v>
      </c>
      <c r="L192" s="11">
        <f t="shared" si="10"/>
        <v>0</v>
      </c>
    </row>
    <row r="193" spans="1:12" x14ac:dyDescent="0.25">
      <c r="A193">
        <v>682</v>
      </c>
      <c r="B193">
        <v>1</v>
      </c>
      <c r="C193" t="s">
        <v>335</v>
      </c>
      <c r="D193" s="1">
        <v>224480.15</v>
      </c>
      <c r="E193" s="1">
        <v>0</v>
      </c>
      <c r="F193" s="1">
        <v>0</v>
      </c>
      <c r="G193" s="1">
        <v>0</v>
      </c>
      <c r="H193" s="1">
        <v>0</v>
      </c>
      <c r="I193" s="1">
        <v>860263</v>
      </c>
      <c r="J193" s="1">
        <f t="shared" si="8"/>
        <v>43013.15</v>
      </c>
      <c r="K193" s="1">
        <f>MAX((D193-F193-G193-J193),0)</f>
        <v>181467</v>
      </c>
      <c r="L193" s="11">
        <f>MAX((D193-F193-G193-J193-K193),0)</f>
        <v>0</v>
      </c>
    </row>
    <row r="194" spans="1:12" x14ac:dyDescent="0.25">
      <c r="A194">
        <v>690</v>
      </c>
      <c r="B194">
        <v>1</v>
      </c>
      <c r="C194" t="s">
        <v>336</v>
      </c>
      <c r="D194" s="1">
        <v>101471.01</v>
      </c>
      <c r="E194" s="1">
        <v>0</v>
      </c>
      <c r="F194" s="1">
        <v>0</v>
      </c>
      <c r="G194" s="1">
        <v>0</v>
      </c>
      <c r="H194" s="1">
        <v>0</v>
      </c>
      <c r="I194" s="1">
        <v>908428</v>
      </c>
      <c r="J194" s="1">
        <f t="shared" si="8"/>
        <v>45421.4</v>
      </c>
      <c r="K194" s="1">
        <f>MAX((D194-F194-G194-J194),0)</f>
        <v>56049.609999999993</v>
      </c>
      <c r="L194" s="11">
        <f>MAX((D194-F194-G194-J194-K194),0)</f>
        <v>0</v>
      </c>
    </row>
    <row r="195" spans="1:12" x14ac:dyDescent="0.25">
      <c r="A195">
        <v>695</v>
      </c>
      <c r="B195">
        <v>1</v>
      </c>
      <c r="C195" t="s">
        <v>134</v>
      </c>
      <c r="D195" s="1">
        <v>49940.62</v>
      </c>
      <c r="E195" s="1">
        <v>0</v>
      </c>
      <c r="F195" s="1">
        <v>0</v>
      </c>
      <c r="G195" s="1">
        <v>23558.6</v>
      </c>
      <c r="H195" s="1">
        <v>0</v>
      </c>
      <c r="I195" s="1">
        <f>290185</f>
        <v>290185</v>
      </c>
      <c r="J195" s="1">
        <f t="shared" si="8"/>
        <v>14509.25</v>
      </c>
      <c r="K195" s="1">
        <v>0</v>
      </c>
      <c r="L195" s="11">
        <f t="shared" ref="L195:L201" si="11">MAX((D195-F195-G195-J195),0)</f>
        <v>11872.770000000004</v>
      </c>
    </row>
    <row r="196" spans="1:12" x14ac:dyDescent="0.25">
      <c r="A196">
        <v>696</v>
      </c>
      <c r="B196">
        <v>1</v>
      </c>
      <c r="C196" t="s">
        <v>135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f>268803+20965</f>
        <v>289768</v>
      </c>
      <c r="J196" s="1">
        <f t="shared" si="8"/>
        <v>14488.4</v>
      </c>
      <c r="K196" s="1">
        <v>0</v>
      </c>
      <c r="L196" s="11">
        <f t="shared" si="11"/>
        <v>0</v>
      </c>
    </row>
    <row r="197" spans="1:12" x14ac:dyDescent="0.25">
      <c r="A197">
        <v>698</v>
      </c>
      <c r="B197">
        <v>1</v>
      </c>
      <c r="C197" t="s">
        <v>136</v>
      </c>
      <c r="D197" s="1">
        <v>0.48</v>
      </c>
      <c r="E197" s="1">
        <v>814865.28</v>
      </c>
      <c r="F197" s="1">
        <v>0</v>
      </c>
      <c r="G197" s="1">
        <v>0</v>
      </c>
      <c r="H197" s="1">
        <v>0</v>
      </c>
      <c r="I197" s="1">
        <v>1030461</v>
      </c>
      <c r="J197" s="1">
        <f t="shared" si="8"/>
        <v>51523.05</v>
      </c>
      <c r="K197" s="1">
        <v>0</v>
      </c>
      <c r="L197" s="11">
        <f t="shared" si="11"/>
        <v>0</v>
      </c>
    </row>
    <row r="198" spans="1:12" x14ac:dyDescent="0.25">
      <c r="A198">
        <v>700</v>
      </c>
      <c r="B198">
        <v>1</v>
      </c>
      <c r="C198" t="s">
        <v>299</v>
      </c>
      <c r="D198" s="1">
        <v>77014.34</v>
      </c>
      <c r="E198" s="1">
        <v>0</v>
      </c>
      <c r="F198" s="1">
        <v>0</v>
      </c>
      <c r="G198" s="1">
        <v>0</v>
      </c>
      <c r="H198" s="1">
        <v>0</v>
      </c>
      <c r="I198" s="1">
        <v>670078</v>
      </c>
      <c r="J198" s="1">
        <f t="shared" ref="J198:J261" si="12">ROUND(I198/20,2)</f>
        <v>33503.9</v>
      </c>
      <c r="K198" s="1">
        <v>0</v>
      </c>
      <c r="L198" s="11">
        <f t="shared" si="11"/>
        <v>43510.439999999995</v>
      </c>
    </row>
    <row r="199" spans="1:12" x14ac:dyDescent="0.25">
      <c r="A199">
        <v>701</v>
      </c>
      <c r="B199">
        <v>1</v>
      </c>
      <c r="C199" t="s">
        <v>137</v>
      </c>
      <c r="D199" s="1">
        <v>0</v>
      </c>
      <c r="E199" s="1">
        <v>1218754.3799999999</v>
      </c>
      <c r="F199" s="1">
        <v>0</v>
      </c>
      <c r="G199" s="1">
        <v>0</v>
      </c>
      <c r="H199" s="1">
        <v>0</v>
      </c>
      <c r="I199" s="1">
        <v>579001</v>
      </c>
      <c r="J199" s="1">
        <f t="shared" si="12"/>
        <v>28950.05</v>
      </c>
      <c r="K199" s="1">
        <v>0</v>
      </c>
      <c r="L199" s="11">
        <f t="shared" si="11"/>
        <v>0</v>
      </c>
    </row>
    <row r="200" spans="1:12" x14ac:dyDescent="0.25">
      <c r="A200">
        <v>704</v>
      </c>
      <c r="B200">
        <v>1</v>
      </c>
      <c r="C200" t="s">
        <v>138</v>
      </c>
      <c r="D200" s="1">
        <v>305217.59999999998</v>
      </c>
      <c r="E200" s="1">
        <v>0</v>
      </c>
      <c r="F200" s="1">
        <v>90531.61</v>
      </c>
      <c r="G200" s="1">
        <v>80381.61</v>
      </c>
      <c r="H200" s="1">
        <v>0</v>
      </c>
      <c r="I200" s="1">
        <v>1329571</v>
      </c>
      <c r="J200" s="1">
        <f t="shared" si="12"/>
        <v>66478.55</v>
      </c>
      <c r="K200" s="1">
        <v>0</v>
      </c>
      <c r="L200" s="11">
        <f t="shared" si="11"/>
        <v>67825.83</v>
      </c>
    </row>
    <row r="201" spans="1:12" x14ac:dyDescent="0.25">
      <c r="A201">
        <v>706</v>
      </c>
      <c r="B201">
        <v>1</v>
      </c>
      <c r="C201" t="s">
        <v>139</v>
      </c>
      <c r="D201" s="1">
        <v>79650.52</v>
      </c>
      <c r="E201" s="1">
        <v>0</v>
      </c>
      <c r="F201" s="1">
        <v>0</v>
      </c>
      <c r="G201" s="1">
        <v>21510.95</v>
      </c>
      <c r="H201" s="1">
        <v>0</v>
      </c>
      <c r="I201" s="1">
        <f>95314</f>
        <v>95314</v>
      </c>
      <c r="J201" s="1">
        <f t="shared" si="12"/>
        <v>4765.7</v>
      </c>
      <c r="K201" s="1">
        <v>0</v>
      </c>
      <c r="L201" s="11">
        <f t="shared" si="11"/>
        <v>53373.87000000001</v>
      </c>
    </row>
    <row r="202" spans="1:12" x14ac:dyDescent="0.25">
      <c r="A202">
        <v>707</v>
      </c>
      <c r="B202">
        <v>1</v>
      </c>
      <c r="C202" t="s">
        <v>337</v>
      </c>
      <c r="D202" s="1">
        <v>24763.85</v>
      </c>
      <c r="E202" s="1">
        <v>0</v>
      </c>
      <c r="F202" s="1">
        <v>0</v>
      </c>
      <c r="G202" s="1">
        <v>0</v>
      </c>
      <c r="H202" s="1">
        <v>0</v>
      </c>
      <c r="I202" s="1">
        <v>26991</v>
      </c>
      <c r="J202" s="1">
        <f t="shared" si="12"/>
        <v>1349.55</v>
      </c>
      <c r="K202" s="1">
        <f>MAX((D202-F202-G202-J202),0)</f>
        <v>23414.3</v>
      </c>
      <c r="L202" s="11">
        <f>MAX((D202-F202-G202-J202-K202),0)</f>
        <v>0</v>
      </c>
    </row>
    <row r="203" spans="1:12" x14ac:dyDescent="0.25">
      <c r="A203">
        <v>709</v>
      </c>
      <c r="B203">
        <v>1</v>
      </c>
      <c r="C203" t="s">
        <v>140</v>
      </c>
      <c r="D203" s="1">
        <v>7025721.8499999996</v>
      </c>
      <c r="E203" s="1">
        <v>0</v>
      </c>
      <c r="F203" s="1">
        <v>3722164.67</v>
      </c>
      <c r="G203" s="1">
        <v>3812224.12</v>
      </c>
      <c r="H203" s="1">
        <v>0</v>
      </c>
      <c r="I203" s="1">
        <v>6038235</v>
      </c>
      <c r="J203" s="1">
        <f t="shared" si="12"/>
        <v>301911.75</v>
      </c>
      <c r="K203" s="1">
        <v>0</v>
      </c>
      <c r="L203" s="11">
        <f t="shared" ref="L203:L234" si="13">MAX((D203-F203-G203-J203),0)</f>
        <v>0</v>
      </c>
    </row>
    <row r="204" spans="1:12" x14ac:dyDescent="0.25">
      <c r="A204">
        <v>712</v>
      </c>
      <c r="B204">
        <v>1</v>
      </c>
      <c r="C204" t="s">
        <v>226</v>
      </c>
      <c r="D204" s="1">
        <v>1046.1600000000001</v>
      </c>
      <c r="E204" s="1">
        <v>0</v>
      </c>
      <c r="F204" s="1">
        <v>0</v>
      </c>
      <c r="G204" s="1">
        <v>2324.7600000000002</v>
      </c>
      <c r="H204" s="1">
        <v>0</v>
      </c>
      <c r="I204" s="1">
        <f>88913</f>
        <v>88913</v>
      </c>
      <c r="J204" s="1">
        <f t="shared" si="12"/>
        <v>4445.6499999999996</v>
      </c>
      <c r="K204" s="1">
        <v>0</v>
      </c>
      <c r="L204" s="11">
        <f t="shared" si="13"/>
        <v>0</v>
      </c>
    </row>
    <row r="205" spans="1:12" x14ac:dyDescent="0.25">
      <c r="A205">
        <v>716</v>
      </c>
      <c r="B205">
        <v>1</v>
      </c>
      <c r="C205" t="s">
        <v>141</v>
      </c>
      <c r="D205" s="1">
        <v>502478.47</v>
      </c>
      <c r="E205" s="1">
        <v>0</v>
      </c>
      <c r="F205" s="1">
        <v>0</v>
      </c>
      <c r="G205" s="1">
        <v>162838.70000000001</v>
      </c>
      <c r="H205" s="1">
        <v>0</v>
      </c>
      <c r="I205" s="1">
        <v>3681022</v>
      </c>
      <c r="J205" s="1">
        <f t="shared" si="12"/>
        <v>184051.1</v>
      </c>
      <c r="K205" s="1">
        <v>0</v>
      </c>
      <c r="L205" s="11">
        <f t="shared" si="13"/>
        <v>155588.66999999995</v>
      </c>
    </row>
    <row r="206" spans="1:12" x14ac:dyDescent="0.25">
      <c r="A206">
        <v>717</v>
      </c>
      <c r="B206">
        <v>1</v>
      </c>
      <c r="C206" t="s">
        <v>142</v>
      </c>
      <c r="D206" s="1">
        <v>444143.66</v>
      </c>
      <c r="E206" s="1">
        <v>0</v>
      </c>
      <c r="F206" s="1">
        <v>116774.53</v>
      </c>
      <c r="G206" s="1">
        <v>120015.26</v>
      </c>
      <c r="H206" s="1">
        <v>0</v>
      </c>
      <c r="I206" s="1">
        <v>1962387</v>
      </c>
      <c r="J206" s="1">
        <f t="shared" si="12"/>
        <v>98119.35</v>
      </c>
      <c r="K206" s="1">
        <v>0</v>
      </c>
      <c r="L206" s="11">
        <f t="shared" si="13"/>
        <v>109234.51999999999</v>
      </c>
    </row>
    <row r="207" spans="1:12" x14ac:dyDescent="0.25">
      <c r="A207">
        <v>719</v>
      </c>
      <c r="B207">
        <v>1</v>
      </c>
      <c r="C207" t="s">
        <v>143</v>
      </c>
      <c r="D207" s="1">
        <v>2711130.67</v>
      </c>
      <c r="E207" s="1">
        <v>20191933.82</v>
      </c>
      <c r="F207" s="1">
        <v>608410.04</v>
      </c>
      <c r="G207" s="1">
        <v>739992.04</v>
      </c>
      <c r="H207" s="1">
        <v>0</v>
      </c>
      <c r="I207" s="1">
        <v>14090386</v>
      </c>
      <c r="J207" s="1">
        <f t="shared" si="12"/>
        <v>704519.3</v>
      </c>
      <c r="K207" s="1">
        <v>0</v>
      </c>
      <c r="L207" s="11">
        <f t="shared" si="13"/>
        <v>658209.2899999998</v>
      </c>
    </row>
    <row r="208" spans="1:12" x14ac:dyDescent="0.25">
      <c r="A208">
        <v>720</v>
      </c>
      <c r="B208">
        <v>1</v>
      </c>
      <c r="C208" t="s">
        <v>144</v>
      </c>
      <c r="D208" s="1">
        <v>2309255.38</v>
      </c>
      <c r="E208" s="1">
        <v>44177781.289999999</v>
      </c>
      <c r="F208" s="1">
        <v>86764.24</v>
      </c>
      <c r="G208" s="1">
        <v>799856.89</v>
      </c>
      <c r="H208" s="1">
        <v>0</v>
      </c>
      <c r="I208" s="1">
        <v>13877582</v>
      </c>
      <c r="J208" s="1">
        <f t="shared" si="12"/>
        <v>693879.1</v>
      </c>
      <c r="K208" s="1">
        <v>0</v>
      </c>
      <c r="L208" s="11">
        <f t="shared" si="13"/>
        <v>728755.14999999956</v>
      </c>
    </row>
    <row r="209" spans="1:12" x14ac:dyDescent="0.25">
      <c r="A209">
        <v>721</v>
      </c>
      <c r="B209">
        <v>1</v>
      </c>
      <c r="C209" t="s">
        <v>145</v>
      </c>
      <c r="D209" s="1">
        <v>1036091.36</v>
      </c>
      <c r="E209" s="1">
        <v>31573905.940000001</v>
      </c>
      <c r="F209" s="1">
        <v>208637.86</v>
      </c>
      <c r="G209" s="1">
        <v>250577.69</v>
      </c>
      <c r="H209" s="1">
        <v>0</v>
      </c>
      <c r="I209" s="1">
        <v>5883637</v>
      </c>
      <c r="J209" s="1">
        <f t="shared" si="12"/>
        <v>294181.84999999998</v>
      </c>
      <c r="K209" s="1">
        <v>0</v>
      </c>
      <c r="L209" s="11">
        <f t="shared" si="13"/>
        <v>282693.96000000008</v>
      </c>
    </row>
    <row r="210" spans="1:12" x14ac:dyDescent="0.25">
      <c r="A210">
        <v>726</v>
      </c>
      <c r="B210">
        <v>1</v>
      </c>
      <c r="C210" t="s">
        <v>146</v>
      </c>
      <c r="D210" s="1">
        <v>509245.99</v>
      </c>
      <c r="E210" s="1">
        <v>0</v>
      </c>
      <c r="F210" s="1">
        <v>0</v>
      </c>
      <c r="G210" s="1">
        <v>0</v>
      </c>
      <c r="H210" s="1">
        <v>304017</v>
      </c>
      <c r="I210" s="1">
        <v>2564377</v>
      </c>
      <c r="J210" s="1">
        <f t="shared" si="12"/>
        <v>128218.85</v>
      </c>
      <c r="K210" s="1">
        <v>0</v>
      </c>
      <c r="L210" s="11">
        <f t="shared" si="13"/>
        <v>381027.14</v>
      </c>
    </row>
    <row r="211" spans="1:12" x14ac:dyDescent="0.25">
      <c r="A211">
        <v>727</v>
      </c>
      <c r="B211">
        <v>1</v>
      </c>
      <c r="C211" t="s">
        <v>147</v>
      </c>
      <c r="D211" s="1">
        <v>897059.86</v>
      </c>
      <c r="E211" s="1">
        <v>0</v>
      </c>
      <c r="F211" s="1">
        <v>0</v>
      </c>
      <c r="G211" s="1">
        <v>0</v>
      </c>
      <c r="H211" s="1">
        <v>378613</v>
      </c>
      <c r="I211" s="1">
        <v>4942181</v>
      </c>
      <c r="J211" s="1">
        <f t="shared" si="12"/>
        <v>247109.05</v>
      </c>
      <c r="K211" s="1">
        <v>0</v>
      </c>
      <c r="L211" s="11">
        <f t="shared" si="13"/>
        <v>649950.81000000006</v>
      </c>
    </row>
    <row r="212" spans="1:12" x14ac:dyDescent="0.25">
      <c r="A212">
        <v>728</v>
      </c>
      <c r="B212">
        <v>1</v>
      </c>
      <c r="C212" t="s">
        <v>148</v>
      </c>
      <c r="D212" s="1">
        <v>4101583.71</v>
      </c>
      <c r="E212" s="1">
        <v>64654091.43</v>
      </c>
      <c r="F212" s="1">
        <v>962739.36</v>
      </c>
      <c r="G212" s="1">
        <v>967133.91</v>
      </c>
      <c r="H212" s="1">
        <v>0</v>
      </c>
      <c r="I212" s="1">
        <v>22460067</v>
      </c>
      <c r="J212" s="1">
        <f t="shared" si="12"/>
        <v>1123003.3500000001</v>
      </c>
      <c r="K212" s="1">
        <v>0</v>
      </c>
      <c r="L212" s="11">
        <f t="shared" si="13"/>
        <v>1048707.0899999999</v>
      </c>
    </row>
    <row r="213" spans="1:12" x14ac:dyDescent="0.25">
      <c r="A213">
        <v>738</v>
      </c>
      <c r="B213">
        <v>1</v>
      </c>
      <c r="C213" t="s">
        <v>149</v>
      </c>
      <c r="D213" s="1">
        <v>185370.39</v>
      </c>
      <c r="E213" s="1">
        <v>0</v>
      </c>
      <c r="F213" s="1">
        <v>252673.5</v>
      </c>
      <c r="G213" s="1">
        <v>0</v>
      </c>
      <c r="H213" s="1">
        <v>0</v>
      </c>
      <c r="I213" s="1">
        <v>937607</v>
      </c>
      <c r="J213" s="1">
        <f t="shared" si="12"/>
        <v>46880.35</v>
      </c>
      <c r="K213" s="1">
        <v>0</v>
      </c>
      <c r="L213" s="11">
        <f t="shared" si="13"/>
        <v>0</v>
      </c>
    </row>
    <row r="214" spans="1:12" x14ac:dyDescent="0.25">
      <c r="A214">
        <v>739</v>
      </c>
      <c r="B214">
        <v>1</v>
      </c>
      <c r="C214" t="s">
        <v>150</v>
      </c>
      <c r="D214" s="1">
        <v>201659.11</v>
      </c>
      <c r="E214" s="1">
        <v>0</v>
      </c>
      <c r="F214" s="1">
        <v>55801.16</v>
      </c>
      <c r="G214" s="1">
        <v>50619.17</v>
      </c>
      <c r="H214" s="1">
        <v>0</v>
      </c>
      <c r="I214" s="1">
        <v>858562</v>
      </c>
      <c r="J214" s="1">
        <f t="shared" si="12"/>
        <v>42928.1</v>
      </c>
      <c r="K214" s="1">
        <v>0</v>
      </c>
      <c r="L214" s="11">
        <f t="shared" si="13"/>
        <v>52310.679999999986</v>
      </c>
    </row>
    <row r="215" spans="1:12" x14ac:dyDescent="0.25">
      <c r="A215">
        <v>740</v>
      </c>
      <c r="B215">
        <v>1</v>
      </c>
      <c r="C215" t="s">
        <v>151</v>
      </c>
      <c r="D215" s="1">
        <v>161035.48000000001</v>
      </c>
      <c r="E215" s="1">
        <v>0</v>
      </c>
      <c r="F215" s="1">
        <v>42118.080000000002</v>
      </c>
      <c r="G215" s="1">
        <v>23684.48</v>
      </c>
      <c r="H215" s="1">
        <v>0</v>
      </c>
      <c r="I215" s="1">
        <v>868978</v>
      </c>
      <c r="J215" s="1">
        <f t="shared" si="12"/>
        <v>43448.9</v>
      </c>
      <c r="K215" s="1">
        <v>0</v>
      </c>
      <c r="L215" s="11">
        <f t="shared" si="13"/>
        <v>51784.020000000011</v>
      </c>
    </row>
    <row r="216" spans="1:12" x14ac:dyDescent="0.25">
      <c r="A216">
        <v>741</v>
      </c>
      <c r="B216">
        <v>1</v>
      </c>
      <c r="C216" t="s">
        <v>152</v>
      </c>
      <c r="D216" s="1">
        <v>234927.8</v>
      </c>
      <c r="E216" s="1">
        <v>0</v>
      </c>
      <c r="F216" s="1">
        <v>0</v>
      </c>
      <c r="G216" s="1">
        <v>139513.32999999999</v>
      </c>
      <c r="H216" s="1">
        <v>0</v>
      </c>
      <c r="I216" s="1">
        <v>869214</v>
      </c>
      <c r="J216" s="1">
        <f t="shared" si="12"/>
        <v>43460.7</v>
      </c>
      <c r="K216" s="1">
        <v>0</v>
      </c>
      <c r="L216" s="11">
        <f t="shared" si="13"/>
        <v>51953.770000000004</v>
      </c>
    </row>
    <row r="217" spans="1:12" x14ac:dyDescent="0.25">
      <c r="A217">
        <v>742</v>
      </c>
      <c r="B217">
        <v>1</v>
      </c>
      <c r="C217" t="s">
        <v>153</v>
      </c>
      <c r="D217" s="1">
        <v>777779.37</v>
      </c>
      <c r="E217" s="1">
        <v>0</v>
      </c>
      <c r="F217" s="1">
        <v>285231.65000000002</v>
      </c>
      <c r="G217" s="1">
        <v>172681.95</v>
      </c>
      <c r="H217" s="1">
        <v>0</v>
      </c>
      <c r="I217" s="1">
        <v>2755477</v>
      </c>
      <c r="J217" s="1">
        <f t="shared" si="12"/>
        <v>137773.85</v>
      </c>
      <c r="K217" s="1">
        <v>0</v>
      </c>
      <c r="L217" s="11">
        <f t="shared" si="13"/>
        <v>182091.91999999995</v>
      </c>
    </row>
    <row r="218" spans="1:12" x14ac:dyDescent="0.25">
      <c r="A218">
        <v>743</v>
      </c>
      <c r="B218">
        <v>1</v>
      </c>
      <c r="C218" t="s">
        <v>154</v>
      </c>
      <c r="D218" s="1">
        <v>169065.88</v>
      </c>
      <c r="E218" s="1">
        <v>0</v>
      </c>
      <c r="F218" s="1">
        <v>58760.36</v>
      </c>
      <c r="G218" s="1">
        <v>19610.93</v>
      </c>
      <c r="H218" s="1">
        <v>0</v>
      </c>
      <c r="I218" s="1">
        <v>998655</v>
      </c>
      <c r="J218" s="1">
        <f t="shared" si="12"/>
        <v>49932.75</v>
      </c>
      <c r="K218" s="1">
        <v>0</v>
      </c>
      <c r="L218" s="11">
        <f t="shared" si="13"/>
        <v>40761.839999999997</v>
      </c>
    </row>
    <row r="219" spans="1:12" x14ac:dyDescent="0.25">
      <c r="A219">
        <v>745</v>
      </c>
      <c r="B219">
        <v>1</v>
      </c>
      <c r="C219" t="s">
        <v>155</v>
      </c>
      <c r="D219" s="1">
        <v>339459.15</v>
      </c>
      <c r="E219" s="1">
        <v>0</v>
      </c>
      <c r="F219" s="1">
        <v>75177.36</v>
      </c>
      <c r="G219" s="1">
        <v>90613.07</v>
      </c>
      <c r="H219" s="1">
        <v>0</v>
      </c>
      <c r="I219" s="1">
        <v>1747922</v>
      </c>
      <c r="J219" s="1">
        <f t="shared" si="12"/>
        <v>87396.1</v>
      </c>
      <c r="K219" s="1">
        <v>0</v>
      </c>
      <c r="L219" s="11">
        <f t="shared" si="13"/>
        <v>86272.620000000024</v>
      </c>
    </row>
    <row r="220" spans="1:12" x14ac:dyDescent="0.25">
      <c r="A220">
        <v>748</v>
      </c>
      <c r="B220">
        <v>1</v>
      </c>
      <c r="C220" t="s">
        <v>156</v>
      </c>
      <c r="D220" s="1">
        <v>825192.23</v>
      </c>
      <c r="E220" s="1">
        <v>0</v>
      </c>
      <c r="F220" s="1">
        <v>187411.18</v>
      </c>
      <c r="G220" s="1">
        <v>190060.06</v>
      </c>
      <c r="H220" s="1">
        <v>0</v>
      </c>
      <c r="I220" s="1">
        <v>5248215</v>
      </c>
      <c r="J220" s="1">
        <f t="shared" si="12"/>
        <v>262410.75</v>
      </c>
      <c r="K220" s="1">
        <v>0</v>
      </c>
      <c r="L220" s="11">
        <f t="shared" si="13"/>
        <v>185310.24000000005</v>
      </c>
    </row>
    <row r="221" spans="1:12" x14ac:dyDescent="0.25">
      <c r="A221">
        <v>750</v>
      </c>
      <c r="B221">
        <v>1</v>
      </c>
      <c r="C221" t="s">
        <v>157</v>
      </c>
      <c r="D221" s="1">
        <v>416879.64</v>
      </c>
      <c r="E221" s="1">
        <v>0</v>
      </c>
      <c r="F221" s="1">
        <v>79373.59</v>
      </c>
      <c r="G221" s="1">
        <v>116706.1</v>
      </c>
      <c r="H221" s="1">
        <v>0</v>
      </c>
      <c r="I221" s="1">
        <v>2428104</v>
      </c>
      <c r="J221" s="1">
        <f t="shared" si="12"/>
        <v>121405.2</v>
      </c>
      <c r="K221" s="1">
        <v>0</v>
      </c>
      <c r="L221" s="11">
        <f t="shared" si="13"/>
        <v>99394.750000000044</v>
      </c>
    </row>
    <row r="222" spans="1:12" x14ac:dyDescent="0.25">
      <c r="A222">
        <v>756</v>
      </c>
      <c r="B222">
        <v>1</v>
      </c>
      <c r="C222" t="s">
        <v>227</v>
      </c>
      <c r="D222" s="1">
        <v>265743.24</v>
      </c>
      <c r="E222" s="1">
        <v>0</v>
      </c>
      <c r="F222" s="1">
        <v>58731.92</v>
      </c>
      <c r="G222" s="1">
        <v>65406.62</v>
      </c>
      <c r="H222" s="1">
        <v>0</v>
      </c>
      <c r="I222" s="1">
        <v>1218288</v>
      </c>
      <c r="J222" s="1">
        <f t="shared" si="12"/>
        <v>60914.400000000001</v>
      </c>
      <c r="K222" s="1">
        <v>0</v>
      </c>
      <c r="L222" s="11">
        <f t="shared" si="13"/>
        <v>80690.300000000017</v>
      </c>
    </row>
    <row r="223" spans="1:12" x14ac:dyDescent="0.25">
      <c r="A223">
        <v>761</v>
      </c>
      <c r="B223">
        <v>1</v>
      </c>
      <c r="C223" t="s">
        <v>158</v>
      </c>
      <c r="D223" s="1">
        <v>629549.98</v>
      </c>
      <c r="E223" s="1">
        <v>0</v>
      </c>
      <c r="F223" s="1">
        <v>162803.14000000001</v>
      </c>
      <c r="G223" s="1">
        <v>209732.88</v>
      </c>
      <c r="H223" s="1">
        <v>0</v>
      </c>
      <c r="I223" s="1">
        <v>2608914</v>
      </c>
      <c r="J223" s="1">
        <f t="shared" si="12"/>
        <v>130445.7</v>
      </c>
      <c r="K223" s="1">
        <v>0</v>
      </c>
      <c r="L223" s="11">
        <f t="shared" si="13"/>
        <v>126568.25999999997</v>
      </c>
    </row>
    <row r="224" spans="1:12" x14ac:dyDescent="0.25">
      <c r="A224">
        <v>763</v>
      </c>
      <c r="B224">
        <v>1</v>
      </c>
      <c r="C224" t="s">
        <v>159</v>
      </c>
      <c r="D224" s="1">
        <v>241011.46</v>
      </c>
      <c r="E224" s="1">
        <v>0</v>
      </c>
      <c r="F224" s="1">
        <v>67104.58</v>
      </c>
      <c r="G224" s="1">
        <v>85840.81</v>
      </c>
      <c r="H224" s="1">
        <v>0</v>
      </c>
      <c r="I224" s="1">
        <v>1061269</v>
      </c>
      <c r="J224" s="1">
        <f t="shared" si="12"/>
        <v>53063.45</v>
      </c>
      <c r="K224" s="1">
        <v>0</v>
      </c>
      <c r="L224" s="11">
        <f t="shared" si="13"/>
        <v>35002.62000000001</v>
      </c>
    </row>
    <row r="225" spans="1:12" x14ac:dyDescent="0.25">
      <c r="A225">
        <v>768</v>
      </c>
      <c r="B225">
        <v>1</v>
      </c>
      <c r="C225" t="s">
        <v>160</v>
      </c>
      <c r="D225" s="1">
        <v>16937.91</v>
      </c>
      <c r="E225" s="1">
        <v>0</v>
      </c>
      <c r="F225" s="1">
        <v>18889.23</v>
      </c>
      <c r="G225" s="1">
        <v>3870.61</v>
      </c>
      <c r="H225" s="1">
        <v>0</v>
      </c>
      <c r="I225" s="1">
        <v>290206</v>
      </c>
      <c r="J225" s="1">
        <f t="shared" si="12"/>
        <v>14510.3</v>
      </c>
      <c r="K225" s="1">
        <v>0</v>
      </c>
      <c r="L225" s="11">
        <f t="shared" si="13"/>
        <v>0</v>
      </c>
    </row>
    <row r="226" spans="1:12" x14ac:dyDescent="0.25">
      <c r="A226">
        <v>771</v>
      </c>
      <c r="B226">
        <v>1</v>
      </c>
      <c r="C226" t="s">
        <v>228</v>
      </c>
      <c r="D226" s="1">
        <v>0</v>
      </c>
      <c r="E226" s="1">
        <v>0</v>
      </c>
      <c r="F226" s="1">
        <v>61.53</v>
      </c>
      <c r="G226" s="1">
        <v>0</v>
      </c>
      <c r="H226" s="1">
        <v>0</v>
      </c>
      <c r="I226" s="1">
        <v>0</v>
      </c>
      <c r="J226" s="1">
        <f t="shared" si="12"/>
        <v>0</v>
      </c>
      <c r="K226" s="1">
        <v>0</v>
      </c>
      <c r="L226" s="11">
        <f t="shared" si="13"/>
        <v>0</v>
      </c>
    </row>
    <row r="227" spans="1:12" x14ac:dyDescent="0.25">
      <c r="A227">
        <v>775</v>
      </c>
      <c r="B227">
        <v>1</v>
      </c>
      <c r="C227" t="s">
        <v>229</v>
      </c>
      <c r="D227" s="1">
        <v>127918.73</v>
      </c>
      <c r="E227" s="1">
        <v>0</v>
      </c>
      <c r="F227" s="1">
        <v>27632.560000000001</v>
      </c>
      <c r="G227" s="1">
        <v>29462.6</v>
      </c>
      <c r="H227" s="1">
        <v>0</v>
      </c>
      <c r="I227" s="1">
        <v>0</v>
      </c>
      <c r="J227" s="1">
        <f t="shared" si="12"/>
        <v>0</v>
      </c>
      <c r="K227" s="1">
        <v>0</v>
      </c>
      <c r="L227" s="11">
        <f t="shared" si="13"/>
        <v>70823.570000000007</v>
      </c>
    </row>
    <row r="228" spans="1:12" x14ac:dyDescent="0.25">
      <c r="A228">
        <v>777</v>
      </c>
      <c r="B228">
        <v>1</v>
      </c>
      <c r="C228" t="s">
        <v>161</v>
      </c>
      <c r="D228" s="1">
        <v>73767.7</v>
      </c>
      <c r="E228" s="1">
        <v>0</v>
      </c>
      <c r="F228" s="1">
        <v>24321.1</v>
      </c>
      <c r="G228" s="1">
        <v>14673.57</v>
      </c>
      <c r="H228" s="1">
        <v>0</v>
      </c>
      <c r="I228" s="1">
        <v>354900</v>
      </c>
      <c r="J228" s="1">
        <f t="shared" si="12"/>
        <v>17745</v>
      </c>
      <c r="K228" s="1">
        <v>0</v>
      </c>
      <c r="L228" s="11">
        <f t="shared" si="13"/>
        <v>17028.03</v>
      </c>
    </row>
    <row r="229" spans="1:12" x14ac:dyDescent="0.25">
      <c r="A229">
        <v>786</v>
      </c>
      <c r="B229">
        <v>1</v>
      </c>
      <c r="C229" t="s">
        <v>230</v>
      </c>
      <c r="D229" s="1">
        <v>154080.21</v>
      </c>
      <c r="E229" s="1">
        <v>0</v>
      </c>
      <c r="F229" s="1">
        <v>25295.599999999999</v>
      </c>
      <c r="G229" s="1">
        <v>46892.72</v>
      </c>
      <c r="H229" s="1">
        <v>0</v>
      </c>
      <c r="I229" s="1">
        <v>543599</v>
      </c>
      <c r="J229" s="1">
        <f t="shared" si="12"/>
        <v>27179.95</v>
      </c>
      <c r="K229" s="1">
        <v>0</v>
      </c>
      <c r="L229" s="11">
        <f t="shared" si="13"/>
        <v>54711.939999999988</v>
      </c>
    </row>
    <row r="230" spans="1:12" x14ac:dyDescent="0.25">
      <c r="A230">
        <v>787</v>
      </c>
      <c r="B230">
        <v>1</v>
      </c>
      <c r="C230" t="s">
        <v>162</v>
      </c>
      <c r="D230" s="1">
        <v>0</v>
      </c>
      <c r="E230" s="1">
        <v>40200</v>
      </c>
      <c r="F230" s="1">
        <v>10165.14</v>
      </c>
      <c r="G230" s="1">
        <v>0</v>
      </c>
      <c r="H230" s="1">
        <v>0</v>
      </c>
      <c r="I230" s="1">
        <v>196140</v>
      </c>
      <c r="J230" s="1">
        <f t="shared" si="12"/>
        <v>9807</v>
      </c>
      <c r="K230" s="1">
        <v>0</v>
      </c>
      <c r="L230" s="11">
        <f t="shared" si="13"/>
        <v>0</v>
      </c>
    </row>
    <row r="231" spans="1:12" x14ac:dyDescent="0.25">
      <c r="A231">
        <v>801</v>
      </c>
      <c r="B231">
        <v>1</v>
      </c>
      <c r="C231" t="s">
        <v>292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f t="shared" si="12"/>
        <v>0</v>
      </c>
      <c r="K231" s="1">
        <v>0</v>
      </c>
      <c r="L231" s="11">
        <f t="shared" si="13"/>
        <v>0</v>
      </c>
    </row>
    <row r="232" spans="1:12" x14ac:dyDescent="0.25">
      <c r="A232">
        <v>803</v>
      </c>
      <c r="B232">
        <v>1</v>
      </c>
      <c r="C232" t="s">
        <v>293</v>
      </c>
      <c r="D232" s="1">
        <v>0</v>
      </c>
      <c r="E232" s="1">
        <v>0</v>
      </c>
      <c r="F232" s="1">
        <v>49761.83</v>
      </c>
      <c r="G232" s="1">
        <v>49779.519999999997</v>
      </c>
      <c r="H232" s="1">
        <v>0</v>
      </c>
      <c r="I232" s="1">
        <v>0</v>
      </c>
      <c r="J232" s="1">
        <f t="shared" si="12"/>
        <v>0</v>
      </c>
      <c r="K232" s="1">
        <v>0</v>
      </c>
      <c r="L232" s="11">
        <f t="shared" si="13"/>
        <v>0</v>
      </c>
    </row>
    <row r="233" spans="1:12" x14ac:dyDescent="0.25">
      <c r="A233">
        <v>811</v>
      </c>
      <c r="B233">
        <v>1</v>
      </c>
      <c r="C233" t="s">
        <v>231</v>
      </c>
      <c r="D233" s="1">
        <v>141595.31</v>
      </c>
      <c r="E233" s="1">
        <v>0</v>
      </c>
      <c r="F233" s="1">
        <v>139197.72</v>
      </c>
      <c r="G233" s="1">
        <v>29246.19</v>
      </c>
      <c r="H233" s="1">
        <v>0</v>
      </c>
      <c r="I233" s="1">
        <v>430936</v>
      </c>
      <c r="J233" s="1">
        <f t="shared" si="12"/>
        <v>21546.799999999999</v>
      </c>
      <c r="K233" s="1">
        <v>0</v>
      </c>
      <c r="L233" s="11">
        <f t="shared" si="13"/>
        <v>0</v>
      </c>
    </row>
    <row r="234" spans="1:12" x14ac:dyDescent="0.25">
      <c r="A234">
        <v>813</v>
      </c>
      <c r="B234">
        <v>1</v>
      </c>
      <c r="C234" t="s">
        <v>163</v>
      </c>
      <c r="D234" s="1">
        <v>120209.57</v>
      </c>
      <c r="E234" s="1">
        <v>0</v>
      </c>
      <c r="F234" s="1">
        <v>96.21</v>
      </c>
      <c r="G234" s="1">
        <v>0</v>
      </c>
      <c r="H234" s="1">
        <v>0</v>
      </c>
      <c r="I234" s="1">
        <v>1415822</v>
      </c>
      <c r="J234" s="1">
        <f t="shared" si="12"/>
        <v>70791.100000000006</v>
      </c>
      <c r="K234" s="1">
        <v>0</v>
      </c>
      <c r="L234" s="11">
        <f t="shared" si="13"/>
        <v>49322.259999999995</v>
      </c>
    </row>
    <row r="235" spans="1:12" x14ac:dyDescent="0.25">
      <c r="A235">
        <v>815</v>
      </c>
      <c r="B235">
        <v>2</v>
      </c>
      <c r="C235" t="s">
        <v>164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f t="shared" si="12"/>
        <v>0</v>
      </c>
      <c r="K235" s="1">
        <v>0</v>
      </c>
      <c r="L235" s="11">
        <f t="shared" ref="L235:L266" si="14">MAX((D235-F235-G235-J235),0)</f>
        <v>0</v>
      </c>
    </row>
    <row r="236" spans="1:12" x14ac:dyDescent="0.25">
      <c r="A236">
        <v>818</v>
      </c>
      <c r="B236">
        <v>1</v>
      </c>
      <c r="C236" t="s">
        <v>165</v>
      </c>
      <c r="D236" s="1">
        <v>58141.45</v>
      </c>
      <c r="E236" s="1">
        <v>0</v>
      </c>
      <c r="F236" s="1">
        <v>12264.87</v>
      </c>
      <c r="G236" s="1">
        <v>15305.78</v>
      </c>
      <c r="H236" s="1">
        <v>0</v>
      </c>
      <c r="I236" s="1">
        <v>454832</v>
      </c>
      <c r="J236" s="1">
        <f t="shared" si="12"/>
        <v>22741.599999999999</v>
      </c>
      <c r="K236" s="1">
        <v>0</v>
      </c>
      <c r="L236" s="11">
        <f t="shared" si="14"/>
        <v>7829.1999999999971</v>
      </c>
    </row>
    <row r="237" spans="1:12" x14ac:dyDescent="0.25">
      <c r="A237">
        <v>820</v>
      </c>
      <c r="B237">
        <v>1</v>
      </c>
      <c r="C237" t="s">
        <v>166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f t="shared" si="12"/>
        <v>0</v>
      </c>
      <c r="K237" s="1">
        <v>0</v>
      </c>
      <c r="L237" s="11">
        <f t="shared" si="14"/>
        <v>0</v>
      </c>
    </row>
    <row r="238" spans="1:12" x14ac:dyDescent="0.25">
      <c r="A238">
        <v>821</v>
      </c>
      <c r="B238">
        <v>1</v>
      </c>
      <c r="C238" t="s">
        <v>167</v>
      </c>
      <c r="D238" s="1">
        <v>76172.94</v>
      </c>
      <c r="E238" s="1">
        <v>0</v>
      </c>
      <c r="F238" s="1">
        <v>3324.27</v>
      </c>
      <c r="G238" s="1">
        <v>28141.97</v>
      </c>
      <c r="H238" s="1">
        <v>0</v>
      </c>
      <c r="I238" s="1">
        <v>499074</v>
      </c>
      <c r="J238" s="1">
        <f t="shared" si="12"/>
        <v>24953.7</v>
      </c>
      <c r="K238" s="1">
        <v>0</v>
      </c>
      <c r="L238" s="11">
        <f t="shared" si="14"/>
        <v>19752.999999999996</v>
      </c>
    </row>
    <row r="239" spans="1:12" x14ac:dyDescent="0.25">
      <c r="A239">
        <v>829</v>
      </c>
      <c r="B239">
        <v>1</v>
      </c>
      <c r="C239" t="s">
        <v>168</v>
      </c>
      <c r="D239" s="1">
        <v>249259.3</v>
      </c>
      <c r="E239" s="1">
        <v>0</v>
      </c>
      <c r="F239" s="1">
        <v>62835.63</v>
      </c>
      <c r="G239" s="1">
        <v>60248</v>
      </c>
      <c r="H239" s="1">
        <v>0</v>
      </c>
      <c r="I239" s="1">
        <v>1447868</v>
      </c>
      <c r="J239" s="1">
        <f t="shared" si="12"/>
        <v>72393.399999999994</v>
      </c>
      <c r="K239" s="1">
        <v>0</v>
      </c>
      <c r="L239" s="11">
        <f t="shared" si="14"/>
        <v>53782.26999999999</v>
      </c>
    </row>
    <row r="240" spans="1:12" x14ac:dyDescent="0.25">
      <c r="A240">
        <v>831</v>
      </c>
      <c r="B240">
        <v>1</v>
      </c>
      <c r="C240" t="s">
        <v>169</v>
      </c>
      <c r="D240" s="1">
        <v>765898.17</v>
      </c>
      <c r="E240" s="1">
        <v>0</v>
      </c>
      <c r="F240" s="1">
        <v>185722.35</v>
      </c>
      <c r="G240" s="1">
        <v>164315.64000000001</v>
      </c>
      <c r="H240" s="1">
        <v>0</v>
      </c>
      <c r="I240" s="1">
        <v>4286888</v>
      </c>
      <c r="J240" s="1">
        <f t="shared" si="12"/>
        <v>214344.4</v>
      </c>
      <c r="K240" s="1">
        <v>0</v>
      </c>
      <c r="L240" s="11">
        <f t="shared" si="14"/>
        <v>201515.78000000006</v>
      </c>
    </row>
    <row r="241" spans="1:12" x14ac:dyDescent="0.25">
      <c r="A241">
        <v>832</v>
      </c>
      <c r="B241">
        <v>1</v>
      </c>
      <c r="C241" t="s">
        <v>170</v>
      </c>
      <c r="D241" s="1">
        <v>733802.57</v>
      </c>
      <c r="E241" s="1">
        <v>0</v>
      </c>
      <c r="F241" s="1">
        <v>0</v>
      </c>
      <c r="G241" s="1">
        <v>576807.78</v>
      </c>
      <c r="H241" s="1">
        <v>0</v>
      </c>
      <c r="I241" s="1">
        <v>5076598</v>
      </c>
      <c r="J241" s="1">
        <f t="shared" si="12"/>
        <v>253829.9</v>
      </c>
      <c r="K241" s="1">
        <v>0</v>
      </c>
      <c r="L241" s="11">
        <f t="shared" si="14"/>
        <v>0</v>
      </c>
    </row>
    <row r="242" spans="1:12" x14ac:dyDescent="0.25">
      <c r="A242">
        <v>833</v>
      </c>
      <c r="B242">
        <v>1</v>
      </c>
      <c r="C242" t="s">
        <v>298</v>
      </c>
      <c r="D242" s="1">
        <v>4722933.05</v>
      </c>
      <c r="E242" s="1">
        <v>883369</v>
      </c>
      <c r="F242" s="1">
        <v>0</v>
      </c>
      <c r="G242" s="1">
        <v>779691.29</v>
      </c>
      <c r="H242" s="1">
        <v>0</v>
      </c>
      <c r="I242" s="1">
        <v>27722873</v>
      </c>
      <c r="J242" s="1">
        <f t="shared" si="12"/>
        <v>1386143.65</v>
      </c>
      <c r="K242" s="1">
        <v>0</v>
      </c>
      <c r="L242" s="11">
        <f t="shared" si="14"/>
        <v>2557098.11</v>
      </c>
    </row>
    <row r="243" spans="1:12" x14ac:dyDescent="0.25">
      <c r="A243">
        <v>834</v>
      </c>
      <c r="B243">
        <v>1</v>
      </c>
      <c r="C243" t="s">
        <v>171</v>
      </c>
      <c r="D243" s="1">
        <v>1668084.26</v>
      </c>
      <c r="E243" s="1">
        <v>12498874.109999999</v>
      </c>
      <c r="F243" s="1">
        <v>335064.09999999998</v>
      </c>
      <c r="G243" s="1">
        <v>453841.36</v>
      </c>
      <c r="H243" s="1">
        <v>0</v>
      </c>
      <c r="I243" s="1">
        <v>8043009</v>
      </c>
      <c r="J243" s="1">
        <f t="shared" si="12"/>
        <v>402150.45</v>
      </c>
      <c r="K243" s="1">
        <v>0</v>
      </c>
      <c r="L243" s="11">
        <f t="shared" si="14"/>
        <v>477028.35000000015</v>
      </c>
    </row>
    <row r="244" spans="1:12" x14ac:dyDescent="0.25">
      <c r="A244">
        <v>836</v>
      </c>
      <c r="B244">
        <v>1</v>
      </c>
      <c r="C244" t="s">
        <v>172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f t="shared" si="12"/>
        <v>0</v>
      </c>
      <c r="K244" s="1">
        <v>0</v>
      </c>
      <c r="L244" s="11">
        <f t="shared" si="14"/>
        <v>0</v>
      </c>
    </row>
    <row r="245" spans="1:12" x14ac:dyDescent="0.25">
      <c r="A245">
        <v>837</v>
      </c>
      <c r="B245">
        <v>1</v>
      </c>
      <c r="C245" t="s">
        <v>173</v>
      </c>
      <c r="D245" s="1">
        <v>597415.74</v>
      </c>
      <c r="E245" s="1">
        <v>1315051.24</v>
      </c>
      <c r="F245" s="1">
        <v>29489.1</v>
      </c>
      <c r="G245" s="1">
        <v>45195.18</v>
      </c>
      <c r="H245" s="1">
        <v>0</v>
      </c>
      <c r="I245" s="1">
        <v>804671</v>
      </c>
      <c r="J245" s="1">
        <f t="shared" si="12"/>
        <v>40233.550000000003</v>
      </c>
      <c r="K245" s="1">
        <v>0</v>
      </c>
      <c r="L245" s="11">
        <f t="shared" si="14"/>
        <v>482497.91000000003</v>
      </c>
    </row>
    <row r="246" spans="1:12" x14ac:dyDescent="0.25">
      <c r="A246">
        <v>840</v>
      </c>
      <c r="B246">
        <v>1</v>
      </c>
      <c r="C246" t="s">
        <v>174</v>
      </c>
      <c r="D246" s="1">
        <v>9702.52</v>
      </c>
      <c r="E246" s="1">
        <v>0</v>
      </c>
      <c r="F246" s="1">
        <v>0</v>
      </c>
      <c r="G246" s="1">
        <v>0</v>
      </c>
      <c r="H246" s="1">
        <v>0</v>
      </c>
      <c r="I246" s="1">
        <v>351876</v>
      </c>
      <c r="J246" s="1">
        <f t="shared" si="12"/>
        <v>17593.8</v>
      </c>
      <c r="K246" s="1">
        <v>0</v>
      </c>
      <c r="L246" s="11">
        <f t="shared" si="14"/>
        <v>0</v>
      </c>
    </row>
    <row r="247" spans="1:12" x14ac:dyDescent="0.25">
      <c r="A247">
        <v>846</v>
      </c>
      <c r="B247">
        <v>1</v>
      </c>
      <c r="C247" t="s">
        <v>175</v>
      </c>
      <c r="D247" s="1">
        <v>60172.72</v>
      </c>
      <c r="E247" s="1">
        <v>0</v>
      </c>
      <c r="F247" s="1">
        <v>13828.82</v>
      </c>
      <c r="G247" s="1">
        <v>15217.89</v>
      </c>
      <c r="H247" s="1">
        <v>0</v>
      </c>
      <c r="I247" s="1">
        <v>334641</v>
      </c>
      <c r="J247" s="1">
        <f t="shared" si="12"/>
        <v>16732.05</v>
      </c>
      <c r="K247" s="1">
        <v>0</v>
      </c>
      <c r="L247" s="11">
        <f t="shared" si="14"/>
        <v>14393.960000000003</v>
      </c>
    </row>
    <row r="248" spans="1:12" x14ac:dyDescent="0.25">
      <c r="A248">
        <v>850</v>
      </c>
      <c r="B248">
        <v>1</v>
      </c>
      <c r="C248" t="s">
        <v>176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f t="shared" si="12"/>
        <v>0</v>
      </c>
      <c r="K248" s="1">
        <v>0</v>
      </c>
      <c r="L248" s="11">
        <f t="shared" si="14"/>
        <v>0</v>
      </c>
    </row>
    <row r="249" spans="1:12" x14ac:dyDescent="0.25">
      <c r="A249">
        <v>852</v>
      </c>
      <c r="B249">
        <v>1</v>
      </c>
      <c r="C249" t="s">
        <v>232</v>
      </c>
      <c r="D249" s="1">
        <v>34823.43</v>
      </c>
      <c r="E249" s="1">
        <v>0</v>
      </c>
      <c r="F249" s="1">
        <v>0</v>
      </c>
      <c r="G249" s="1">
        <v>0</v>
      </c>
      <c r="H249" s="1">
        <v>0</v>
      </c>
      <c r="I249" s="1">
        <v>248003</v>
      </c>
      <c r="J249" s="1">
        <f t="shared" si="12"/>
        <v>12400.15</v>
      </c>
      <c r="K249" s="1">
        <v>0</v>
      </c>
      <c r="L249" s="11">
        <f t="shared" si="14"/>
        <v>22423.279999999999</v>
      </c>
    </row>
    <row r="250" spans="1:12" x14ac:dyDescent="0.25">
      <c r="A250">
        <v>857</v>
      </c>
      <c r="B250">
        <v>1</v>
      </c>
      <c r="C250" t="s">
        <v>177</v>
      </c>
      <c r="D250" s="1">
        <v>272762.98</v>
      </c>
      <c r="E250" s="1">
        <v>0</v>
      </c>
      <c r="F250" s="1">
        <v>190816.09</v>
      </c>
      <c r="G250" s="1">
        <v>19826.900000000001</v>
      </c>
      <c r="H250" s="1">
        <v>0</v>
      </c>
      <c r="I250" s="1">
        <v>453756</v>
      </c>
      <c r="J250" s="1">
        <f t="shared" si="12"/>
        <v>22687.8</v>
      </c>
      <c r="K250" s="1">
        <v>0</v>
      </c>
      <c r="L250" s="11">
        <f t="shared" si="14"/>
        <v>39432.189999999988</v>
      </c>
    </row>
    <row r="251" spans="1:12" x14ac:dyDescent="0.25">
      <c r="A251">
        <v>858</v>
      </c>
      <c r="B251">
        <v>1</v>
      </c>
      <c r="C251" t="s">
        <v>178</v>
      </c>
      <c r="D251" s="1">
        <v>157447.74</v>
      </c>
      <c r="E251" s="1">
        <v>0</v>
      </c>
      <c r="F251" s="1">
        <v>43064.15</v>
      </c>
      <c r="G251" s="1">
        <v>38143.17</v>
      </c>
      <c r="H251" s="1">
        <v>0</v>
      </c>
      <c r="I251" s="1">
        <v>751706</v>
      </c>
      <c r="J251" s="1">
        <f t="shared" si="12"/>
        <v>37585.300000000003</v>
      </c>
      <c r="K251" s="1">
        <v>0</v>
      </c>
      <c r="L251" s="11">
        <f t="shared" si="14"/>
        <v>38655.119999999995</v>
      </c>
    </row>
    <row r="252" spans="1:12" x14ac:dyDescent="0.25">
      <c r="A252">
        <v>861</v>
      </c>
      <c r="B252">
        <v>1</v>
      </c>
      <c r="C252" t="s">
        <v>179</v>
      </c>
      <c r="D252" s="1">
        <v>441208.68</v>
      </c>
      <c r="E252" s="1">
        <v>0</v>
      </c>
      <c r="F252" s="1">
        <v>124612.77</v>
      </c>
      <c r="G252" s="1">
        <v>129400.51</v>
      </c>
      <c r="H252" s="1">
        <v>0</v>
      </c>
      <c r="I252" s="1">
        <v>1791799</v>
      </c>
      <c r="J252" s="1">
        <f t="shared" si="12"/>
        <v>89589.95</v>
      </c>
      <c r="K252" s="1">
        <v>0</v>
      </c>
      <c r="L252" s="11">
        <f t="shared" si="14"/>
        <v>97605.449999999968</v>
      </c>
    </row>
    <row r="253" spans="1:12" x14ac:dyDescent="0.25">
      <c r="A253">
        <v>876</v>
      </c>
      <c r="B253">
        <v>1</v>
      </c>
      <c r="C253" t="s">
        <v>180</v>
      </c>
      <c r="D253" s="1">
        <v>84313.1</v>
      </c>
      <c r="E253" s="1">
        <v>0</v>
      </c>
      <c r="F253" s="1">
        <v>0</v>
      </c>
      <c r="G253" s="1">
        <v>0</v>
      </c>
      <c r="H253" s="1">
        <v>0</v>
      </c>
      <c r="I253" s="1">
        <v>2431275</v>
      </c>
      <c r="J253" s="1">
        <f t="shared" si="12"/>
        <v>121563.75</v>
      </c>
      <c r="K253" s="1">
        <v>0</v>
      </c>
      <c r="L253" s="11">
        <f t="shared" si="14"/>
        <v>0</v>
      </c>
    </row>
    <row r="254" spans="1:12" x14ac:dyDescent="0.25">
      <c r="A254">
        <v>877</v>
      </c>
      <c r="B254">
        <v>1</v>
      </c>
      <c r="C254" t="s">
        <v>181</v>
      </c>
      <c r="D254" s="1">
        <v>1392882.69</v>
      </c>
      <c r="E254" s="1">
        <v>34825672.439999998</v>
      </c>
      <c r="F254" s="1">
        <v>366780.11</v>
      </c>
      <c r="G254" s="1">
        <v>319910.84000000003</v>
      </c>
      <c r="H254" s="1">
        <v>0</v>
      </c>
      <c r="I254" s="1">
        <v>6628309</v>
      </c>
      <c r="J254" s="1">
        <f t="shared" si="12"/>
        <v>331415.45</v>
      </c>
      <c r="K254" s="1">
        <v>0</v>
      </c>
      <c r="L254" s="11">
        <f t="shared" si="14"/>
        <v>374776.29</v>
      </c>
    </row>
    <row r="255" spans="1:12" x14ac:dyDescent="0.25">
      <c r="A255">
        <v>879</v>
      </c>
      <c r="B255">
        <v>1</v>
      </c>
      <c r="C255" t="s">
        <v>182</v>
      </c>
      <c r="D255" s="1">
        <v>732540.18</v>
      </c>
      <c r="E255" s="1">
        <v>0</v>
      </c>
      <c r="F255" s="1">
        <v>124355.6</v>
      </c>
      <c r="G255" s="1">
        <v>363204.87</v>
      </c>
      <c r="H255" s="1">
        <v>0</v>
      </c>
      <c r="I255" s="1">
        <v>2439484</v>
      </c>
      <c r="J255" s="1">
        <f t="shared" si="12"/>
        <v>121974.2</v>
      </c>
      <c r="K255" s="1">
        <v>0</v>
      </c>
      <c r="L255" s="11">
        <f t="shared" si="14"/>
        <v>123005.51000000008</v>
      </c>
    </row>
    <row r="256" spans="1:12" x14ac:dyDescent="0.25">
      <c r="A256">
        <v>881</v>
      </c>
      <c r="B256">
        <v>1</v>
      </c>
      <c r="C256" t="s">
        <v>183</v>
      </c>
      <c r="D256" s="1">
        <v>163455.17000000001</v>
      </c>
      <c r="E256" s="1">
        <v>0</v>
      </c>
      <c r="F256" s="1">
        <v>88532.43</v>
      </c>
      <c r="G256" s="1">
        <v>0</v>
      </c>
      <c r="H256" s="1">
        <v>0</v>
      </c>
      <c r="I256" s="1">
        <v>1621442</v>
      </c>
      <c r="J256" s="1">
        <f t="shared" si="12"/>
        <v>81072.100000000006</v>
      </c>
      <c r="K256" s="1">
        <v>0</v>
      </c>
      <c r="L256" s="11">
        <f t="shared" si="14"/>
        <v>0</v>
      </c>
    </row>
    <row r="257" spans="1:12" x14ac:dyDescent="0.25">
      <c r="A257">
        <v>882</v>
      </c>
      <c r="B257">
        <v>1</v>
      </c>
      <c r="C257" t="s">
        <v>184</v>
      </c>
      <c r="D257" s="1">
        <v>1694790.37</v>
      </c>
      <c r="E257" s="1">
        <v>0</v>
      </c>
      <c r="F257" s="1">
        <v>810162.26</v>
      </c>
      <c r="G257" s="1">
        <v>422147.6</v>
      </c>
      <c r="H257" s="1">
        <v>0</v>
      </c>
      <c r="I257" s="1">
        <v>5248084</v>
      </c>
      <c r="J257" s="1">
        <f t="shared" si="12"/>
        <v>262404.2</v>
      </c>
      <c r="K257" s="1">
        <v>0</v>
      </c>
      <c r="L257" s="11">
        <f t="shared" si="14"/>
        <v>200076.31000000011</v>
      </c>
    </row>
    <row r="258" spans="1:12" x14ac:dyDescent="0.25">
      <c r="A258">
        <v>883</v>
      </c>
      <c r="B258">
        <v>1</v>
      </c>
      <c r="C258" t="s">
        <v>185</v>
      </c>
      <c r="D258" s="1">
        <v>623898.39</v>
      </c>
      <c r="E258" s="1">
        <v>0</v>
      </c>
      <c r="F258" s="1">
        <v>156249.57</v>
      </c>
      <c r="G258" s="1">
        <v>0</v>
      </c>
      <c r="H258" s="1">
        <v>51909</v>
      </c>
      <c r="I258" s="1">
        <v>3259602</v>
      </c>
      <c r="J258" s="1">
        <f t="shared" si="12"/>
        <v>162980.1</v>
      </c>
      <c r="K258" s="1">
        <v>0</v>
      </c>
      <c r="L258" s="11">
        <f t="shared" si="14"/>
        <v>304668.71999999997</v>
      </c>
    </row>
    <row r="259" spans="1:12" x14ac:dyDescent="0.25">
      <c r="A259">
        <v>885</v>
      </c>
      <c r="B259">
        <v>1</v>
      </c>
      <c r="C259" t="s">
        <v>233</v>
      </c>
      <c r="D259" s="1">
        <v>3034140.43</v>
      </c>
      <c r="E259" s="1">
        <v>0</v>
      </c>
      <c r="F259" s="1">
        <v>0</v>
      </c>
      <c r="G259" s="1">
        <v>410898.63</v>
      </c>
      <c r="H259" s="1">
        <v>600000</v>
      </c>
      <c r="I259" s="1">
        <v>14142597</v>
      </c>
      <c r="J259" s="1">
        <f t="shared" si="12"/>
        <v>707129.85</v>
      </c>
      <c r="K259" s="1">
        <v>0</v>
      </c>
      <c r="L259" s="11">
        <f t="shared" si="14"/>
        <v>1916111.9500000002</v>
      </c>
    </row>
    <row r="260" spans="1:12" x14ac:dyDescent="0.25">
      <c r="A260">
        <v>891</v>
      </c>
      <c r="B260">
        <v>1</v>
      </c>
      <c r="C260" t="s">
        <v>186</v>
      </c>
      <c r="D260" s="1">
        <v>81777.37</v>
      </c>
      <c r="E260" s="1">
        <v>0</v>
      </c>
      <c r="F260" s="1">
        <v>21252.32</v>
      </c>
      <c r="G260" s="1">
        <v>17541.23</v>
      </c>
      <c r="H260" s="1">
        <v>0</v>
      </c>
      <c r="I260" s="1">
        <v>338948</v>
      </c>
      <c r="J260" s="1">
        <f t="shared" si="12"/>
        <v>16947.400000000001</v>
      </c>
      <c r="K260" s="1">
        <v>0</v>
      </c>
      <c r="L260" s="11">
        <f t="shared" si="14"/>
        <v>26036.419999999991</v>
      </c>
    </row>
    <row r="261" spans="1:12" x14ac:dyDescent="0.25">
      <c r="A261">
        <v>911</v>
      </c>
      <c r="B261">
        <v>1</v>
      </c>
      <c r="C261" t="s">
        <v>234</v>
      </c>
      <c r="D261" s="1">
        <v>779511.85</v>
      </c>
      <c r="E261" s="1">
        <v>0</v>
      </c>
      <c r="F261" s="1">
        <v>33239.379999999997</v>
      </c>
      <c r="G261" s="1">
        <v>234510.66</v>
      </c>
      <c r="H261" s="1">
        <v>0</v>
      </c>
      <c r="I261" s="1">
        <v>6044700</v>
      </c>
      <c r="J261" s="1">
        <f t="shared" si="12"/>
        <v>302235</v>
      </c>
      <c r="K261" s="1">
        <v>0</v>
      </c>
      <c r="L261" s="11">
        <f t="shared" si="14"/>
        <v>209526.80999999994</v>
      </c>
    </row>
    <row r="262" spans="1:12" x14ac:dyDescent="0.25">
      <c r="A262">
        <v>912</v>
      </c>
      <c r="B262">
        <v>1</v>
      </c>
      <c r="C262" t="s">
        <v>187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1619338</v>
      </c>
      <c r="J262" s="1">
        <f t="shared" ref="J262:J325" si="15">ROUND(I262/20,2)</f>
        <v>80966.899999999994</v>
      </c>
      <c r="K262" s="1">
        <v>0</v>
      </c>
      <c r="L262" s="11">
        <f t="shared" si="14"/>
        <v>0</v>
      </c>
    </row>
    <row r="263" spans="1:12" x14ac:dyDescent="0.25">
      <c r="A263">
        <v>914</v>
      </c>
      <c r="B263">
        <v>1</v>
      </c>
      <c r="C263" t="s">
        <v>235</v>
      </c>
      <c r="D263" s="1">
        <v>140677.81</v>
      </c>
      <c r="E263" s="1">
        <v>0</v>
      </c>
      <c r="F263" s="1">
        <v>29738.32</v>
      </c>
      <c r="G263" s="1">
        <v>35565.46</v>
      </c>
      <c r="H263" s="1">
        <v>0</v>
      </c>
      <c r="I263" s="1">
        <v>669727</v>
      </c>
      <c r="J263" s="1">
        <f t="shared" si="15"/>
        <v>33486.35</v>
      </c>
      <c r="K263" s="1">
        <v>0</v>
      </c>
      <c r="L263" s="11">
        <f t="shared" si="14"/>
        <v>41887.68</v>
      </c>
    </row>
    <row r="264" spans="1:12" x14ac:dyDescent="0.25">
      <c r="A264">
        <v>2071</v>
      </c>
      <c r="B264">
        <v>1</v>
      </c>
      <c r="C264" t="s">
        <v>236</v>
      </c>
      <c r="D264" s="1">
        <v>160374.72</v>
      </c>
      <c r="E264" s="1">
        <v>0</v>
      </c>
      <c r="F264" s="1">
        <v>0</v>
      </c>
      <c r="G264" s="1">
        <v>21810.46</v>
      </c>
      <c r="H264" s="1">
        <v>0</v>
      </c>
      <c r="I264" s="1">
        <v>1394744</v>
      </c>
      <c r="J264" s="1">
        <f t="shared" si="15"/>
        <v>69737.2</v>
      </c>
      <c r="K264" s="1">
        <v>0</v>
      </c>
      <c r="L264" s="11">
        <f t="shared" si="14"/>
        <v>68827.060000000012</v>
      </c>
    </row>
    <row r="265" spans="1:12" x14ac:dyDescent="0.25">
      <c r="A265">
        <v>2125</v>
      </c>
      <c r="B265">
        <v>1</v>
      </c>
      <c r="C265" t="s">
        <v>188</v>
      </c>
      <c r="D265" s="1">
        <v>150302.07</v>
      </c>
      <c r="E265" s="1">
        <v>0</v>
      </c>
      <c r="F265" s="1">
        <v>41109.93</v>
      </c>
      <c r="G265" s="1">
        <v>226.32</v>
      </c>
      <c r="H265" s="1">
        <v>0</v>
      </c>
      <c r="I265" s="1">
        <v>987798</v>
      </c>
      <c r="J265" s="1">
        <f t="shared" si="15"/>
        <v>49389.9</v>
      </c>
      <c r="K265" s="1">
        <v>0</v>
      </c>
      <c r="L265" s="11">
        <f t="shared" si="14"/>
        <v>59575.920000000006</v>
      </c>
    </row>
    <row r="266" spans="1:12" x14ac:dyDescent="0.25">
      <c r="A266">
        <v>2134</v>
      </c>
      <c r="B266">
        <v>1</v>
      </c>
      <c r="C266" t="s">
        <v>297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2051825</v>
      </c>
      <c r="J266" s="1">
        <f t="shared" si="15"/>
        <v>102591.25</v>
      </c>
      <c r="K266" s="1">
        <v>0</v>
      </c>
      <c r="L266" s="11">
        <f t="shared" si="14"/>
        <v>0</v>
      </c>
    </row>
    <row r="267" spans="1:12" x14ac:dyDescent="0.25">
      <c r="A267">
        <v>2135</v>
      </c>
      <c r="B267">
        <v>1</v>
      </c>
      <c r="C267" t="s">
        <v>189</v>
      </c>
      <c r="D267" s="1">
        <v>92913.4</v>
      </c>
      <c r="E267" s="1">
        <v>0</v>
      </c>
      <c r="F267" s="1">
        <v>22188.21</v>
      </c>
      <c r="G267" s="1">
        <v>24515.65</v>
      </c>
      <c r="H267" s="1">
        <v>0</v>
      </c>
      <c r="I267" s="1">
        <v>474257</v>
      </c>
      <c r="J267" s="1">
        <f t="shared" si="15"/>
        <v>23712.85</v>
      </c>
      <c r="K267" s="1">
        <v>0</v>
      </c>
      <c r="L267" s="11">
        <f t="shared" ref="L267:L302" si="16">MAX((D267-F267-G267-J267),0)</f>
        <v>22496.690000000002</v>
      </c>
    </row>
    <row r="268" spans="1:12" x14ac:dyDescent="0.25">
      <c r="A268">
        <v>2137</v>
      </c>
      <c r="B268">
        <v>1</v>
      </c>
      <c r="C268" t="s">
        <v>190</v>
      </c>
      <c r="D268" s="1">
        <v>195767.69</v>
      </c>
      <c r="E268" s="1">
        <v>0</v>
      </c>
      <c r="F268" s="1">
        <v>48642.7</v>
      </c>
      <c r="G268" s="1">
        <v>46088.639999999999</v>
      </c>
      <c r="H268" s="1">
        <v>0</v>
      </c>
      <c r="I268" s="1">
        <v>1086829</v>
      </c>
      <c r="J268" s="1">
        <f t="shared" si="15"/>
        <v>54341.45</v>
      </c>
      <c r="K268" s="1">
        <v>0</v>
      </c>
      <c r="L268" s="11">
        <f t="shared" si="16"/>
        <v>46694.899999999994</v>
      </c>
    </row>
    <row r="269" spans="1:12" x14ac:dyDescent="0.25">
      <c r="A269">
        <v>2142</v>
      </c>
      <c r="B269">
        <v>1</v>
      </c>
      <c r="C269" t="s">
        <v>237</v>
      </c>
      <c r="D269" s="1">
        <v>515134.89</v>
      </c>
      <c r="E269" s="1">
        <v>0</v>
      </c>
      <c r="F269" s="1">
        <v>0</v>
      </c>
      <c r="G269" s="1">
        <v>26693.97</v>
      </c>
      <c r="H269" s="1">
        <v>0</v>
      </c>
      <c r="I269" s="1">
        <v>5617697</v>
      </c>
      <c r="J269" s="1">
        <f t="shared" si="15"/>
        <v>280884.84999999998</v>
      </c>
      <c r="K269" s="1">
        <v>0</v>
      </c>
      <c r="L269" s="11">
        <f t="shared" si="16"/>
        <v>207556.07000000007</v>
      </c>
    </row>
    <row r="270" spans="1:12" x14ac:dyDescent="0.25">
      <c r="A270">
        <v>2143</v>
      </c>
      <c r="B270">
        <v>1</v>
      </c>
      <c r="C270" t="s">
        <v>238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f t="shared" si="15"/>
        <v>0</v>
      </c>
      <c r="K270" s="1">
        <v>0</v>
      </c>
      <c r="L270" s="11">
        <f t="shared" si="16"/>
        <v>0</v>
      </c>
    </row>
    <row r="271" spans="1:12" x14ac:dyDescent="0.25">
      <c r="A271">
        <v>2144</v>
      </c>
      <c r="B271">
        <v>1</v>
      </c>
      <c r="C271" t="s">
        <v>30</v>
      </c>
      <c r="D271" s="1">
        <v>699726.9</v>
      </c>
      <c r="E271" s="1">
        <v>0</v>
      </c>
      <c r="F271" s="1">
        <v>173115.44</v>
      </c>
      <c r="G271" s="1">
        <v>301345.5</v>
      </c>
      <c r="H271" s="1">
        <v>0</v>
      </c>
      <c r="I271" s="1">
        <v>3308261</v>
      </c>
      <c r="J271" s="1">
        <f t="shared" si="15"/>
        <v>165413.04999999999</v>
      </c>
      <c r="K271" s="1">
        <v>0</v>
      </c>
      <c r="L271" s="11">
        <f t="shared" si="16"/>
        <v>59852.909999999974</v>
      </c>
    </row>
    <row r="272" spans="1:12" x14ac:dyDescent="0.25">
      <c r="A272">
        <v>2149</v>
      </c>
      <c r="B272">
        <v>1</v>
      </c>
      <c r="C272" t="s">
        <v>191</v>
      </c>
      <c r="D272" s="1">
        <v>322238.73</v>
      </c>
      <c r="E272" s="1">
        <v>0</v>
      </c>
      <c r="F272" s="1">
        <v>130347.48</v>
      </c>
      <c r="G272" s="1">
        <v>61777.06</v>
      </c>
      <c r="H272" s="1">
        <v>0</v>
      </c>
      <c r="I272" s="1">
        <v>893417</v>
      </c>
      <c r="J272" s="1">
        <f t="shared" si="15"/>
        <v>44670.85</v>
      </c>
      <c r="K272" s="1">
        <v>0</v>
      </c>
      <c r="L272" s="11">
        <f t="shared" si="16"/>
        <v>85443.34</v>
      </c>
    </row>
    <row r="273" spans="1:12" x14ac:dyDescent="0.25">
      <c r="A273">
        <v>2154</v>
      </c>
      <c r="B273">
        <v>1</v>
      </c>
      <c r="C273" t="s">
        <v>239</v>
      </c>
      <c r="D273" s="1">
        <v>8919.02</v>
      </c>
      <c r="E273" s="1">
        <v>0</v>
      </c>
      <c r="F273" s="1">
        <v>0</v>
      </c>
      <c r="G273" s="1">
        <v>0</v>
      </c>
      <c r="H273" s="1">
        <v>0</v>
      </c>
      <c r="I273" s="1">
        <f>100169</f>
        <v>100169</v>
      </c>
      <c r="J273" s="1">
        <f t="shared" si="15"/>
        <v>5008.45</v>
      </c>
      <c r="K273" s="1">
        <v>0</v>
      </c>
      <c r="L273" s="11">
        <f t="shared" si="16"/>
        <v>3910.5700000000006</v>
      </c>
    </row>
    <row r="274" spans="1:12" x14ac:dyDescent="0.25">
      <c r="A274">
        <v>2155</v>
      </c>
      <c r="B274">
        <v>1</v>
      </c>
      <c r="C274" t="s">
        <v>240</v>
      </c>
      <c r="D274" s="1">
        <v>259855.07</v>
      </c>
      <c r="E274" s="1">
        <v>0</v>
      </c>
      <c r="F274" s="1">
        <v>62423.06</v>
      </c>
      <c r="G274" s="1">
        <v>93339.92</v>
      </c>
      <c r="H274" s="1">
        <v>0</v>
      </c>
      <c r="I274" s="1">
        <f>686175</f>
        <v>686175</v>
      </c>
      <c r="J274" s="1">
        <f t="shared" si="15"/>
        <v>34308.75</v>
      </c>
      <c r="K274" s="1">
        <v>0</v>
      </c>
      <c r="L274" s="11">
        <f t="shared" si="16"/>
        <v>69783.340000000011</v>
      </c>
    </row>
    <row r="275" spans="1:12" x14ac:dyDescent="0.25">
      <c r="A275">
        <v>2159</v>
      </c>
      <c r="B275">
        <v>1</v>
      </c>
      <c r="C275" t="s">
        <v>241</v>
      </c>
      <c r="D275" s="1">
        <v>51353.43</v>
      </c>
      <c r="E275" s="1">
        <v>0</v>
      </c>
      <c r="F275" s="1">
        <v>0</v>
      </c>
      <c r="G275" s="1">
        <v>0</v>
      </c>
      <c r="H275" s="1">
        <v>34000</v>
      </c>
      <c r="I275" s="1">
        <v>0</v>
      </c>
      <c r="J275" s="1">
        <f t="shared" si="15"/>
        <v>0</v>
      </c>
      <c r="K275" s="1">
        <v>0</v>
      </c>
      <c r="L275" s="11">
        <f t="shared" si="16"/>
        <v>51353.43</v>
      </c>
    </row>
    <row r="276" spans="1:12" x14ac:dyDescent="0.25">
      <c r="A276">
        <v>2164</v>
      </c>
      <c r="B276">
        <v>1</v>
      </c>
      <c r="C276" t="s">
        <v>242</v>
      </c>
      <c r="D276" s="1">
        <v>0</v>
      </c>
      <c r="E276" s="1">
        <v>0</v>
      </c>
      <c r="F276" s="1">
        <v>36606.17</v>
      </c>
      <c r="G276" s="1">
        <v>0</v>
      </c>
      <c r="H276" s="1">
        <v>0</v>
      </c>
      <c r="I276" s="1">
        <v>1250167</v>
      </c>
      <c r="J276" s="1">
        <f t="shared" si="15"/>
        <v>62508.35</v>
      </c>
      <c r="K276" s="1">
        <v>0</v>
      </c>
      <c r="L276" s="11">
        <f t="shared" si="16"/>
        <v>0</v>
      </c>
    </row>
    <row r="277" spans="1:12" x14ac:dyDescent="0.25">
      <c r="A277">
        <v>2165</v>
      </c>
      <c r="B277">
        <v>1</v>
      </c>
      <c r="C277" t="s">
        <v>243</v>
      </c>
      <c r="D277" s="1">
        <v>172868.44</v>
      </c>
      <c r="E277" s="1">
        <v>0</v>
      </c>
      <c r="F277" s="1">
        <v>161909.47</v>
      </c>
      <c r="G277" s="1">
        <v>0</v>
      </c>
      <c r="H277" s="1">
        <v>0</v>
      </c>
      <c r="I277" s="1">
        <v>879005</v>
      </c>
      <c r="J277" s="1">
        <f t="shared" si="15"/>
        <v>43950.25</v>
      </c>
      <c r="K277" s="1">
        <v>0</v>
      </c>
      <c r="L277" s="11">
        <f t="shared" si="16"/>
        <v>0</v>
      </c>
    </row>
    <row r="278" spans="1:12" x14ac:dyDescent="0.25">
      <c r="A278">
        <v>2167</v>
      </c>
      <c r="B278">
        <v>1</v>
      </c>
      <c r="C278" t="s">
        <v>192</v>
      </c>
      <c r="D278" s="1">
        <v>182333.62</v>
      </c>
      <c r="E278" s="1">
        <v>0</v>
      </c>
      <c r="F278" s="1">
        <v>48702.31</v>
      </c>
      <c r="G278" s="1">
        <v>44855.19</v>
      </c>
      <c r="H278" s="1">
        <v>0</v>
      </c>
      <c r="I278" s="1">
        <v>860040</v>
      </c>
      <c r="J278" s="1">
        <f t="shared" si="15"/>
        <v>43002</v>
      </c>
      <c r="K278" s="1">
        <v>0</v>
      </c>
      <c r="L278" s="11">
        <f t="shared" si="16"/>
        <v>45774.119999999995</v>
      </c>
    </row>
    <row r="279" spans="1:12" x14ac:dyDescent="0.25">
      <c r="A279">
        <v>2168</v>
      </c>
      <c r="B279">
        <v>1</v>
      </c>
      <c r="C279" t="s">
        <v>193</v>
      </c>
      <c r="D279" s="1">
        <v>244867.94</v>
      </c>
      <c r="E279" s="1">
        <v>0</v>
      </c>
      <c r="F279" s="1">
        <v>144443.79</v>
      </c>
      <c r="G279" s="1">
        <v>33074.06</v>
      </c>
      <c r="H279" s="1">
        <v>0</v>
      </c>
      <c r="I279" s="1">
        <v>814919</v>
      </c>
      <c r="J279" s="1">
        <f t="shared" si="15"/>
        <v>40745.949999999997</v>
      </c>
      <c r="K279" s="1">
        <v>0</v>
      </c>
      <c r="L279" s="11">
        <f t="shared" si="16"/>
        <v>26604.14</v>
      </c>
    </row>
    <row r="280" spans="1:12" x14ac:dyDescent="0.25">
      <c r="A280">
        <v>2169</v>
      </c>
      <c r="B280">
        <v>1</v>
      </c>
      <c r="C280" t="s">
        <v>244</v>
      </c>
      <c r="D280" s="1">
        <v>360507.62</v>
      </c>
      <c r="E280" s="1">
        <v>0</v>
      </c>
      <c r="F280" s="1">
        <v>255305.8</v>
      </c>
      <c r="G280" s="1">
        <v>35411.120000000003</v>
      </c>
      <c r="H280" s="1">
        <v>0</v>
      </c>
      <c r="I280" s="1">
        <v>690627</v>
      </c>
      <c r="J280" s="1">
        <f t="shared" si="15"/>
        <v>34531.35</v>
      </c>
      <c r="K280" s="1">
        <v>0</v>
      </c>
      <c r="L280" s="11">
        <f t="shared" si="16"/>
        <v>35259.350000000013</v>
      </c>
    </row>
    <row r="281" spans="1:12" x14ac:dyDescent="0.25">
      <c r="A281">
        <v>2170</v>
      </c>
      <c r="B281">
        <v>1</v>
      </c>
      <c r="C281" t="s">
        <v>245</v>
      </c>
      <c r="D281" s="1">
        <v>35539.1</v>
      </c>
      <c r="E281" s="1">
        <v>0</v>
      </c>
      <c r="F281" s="1">
        <v>23929.67</v>
      </c>
      <c r="G281" s="1">
        <v>0</v>
      </c>
      <c r="H281" s="1">
        <v>0</v>
      </c>
      <c r="I281" s="1">
        <v>295752</v>
      </c>
      <c r="J281" s="1">
        <f t="shared" si="15"/>
        <v>14787.6</v>
      </c>
      <c r="K281" s="1">
        <v>0</v>
      </c>
      <c r="L281" s="11">
        <f t="shared" si="16"/>
        <v>0</v>
      </c>
    </row>
    <row r="282" spans="1:12" x14ac:dyDescent="0.25">
      <c r="A282">
        <v>2171</v>
      </c>
      <c r="B282">
        <v>1</v>
      </c>
      <c r="C282" t="s">
        <v>246</v>
      </c>
      <c r="D282" s="1">
        <v>84511.09</v>
      </c>
      <c r="E282" s="1">
        <v>0</v>
      </c>
      <c r="F282" s="1">
        <v>24371.78</v>
      </c>
      <c r="G282" s="1">
        <v>22489.360000000001</v>
      </c>
      <c r="H282" s="1">
        <v>0</v>
      </c>
      <c r="I282" s="1">
        <v>390616</v>
      </c>
      <c r="J282" s="1">
        <f t="shared" si="15"/>
        <v>19530.8</v>
      </c>
      <c r="K282" s="1">
        <v>0</v>
      </c>
      <c r="L282" s="11">
        <f t="shared" si="16"/>
        <v>18119.149999999998</v>
      </c>
    </row>
    <row r="283" spans="1:12" x14ac:dyDescent="0.25">
      <c r="A283">
        <v>2172</v>
      </c>
      <c r="B283">
        <v>1</v>
      </c>
      <c r="C283" t="s">
        <v>247</v>
      </c>
      <c r="D283" s="1">
        <v>708255.45</v>
      </c>
      <c r="E283" s="1">
        <v>0</v>
      </c>
      <c r="F283" s="1">
        <v>200235.51</v>
      </c>
      <c r="G283" s="1">
        <v>213272.08</v>
      </c>
      <c r="H283" s="1">
        <v>250000</v>
      </c>
      <c r="I283" s="1">
        <v>1307610</v>
      </c>
      <c r="J283" s="1">
        <f t="shared" si="15"/>
        <v>65380.5</v>
      </c>
      <c r="K283" s="1">
        <v>0</v>
      </c>
      <c r="L283" s="11">
        <f t="shared" si="16"/>
        <v>229367.36</v>
      </c>
    </row>
    <row r="284" spans="1:12" x14ac:dyDescent="0.25">
      <c r="A284">
        <v>2174</v>
      </c>
      <c r="B284">
        <v>1</v>
      </c>
      <c r="C284" t="s">
        <v>248</v>
      </c>
      <c r="D284" s="1">
        <v>170345.83</v>
      </c>
      <c r="E284" s="1">
        <v>602521.47</v>
      </c>
      <c r="F284" s="1">
        <v>21257.96</v>
      </c>
      <c r="G284" s="1">
        <v>25058.43</v>
      </c>
      <c r="H284" s="1">
        <v>0</v>
      </c>
      <c r="I284" s="1">
        <v>442532</v>
      </c>
      <c r="J284" s="1">
        <f t="shared" si="15"/>
        <v>22126.6</v>
      </c>
      <c r="K284" s="1">
        <v>0</v>
      </c>
      <c r="L284" s="11">
        <f t="shared" si="16"/>
        <v>101902.84</v>
      </c>
    </row>
    <row r="285" spans="1:12" x14ac:dyDescent="0.25">
      <c r="A285">
        <v>2176</v>
      </c>
      <c r="B285">
        <v>1</v>
      </c>
      <c r="C285" t="s">
        <v>249</v>
      </c>
      <c r="D285" s="1">
        <v>106590.56</v>
      </c>
      <c r="E285" s="1">
        <v>0</v>
      </c>
      <c r="F285" s="1">
        <v>0</v>
      </c>
      <c r="G285" s="1">
        <v>0</v>
      </c>
      <c r="H285" s="1">
        <v>0</v>
      </c>
      <c r="I285" s="1">
        <v>274266</v>
      </c>
      <c r="J285" s="1">
        <f t="shared" si="15"/>
        <v>13713.3</v>
      </c>
      <c r="K285" s="1">
        <v>0</v>
      </c>
      <c r="L285" s="11">
        <f t="shared" si="16"/>
        <v>92877.26</v>
      </c>
    </row>
    <row r="286" spans="1:12" x14ac:dyDescent="0.25">
      <c r="A286">
        <v>2180</v>
      </c>
      <c r="B286">
        <v>1</v>
      </c>
      <c r="C286" t="s">
        <v>194</v>
      </c>
      <c r="D286" s="1">
        <v>129977</v>
      </c>
      <c r="E286" s="1">
        <v>0</v>
      </c>
      <c r="F286" s="1">
        <v>28616.080000000002</v>
      </c>
      <c r="G286" s="1">
        <v>38232.69</v>
      </c>
      <c r="H286" s="1">
        <v>0</v>
      </c>
      <c r="I286" s="1">
        <v>773432</v>
      </c>
      <c r="J286" s="1">
        <f t="shared" si="15"/>
        <v>38671.599999999999</v>
      </c>
      <c r="K286" s="1">
        <v>0</v>
      </c>
      <c r="L286" s="11">
        <f t="shared" si="16"/>
        <v>24456.629999999997</v>
      </c>
    </row>
    <row r="287" spans="1:12" x14ac:dyDescent="0.25">
      <c r="A287">
        <v>2184</v>
      </c>
      <c r="B287">
        <v>1</v>
      </c>
      <c r="C287" t="s">
        <v>132</v>
      </c>
      <c r="D287" s="1">
        <v>222279.74</v>
      </c>
      <c r="E287" s="1">
        <v>0</v>
      </c>
      <c r="F287" s="1">
        <v>56195.25</v>
      </c>
      <c r="G287" s="1">
        <v>56935.55</v>
      </c>
      <c r="H287" s="1">
        <v>0</v>
      </c>
      <c r="I287" s="1">
        <v>1068270</v>
      </c>
      <c r="J287" s="1">
        <f t="shared" si="15"/>
        <v>53413.5</v>
      </c>
      <c r="K287" s="1">
        <v>0</v>
      </c>
      <c r="L287" s="11">
        <f t="shared" si="16"/>
        <v>55735.439999999988</v>
      </c>
    </row>
    <row r="288" spans="1:12" x14ac:dyDescent="0.25">
      <c r="A288">
        <v>2190</v>
      </c>
      <c r="B288">
        <v>1</v>
      </c>
      <c r="C288" t="s">
        <v>250</v>
      </c>
      <c r="D288" s="1">
        <v>107924.69</v>
      </c>
      <c r="E288" s="1">
        <v>0</v>
      </c>
      <c r="F288" s="1">
        <v>0</v>
      </c>
      <c r="G288" s="1">
        <v>0</v>
      </c>
      <c r="H288" s="1">
        <v>0</v>
      </c>
      <c r="I288" s="1">
        <v>750750</v>
      </c>
      <c r="J288" s="1">
        <f t="shared" si="15"/>
        <v>37537.5</v>
      </c>
      <c r="K288" s="1">
        <v>0</v>
      </c>
      <c r="L288" s="11">
        <f t="shared" si="16"/>
        <v>70387.19</v>
      </c>
    </row>
    <row r="289" spans="1:12" x14ac:dyDescent="0.25">
      <c r="A289">
        <v>2198</v>
      </c>
      <c r="B289">
        <v>1</v>
      </c>
      <c r="C289" t="s">
        <v>251</v>
      </c>
      <c r="D289" s="1">
        <v>139138.13</v>
      </c>
      <c r="E289" s="1">
        <v>0</v>
      </c>
      <c r="F289" s="1">
        <v>34030.5</v>
      </c>
      <c r="G289" s="1">
        <v>0</v>
      </c>
      <c r="H289" s="1">
        <v>38627</v>
      </c>
      <c r="I289" s="1">
        <v>563031</v>
      </c>
      <c r="J289" s="1">
        <f t="shared" si="15"/>
        <v>28151.55</v>
      </c>
      <c r="K289" s="1">
        <v>0</v>
      </c>
      <c r="L289" s="11">
        <f t="shared" si="16"/>
        <v>76956.08</v>
      </c>
    </row>
    <row r="290" spans="1:12" x14ac:dyDescent="0.25">
      <c r="A290">
        <v>2215</v>
      </c>
      <c r="B290">
        <v>1</v>
      </c>
      <c r="C290" t="s">
        <v>252</v>
      </c>
      <c r="D290" s="1">
        <v>36912.01</v>
      </c>
      <c r="E290" s="1">
        <v>0</v>
      </c>
      <c r="F290" s="1">
        <v>19320.919999999998</v>
      </c>
      <c r="G290" s="1">
        <v>17293.62</v>
      </c>
      <c r="H290" s="1">
        <v>0</v>
      </c>
      <c r="I290" s="1">
        <v>359494</v>
      </c>
      <c r="J290" s="1">
        <f t="shared" si="15"/>
        <v>17974.7</v>
      </c>
      <c r="K290" s="1">
        <v>0</v>
      </c>
      <c r="L290" s="11">
        <f t="shared" si="16"/>
        <v>0</v>
      </c>
    </row>
    <row r="291" spans="1:12" x14ac:dyDescent="0.25">
      <c r="A291">
        <v>2310</v>
      </c>
      <c r="B291">
        <v>1</v>
      </c>
      <c r="C291" t="s">
        <v>195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f t="shared" si="15"/>
        <v>0</v>
      </c>
      <c r="K291" s="1">
        <v>0</v>
      </c>
      <c r="L291" s="11">
        <f t="shared" si="16"/>
        <v>0</v>
      </c>
    </row>
    <row r="292" spans="1:12" x14ac:dyDescent="0.25">
      <c r="A292">
        <v>2311</v>
      </c>
      <c r="B292">
        <v>1</v>
      </c>
      <c r="C292" t="s">
        <v>253</v>
      </c>
      <c r="D292" s="1">
        <v>180176.37</v>
      </c>
      <c r="E292" s="1">
        <v>0</v>
      </c>
      <c r="F292" s="1">
        <v>49393.02</v>
      </c>
      <c r="G292" s="1">
        <v>36088.14</v>
      </c>
      <c r="H292" s="1">
        <v>0</v>
      </c>
      <c r="I292" s="1">
        <v>863923</v>
      </c>
      <c r="J292" s="1">
        <f t="shared" si="15"/>
        <v>43196.15</v>
      </c>
      <c r="K292" s="1">
        <v>0</v>
      </c>
      <c r="L292" s="11">
        <f t="shared" si="16"/>
        <v>51499.060000000005</v>
      </c>
    </row>
    <row r="293" spans="1:12" x14ac:dyDescent="0.25">
      <c r="A293">
        <v>2342</v>
      </c>
      <c r="B293">
        <v>1</v>
      </c>
      <c r="C293" t="s">
        <v>254</v>
      </c>
      <c r="D293" s="1">
        <v>110918.26</v>
      </c>
      <c r="E293" s="1">
        <v>0</v>
      </c>
      <c r="F293" s="1">
        <v>24929.98</v>
      </c>
      <c r="G293" s="1">
        <v>33795.56</v>
      </c>
      <c r="H293" s="1">
        <v>0</v>
      </c>
      <c r="I293" s="1">
        <v>0</v>
      </c>
      <c r="J293" s="1">
        <f t="shared" si="15"/>
        <v>0</v>
      </c>
      <c r="K293" s="1">
        <v>0</v>
      </c>
      <c r="L293" s="11">
        <f t="shared" si="16"/>
        <v>52192.72</v>
      </c>
    </row>
    <row r="294" spans="1:12" x14ac:dyDescent="0.25">
      <c r="A294">
        <v>2358</v>
      </c>
      <c r="B294">
        <v>1</v>
      </c>
      <c r="C294" t="s">
        <v>196</v>
      </c>
      <c r="D294" s="1">
        <v>75566.490000000005</v>
      </c>
      <c r="E294" s="1">
        <v>56000</v>
      </c>
      <c r="F294" s="1">
        <v>0</v>
      </c>
      <c r="G294" s="1">
        <v>0</v>
      </c>
      <c r="H294" s="1">
        <v>0</v>
      </c>
      <c r="I294" s="1">
        <v>213919</v>
      </c>
      <c r="J294" s="1">
        <f t="shared" si="15"/>
        <v>10695.95</v>
      </c>
      <c r="K294" s="1">
        <v>0</v>
      </c>
      <c r="L294" s="11">
        <f t="shared" si="16"/>
        <v>64870.540000000008</v>
      </c>
    </row>
    <row r="295" spans="1:12" x14ac:dyDescent="0.25">
      <c r="A295">
        <v>2364</v>
      </c>
      <c r="B295">
        <v>1</v>
      </c>
      <c r="C295" t="s">
        <v>255</v>
      </c>
      <c r="D295" s="1">
        <v>207796.11</v>
      </c>
      <c r="E295" s="1">
        <v>0</v>
      </c>
      <c r="F295" s="1">
        <v>47256.15</v>
      </c>
      <c r="G295" s="1">
        <v>55683.29</v>
      </c>
      <c r="H295" s="1">
        <v>0</v>
      </c>
      <c r="I295" s="1">
        <v>166255</v>
      </c>
      <c r="J295" s="1">
        <f t="shared" si="15"/>
        <v>8312.75</v>
      </c>
      <c r="K295" s="1">
        <v>0</v>
      </c>
      <c r="L295" s="11">
        <f t="shared" si="16"/>
        <v>96543.919999999984</v>
      </c>
    </row>
    <row r="296" spans="1:12" x14ac:dyDescent="0.25">
      <c r="A296">
        <v>2365</v>
      </c>
      <c r="B296">
        <v>1</v>
      </c>
      <c r="C296" t="s">
        <v>197</v>
      </c>
      <c r="D296" s="1">
        <v>82334.899999999994</v>
      </c>
      <c r="E296" s="1">
        <v>0</v>
      </c>
      <c r="F296" s="1">
        <v>13111.23</v>
      </c>
      <c r="G296" s="1">
        <v>0</v>
      </c>
      <c r="H296" s="1">
        <v>27000</v>
      </c>
      <c r="I296" s="1">
        <v>354835</v>
      </c>
      <c r="J296" s="1">
        <f t="shared" si="15"/>
        <v>17741.75</v>
      </c>
      <c r="K296" s="1">
        <v>0</v>
      </c>
      <c r="L296" s="11">
        <f t="shared" si="16"/>
        <v>51481.919999999998</v>
      </c>
    </row>
    <row r="297" spans="1:12" x14ac:dyDescent="0.25">
      <c r="A297">
        <v>2396</v>
      </c>
      <c r="B297">
        <v>1</v>
      </c>
      <c r="C297" t="s">
        <v>256</v>
      </c>
      <c r="D297" s="1">
        <v>197630.65</v>
      </c>
      <c r="E297" s="1">
        <v>0</v>
      </c>
      <c r="F297" s="1">
        <v>58844.49</v>
      </c>
      <c r="G297" s="1">
        <v>47097.67</v>
      </c>
      <c r="H297" s="1">
        <v>0</v>
      </c>
      <c r="I297" s="1">
        <v>975228</v>
      </c>
      <c r="J297" s="1">
        <f t="shared" si="15"/>
        <v>48761.4</v>
      </c>
      <c r="K297" s="1">
        <v>0</v>
      </c>
      <c r="L297" s="11">
        <f t="shared" si="16"/>
        <v>42927.090000000004</v>
      </c>
    </row>
    <row r="298" spans="1:12" x14ac:dyDescent="0.25">
      <c r="A298">
        <v>2397</v>
      </c>
      <c r="B298">
        <v>1</v>
      </c>
      <c r="C298" t="s">
        <v>257</v>
      </c>
      <c r="D298" s="1">
        <v>827569.95</v>
      </c>
      <c r="E298" s="1">
        <v>0</v>
      </c>
      <c r="F298" s="1">
        <v>303396.09999999998</v>
      </c>
      <c r="G298" s="1">
        <v>343471.57</v>
      </c>
      <c r="H298" s="1">
        <v>0</v>
      </c>
      <c r="I298" s="1">
        <v>1597284</v>
      </c>
      <c r="J298" s="1">
        <f t="shared" si="15"/>
        <v>79864.2</v>
      </c>
      <c r="K298" s="1">
        <v>0</v>
      </c>
      <c r="L298" s="11">
        <f t="shared" si="16"/>
        <v>100838.07999999997</v>
      </c>
    </row>
    <row r="299" spans="1:12" x14ac:dyDescent="0.25">
      <c r="A299">
        <v>2448</v>
      </c>
      <c r="B299">
        <v>1</v>
      </c>
      <c r="C299" t="s">
        <v>258</v>
      </c>
      <c r="D299" s="1">
        <v>39919.14</v>
      </c>
      <c r="E299" s="1">
        <v>0</v>
      </c>
      <c r="F299" s="1">
        <v>10965.5</v>
      </c>
      <c r="G299" s="1">
        <v>14505.61</v>
      </c>
      <c r="H299" s="1">
        <v>0</v>
      </c>
      <c r="I299" s="1">
        <v>147420</v>
      </c>
      <c r="J299" s="1">
        <f t="shared" si="15"/>
        <v>7371</v>
      </c>
      <c r="K299" s="1">
        <v>0</v>
      </c>
      <c r="L299" s="11">
        <f t="shared" si="16"/>
        <v>7077.0299999999988</v>
      </c>
    </row>
    <row r="300" spans="1:12" x14ac:dyDescent="0.25">
      <c r="A300">
        <v>2527</v>
      </c>
      <c r="B300">
        <v>1</v>
      </c>
      <c r="C300" t="s">
        <v>259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f t="shared" si="15"/>
        <v>0</v>
      </c>
      <c r="K300" s="1">
        <v>0</v>
      </c>
      <c r="L300" s="11">
        <f t="shared" si="16"/>
        <v>0</v>
      </c>
    </row>
    <row r="301" spans="1:12" x14ac:dyDescent="0.25">
      <c r="A301">
        <v>2534</v>
      </c>
      <c r="B301">
        <v>1</v>
      </c>
      <c r="C301" t="s">
        <v>260</v>
      </c>
      <c r="D301" s="1">
        <v>92512.56</v>
      </c>
      <c r="E301" s="1">
        <v>0</v>
      </c>
      <c r="F301" s="1">
        <v>21414.22</v>
      </c>
      <c r="G301" s="1">
        <v>30603.42</v>
      </c>
      <c r="H301" s="1">
        <v>0</v>
      </c>
      <c r="I301" s="1">
        <v>444479</v>
      </c>
      <c r="J301" s="1">
        <f t="shared" si="15"/>
        <v>22223.95</v>
      </c>
      <c r="K301" s="1">
        <v>0</v>
      </c>
      <c r="L301" s="11">
        <f t="shared" si="16"/>
        <v>18270.969999999998</v>
      </c>
    </row>
    <row r="302" spans="1:12" x14ac:dyDescent="0.25">
      <c r="A302">
        <v>2536</v>
      </c>
      <c r="B302">
        <v>1</v>
      </c>
      <c r="C302" t="s">
        <v>261</v>
      </c>
      <c r="D302" s="1">
        <v>21097.7</v>
      </c>
      <c r="E302" s="1">
        <v>0</v>
      </c>
      <c r="F302" s="1">
        <v>0</v>
      </c>
      <c r="G302" s="1">
        <v>1890.11</v>
      </c>
      <c r="H302" s="1">
        <v>0</v>
      </c>
      <c r="I302" s="1">
        <v>204540</v>
      </c>
      <c r="J302" s="1">
        <f t="shared" si="15"/>
        <v>10227</v>
      </c>
      <c r="K302" s="1">
        <v>0</v>
      </c>
      <c r="L302" s="11">
        <f t="shared" si="16"/>
        <v>8980.59</v>
      </c>
    </row>
    <row r="303" spans="1:12" x14ac:dyDescent="0.25">
      <c r="A303">
        <v>2580</v>
      </c>
      <c r="B303">
        <v>1</v>
      </c>
      <c r="C303" t="s">
        <v>338</v>
      </c>
      <c r="D303" s="1">
        <v>54690.32</v>
      </c>
      <c r="E303" s="1">
        <v>0</v>
      </c>
      <c r="F303" s="1">
        <v>0</v>
      </c>
      <c r="G303" s="1">
        <v>0</v>
      </c>
      <c r="H303" s="1">
        <v>0</v>
      </c>
      <c r="I303" s="1">
        <v>986008</v>
      </c>
      <c r="J303" s="1">
        <f t="shared" si="15"/>
        <v>49300.4</v>
      </c>
      <c r="K303" s="1">
        <f>MAX((D303-F303-G303-J303),0)</f>
        <v>5389.9199999999983</v>
      </c>
      <c r="L303" s="11">
        <f>MAX((D303-F303-G303-J303-K303),0)</f>
        <v>0</v>
      </c>
    </row>
    <row r="304" spans="1:12" x14ac:dyDescent="0.25">
      <c r="A304">
        <v>2609</v>
      </c>
      <c r="B304">
        <v>1</v>
      </c>
      <c r="C304" t="s">
        <v>198</v>
      </c>
      <c r="D304" s="1">
        <v>55627.46</v>
      </c>
      <c r="E304" s="1">
        <v>0</v>
      </c>
      <c r="F304" s="1">
        <v>0</v>
      </c>
      <c r="G304" s="1">
        <v>0</v>
      </c>
      <c r="H304" s="1">
        <v>0</v>
      </c>
      <c r="I304" s="1">
        <v>566925</v>
      </c>
      <c r="J304" s="1">
        <f t="shared" si="15"/>
        <v>28346.25</v>
      </c>
      <c r="K304" s="1">
        <v>0</v>
      </c>
      <c r="L304" s="11">
        <f t="shared" ref="L304:L336" si="17">MAX((D304-F304-G304-J304),0)</f>
        <v>27281.21</v>
      </c>
    </row>
    <row r="305" spans="1:12" x14ac:dyDescent="0.25">
      <c r="A305">
        <v>2683</v>
      </c>
      <c r="B305">
        <v>1</v>
      </c>
      <c r="C305" t="s">
        <v>262</v>
      </c>
      <c r="D305" s="1">
        <v>13999.06</v>
      </c>
      <c r="E305" s="1">
        <v>0</v>
      </c>
      <c r="F305" s="1">
        <v>2604.48</v>
      </c>
      <c r="G305" s="1">
        <v>3999.07</v>
      </c>
      <c r="H305" s="1">
        <v>0</v>
      </c>
      <c r="I305" s="1">
        <v>69232</v>
      </c>
      <c r="J305" s="1">
        <f t="shared" si="15"/>
        <v>3461.6</v>
      </c>
      <c r="K305" s="1">
        <v>0</v>
      </c>
      <c r="L305" s="11">
        <f t="shared" si="17"/>
        <v>3933.9100000000003</v>
      </c>
    </row>
    <row r="306" spans="1:12" x14ac:dyDescent="0.25">
      <c r="A306">
        <v>2687</v>
      </c>
      <c r="B306">
        <v>1</v>
      </c>
      <c r="C306" t="s">
        <v>263</v>
      </c>
      <c r="D306" s="1">
        <v>293353.2</v>
      </c>
      <c r="E306" s="1">
        <v>0</v>
      </c>
      <c r="F306" s="1">
        <v>40552.65</v>
      </c>
      <c r="G306" s="1">
        <v>91361</v>
      </c>
      <c r="H306" s="1">
        <v>0</v>
      </c>
      <c r="I306" s="1">
        <v>2106295</v>
      </c>
      <c r="J306" s="1">
        <f t="shared" si="15"/>
        <v>105314.75</v>
      </c>
      <c r="K306" s="1">
        <v>0</v>
      </c>
      <c r="L306" s="11">
        <f t="shared" si="17"/>
        <v>56124.800000000017</v>
      </c>
    </row>
    <row r="307" spans="1:12" x14ac:dyDescent="0.25">
      <c r="A307">
        <v>2689</v>
      </c>
      <c r="B307">
        <v>1</v>
      </c>
      <c r="C307" t="s">
        <v>264</v>
      </c>
      <c r="D307" s="1">
        <v>398307.55</v>
      </c>
      <c r="E307" s="1">
        <v>0</v>
      </c>
      <c r="F307" s="1">
        <v>102541.22</v>
      </c>
      <c r="G307" s="1">
        <v>111685.48</v>
      </c>
      <c r="H307" s="1">
        <v>0</v>
      </c>
      <c r="I307" s="1">
        <v>1756750</v>
      </c>
      <c r="J307" s="1">
        <f t="shared" si="15"/>
        <v>87837.5</v>
      </c>
      <c r="K307" s="1">
        <v>0</v>
      </c>
      <c r="L307" s="11">
        <f t="shared" si="17"/>
        <v>96243.349999999977</v>
      </c>
    </row>
    <row r="308" spans="1:12" x14ac:dyDescent="0.25">
      <c r="A308">
        <v>2711</v>
      </c>
      <c r="B308">
        <v>1</v>
      </c>
      <c r="C308" t="s">
        <v>199</v>
      </c>
      <c r="D308" s="1">
        <v>312118</v>
      </c>
      <c r="E308" s="1">
        <v>500000</v>
      </c>
      <c r="F308" s="1">
        <v>37847.17</v>
      </c>
      <c r="G308" s="1">
        <v>57369.4</v>
      </c>
      <c r="H308" s="1">
        <v>0</v>
      </c>
      <c r="I308" s="1">
        <f>252390</f>
        <v>252390</v>
      </c>
      <c r="J308" s="1">
        <f t="shared" si="15"/>
        <v>12619.5</v>
      </c>
      <c r="K308" s="1">
        <v>0</v>
      </c>
      <c r="L308" s="11">
        <f t="shared" si="17"/>
        <v>204281.93000000002</v>
      </c>
    </row>
    <row r="309" spans="1:12" x14ac:dyDescent="0.25">
      <c r="A309">
        <v>2752</v>
      </c>
      <c r="B309">
        <v>1</v>
      </c>
      <c r="C309" t="s">
        <v>294</v>
      </c>
      <c r="D309" s="1">
        <v>599951.63</v>
      </c>
      <c r="E309" s="1">
        <v>0</v>
      </c>
      <c r="F309" s="1">
        <v>102928.99</v>
      </c>
      <c r="G309" s="1">
        <v>241403.44</v>
      </c>
      <c r="H309" s="1">
        <v>0</v>
      </c>
      <c r="I309" s="1">
        <v>2748413</v>
      </c>
      <c r="J309" s="1">
        <f t="shared" si="15"/>
        <v>137420.65</v>
      </c>
      <c r="K309" s="1">
        <v>0</v>
      </c>
      <c r="L309" s="11">
        <f t="shared" si="17"/>
        <v>118198.55000000002</v>
      </c>
    </row>
    <row r="310" spans="1:12" x14ac:dyDescent="0.25">
      <c r="A310">
        <v>2753</v>
      </c>
      <c r="B310">
        <v>1</v>
      </c>
      <c r="C310" t="s">
        <v>265</v>
      </c>
      <c r="D310" s="1">
        <v>401544.39</v>
      </c>
      <c r="E310" s="1">
        <v>0</v>
      </c>
      <c r="F310" s="1">
        <v>158326.39000000001</v>
      </c>
      <c r="G310" s="1">
        <v>119711.12</v>
      </c>
      <c r="H310" s="1">
        <v>0</v>
      </c>
      <c r="I310" s="1">
        <v>1188810</v>
      </c>
      <c r="J310" s="1">
        <f t="shared" si="15"/>
        <v>59440.5</v>
      </c>
      <c r="K310" s="1">
        <v>0</v>
      </c>
      <c r="L310" s="11">
        <f t="shared" si="17"/>
        <v>64066.380000000005</v>
      </c>
    </row>
    <row r="311" spans="1:12" x14ac:dyDescent="0.25">
      <c r="A311">
        <v>2754</v>
      </c>
      <c r="B311">
        <v>1</v>
      </c>
      <c r="C311" t="s">
        <v>266</v>
      </c>
      <c r="D311" s="1">
        <v>41347.14</v>
      </c>
      <c r="E311" s="1">
        <v>0</v>
      </c>
      <c r="F311" s="1">
        <v>9402.36</v>
      </c>
      <c r="G311" s="1">
        <v>10204.200000000001</v>
      </c>
      <c r="H311" s="1">
        <v>0</v>
      </c>
      <c r="I311" s="1">
        <v>217560</v>
      </c>
      <c r="J311" s="1">
        <f t="shared" si="15"/>
        <v>10878</v>
      </c>
      <c r="K311" s="1">
        <v>0</v>
      </c>
      <c r="L311" s="11">
        <f t="shared" si="17"/>
        <v>10862.579999999998</v>
      </c>
    </row>
    <row r="312" spans="1:12" x14ac:dyDescent="0.25">
      <c r="A312">
        <v>2759</v>
      </c>
      <c r="B312">
        <v>1</v>
      </c>
      <c r="C312" t="s">
        <v>200</v>
      </c>
      <c r="D312" s="1">
        <v>62129.17</v>
      </c>
      <c r="E312" s="1">
        <v>0</v>
      </c>
      <c r="F312" s="1">
        <v>15759.97</v>
      </c>
      <c r="G312" s="1">
        <v>53570.9</v>
      </c>
      <c r="H312" s="1">
        <v>0</v>
      </c>
      <c r="I312" s="1">
        <v>23915</v>
      </c>
      <c r="J312" s="1">
        <f t="shared" si="15"/>
        <v>1195.75</v>
      </c>
      <c r="K312" s="1">
        <v>0</v>
      </c>
      <c r="L312" s="11">
        <f t="shared" si="17"/>
        <v>0</v>
      </c>
    </row>
    <row r="313" spans="1:12" x14ac:dyDescent="0.25">
      <c r="A313">
        <v>2769</v>
      </c>
      <c r="B313">
        <v>1</v>
      </c>
      <c r="C313" t="s">
        <v>224</v>
      </c>
      <c r="D313" s="1">
        <v>477226.86</v>
      </c>
      <c r="E313" s="1">
        <v>22317659</v>
      </c>
      <c r="F313" s="1">
        <v>146896.20000000001</v>
      </c>
      <c r="G313" s="1">
        <v>112363.97</v>
      </c>
      <c r="H313" s="1">
        <v>0</v>
      </c>
      <c r="I313" s="1">
        <v>2180355</v>
      </c>
      <c r="J313" s="1">
        <f t="shared" si="15"/>
        <v>109017.75</v>
      </c>
      <c r="K313" s="1">
        <v>0</v>
      </c>
      <c r="L313" s="11">
        <f t="shared" si="17"/>
        <v>108948.93999999997</v>
      </c>
    </row>
    <row r="314" spans="1:12" x14ac:dyDescent="0.25">
      <c r="A314">
        <v>2805</v>
      </c>
      <c r="B314">
        <v>1</v>
      </c>
      <c r="C314" t="s">
        <v>267</v>
      </c>
      <c r="D314" s="1">
        <v>842915.23</v>
      </c>
      <c r="E314" s="1">
        <v>0</v>
      </c>
      <c r="F314" s="1">
        <v>344475</v>
      </c>
      <c r="G314" s="1">
        <v>398279.75</v>
      </c>
      <c r="H314" s="1">
        <v>0</v>
      </c>
      <c r="I314" s="1">
        <v>1017670</v>
      </c>
      <c r="J314" s="1">
        <f t="shared" si="15"/>
        <v>50883.5</v>
      </c>
      <c r="K314" s="1">
        <v>0</v>
      </c>
      <c r="L314" s="11">
        <f t="shared" si="17"/>
        <v>49276.979999999981</v>
      </c>
    </row>
    <row r="315" spans="1:12" x14ac:dyDescent="0.25">
      <c r="A315">
        <v>2835</v>
      </c>
      <c r="B315">
        <v>1</v>
      </c>
      <c r="C315" t="s">
        <v>268</v>
      </c>
      <c r="D315" s="1">
        <v>161665.78</v>
      </c>
      <c r="E315" s="1">
        <v>0</v>
      </c>
      <c r="F315" s="1">
        <v>34839.39</v>
      </c>
      <c r="G315" s="1">
        <v>40935.879999999997</v>
      </c>
      <c r="H315" s="1">
        <v>0</v>
      </c>
      <c r="I315" s="1">
        <v>816680</v>
      </c>
      <c r="J315" s="1">
        <f t="shared" si="15"/>
        <v>40834</v>
      </c>
      <c r="K315" s="1">
        <v>0</v>
      </c>
      <c r="L315" s="11">
        <f t="shared" si="17"/>
        <v>45056.510000000009</v>
      </c>
    </row>
    <row r="316" spans="1:12" x14ac:dyDescent="0.25">
      <c r="A316">
        <v>2853</v>
      </c>
      <c r="B316">
        <v>1</v>
      </c>
      <c r="C316" t="s">
        <v>269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115301</v>
      </c>
      <c r="J316" s="1">
        <f t="shared" si="15"/>
        <v>5765.05</v>
      </c>
      <c r="K316" s="1">
        <v>0</v>
      </c>
      <c r="L316" s="11">
        <f t="shared" si="17"/>
        <v>0</v>
      </c>
    </row>
    <row r="317" spans="1:12" x14ac:dyDescent="0.25">
      <c r="A317">
        <v>2854</v>
      </c>
      <c r="B317">
        <v>1</v>
      </c>
      <c r="C317" t="s">
        <v>201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f t="shared" si="15"/>
        <v>0</v>
      </c>
      <c r="K317" s="1">
        <v>0</v>
      </c>
      <c r="L317" s="11">
        <f t="shared" si="17"/>
        <v>0</v>
      </c>
    </row>
    <row r="318" spans="1:12" x14ac:dyDescent="0.25">
      <c r="A318">
        <v>2856</v>
      </c>
      <c r="B318">
        <v>1</v>
      </c>
      <c r="C318" t="s">
        <v>270</v>
      </c>
      <c r="D318" s="1">
        <v>3981.94</v>
      </c>
      <c r="E318" s="1">
        <v>0</v>
      </c>
      <c r="F318" s="1">
        <v>0</v>
      </c>
      <c r="G318" s="1">
        <v>0</v>
      </c>
      <c r="H318" s="1">
        <v>0</v>
      </c>
      <c r="I318" s="1">
        <v>175199</v>
      </c>
      <c r="J318" s="1">
        <f t="shared" si="15"/>
        <v>8759.9500000000007</v>
      </c>
      <c r="K318" s="1">
        <v>0</v>
      </c>
      <c r="L318" s="11">
        <f t="shared" si="17"/>
        <v>0</v>
      </c>
    </row>
    <row r="319" spans="1:12" x14ac:dyDescent="0.25">
      <c r="A319">
        <v>2859</v>
      </c>
      <c r="B319">
        <v>1</v>
      </c>
      <c r="C319" t="s">
        <v>271</v>
      </c>
      <c r="D319" s="1">
        <v>31078.67</v>
      </c>
      <c r="E319" s="1">
        <v>0</v>
      </c>
      <c r="F319" s="1">
        <v>0</v>
      </c>
      <c r="G319" s="1">
        <v>0</v>
      </c>
      <c r="H319" s="1">
        <v>15000</v>
      </c>
      <c r="I319" s="1">
        <v>0</v>
      </c>
      <c r="J319" s="1">
        <f t="shared" si="15"/>
        <v>0</v>
      </c>
      <c r="K319" s="1">
        <v>0</v>
      </c>
      <c r="L319" s="11">
        <f t="shared" si="17"/>
        <v>31078.67</v>
      </c>
    </row>
    <row r="320" spans="1:12" x14ac:dyDescent="0.25">
      <c r="A320">
        <v>2860</v>
      </c>
      <c r="B320">
        <v>1</v>
      </c>
      <c r="C320" t="s">
        <v>272</v>
      </c>
      <c r="D320" s="1">
        <v>173058.15</v>
      </c>
      <c r="E320" s="1">
        <v>0</v>
      </c>
      <c r="F320" s="1">
        <v>0</v>
      </c>
      <c r="G320" s="1">
        <v>13316.71</v>
      </c>
      <c r="H320" s="1">
        <v>0</v>
      </c>
      <c r="I320" s="1">
        <v>0</v>
      </c>
      <c r="J320" s="1">
        <f t="shared" si="15"/>
        <v>0</v>
      </c>
      <c r="K320" s="1">
        <v>0</v>
      </c>
      <c r="L320" s="11">
        <f t="shared" si="17"/>
        <v>159741.44</v>
      </c>
    </row>
    <row r="321" spans="1:12" x14ac:dyDescent="0.25">
      <c r="A321">
        <v>2884</v>
      </c>
      <c r="B321">
        <v>1</v>
      </c>
      <c r="C321" t="s">
        <v>273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f t="shared" si="15"/>
        <v>0</v>
      </c>
      <c r="K321" s="1">
        <v>0</v>
      </c>
      <c r="L321" s="11">
        <f t="shared" si="17"/>
        <v>0</v>
      </c>
    </row>
    <row r="322" spans="1:12" x14ac:dyDescent="0.25">
      <c r="A322">
        <v>2886</v>
      </c>
      <c r="B322">
        <v>1</v>
      </c>
      <c r="C322" t="s">
        <v>274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f t="shared" si="15"/>
        <v>0</v>
      </c>
      <c r="K322" s="1">
        <v>0</v>
      </c>
      <c r="L322" s="11">
        <f t="shared" si="17"/>
        <v>0</v>
      </c>
    </row>
    <row r="323" spans="1:12" x14ac:dyDescent="0.25">
      <c r="A323">
        <v>2888</v>
      </c>
      <c r="B323">
        <v>1</v>
      </c>
      <c r="C323" t="s">
        <v>275</v>
      </c>
      <c r="D323" s="1">
        <v>56282.84</v>
      </c>
      <c r="E323" s="1">
        <v>0</v>
      </c>
      <c r="F323" s="1">
        <v>19295.740000000002</v>
      </c>
      <c r="G323" s="1">
        <v>12506.42</v>
      </c>
      <c r="H323" s="1">
        <v>0</v>
      </c>
      <c r="I323" s="1">
        <v>226748</v>
      </c>
      <c r="J323" s="1">
        <f t="shared" si="15"/>
        <v>11337.4</v>
      </c>
      <c r="K323" s="1">
        <v>0</v>
      </c>
      <c r="L323" s="11">
        <f t="shared" si="17"/>
        <v>13143.279999999993</v>
      </c>
    </row>
    <row r="324" spans="1:12" x14ac:dyDescent="0.25">
      <c r="A324">
        <v>2889</v>
      </c>
      <c r="B324">
        <v>1</v>
      </c>
      <c r="C324" t="s">
        <v>276</v>
      </c>
      <c r="D324" s="1">
        <v>481506.71</v>
      </c>
      <c r="E324" s="1">
        <v>0</v>
      </c>
      <c r="F324" s="1">
        <v>0</v>
      </c>
      <c r="G324" s="1">
        <v>0</v>
      </c>
      <c r="H324" s="1">
        <v>0</v>
      </c>
      <c r="I324" s="1">
        <v>1401189</v>
      </c>
      <c r="J324" s="1">
        <f t="shared" si="15"/>
        <v>70059.45</v>
      </c>
      <c r="K324" s="1">
        <v>0</v>
      </c>
      <c r="L324" s="11">
        <f t="shared" si="17"/>
        <v>411447.26</v>
      </c>
    </row>
    <row r="325" spans="1:12" x14ac:dyDescent="0.25">
      <c r="A325">
        <v>2890</v>
      </c>
      <c r="B325">
        <v>1</v>
      </c>
      <c r="C325" t="s">
        <v>341</v>
      </c>
      <c r="D325" s="1">
        <v>107234.89</v>
      </c>
      <c r="E325" s="1">
        <v>0</v>
      </c>
      <c r="F325" s="1">
        <v>0</v>
      </c>
      <c r="G325" s="1">
        <v>0</v>
      </c>
      <c r="H325" s="1">
        <v>0</v>
      </c>
      <c r="I325" s="1">
        <v>395388</v>
      </c>
      <c r="J325" s="1">
        <f t="shared" si="15"/>
        <v>19769.400000000001</v>
      </c>
      <c r="K325" s="1">
        <v>0</v>
      </c>
      <c r="L325" s="11">
        <f t="shared" si="17"/>
        <v>87465.489999999991</v>
      </c>
    </row>
    <row r="326" spans="1:12" x14ac:dyDescent="0.25">
      <c r="A326">
        <v>2895</v>
      </c>
      <c r="B326">
        <v>1</v>
      </c>
      <c r="C326" t="s">
        <v>342</v>
      </c>
      <c r="D326" s="1">
        <v>342822.49</v>
      </c>
      <c r="E326" s="1">
        <v>0</v>
      </c>
      <c r="F326" s="1">
        <v>80270.3</v>
      </c>
      <c r="G326" s="1">
        <v>72765.09</v>
      </c>
      <c r="H326" s="1">
        <v>0</v>
      </c>
      <c r="I326" s="1">
        <v>1490021</v>
      </c>
      <c r="J326" s="1">
        <f t="shared" ref="J326:J336" si="18">ROUND(I326/20,2)</f>
        <v>74501.05</v>
      </c>
      <c r="K326" s="1">
        <v>0</v>
      </c>
      <c r="L326" s="11">
        <f t="shared" si="17"/>
        <v>115286.05</v>
      </c>
    </row>
    <row r="327" spans="1:12" x14ac:dyDescent="0.25">
      <c r="A327">
        <v>2897</v>
      </c>
      <c r="B327">
        <v>1</v>
      </c>
      <c r="C327" t="s">
        <v>340</v>
      </c>
      <c r="D327" s="1">
        <v>47464.46</v>
      </c>
      <c r="E327" s="1">
        <v>0</v>
      </c>
      <c r="F327" s="1">
        <v>0</v>
      </c>
      <c r="G327" s="1">
        <v>0</v>
      </c>
      <c r="H327" s="1">
        <v>0</v>
      </c>
      <c r="I327" s="1">
        <v>1104850</v>
      </c>
      <c r="J327" s="1">
        <f t="shared" si="18"/>
        <v>55242.5</v>
      </c>
      <c r="K327" s="1">
        <v>0</v>
      </c>
      <c r="L327" s="11">
        <f t="shared" si="17"/>
        <v>0</v>
      </c>
    </row>
    <row r="328" spans="1:12" x14ac:dyDescent="0.25">
      <c r="A328">
        <v>2898</v>
      </c>
      <c r="B328">
        <v>1</v>
      </c>
      <c r="C328" t="s">
        <v>277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f t="shared" si="18"/>
        <v>0</v>
      </c>
      <c r="K328" s="1">
        <v>0</v>
      </c>
      <c r="L328" s="11">
        <f t="shared" si="17"/>
        <v>0</v>
      </c>
    </row>
    <row r="329" spans="1:12" x14ac:dyDescent="0.25">
      <c r="A329">
        <v>2899</v>
      </c>
      <c r="B329">
        <v>1</v>
      </c>
      <c r="C329" t="s">
        <v>278</v>
      </c>
      <c r="D329" s="1">
        <v>261725.38</v>
      </c>
      <c r="E329" s="1">
        <v>0</v>
      </c>
      <c r="F329" s="1">
        <v>84941.66</v>
      </c>
      <c r="G329" s="1">
        <v>78726.37</v>
      </c>
      <c r="H329" s="1">
        <v>0</v>
      </c>
      <c r="I329" s="1">
        <v>1035171</v>
      </c>
      <c r="J329" s="1">
        <f t="shared" si="18"/>
        <v>51758.55</v>
      </c>
      <c r="K329" s="1">
        <v>0</v>
      </c>
      <c r="L329" s="11">
        <f t="shared" si="17"/>
        <v>46298.8</v>
      </c>
    </row>
    <row r="330" spans="1:12" x14ac:dyDescent="0.25">
      <c r="A330">
        <v>2902</v>
      </c>
      <c r="B330">
        <v>1</v>
      </c>
      <c r="C330" t="s">
        <v>279</v>
      </c>
      <c r="D330" s="1">
        <v>19973.77</v>
      </c>
      <c r="E330" s="1">
        <v>0</v>
      </c>
      <c r="F330" s="1">
        <v>5618.65</v>
      </c>
      <c r="G330" s="1">
        <v>4607.75</v>
      </c>
      <c r="H330" s="1">
        <v>0</v>
      </c>
      <c r="I330" s="1">
        <v>70844</v>
      </c>
      <c r="J330" s="1">
        <f t="shared" si="18"/>
        <v>3542.2</v>
      </c>
      <c r="K330" s="1">
        <v>0</v>
      </c>
      <c r="L330" s="11">
        <f t="shared" si="17"/>
        <v>6205.170000000001</v>
      </c>
    </row>
    <row r="331" spans="1:12" x14ac:dyDescent="0.25">
      <c r="A331">
        <v>2903</v>
      </c>
      <c r="B331">
        <v>1</v>
      </c>
      <c r="C331" t="s">
        <v>280</v>
      </c>
      <c r="D331" s="1">
        <v>126360.54</v>
      </c>
      <c r="E331" s="1">
        <v>0</v>
      </c>
      <c r="F331" s="1">
        <v>0</v>
      </c>
      <c r="G331" s="1">
        <v>0</v>
      </c>
      <c r="H331" s="1">
        <v>0</v>
      </c>
      <c r="I331" s="1">
        <f>52500+781200</f>
        <v>833700</v>
      </c>
      <c r="J331" s="1">
        <f t="shared" si="18"/>
        <v>41685</v>
      </c>
      <c r="K331" s="1">
        <v>0</v>
      </c>
      <c r="L331" s="11">
        <f t="shared" si="17"/>
        <v>84675.54</v>
      </c>
    </row>
    <row r="332" spans="1:12" x14ac:dyDescent="0.25">
      <c r="A332">
        <v>2904</v>
      </c>
      <c r="B332">
        <v>1</v>
      </c>
      <c r="C332" t="s">
        <v>281</v>
      </c>
      <c r="D332" s="1">
        <v>0</v>
      </c>
      <c r="E332" s="1">
        <v>0</v>
      </c>
      <c r="F332" s="1">
        <v>683.66</v>
      </c>
      <c r="G332" s="1">
        <v>863.22</v>
      </c>
      <c r="H332" s="1">
        <v>0</v>
      </c>
      <c r="I332" s="1">
        <v>0</v>
      </c>
      <c r="J332" s="1">
        <f t="shared" si="18"/>
        <v>0</v>
      </c>
      <c r="K332" s="1">
        <v>0</v>
      </c>
      <c r="L332" s="11">
        <f t="shared" si="17"/>
        <v>0</v>
      </c>
    </row>
    <row r="333" spans="1:12" x14ac:dyDescent="0.25">
      <c r="A333">
        <v>2905</v>
      </c>
      <c r="B333">
        <v>1</v>
      </c>
      <c r="C333" t="s">
        <v>295</v>
      </c>
      <c r="D333" s="1">
        <f>153248.62+1763740.32</f>
        <v>1916988.94</v>
      </c>
      <c r="E333" s="1">
        <v>0</v>
      </c>
      <c r="F333" s="1">
        <v>0</v>
      </c>
      <c r="G333" s="1">
        <v>596976.52</v>
      </c>
      <c r="H333" s="1">
        <v>0</v>
      </c>
      <c r="I333" s="1">
        <v>3047228</v>
      </c>
      <c r="J333" s="1">
        <f t="shared" si="18"/>
        <v>152361.4</v>
      </c>
      <c r="K333" s="1">
        <v>0</v>
      </c>
      <c r="L333" s="11">
        <f t="shared" si="17"/>
        <v>1167651.02</v>
      </c>
    </row>
    <row r="334" spans="1:12" x14ac:dyDescent="0.25">
      <c r="A334">
        <v>2906</v>
      </c>
      <c r="B334">
        <v>1</v>
      </c>
      <c r="C334" t="s">
        <v>282</v>
      </c>
      <c r="D334" s="1">
        <f>2420.66+2774.74</f>
        <v>5195.3999999999996</v>
      </c>
      <c r="E334" s="1">
        <v>0</v>
      </c>
      <c r="F334" s="1">
        <v>0</v>
      </c>
      <c r="G334" s="1">
        <v>0</v>
      </c>
      <c r="H334" s="1">
        <v>0</v>
      </c>
      <c r="I334" s="1">
        <v>168016</v>
      </c>
      <c r="J334" s="1">
        <f t="shared" si="18"/>
        <v>8400.7999999999993</v>
      </c>
      <c r="K334" s="1">
        <v>0</v>
      </c>
      <c r="L334" s="11">
        <f t="shared" si="17"/>
        <v>0</v>
      </c>
    </row>
    <row r="335" spans="1:12" x14ac:dyDescent="0.25">
      <c r="A335">
        <v>2907</v>
      </c>
      <c r="B335">
        <v>1</v>
      </c>
      <c r="C335" t="s">
        <v>296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f t="shared" si="18"/>
        <v>0</v>
      </c>
      <c r="K335" s="1">
        <v>0</v>
      </c>
      <c r="L335" s="11">
        <f t="shared" si="17"/>
        <v>0</v>
      </c>
    </row>
    <row r="336" spans="1:12" x14ac:dyDescent="0.25">
      <c r="A336">
        <v>2908</v>
      </c>
      <c r="B336">
        <v>1</v>
      </c>
      <c r="C336" t="s">
        <v>283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f t="shared" si="18"/>
        <v>0</v>
      </c>
      <c r="K336" s="1">
        <v>0</v>
      </c>
      <c r="L336" s="11">
        <f t="shared" si="17"/>
        <v>0</v>
      </c>
    </row>
    <row r="337" spans="4:5" x14ac:dyDescent="0.25">
      <c r="D337" s="5" t="s">
        <v>286</v>
      </c>
      <c r="E337" s="5" t="s">
        <v>286</v>
      </c>
    </row>
  </sheetData>
  <pageMargins left="0.7" right="0.7" top="0.75" bottom="0.75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Fund 47</vt:lpstr>
      <vt:lpstr>Fund 7</vt:lpstr>
      <vt:lpstr>'Fund 47'!Print_Area</vt:lpstr>
      <vt:lpstr>'Fund 7'!Print_Area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Payable 2014 Debt Excess</dc:title>
  <dc:creator>Minnesota Department of Education</dc:creator>
  <cp:lastModifiedBy>Biringer, Catherine</cp:lastModifiedBy>
  <cp:lastPrinted>2013-08-12T19:26:20Z</cp:lastPrinted>
  <dcterms:created xsi:type="dcterms:W3CDTF">2013-08-01T15:32:48Z</dcterms:created>
  <dcterms:modified xsi:type="dcterms:W3CDTF">2013-08-15T20:54:36Z</dcterms:modified>
</cp:coreProperties>
</file>