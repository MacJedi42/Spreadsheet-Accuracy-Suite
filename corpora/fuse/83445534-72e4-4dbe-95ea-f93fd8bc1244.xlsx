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8" windowWidth="15576" windowHeight="11820"/>
  </bookViews>
  <sheets>
    <sheet name="index" sheetId="4" r:id="rId1"/>
    <sheet name="Type of SEN and SEN status" sheetId="1" r:id="rId2"/>
    <sheet name="schools attended and ASD absenc" sheetId="2" r:id="rId3"/>
    <sheet name="% LA pupils by type of SEN" sheetId="3" r:id="rId4"/>
    <sheet name="SA+ &amp; stmts- absence &amp; SEN type" sheetId="5" r:id="rId5"/>
    <sheet name="numbers of pupils with an ASD" sheetId="6" r:id="rId6"/>
  </sheets>
  <calcPr calcId="125725"/>
</workbook>
</file>

<file path=xl/calcChain.xml><?xml version="1.0" encoding="utf-8"?>
<calcChain xmlns="http://schemas.openxmlformats.org/spreadsheetml/2006/main">
  <c r="M25" i="2"/>
  <c r="L25"/>
  <c r="H25"/>
  <c r="F25"/>
  <c r="D25"/>
  <c r="C25"/>
  <c r="J24"/>
  <c r="I24"/>
  <c r="G24"/>
  <c r="E24"/>
  <c r="J23"/>
  <c r="I23"/>
  <c r="G23"/>
  <c r="E23"/>
  <c r="J22"/>
  <c r="I22"/>
  <c r="G22"/>
  <c r="E22"/>
  <c r="J21"/>
  <c r="I21"/>
  <c r="G21"/>
  <c r="E21"/>
  <c r="J20"/>
  <c r="I20"/>
  <c r="G20"/>
  <c r="E20"/>
  <c r="J19"/>
  <c r="I19"/>
  <c r="G19"/>
  <c r="E19"/>
  <c r="J18"/>
  <c r="I18"/>
  <c r="G18"/>
  <c r="E18"/>
  <c r="J17"/>
  <c r="I17"/>
  <c r="G17"/>
  <c r="E17"/>
  <c r="J16"/>
  <c r="I16"/>
  <c r="G16"/>
  <c r="E16"/>
  <c r="J15"/>
  <c r="I15"/>
  <c r="G15"/>
  <c r="E15"/>
  <c r="J14"/>
  <c r="I14"/>
  <c r="G14"/>
  <c r="E14"/>
  <c r="J13"/>
  <c r="I13"/>
  <c r="G13"/>
  <c r="E13"/>
  <c r="J12"/>
  <c r="I12"/>
  <c r="G12"/>
  <c r="E12"/>
  <c r="J11"/>
  <c r="I11"/>
  <c r="G11"/>
  <c r="E11"/>
  <c r="J10"/>
  <c r="I10"/>
  <c r="G10"/>
  <c r="E10"/>
  <c r="J9"/>
  <c r="I9"/>
  <c r="G9"/>
  <c r="E9"/>
  <c r="J8"/>
  <c r="I8"/>
  <c r="G8"/>
  <c r="E8"/>
  <c r="J7"/>
  <c r="J25" s="1"/>
  <c r="I7"/>
  <c r="I25" s="1"/>
  <c r="G7"/>
  <c r="G25" s="1"/>
  <c r="E7"/>
  <c r="E25" s="1"/>
  <c r="J6"/>
  <c r="I6"/>
  <c r="G6"/>
  <c r="E6"/>
</calcChain>
</file>

<file path=xl/sharedStrings.xml><?xml version="1.0" encoding="utf-8"?>
<sst xmlns="http://schemas.openxmlformats.org/spreadsheetml/2006/main" count="189" uniqueCount="124">
  <si>
    <t>Specific Learning Difficulty</t>
  </si>
  <si>
    <t>Moderate Learning Difficulty</t>
  </si>
  <si>
    <t>Severe Learning Difficulty</t>
  </si>
  <si>
    <t>Profound &amp; Multiple Learning Difficulty</t>
  </si>
  <si>
    <t>Behaviour, Emotional &amp; Social Difficulties</t>
  </si>
  <si>
    <t>Speech, Language and Communications Needs</t>
  </si>
  <si>
    <t>Hearing Impairment</t>
  </si>
  <si>
    <t>Visual Impairment</t>
  </si>
  <si>
    <t>Multi- Sensory Impairment</t>
  </si>
  <si>
    <t>Physical Disability</t>
  </si>
  <si>
    <t>Autistic Spectrum Disorder</t>
  </si>
  <si>
    <t>Other Difficulty/Disability</t>
  </si>
  <si>
    <t>Special School Total</t>
  </si>
  <si>
    <t>Source: School Census Jan 2009</t>
  </si>
  <si>
    <t>SA+ / Stmt Sec Total</t>
  </si>
  <si>
    <t>SA+ / Stmt Primary Total</t>
  </si>
  <si>
    <t>2009 by %</t>
  </si>
  <si>
    <t>2008 by %</t>
  </si>
  <si>
    <t xml:space="preserve">2009 by % </t>
  </si>
  <si>
    <t>Total by %</t>
  </si>
  <si>
    <t xml:space="preserve">DCSF:School Age Children with Special Educational Needs 2008 - 2009: an analysis </t>
  </si>
  <si>
    <t>% = % of all children SA+ and statements</t>
  </si>
  <si>
    <t xml:space="preserve"> "Better Commissioning and Better Outcomes for</t>
  </si>
  <si>
    <t xml:space="preserve"> children and young people on the Autism Spectrum"</t>
  </si>
  <si>
    <t>Data Sheets Used at Seminar in July 2010 :</t>
  </si>
  <si>
    <t>Index of Worksheets</t>
  </si>
  <si>
    <t>Sheet 1</t>
  </si>
  <si>
    <t>Sheet 2</t>
  </si>
  <si>
    <t>Sheet 3</t>
  </si>
  <si>
    <t>Sheet 4</t>
  </si>
  <si>
    <t>Type of SEN and SEN Status - by school phase and sector</t>
  </si>
  <si>
    <t>All data from SEN statistical returns and based on January 2008 and January 2009 schools census and SEN 2 returns</t>
  </si>
  <si>
    <t>school</t>
  </si>
  <si>
    <t>no in</t>
  </si>
  <si>
    <t>% in</t>
  </si>
  <si>
    <t xml:space="preserve">no in </t>
  </si>
  <si>
    <t xml:space="preserve">% in </t>
  </si>
  <si>
    <t>total %</t>
  </si>
  <si>
    <t>Overall</t>
  </si>
  <si>
    <t>Persisnt</t>
  </si>
  <si>
    <t>populn</t>
  </si>
  <si>
    <t>special</t>
  </si>
  <si>
    <t>PRU</t>
  </si>
  <si>
    <t>acadms</t>
  </si>
  <si>
    <t>PRU / sp</t>
  </si>
  <si>
    <t>Absence</t>
  </si>
  <si>
    <t>Absent's</t>
  </si>
  <si>
    <t>ENGLAND</t>
  </si>
  <si>
    <t>Bedford</t>
  </si>
  <si>
    <t>Calderdale</t>
  </si>
  <si>
    <t>darlington</t>
  </si>
  <si>
    <t>Doncaster</t>
  </si>
  <si>
    <t>E Midlands</t>
  </si>
  <si>
    <t>Ealing</t>
  </si>
  <si>
    <t>gateshead</t>
  </si>
  <si>
    <t>Lincs</t>
  </si>
  <si>
    <t>N.Yorks</t>
  </si>
  <si>
    <t>Redbridge</t>
  </si>
  <si>
    <t>Richmond on Thames</t>
  </si>
  <si>
    <t>Rotherham</t>
  </si>
  <si>
    <t>Rutland</t>
  </si>
  <si>
    <t>Slough</t>
  </si>
  <si>
    <t>solihull</t>
  </si>
  <si>
    <t>Suffolk</t>
  </si>
  <si>
    <t>Wakefield</t>
  </si>
  <si>
    <t>Wandsworth</t>
  </si>
  <si>
    <t>TOTAL</t>
  </si>
  <si>
    <t>HIGHEST</t>
  </si>
  <si>
    <t>Overall absence for ASD</t>
  </si>
  <si>
    <t>LOWEST</t>
  </si>
  <si>
    <t>Persistent absence for ASD</t>
  </si>
  <si>
    <t xml:space="preserve">Pupils in School at January 2010 -by mainstream, special, PRU, academy </t>
  </si>
  <si>
    <t>Schools attended by all pupils, and absence levels of pupils with an ASD - by local authority</t>
  </si>
  <si>
    <t>Jan 2009:  % of LA pupils in school by Primary SEN (DCSF SFR SEN June 09)</t>
  </si>
  <si>
    <t>SpLD</t>
  </si>
  <si>
    <t>MLD</t>
  </si>
  <si>
    <t>SLD</t>
  </si>
  <si>
    <t>PMLD</t>
  </si>
  <si>
    <t>BESD</t>
  </si>
  <si>
    <t>SLCN</t>
  </si>
  <si>
    <t>HI</t>
  </si>
  <si>
    <t>VI</t>
  </si>
  <si>
    <t>MSI</t>
  </si>
  <si>
    <t>PD</t>
  </si>
  <si>
    <t>ASD</t>
  </si>
  <si>
    <t>NORTH EAST</t>
  </si>
  <si>
    <t>Darlington</t>
  </si>
  <si>
    <t>Gateshead</t>
  </si>
  <si>
    <t>x</t>
  </si>
  <si>
    <t>YORKS &amp; Humber</t>
  </si>
  <si>
    <t>North Yorkshire</t>
  </si>
  <si>
    <t>EAST MIDLANDS</t>
  </si>
  <si>
    <t>Lincolnshire</t>
  </si>
  <si>
    <t>WEST MIDLANDS</t>
  </si>
  <si>
    <t>Solihull</t>
  </si>
  <si>
    <t>EAST OF ENGLAND</t>
  </si>
  <si>
    <t>Bedfordshire</t>
  </si>
  <si>
    <t>INNER LONDON</t>
  </si>
  <si>
    <t>OUTER LONDON</t>
  </si>
  <si>
    <t>Richmd upn Thames</t>
  </si>
  <si>
    <t>SOUTH EAST</t>
  </si>
  <si>
    <t>Lowest</t>
  </si>
  <si>
    <t>Highest</t>
  </si>
  <si>
    <t>Regional % ASD</t>
  </si>
  <si>
    <t>% of Pupils  by responding  local authority and type of SEN</t>
  </si>
  <si>
    <t>MAINTAINED PRIMARY, STATE-FUNDED SECONDARY AND SPECIAL SCHOOLS</t>
  </si>
  <si>
    <t xml:space="preserve">ABSENCE RATES BY TYPE OF SPECIAL EDUCATIONAL NEED </t>
  </si>
  <si>
    <t>England</t>
  </si>
  <si>
    <t>2008/09</t>
  </si>
  <si>
    <t>Pupils at School Action Plus or with statements of SEN 2008 / 09 DCSF</t>
  </si>
  <si>
    <t>%  of half days missed</t>
  </si>
  <si>
    <t>Persistent Absentees</t>
  </si>
  <si>
    <t>Authorised absence</t>
  </si>
  <si>
    <t>Unauthorised absence</t>
  </si>
  <si>
    <t>Overall absence</t>
  </si>
  <si>
    <t xml:space="preserve">Number of pupil enrolments who are Persistent Absentees </t>
  </si>
  <si>
    <t>Percentage of pupil enrolments who are Persistent Absentees</t>
  </si>
  <si>
    <t>Total SEN</t>
  </si>
  <si>
    <t>All England 08/09</t>
  </si>
  <si>
    <t>Source: School Census</t>
  </si>
  <si>
    <t xml:space="preserve">Numbers of children with an ASD by Local Authority - at Jan 2009 </t>
  </si>
  <si>
    <t>All England - pupil at school action plus or with statements - attendance and absence data</t>
  </si>
  <si>
    <t>Sheet 5</t>
  </si>
  <si>
    <t>Numbers of pupils with primary need of ASD - responding and attending local authorities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</si>
</sst>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sz val="12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330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4" fillId="0" borderId="0"/>
    <xf numFmtId="0" fontId="7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5" fillId="0" borderId="0" applyFont="0"/>
    <xf numFmtId="165" fontId="6" fillId="0" borderId="0"/>
    <xf numFmtId="0" fontId="23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10" xfId="1" applyFont="1" applyBorder="1"/>
    <xf numFmtId="0" fontId="2" fillId="0" borderId="0" xfId="1" applyFont="1" applyBorder="1"/>
    <xf numFmtId="0" fontId="3" fillId="0" borderId="0" xfId="1" applyFont="1"/>
    <xf numFmtId="0" fontId="2" fillId="0" borderId="0" xfId="1" applyFont="1" applyBorder="1" applyAlignment="1">
      <alignment horizontal="left" wrapText="1"/>
    </xf>
    <xf numFmtId="0" fontId="2" fillId="0" borderId="0" xfId="1" applyFont="1" applyBorder="1" applyAlignment="1">
      <alignment horizontal="right" wrapText="1"/>
    </xf>
    <xf numFmtId="0" fontId="2" fillId="0" borderId="10" xfId="1" applyFont="1" applyBorder="1" applyAlignment="1">
      <alignment horizontal="right" wrapText="1"/>
    </xf>
    <xf numFmtId="0" fontId="2" fillId="0" borderId="0" xfId="1" applyFont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10" xfId="1" applyFont="1" applyBorder="1" applyAlignment="1">
      <alignment horizontal="left" wrapText="1"/>
    </xf>
    <xf numFmtId="0" fontId="2" fillId="0" borderId="10" xfId="1" applyFont="1" applyBorder="1" applyAlignment="1">
      <alignment horizontal="right"/>
    </xf>
    <xf numFmtId="0" fontId="25" fillId="0" borderId="13" xfId="1" applyFont="1" applyBorder="1" applyAlignment="1">
      <alignment horizontal="left" wrapText="1"/>
    </xf>
    <xf numFmtId="164" fontId="25" fillId="0" borderId="13" xfId="1" applyNumberFormat="1" applyFont="1" applyBorder="1"/>
    <xf numFmtId="0" fontId="25" fillId="0" borderId="17" xfId="1" applyFont="1" applyBorder="1" applyAlignment="1">
      <alignment horizontal="left" wrapText="1"/>
    </xf>
    <xf numFmtId="164" fontId="25" fillId="0" borderId="17" xfId="1" applyNumberFormat="1" applyFont="1" applyBorder="1"/>
    <xf numFmtId="164" fontId="25" fillId="24" borderId="20" xfId="1" applyNumberFormat="1" applyFont="1" applyFill="1" applyBorder="1"/>
    <xf numFmtId="0" fontId="25" fillId="0" borderId="18" xfId="1" applyFont="1" applyBorder="1" applyAlignment="1">
      <alignment horizontal="left" wrapText="1"/>
    </xf>
    <xf numFmtId="164" fontId="25" fillId="0" borderId="18" xfId="1" applyNumberFormat="1" applyFont="1" applyBorder="1"/>
    <xf numFmtId="0" fontId="24" fillId="26" borderId="16" xfId="1" applyFont="1" applyFill="1" applyBorder="1" applyAlignment="1">
      <alignment horizontal="right" wrapText="1"/>
    </xf>
    <xf numFmtId="0" fontId="24" fillId="27" borderId="16" xfId="1" applyFont="1" applyFill="1" applyBorder="1" applyAlignment="1">
      <alignment horizontal="right" wrapText="1"/>
    </xf>
    <xf numFmtId="0" fontId="24" fillId="28" borderId="16" xfId="1" applyFont="1" applyFill="1" applyBorder="1" applyAlignment="1">
      <alignment horizontal="right" wrapText="1"/>
    </xf>
    <xf numFmtId="9" fontId="24" fillId="28" borderId="15" xfId="1" quotePrefix="1" applyNumberFormat="1" applyFont="1" applyFill="1" applyBorder="1" applyAlignment="1">
      <alignment horizontal="right" wrapText="1"/>
    </xf>
    <xf numFmtId="0" fontId="24" fillId="24" borderId="19" xfId="1" applyFont="1" applyFill="1" applyBorder="1" applyAlignment="1">
      <alignment horizontal="left" wrapText="1"/>
    </xf>
    <xf numFmtId="9" fontId="24" fillId="25" borderId="16" xfId="1" applyNumberFormat="1" applyFont="1" applyFill="1" applyBorder="1" applyAlignment="1">
      <alignment horizontal="right" wrapText="1"/>
    </xf>
    <xf numFmtId="9" fontId="24" fillId="25" borderId="15" xfId="1" applyNumberFormat="1" applyFont="1" applyFill="1" applyBorder="1" applyAlignment="1">
      <alignment horizontal="right" wrapText="1"/>
    </xf>
    <xf numFmtId="9" fontId="24" fillId="26" borderId="15" xfId="1" applyNumberFormat="1" applyFont="1" applyFill="1" applyBorder="1" applyAlignment="1">
      <alignment horizontal="right" wrapText="1"/>
    </xf>
    <xf numFmtId="9" fontId="24" fillId="27" borderId="15" xfId="1" applyNumberFormat="1" applyFont="1" applyFill="1" applyBorder="1" applyAlignment="1">
      <alignment horizontal="right" wrapText="1"/>
    </xf>
    <xf numFmtId="164" fontId="25" fillId="0" borderId="14" xfId="1" applyNumberFormat="1" applyFont="1" applyBorder="1"/>
    <xf numFmtId="164" fontId="25" fillId="0" borderId="22" xfId="1" applyNumberFormat="1" applyFont="1" applyBorder="1"/>
    <xf numFmtId="164" fontId="25" fillId="24" borderId="23" xfId="1" applyNumberFormat="1" applyFont="1" applyFill="1" applyBorder="1"/>
    <xf numFmtId="164" fontId="25" fillId="0" borderId="16" xfId="1" applyNumberFormat="1" applyFont="1" applyBorder="1"/>
    <xf numFmtId="0" fontId="26" fillId="0" borderId="13" xfId="0" applyFont="1" applyBorder="1"/>
    <xf numFmtId="0" fontId="26" fillId="0" borderId="17" xfId="0" applyFont="1" applyBorder="1"/>
    <xf numFmtId="0" fontId="26" fillId="0" borderId="18" xfId="0" applyFont="1" applyBorder="1"/>
    <xf numFmtId="0" fontId="26" fillId="24" borderId="20" xfId="0" applyFont="1" applyFill="1" applyBorder="1"/>
    <xf numFmtId="0" fontId="26" fillId="24" borderId="21" xfId="0" applyFont="1" applyFill="1" applyBorder="1"/>
    <xf numFmtId="0" fontId="24" fillId="24" borderId="24" xfId="1" applyFont="1" applyFill="1" applyBorder="1" applyAlignment="1">
      <alignment horizontal="left" wrapText="1"/>
    </xf>
    <xf numFmtId="164" fontId="25" fillId="24" borderId="19" xfId="1" applyNumberFormat="1" applyFont="1" applyFill="1" applyBorder="1"/>
    <xf numFmtId="17" fontId="0" fillId="0" borderId="0" xfId="0" applyNumberFormat="1"/>
    <xf numFmtId="0" fontId="0" fillId="0" borderId="0" xfId="0" applyBorder="1"/>
    <xf numFmtId="0" fontId="27" fillId="28" borderId="26" xfId="0" applyFont="1" applyFill="1" applyBorder="1"/>
    <xf numFmtId="0" fontId="27" fillId="28" borderId="27" xfId="0" applyFont="1" applyFill="1" applyBorder="1"/>
    <xf numFmtId="0" fontId="27" fillId="28" borderId="28" xfId="0" applyFont="1" applyFill="1" applyBorder="1"/>
    <xf numFmtId="0" fontId="27" fillId="28" borderId="29" xfId="0" applyFont="1" applyFill="1" applyBorder="1"/>
    <xf numFmtId="0" fontId="27" fillId="28" borderId="0" xfId="0" applyFont="1" applyFill="1" applyBorder="1"/>
    <xf numFmtId="0" fontId="27" fillId="28" borderId="30" xfId="0" applyFont="1" applyFill="1" applyBorder="1"/>
    <xf numFmtId="0" fontId="27" fillId="28" borderId="31" xfId="0" applyFont="1" applyFill="1" applyBorder="1"/>
    <xf numFmtId="0" fontId="27" fillId="28" borderId="32" xfId="0" applyFont="1" applyFill="1" applyBorder="1"/>
    <xf numFmtId="0" fontId="27" fillId="28" borderId="33" xfId="0" applyFont="1" applyFill="1" applyBorder="1"/>
    <xf numFmtId="0" fontId="0" fillId="24" borderId="0" xfId="0" applyFill="1"/>
    <xf numFmtId="0" fontId="27" fillId="29" borderId="24" xfId="0" applyFont="1" applyFill="1" applyBorder="1"/>
    <xf numFmtId="0" fontId="0" fillId="29" borderId="34" xfId="0" applyFill="1" applyBorder="1"/>
    <xf numFmtId="0" fontId="0" fillId="29" borderId="35" xfId="0" applyFill="1" applyBorder="1"/>
    <xf numFmtId="0" fontId="27" fillId="28" borderId="13" xfId="0" applyFont="1" applyFill="1" applyBorder="1"/>
    <xf numFmtId="0" fontId="28" fillId="0" borderId="14" xfId="0" applyFont="1" applyBorder="1"/>
    <xf numFmtId="0" fontId="28" fillId="0" borderId="11" xfId="0" applyFont="1" applyBorder="1"/>
    <xf numFmtId="0" fontId="28" fillId="0" borderId="15" xfId="0" applyFont="1" applyBorder="1"/>
    <xf numFmtId="0" fontId="27" fillId="24" borderId="24" xfId="0" applyFont="1" applyFill="1" applyBorder="1"/>
    <xf numFmtId="0" fontId="0" fillId="24" borderId="34" xfId="0" applyFill="1" applyBorder="1"/>
    <xf numFmtId="0" fontId="0" fillId="24" borderId="35" xfId="0" applyFill="1" applyBorder="1"/>
    <xf numFmtId="0" fontId="0" fillId="0" borderId="14" xfId="0" applyBorder="1"/>
    <xf numFmtId="0" fontId="27" fillId="30" borderId="17" xfId="0" applyFont="1" applyFill="1" applyBorder="1"/>
    <xf numFmtId="0" fontId="27" fillId="30" borderId="12" xfId="0" applyFont="1" applyFill="1" applyBorder="1"/>
    <xf numFmtId="0" fontId="27" fillId="30" borderId="36" xfId="0" applyFont="1" applyFill="1" applyBorder="1"/>
    <xf numFmtId="0" fontId="0" fillId="0" borderId="12" xfId="0" applyBorder="1"/>
    <xf numFmtId="0" fontId="27" fillId="30" borderId="18" xfId="0" applyFont="1" applyFill="1" applyBorder="1"/>
    <xf numFmtId="0" fontId="27" fillId="30" borderId="10" xfId="0" applyFont="1" applyFill="1" applyBorder="1"/>
    <xf numFmtId="0" fontId="27" fillId="30" borderId="37" xfId="0" applyFont="1" applyFill="1" applyBorder="1"/>
    <xf numFmtId="0" fontId="0" fillId="0" borderId="10" xfId="0" applyBorder="1"/>
    <xf numFmtId="0" fontId="27" fillId="24" borderId="13" xfId="0" applyFont="1" applyFill="1" applyBorder="1"/>
    <xf numFmtId="3" fontId="27" fillId="24" borderId="18" xfId="0" applyNumberFormat="1" applyFont="1" applyFill="1" applyBorder="1"/>
    <xf numFmtId="2" fontId="27" fillId="24" borderId="18" xfId="0" applyNumberFormat="1" applyFont="1" applyFill="1" applyBorder="1"/>
    <xf numFmtId="0" fontId="0" fillId="0" borderId="18" xfId="0" applyBorder="1"/>
    <xf numFmtId="0" fontId="27" fillId="24" borderId="18" xfId="0" applyFont="1" applyFill="1" applyBorder="1"/>
    <xf numFmtId="0" fontId="0" fillId="0" borderId="13" xfId="0" applyBorder="1"/>
    <xf numFmtId="3" fontId="0" fillId="0" borderId="13" xfId="0" applyNumberFormat="1" applyBorder="1"/>
    <xf numFmtId="2" fontId="0" fillId="0" borderId="18" xfId="0" applyNumberFormat="1" applyBorder="1"/>
    <xf numFmtId="2" fontId="0" fillId="31" borderId="18" xfId="0" applyNumberFormat="1" applyFill="1" applyBorder="1"/>
    <xf numFmtId="2" fontId="0" fillId="32" borderId="18" xfId="0" applyNumberFormat="1" applyFill="1" applyBorder="1"/>
    <xf numFmtId="0" fontId="0" fillId="31" borderId="13" xfId="0" applyFill="1" applyBorder="1"/>
    <xf numFmtId="0" fontId="0" fillId="0" borderId="13" xfId="0" applyFill="1" applyBorder="1"/>
    <xf numFmtId="0" fontId="0" fillId="33" borderId="13" xfId="0" applyFill="1" applyBorder="1"/>
    <xf numFmtId="2" fontId="0" fillId="33" borderId="18" xfId="0" applyNumberFormat="1" applyFill="1" applyBorder="1"/>
    <xf numFmtId="2" fontId="0" fillId="34" borderId="18" xfId="0" applyNumberFormat="1" applyFill="1" applyBorder="1"/>
    <xf numFmtId="0" fontId="0" fillId="34" borderId="13" xfId="0" applyFill="1" applyBorder="1"/>
    <xf numFmtId="2" fontId="0" fillId="35" borderId="18" xfId="0" applyNumberFormat="1" applyFill="1" applyBorder="1"/>
    <xf numFmtId="2" fontId="29" fillId="35" borderId="18" xfId="0" applyNumberFormat="1" applyFont="1" applyFill="1" applyBorder="1"/>
    <xf numFmtId="2" fontId="27" fillId="32" borderId="18" xfId="0" applyNumberFormat="1" applyFont="1" applyFill="1" applyBorder="1"/>
    <xf numFmtId="0" fontId="27" fillId="30" borderId="13" xfId="0" applyFont="1" applyFill="1" applyBorder="1"/>
    <xf numFmtId="3" fontId="27" fillId="30" borderId="13" xfId="0" applyNumberFormat="1" applyFont="1" applyFill="1" applyBorder="1"/>
    <xf numFmtId="4" fontId="27" fillId="30" borderId="13" xfId="0" applyNumberFormat="1" applyFont="1" applyFill="1" applyBorder="1"/>
    <xf numFmtId="2" fontId="27" fillId="30" borderId="13" xfId="0" applyNumberFormat="1" applyFont="1" applyFill="1" applyBorder="1"/>
    <xf numFmtId="0" fontId="0" fillId="32" borderId="0" xfId="0" applyFill="1"/>
    <xf numFmtId="0" fontId="27" fillId="24" borderId="38" xfId="0" applyFont="1" applyFill="1" applyBorder="1"/>
    <xf numFmtId="0" fontId="27" fillId="24" borderId="39" xfId="0" applyFont="1" applyFill="1" applyBorder="1"/>
    <xf numFmtId="0" fontId="27" fillId="24" borderId="40" xfId="0" applyFont="1" applyFill="1" applyBorder="1"/>
    <xf numFmtId="0" fontId="27" fillId="36" borderId="13" xfId="0" applyFont="1" applyFill="1" applyBorder="1"/>
    <xf numFmtId="0" fontId="27" fillId="34" borderId="0" xfId="0" applyFont="1" applyFill="1"/>
    <xf numFmtId="0" fontId="27" fillId="24" borderId="41" xfId="0" applyFont="1" applyFill="1" applyBorder="1"/>
    <xf numFmtId="0" fontId="27" fillId="24" borderId="42" xfId="0" applyFont="1" applyFill="1" applyBorder="1"/>
    <xf numFmtId="0" fontId="27" fillId="24" borderId="43" xfId="0" applyFont="1" applyFill="1" applyBorder="1"/>
    <xf numFmtId="0" fontId="27" fillId="24" borderId="27" xfId="0" applyFont="1" applyFill="1" applyBorder="1"/>
    <xf numFmtId="0" fontId="27" fillId="24" borderId="28" xfId="0" applyFont="1" applyFill="1" applyBorder="1"/>
    <xf numFmtId="0" fontId="30" fillId="0" borderId="14" xfId="0" applyFont="1" applyBorder="1" applyAlignment="1">
      <alignment horizontal="center" wrapText="1"/>
    </xf>
    <xf numFmtId="3" fontId="30" fillId="37" borderId="13" xfId="0" applyNumberFormat="1" applyFont="1" applyFill="1" applyBorder="1" applyAlignment="1" applyProtection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3" fontId="2" fillId="35" borderId="18" xfId="0" applyNumberFormat="1" applyFont="1" applyFill="1" applyBorder="1" applyAlignment="1" applyProtection="1">
      <alignment horizontal="center" wrapText="1"/>
    </xf>
    <xf numFmtId="0" fontId="30" fillId="24" borderId="17" xfId="0" applyFont="1" applyFill="1" applyBorder="1" applyAlignment="1">
      <alignment vertical="center" wrapText="1"/>
    </xf>
    <xf numFmtId="164" fontId="30" fillId="24" borderId="17" xfId="0" applyNumberFormat="1" applyFont="1" applyFill="1" applyBorder="1" applyAlignment="1">
      <alignment horizontal="right"/>
    </xf>
    <xf numFmtId="0" fontId="30" fillId="35" borderId="38" xfId="0" applyFont="1" applyFill="1" applyBorder="1" applyAlignment="1"/>
    <xf numFmtId="164" fontId="31" fillId="35" borderId="39" xfId="0" applyNumberFormat="1" applyFont="1" applyFill="1" applyBorder="1" applyAlignment="1">
      <alignment horizontal="right"/>
    </xf>
    <xf numFmtId="164" fontId="31" fillId="24" borderId="39" xfId="0" applyNumberFormat="1" applyFont="1" applyFill="1" applyBorder="1" applyAlignment="1">
      <alignment horizontal="right"/>
    </xf>
    <xf numFmtId="0" fontId="31" fillId="35" borderId="44" xfId="0" applyFont="1" applyFill="1" applyBorder="1" applyAlignment="1">
      <alignment vertical="center"/>
    </xf>
    <xf numFmtId="164" fontId="31" fillId="35" borderId="13" xfId="0" applyNumberFormat="1" applyFont="1" applyFill="1" applyBorder="1" applyAlignment="1">
      <alignment horizontal="right"/>
    </xf>
    <xf numFmtId="0" fontId="31" fillId="35" borderId="41" xfId="0" applyFont="1" applyFill="1" applyBorder="1" applyAlignment="1">
      <alignment vertical="center"/>
    </xf>
    <xf numFmtId="164" fontId="31" fillId="35" borderId="42" xfId="0" applyNumberFormat="1" applyFont="1" applyFill="1" applyBorder="1" applyAlignment="1">
      <alignment horizontal="right"/>
    </xf>
    <xf numFmtId="3" fontId="31" fillId="35" borderId="42" xfId="0" applyNumberFormat="1" applyFont="1" applyFill="1" applyBorder="1" applyAlignment="1">
      <alignment horizontal="right"/>
    </xf>
    <xf numFmtId="0" fontId="30" fillId="35" borderId="18" xfId="0" applyFont="1" applyFill="1" applyBorder="1" applyAlignment="1" applyProtection="1">
      <alignment horizontal="left"/>
    </xf>
    <xf numFmtId="164" fontId="31" fillId="35" borderId="18" xfId="0" applyNumberFormat="1" applyFont="1" applyFill="1" applyBorder="1" applyAlignment="1">
      <alignment horizontal="right"/>
    </xf>
    <xf numFmtId="164" fontId="31" fillId="24" borderId="18" xfId="0" applyNumberFormat="1" applyFont="1" applyFill="1" applyBorder="1" applyAlignment="1">
      <alignment horizontal="right"/>
    </xf>
    <xf numFmtId="0" fontId="31" fillId="35" borderId="13" xfId="0" applyFont="1" applyFill="1" applyBorder="1" applyAlignment="1">
      <alignment vertical="center"/>
    </xf>
    <xf numFmtId="3" fontId="31" fillId="35" borderId="13" xfId="0" applyNumberFormat="1" applyFont="1" applyFill="1" applyBorder="1" applyAlignment="1">
      <alignment horizontal="right"/>
    </xf>
    <xf numFmtId="164" fontId="31" fillId="34" borderId="13" xfId="0" applyNumberFormat="1" applyFont="1" applyFill="1" applyBorder="1" applyAlignment="1">
      <alignment horizontal="right"/>
    </xf>
    <xf numFmtId="164" fontId="31" fillId="31" borderId="13" xfId="0" applyNumberFormat="1" applyFont="1" applyFill="1" applyBorder="1" applyAlignment="1">
      <alignment horizontal="right"/>
    </xf>
    <xf numFmtId="165" fontId="31" fillId="35" borderId="13" xfId="0" applyNumberFormat="1" applyFont="1" applyFill="1" applyBorder="1" applyAlignment="1" applyProtection="1">
      <alignment horizontal="left"/>
    </xf>
    <xf numFmtId="0" fontId="30" fillId="35" borderId="13" xfId="0" applyFont="1" applyFill="1" applyBorder="1" applyAlignment="1"/>
    <xf numFmtId="164" fontId="31" fillId="24" borderId="13" xfId="0" applyNumberFormat="1" applyFont="1" applyFill="1" applyBorder="1" applyAlignment="1">
      <alignment horizontal="right"/>
    </xf>
    <xf numFmtId="0" fontId="30" fillId="35" borderId="13" xfId="0" applyFont="1" applyFill="1" applyBorder="1" applyAlignment="1" applyProtection="1">
      <alignment horizontal="left"/>
    </xf>
    <xf numFmtId="0" fontId="31" fillId="35" borderId="13" xfId="0" applyFont="1" applyFill="1" applyBorder="1" applyAlignment="1" applyProtection="1">
      <alignment horizontal="left"/>
    </xf>
    <xf numFmtId="0" fontId="32" fillId="35" borderId="13" xfId="0" applyFont="1" applyFill="1" applyBorder="1"/>
    <xf numFmtId="0" fontId="32" fillId="35" borderId="0" xfId="0" applyFont="1" applyFill="1" applyBorder="1"/>
    <xf numFmtId="164" fontId="31" fillId="35" borderId="0" xfId="0" applyNumberFormat="1" applyFont="1" applyFill="1" applyBorder="1" applyAlignment="1">
      <alignment horizontal="right"/>
    </xf>
    <xf numFmtId="3" fontId="31" fillId="35" borderId="0" xfId="0" applyNumberFormat="1" applyFont="1" applyFill="1" applyBorder="1" applyAlignment="1">
      <alignment horizontal="right"/>
    </xf>
    <xf numFmtId="0" fontId="0" fillId="34" borderId="0" xfId="0" applyFill="1"/>
    <xf numFmtId="0" fontId="0" fillId="31" borderId="0" xfId="0" applyFill="1"/>
    <xf numFmtId="0" fontId="33" fillId="0" borderId="0" xfId="0" applyFont="1"/>
    <xf numFmtId="0" fontId="34" fillId="0" borderId="0" xfId="0" applyFont="1"/>
    <xf numFmtId="0" fontId="34" fillId="0" borderId="0" xfId="0" applyFont="1" applyBorder="1"/>
    <xf numFmtId="0" fontId="30" fillId="36" borderId="24" xfId="0" applyFont="1" applyFill="1" applyBorder="1"/>
    <xf numFmtId="0" fontId="30" fillId="36" borderId="34" xfId="0" applyFont="1" applyFill="1" applyBorder="1"/>
    <xf numFmtId="0" fontId="34" fillId="36" borderId="34" xfId="0" applyFont="1" applyFill="1" applyBorder="1"/>
    <xf numFmtId="0" fontId="34" fillId="36" borderId="35" xfId="0" applyFont="1" applyFill="1" applyBorder="1"/>
    <xf numFmtId="0" fontId="31" fillId="0" borderId="0" xfId="0" applyFont="1" applyBorder="1"/>
    <xf numFmtId="0" fontId="30" fillId="0" borderId="16" xfId="0" applyFont="1" applyBorder="1" applyAlignment="1">
      <alignment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13" xfId="0" applyFont="1" applyBorder="1" applyAlignment="1">
      <alignment vertical="center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/>
    <xf numFmtId="0" fontId="31" fillId="0" borderId="13" xfId="0" applyFont="1" applyBorder="1"/>
    <xf numFmtId="0" fontId="31" fillId="0" borderId="13" xfId="0" applyFont="1" applyBorder="1" applyAlignment="1">
      <alignment horizontal="left"/>
    </xf>
    <xf numFmtId="2" fontId="31" fillId="0" borderId="13" xfId="0" applyNumberFormat="1" applyFont="1" applyBorder="1"/>
    <xf numFmtId="3" fontId="31" fillId="0" borderId="13" xfId="0" applyNumberFormat="1" applyFont="1" applyBorder="1" applyProtection="1"/>
    <xf numFmtId="164" fontId="31" fillId="0" borderId="13" xfId="0" applyNumberFormat="1" applyFont="1" applyBorder="1" applyAlignment="1">
      <alignment horizontal="right"/>
    </xf>
    <xf numFmtId="2" fontId="31" fillId="38" borderId="13" xfId="0" applyNumberFormat="1" applyFont="1" applyFill="1" applyBorder="1"/>
    <xf numFmtId="164" fontId="31" fillId="38" borderId="13" xfId="0" applyNumberFormat="1" applyFont="1" applyFill="1" applyBorder="1" applyAlignment="1">
      <alignment horizontal="right"/>
    </xf>
    <xf numFmtId="2" fontId="31" fillId="26" borderId="13" xfId="0" applyNumberFormat="1" applyFont="1" applyFill="1" applyBorder="1"/>
    <xf numFmtId="164" fontId="31" fillId="26" borderId="13" xfId="0" applyNumberFormat="1" applyFont="1" applyFill="1" applyBorder="1" applyAlignment="1">
      <alignment horizontal="right"/>
    </xf>
    <xf numFmtId="0" fontId="31" fillId="0" borderId="17" xfId="0" applyFont="1" applyBorder="1" applyAlignment="1">
      <alignment horizontal="left"/>
    </xf>
    <xf numFmtId="2" fontId="31" fillId="0" borderId="17" xfId="0" applyNumberFormat="1" applyFont="1" applyBorder="1"/>
    <xf numFmtId="0" fontId="31" fillId="0" borderId="17" xfId="0" applyFont="1" applyBorder="1"/>
    <xf numFmtId="3" fontId="31" fillId="0" borderId="17" xfId="0" applyNumberFormat="1" applyFont="1" applyBorder="1" applyProtection="1"/>
    <xf numFmtId="164" fontId="31" fillId="0" borderId="17" xfId="0" applyNumberFormat="1" applyFont="1" applyBorder="1" applyAlignment="1">
      <alignment horizontal="right"/>
    </xf>
    <xf numFmtId="0" fontId="30" fillId="24" borderId="19" xfId="0" applyFont="1" applyFill="1" applyBorder="1" applyAlignment="1">
      <alignment horizontal="left"/>
    </xf>
    <xf numFmtId="2" fontId="30" fillId="24" borderId="20" xfId="0" applyNumberFormat="1" applyFont="1" applyFill="1" applyBorder="1"/>
    <xf numFmtId="0" fontId="30" fillId="24" borderId="20" xfId="0" applyFont="1" applyFill="1" applyBorder="1"/>
    <xf numFmtId="3" fontId="30" fillId="24" borderId="20" xfId="0" applyNumberFormat="1" applyFont="1" applyFill="1" applyBorder="1" applyProtection="1"/>
    <xf numFmtId="164" fontId="30" fillId="24" borderId="21" xfId="0" applyNumberFormat="1" applyFont="1" applyFill="1" applyBorder="1" applyAlignment="1">
      <alignment horizontal="right"/>
    </xf>
    <xf numFmtId="0" fontId="31" fillId="0" borderId="18" xfId="0" applyFont="1" applyBorder="1" applyAlignment="1">
      <alignment horizontal="left"/>
    </xf>
    <xf numFmtId="2" fontId="31" fillId="0" borderId="18" xfId="0" applyNumberFormat="1" applyFont="1" applyBorder="1"/>
    <xf numFmtId="3" fontId="31" fillId="0" borderId="18" xfId="0" applyNumberFormat="1" applyFont="1" applyBorder="1" applyProtection="1"/>
    <xf numFmtId="164" fontId="31" fillId="0" borderId="18" xfId="0" applyNumberFormat="1" applyFont="1" applyBorder="1" applyAlignment="1">
      <alignment horizontal="right"/>
    </xf>
    <xf numFmtId="0" fontId="30" fillId="0" borderId="13" xfId="0" applyFont="1" applyBorder="1" applyAlignment="1">
      <alignment horizontal="left"/>
    </xf>
    <xf numFmtId="2" fontId="30" fillId="0" borderId="13" xfId="0" applyNumberFormat="1" applyFont="1" applyBorder="1"/>
    <xf numFmtId="2" fontId="30" fillId="0" borderId="14" xfId="0" applyNumberFormat="1" applyFont="1" applyBorder="1"/>
    <xf numFmtId="2" fontId="30" fillId="0" borderId="25" xfId="0" applyNumberFormat="1" applyFont="1" applyBorder="1"/>
    <xf numFmtId="0" fontId="30" fillId="0" borderId="15" xfId="0" applyFont="1" applyBorder="1"/>
    <xf numFmtId="3" fontId="30" fillId="0" borderId="14" xfId="0" applyNumberFormat="1" applyFont="1" applyBorder="1" applyProtection="1"/>
    <xf numFmtId="164" fontId="30" fillId="0" borderId="25" xfId="0" applyNumberFormat="1" applyFont="1" applyBorder="1" applyAlignment="1">
      <alignment horizontal="right"/>
    </xf>
    <xf numFmtId="0" fontId="31" fillId="0" borderId="10" xfId="0" applyFont="1" applyBorder="1"/>
    <xf numFmtId="0" fontId="30" fillId="0" borderId="25" xfId="0" applyFont="1" applyBorder="1"/>
    <xf numFmtId="0" fontId="35" fillId="0" borderId="0" xfId="0" applyFont="1" applyAlignment="1">
      <alignment horizontal="right"/>
    </xf>
    <xf numFmtId="0" fontId="0" fillId="0" borderId="11" xfId="0" applyBorder="1"/>
    <xf numFmtId="0" fontId="0" fillId="0" borderId="15" xfId="0" applyBorder="1"/>
    <xf numFmtId="0" fontId="27" fillId="29" borderId="14" xfId="0" applyFont="1" applyFill="1" applyBorder="1"/>
    <xf numFmtId="0" fontId="27" fillId="29" borderId="11" xfId="0" applyFont="1" applyFill="1" applyBorder="1"/>
    <xf numFmtId="0" fontId="27" fillId="29" borderId="15" xfId="0" applyFont="1" applyFill="1" applyBorder="1"/>
    <xf numFmtId="0" fontId="27" fillId="0" borderId="13" xfId="0" applyFont="1" applyBorder="1"/>
    <xf numFmtId="3" fontId="27" fillId="0" borderId="13" xfId="0" applyNumberFormat="1" applyFont="1" applyBorder="1"/>
    <xf numFmtId="0" fontId="3" fillId="0" borderId="12" xfId="38" applyFont="1" applyBorder="1" applyAlignment="1">
      <alignment horizontal="right"/>
    </xf>
    <xf numFmtId="0" fontId="1" fillId="0" borderId="12" xfId="1" applyBorder="1" applyAlignment="1"/>
    <xf numFmtId="0" fontId="2" fillId="0" borderId="12" xfId="1" applyFont="1" applyBorder="1" applyAlignment="1">
      <alignment horizontal="center"/>
    </xf>
    <xf numFmtId="0" fontId="24" fillId="26" borderId="14" xfId="1" applyFont="1" applyFill="1" applyBorder="1" applyAlignment="1">
      <alignment horizontal="center"/>
    </xf>
    <xf numFmtId="0" fontId="24" fillId="26" borderId="15" xfId="1" applyFont="1" applyFill="1" applyBorder="1" applyAlignment="1">
      <alignment horizontal="center"/>
    </xf>
    <xf numFmtId="0" fontId="24" fillId="28" borderId="14" xfId="1" applyFont="1" applyFill="1" applyBorder="1" applyAlignment="1">
      <alignment horizontal="center"/>
    </xf>
    <xf numFmtId="0" fontId="24" fillId="28" borderId="15" xfId="1" applyFont="1" applyFill="1" applyBorder="1" applyAlignment="1">
      <alignment horizontal="center"/>
    </xf>
    <xf numFmtId="0" fontId="24" fillId="0" borderId="11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4" fillId="25" borderId="14" xfId="1" applyFont="1" applyFill="1" applyBorder="1" applyAlignment="1">
      <alignment horizontal="center"/>
    </xf>
    <xf numFmtId="0" fontId="24" fillId="25" borderId="15" xfId="1" applyFont="1" applyFill="1" applyBorder="1" applyAlignment="1">
      <alignment horizontal="center"/>
    </xf>
    <xf numFmtId="0" fontId="24" fillId="27" borderId="14" xfId="1" applyFont="1" applyFill="1" applyBorder="1" applyAlignment="1">
      <alignment horizontal="center"/>
    </xf>
    <xf numFmtId="0" fontId="24" fillId="27" borderId="15" xfId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 vertical="center"/>
    </xf>
    <xf numFmtId="0" fontId="30" fillId="24" borderId="19" xfId="0" applyFont="1" applyFill="1" applyBorder="1" applyAlignment="1">
      <alignment horizontal="center" vertical="center"/>
    </xf>
    <xf numFmtId="0" fontId="30" fillId="24" borderId="21" xfId="0" applyFont="1" applyFill="1" applyBorder="1" applyAlignment="1">
      <alignment horizontal="center" vertical="center"/>
    </xf>
  </cellXfs>
  <cellStyles count="46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2" xfId="1"/>
    <cellStyle name="Normal_SENxFSM" xfId="38"/>
    <cellStyle name="Note 2" xfId="39"/>
    <cellStyle name="Output 2" xfId="40"/>
    <cellStyle name="Title 2" xfId="41"/>
    <cellStyle name="Total 2" xfId="42"/>
    <cellStyle name="u" xfId="43"/>
    <cellStyle name="Undefined" xfId="44"/>
    <cellStyle name="Warning Text 2" xfId="45"/>
  </cellStyles>
  <dxfs count="0"/>
  <tableStyles count="0" defaultTableStyle="TableStyleMedium9" defaultPivotStyle="PivotStyleLight16"/>
  <colors>
    <mruColors>
      <color rgb="FFFFFFCC"/>
      <color rgb="FFEAEAEA"/>
      <color rgb="FFFFFF99"/>
      <color rgb="FFCCCCFF"/>
      <color rgb="FFCCFFCC"/>
      <color rgb="FFFFCC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L17"/>
  <sheetViews>
    <sheetView tabSelected="1" workbookViewId="0">
      <selection activeCell="D22" sqref="D22"/>
    </sheetView>
  </sheetViews>
  <sheetFormatPr defaultRowHeight="14.4"/>
  <cols>
    <col min="6" max="6" width="9.77734375" customWidth="1"/>
  </cols>
  <sheetData>
    <row r="3" spans="2:11" ht="15" thickBot="1"/>
    <row r="4" spans="2:11">
      <c r="B4" s="40" t="s">
        <v>24</v>
      </c>
      <c r="C4" s="41"/>
      <c r="D4" s="41"/>
      <c r="E4" s="41"/>
      <c r="F4" s="42"/>
    </row>
    <row r="5" spans="2:11">
      <c r="B5" s="43" t="s">
        <v>22</v>
      </c>
      <c r="C5" s="44"/>
      <c r="D5" s="44"/>
      <c r="E5" s="44"/>
      <c r="F5" s="45"/>
    </row>
    <row r="6" spans="2:11" ht="15" thickBot="1">
      <c r="B6" s="46" t="s">
        <v>23</v>
      </c>
      <c r="C6" s="47"/>
      <c r="D6" s="47"/>
      <c r="E6" s="47"/>
      <c r="F6" s="48"/>
    </row>
    <row r="7" spans="2:11" ht="15" thickBot="1"/>
    <row r="8" spans="2:11" ht="15" thickBot="1">
      <c r="B8" s="50" t="s">
        <v>25</v>
      </c>
      <c r="C8" s="51"/>
      <c r="D8" s="52"/>
    </row>
    <row r="10" spans="2:11">
      <c r="B10" s="53" t="s">
        <v>26</v>
      </c>
      <c r="C10" s="60" t="s">
        <v>30</v>
      </c>
      <c r="D10" s="181"/>
      <c r="E10" s="181"/>
      <c r="F10" s="181"/>
      <c r="G10" s="181"/>
      <c r="H10" s="181"/>
      <c r="I10" s="181"/>
      <c r="J10" s="181"/>
      <c r="K10" s="182"/>
    </row>
    <row r="11" spans="2:11">
      <c r="B11" s="53" t="s">
        <v>27</v>
      </c>
      <c r="C11" s="60" t="s">
        <v>72</v>
      </c>
      <c r="D11" s="181"/>
      <c r="E11" s="181"/>
      <c r="F11" s="181"/>
      <c r="G11" s="181"/>
      <c r="H11" s="181"/>
      <c r="I11" s="181"/>
      <c r="J11" s="181"/>
      <c r="K11" s="182"/>
    </row>
    <row r="12" spans="2:11">
      <c r="B12" s="53" t="s">
        <v>28</v>
      </c>
      <c r="C12" s="60" t="s">
        <v>104</v>
      </c>
      <c r="D12" s="181"/>
      <c r="E12" s="181"/>
      <c r="F12" s="181"/>
      <c r="G12" s="181"/>
      <c r="H12" s="181"/>
      <c r="I12" s="181"/>
      <c r="J12" s="181"/>
      <c r="K12" s="182"/>
    </row>
    <row r="13" spans="2:11">
      <c r="B13" s="53" t="s">
        <v>29</v>
      </c>
      <c r="C13" s="60" t="s">
        <v>121</v>
      </c>
      <c r="D13" s="181"/>
      <c r="E13" s="181"/>
      <c r="F13" s="181"/>
      <c r="G13" s="181"/>
      <c r="H13" s="181"/>
      <c r="I13" s="181"/>
      <c r="J13" s="181"/>
      <c r="K13" s="182"/>
    </row>
    <row r="14" spans="2:11">
      <c r="B14" s="53" t="s">
        <v>122</v>
      </c>
      <c r="C14" s="60" t="s">
        <v>123</v>
      </c>
      <c r="D14" s="181"/>
      <c r="E14" s="181"/>
      <c r="F14" s="181"/>
      <c r="G14" s="181"/>
      <c r="H14" s="181"/>
      <c r="I14" s="181"/>
      <c r="J14" s="181"/>
      <c r="K14" s="182"/>
    </row>
    <row r="17" spans="2:12">
      <c r="B17" s="54" t="s">
        <v>31</v>
      </c>
      <c r="C17" s="55"/>
      <c r="D17" s="55"/>
      <c r="E17" s="55"/>
      <c r="F17" s="55"/>
      <c r="G17" s="55"/>
      <c r="H17" s="55"/>
      <c r="I17" s="55"/>
      <c r="J17" s="55"/>
      <c r="K17" s="55"/>
      <c r="L17" s="56"/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3" sqref="F3"/>
    </sheetView>
  </sheetViews>
  <sheetFormatPr defaultRowHeight="14.4"/>
  <cols>
    <col min="1" max="1" width="27.109375" customWidth="1"/>
    <col min="2" max="2" width="12.44140625" customWidth="1"/>
    <col min="3" max="3" width="13.109375" customWidth="1"/>
    <col min="4" max="5" width="12.5546875" customWidth="1"/>
    <col min="6" max="6" width="13.33203125" customWidth="1"/>
    <col min="7" max="7" width="13.88671875" customWidth="1"/>
    <col min="8" max="8" width="9.5546875" bestFit="1" customWidth="1"/>
    <col min="9" max="9" width="11.33203125" bestFit="1" customWidth="1"/>
  </cols>
  <sheetData>
    <row r="4" spans="1:9" ht="15.6">
      <c r="A4" s="4"/>
      <c r="B4" s="195" t="s">
        <v>20</v>
      </c>
      <c r="C4" s="196"/>
      <c r="D4" s="196"/>
      <c r="E4" s="196"/>
      <c r="F4" s="196"/>
      <c r="G4" s="196"/>
      <c r="H4" s="196"/>
      <c r="I4" s="196"/>
    </row>
    <row r="5" spans="1:9">
      <c r="A5" s="4"/>
      <c r="B5" s="190"/>
      <c r="C5" s="190"/>
      <c r="D5" s="190"/>
      <c r="E5" s="190"/>
      <c r="F5" s="190"/>
      <c r="G5" s="190"/>
      <c r="H5" s="190"/>
      <c r="I5" s="190"/>
    </row>
    <row r="6" spans="1:9" ht="15.6">
      <c r="A6" s="5"/>
      <c r="B6" s="197" t="s">
        <v>15</v>
      </c>
      <c r="C6" s="198"/>
      <c r="D6" s="191" t="s">
        <v>14</v>
      </c>
      <c r="E6" s="192"/>
      <c r="F6" s="199" t="s">
        <v>12</v>
      </c>
      <c r="G6" s="200"/>
      <c r="H6" s="193" t="s">
        <v>19</v>
      </c>
      <c r="I6" s="194"/>
    </row>
    <row r="7" spans="1:9" ht="15.6">
      <c r="A7" s="6"/>
      <c r="B7" s="23">
        <v>20.079999999999998</v>
      </c>
      <c r="C7" s="24" t="s">
        <v>16</v>
      </c>
      <c r="D7" s="18" t="s">
        <v>17</v>
      </c>
      <c r="E7" s="25" t="s">
        <v>18</v>
      </c>
      <c r="F7" s="19" t="s">
        <v>17</v>
      </c>
      <c r="G7" s="26" t="s">
        <v>18</v>
      </c>
      <c r="H7" s="20">
        <v>2008</v>
      </c>
      <c r="I7" s="21">
        <v>2009</v>
      </c>
    </row>
    <row r="8" spans="1:9">
      <c r="A8" s="7"/>
      <c r="B8" s="7"/>
      <c r="C8" s="7"/>
      <c r="D8" s="7"/>
      <c r="E8" s="7"/>
      <c r="F8" s="7"/>
      <c r="G8" s="7"/>
      <c r="H8" s="8"/>
      <c r="I8" s="8"/>
    </row>
    <row r="9" spans="1:9" ht="15.6">
      <c r="A9" s="11" t="s">
        <v>0</v>
      </c>
      <c r="B9" s="12">
        <v>10.6</v>
      </c>
      <c r="C9" s="31">
        <v>10.3</v>
      </c>
      <c r="D9" s="12">
        <v>16.899999999999999</v>
      </c>
      <c r="E9" s="31">
        <v>16.600000000000001</v>
      </c>
      <c r="F9" s="12">
        <v>1</v>
      </c>
      <c r="G9" s="31">
        <v>1</v>
      </c>
      <c r="H9" s="27">
        <v>11.8</v>
      </c>
      <c r="I9" s="31">
        <v>11.6</v>
      </c>
    </row>
    <row r="10" spans="1:9" ht="30.6">
      <c r="A10" s="11" t="s">
        <v>1</v>
      </c>
      <c r="B10" s="12">
        <v>27.2</v>
      </c>
      <c r="C10" s="31">
        <v>26.3</v>
      </c>
      <c r="D10" s="12">
        <v>26.2</v>
      </c>
      <c r="E10" s="31">
        <v>25.2</v>
      </c>
      <c r="F10" s="12">
        <v>22.9</v>
      </c>
      <c r="G10" s="31">
        <v>22.3</v>
      </c>
      <c r="H10" s="27">
        <v>26.2</v>
      </c>
      <c r="I10" s="31">
        <v>25.3</v>
      </c>
    </row>
    <row r="11" spans="1:9" ht="15.6">
      <c r="A11" s="11" t="s">
        <v>2</v>
      </c>
      <c r="B11" s="12">
        <v>1.7</v>
      </c>
      <c r="C11" s="31">
        <v>1.6</v>
      </c>
      <c r="D11" s="12">
        <v>1.1000000000000001</v>
      </c>
      <c r="E11" s="31">
        <v>1</v>
      </c>
      <c r="F11" s="12">
        <v>23.7</v>
      </c>
      <c r="G11" s="31">
        <v>23.6</v>
      </c>
      <c r="H11" s="27">
        <v>4.4000000000000004</v>
      </c>
      <c r="I11" s="31">
        <v>4.3</v>
      </c>
    </row>
    <row r="12" spans="1:9" ht="31.2" thickBot="1">
      <c r="A12" s="13" t="s">
        <v>3</v>
      </c>
      <c r="B12" s="14">
        <v>0.4</v>
      </c>
      <c r="C12" s="32">
        <v>0.4</v>
      </c>
      <c r="D12" s="14">
        <v>0.1</v>
      </c>
      <c r="E12" s="32">
        <v>0.1</v>
      </c>
      <c r="F12" s="14">
        <v>8.4</v>
      </c>
      <c r="G12" s="32">
        <v>8.5</v>
      </c>
      <c r="H12" s="28">
        <v>1.4</v>
      </c>
      <c r="I12" s="32">
        <v>1.4</v>
      </c>
    </row>
    <row r="13" spans="1:9" ht="31.8" thickBot="1">
      <c r="A13" s="22" t="s">
        <v>4</v>
      </c>
      <c r="B13" s="15">
        <v>18.600000000000001</v>
      </c>
      <c r="C13" s="34">
        <v>18.5</v>
      </c>
      <c r="D13" s="15">
        <v>30.6</v>
      </c>
      <c r="E13" s="34">
        <v>30.6</v>
      </c>
      <c r="F13" s="15">
        <v>14.9</v>
      </c>
      <c r="G13" s="34">
        <v>14.7</v>
      </c>
      <c r="H13" s="29">
        <v>22.7</v>
      </c>
      <c r="I13" s="35">
        <v>22.8</v>
      </c>
    </row>
    <row r="14" spans="1:9" ht="31.8" thickBot="1">
      <c r="A14" s="22" t="s">
        <v>5</v>
      </c>
      <c r="B14" s="15">
        <v>23.8</v>
      </c>
      <c r="C14" s="34">
        <v>25.2</v>
      </c>
      <c r="D14" s="15">
        <v>6.9</v>
      </c>
      <c r="E14" s="34">
        <v>7.4</v>
      </c>
      <c r="F14" s="15">
        <v>4.3</v>
      </c>
      <c r="G14" s="34">
        <v>4.5999999999999996</v>
      </c>
      <c r="H14" s="29">
        <v>14.6</v>
      </c>
      <c r="I14" s="35">
        <v>15.4</v>
      </c>
    </row>
    <row r="15" spans="1:9" ht="15.6">
      <c r="A15" s="16" t="s">
        <v>6</v>
      </c>
      <c r="B15" s="17">
        <v>2.1</v>
      </c>
      <c r="C15" s="33">
        <v>2.1</v>
      </c>
      <c r="D15" s="17">
        <v>2.4</v>
      </c>
      <c r="E15" s="33">
        <v>2.4</v>
      </c>
      <c r="F15" s="17">
        <v>1.8</v>
      </c>
      <c r="G15" s="33">
        <v>1.8</v>
      </c>
      <c r="H15" s="30">
        <v>2.2000000000000002</v>
      </c>
      <c r="I15" s="33">
        <v>2.7</v>
      </c>
    </row>
    <row r="16" spans="1:9" ht="15.6">
      <c r="A16" s="11" t="s">
        <v>7</v>
      </c>
      <c r="B16" s="12">
        <v>1.2</v>
      </c>
      <c r="C16" s="31">
        <v>1.3</v>
      </c>
      <c r="D16" s="12">
        <v>1.3</v>
      </c>
      <c r="E16" s="31">
        <v>1.5</v>
      </c>
      <c r="F16" s="12">
        <v>1</v>
      </c>
      <c r="G16" s="31">
        <v>0.9</v>
      </c>
      <c r="H16" s="27">
        <v>1.2</v>
      </c>
      <c r="I16" s="31">
        <v>1.2</v>
      </c>
    </row>
    <row r="17" spans="1:9" ht="15.6">
      <c r="A17" s="11" t="s">
        <v>8</v>
      </c>
      <c r="B17" s="12">
        <v>0.2</v>
      </c>
      <c r="C17" s="31">
        <v>0.2</v>
      </c>
      <c r="D17" s="12">
        <v>0.1</v>
      </c>
      <c r="E17" s="31">
        <v>0.1</v>
      </c>
      <c r="F17" s="12">
        <v>0.2</v>
      </c>
      <c r="G17" s="31">
        <v>0.2</v>
      </c>
      <c r="H17" s="27">
        <v>0.1</v>
      </c>
      <c r="I17" s="31">
        <v>0.1</v>
      </c>
    </row>
    <row r="18" spans="1:9" ht="16.2" thickBot="1">
      <c r="A18" s="13" t="s">
        <v>9</v>
      </c>
      <c r="B18" s="14">
        <v>4</v>
      </c>
      <c r="C18" s="32">
        <v>4</v>
      </c>
      <c r="D18" s="14">
        <v>3.4</v>
      </c>
      <c r="E18" s="32">
        <v>3.3</v>
      </c>
      <c r="F18" s="14">
        <v>5</v>
      </c>
      <c r="G18" s="32">
        <v>4.5999999999999996</v>
      </c>
      <c r="H18" s="28">
        <v>3.9</v>
      </c>
      <c r="I18" s="32">
        <v>3.8</v>
      </c>
    </row>
    <row r="19" spans="1:9" ht="31.8" thickBot="1">
      <c r="A19" s="36" t="s">
        <v>10</v>
      </c>
      <c r="B19" s="37">
        <v>6.2</v>
      </c>
      <c r="C19" s="34">
        <v>6.2</v>
      </c>
      <c r="D19" s="15">
        <v>5.4</v>
      </c>
      <c r="E19" s="34">
        <v>5.9</v>
      </c>
      <c r="F19" s="15">
        <v>16</v>
      </c>
      <c r="G19" s="34">
        <v>17.2</v>
      </c>
      <c r="H19" s="29">
        <v>7.2</v>
      </c>
      <c r="I19" s="35">
        <v>7.5</v>
      </c>
    </row>
    <row r="20" spans="1:9" ht="15.6">
      <c r="A20" s="16" t="s">
        <v>11</v>
      </c>
      <c r="B20" s="17">
        <v>3.9</v>
      </c>
      <c r="C20" s="33">
        <v>3.9</v>
      </c>
      <c r="D20" s="17">
        <v>5.6</v>
      </c>
      <c r="E20" s="33">
        <v>6.1</v>
      </c>
      <c r="F20" s="17">
        <v>0.7</v>
      </c>
      <c r="G20" s="33">
        <v>0.6</v>
      </c>
      <c r="H20" s="30">
        <v>4.0999999999999996</v>
      </c>
      <c r="I20" s="33">
        <v>4.4000000000000004</v>
      </c>
    </row>
    <row r="21" spans="1:9">
      <c r="A21" s="9"/>
      <c r="B21" s="10"/>
      <c r="C21" s="10"/>
      <c r="D21" s="10"/>
      <c r="E21" s="10"/>
      <c r="F21" s="10"/>
      <c r="G21" s="10"/>
      <c r="H21" s="1"/>
      <c r="I21" s="1"/>
    </row>
    <row r="22" spans="1:9">
      <c r="A22" s="4"/>
      <c r="B22" s="2" t="s">
        <v>21</v>
      </c>
      <c r="C22" s="2"/>
      <c r="D22" s="2"/>
      <c r="E22" s="2"/>
      <c r="F22" s="3" t="s">
        <v>13</v>
      </c>
      <c r="G22" s="3"/>
      <c r="H22" s="188"/>
      <c r="I22" s="189"/>
    </row>
  </sheetData>
  <mergeCells count="10">
    <mergeCell ref="H22:I22"/>
    <mergeCell ref="H5:I5"/>
    <mergeCell ref="D6:E6"/>
    <mergeCell ref="H6:I6"/>
    <mergeCell ref="B4:I4"/>
    <mergeCell ref="B6:C6"/>
    <mergeCell ref="B5:C5"/>
    <mergeCell ref="D5:E5"/>
    <mergeCell ref="F5:G5"/>
    <mergeCell ref="F6:G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M28"/>
  <sheetViews>
    <sheetView topLeftCell="A10" workbookViewId="0">
      <selection activeCell="A4" sqref="A4"/>
    </sheetView>
  </sheetViews>
  <sheetFormatPr defaultRowHeight="14.4"/>
  <cols>
    <col min="2" max="2" width="14.88671875" customWidth="1"/>
  </cols>
  <sheetData>
    <row r="1" spans="2:13" ht="15" thickBot="1"/>
    <row r="2" spans="2:13" ht="15" thickBot="1">
      <c r="B2" s="57" t="s">
        <v>71</v>
      </c>
      <c r="C2" s="58"/>
      <c r="D2" s="58"/>
      <c r="E2" s="58"/>
      <c r="F2" s="58"/>
      <c r="G2" s="58"/>
      <c r="H2" s="58"/>
      <c r="I2" s="58"/>
      <c r="J2" s="58"/>
      <c r="K2" s="59"/>
    </row>
    <row r="4" spans="2:13">
      <c r="B4" s="60"/>
      <c r="C4" s="61" t="s">
        <v>32</v>
      </c>
      <c r="D4" s="62" t="s">
        <v>33</v>
      </c>
      <c r="E4" s="61" t="s">
        <v>34</v>
      </c>
      <c r="F4" s="62" t="s">
        <v>35</v>
      </c>
      <c r="G4" s="61" t="s">
        <v>34</v>
      </c>
      <c r="H4" s="62" t="s">
        <v>35</v>
      </c>
      <c r="I4" s="61" t="s">
        <v>36</v>
      </c>
      <c r="J4" s="63" t="s">
        <v>37</v>
      </c>
      <c r="K4" s="64"/>
      <c r="L4" s="61" t="s">
        <v>38</v>
      </c>
      <c r="M4" s="61" t="s">
        <v>39</v>
      </c>
    </row>
    <row r="5" spans="2:13">
      <c r="B5" s="60"/>
      <c r="C5" s="65" t="s">
        <v>40</v>
      </c>
      <c r="D5" s="66" t="s">
        <v>41</v>
      </c>
      <c r="E5" s="65" t="s">
        <v>41</v>
      </c>
      <c r="F5" s="66" t="s">
        <v>42</v>
      </c>
      <c r="G5" s="65" t="s">
        <v>42</v>
      </c>
      <c r="H5" s="66" t="s">
        <v>43</v>
      </c>
      <c r="I5" s="65" t="s">
        <v>43</v>
      </c>
      <c r="J5" s="67" t="s">
        <v>44</v>
      </c>
      <c r="K5" s="68"/>
      <c r="L5" s="65" t="s">
        <v>45</v>
      </c>
      <c r="M5" s="65" t="s">
        <v>46</v>
      </c>
    </row>
    <row r="6" spans="2:13">
      <c r="B6" s="69" t="s">
        <v>47</v>
      </c>
      <c r="C6" s="70">
        <v>8064300</v>
      </c>
      <c r="D6" s="70">
        <v>90760</v>
      </c>
      <c r="E6" s="71">
        <f>D6/C6%</f>
        <v>1.1254541621715461</v>
      </c>
      <c r="F6" s="70">
        <v>13240</v>
      </c>
      <c r="G6" s="71">
        <f>F6/C6%</f>
        <v>0.16418040003472092</v>
      </c>
      <c r="H6" s="70">
        <v>193280</v>
      </c>
      <c r="I6" s="71">
        <f>H6/C6%</f>
        <v>2.396736232531032</v>
      </c>
      <c r="J6" s="71">
        <f>SUM(D6+F6)/C6%</f>
        <v>1.289634562206267</v>
      </c>
      <c r="K6" s="72"/>
      <c r="L6" s="73">
        <v>6.27</v>
      </c>
      <c r="M6" s="73">
        <v>3.3</v>
      </c>
    </row>
    <row r="7" spans="2:13">
      <c r="B7" s="74" t="s">
        <v>48</v>
      </c>
      <c r="C7" s="75">
        <v>29720</v>
      </c>
      <c r="D7" s="74">
        <v>330</v>
      </c>
      <c r="E7" s="76">
        <f t="shared" ref="E7:E24" si="0">D7/C7%</f>
        <v>1.1103633916554509</v>
      </c>
      <c r="F7" s="74">
        <v>72</v>
      </c>
      <c r="G7" s="76">
        <f t="shared" ref="G7:G24" si="1">F7/C7%</f>
        <v>0.24226110363391656</v>
      </c>
      <c r="H7" s="74">
        <v>0</v>
      </c>
      <c r="I7" s="76">
        <f t="shared" ref="I7:I24" si="2">H7/C7%</f>
        <v>0</v>
      </c>
      <c r="J7" s="76">
        <f t="shared" ref="J7:J24" si="3">SUM(D7+F7)/C7%</f>
        <v>1.3526244952893676</v>
      </c>
      <c r="K7" s="74"/>
      <c r="L7" s="74">
        <v>6.08</v>
      </c>
      <c r="M7" s="74">
        <v>2.9</v>
      </c>
    </row>
    <row r="8" spans="2:13">
      <c r="B8" s="74" t="s">
        <v>49</v>
      </c>
      <c r="C8" s="75">
        <v>35880</v>
      </c>
      <c r="D8" s="74">
        <v>300</v>
      </c>
      <c r="E8" s="76">
        <f t="shared" si="0"/>
        <v>0.83612040133779264</v>
      </c>
      <c r="F8" s="74">
        <v>39</v>
      </c>
      <c r="G8" s="76">
        <f t="shared" si="1"/>
        <v>0.10869565217391304</v>
      </c>
      <c r="H8" s="74">
        <v>0</v>
      </c>
      <c r="I8" s="76">
        <f t="shared" si="2"/>
        <v>0</v>
      </c>
      <c r="J8" s="76">
        <f t="shared" si="3"/>
        <v>0.94481605351170561</v>
      </c>
      <c r="K8" s="74"/>
      <c r="L8" s="74">
        <v>6.18</v>
      </c>
      <c r="M8" s="74">
        <v>3.4</v>
      </c>
    </row>
    <row r="9" spans="2:13">
      <c r="B9" s="74" t="s">
        <v>50</v>
      </c>
      <c r="C9" s="75">
        <v>15730</v>
      </c>
      <c r="D9" s="74">
        <v>220</v>
      </c>
      <c r="E9" s="76">
        <f t="shared" si="0"/>
        <v>1.3986013986013985</v>
      </c>
      <c r="F9" s="74">
        <v>77</v>
      </c>
      <c r="G9" s="77">
        <f t="shared" si="1"/>
        <v>0.48951048951048948</v>
      </c>
      <c r="H9" s="74">
        <v>574</v>
      </c>
      <c r="I9" s="76">
        <f t="shared" si="2"/>
        <v>3.6490781945327395</v>
      </c>
      <c r="J9" s="78">
        <f t="shared" si="3"/>
        <v>1.8881118881118879</v>
      </c>
      <c r="K9" s="74"/>
      <c r="L9" s="74">
        <v>6.15</v>
      </c>
      <c r="M9" s="74">
        <v>3.2</v>
      </c>
    </row>
    <row r="10" spans="2:13">
      <c r="B10" s="74" t="s">
        <v>51</v>
      </c>
      <c r="C10" s="75">
        <v>47620</v>
      </c>
      <c r="D10" s="74">
        <v>490</v>
      </c>
      <c r="E10" s="76">
        <f t="shared" si="0"/>
        <v>1.0289794204115918</v>
      </c>
      <c r="F10" s="74">
        <v>143</v>
      </c>
      <c r="G10" s="76">
        <f t="shared" si="1"/>
        <v>0.30029399412011759</v>
      </c>
      <c r="H10" s="75">
        <v>3316</v>
      </c>
      <c r="I10" s="76">
        <f t="shared" si="2"/>
        <v>6.9634607307853846</v>
      </c>
      <c r="J10" s="76">
        <f t="shared" si="3"/>
        <v>1.3292734145317093</v>
      </c>
      <c r="K10" s="74"/>
      <c r="L10" s="79">
        <v>6.85</v>
      </c>
      <c r="M10" s="79">
        <v>4.0999999999999996</v>
      </c>
    </row>
    <row r="11" spans="2:13">
      <c r="B11" s="80" t="s">
        <v>52</v>
      </c>
      <c r="C11" s="75">
        <v>685800</v>
      </c>
      <c r="D11" s="75">
        <v>6690</v>
      </c>
      <c r="E11" s="76">
        <f t="shared" si="0"/>
        <v>0.97550306211723536</v>
      </c>
      <c r="F11" s="75">
        <v>1170</v>
      </c>
      <c r="G11" s="76">
        <f t="shared" si="1"/>
        <v>0.17060367454068243</v>
      </c>
      <c r="H11" s="75">
        <v>20790</v>
      </c>
      <c r="I11" s="76">
        <f t="shared" si="2"/>
        <v>3.0314960629921259</v>
      </c>
      <c r="J11" s="76">
        <f t="shared" si="3"/>
        <v>1.1461067366579178</v>
      </c>
      <c r="K11" s="74"/>
      <c r="L11" s="74">
        <v>6.19</v>
      </c>
      <c r="M11" s="74">
        <v>3.3</v>
      </c>
    </row>
    <row r="12" spans="2:13">
      <c r="B12" s="74" t="s">
        <v>53</v>
      </c>
      <c r="C12" s="75">
        <v>51840</v>
      </c>
      <c r="D12" s="74">
        <v>550</v>
      </c>
      <c r="E12" s="76">
        <f t="shared" si="0"/>
        <v>1.0609567901234569</v>
      </c>
      <c r="F12" s="74">
        <v>92</v>
      </c>
      <c r="G12" s="76">
        <f t="shared" si="1"/>
        <v>0.17746913580246915</v>
      </c>
      <c r="H12" s="75">
        <v>1450</v>
      </c>
      <c r="I12" s="76">
        <f t="shared" si="2"/>
        <v>2.7970679012345681</v>
      </c>
      <c r="J12" s="76">
        <f t="shared" si="3"/>
        <v>1.238425925925926</v>
      </c>
      <c r="K12" s="74"/>
      <c r="L12" s="74">
        <v>6.07</v>
      </c>
      <c r="M12" s="74">
        <v>2.2000000000000002</v>
      </c>
    </row>
    <row r="13" spans="2:13">
      <c r="B13" s="74" t="s">
        <v>54</v>
      </c>
      <c r="C13" s="75">
        <v>29310</v>
      </c>
      <c r="D13" s="74">
        <v>380</v>
      </c>
      <c r="E13" s="76">
        <f t="shared" si="0"/>
        <v>1.2964858410098941</v>
      </c>
      <c r="F13" s="74">
        <v>90</v>
      </c>
      <c r="G13" s="76">
        <f t="shared" si="1"/>
        <v>0.30706243602865912</v>
      </c>
      <c r="H13" s="74">
        <v>0</v>
      </c>
      <c r="I13" s="76">
        <f t="shared" si="2"/>
        <v>0</v>
      </c>
      <c r="J13" s="76">
        <f t="shared" si="3"/>
        <v>1.6035482770385532</v>
      </c>
      <c r="K13" s="74"/>
      <c r="L13" s="74">
        <v>6.3</v>
      </c>
      <c r="M13" s="81">
        <v>3.7</v>
      </c>
    </row>
    <row r="14" spans="2:13">
      <c r="B14" s="74" t="s">
        <v>55</v>
      </c>
      <c r="C14" s="75">
        <v>105610</v>
      </c>
      <c r="D14" s="75">
        <v>1510</v>
      </c>
      <c r="E14" s="82">
        <f t="shared" si="0"/>
        <v>1.4297888457532433</v>
      </c>
      <c r="F14" s="74">
        <v>233</v>
      </c>
      <c r="G14" s="76">
        <f t="shared" si="1"/>
        <v>0.22062304705993752</v>
      </c>
      <c r="H14" s="75">
        <v>6857</v>
      </c>
      <c r="I14" s="76">
        <f t="shared" si="2"/>
        <v>6.4927563677682043</v>
      </c>
      <c r="J14" s="82">
        <f t="shared" si="3"/>
        <v>1.6504118928131808</v>
      </c>
      <c r="K14" s="74"/>
      <c r="L14" s="74">
        <v>6.08</v>
      </c>
      <c r="M14" s="74">
        <v>3.1</v>
      </c>
    </row>
    <row r="15" spans="2:13">
      <c r="B15" s="74" t="s">
        <v>56</v>
      </c>
      <c r="C15" s="75">
        <v>90450</v>
      </c>
      <c r="D15" s="74">
        <v>730</v>
      </c>
      <c r="E15" s="76">
        <f t="shared" si="0"/>
        <v>0.80707573244886677</v>
      </c>
      <c r="F15" s="74">
        <v>65</v>
      </c>
      <c r="G15" s="76">
        <f t="shared" si="1"/>
        <v>7.1862907683803212E-2</v>
      </c>
      <c r="H15" s="74">
        <v>0</v>
      </c>
      <c r="I15" s="83">
        <f t="shared" si="2"/>
        <v>0</v>
      </c>
      <c r="J15" s="76">
        <f t="shared" si="3"/>
        <v>0.87893864013266998</v>
      </c>
      <c r="K15" s="74"/>
      <c r="L15" s="84">
        <v>5.71</v>
      </c>
      <c r="M15" s="74">
        <v>2.6</v>
      </c>
    </row>
    <row r="16" spans="2:13">
      <c r="B16" s="74" t="s">
        <v>57</v>
      </c>
      <c r="C16" s="75">
        <v>52390</v>
      </c>
      <c r="D16" s="74">
        <v>450</v>
      </c>
      <c r="E16" s="76">
        <f t="shared" si="0"/>
        <v>0.85894254628745947</v>
      </c>
      <c r="F16" s="74">
        <v>71</v>
      </c>
      <c r="G16" s="76">
        <f t="shared" si="1"/>
        <v>0.13552204619202138</v>
      </c>
      <c r="H16" s="74">
        <v>0</v>
      </c>
      <c r="I16" s="83">
        <f t="shared" si="2"/>
        <v>0</v>
      </c>
      <c r="J16" s="76">
        <f t="shared" si="3"/>
        <v>0.99446459247948082</v>
      </c>
      <c r="K16" s="74"/>
      <c r="L16" s="74">
        <v>6.08</v>
      </c>
      <c r="M16" s="74">
        <v>2.6</v>
      </c>
    </row>
    <row r="17" spans="2:13">
      <c r="B17" s="74" t="s">
        <v>58</v>
      </c>
      <c r="C17" s="75">
        <v>30120</v>
      </c>
      <c r="D17" s="74">
        <v>140</v>
      </c>
      <c r="E17" s="83">
        <f t="shared" si="0"/>
        <v>0.46480743691899074</v>
      </c>
      <c r="F17" s="74">
        <v>12</v>
      </c>
      <c r="G17" s="83">
        <f t="shared" si="1"/>
        <v>3.9840637450199202E-2</v>
      </c>
      <c r="H17" s="74">
        <v>0</v>
      </c>
      <c r="I17" s="83">
        <f t="shared" si="2"/>
        <v>0</v>
      </c>
      <c r="J17" s="83">
        <f t="shared" si="3"/>
        <v>0.5046480743691899</v>
      </c>
      <c r="K17" s="74"/>
      <c r="L17" s="74">
        <v>5.61</v>
      </c>
      <c r="M17" s="84">
        <v>2.5</v>
      </c>
    </row>
    <row r="18" spans="2:13">
      <c r="B18" s="74" t="s">
        <v>59</v>
      </c>
      <c r="C18" s="75">
        <v>43240</v>
      </c>
      <c r="D18" s="74">
        <v>550</v>
      </c>
      <c r="E18" s="76">
        <f t="shared" si="0"/>
        <v>1.2719703977798336</v>
      </c>
      <c r="F18" s="74">
        <v>17</v>
      </c>
      <c r="G18" s="83">
        <f t="shared" si="1"/>
        <v>3.9315448658649402E-2</v>
      </c>
      <c r="H18" s="75">
        <v>1218</v>
      </c>
      <c r="I18" s="85">
        <f t="shared" si="2"/>
        <v>2.8168362627197041</v>
      </c>
      <c r="J18" s="76">
        <f t="shared" si="3"/>
        <v>1.3112858464384829</v>
      </c>
      <c r="K18" s="74"/>
      <c r="L18" s="74">
        <v>6.47</v>
      </c>
      <c r="M18" s="74">
        <v>3.5</v>
      </c>
    </row>
    <row r="19" spans="2:13">
      <c r="B19" s="74" t="s">
        <v>60</v>
      </c>
      <c r="C19" s="75">
        <v>7040</v>
      </c>
      <c r="D19" s="74">
        <v>10</v>
      </c>
      <c r="E19" s="83">
        <f t="shared" si="0"/>
        <v>0.14204545454545453</v>
      </c>
      <c r="F19" s="74">
        <v>0</v>
      </c>
      <c r="G19" s="83">
        <f t="shared" si="1"/>
        <v>0</v>
      </c>
      <c r="H19" s="74">
        <v>0</v>
      </c>
      <c r="I19" s="76">
        <f t="shared" si="2"/>
        <v>0</v>
      </c>
      <c r="J19" s="83">
        <f t="shared" si="3"/>
        <v>0.14204545454545453</v>
      </c>
      <c r="K19" s="74"/>
      <c r="L19" s="84">
        <v>5.52</v>
      </c>
      <c r="M19" s="84">
        <v>2.5</v>
      </c>
    </row>
    <row r="20" spans="2:13">
      <c r="B20" s="74" t="s">
        <v>61</v>
      </c>
      <c r="C20" s="75">
        <v>24430</v>
      </c>
      <c r="D20" s="74">
        <v>280</v>
      </c>
      <c r="E20" s="76">
        <f t="shared" si="0"/>
        <v>1.1461318051575931</v>
      </c>
      <c r="F20" s="74">
        <v>75</v>
      </c>
      <c r="G20" s="76">
        <f t="shared" si="1"/>
        <v>0.30699959066721244</v>
      </c>
      <c r="H20" s="75">
        <v>1090</v>
      </c>
      <c r="I20" s="76">
        <f t="shared" si="2"/>
        <v>4.4617273843634875</v>
      </c>
      <c r="J20" s="76">
        <f t="shared" si="3"/>
        <v>1.4531313958248055</v>
      </c>
      <c r="K20" s="74"/>
      <c r="L20" s="81">
        <v>6.71</v>
      </c>
      <c r="M20" s="74">
        <v>3.2</v>
      </c>
    </row>
    <row r="21" spans="2:13">
      <c r="B21" s="74" t="s">
        <v>62</v>
      </c>
      <c r="C21" s="75">
        <v>38780</v>
      </c>
      <c r="D21" s="74">
        <v>440</v>
      </c>
      <c r="E21" s="76">
        <f t="shared" si="0"/>
        <v>1.1346054667354306</v>
      </c>
      <c r="F21" s="74">
        <v>126</v>
      </c>
      <c r="G21" s="82">
        <f t="shared" si="1"/>
        <v>0.32490974729241878</v>
      </c>
      <c r="H21" s="75">
        <v>3781</v>
      </c>
      <c r="I21" s="77">
        <f t="shared" si="2"/>
        <v>9.7498710675605977</v>
      </c>
      <c r="J21" s="76">
        <f t="shared" si="3"/>
        <v>1.4595152140278493</v>
      </c>
      <c r="K21" s="74"/>
      <c r="L21" s="74">
        <v>6.06</v>
      </c>
      <c r="M21" s="74">
        <v>2.9</v>
      </c>
    </row>
    <row r="22" spans="2:13">
      <c r="B22" s="74" t="s">
        <v>63</v>
      </c>
      <c r="C22" s="75">
        <v>105180</v>
      </c>
      <c r="D22" s="74">
        <v>840</v>
      </c>
      <c r="E22" s="76">
        <f t="shared" si="0"/>
        <v>0.79863091842555622</v>
      </c>
      <c r="F22" s="74">
        <v>117</v>
      </c>
      <c r="G22" s="76">
        <f t="shared" si="1"/>
        <v>0.11123787792355962</v>
      </c>
      <c r="H22" s="74">
        <v>0</v>
      </c>
      <c r="I22" s="83">
        <f t="shared" si="2"/>
        <v>0</v>
      </c>
      <c r="J22" s="76">
        <f t="shared" si="3"/>
        <v>0.90986879634911588</v>
      </c>
      <c r="K22" s="74"/>
      <c r="L22" s="74">
        <v>5.84</v>
      </c>
      <c r="M22" s="74">
        <v>2.8</v>
      </c>
    </row>
    <row r="23" spans="2:13">
      <c r="B23" s="74" t="s">
        <v>64</v>
      </c>
      <c r="C23" s="75">
        <v>58830</v>
      </c>
      <c r="D23" s="74">
        <v>410</v>
      </c>
      <c r="E23" s="86">
        <f t="shared" si="0"/>
        <v>0.69692333843277243</v>
      </c>
      <c r="F23" s="74">
        <v>72</v>
      </c>
      <c r="G23" s="76">
        <f t="shared" si="1"/>
        <v>0.12238653748087712</v>
      </c>
      <c r="H23" s="75">
        <v>2168</v>
      </c>
      <c r="I23" s="76">
        <f t="shared" si="2"/>
        <v>3.6851946285908554</v>
      </c>
      <c r="J23" s="83">
        <f t="shared" si="3"/>
        <v>0.81930987591364957</v>
      </c>
      <c r="K23" s="74"/>
      <c r="L23" s="74">
        <v>6.17</v>
      </c>
      <c r="M23" s="74">
        <v>3.2</v>
      </c>
    </row>
    <row r="24" spans="2:13">
      <c r="B24" s="74" t="s">
        <v>65</v>
      </c>
      <c r="C24" s="75">
        <v>39700</v>
      </c>
      <c r="D24" s="74">
        <v>670</v>
      </c>
      <c r="E24" s="87">
        <f t="shared" si="0"/>
        <v>1.6876574307304786</v>
      </c>
      <c r="F24" s="74">
        <v>100</v>
      </c>
      <c r="G24" s="76">
        <f t="shared" si="1"/>
        <v>0.25188916876574308</v>
      </c>
      <c r="H24" s="75">
        <v>1107</v>
      </c>
      <c r="I24" s="76">
        <f t="shared" si="2"/>
        <v>2.7884130982367759</v>
      </c>
      <c r="J24" s="76">
        <f t="shared" si="3"/>
        <v>1.9395465994962218</v>
      </c>
      <c r="K24" s="74"/>
      <c r="L24" s="74">
        <v>6.31</v>
      </c>
      <c r="M24" s="74">
        <v>3.1</v>
      </c>
    </row>
    <row r="25" spans="2:13">
      <c r="B25" s="88" t="s">
        <v>66</v>
      </c>
      <c r="C25" s="89">
        <f>SUM(C7:C24)</f>
        <v>1491670</v>
      </c>
      <c r="D25" s="89">
        <f t="shared" ref="D25" si="4">SUM(D7:D24)</f>
        <v>14990</v>
      </c>
      <c r="E25" s="90">
        <f>SUM(E7:E24)/18</f>
        <v>1.0080883154706946</v>
      </c>
      <c r="F25" s="89">
        <f t="shared" ref="F25:J25" si="5">SUM(F7:F24)</f>
        <v>2571</v>
      </c>
      <c r="G25" s="90">
        <f>SUM(G7:G24)/18</f>
        <v>0.19002686083248163</v>
      </c>
      <c r="H25" s="89">
        <f t="shared" si="5"/>
        <v>42351</v>
      </c>
      <c r="I25" s="90">
        <f>SUM(I7:I24)/18</f>
        <v>2.5797723165991355</v>
      </c>
      <c r="J25" s="89">
        <f t="shared" si="5"/>
        <v>21.56607317345717</v>
      </c>
      <c r="K25" s="74"/>
      <c r="L25" s="91">
        <f>SUM(L7:L24)/18</f>
        <v>6.1322222222222216</v>
      </c>
      <c r="M25" s="91">
        <f>SUM(M7:M24)/18</f>
        <v>3.0444444444444447</v>
      </c>
    </row>
    <row r="26" spans="2:13" ht="15" thickBot="1"/>
    <row r="27" spans="2:13">
      <c r="B27" s="92" t="s">
        <v>67</v>
      </c>
      <c r="J27" s="93" t="s">
        <v>68</v>
      </c>
      <c r="K27" s="94"/>
      <c r="L27" s="95"/>
      <c r="M27" s="96">
        <v>6.94</v>
      </c>
    </row>
    <row r="28" spans="2:13" ht="15" thickBot="1">
      <c r="B28" s="97" t="s">
        <v>69</v>
      </c>
      <c r="J28" s="98" t="s">
        <v>70</v>
      </c>
      <c r="K28" s="99"/>
      <c r="L28" s="100"/>
      <c r="M28" s="96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3"/>
  <sheetViews>
    <sheetView topLeftCell="A19" workbookViewId="0">
      <selection activeCell="A35" sqref="A35"/>
    </sheetView>
  </sheetViews>
  <sheetFormatPr defaultRowHeight="14.4"/>
  <cols>
    <col min="1" max="1" width="16.33203125" customWidth="1"/>
  </cols>
  <sheetData>
    <row r="1" spans="1:12" ht="15" thickBot="1">
      <c r="A1" s="57" t="s">
        <v>73</v>
      </c>
      <c r="B1" s="101"/>
      <c r="C1" s="101"/>
      <c r="D1" s="101"/>
      <c r="E1" s="101"/>
      <c r="F1" s="101"/>
      <c r="G1" s="102"/>
    </row>
    <row r="2" spans="1:12">
      <c r="A2" s="103"/>
      <c r="B2" s="104" t="s">
        <v>74</v>
      </c>
      <c r="C2" s="104" t="s">
        <v>75</v>
      </c>
      <c r="D2" s="104" t="s">
        <v>76</v>
      </c>
      <c r="E2" s="104" t="s">
        <v>77</v>
      </c>
      <c r="F2" s="104" t="s">
        <v>78</v>
      </c>
      <c r="G2" s="104" t="s">
        <v>79</v>
      </c>
      <c r="H2" s="104" t="s">
        <v>80</v>
      </c>
      <c r="I2" s="104" t="s">
        <v>81</v>
      </c>
      <c r="J2" s="104" t="s">
        <v>82</v>
      </c>
      <c r="K2" s="104" t="s">
        <v>83</v>
      </c>
      <c r="L2" s="104" t="s">
        <v>84</v>
      </c>
    </row>
    <row r="3" spans="1:12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2" ht="15" thickBot="1">
      <c r="A4" s="107" t="s">
        <v>47</v>
      </c>
      <c r="B4" s="108">
        <v>10.3</v>
      </c>
      <c r="C4" s="108">
        <v>26.3</v>
      </c>
      <c r="D4" s="108">
        <v>1.6</v>
      </c>
      <c r="E4" s="108">
        <v>0.4</v>
      </c>
      <c r="F4" s="108">
        <v>18.5</v>
      </c>
      <c r="G4" s="108">
        <v>25.2</v>
      </c>
      <c r="H4" s="108">
        <v>2.1</v>
      </c>
      <c r="I4" s="108">
        <v>1.3</v>
      </c>
      <c r="J4" s="108">
        <v>0.2</v>
      </c>
      <c r="K4" s="108">
        <v>4</v>
      </c>
      <c r="L4" s="108">
        <v>6.2</v>
      </c>
    </row>
    <row r="5" spans="1:12">
      <c r="A5" s="109" t="s">
        <v>85</v>
      </c>
      <c r="B5" s="110">
        <v>7.9</v>
      </c>
      <c r="C5" s="110">
        <v>26</v>
      </c>
      <c r="D5" s="110">
        <v>1.4</v>
      </c>
      <c r="E5" s="110">
        <v>0.4</v>
      </c>
      <c r="F5" s="110">
        <v>18.7</v>
      </c>
      <c r="G5" s="110">
        <v>28.1</v>
      </c>
      <c r="H5" s="110">
        <v>1.9</v>
      </c>
      <c r="I5" s="110">
        <v>1.1000000000000001</v>
      </c>
      <c r="J5" s="110">
        <v>0.1</v>
      </c>
      <c r="K5" s="110">
        <v>4.5</v>
      </c>
      <c r="L5" s="111">
        <v>4.9000000000000004</v>
      </c>
    </row>
    <row r="6" spans="1:12">
      <c r="A6" s="112" t="s">
        <v>86</v>
      </c>
      <c r="B6" s="113">
        <v>7.9</v>
      </c>
      <c r="C6" s="113">
        <v>26.8</v>
      </c>
      <c r="D6" s="113">
        <v>1.3</v>
      </c>
      <c r="E6" s="113">
        <v>0.6</v>
      </c>
      <c r="F6" s="113">
        <v>19.5</v>
      </c>
      <c r="G6" s="113">
        <v>26.8</v>
      </c>
      <c r="H6" s="113">
        <v>1.3</v>
      </c>
      <c r="I6" s="113">
        <v>1.5</v>
      </c>
      <c r="J6" s="113">
        <v>0</v>
      </c>
      <c r="K6" s="113">
        <v>4.7</v>
      </c>
      <c r="L6" s="113">
        <v>7.9</v>
      </c>
    </row>
    <row r="7" spans="1:12" ht="15" thickBot="1">
      <c r="A7" s="114" t="s">
        <v>87</v>
      </c>
      <c r="B7" s="115">
        <v>11.1</v>
      </c>
      <c r="C7" s="115">
        <v>22.4</v>
      </c>
      <c r="D7" s="115">
        <v>1.2</v>
      </c>
      <c r="E7" s="115">
        <v>0.6</v>
      </c>
      <c r="F7" s="115">
        <v>15.4</v>
      </c>
      <c r="G7" s="115">
        <v>26.9</v>
      </c>
      <c r="H7" s="115">
        <v>3</v>
      </c>
      <c r="I7" s="115">
        <v>1.4</v>
      </c>
      <c r="J7" s="116" t="s">
        <v>88</v>
      </c>
      <c r="K7" s="115">
        <v>4.5</v>
      </c>
      <c r="L7" s="115">
        <v>7.3</v>
      </c>
    </row>
    <row r="8" spans="1:12">
      <c r="A8" s="117" t="s">
        <v>89</v>
      </c>
      <c r="B8" s="118">
        <v>9.1</v>
      </c>
      <c r="C8" s="118">
        <v>31</v>
      </c>
      <c r="D8" s="118">
        <v>1.9</v>
      </c>
      <c r="E8" s="118">
        <v>0.4</v>
      </c>
      <c r="F8" s="118">
        <v>16.399999999999999</v>
      </c>
      <c r="G8" s="118">
        <v>23.3</v>
      </c>
      <c r="H8" s="118">
        <v>2.7</v>
      </c>
      <c r="I8" s="118">
        <v>1.6</v>
      </c>
      <c r="J8" s="118">
        <v>0.2</v>
      </c>
      <c r="K8" s="118">
        <v>4.0999999999999996</v>
      </c>
      <c r="L8" s="119">
        <v>5.9</v>
      </c>
    </row>
    <row r="9" spans="1:12">
      <c r="A9" s="120" t="s">
        <v>49</v>
      </c>
      <c r="B9" s="113">
        <v>6.1</v>
      </c>
      <c r="C9" s="113">
        <v>31.2</v>
      </c>
      <c r="D9" s="113">
        <v>2.6</v>
      </c>
      <c r="E9" s="113">
        <v>0.9</v>
      </c>
      <c r="F9" s="113">
        <v>19.5</v>
      </c>
      <c r="G9" s="113">
        <v>20.2</v>
      </c>
      <c r="H9" s="113">
        <v>3</v>
      </c>
      <c r="I9" s="113">
        <v>1.5</v>
      </c>
      <c r="J9" s="121" t="s">
        <v>88</v>
      </c>
      <c r="K9" s="113">
        <v>4.9000000000000004</v>
      </c>
      <c r="L9" s="113">
        <v>5.5</v>
      </c>
    </row>
    <row r="10" spans="1:12">
      <c r="A10" s="120" t="s">
        <v>51</v>
      </c>
      <c r="B10" s="113">
        <v>6</v>
      </c>
      <c r="C10" s="113">
        <v>30.1</v>
      </c>
      <c r="D10" s="113">
        <v>1.8</v>
      </c>
      <c r="E10" s="121" t="s">
        <v>88</v>
      </c>
      <c r="F10" s="113">
        <v>19.100000000000001</v>
      </c>
      <c r="G10" s="122">
        <v>15.6</v>
      </c>
      <c r="H10" s="113">
        <v>3.6</v>
      </c>
      <c r="I10" s="113">
        <v>1.2</v>
      </c>
      <c r="J10" s="121" t="s">
        <v>88</v>
      </c>
      <c r="K10" s="113">
        <v>5.6</v>
      </c>
      <c r="L10" s="123">
        <v>13.8</v>
      </c>
    </row>
    <row r="11" spans="1:12">
      <c r="A11" s="124" t="s">
        <v>90</v>
      </c>
      <c r="B11" s="113">
        <v>16.600000000000001</v>
      </c>
      <c r="C11" s="113">
        <v>22.5</v>
      </c>
      <c r="D11" s="113">
        <v>1.6</v>
      </c>
      <c r="E11" s="113">
        <v>0.4</v>
      </c>
      <c r="F11" s="113">
        <v>19.5</v>
      </c>
      <c r="G11" s="113">
        <v>21.8</v>
      </c>
      <c r="H11" s="113">
        <v>2.2000000000000002</v>
      </c>
      <c r="I11" s="113">
        <v>0.9</v>
      </c>
      <c r="J11" s="113">
        <v>0.4</v>
      </c>
      <c r="K11" s="113">
        <v>5.0999999999999996</v>
      </c>
      <c r="L11" s="113">
        <v>5.9</v>
      </c>
    </row>
    <row r="12" spans="1:12">
      <c r="A12" s="120" t="s">
        <v>59</v>
      </c>
      <c r="B12" s="113">
        <v>20.100000000000001</v>
      </c>
      <c r="C12" s="113">
        <v>22.5</v>
      </c>
      <c r="D12" s="113">
        <v>0.5</v>
      </c>
      <c r="E12" s="113">
        <v>0.5</v>
      </c>
      <c r="F12" s="113">
        <v>17.600000000000001</v>
      </c>
      <c r="G12" s="113">
        <v>16.2</v>
      </c>
      <c r="H12" s="113">
        <v>1.7</v>
      </c>
      <c r="I12" s="113">
        <v>1.3</v>
      </c>
      <c r="J12" s="121" t="s">
        <v>88</v>
      </c>
      <c r="K12" s="113">
        <v>2.9</v>
      </c>
      <c r="L12" s="113">
        <v>13.7</v>
      </c>
    </row>
    <row r="13" spans="1:12">
      <c r="A13" s="120" t="s">
        <v>64</v>
      </c>
      <c r="B13" s="113">
        <v>5.0999999999999996</v>
      </c>
      <c r="C13" s="113">
        <v>24.2</v>
      </c>
      <c r="D13" s="113">
        <v>2.4</v>
      </c>
      <c r="E13" s="113">
        <v>0.5</v>
      </c>
      <c r="F13" s="113">
        <v>18</v>
      </c>
      <c r="G13" s="113">
        <v>22</v>
      </c>
      <c r="H13" s="113">
        <v>4.0999999999999996</v>
      </c>
      <c r="I13" s="113">
        <v>2.8</v>
      </c>
      <c r="J13" s="121" t="s">
        <v>88</v>
      </c>
      <c r="K13" s="113">
        <v>5.3</v>
      </c>
      <c r="L13" s="113">
        <v>9.5</v>
      </c>
    </row>
    <row r="14" spans="1:12">
      <c r="A14" s="125" t="s">
        <v>91</v>
      </c>
      <c r="B14" s="113">
        <v>10</v>
      </c>
      <c r="C14" s="113">
        <v>26.4</v>
      </c>
      <c r="D14" s="113">
        <v>2</v>
      </c>
      <c r="E14" s="113">
        <v>0.7</v>
      </c>
      <c r="F14" s="113">
        <v>19.600000000000001</v>
      </c>
      <c r="G14" s="113">
        <v>21.7</v>
      </c>
      <c r="H14" s="113">
        <v>2.2999999999999998</v>
      </c>
      <c r="I14" s="113">
        <v>1.5</v>
      </c>
      <c r="J14" s="113">
        <v>0.1</v>
      </c>
      <c r="K14" s="113">
        <v>4.4000000000000004</v>
      </c>
      <c r="L14" s="126">
        <v>7.7</v>
      </c>
    </row>
    <row r="15" spans="1:12">
      <c r="A15" s="120" t="s">
        <v>92</v>
      </c>
      <c r="B15" s="113">
        <v>16.8</v>
      </c>
      <c r="C15" s="113">
        <v>28.4</v>
      </c>
      <c r="D15" s="113">
        <v>1.2</v>
      </c>
      <c r="E15" s="113">
        <v>0.5</v>
      </c>
      <c r="F15" s="113">
        <v>18.8</v>
      </c>
      <c r="G15" s="113">
        <v>17.100000000000001</v>
      </c>
      <c r="H15" s="113">
        <v>1.6</v>
      </c>
      <c r="I15" s="113">
        <v>0.9</v>
      </c>
      <c r="J15" s="113">
        <v>0.2</v>
      </c>
      <c r="K15" s="113">
        <v>3.1</v>
      </c>
      <c r="L15" s="113">
        <v>7.5</v>
      </c>
    </row>
    <row r="16" spans="1:12">
      <c r="A16" s="120" t="s">
        <v>60</v>
      </c>
      <c r="B16" s="113">
        <v>16.600000000000001</v>
      </c>
      <c r="C16" s="113">
        <v>26.5</v>
      </c>
      <c r="D16" s="113">
        <v>3.9</v>
      </c>
      <c r="E16" s="121" t="s">
        <v>88</v>
      </c>
      <c r="F16" s="122">
        <v>14.8</v>
      </c>
      <c r="G16" s="113">
        <v>20.5</v>
      </c>
      <c r="H16" s="121" t="s">
        <v>88</v>
      </c>
      <c r="I16" s="113">
        <v>2.1</v>
      </c>
      <c r="J16" s="113">
        <v>0</v>
      </c>
      <c r="K16" s="121" t="s">
        <v>88</v>
      </c>
      <c r="L16" s="113">
        <v>7.8</v>
      </c>
    </row>
    <row r="17" spans="1:12">
      <c r="A17" s="125" t="s">
        <v>93</v>
      </c>
      <c r="B17" s="113">
        <v>9.1999999999999993</v>
      </c>
      <c r="C17" s="113">
        <v>36.700000000000003</v>
      </c>
      <c r="D17" s="113">
        <v>1.2</v>
      </c>
      <c r="E17" s="113">
        <v>0.3</v>
      </c>
      <c r="F17" s="113">
        <v>14.2</v>
      </c>
      <c r="G17" s="113">
        <v>23</v>
      </c>
      <c r="H17" s="113">
        <v>2.1</v>
      </c>
      <c r="I17" s="113">
        <v>1.3</v>
      </c>
      <c r="J17" s="113">
        <v>0.1</v>
      </c>
      <c r="K17" s="113">
        <v>3.6</v>
      </c>
      <c r="L17" s="126">
        <v>4.8</v>
      </c>
    </row>
    <row r="18" spans="1:12">
      <c r="A18" s="120" t="s">
        <v>94</v>
      </c>
      <c r="B18" s="113">
        <v>12.6</v>
      </c>
      <c r="C18" s="113">
        <v>29.5</v>
      </c>
      <c r="D18" s="113">
        <v>0.5</v>
      </c>
      <c r="E18" s="113">
        <v>0.4</v>
      </c>
      <c r="F18" s="113">
        <v>19.5</v>
      </c>
      <c r="G18" s="113">
        <v>19.2</v>
      </c>
      <c r="H18" s="113">
        <v>1.8</v>
      </c>
      <c r="I18" s="113">
        <v>1.1000000000000001</v>
      </c>
      <c r="J18" s="121" t="s">
        <v>88</v>
      </c>
      <c r="K18" s="113">
        <v>3.3</v>
      </c>
      <c r="L18" s="113">
        <v>7.9</v>
      </c>
    </row>
    <row r="19" spans="1:12">
      <c r="A19" s="127" t="s">
        <v>95</v>
      </c>
      <c r="B19" s="113">
        <v>11.1</v>
      </c>
      <c r="C19" s="113">
        <v>27</v>
      </c>
      <c r="D19" s="113">
        <v>1.6</v>
      </c>
      <c r="E19" s="113">
        <v>0.5</v>
      </c>
      <c r="F19" s="113">
        <v>19.7</v>
      </c>
      <c r="G19" s="113">
        <v>21.7</v>
      </c>
      <c r="H19" s="113">
        <v>1.9</v>
      </c>
      <c r="I19" s="113">
        <v>1.2</v>
      </c>
      <c r="J19" s="113">
        <v>0.2</v>
      </c>
      <c r="K19" s="113">
        <v>3.5</v>
      </c>
      <c r="L19" s="126">
        <v>7.1</v>
      </c>
    </row>
    <row r="20" spans="1:12">
      <c r="A20" s="128" t="s">
        <v>96</v>
      </c>
      <c r="B20" s="113">
        <v>9.4</v>
      </c>
      <c r="C20" s="113">
        <v>19.100000000000001</v>
      </c>
      <c r="D20" s="113">
        <v>1.5</v>
      </c>
      <c r="E20" s="113">
        <v>0.4</v>
      </c>
      <c r="F20" s="113">
        <v>22.9</v>
      </c>
      <c r="G20" s="113">
        <v>22.4</v>
      </c>
      <c r="H20" s="113">
        <v>2.5</v>
      </c>
      <c r="I20" s="113">
        <v>1.8</v>
      </c>
      <c r="J20" s="113">
        <v>0</v>
      </c>
      <c r="K20" s="113">
        <v>3.7</v>
      </c>
      <c r="L20" s="113">
        <v>10.9</v>
      </c>
    </row>
    <row r="21" spans="1:12">
      <c r="A21" s="120" t="s">
        <v>63</v>
      </c>
      <c r="B21" s="113">
        <v>9.6</v>
      </c>
      <c r="C21" s="113">
        <v>22.7</v>
      </c>
      <c r="D21" s="113">
        <v>0.9</v>
      </c>
      <c r="E21" s="113">
        <v>0.5</v>
      </c>
      <c r="F21" s="113">
        <v>20.8</v>
      </c>
      <c r="G21" s="113">
        <v>22.3</v>
      </c>
      <c r="H21" s="113">
        <v>1.7</v>
      </c>
      <c r="I21" s="113">
        <v>1.1000000000000001</v>
      </c>
      <c r="J21" s="121" t="s">
        <v>88</v>
      </c>
      <c r="K21" s="113">
        <v>3.3</v>
      </c>
      <c r="L21" s="113">
        <v>7.8</v>
      </c>
    </row>
    <row r="22" spans="1:12">
      <c r="A22" s="125" t="s">
        <v>97</v>
      </c>
      <c r="B22" s="113">
        <v>9.5</v>
      </c>
      <c r="C22" s="113">
        <v>17.8</v>
      </c>
      <c r="D22" s="113">
        <v>1.9</v>
      </c>
      <c r="E22" s="113">
        <v>0.8</v>
      </c>
      <c r="F22" s="113">
        <v>19.600000000000001</v>
      </c>
      <c r="G22" s="113">
        <v>32.9</v>
      </c>
      <c r="H22" s="113">
        <v>1.9</v>
      </c>
      <c r="I22" s="113">
        <v>0.9</v>
      </c>
      <c r="J22" s="113">
        <v>0.2</v>
      </c>
      <c r="K22" s="113">
        <v>3.2</v>
      </c>
      <c r="L22" s="126">
        <v>7.5</v>
      </c>
    </row>
    <row r="23" spans="1:12">
      <c r="A23" s="120" t="s">
        <v>65</v>
      </c>
      <c r="B23" s="113">
        <v>11.6</v>
      </c>
      <c r="C23" s="113">
        <v>18.7</v>
      </c>
      <c r="D23" s="113">
        <v>0.8</v>
      </c>
      <c r="E23" s="121" t="s">
        <v>88</v>
      </c>
      <c r="F23" s="123">
        <v>23.1</v>
      </c>
      <c r="G23" s="113">
        <v>27.4</v>
      </c>
      <c r="H23" s="113">
        <v>2.1</v>
      </c>
      <c r="I23" s="113">
        <v>1.1000000000000001</v>
      </c>
      <c r="J23" s="113">
        <v>0.3</v>
      </c>
      <c r="K23" s="113">
        <v>2.9</v>
      </c>
      <c r="L23" s="113">
        <v>10</v>
      </c>
    </row>
    <row r="24" spans="1:12">
      <c r="A24" s="125" t="s">
        <v>98</v>
      </c>
      <c r="B24" s="113">
        <v>9.6</v>
      </c>
      <c r="C24" s="113">
        <v>21.3</v>
      </c>
      <c r="D24" s="113">
        <v>1.4</v>
      </c>
      <c r="E24" s="113">
        <v>0.3</v>
      </c>
      <c r="F24" s="113">
        <v>20.2</v>
      </c>
      <c r="G24" s="113">
        <v>29.4</v>
      </c>
      <c r="H24" s="113">
        <v>1.9</v>
      </c>
      <c r="I24" s="113">
        <v>1.1000000000000001</v>
      </c>
      <c r="J24" s="113">
        <v>0.2</v>
      </c>
      <c r="K24" s="113">
        <v>3.8</v>
      </c>
      <c r="L24" s="126">
        <v>6.9</v>
      </c>
    </row>
    <row r="25" spans="1:12">
      <c r="A25" s="120" t="s">
        <v>53</v>
      </c>
      <c r="B25" s="113">
        <v>7.3</v>
      </c>
      <c r="C25" s="123">
        <v>38</v>
      </c>
      <c r="D25" s="113">
        <v>1.2</v>
      </c>
      <c r="E25" s="121" t="s">
        <v>88</v>
      </c>
      <c r="F25" s="113">
        <v>18.399999999999999</v>
      </c>
      <c r="G25" s="113">
        <v>25.2</v>
      </c>
      <c r="H25" s="113">
        <v>1.6</v>
      </c>
      <c r="I25" s="113">
        <v>0.5</v>
      </c>
      <c r="J25" s="121" t="s">
        <v>88</v>
      </c>
      <c r="K25" s="113">
        <v>2.4</v>
      </c>
      <c r="L25" s="122">
        <v>3.8</v>
      </c>
    </row>
    <row r="26" spans="1:12">
      <c r="A26" s="120" t="s">
        <v>57</v>
      </c>
      <c r="B26" s="113">
        <v>12.6</v>
      </c>
      <c r="C26" s="113">
        <v>22.8</v>
      </c>
      <c r="D26" s="113">
        <v>1.6</v>
      </c>
      <c r="E26" s="113">
        <v>0.5</v>
      </c>
      <c r="F26" s="113">
        <v>19.7</v>
      </c>
      <c r="G26" s="113">
        <v>25.8</v>
      </c>
      <c r="H26" s="113">
        <v>2.9</v>
      </c>
      <c r="I26" s="113">
        <v>2.1</v>
      </c>
      <c r="J26" s="113">
        <v>0.3</v>
      </c>
      <c r="K26" s="113">
        <v>5.4</v>
      </c>
      <c r="L26" s="122">
        <v>3.8</v>
      </c>
    </row>
    <row r="27" spans="1:12">
      <c r="A27" s="128" t="s">
        <v>99</v>
      </c>
      <c r="B27" s="113">
        <v>19.8</v>
      </c>
      <c r="C27" s="122">
        <v>13.6</v>
      </c>
      <c r="D27" s="113">
        <v>2</v>
      </c>
      <c r="E27" s="113">
        <v>0.8</v>
      </c>
      <c r="F27" s="113">
        <v>18.8</v>
      </c>
      <c r="G27" s="113">
        <v>21.7</v>
      </c>
      <c r="H27" s="113">
        <v>1.4</v>
      </c>
      <c r="I27" s="113">
        <v>1.7</v>
      </c>
      <c r="J27" s="113">
        <v>1.4</v>
      </c>
      <c r="K27" s="113">
        <v>5</v>
      </c>
      <c r="L27" s="113">
        <v>9.1999999999999993</v>
      </c>
    </row>
    <row r="28" spans="1:12">
      <c r="A28" s="125" t="s">
        <v>100</v>
      </c>
      <c r="B28" s="113">
        <v>11.1</v>
      </c>
      <c r="C28" s="113">
        <v>24</v>
      </c>
      <c r="D28" s="113">
        <v>1.3</v>
      </c>
      <c r="E28" s="113">
        <v>0.3</v>
      </c>
      <c r="F28" s="113">
        <v>19.399999999999999</v>
      </c>
      <c r="G28" s="113">
        <v>26.7</v>
      </c>
      <c r="H28" s="113">
        <v>2</v>
      </c>
      <c r="I28" s="113">
        <v>1.1000000000000001</v>
      </c>
      <c r="J28" s="113">
        <v>0.2</v>
      </c>
      <c r="K28" s="113">
        <v>3.9</v>
      </c>
      <c r="L28" s="126">
        <v>6.9</v>
      </c>
    </row>
    <row r="29" spans="1:12">
      <c r="A29" s="129" t="s">
        <v>61</v>
      </c>
      <c r="B29" s="113">
        <v>10.199999999999999</v>
      </c>
      <c r="C29" s="113">
        <v>18</v>
      </c>
      <c r="D29" s="113">
        <v>1</v>
      </c>
      <c r="E29" s="113">
        <v>1</v>
      </c>
      <c r="F29" s="113">
        <v>22.9</v>
      </c>
      <c r="G29" s="123">
        <v>29</v>
      </c>
      <c r="H29" s="113">
        <v>3.2</v>
      </c>
      <c r="I29" s="113">
        <v>1.8</v>
      </c>
      <c r="J29" s="121" t="s">
        <v>88</v>
      </c>
      <c r="K29" s="113">
        <v>5.2</v>
      </c>
      <c r="L29" s="113">
        <v>4.9000000000000004</v>
      </c>
    </row>
    <row r="30" spans="1:12">
      <c r="A30" s="130"/>
      <c r="B30" s="131"/>
      <c r="C30" s="131"/>
      <c r="D30" s="131"/>
      <c r="E30" s="131"/>
      <c r="F30" s="131"/>
      <c r="G30" s="131"/>
      <c r="H30" s="131"/>
      <c r="I30" s="131"/>
      <c r="J30" s="132"/>
      <c r="K30" s="131"/>
      <c r="L30" s="131"/>
    </row>
    <row r="31" spans="1:12">
      <c r="A31" s="133" t="s">
        <v>101</v>
      </c>
    </row>
    <row r="32" spans="1:12">
      <c r="A32" s="134" t="s">
        <v>102</v>
      </c>
    </row>
    <row r="33" spans="1:1">
      <c r="A33" s="49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H27"/>
  <sheetViews>
    <sheetView workbookViewId="0">
      <selection activeCell="G40" sqref="G40"/>
    </sheetView>
  </sheetViews>
  <sheetFormatPr defaultRowHeight="14.4"/>
  <cols>
    <col min="2" max="2" width="36.33203125" customWidth="1"/>
    <col min="7" max="7" width="13.5546875" customWidth="1"/>
    <col min="8" max="8" width="13.88671875" customWidth="1"/>
  </cols>
  <sheetData>
    <row r="3" spans="1:8">
      <c r="A3" s="135" t="s">
        <v>105</v>
      </c>
      <c r="B3" s="136"/>
      <c r="C3" s="136"/>
      <c r="D3" s="136"/>
      <c r="E3" s="136"/>
      <c r="F3" s="136"/>
      <c r="G3" s="136"/>
      <c r="H3" s="136"/>
    </row>
    <row r="4" spans="1:8">
      <c r="A4" s="135" t="s">
        <v>106</v>
      </c>
      <c r="B4" s="136"/>
      <c r="C4" s="136" t="s">
        <v>107</v>
      </c>
      <c r="D4" s="136" t="s">
        <v>108</v>
      </c>
      <c r="E4" s="136"/>
      <c r="F4" s="136"/>
      <c r="G4" s="136"/>
      <c r="H4" s="136"/>
    </row>
    <row r="5" spans="1:8">
      <c r="B5" s="137"/>
      <c r="C5" s="137"/>
      <c r="D5" s="137"/>
      <c r="E5" s="137"/>
      <c r="F5" s="137"/>
      <c r="G5" s="137"/>
      <c r="H5" s="137"/>
    </row>
    <row r="6" spans="1:8" ht="15" thickBot="1">
      <c r="B6" s="137"/>
      <c r="C6" s="137"/>
      <c r="D6" s="137"/>
      <c r="E6" s="137"/>
      <c r="F6" s="137"/>
      <c r="G6" s="137"/>
      <c r="H6" s="137"/>
    </row>
    <row r="7" spans="1:8" ht="15" thickBot="1">
      <c r="A7" s="136"/>
      <c r="B7" s="138" t="s">
        <v>109</v>
      </c>
      <c r="C7" s="139"/>
      <c r="D7" s="139"/>
      <c r="E7" s="140"/>
      <c r="F7" s="141"/>
      <c r="G7" s="137"/>
      <c r="H7" s="137"/>
    </row>
    <row r="8" spans="1:8" ht="15" thickBot="1">
      <c r="A8" s="136"/>
      <c r="B8" s="142"/>
      <c r="C8" s="201" t="s">
        <v>110</v>
      </c>
      <c r="D8" s="201"/>
      <c r="E8" s="201"/>
      <c r="F8" s="143"/>
      <c r="G8" s="202" t="s">
        <v>111</v>
      </c>
      <c r="H8" s="203"/>
    </row>
    <row r="9" spans="1:8" ht="82.8">
      <c r="A9" s="136"/>
      <c r="B9" s="142"/>
      <c r="C9" s="144" t="s">
        <v>112</v>
      </c>
      <c r="D9" s="144" t="s">
        <v>113</v>
      </c>
      <c r="E9" s="144" t="s">
        <v>114</v>
      </c>
      <c r="F9" s="145"/>
      <c r="G9" s="146" t="s">
        <v>115</v>
      </c>
      <c r="H9" s="146" t="s">
        <v>116</v>
      </c>
    </row>
    <row r="10" spans="1:8">
      <c r="A10" s="136"/>
      <c r="B10" s="147"/>
      <c r="C10" s="148"/>
      <c r="D10" s="148"/>
      <c r="E10" s="148"/>
      <c r="F10" s="148"/>
      <c r="G10" s="148"/>
      <c r="H10" s="148"/>
    </row>
    <row r="11" spans="1:8">
      <c r="A11" s="136"/>
      <c r="B11" s="149" t="s">
        <v>0</v>
      </c>
      <c r="C11" s="150">
        <v>6.45</v>
      </c>
      <c r="D11" s="150">
        <v>1.75</v>
      </c>
      <c r="E11" s="150">
        <v>8.19</v>
      </c>
      <c r="F11" s="148"/>
      <c r="G11" s="151">
        <v>5000</v>
      </c>
      <c r="H11" s="152">
        <v>6.5</v>
      </c>
    </row>
    <row r="12" spans="1:8">
      <c r="A12" s="136"/>
      <c r="B12" s="149" t="s">
        <v>1</v>
      </c>
      <c r="C12" s="150">
        <v>6.71</v>
      </c>
      <c r="D12" s="150">
        <v>2.29</v>
      </c>
      <c r="E12" s="150">
        <v>9</v>
      </c>
      <c r="F12" s="148"/>
      <c r="G12" s="151">
        <v>13510</v>
      </c>
      <c r="H12" s="152">
        <v>8</v>
      </c>
    </row>
    <row r="13" spans="1:8">
      <c r="A13" s="136"/>
      <c r="B13" s="149" t="s">
        <v>2</v>
      </c>
      <c r="C13" s="150">
        <v>7.48</v>
      </c>
      <c r="D13" s="150">
        <v>1.02</v>
      </c>
      <c r="E13" s="150">
        <v>8.5</v>
      </c>
      <c r="F13" s="148"/>
      <c r="G13" s="151">
        <v>1690</v>
      </c>
      <c r="H13" s="152">
        <v>7.4</v>
      </c>
    </row>
    <row r="14" spans="1:8">
      <c r="A14" s="136"/>
      <c r="B14" s="149" t="s">
        <v>3</v>
      </c>
      <c r="C14" s="153">
        <v>13.43</v>
      </c>
      <c r="D14" s="150">
        <v>0.73</v>
      </c>
      <c r="E14" s="153">
        <v>14.16</v>
      </c>
      <c r="F14" s="148"/>
      <c r="G14" s="151">
        <v>1290</v>
      </c>
      <c r="H14" s="154">
        <v>18.899999999999999</v>
      </c>
    </row>
    <row r="15" spans="1:8">
      <c r="A15" s="136"/>
      <c r="B15" s="149" t="s">
        <v>4</v>
      </c>
      <c r="C15" s="150">
        <v>8.43</v>
      </c>
      <c r="D15" s="153">
        <v>4.5599999999999996</v>
      </c>
      <c r="E15" s="150">
        <v>12.99</v>
      </c>
      <c r="F15" s="148"/>
      <c r="G15" s="151">
        <v>26100</v>
      </c>
      <c r="H15" s="154">
        <v>16.8</v>
      </c>
    </row>
    <row r="16" spans="1:8">
      <c r="A16" s="136"/>
      <c r="B16" s="149" t="s">
        <v>5</v>
      </c>
      <c r="C16" s="155">
        <v>5.67</v>
      </c>
      <c r="D16" s="150">
        <v>1.04</v>
      </c>
      <c r="E16" s="155">
        <v>6.71</v>
      </c>
      <c r="F16" s="148"/>
      <c r="G16" s="151">
        <v>3220</v>
      </c>
      <c r="H16" s="156">
        <v>3.6</v>
      </c>
    </row>
    <row r="17" spans="1:8">
      <c r="A17" s="136"/>
      <c r="B17" s="149" t="s">
        <v>6</v>
      </c>
      <c r="C17" s="150">
        <v>6.51</v>
      </c>
      <c r="D17" s="150">
        <v>1.08</v>
      </c>
      <c r="E17" s="150">
        <v>7.59</v>
      </c>
      <c r="F17" s="148"/>
      <c r="G17" s="151">
        <v>590</v>
      </c>
      <c r="H17" s="152">
        <v>4.5999999999999996</v>
      </c>
    </row>
    <row r="18" spans="1:8">
      <c r="A18" s="136"/>
      <c r="B18" s="149" t="s">
        <v>7</v>
      </c>
      <c r="C18" s="150">
        <v>7.22</v>
      </c>
      <c r="D18" s="150">
        <v>1.1299999999999999</v>
      </c>
      <c r="E18" s="150">
        <v>8.35</v>
      </c>
      <c r="F18" s="148"/>
      <c r="G18" s="151">
        <v>410</v>
      </c>
      <c r="H18" s="152">
        <v>5.8</v>
      </c>
    </row>
    <row r="19" spans="1:8">
      <c r="A19" s="136"/>
      <c r="B19" s="149" t="s">
        <v>8</v>
      </c>
      <c r="C19" s="150">
        <v>8.24</v>
      </c>
      <c r="D19" s="155">
        <v>0.8</v>
      </c>
      <c r="E19" s="150">
        <v>9.0399999999999991</v>
      </c>
      <c r="F19" s="148"/>
      <c r="G19" s="151">
        <v>60</v>
      </c>
      <c r="H19" s="152">
        <v>7.6</v>
      </c>
    </row>
    <row r="20" spans="1:8" ht="15" thickBot="1">
      <c r="A20" s="136"/>
      <c r="B20" s="157" t="s">
        <v>9</v>
      </c>
      <c r="C20" s="158">
        <v>9.89</v>
      </c>
      <c r="D20" s="158">
        <v>0.92</v>
      </c>
      <c r="E20" s="158">
        <v>10.81</v>
      </c>
      <c r="F20" s="159"/>
      <c r="G20" s="160">
        <v>2670</v>
      </c>
      <c r="H20" s="161">
        <v>12</v>
      </c>
    </row>
    <row r="21" spans="1:8" ht="15" thickBot="1">
      <c r="A21" s="136"/>
      <c r="B21" s="162" t="s">
        <v>10</v>
      </c>
      <c r="C21" s="163">
        <v>6.13</v>
      </c>
      <c r="D21" s="163">
        <v>0.81</v>
      </c>
      <c r="E21" s="163">
        <v>6.94</v>
      </c>
      <c r="F21" s="164"/>
      <c r="G21" s="165">
        <v>2140</v>
      </c>
      <c r="H21" s="166">
        <v>4.7</v>
      </c>
    </row>
    <row r="22" spans="1:8">
      <c r="A22" s="136"/>
      <c r="B22" s="167" t="s">
        <v>11</v>
      </c>
      <c r="C22" s="168">
        <v>8.15</v>
      </c>
      <c r="D22" s="168">
        <v>2.9</v>
      </c>
      <c r="E22" s="168">
        <v>11.05</v>
      </c>
      <c r="F22" s="147"/>
      <c r="G22" s="169">
        <v>3570</v>
      </c>
      <c r="H22" s="170">
        <v>12.6</v>
      </c>
    </row>
    <row r="23" spans="1:8" ht="15" thickBot="1">
      <c r="A23" s="136"/>
      <c r="B23" s="149"/>
      <c r="C23" s="150"/>
      <c r="D23" s="150"/>
      <c r="E23" s="158"/>
      <c r="F23" s="148"/>
      <c r="G23" s="151"/>
      <c r="H23" s="161"/>
    </row>
    <row r="24" spans="1:8" ht="15" thickBot="1">
      <c r="A24" s="135"/>
      <c r="B24" s="171" t="s">
        <v>117</v>
      </c>
      <c r="C24" s="172">
        <v>7.2</v>
      </c>
      <c r="D24" s="173">
        <v>2.37</v>
      </c>
      <c r="E24" s="174">
        <v>9.57</v>
      </c>
      <c r="F24" s="175"/>
      <c r="G24" s="176">
        <v>60840</v>
      </c>
      <c r="H24" s="177">
        <v>9.3000000000000007</v>
      </c>
    </row>
    <row r="25" spans="1:8" ht="15" thickBot="1">
      <c r="A25" s="136"/>
      <c r="B25" s="178" t="s">
        <v>118</v>
      </c>
      <c r="C25" s="178"/>
      <c r="D25" s="178"/>
      <c r="E25" s="179">
        <v>6.27</v>
      </c>
      <c r="F25" s="178"/>
      <c r="G25" s="178"/>
      <c r="H25" s="179">
        <v>3.3</v>
      </c>
    </row>
    <row r="26" spans="1:8">
      <c r="A26" s="136"/>
      <c r="B26" s="92" t="s">
        <v>67</v>
      </c>
      <c r="C26" s="136"/>
      <c r="D26" s="136"/>
      <c r="E26" s="136"/>
      <c r="F26" s="136"/>
      <c r="G26" s="136"/>
      <c r="H26" s="180" t="s">
        <v>119</v>
      </c>
    </row>
    <row r="27" spans="1:8">
      <c r="B27" s="97" t="s">
        <v>69</v>
      </c>
    </row>
  </sheetData>
  <mergeCells count="2">
    <mergeCell ref="C8:E8"/>
    <mergeCell ref="G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3:F23"/>
  <sheetViews>
    <sheetView workbookViewId="0">
      <selection activeCell="B5" sqref="B5"/>
    </sheetView>
  </sheetViews>
  <sheetFormatPr defaultRowHeight="14.4"/>
  <cols>
    <col min="2" max="2" width="19.44140625" customWidth="1"/>
  </cols>
  <sheetData>
    <row r="3" spans="2:6">
      <c r="B3" s="183" t="s">
        <v>120</v>
      </c>
      <c r="C3" s="184"/>
      <c r="D3" s="184"/>
      <c r="E3" s="184"/>
      <c r="F3" s="185"/>
    </row>
    <row r="4" spans="2:6">
      <c r="B4" s="38"/>
    </row>
    <row r="5" spans="2:6">
      <c r="B5" s="186" t="s">
        <v>107</v>
      </c>
      <c r="C5" s="187">
        <v>19940</v>
      </c>
    </row>
    <row r="6" spans="2:6">
      <c r="B6" s="74" t="s">
        <v>96</v>
      </c>
      <c r="C6" s="74">
        <v>150</v>
      </c>
    </row>
    <row r="7" spans="2:6">
      <c r="B7" s="74" t="s">
        <v>49</v>
      </c>
      <c r="C7" s="74">
        <v>73</v>
      </c>
    </row>
    <row r="8" spans="2:6">
      <c r="B8" s="74" t="s">
        <v>86</v>
      </c>
      <c r="C8" s="80">
        <v>67</v>
      </c>
    </row>
    <row r="9" spans="2:6">
      <c r="B9" s="74" t="s">
        <v>51</v>
      </c>
      <c r="C9" s="80">
        <v>158</v>
      </c>
    </row>
    <row r="10" spans="2:6">
      <c r="B10" s="74" t="s">
        <v>52</v>
      </c>
      <c r="C10" s="80">
        <v>1870</v>
      </c>
    </row>
    <row r="11" spans="2:6">
      <c r="B11" s="74" t="s">
        <v>53</v>
      </c>
      <c r="C11" s="80">
        <v>92</v>
      </c>
    </row>
    <row r="12" spans="2:6">
      <c r="B12" s="74" t="s">
        <v>87</v>
      </c>
      <c r="C12" s="80">
        <v>57</v>
      </c>
    </row>
    <row r="13" spans="2:6">
      <c r="B13" s="74" t="s">
        <v>92</v>
      </c>
      <c r="C13" s="80">
        <v>372</v>
      </c>
      <c r="E13" s="39"/>
    </row>
    <row r="14" spans="2:6">
      <c r="B14" s="74" t="s">
        <v>56</v>
      </c>
      <c r="C14" s="80">
        <v>154</v>
      </c>
    </row>
    <row r="15" spans="2:6">
      <c r="B15" s="74" t="s">
        <v>57</v>
      </c>
      <c r="C15" s="80">
        <v>57</v>
      </c>
    </row>
    <row r="16" spans="2:6">
      <c r="B16" s="74" t="s">
        <v>58</v>
      </c>
      <c r="C16" s="80">
        <v>60</v>
      </c>
    </row>
    <row r="17" spans="2:3">
      <c r="B17" s="74" t="s">
        <v>59</v>
      </c>
      <c r="C17" s="80">
        <v>299</v>
      </c>
    </row>
    <row r="18" spans="2:3">
      <c r="B18" s="74" t="s">
        <v>60</v>
      </c>
      <c r="C18" s="80">
        <v>22</v>
      </c>
    </row>
    <row r="19" spans="2:3">
      <c r="B19" s="74" t="s">
        <v>61</v>
      </c>
      <c r="C19" s="80">
        <v>50</v>
      </c>
    </row>
    <row r="20" spans="2:3">
      <c r="B20" s="74" t="s">
        <v>94</v>
      </c>
      <c r="C20" s="80">
        <v>104</v>
      </c>
    </row>
    <row r="21" spans="2:3">
      <c r="B21" s="74" t="s">
        <v>63</v>
      </c>
      <c r="C21" s="80">
        <v>302</v>
      </c>
    </row>
    <row r="22" spans="2:3">
      <c r="B22" s="74" t="s">
        <v>64</v>
      </c>
      <c r="C22" s="80">
        <v>190</v>
      </c>
    </row>
    <row r="23" spans="2:3">
      <c r="B23" s="74" t="s">
        <v>65</v>
      </c>
      <c r="C23" s="80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Type of SEN and SEN status</vt:lpstr>
      <vt:lpstr>schools attended and ASD absenc</vt:lpstr>
      <vt:lpstr>% LA pupils by type of SEN</vt:lpstr>
      <vt:lpstr>SA+ &amp; stmts- absence &amp; SEN type</vt:lpstr>
      <vt:lpstr>numbers of pupils with an ASD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</dc:creator>
  <cp:lastModifiedBy>penny</cp:lastModifiedBy>
  <cp:lastPrinted>2011-02-22T16:45:05Z</cp:lastPrinted>
  <dcterms:created xsi:type="dcterms:W3CDTF">2010-07-17T15:37:15Z</dcterms:created>
  <dcterms:modified xsi:type="dcterms:W3CDTF">2011-02-22T19:20:40Z</dcterms:modified>
</cp:coreProperties>
</file>