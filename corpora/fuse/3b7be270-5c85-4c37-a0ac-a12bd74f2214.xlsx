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1.6" sheetId="1" r:id="rId1"/>
  </sheets>
  <externalReferences>
    <externalReference r:id="rId2"/>
    <externalReference r:id="rId3"/>
  </externalReferences>
  <definedNames>
    <definedName name="_xlnm.Print_Area" localSheetId="0">'Table 1.6'!$A$3:$L$60</definedName>
  </definedNames>
  <calcPr calcId="145621"/>
</workbook>
</file>

<file path=xl/calcChain.xml><?xml version="1.0" encoding="utf-8"?>
<calcChain xmlns="http://schemas.openxmlformats.org/spreadsheetml/2006/main">
  <c r="I57" i="1" l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E52" i="1"/>
  <c r="C52" i="1"/>
  <c r="F35" i="1"/>
  <c r="D35" i="1"/>
  <c r="B35" i="1"/>
  <c r="F52" i="1"/>
  <c r="D52" i="1"/>
  <c r="B52" i="1"/>
  <c r="E35" i="1"/>
  <c r="C35" i="1"/>
</calcChain>
</file>

<file path=xl/sharedStrings.xml><?xml version="1.0" encoding="utf-8"?>
<sst xmlns="http://schemas.openxmlformats.org/spreadsheetml/2006/main" count="40" uniqueCount="27">
  <si>
    <t>Monthly Statistical Bulletin</t>
  </si>
  <si>
    <t>1.6 ANZ job advertisements</t>
  </si>
  <si>
    <t>Month</t>
  </si>
  <si>
    <t>2008–09</t>
  </si>
  <si>
    <t>2009–10</t>
  </si>
  <si>
    <t>2010–11</t>
  </si>
  <si>
    <t>2011–12</t>
  </si>
  <si>
    <t>2012–13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</si>
  <si>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</si>
  <si>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</si>
  <si>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</si>
  <si>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</si>
  <si>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</si>
  <si>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</si>
  <si>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</si>
  <si>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</si>
  <si>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</si>
  <si>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</si>
  <si>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</si>
  <si>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</si>
  <si>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</si>
  <si>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</si>
  <si>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</si>
  <si>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</si>
  <si>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(b) Monthly figures have been seasonally adjusted.</t>
  </si>
  <si>
    <t>Update</t>
  </si>
  <si>
    <r>
      <t xml:space="preserve">Source: ANZ Banking Group, </t>
    </r>
    <r>
      <rPr>
        <i/>
        <sz val="8"/>
        <color indexed="30"/>
        <rFont val="Times New Roman"/>
        <family val="1"/>
      </rPr>
      <t>Job advertisements series media release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</si>
</sst>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#\ ###"/>
    <numFmt numFmtId="165" formatCode="##\ ##0"/>
    <numFmt numFmtId="166" formatCode="0.0"/>
    <numFmt numFmtId="167" formatCode="[$-C09]d\ mmmm\ yyyy;@"/>
    <numFmt numFmtId="168" formatCode="_(&quot;$&quot;* #,##0.00_);_(&quot;$&quot;* \(#,##0.00\);_(&quot;$&quot;* &quot;-&quot;??_);_(@_)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0"/>
      <name val="Calibri"/>
      <family val="2"/>
      <scheme val="minor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5" fillId="0" borderId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9" fillId="0" borderId="0" xfId="2" applyNumberFormat="1" applyFont="1" applyFill="1" applyBorder="1" applyAlignment="1" applyProtection="1">
      <alignment horizontal="right"/>
      <protection locked="0"/>
    </xf>
    <xf numFmtId="165" fontId="9" fillId="0" borderId="0" xfId="0" applyNumberFormat="1" applyFont="1"/>
    <xf numFmtId="16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right"/>
    </xf>
    <xf numFmtId="0" fontId="0" fillId="0" borderId="1" xfId="0" applyBorder="1" applyAlignment="1">
      <alignment horizontal="centerContinuous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6" fontId="7" fillId="0" borderId="0" xfId="0" applyNumberFormat="1" applyFont="1"/>
    <xf numFmtId="0" fontId="7" fillId="0" borderId="0" xfId="0" applyFont="1"/>
    <xf numFmtId="16" fontId="7" fillId="0" borderId="0" xfId="0" applyNumberFormat="1" applyFont="1"/>
    <xf numFmtId="0" fontId="7" fillId="0" borderId="0" xfId="0" applyFont="1" applyBorder="1"/>
    <xf numFmtId="0" fontId="7" fillId="0" borderId="1" xfId="0" applyFont="1" applyBorder="1"/>
    <xf numFmtId="0" fontId="10" fillId="0" borderId="0" xfId="0" applyFont="1" applyBorder="1"/>
    <xf numFmtId="0" fontId="11" fillId="0" borderId="0" xfId="0" quotePrefix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1" quotePrefix="1" applyFont="1" applyAlignment="1" applyProtection="1"/>
    <xf numFmtId="167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Job Ad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4705978129904979E-2"/>
          <c:y val="2.0548120530870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86663019480023"/>
          <c:y val="0.20062843734639363"/>
          <c:w val="0.79166856155350462"/>
          <c:h val="0.7246249872476188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1.6'!$A$218:$A$278</c:f>
              <c:strCache>
                <c:ptCount val="61"/>
                <c:pt idx="0">
                  <c:v>Jun 08</c:v>
                </c:pt>
                <c:pt idx="1">
                  <c:v>Jul-08</c:v>
                </c:pt>
                <c:pt idx="2">
                  <c:v>Aug-08</c:v>
                </c:pt>
                <c:pt idx="3">
                  <c:v>Sep-08</c:v>
                </c:pt>
                <c:pt idx="4">
                  <c:v>Oct-08</c:v>
                </c:pt>
                <c:pt idx="5">
                  <c:v>Nov-08</c:v>
                </c:pt>
                <c:pt idx="6">
                  <c:v>Dec-08</c:v>
                </c:pt>
                <c:pt idx="7">
                  <c:v>Jan-09</c:v>
                </c:pt>
                <c:pt idx="8">
                  <c:v>Feb-09</c:v>
                </c:pt>
                <c:pt idx="9">
                  <c:v>Mar-09</c:v>
                </c:pt>
                <c:pt idx="10">
                  <c:v>Apr-09</c:v>
                </c:pt>
                <c:pt idx="11">
                  <c:v>May-09</c:v>
                </c:pt>
                <c:pt idx="12">
                  <c:v>Jun 09</c:v>
                </c:pt>
                <c:pt idx="13">
                  <c:v>Jul-09</c:v>
                </c:pt>
                <c:pt idx="14">
                  <c:v>Aug-09</c:v>
                </c:pt>
                <c:pt idx="15">
                  <c:v>Sep-09</c:v>
                </c:pt>
                <c:pt idx="16">
                  <c:v>Oct-09</c:v>
                </c:pt>
                <c:pt idx="17">
                  <c:v>Nov-09</c:v>
                </c:pt>
                <c:pt idx="18">
                  <c:v>Dec-09</c:v>
                </c:pt>
                <c:pt idx="19">
                  <c:v>Jan-10</c:v>
                </c:pt>
                <c:pt idx="20">
                  <c:v>Feb-10</c:v>
                </c:pt>
                <c:pt idx="21">
                  <c:v>Mar-10</c:v>
                </c:pt>
                <c:pt idx="22">
                  <c:v>Apr-10</c:v>
                </c:pt>
                <c:pt idx="23">
                  <c:v>May-10</c:v>
                </c:pt>
                <c:pt idx="24">
                  <c:v>Jun 10</c:v>
                </c:pt>
                <c:pt idx="25">
                  <c:v>Jul-10</c:v>
                </c:pt>
                <c:pt idx="26">
                  <c:v>Aug-10</c:v>
                </c:pt>
                <c:pt idx="27">
                  <c:v>Sep-10</c:v>
                </c:pt>
                <c:pt idx="28">
                  <c:v>Oct-10</c:v>
                </c:pt>
                <c:pt idx="29">
                  <c:v>Nov-10</c:v>
                </c:pt>
                <c:pt idx="30">
                  <c:v>Dec-10</c:v>
                </c:pt>
                <c:pt idx="31">
                  <c:v>Jan-11</c:v>
                </c:pt>
                <c:pt idx="32">
                  <c:v>Feb-11</c:v>
                </c:pt>
                <c:pt idx="33">
                  <c:v>Mar-11</c:v>
                </c:pt>
                <c:pt idx="34">
                  <c:v>Apr-11</c:v>
                </c:pt>
                <c:pt idx="35">
                  <c:v>May-11</c:v>
                </c:pt>
                <c:pt idx="36">
                  <c:v>Jun 11</c:v>
                </c:pt>
                <c:pt idx="37">
                  <c:v>Jul-11</c:v>
                </c:pt>
                <c:pt idx="38">
                  <c:v>Aug-11</c:v>
                </c:pt>
                <c:pt idx="39">
                  <c:v>Sep-11</c:v>
                </c:pt>
                <c:pt idx="40">
                  <c:v>Oct-11</c:v>
                </c:pt>
                <c:pt idx="41">
                  <c:v>Nov-11</c:v>
                </c:pt>
                <c:pt idx="42">
                  <c:v>Dec-11</c:v>
                </c:pt>
                <c:pt idx="43">
                  <c:v>Jan-12</c:v>
                </c:pt>
                <c:pt idx="44">
                  <c:v>Feb-12</c:v>
                </c:pt>
                <c:pt idx="45">
                  <c:v>Mar-12</c:v>
                </c:pt>
                <c:pt idx="46">
                  <c:v>Apr-12</c:v>
                </c:pt>
                <c:pt idx="47">
                  <c:v>May-12</c:v>
                </c:pt>
                <c:pt idx="48">
                  <c:v>Jun 12</c:v>
                </c:pt>
                <c:pt idx="49">
                  <c:v>Jul-12</c:v>
                </c:pt>
                <c:pt idx="50">
                  <c:v>Aug-12</c:v>
                </c:pt>
                <c:pt idx="51">
                  <c:v>Sep-12</c:v>
                </c:pt>
                <c:pt idx="52">
                  <c:v>Oct-12</c:v>
                </c:pt>
                <c:pt idx="53">
                  <c:v>Nov-12</c:v>
                </c:pt>
                <c:pt idx="54">
                  <c:v>Dec-12</c:v>
                </c:pt>
                <c:pt idx="55">
                  <c:v>Jan-13</c:v>
                </c:pt>
                <c:pt idx="56">
                  <c:v>Feb-13</c:v>
                </c:pt>
                <c:pt idx="57">
                  <c:v>Mar-13</c:v>
                </c:pt>
                <c:pt idx="58">
                  <c:v>Apr-13</c:v>
                </c:pt>
                <c:pt idx="59">
                  <c:v>May-13</c:v>
                </c:pt>
                <c:pt idx="60">
                  <c:v>Jun-13</c:v>
                </c:pt>
              </c:strCache>
            </c:strRef>
          </c:cat>
          <c:val>
            <c:numRef>
              <c:f>'[1]Data 1.6'!$N$218:$N$278</c:f>
              <c:numCache>
                <c:formatCode>##\ ##0</c:formatCode>
                <c:ptCount val="61"/>
                <c:pt idx="0">
                  <c:v>244323.66765999302</c:v>
                </c:pt>
                <c:pt idx="1">
                  <c:v>243042.12925221605</c:v>
                </c:pt>
                <c:pt idx="2">
                  <c:v>232239.35587145295</c:v>
                </c:pt>
                <c:pt idx="3">
                  <c:v>226057.07753589467</c:v>
                </c:pt>
                <c:pt idx="4">
                  <c:v>215594.30040492042</c:v>
                </c:pt>
                <c:pt idx="5">
                  <c:v>198679.13190811023</c:v>
                </c:pt>
                <c:pt idx="6">
                  <c:v>186632.89047272064</c:v>
                </c:pt>
                <c:pt idx="7">
                  <c:v>168052.25523252445</c:v>
                </c:pt>
                <c:pt idx="8">
                  <c:v>152574.23650824791</c:v>
                </c:pt>
                <c:pt idx="9">
                  <c:v>139351.22429610282</c:v>
                </c:pt>
                <c:pt idx="10">
                  <c:v>130743.67522456778</c:v>
                </c:pt>
                <c:pt idx="11">
                  <c:v>124005.32937053719</c:v>
                </c:pt>
                <c:pt idx="12">
                  <c:v>121183.62813180432</c:v>
                </c:pt>
                <c:pt idx="13">
                  <c:v>119351.0181000616</c:v>
                </c:pt>
                <c:pt idx="14">
                  <c:v>122361.02413756336</c:v>
                </c:pt>
                <c:pt idx="15">
                  <c:v>126985.19806995851</c:v>
                </c:pt>
                <c:pt idx="16">
                  <c:v>127373.27488485161</c:v>
                </c:pt>
                <c:pt idx="17">
                  <c:v>132662.3845676129</c:v>
                </c:pt>
                <c:pt idx="18">
                  <c:v>130083.37821757948</c:v>
                </c:pt>
                <c:pt idx="19">
                  <c:v>136080.79875962745</c:v>
                </c:pt>
                <c:pt idx="20">
                  <c:v>150815.1110081205</c:v>
                </c:pt>
                <c:pt idx="21">
                  <c:v>152723.56349477201</c:v>
                </c:pt>
                <c:pt idx="22">
                  <c:v>152209.66548581515</c:v>
                </c:pt>
                <c:pt idx="23">
                  <c:v>158487.2841463598</c:v>
                </c:pt>
                <c:pt idx="24">
                  <c:v>162450.38885640138</c:v>
                </c:pt>
                <c:pt idx="25">
                  <c:v>163930.57908982295</c:v>
                </c:pt>
                <c:pt idx="26">
                  <c:v>167758.37853791812</c:v>
                </c:pt>
                <c:pt idx="27">
                  <c:v>170047.72195654587</c:v>
                </c:pt>
                <c:pt idx="28">
                  <c:v>172606.23633508434</c:v>
                </c:pt>
                <c:pt idx="29">
                  <c:v>176053.37015926497</c:v>
                </c:pt>
                <c:pt idx="30">
                  <c:v>182932.43416295605</c:v>
                </c:pt>
                <c:pt idx="31">
                  <c:v>181317.70300333473</c:v>
                </c:pt>
                <c:pt idx="32">
                  <c:v>177224.91026174193</c:v>
                </c:pt>
                <c:pt idx="33">
                  <c:v>178414.74645028554</c:v>
                </c:pt>
                <c:pt idx="34">
                  <c:v>179983.51886863433</c:v>
                </c:pt>
                <c:pt idx="35">
                  <c:v>170738.27959755668</c:v>
                </c:pt>
                <c:pt idx="36">
                  <c:v>175439.65249462822</c:v>
                </c:pt>
                <c:pt idx="37">
                  <c:v>174486.36312864957</c:v>
                </c:pt>
                <c:pt idx="38">
                  <c:v>171428.25189661083</c:v>
                </c:pt>
                <c:pt idx="39">
                  <c:v>168240.20482298487</c:v>
                </c:pt>
                <c:pt idx="40">
                  <c:v>167207.66421288034</c:v>
                </c:pt>
                <c:pt idx="41">
                  <c:v>166471.68367073525</c:v>
                </c:pt>
                <c:pt idx="42">
                  <c:v>164626.56799053069</c:v>
                </c:pt>
                <c:pt idx="43">
                  <c:v>164500.15052631081</c:v>
                </c:pt>
                <c:pt idx="44">
                  <c:v>168620.0725235953</c:v>
                </c:pt>
                <c:pt idx="45">
                  <c:v>167112.53803561564</c:v>
                </c:pt>
                <c:pt idx="46">
                  <c:v>163736.06396127157</c:v>
                </c:pt>
                <c:pt idx="47">
                  <c:v>163148.96788819949</c:v>
                </c:pt>
                <c:pt idx="48">
                  <c:v>159802.9127559448</c:v>
                </c:pt>
                <c:pt idx="49">
                  <c:v>158451.87855124305</c:v>
                </c:pt>
                <c:pt idx="50">
                  <c:v>154508.07243198864</c:v>
                </c:pt>
                <c:pt idx="51">
                  <c:v>148277.25371404129</c:v>
                </c:pt>
                <c:pt idx="52">
                  <c:v>142018.98235484888</c:v>
                </c:pt>
                <c:pt idx="53">
                  <c:v>138729.41211216315</c:v>
                </c:pt>
                <c:pt idx="54">
                  <c:v>135830.93974679417</c:v>
                </c:pt>
                <c:pt idx="55">
                  <c:v>136580.1901873966</c:v>
                </c:pt>
                <c:pt idx="56">
                  <c:v>140732.96020385539</c:v>
                </c:pt>
                <c:pt idx="57">
                  <c:v>138651.12957368005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09824"/>
        <c:axId val="130111360"/>
      </c:lineChart>
      <c:catAx>
        <c:axId val="13010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11360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130111360"/>
        <c:scaling>
          <c:orientation val="minMax"/>
          <c:max val="270000"/>
          <c:min val="1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098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9525</xdr:rowOff>
        </xdr:from>
        <xdr:to>
          <xdr:col>11</xdr:col>
          <xdr:colOff>0</xdr:colOff>
          <xdr:row>44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MSB%20Chapt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1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18">
          <cell r="A218" t="str">
            <v>Jun 08</v>
          </cell>
          <cell r="N218">
            <v>244323.66765999302</v>
          </cell>
        </row>
        <row r="219">
          <cell r="A219">
            <v>39630</v>
          </cell>
          <cell r="N219">
            <v>243042.12925221605</v>
          </cell>
          <cell r="R219">
            <v>6.9970493464963059</v>
          </cell>
        </row>
        <row r="220">
          <cell r="A220">
            <v>39661</v>
          </cell>
          <cell r="N220">
            <v>232239.35587145295</v>
          </cell>
          <cell r="R220">
            <v>1.374886141242663</v>
          </cell>
        </row>
        <row r="221">
          <cell r="A221">
            <v>39692</v>
          </cell>
          <cell r="N221">
            <v>226057.07753589467</v>
          </cell>
          <cell r="R221">
            <v>-1.340595590476112</v>
          </cell>
        </row>
        <row r="222">
          <cell r="A222">
            <v>39722</v>
          </cell>
          <cell r="N222">
            <v>215594.30040492042</v>
          </cell>
          <cell r="R222">
            <v>-8.4537960043276836</v>
          </cell>
        </row>
        <row r="223">
          <cell r="A223">
            <v>39753</v>
          </cell>
          <cell r="N223">
            <v>198679.13190811023</v>
          </cell>
          <cell r="R223">
            <v>-17.300220521466201</v>
          </cell>
        </row>
        <row r="224">
          <cell r="A224">
            <v>39783</v>
          </cell>
          <cell r="N224">
            <v>186632.89047272064</v>
          </cell>
          <cell r="R224">
            <v>-24.00610975547902</v>
          </cell>
        </row>
        <row r="225">
          <cell r="A225">
            <v>39814</v>
          </cell>
          <cell r="N225">
            <v>168052.25523252445</v>
          </cell>
          <cell r="R225">
            <v>-34.755758342356074</v>
          </cell>
        </row>
        <row r="226">
          <cell r="A226">
            <v>39845</v>
          </cell>
          <cell r="N226">
            <v>152574.23650824791</v>
          </cell>
          <cell r="R226">
            <v>-38.213347844934219</v>
          </cell>
        </row>
        <row r="227">
          <cell r="A227">
            <v>39873</v>
          </cell>
          <cell r="N227">
            <v>139351.22429610282</v>
          </cell>
          <cell r="R227">
            <v>-44.311269321585286</v>
          </cell>
        </row>
        <row r="228">
          <cell r="A228">
            <v>39904</v>
          </cell>
          <cell r="N228">
            <v>130743.67522456778</v>
          </cell>
          <cell r="R228">
            <v>-48.821376827931964</v>
          </cell>
        </row>
        <row r="229">
          <cell r="A229">
            <v>39934</v>
          </cell>
          <cell r="N229">
            <v>124005.32937053719</v>
          </cell>
          <cell r="R229">
            <v>-50.543835940668288</v>
          </cell>
        </row>
        <row r="230">
          <cell r="A230" t="str">
            <v>Jun 09</v>
          </cell>
          <cell r="N230">
            <v>121183.62813180432</v>
          </cell>
          <cell r="R230">
            <v>-50.400372877323328</v>
          </cell>
        </row>
        <row r="231">
          <cell r="A231">
            <v>39995</v>
          </cell>
          <cell r="N231">
            <v>119351.0181000616</v>
          </cell>
          <cell r="R231">
            <v>-50.89286846388449</v>
          </cell>
        </row>
        <row r="232">
          <cell r="A232">
            <v>40026</v>
          </cell>
          <cell r="N232">
            <v>122361.02413756336</v>
          </cell>
          <cell r="R232">
            <v>-47.312537240547833</v>
          </cell>
        </row>
        <row r="233">
          <cell r="A233">
            <v>40057</v>
          </cell>
          <cell r="N233">
            <v>126985.19806995851</v>
          </cell>
          <cell r="R233">
            <v>-43.826046300277831</v>
          </cell>
        </row>
        <row r="234">
          <cell r="A234">
            <v>40087</v>
          </cell>
          <cell r="N234">
            <v>127373.27488485161</v>
          </cell>
          <cell r="R234">
            <v>-40.919924763491281</v>
          </cell>
        </row>
        <row r="235">
          <cell r="A235">
            <v>40118</v>
          </cell>
          <cell r="N235">
            <v>132662.3845676129</v>
          </cell>
          <cell r="R235">
            <v>-33.227821516267895</v>
          </cell>
        </row>
        <row r="236">
          <cell r="A236">
            <v>40148</v>
          </cell>
          <cell r="N236">
            <v>130083.37821757948</v>
          </cell>
          <cell r="R236">
            <v>-30.299864140724313</v>
          </cell>
        </row>
        <row r="237">
          <cell r="A237">
            <v>40179</v>
          </cell>
          <cell r="N237">
            <v>136080.79875962745</v>
          </cell>
          <cell r="R237">
            <v>-19.024711348657533</v>
          </cell>
        </row>
        <row r="238">
          <cell r="A238">
            <v>40210</v>
          </cell>
          <cell r="N238">
            <v>150815.1110081205</v>
          </cell>
          <cell r="R238">
            <v>-1.1529636591249244</v>
          </cell>
        </row>
        <row r="239">
          <cell r="A239">
            <v>40238</v>
          </cell>
          <cell r="N239">
            <v>152723.56349477201</v>
          </cell>
          <cell r="R239">
            <v>9.5961404474314076</v>
          </cell>
        </row>
        <row r="240">
          <cell r="A240">
            <v>40269</v>
          </cell>
          <cell r="N240">
            <v>152209.66548581515</v>
          </cell>
          <cell r="R240">
            <v>16.418377580695189</v>
          </cell>
        </row>
        <row r="241">
          <cell r="A241">
            <v>40299</v>
          </cell>
          <cell r="N241">
            <v>158487.2841463598</v>
          </cell>
          <cell r="R241">
            <v>27.806832940855269</v>
          </cell>
        </row>
        <row r="242">
          <cell r="A242" t="str">
            <v>Jun 10</v>
          </cell>
          <cell r="N242">
            <v>162450.38885640138</v>
          </cell>
          <cell r="R242">
            <v>34.053082384786848</v>
          </cell>
        </row>
        <row r="243">
          <cell r="A243">
            <v>40360</v>
          </cell>
          <cell r="N243">
            <v>163930.57908982295</v>
          </cell>
          <cell r="R243">
            <v>37.351638636535718</v>
          </cell>
        </row>
        <row r="244">
          <cell r="A244">
            <v>40391</v>
          </cell>
          <cell r="N244">
            <v>167758.37853791812</v>
          </cell>
          <cell r="R244">
            <v>37.101155960673523</v>
          </cell>
        </row>
        <row r="245">
          <cell r="A245">
            <v>40422</v>
          </cell>
          <cell r="N245">
            <v>170047.72195654587</v>
          </cell>
          <cell r="R245">
            <v>33.911451524344912</v>
          </cell>
        </row>
        <row r="246">
          <cell r="A246">
            <v>40452</v>
          </cell>
          <cell r="N246">
            <v>172606.23633508434</v>
          </cell>
          <cell r="R246">
            <v>35.512128812833289</v>
          </cell>
        </row>
        <row r="247">
          <cell r="A247">
            <v>40483</v>
          </cell>
          <cell r="N247">
            <v>176053.37015926497</v>
          </cell>
          <cell r="R247">
            <v>32.70782877382802</v>
          </cell>
        </row>
        <row r="248">
          <cell r="A248">
            <v>40513</v>
          </cell>
          <cell r="N248">
            <v>182932.43416295605</v>
          </cell>
          <cell r="R248">
            <v>40.627062941877497</v>
          </cell>
        </row>
        <row r="249">
          <cell r="A249">
            <v>40544</v>
          </cell>
          <cell r="N249">
            <v>181317.70300333473</v>
          </cell>
          <cell r="R249">
            <v>33.242679831423942</v>
          </cell>
        </row>
        <row r="250">
          <cell r="A250">
            <v>40575</v>
          </cell>
          <cell r="N250">
            <v>177224.91026174193</v>
          </cell>
          <cell r="R250">
            <v>17.511374740293377</v>
          </cell>
        </row>
        <row r="251">
          <cell r="A251">
            <v>40603</v>
          </cell>
          <cell r="N251">
            <v>178414.74645028554</v>
          </cell>
          <cell r="R251">
            <v>16.82201643781903</v>
          </cell>
        </row>
        <row r="252">
          <cell r="A252">
            <v>40634</v>
          </cell>
          <cell r="N252">
            <v>179983.51886863433</v>
          </cell>
          <cell r="R252">
            <v>18.247102307315373</v>
          </cell>
        </row>
        <row r="253">
          <cell r="A253">
            <v>40664</v>
          </cell>
          <cell r="N253">
            <v>170738.27959755668</v>
          </cell>
          <cell r="R253">
            <v>7.729954814471637</v>
          </cell>
        </row>
        <row r="254">
          <cell r="A254" t="str">
            <v>Jun 11</v>
          </cell>
          <cell r="N254">
            <v>175439.65249462822</v>
          </cell>
          <cell r="R254">
            <v>7.9958341310643135</v>
          </cell>
        </row>
        <row r="255">
          <cell r="A255">
            <v>40725</v>
          </cell>
          <cell r="N255">
            <v>174486.36312864957</v>
          </cell>
          <cell r="R255">
            <v>6.4391793754615847</v>
          </cell>
        </row>
        <row r="256">
          <cell r="A256">
            <v>40756</v>
          </cell>
          <cell r="N256">
            <v>171428.25189661083</v>
          </cell>
          <cell r="R256">
            <v>2.1875946767470795</v>
          </cell>
        </row>
        <row r="257">
          <cell r="A257">
            <v>40787</v>
          </cell>
          <cell r="N257">
            <v>168240.20482298487</v>
          </cell>
          <cell r="R257">
            <v>-1.0629469849780677</v>
          </cell>
        </row>
        <row r="258">
          <cell r="A258">
            <v>40817</v>
          </cell>
          <cell r="N258">
            <v>167207.66421288034</v>
          </cell>
          <cell r="R258">
            <v>-3.1276808050687306</v>
          </cell>
        </row>
        <row r="259">
          <cell r="A259">
            <v>40848</v>
          </cell>
          <cell r="N259">
            <v>166471.68367073525</v>
          </cell>
          <cell r="R259">
            <v>-5.4424896722293621</v>
          </cell>
        </row>
        <row r="260">
          <cell r="A260">
            <v>40878</v>
          </cell>
          <cell r="N260">
            <v>164626.56799053069</v>
          </cell>
          <cell r="R260">
            <v>-10.006900228593969</v>
          </cell>
        </row>
        <row r="261">
          <cell r="A261">
            <v>40909</v>
          </cell>
          <cell r="N261">
            <v>164500.15052631081</v>
          </cell>
          <cell r="R261">
            <v>-9.2751850472728581</v>
          </cell>
        </row>
        <row r="262">
          <cell r="A262">
            <v>40940</v>
          </cell>
          <cell r="N262">
            <v>168620.0725235953</v>
          </cell>
          <cell r="R262">
            <v>-4.855320691339732</v>
          </cell>
        </row>
        <row r="263">
          <cell r="A263">
            <v>40969</v>
          </cell>
          <cell r="N263">
            <v>167112.53803561564</v>
          </cell>
          <cell r="R263">
            <v>-6.3347949872625655</v>
          </cell>
        </row>
        <row r="264">
          <cell r="A264">
            <v>41000</v>
          </cell>
          <cell r="N264">
            <v>163736.06396127157</v>
          </cell>
          <cell r="R264">
            <v>-9.0271903835936147</v>
          </cell>
        </row>
        <row r="265">
          <cell r="A265">
            <v>41030</v>
          </cell>
          <cell r="N265">
            <v>163148.96788819949</v>
          </cell>
          <cell r="R265">
            <v>-4.4449971776954689</v>
          </cell>
        </row>
        <row r="266">
          <cell r="A266" t="str">
            <v>Jun 12</v>
          </cell>
          <cell r="N266">
            <v>159802.9127559448</v>
          </cell>
          <cell r="R266">
            <v>-8.9128880024213455</v>
          </cell>
        </row>
        <row r="267">
          <cell r="A267">
            <v>41091</v>
          </cell>
          <cell r="N267">
            <v>158451.87855124305</v>
          </cell>
          <cell r="R267">
            <v>-9.1895345228694012</v>
          </cell>
        </row>
        <row r="268">
          <cell r="A268">
            <v>41122</v>
          </cell>
          <cell r="N268">
            <v>154508.07243198864</v>
          </cell>
          <cell r="R268">
            <v>-9.870123084978335</v>
          </cell>
        </row>
        <row r="269">
          <cell r="A269">
            <v>41153</v>
          </cell>
          <cell r="N269">
            <v>148277.25371404129</v>
          </cell>
          <cell r="R269">
            <v>-11.865743464796505</v>
          </cell>
        </row>
        <row r="270">
          <cell r="A270">
            <v>41183</v>
          </cell>
          <cell r="N270">
            <v>142018.98235484888</v>
          </cell>
          <cell r="R270">
            <v>-15.064310584449348</v>
          </cell>
        </row>
        <row r="271">
          <cell r="A271">
            <v>41214</v>
          </cell>
          <cell r="N271">
            <v>138729.41211216315</v>
          </cell>
          <cell r="R271">
            <v>-16.664859120091325</v>
          </cell>
        </row>
        <row r="272">
          <cell r="A272">
            <v>41244</v>
          </cell>
          <cell r="N272">
            <v>135830.93974679417</v>
          </cell>
          <cell r="R272">
            <v>-17.491483054784229</v>
          </cell>
        </row>
        <row r="273">
          <cell r="A273">
            <v>41275</v>
          </cell>
          <cell r="N273">
            <v>136580.1901873966</v>
          </cell>
          <cell r="R273">
            <v>-16.972604735974745</v>
          </cell>
        </row>
        <row r="274">
          <cell r="A274">
            <v>41306</v>
          </cell>
          <cell r="N274">
            <v>140732.96020385539</v>
          </cell>
          <cell r="R274">
            <v>-16.538429798052437</v>
          </cell>
        </row>
        <row r="275">
          <cell r="A275">
            <v>41334</v>
          </cell>
          <cell r="N275">
            <v>138651.12957368005</v>
          </cell>
          <cell r="R275">
            <v>-17.031282509676078</v>
          </cell>
        </row>
        <row r="276">
          <cell r="A276">
            <v>41365</v>
          </cell>
          <cell r="N276" t="e">
            <v>#N/A</v>
          </cell>
          <cell r="R276" t="str">
            <v xml:space="preserve"> </v>
          </cell>
        </row>
        <row r="277">
          <cell r="A277">
            <v>41395</v>
          </cell>
          <cell r="N277" t="e">
            <v>#N/A</v>
          </cell>
          <cell r="R277" t="str">
            <v xml:space="preserve"> </v>
          </cell>
        </row>
        <row r="278">
          <cell r="A278">
            <v>41426</v>
          </cell>
          <cell r="N278" t="e">
            <v>#N/A</v>
          </cell>
          <cell r="R278" t="str">
            <v xml:space="preserve"> 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6a Table - total s.a."/>
      <sheetName val="1.6b Table - total ann change"/>
      <sheetName val="1.6c Table - papers s.a."/>
      <sheetName val="1.6d Table - papers ann change"/>
      <sheetName val="Chart1"/>
      <sheetName val="Chart2"/>
      <sheetName val="1.6 Data"/>
    </sheetNames>
    <sheetDataSet>
      <sheetData sheetId="0">
        <row r="29">
          <cell r="B29">
            <v>41400</v>
          </cell>
        </row>
      </sheetData>
      <sheetData sheetId="1"/>
      <sheetData sheetId="2"/>
      <sheetData sheetId="3"/>
      <sheetData sheetId="4" refreshError="1"/>
      <sheetData sheetId="5" refreshError="1"/>
      <sheetData sheetId="6">
        <row r="192">
          <cell r="B192">
            <v>21529.25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tabSelected="1" workbookViewId="0">
      <selection activeCell="R18" sqref="R18"/>
    </sheetView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customHeight="1" x14ac:dyDescent="0.2"/>
    <row r="5" spans="1:11" ht="15.6" customHeight="1" x14ac:dyDescent="0.2">
      <c r="H5" s="5"/>
    </row>
    <row r="6" spans="1:11" ht="15.6" customHeight="1" x14ac:dyDescent="0.2">
      <c r="H6" s="5"/>
    </row>
    <row r="7" spans="1:11" ht="15.6" customHeight="1" x14ac:dyDescent="0.2">
      <c r="H7" s="5"/>
    </row>
    <row r="8" spans="1:11" ht="15.6" customHeight="1" x14ac:dyDescent="0.2">
      <c r="H8" s="5"/>
    </row>
    <row r="9" spans="1:11" ht="15.6" customHeight="1" x14ac:dyDescent="0.2">
      <c r="H9" s="5"/>
    </row>
    <row r="10" spans="1:11" ht="15.6" customHeight="1" x14ac:dyDescent="0.2">
      <c r="H10" s="5"/>
    </row>
    <row r="11" spans="1:11" ht="15.6" customHeight="1" x14ac:dyDescent="0.2">
      <c r="H11" s="5"/>
    </row>
    <row r="12" spans="1:11" ht="15.6" customHeight="1" x14ac:dyDescent="0.2">
      <c r="H12" s="5"/>
    </row>
    <row r="13" spans="1:11" ht="15.6" customHeight="1" x14ac:dyDescent="0.2">
      <c r="H13" s="5"/>
    </row>
    <row r="14" spans="1:11" ht="15.6" customHeight="1" x14ac:dyDescent="0.2">
      <c r="H14" s="5"/>
    </row>
    <row r="15" spans="1:11" ht="15.6" customHeight="1" x14ac:dyDescent="0.2">
      <c r="H15" s="5"/>
    </row>
    <row r="16" spans="1:11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6" t="s">
        <v>2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H19" s="5"/>
    </row>
    <row r="20" spans="1:8" ht="19.899999999999999" customHeight="1" x14ac:dyDescent="0.2">
      <c r="A20" s="8" t="s">
        <v>8</v>
      </c>
      <c r="B20" s="9"/>
      <c r="H20" s="5"/>
    </row>
    <row r="21" spans="1:8" ht="3" customHeight="1" x14ac:dyDescent="0.2">
      <c r="A21" s="10"/>
      <c r="B21" s="9"/>
      <c r="H21" s="5"/>
    </row>
    <row r="22" spans="1:8" ht="12.95" customHeight="1" x14ac:dyDescent="0.2">
      <c r="A22" s="11" t="s">
        <v>9</v>
      </c>
      <c r="B22" s="12">
        <f>'[1]Data 1.6'!N219</f>
        <v>243042.12925221605</v>
      </c>
      <c r="C22" s="12">
        <f>'[1]Data 1.6'!N231</f>
        <v>119351.0181000616</v>
      </c>
      <c r="D22" s="13">
        <f>'[1]Data 1.6'!N243</f>
        <v>163930.57908982295</v>
      </c>
      <c r="E22" s="13">
        <f>'[1]Data 1.6'!N255</f>
        <v>174486.36312864957</v>
      </c>
      <c r="F22" s="13">
        <f>IF(ISERROR('[1]Data 1.6'!N267)," ",'[1]Data 1.6'!N267)</f>
        <v>158451.87855124305</v>
      </c>
      <c r="H22" s="5"/>
    </row>
    <row r="23" spans="1:8" ht="12.95" customHeight="1" x14ac:dyDescent="0.2">
      <c r="A23" s="11" t="s">
        <v>10</v>
      </c>
      <c r="B23" s="12">
        <f>'[1]Data 1.6'!N220</f>
        <v>232239.35587145295</v>
      </c>
      <c r="C23" s="12">
        <f>'[1]Data 1.6'!N232</f>
        <v>122361.02413756336</v>
      </c>
      <c r="D23" s="13">
        <f>'[1]Data 1.6'!N244</f>
        <v>167758.37853791812</v>
      </c>
      <c r="E23" s="13">
        <f>'[1]Data 1.6'!N256</f>
        <v>171428.25189661083</v>
      </c>
      <c r="F23" s="13">
        <f>IF(ISERROR('[1]Data 1.6'!N268)," ",'[1]Data 1.6'!N268)</f>
        <v>154508.07243198864</v>
      </c>
      <c r="H23" s="5"/>
    </row>
    <row r="24" spans="1:8" ht="12.95" customHeight="1" x14ac:dyDescent="0.2">
      <c r="A24" s="11" t="s">
        <v>11</v>
      </c>
      <c r="B24" s="12">
        <f>'[1]Data 1.6'!N221</f>
        <v>226057.07753589467</v>
      </c>
      <c r="C24" s="12">
        <f>'[1]Data 1.6'!N233</f>
        <v>126985.19806995851</v>
      </c>
      <c r="D24" s="13">
        <f>'[1]Data 1.6'!N245</f>
        <v>170047.72195654587</v>
      </c>
      <c r="E24" s="13">
        <f>'[1]Data 1.6'!N257</f>
        <v>168240.20482298487</v>
      </c>
      <c r="F24" s="13">
        <f>IF(ISERROR('[1]Data 1.6'!N269)," ",'[1]Data 1.6'!N269)</f>
        <v>148277.25371404129</v>
      </c>
      <c r="H24" s="5"/>
    </row>
    <row r="25" spans="1:8" ht="12.95" customHeight="1" x14ac:dyDescent="0.2">
      <c r="A25" s="11" t="s">
        <v>12</v>
      </c>
      <c r="B25" s="12">
        <f>'[1]Data 1.6'!N222</f>
        <v>215594.30040492042</v>
      </c>
      <c r="C25" s="12">
        <f>'[1]Data 1.6'!N234</f>
        <v>127373.27488485161</v>
      </c>
      <c r="D25" s="13">
        <f>'[1]Data 1.6'!N246</f>
        <v>172606.23633508434</v>
      </c>
      <c r="E25" s="13">
        <f>'[1]Data 1.6'!N258</f>
        <v>167207.66421288034</v>
      </c>
      <c r="F25" s="13">
        <f>IF(ISERROR('[1]Data 1.6'!N270)," ",'[1]Data 1.6'!N270)</f>
        <v>142018.98235484888</v>
      </c>
      <c r="H25" s="5"/>
    </row>
    <row r="26" spans="1:8" ht="12.95" customHeight="1" x14ac:dyDescent="0.2">
      <c r="A26" s="11" t="s">
        <v>13</v>
      </c>
      <c r="B26" s="12">
        <f>'[1]Data 1.6'!N223</f>
        <v>198679.13190811023</v>
      </c>
      <c r="C26" s="12">
        <f>'[1]Data 1.6'!N235</f>
        <v>132662.3845676129</v>
      </c>
      <c r="D26" s="13">
        <f>'[1]Data 1.6'!N247</f>
        <v>176053.37015926497</v>
      </c>
      <c r="E26" s="13">
        <f>'[1]Data 1.6'!N259</f>
        <v>166471.68367073525</v>
      </c>
      <c r="F26" s="13">
        <f>IF(ISERROR('[1]Data 1.6'!N271)," ",'[1]Data 1.6'!N271)</f>
        <v>138729.41211216315</v>
      </c>
      <c r="H26" s="5"/>
    </row>
    <row r="27" spans="1:8" ht="12.95" customHeight="1" x14ac:dyDescent="0.2">
      <c r="A27" s="11" t="s">
        <v>14</v>
      </c>
      <c r="B27" s="12">
        <f>'[1]Data 1.6'!N224</f>
        <v>186632.89047272064</v>
      </c>
      <c r="C27" s="12">
        <f>'[1]Data 1.6'!N236</f>
        <v>130083.37821757948</v>
      </c>
      <c r="D27" s="13">
        <f>'[1]Data 1.6'!N248</f>
        <v>182932.43416295605</v>
      </c>
      <c r="E27" s="13">
        <f>'[1]Data 1.6'!N260</f>
        <v>164626.56799053069</v>
      </c>
      <c r="F27" s="13">
        <f>IF(ISERROR('[1]Data 1.6'!N272)," ",'[1]Data 1.6'!N272)</f>
        <v>135830.93974679417</v>
      </c>
      <c r="H27" s="5"/>
    </row>
    <row r="28" spans="1:8" ht="12.95" customHeight="1" x14ac:dyDescent="0.2">
      <c r="A28" s="14" t="s">
        <v>15</v>
      </c>
      <c r="B28" s="12">
        <f>'[1]Data 1.6'!N225</f>
        <v>168052.25523252445</v>
      </c>
      <c r="C28" s="12">
        <f>'[1]Data 1.6'!N237</f>
        <v>136080.79875962745</v>
      </c>
      <c r="D28" s="13">
        <f>'[1]Data 1.6'!N249</f>
        <v>181317.70300333473</v>
      </c>
      <c r="E28" s="13">
        <f>'[1]Data 1.6'!N261</f>
        <v>164500.15052631081</v>
      </c>
      <c r="F28" s="13">
        <f>IF(ISERROR('[1]Data 1.6'!N273)," ",'[1]Data 1.6'!N273)</f>
        <v>136580.1901873966</v>
      </c>
      <c r="H28" s="5"/>
    </row>
    <row r="29" spans="1:8" ht="12.95" customHeight="1" x14ac:dyDescent="0.2">
      <c r="A29" s="11" t="s">
        <v>16</v>
      </c>
      <c r="B29" s="12">
        <f>'[1]Data 1.6'!N226</f>
        <v>152574.23650824791</v>
      </c>
      <c r="C29" s="12">
        <f>'[1]Data 1.6'!N238</f>
        <v>150815.1110081205</v>
      </c>
      <c r="D29" s="13">
        <f>'[1]Data 1.6'!N250</f>
        <v>177224.91026174193</v>
      </c>
      <c r="E29" s="13">
        <f>'[1]Data 1.6'!N262</f>
        <v>168620.0725235953</v>
      </c>
      <c r="F29" s="13">
        <f>IF(ISERROR('[1]Data 1.6'!N274)," ",'[1]Data 1.6'!N274)</f>
        <v>140732.96020385539</v>
      </c>
      <c r="H29" s="5"/>
    </row>
    <row r="30" spans="1:8" ht="12.95" customHeight="1" x14ac:dyDescent="0.2">
      <c r="A30" s="11" t="s">
        <v>17</v>
      </c>
      <c r="B30" s="12">
        <f>'[1]Data 1.6'!N227</f>
        <v>139351.22429610282</v>
      </c>
      <c r="C30" s="12">
        <f>'[1]Data 1.6'!N239</f>
        <v>152723.56349477201</v>
      </c>
      <c r="D30" s="13">
        <f>'[1]Data 1.6'!N251</f>
        <v>178414.74645028554</v>
      </c>
      <c r="E30" s="13">
        <f>'[1]Data 1.6'!N263</f>
        <v>167112.53803561564</v>
      </c>
      <c r="F30" s="13">
        <f>IF(ISERROR('[1]Data 1.6'!N275)," ",'[1]Data 1.6'!N275)</f>
        <v>138651.12957368005</v>
      </c>
      <c r="H30" s="5"/>
    </row>
    <row r="31" spans="1:8" ht="12.95" customHeight="1" x14ac:dyDescent="0.2">
      <c r="A31" s="11" t="s">
        <v>18</v>
      </c>
      <c r="B31" s="12">
        <f>'[1]Data 1.6'!N228</f>
        <v>130743.67522456778</v>
      </c>
      <c r="C31" s="12">
        <f>'[1]Data 1.6'!N240</f>
        <v>152209.66548581515</v>
      </c>
      <c r="D31" s="13">
        <f>'[1]Data 1.6'!N252</f>
        <v>179983.51886863433</v>
      </c>
      <c r="E31" s="13">
        <f>'[1]Data 1.6'!N264</f>
        <v>163736.06396127157</v>
      </c>
      <c r="F31" s="13" t="str">
        <f>IF(ISERROR('[1]Data 1.6'!N276)," ",'[1]Data 1.6'!N276)</f>
        <v xml:space="preserve"> </v>
      </c>
      <c r="H31" s="5"/>
    </row>
    <row r="32" spans="1:8" ht="12.95" customHeight="1" x14ac:dyDescent="0.2">
      <c r="A32" s="11" t="s">
        <v>19</v>
      </c>
      <c r="B32" s="12">
        <f>'[1]Data 1.6'!N229</f>
        <v>124005.32937053719</v>
      </c>
      <c r="C32" s="12">
        <f>'[1]Data 1.6'!N241</f>
        <v>158487.2841463598</v>
      </c>
      <c r="D32" s="13">
        <f>'[1]Data 1.6'!N253</f>
        <v>170738.27959755668</v>
      </c>
      <c r="E32" s="13">
        <f>'[1]Data 1.6'!N265</f>
        <v>163148.96788819949</v>
      </c>
      <c r="F32" s="13" t="str">
        <f>IF(ISERROR('[1]Data 1.6'!N277)," ",'[1]Data 1.6'!N277)</f>
        <v xml:space="preserve"> </v>
      </c>
      <c r="H32" s="5"/>
    </row>
    <row r="33" spans="1:8" ht="12.95" customHeight="1" x14ac:dyDescent="0.2">
      <c r="A33" s="11" t="s">
        <v>20</v>
      </c>
      <c r="B33" s="12">
        <f>'[1]Data 1.6'!N230</f>
        <v>121183.62813180432</v>
      </c>
      <c r="C33" s="12">
        <f>'[1]Data 1.6'!N242</f>
        <v>162450.38885640138</v>
      </c>
      <c r="D33" s="13">
        <f>'[1]Data 1.6'!N254</f>
        <v>175439.65249462822</v>
      </c>
      <c r="E33" s="13">
        <f>'[1]Data 1.6'!N266</f>
        <v>159802.9127559448</v>
      </c>
      <c r="F33" s="13" t="str">
        <f>IF(ISERROR('[1]Data 1.6'!N278)," ",'[1]Data 1.6'!N278)</f>
        <v xml:space="preserve"> </v>
      </c>
      <c r="H33" s="5"/>
    </row>
    <row r="34" spans="1:8" ht="12.95" customHeight="1" x14ac:dyDescent="0.2">
      <c r="A34" s="11"/>
      <c r="H34" s="5"/>
    </row>
    <row r="35" spans="1:8" ht="12.95" customHeight="1" x14ac:dyDescent="0.2">
      <c r="A35" s="11" t="s">
        <v>21</v>
      </c>
      <c r="B35" s="15" t="e">
        <f t="shared" ref="B35:F35" ca="1" si="0">INDIRECT(ADDRESS(266+(COLUMN()-5)*12,16,1,TRUE,"Data 1.6"))</f>
        <v>#REF!</v>
      </c>
      <c r="C35" s="15" t="e">
        <f t="shared" ca="1" si="0"/>
        <v>#REF!</v>
      </c>
      <c r="D35" s="15" t="e">
        <f t="shared" ca="1" si="0"/>
        <v>#REF!</v>
      </c>
      <c r="E35" s="15" t="e">
        <f ca="1">INDIRECT(ADDRESS(266+(COLUMN()-5)*12,16,1,TRUE,"Data 1.6"))</f>
        <v>#REF!</v>
      </c>
      <c r="F35" s="15" t="e">
        <f t="shared" ca="1" si="0"/>
        <v>#REF!</v>
      </c>
      <c r="H35" s="5"/>
    </row>
    <row r="36" spans="1:8" ht="11.1" customHeight="1" x14ac:dyDescent="0.2">
      <c r="A36" s="3"/>
      <c r="B36" s="16"/>
      <c r="C36" s="16"/>
      <c r="D36" s="16"/>
      <c r="E36" s="16"/>
      <c r="F36" s="16"/>
      <c r="H36" s="5"/>
    </row>
    <row r="37" spans="1:8" ht="19.899999999999999" customHeight="1" x14ac:dyDescent="0.2">
      <c r="A37" s="17" t="s">
        <v>22</v>
      </c>
      <c r="H37" s="5"/>
    </row>
    <row r="38" spans="1:8" ht="3" customHeight="1" x14ac:dyDescent="0.2">
      <c r="A38" s="18"/>
      <c r="H38" s="5"/>
    </row>
    <row r="39" spans="1:8" ht="12.95" customHeight="1" x14ac:dyDescent="0.2">
      <c r="A39" s="19" t="s">
        <v>9</v>
      </c>
      <c r="B39" s="20">
        <f>'[1]Data 1.6'!R219</f>
        <v>6.9970493464963059</v>
      </c>
      <c r="C39" s="20">
        <f>'[1]Data 1.6'!R231</f>
        <v>-50.89286846388449</v>
      </c>
      <c r="D39" s="20">
        <f>'[1]Data 1.6'!R243</f>
        <v>37.351638636535718</v>
      </c>
      <c r="E39" s="20">
        <f>'[1]Data 1.6'!R255</f>
        <v>6.4391793754615847</v>
      </c>
      <c r="F39" s="20">
        <f>IF('[1]Data 1.6'!R267=0," ",'[1]Data 1.6'!R267)</f>
        <v>-9.1895345228694012</v>
      </c>
      <c r="H39" s="5"/>
    </row>
    <row r="40" spans="1:8" ht="12.95" customHeight="1" x14ac:dyDescent="0.2">
      <c r="A40" s="21" t="s">
        <v>10</v>
      </c>
      <c r="B40" s="20">
        <f>'[1]Data 1.6'!R220</f>
        <v>1.374886141242663</v>
      </c>
      <c r="C40" s="20">
        <f>'[1]Data 1.6'!R232</f>
        <v>-47.312537240547833</v>
      </c>
      <c r="D40" s="20">
        <f>'[1]Data 1.6'!R244</f>
        <v>37.101155960673523</v>
      </c>
      <c r="E40" s="20">
        <f>'[1]Data 1.6'!R256</f>
        <v>2.1875946767470795</v>
      </c>
      <c r="F40" s="20">
        <f>IF('[1]Data 1.6'!R268=0," ",'[1]Data 1.6'!R268)</f>
        <v>-9.870123084978335</v>
      </c>
      <c r="H40" s="5"/>
    </row>
    <row r="41" spans="1:8" ht="12.95" customHeight="1" x14ac:dyDescent="0.2">
      <c r="A41" s="21" t="s">
        <v>11</v>
      </c>
      <c r="B41" s="20">
        <f>'[1]Data 1.6'!R221</f>
        <v>-1.340595590476112</v>
      </c>
      <c r="C41" s="20">
        <f>'[1]Data 1.6'!R233</f>
        <v>-43.826046300277831</v>
      </c>
      <c r="D41" s="20">
        <f>'[1]Data 1.6'!R245</f>
        <v>33.911451524344912</v>
      </c>
      <c r="E41" s="20">
        <f>'[1]Data 1.6'!R257</f>
        <v>-1.0629469849780677</v>
      </c>
      <c r="F41" s="20">
        <f>IF('[1]Data 1.6'!R269=0," ",'[1]Data 1.6'!R269)</f>
        <v>-11.865743464796505</v>
      </c>
      <c r="H41" s="5"/>
    </row>
    <row r="42" spans="1:8" ht="12.95" customHeight="1" x14ac:dyDescent="0.2">
      <c r="A42" s="21" t="s">
        <v>12</v>
      </c>
      <c r="B42" s="20">
        <f>'[1]Data 1.6'!R222</f>
        <v>-8.4537960043276836</v>
      </c>
      <c r="C42" s="20">
        <f>'[1]Data 1.6'!R234</f>
        <v>-40.919924763491281</v>
      </c>
      <c r="D42" s="20">
        <f>'[1]Data 1.6'!R246</f>
        <v>35.512128812833289</v>
      </c>
      <c r="E42" s="20">
        <f>'[1]Data 1.6'!R258</f>
        <v>-3.1276808050687306</v>
      </c>
      <c r="F42" s="20">
        <f>IF('[1]Data 1.6'!R270=0," ",'[1]Data 1.6'!R270)</f>
        <v>-15.064310584449348</v>
      </c>
      <c r="H42" s="5"/>
    </row>
    <row r="43" spans="1:8" ht="12.95" customHeight="1" x14ac:dyDescent="0.2">
      <c r="A43" s="21" t="s">
        <v>13</v>
      </c>
      <c r="B43" s="20">
        <f>'[1]Data 1.6'!R223</f>
        <v>-17.300220521466201</v>
      </c>
      <c r="C43" s="20">
        <f>'[1]Data 1.6'!R235</f>
        <v>-33.227821516267895</v>
      </c>
      <c r="D43" s="20">
        <f>'[1]Data 1.6'!R247</f>
        <v>32.70782877382802</v>
      </c>
      <c r="E43" s="20">
        <f>'[1]Data 1.6'!R259</f>
        <v>-5.4424896722293621</v>
      </c>
      <c r="F43" s="20">
        <f>IF('[1]Data 1.6'!R271=0," ",'[1]Data 1.6'!R271)</f>
        <v>-16.664859120091325</v>
      </c>
      <c r="H43" s="5"/>
    </row>
    <row r="44" spans="1:8" ht="12.95" customHeight="1" x14ac:dyDescent="0.2">
      <c r="A44" s="21" t="s">
        <v>14</v>
      </c>
      <c r="B44" s="20">
        <f>'[1]Data 1.6'!R224</f>
        <v>-24.00610975547902</v>
      </c>
      <c r="C44" s="20">
        <f>'[1]Data 1.6'!R236</f>
        <v>-30.299864140724313</v>
      </c>
      <c r="D44" s="20">
        <f>'[1]Data 1.6'!R248</f>
        <v>40.627062941877497</v>
      </c>
      <c r="E44" s="20">
        <f>IF('[1]Data 1.6'!R260=0," ",'[1]Data 1.6'!R260)</f>
        <v>-10.006900228593969</v>
      </c>
      <c r="F44" s="20">
        <f>IF('[1]Data 1.6'!R272=0," ",'[1]Data 1.6'!R272)</f>
        <v>-17.491483054784229</v>
      </c>
      <c r="H44" s="5"/>
    </row>
    <row r="45" spans="1:8" ht="12.95" customHeight="1" x14ac:dyDescent="0.2">
      <c r="A45" s="22" t="s">
        <v>15</v>
      </c>
      <c r="B45" s="20">
        <f>'[1]Data 1.6'!R225</f>
        <v>-34.755758342356074</v>
      </c>
      <c r="C45" s="20">
        <f>'[1]Data 1.6'!R237</f>
        <v>-19.024711348657533</v>
      </c>
      <c r="D45" s="20">
        <f>'[1]Data 1.6'!R249</f>
        <v>33.242679831423942</v>
      </c>
      <c r="E45" s="20">
        <f>IF('[1]Data 1.6'!R261=0," ",'[1]Data 1.6'!R261)</f>
        <v>-9.2751850472728581</v>
      </c>
      <c r="F45" s="20">
        <f>IF('[1]Data 1.6'!R273=0," ",'[1]Data 1.6'!R273)</f>
        <v>-16.972604735974745</v>
      </c>
      <c r="H45" s="5"/>
    </row>
    <row r="46" spans="1:8" ht="12.95" customHeight="1" x14ac:dyDescent="0.2">
      <c r="A46" s="21" t="s">
        <v>16</v>
      </c>
      <c r="B46" s="20">
        <f>'[1]Data 1.6'!R226</f>
        <v>-38.213347844934219</v>
      </c>
      <c r="C46" s="20">
        <f>'[1]Data 1.6'!R238</f>
        <v>-1.1529636591249244</v>
      </c>
      <c r="D46" s="20">
        <f>'[1]Data 1.6'!R250</f>
        <v>17.511374740293377</v>
      </c>
      <c r="E46" s="20">
        <f>IF('[1]Data 1.6'!R262=0," ",'[1]Data 1.6'!R262)</f>
        <v>-4.855320691339732</v>
      </c>
      <c r="F46" s="20">
        <f>IF('[1]Data 1.6'!R274=0," ",'[1]Data 1.6'!R274)</f>
        <v>-16.538429798052437</v>
      </c>
      <c r="H46" s="5"/>
    </row>
    <row r="47" spans="1:8" ht="12.95" customHeight="1" x14ac:dyDescent="0.2">
      <c r="A47" s="21" t="s">
        <v>17</v>
      </c>
      <c r="B47" s="20">
        <f>'[1]Data 1.6'!R227</f>
        <v>-44.311269321585286</v>
      </c>
      <c r="C47" s="20">
        <f>'[1]Data 1.6'!R239</f>
        <v>9.5961404474314076</v>
      </c>
      <c r="D47" s="20">
        <f>'[1]Data 1.6'!R251</f>
        <v>16.82201643781903</v>
      </c>
      <c r="E47" s="20">
        <f>IF('[1]Data 1.6'!R263=0," ",'[1]Data 1.6'!R263)</f>
        <v>-6.3347949872625655</v>
      </c>
      <c r="F47" s="20">
        <f>IF('[1]Data 1.6'!R275=0," ",'[1]Data 1.6'!R275)</f>
        <v>-17.031282509676078</v>
      </c>
      <c r="H47" s="5"/>
    </row>
    <row r="48" spans="1:8" ht="12.95" customHeight="1" x14ac:dyDescent="0.2">
      <c r="A48" s="21" t="s">
        <v>18</v>
      </c>
      <c r="B48" s="20">
        <f>'[1]Data 1.6'!R228</f>
        <v>-48.821376827931964</v>
      </c>
      <c r="C48" s="20">
        <f>'[1]Data 1.6'!R240</f>
        <v>16.418377580695189</v>
      </c>
      <c r="D48" s="20">
        <f>'[1]Data 1.6'!R252</f>
        <v>18.247102307315373</v>
      </c>
      <c r="E48" s="20">
        <f>IF('[1]Data 1.6'!R264=0," ",'[1]Data 1.6'!R264)</f>
        <v>-9.0271903835936147</v>
      </c>
      <c r="F48" s="20" t="str">
        <f>IF('[1]Data 1.6'!R276=0," ",'[1]Data 1.6'!R276)</f>
        <v xml:space="preserve"> </v>
      </c>
      <c r="H48" s="5"/>
    </row>
    <row r="49" spans="1:10" ht="12.95" customHeight="1" x14ac:dyDescent="0.2">
      <c r="A49" s="21" t="s">
        <v>19</v>
      </c>
      <c r="B49" s="20">
        <f>'[1]Data 1.6'!R229</f>
        <v>-50.543835940668288</v>
      </c>
      <c r="C49" s="20">
        <f>'[1]Data 1.6'!R241</f>
        <v>27.806832940855269</v>
      </c>
      <c r="D49" s="20">
        <f>'[1]Data 1.6'!R253</f>
        <v>7.729954814471637</v>
      </c>
      <c r="E49" s="20">
        <f>IF('[1]Data 1.6'!R265=0," ",'[1]Data 1.6'!R265)</f>
        <v>-4.4449971776954689</v>
      </c>
      <c r="F49" s="20" t="str">
        <f>IF('[1]Data 1.6'!R277=0," ",'[1]Data 1.6'!R277)</f>
        <v xml:space="preserve"> </v>
      </c>
      <c r="H49" s="5"/>
    </row>
    <row r="50" spans="1:10" ht="12.95" customHeight="1" x14ac:dyDescent="0.2">
      <c r="A50" s="23" t="s">
        <v>20</v>
      </c>
      <c r="B50" s="20">
        <f>'[1]Data 1.6'!R230</f>
        <v>-50.400372877323328</v>
      </c>
      <c r="C50" s="20">
        <f>'[1]Data 1.6'!R242</f>
        <v>34.053082384786848</v>
      </c>
      <c r="D50" s="20">
        <f>'[1]Data 1.6'!R254</f>
        <v>7.9958341310643135</v>
      </c>
      <c r="E50" s="20">
        <f>IF('[1]Data 1.6'!R266=0," ",'[1]Data 1.6'!R266)</f>
        <v>-8.9128880024213455</v>
      </c>
      <c r="F50" s="20" t="str">
        <f>IF('[1]Data 1.6'!R278=0," ",'[1]Data 1.6'!R278)</f>
        <v xml:space="preserve"> </v>
      </c>
      <c r="H50" s="5"/>
    </row>
    <row r="51" spans="1:10" ht="12.95" customHeight="1" x14ac:dyDescent="0.2">
      <c r="A51" s="23"/>
      <c r="F51" s="20"/>
      <c r="H51" s="5"/>
    </row>
    <row r="52" spans="1:10" ht="12.95" customHeight="1" x14ac:dyDescent="0.2">
      <c r="A52" s="23" t="s">
        <v>21</v>
      </c>
      <c r="B52" s="20" t="e">
        <f t="shared" ref="B52:F52" ca="1" si="1">INDIRECT(ADDRESS(266+(COLUMN()-5)*12,17,1,TRUE,"Data 1.6"))</f>
        <v>#REF!</v>
      </c>
      <c r="C52" s="20" t="e">
        <f t="shared" ca="1" si="1"/>
        <v>#REF!</v>
      </c>
      <c r="D52" s="20" t="e">
        <f t="shared" ca="1" si="1"/>
        <v>#REF!</v>
      </c>
      <c r="E52" s="20" t="e">
        <f ca="1">INDIRECT(ADDRESS(266+(COLUMN()-5)*12,17,1,TRUE,"Data 1.6"))</f>
        <v>#REF!</v>
      </c>
      <c r="F52" s="20" t="e">
        <f t="shared" ca="1" si="1"/>
        <v>#REF!</v>
      </c>
      <c r="H52" s="5"/>
    </row>
    <row r="53" spans="1:10" ht="11.1" customHeight="1" x14ac:dyDescent="0.2">
      <c r="A53" s="24"/>
      <c r="B53" s="24"/>
      <c r="C53" s="24"/>
      <c r="D53" s="24"/>
      <c r="E53" s="3"/>
      <c r="F53" s="24"/>
      <c r="H53" s="5"/>
    </row>
    <row r="54" spans="1:10" ht="7.9" customHeight="1" x14ac:dyDescent="0.2">
      <c r="A54" s="25"/>
      <c r="B54" s="23"/>
      <c r="C54" s="23"/>
      <c r="D54" s="23"/>
      <c r="E54" s="23"/>
      <c r="F54" s="23"/>
      <c r="H54" s="5"/>
    </row>
    <row r="55" spans="1:10" ht="11.1" customHeight="1" x14ac:dyDescent="0.2">
      <c r="A55" s="26" t="s">
        <v>23</v>
      </c>
      <c r="H55" s="5"/>
    </row>
    <row r="56" spans="1:10" ht="11.1" customHeight="1" x14ac:dyDescent="0.2">
      <c r="A56" s="27" t="s">
        <v>24</v>
      </c>
      <c r="B56" s="28"/>
      <c r="H56" s="5"/>
      <c r="I56" s="29" t="s">
        <v>25</v>
      </c>
    </row>
    <row r="57" spans="1:10" ht="11.1" customHeight="1" x14ac:dyDescent="0.2">
      <c r="A57" s="30" t="s">
        <v>26</v>
      </c>
      <c r="B57" s="28"/>
      <c r="H57" s="5"/>
      <c r="I57" s="31">
        <f>'[2]1.6a Table - total s.a.'!B29</f>
        <v>41400</v>
      </c>
      <c r="J57" s="31"/>
    </row>
  </sheetData>
  <mergeCells count="1">
    <mergeCell ref="I57:J57"/>
  </mergeCells>
  <hyperlinks>
    <hyperlink ref="A1" r:id="rId1"/>
  </hyperlinks>
  <printOptions horizontalCentered="1"/>
  <pageMargins left="0.55118110236220474" right="0.82677165354330717" top="0.98425196850393704" bottom="0.51181102362204722" header="0.59055118110236227" footer="0.59055118110236227"/>
  <pageSetup paperSize="9" scale="97" orientation="portrait" r:id="rId2"/>
  <headerFooter alignWithMargins="0">
    <oddHeader>&amp;L&amp;"Times New Roman,Italic"Monthly statistical bulletin</oddHeader>
    <oddFooter>&amp;L&amp;"Times New Roman,Regular"&amp;12 6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7</xdr:col>
                <xdr:colOff>95250</xdr:colOff>
                <xdr:row>4</xdr:row>
                <xdr:rowOff>9525</xdr:rowOff>
              </from>
              <to>
                <xdr:col>11</xdr:col>
                <xdr:colOff>0</xdr:colOff>
                <xdr:row>44</xdr:row>
                <xdr:rowOff>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1.6</vt:lpstr>
      <vt:lpstr>'Table 1.6'!Print_Area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2013-05-02T23:00:34Z</dcterms:created>
  <dcterms:modified xsi:type="dcterms:W3CDTF">2013-05-02T23:00:48Z</dcterms:modified>
</cp:coreProperties>
</file>