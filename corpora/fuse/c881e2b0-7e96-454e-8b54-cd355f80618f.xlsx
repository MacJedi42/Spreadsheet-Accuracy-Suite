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5035" windowHeight="14595"/>
  </bookViews>
  <sheets>
    <sheet name="Sheet1" sheetId="1" r:id="rId1"/>
    <sheet name="Sheet2" sheetId="2" r:id="rId2"/>
  </sheets>
  <calcPr calcId="125725"/>
</workbook>
</file>

<file path=xl/calcChain.xml><?xml version="1.0" encoding="utf-8"?>
<calcChain xmlns="http://schemas.openxmlformats.org/spreadsheetml/2006/main">
  <c r="N596" i="1"/>
  <c r="N773"/>
  <c r="N772"/>
  <c r="N771"/>
  <c r="N770"/>
  <c r="N769"/>
  <c r="N768"/>
  <c r="N767"/>
  <c r="N766"/>
  <c r="N765"/>
  <c r="N764"/>
  <c r="N763"/>
  <c r="N762"/>
  <c r="N761"/>
  <c r="N760"/>
  <c r="N759"/>
  <c r="N758"/>
  <c r="N757"/>
  <c r="N756"/>
  <c r="N755"/>
  <c r="N754"/>
  <c r="N753"/>
  <c r="N752"/>
  <c r="N751"/>
  <c r="N750"/>
  <c r="N749"/>
  <c r="N748"/>
  <c r="N747"/>
  <c r="N746"/>
  <c r="N745"/>
  <c r="N744"/>
  <c r="N743"/>
  <c r="N742"/>
  <c r="N741"/>
  <c r="N740"/>
  <c r="N739"/>
  <c r="N738"/>
  <c r="N737"/>
  <c r="N736"/>
  <c r="N735"/>
  <c r="N734"/>
  <c r="N733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/>
  <c r="N707"/>
  <c r="N706"/>
  <c r="N705"/>
  <c r="N704"/>
  <c r="N703"/>
  <c r="N702"/>
  <c r="N701"/>
  <c r="N700"/>
  <c r="N699"/>
  <c r="N698"/>
  <c r="N697"/>
  <c r="N696"/>
  <c r="N695"/>
  <c r="N694"/>
  <c r="N693"/>
  <c r="N692"/>
  <c r="N691"/>
  <c r="N690"/>
  <c r="N689"/>
  <c r="N688"/>
  <c r="N687"/>
  <c r="N686"/>
  <c r="N685"/>
  <c r="N684"/>
  <c r="N683"/>
  <c r="N682"/>
  <c r="N681"/>
  <c r="N680"/>
  <c r="N679"/>
  <c r="N678"/>
  <c r="N677"/>
  <c r="N676"/>
  <c r="N675"/>
  <c r="N674"/>
  <c r="N673"/>
  <c r="N672"/>
  <c r="N671"/>
  <c r="N670"/>
  <c r="N669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33"/>
  <c r="N632"/>
  <c r="N631"/>
  <c r="N630"/>
  <c r="N629"/>
  <c r="N628"/>
  <c r="N627"/>
  <c r="N626"/>
  <c r="N625"/>
  <c r="N624"/>
  <c r="N623"/>
  <c r="N622"/>
  <c r="N621"/>
  <c r="N620"/>
  <c r="N619"/>
  <c r="N618"/>
  <c r="N617"/>
  <c r="N616"/>
  <c r="N615"/>
  <c r="N614"/>
  <c r="N613"/>
  <c r="N612"/>
  <c r="N611"/>
  <c r="N610"/>
  <c r="N609"/>
  <c r="N608"/>
  <c r="N607"/>
  <c r="N606"/>
  <c r="N605"/>
  <c r="N604"/>
  <c r="N603"/>
  <c r="N602"/>
  <c r="N601"/>
  <c r="N600"/>
  <c r="N599"/>
  <c r="N598"/>
  <c r="N597"/>
  <c r="N595"/>
  <c r="N594"/>
  <c r="N593"/>
  <c r="N592"/>
  <c r="N591"/>
  <c r="N590"/>
  <c r="N589"/>
  <c r="N588"/>
  <c r="N587"/>
  <c r="N586"/>
  <c r="N585"/>
  <c r="N584"/>
  <c r="N583"/>
  <c r="N582"/>
  <c r="N581"/>
  <c r="N580"/>
  <c r="N579"/>
  <c r="N578"/>
  <c r="N577"/>
  <c r="N576"/>
  <c r="N575"/>
  <c r="N574"/>
  <c r="N573"/>
  <c r="N572"/>
  <c r="N571"/>
  <c r="N570"/>
  <c r="N569"/>
  <c r="N568"/>
  <c r="N567"/>
  <c r="N566"/>
  <c r="N565"/>
  <c r="N564"/>
  <c r="N563"/>
  <c r="N562"/>
  <c r="N561"/>
  <c r="N560"/>
  <c r="N559"/>
  <c r="N558"/>
  <c r="N557"/>
  <c r="N556"/>
  <c r="N555"/>
  <c r="N554"/>
  <c r="N553"/>
  <c r="N552"/>
  <c r="N551"/>
  <c r="N550"/>
  <c r="N549"/>
  <c r="N339"/>
  <c r="N368"/>
  <c r="N360"/>
  <c r="N325"/>
  <c r="N446"/>
  <c r="N495"/>
  <c r="N489"/>
  <c r="N494"/>
  <c r="N414"/>
  <c r="N433"/>
  <c r="N405"/>
  <c r="N404"/>
  <c r="N548"/>
  <c r="N547"/>
  <c r="N546"/>
  <c r="N545"/>
  <c r="N544"/>
  <c r="N543"/>
  <c r="N542"/>
  <c r="N541"/>
  <c r="N540"/>
  <c r="N539"/>
  <c r="N538"/>
  <c r="N537"/>
  <c r="N536"/>
  <c r="N535"/>
  <c r="N534"/>
  <c r="N533"/>
  <c r="N532"/>
  <c r="N531"/>
  <c r="N530"/>
  <c r="N529"/>
  <c r="N528"/>
  <c r="N527"/>
  <c r="N526"/>
  <c r="N525"/>
  <c r="N524"/>
  <c r="N523"/>
  <c r="N522"/>
  <c r="N521"/>
  <c r="N520"/>
  <c r="N519"/>
  <c r="N518"/>
  <c r="N517"/>
  <c r="N516"/>
  <c r="N515"/>
  <c r="N514"/>
  <c r="N513"/>
  <c r="N512"/>
  <c r="N511"/>
  <c r="N510"/>
  <c r="N509"/>
  <c r="N508"/>
  <c r="N507"/>
  <c r="N506"/>
  <c r="N505"/>
  <c r="N504"/>
  <c r="N503"/>
  <c r="N502"/>
  <c r="N501"/>
  <c r="N500"/>
  <c r="N499"/>
  <c r="N498"/>
  <c r="N497"/>
  <c r="N496"/>
  <c r="N493"/>
  <c r="N492"/>
  <c r="N491"/>
  <c r="N490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5"/>
  <c r="N444"/>
  <c r="N443"/>
  <c r="N442"/>
  <c r="N441"/>
  <c r="N440"/>
  <c r="N439"/>
  <c r="N438"/>
  <c r="N437"/>
  <c r="N436"/>
  <c r="N435"/>
  <c r="N434"/>
  <c r="N432"/>
  <c r="N431"/>
  <c r="N430"/>
  <c r="N429"/>
  <c r="N428"/>
  <c r="N427"/>
  <c r="N426"/>
  <c r="N425"/>
  <c r="N424"/>
  <c r="N423"/>
  <c r="N422"/>
  <c r="N421"/>
  <c r="N420"/>
  <c r="N419"/>
  <c r="N418"/>
  <c r="N417"/>
  <c r="N416"/>
  <c r="N415"/>
  <c r="N413"/>
  <c r="N412"/>
  <c r="N411"/>
  <c r="N410"/>
  <c r="N409"/>
  <c r="N408"/>
  <c r="N407"/>
  <c r="N406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67"/>
  <c r="N366"/>
  <c r="N365"/>
  <c r="N364"/>
  <c r="N363"/>
  <c r="N362"/>
  <c r="N361"/>
  <c r="N359"/>
  <c r="N358"/>
  <c r="N357"/>
  <c r="N356"/>
  <c r="N355"/>
  <c r="N354"/>
  <c r="N353"/>
  <c r="N352"/>
  <c r="N351"/>
  <c r="N350"/>
  <c r="N349"/>
  <c r="N348"/>
  <c r="N347"/>
  <c r="N346"/>
  <c r="N345"/>
  <c r="N344"/>
  <c r="N343"/>
  <c r="N342"/>
  <c r="N341"/>
  <c r="N340"/>
  <c r="N338"/>
  <c r="N337"/>
  <c r="N336"/>
  <c r="N335"/>
  <c r="N334"/>
  <c r="N333"/>
  <c r="N332"/>
  <c r="N331"/>
  <c r="N330"/>
  <c r="N329"/>
  <c r="N328"/>
  <c r="N327"/>
  <c r="N326"/>
  <c r="N324"/>
  <c r="N323"/>
  <c r="N322"/>
  <c r="N321"/>
  <c r="N320"/>
  <c r="N319"/>
  <c r="N318"/>
  <c r="N317"/>
  <c r="N316"/>
  <c r="N315"/>
  <c r="N314"/>
  <c r="N313"/>
  <c r="N312"/>
  <c r="N31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</calcChain>
</file>

<file path=xl/sharedStrings.xml><?xml version="1.0" encoding="utf-8"?>
<sst xmlns="http://schemas.openxmlformats.org/spreadsheetml/2006/main" count="3081" uniqueCount="1532">
  <si>
    <t>Department</t>
  </si>
  <si>
    <t>Classification</t>
  </si>
  <si>
    <t>Regular Pay</t>
  </si>
  <si>
    <t>Overtime Pay</t>
  </si>
  <si>
    <t>Lump Sum Pay</t>
  </si>
  <si>
    <t>Other Pay</t>
  </si>
  <si>
    <t>Employee's Share of Pension Benefits</t>
  </si>
  <si>
    <t>Defined Benefit Plan Cost</t>
  </si>
  <si>
    <t>Deferred Compensation</t>
  </si>
  <si>
    <t>Health, Dental Vision</t>
  </si>
  <si>
    <t>First Name</t>
  </si>
  <si>
    <t>Last Name</t>
  </si>
  <si>
    <t>Library &amp; Com Srvs</t>
  </si>
  <si>
    <t>Librarian I</t>
  </si>
  <si>
    <t>Lisa Ann</t>
  </si>
  <si>
    <t>Duff</t>
  </si>
  <si>
    <t>Dev/Permit Services</t>
  </si>
  <si>
    <t>Comb Bldg Inspector II</t>
  </si>
  <si>
    <t>David Paul</t>
  </si>
  <si>
    <t>Boles</t>
  </si>
  <si>
    <t>Finance</t>
  </si>
  <si>
    <t>Telecom Svc Tech</t>
  </si>
  <si>
    <t>Paul W</t>
  </si>
  <si>
    <t>Baermann</t>
  </si>
  <si>
    <t>Senior Civil Engineer</t>
  </si>
  <si>
    <t>Walter Austin</t>
  </si>
  <si>
    <t>Grant</t>
  </si>
  <si>
    <t>City Attorney</t>
  </si>
  <si>
    <t>Vanessa W</t>
  </si>
  <si>
    <t>Vallarta</t>
  </si>
  <si>
    <t>Community &amp; Economic</t>
  </si>
  <si>
    <t>Housing Rehab Specialist</t>
  </si>
  <si>
    <t>Francisco Javier</t>
  </si>
  <si>
    <t>Brambila</t>
  </si>
  <si>
    <t>Library Aide</t>
  </si>
  <si>
    <t>Robert William</t>
  </si>
  <si>
    <t>Dennehy</t>
  </si>
  <si>
    <t>Purchasing Technician</t>
  </si>
  <si>
    <t>Myrna Lynne</t>
  </si>
  <si>
    <t>Steele</t>
  </si>
  <si>
    <t>Sr Programmer/Analyst</t>
  </si>
  <si>
    <t>Georgia L</t>
  </si>
  <si>
    <t>Pritchett</t>
  </si>
  <si>
    <t>Associate Planner</t>
  </si>
  <si>
    <t>Abigail</t>
  </si>
  <si>
    <t>Long</t>
  </si>
  <si>
    <t>Librarian II</t>
  </si>
  <si>
    <t>Don B</t>
  </si>
  <si>
    <t>Gardner</t>
  </si>
  <si>
    <t>Library Clerk</t>
  </si>
  <si>
    <t>Shaun B</t>
  </si>
  <si>
    <t>Solis</t>
  </si>
  <si>
    <t>Comm &amp; Economic Dev Dir</t>
  </si>
  <si>
    <t>Jeffrey Hile</t>
  </si>
  <si>
    <t>Weir</t>
  </si>
  <si>
    <t>Information Systems Mgr</t>
  </si>
  <si>
    <t>James S</t>
  </si>
  <si>
    <t>Golden</t>
  </si>
  <si>
    <t>PW-Engineer &amp; Transp</t>
  </si>
  <si>
    <t>Airport Operations Supv</t>
  </si>
  <si>
    <t>Earl A</t>
  </si>
  <si>
    <t>Paisant</t>
  </si>
  <si>
    <t>PW-Enviro/Maint Svcs</t>
  </si>
  <si>
    <t>Equipment Mechanic II</t>
  </si>
  <si>
    <t>Donald W</t>
  </si>
  <si>
    <t>Moore</t>
  </si>
  <si>
    <t>Public Svc Maint Wkr III</t>
  </si>
  <si>
    <t>Enrique</t>
  </si>
  <si>
    <t>Villalobos-Sanchez</t>
  </si>
  <si>
    <t>Anthony Thomas</t>
  </si>
  <si>
    <t>Schlagel</t>
  </si>
  <si>
    <t>Police</t>
  </si>
  <si>
    <t>Animal Care Tech</t>
  </si>
  <si>
    <t>Allison A</t>
  </si>
  <si>
    <t>Nielson</t>
  </si>
  <si>
    <t>Integration/Appl Admin</t>
  </si>
  <si>
    <t>Gina Lynne</t>
  </si>
  <si>
    <t>Bjorn O</t>
  </si>
  <si>
    <t>Jones</t>
  </si>
  <si>
    <t>Administration</t>
  </si>
  <si>
    <t>City Manager</t>
  </si>
  <si>
    <t>Ray E</t>
  </si>
  <si>
    <t>Corpuz, Jr</t>
  </si>
  <si>
    <t>Benjamin James</t>
  </si>
  <si>
    <t>MacBean</t>
  </si>
  <si>
    <t>Ronald A</t>
  </si>
  <si>
    <t>Patterson</t>
  </si>
  <si>
    <t>SVEZ BRE Specialist</t>
  </si>
  <si>
    <t>Ronald Anthony</t>
  </si>
  <si>
    <t>Yglesias</t>
  </si>
  <si>
    <t>Junior Engineer</t>
  </si>
  <si>
    <t>Steven Curtis</t>
  </si>
  <si>
    <t>Margaretten</t>
  </si>
  <si>
    <t>Word Processing Operator</t>
  </si>
  <si>
    <t>Lori Ann</t>
  </si>
  <si>
    <t>Unger</t>
  </si>
  <si>
    <t>Police Clerk</t>
  </si>
  <si>
    <t>Rosalie J</t>
  </si>
  <si>
    <t>Lammers</t>
  </si>
  <si>
    <t>Public Svc Maint Wkr II</t>
  </si>
  <si>
    <t>Salvador</t>
  </si>
  <si>
    <t>Vargas</t>
  </si>
  <si>
    <t>Parks/Community Svcs</t>
  </si>
  <si>
    <t>Recreation Coordinator</t>
  </si>
  <si>
    <t>Efrain Gutierrez</t>
  </si>
  <si>
    <t>Serrano</t>
  </si>
  <si>
    <t>Wastewater Manager</t>
  </si>
  <si>
    <t>Ronald D</t>
  </si>
  <si>
    <t>Cole</t>
  </si>
  <si>
    <t>Human Resources Technicia</t>
  </si>
  <si>
    <t>Michele Banta</t>
  </si>
  <si>
    <t>Wilson</t>
  </si>
  <si>
    <t>P.S. Maint Crew Supv</t>
  </si>
  <si>
    <t>Gary G</t>
  </si>
  <si>
    <t>Gabriel</t>
  </si>
  <si>
    <t>Fire</t>
  </si>
  <si>
    <t>Office Technician</t>
  </si>
  <si>
    <t>Karen L</t>
  </si>
  <si>
    <t>City Council</t>
  </si>
  <si>
    <t>Kimbley Jean</t>
  </si>
  <si>
    <t>Craig</t>
  </si>
  <si>
    <t>Pub Safety Facilities Wkr</t>
  </si>
  <si>
    <t>Ignacio</t>
  </si>
  <si>
    <t>Lopez Jr</t>
  </si>
  <si>
    <t>Community Service Officer</t>
  </si>
  <si>
    <t>Joseph Romero</t>
  </si>
  <si>
    <t>Castro</t>
  </si>
  <si>
    <t>Mary J S</t>
  </si>
  <si>
    <t>Gamble</t>
  </si>
  <si>
    <t>Manuel H</t>
  </si>
  <si>
    <t>Mata</t>
  </si>
  <si>
    <t>Animal Control Officer</t>
  </si>
  <si>
    <t>Diann E</t>
  </si>
  <si>
    <t>Frost</t>
  </si>
  <si>
    <t>Senior Police Clerk</t>
  </si>
  <si>
    <t>Cherri D</t>
  </si>
  <si>
    <t>Salsedo</t>
  </si>
  <si>
    <t>Jennifer</t>
  </si>
  <si>
    <t>Waterson</t>
  </si>
  <si>
    <t>Code Enforcemnt Officer I</t>
  </si>
  <si>
    <t>Isaias Robles</t>
  </si>
  <si>
    <t>Molinero</t>
  </si>
  <si>
    <t>Administrative Secretary</t>
  </si>
  <si>
    <t>Cynthia A</t>
  </si>
  <si>
    <t>Robinson</t>
  </si>
  <si>
    <t>Facility Maint Worker</t>
  </si>
  <si>
    <t>Raul</t>
  </si>
  <si>
    <t>Anda</t>
  </si>
  <si>
    <t>PD Personnel/Trng Spec</t>
  </si>
  <si>
    <t>Richard Thomas</t>
  </si>
  <si>
    <t>Mazzone</t>
  </si>
  <si>
    <t>Kristen M</t>
  </si>
  <si>
    <t>Amaral</t>
  </si>
  <si>
    <t>Supt of Maintenance Serv</t>
  </si>
  <si>
    <t>Tsuneo Larry</t>
  </si>
  <si>
    <t>Oda</t>
  </si>
  <si>
    <t>Raymond John</t>
  </si>
  <si>
    <t>Lerma</t>
  </si>
  <si>
    <t>Environ Resource Planner</t>
  </si>
  <si>
    <t>Michael Charles</t>
  </si>
  <si>
    <t>Ricker</t>
  </si>
  <si>
    <t>Ramona Madalena</t>
  </si>
  <si>
    <t>Romandia</t>
  </si>
  <si>
    <t>Wendelyn Helene</t>
  </si>
  <si>
    <t>Martin</t>
  </si>
  <si>
    <t>Construction Inspector</t>
  </si>
  <si>
    <t>Howard Carl</t>
  </si>
  <si>
    <t>Gustafson</t>
  </si>
  <si>
    <t>Shidonna Denise</t>
  </si>
  <si>
    <t>Wickliffe Lofton</t>
  </si>
  <si>
    <t>Wastewater Operator</t>
  </si>
  <si>
    <t>Charles L</t>
  </si>
  <si>
    <t>Johnson</t>
  </si>
  <si>
    <t>Park Maint Worker</t>
  </si>
  <si>
    <t>Gary</t>
  </si>
  <si>
    <t>Linker</t>
  </si>
  <si>
    <t>Marrissa Rose</t>
  </si>
  <si>
    <t>Guzman</t>
  </si>
  <si>
    <t>Evidence Technician</t>
  </si>
  <si>
    <t>Jesse R</t>
  </si>
  <si>
    <t>Gilpas</t>
  </si>
  <si>
    <t>Gregory L</t>
  </si>
  <si>
    <t>Sanchez</t>
  </si>
  <si>
    <t>Supervising Police Clerk</t>
  </si>
  <si>
    <t>Lori K</t>
  </si>
  <si>
    <t>Liskey</t>
  </si>
  <si>
    <t>Deputy Librarian</t>
  </si>
  <si>
    <t>Maria Elizabeth</t>
  </si>
  <si>
    <t>Roddy</t>
  </si>
  <si>
    <t>Administrative Aide</t>
  </si>
  <si>
    <t>Denise</t>
  </si>
  <si>
    <t>Ledezma</t>
  </si>
  <si>
    <t>Library Page</t>
  </si>
  <si>
    <t>Lowellen Fox</t>
  </si>
  <si>
    <t>Sucgang</t>
  </si>
  <si>
    <t>Motor Sweeper Operator</t>
  </si>
  <si>
    <t>Roberto</t>
  </si>
  <si>
    <t>Jimenez</t>
  </si>
  <si>
    <t>Webmaster/Sys Analyst</t>
  </si>
  <si>
    <t>Christina</t>
  </si>
  <si>
    <t>Ferrante</t>
  </si>
  <si>
    <t>Quintero</t>
  </si>
  <si>
    <t>Marcos</t>
  </si>
  <si>
    <t>Raymond</t>
  </si>
  <si>
    <t>Montemayor</t>
  </si>
  <si>
    <t>Julian</t>
  </si>
  <si>
    <t>Benavidez</t>
  </si>
  <si>
    <t>Engineering Tech</t>
  </si>
  <si>
    <t>Phavana</t>
  </si>
  <si>
    <t>Aramkul</t>
  </si>
  <si>
    <t>Virginia Susan</t>
  </si>
  <si>
    <t>Deputy PW Dir/City Engr</t>
  </si>
  <si>
    <t>Robert C</t>
  </si>
  <si>
    <t>Russell</t>
  </si>
  <si>
    <t>Finance Director</t>
  </si>
  <si>
    <t>Matt N</t>
  </si>
  <si>
    <t>Pressey</t>
  </si>
  <si>
    <t>Planning Manager</t>
  </si>
  <si>
    <t>Courtney R</t>
  </si>
  <si>
    <t>Grossman</t>
  </si>
  <si>
    <t>Charles D</t>
  </si>
  <si>
    <t>Scurrah</t>
  </si>
  <si>
    <t>Francisco Vicente</t>
  </si>
  <si>
    <t>Aguilar</t>
  </si>
  <si>
    <t>Sr Recreation Asst</t>
  </si>
  <si>
    <t>Vivian</t>
  </si>
  <si>
    <t>Salinas</t>
  </si>
  <si>
    <t>Fire Inspector</t>
  </si>
  <si>
    <t>James R</t>
  </si>
  <si>
    <t>Goulart</t>
  </si>
  <si>
    <t>Technical Serv Coord</t>
  </si>
  <si>
    <t>Virginia E</t>
  </si>
  <si>
    <t>Collier</t>
  </si>
  <si>
    <t>Police Records Coord</t>
  </si>
  <si>
    <t>Rachel Ann</t>
  </si>
  <si>
    <t>Soratos</t>
  </si>
  <si>
    <t>Mary Lou</t>
  </si>
  <si>
    <t>Aguayo</t>
  </si>
  <si>
    <t>Animal Services Supv</t>
  </si>
  <si>
    <t>Kris</t>
  </si>
  <si>
    <t>Riess</t>
  </si>
  <si>
    <t>Library Technician</t>
  </si>
  <si>
    <t>Vanessa A</t>
  </si>
  <si>
    <t>Bautista</t>
  </si>
  <si>
    <t>Mark</t>
  </si>
  <si>
    <t>Laine</t>
  </si>
  <si>
    <t>Melvin Ray</t>
  </si>
  <si>
    <t>Brooks</t>
  </si>
  <si>
    <t>Equipment Mechanic I</t>
  </si>
  <si>
    <t>Eric Lance</t>
  </si>
  <si>
    <t>Ruloph</t>
  </si>
  <si>
    <t>Permit Center Clerk</t>
  </si>
  <si>
    <t>Marisol</t>
  </si>
  <si>
    <t>Hueramo</t>
  </si>
  <si>
    <t>Maria D</t>
  </si>
  <si>
    <t>Morales</t>
  </si>
  <si>
    <t>Ramon</t>
  </si>
  <si>
    <t>Herrera Jr</t>
  </si>
  <si>
    <t>Veronica</t>
  </si>
  <si>
    <t>Medina</t>
  </si>
  <si>
    <t>Senior Airport Technician</t>
  </si>
  <si>
    <t>Tom E</t>
  </si>
  <si>
    <t>Community Safety Assist</t>
  </si>
  <si>
    <t>Julia Dawn</t>
  </si>
  <si>
    <t>Nix</t>
  </si>
  <si>
    <t>Confidential Secretary</t>
  </si>
  <si>
    <t>Carla G</t>
  </si>
  <si>
    <t>Watkins</t>
  </si>
  <si>
    <t>Parking Operation Officer</t>
  </si>
  <si>
    <t>Michael</t>
  </si>
  <si>
    <t>Garner</t>
  </si>
  <si>
    <t>Redev Project Manager</t>
  </si>
  <si>
    <t>Donald P</t>
  </si>
  <si>
    <t>Reynolds</t>
  </si>
  <si>
    <t>Cristela</t>
  </si>
  <si>
    <t>Ed L</t>
  </si>
  <si>
    <t>Joye</t>
  </si>
  <si>
    <t>Bianca</t>
  </si>
  <si>
    <t>Navarro-Raya</t>
  </si>
  <si>
    <t>Gabriel J</t>
  </si>
  <si>
    <t>Blanco Jr</t>
  </si>
  <si>
    <t>Engineering Aide II</t>
  </si>
  <si>
    <t>Florence T</t>
  </si>
  <si>
    <t>Lee</t>
  </si>
  <si>
    <t>Linda A</t>
  </si>
  <si>
    <t>Knowles</t>
  </si>
  <si>
    <t>Legal Secretary</t>
  </si>
  <si>
    <t>Christina Lee</t>
  </si>
  <si>
    <t>Schlough</t>
  </si>
  <si>
    <t>Juan A</t>
  </si>
  <si>
    <t>Pineda Jr</t>
  </si>
  <si>
    <t>Stephen Rutledge</t>
  </si>
  <si>
    <t>McShane</t>
  </si>
  <si>
    <t>Sr Vehicle Maint Asst</t>
  </si>
  <si>
    <t>Edwin Lenon</t>
  </si>
  <si>
    <t>Limbo</t>
  </si>
  <si>
    <t>Env Compliance Insp II</t>
  </si>
  <si>
    <t>David G</t>
  </si>
  <si>
    <t>Lewellen</t>
  </si>
  <si>
    <t>City Clerk</t>
  </si>
  <si>
    <t>Patricia Maria</t>
  </si>
  <si>
    <t>Barajas</t>
  </si>
  <si>
    <t>Assistant City Attorney</t>
  </si>
  <si>
    <t>Christopher A</t>
  </si>
  <si>
    <t>Callihan</t>
  </si>
  <si>
    <t>Margarita</t>
  </si>
  <si>
    <t>Medina-Romero</t>
  </si>
  <si>
    <t>Sr Human Resources Analys</t>
  </si>
  <si>
    <t>Marina Horta</t>
  </si>
  <si>
    <t>Gallegos</t>
  </si>
  <si>
    <t>PW Compliance Officer II</t>
  </si>
  <si>
    <t>Hilda</t>
  </si>
  <si>
    <t>Garcia</t>
  </si>
  <si>
    <t>Bernadette Maria</t>
  </si>
  <si>
    <t>Vaccarezza</t>
  </si>
  <si>
    <t>Central Services Tech</t>
  </si>
  <si>
    <t>Jesus</t>
  </si>
  <si>
    <t>Altamirano</t>
  </si>
  <si>
    <t>Arnel Alvarez</t>
  </si>
  <si>
    <t>Ordonio</t>
  </si>
  <si>
    <t>Alex</t>
  </si>
  <si>
    <t>Evelia Serrano</t>
  </si>
  <si>
    <t>Marr</t>
  </si>
  <si>
    <t>Lucila Aguilar</t>
  </si>
  <si>
    <t>Ayala</t>
  </si>
  <si>
    <t>Robert</t>
  </si>
  <si>
    <t>Reyna</t>
  </si>
  <si>
    <t>Asst Redev Project Mgr</t>
  </si>
  <si>
    <t>Maria</t>
  </si>
  <si>
    <t>Orozco</t>
  </si>
  <si>
    <t>Patricia Yumi</t>
  </si>
  <si>
    <t>Anderson-Winfield</t>
  </si>
  <si>
    <t>Arturo</t>
  </si>
  <si>
    <t>Villaluz</t>
  </si>
  <si>
    <t>Police Reserve</t>
  </si>
  <si>
    <t>David Leigh</t>
  </si>
  <si>
    <t>Beck</t>
  </si>
  <si>
    <t>Alicia Consuelo</t>
  </si>
  <si>
    <t>Chaidez</t>
  </si>
  <si>
    <t>Sheila Diane</t>
  </si>
  <si>
    <t>Martinez</t>
  </si>
  <si>
    <t>Network/Sys Administrator</t>
  </si>
  <si>
    <t>Michael A</t>
  </si>
  <si>
    <t>Elliott</t>
  </si>
  <si>
    <t>Theresa J</t>
  </si>
  <si>
    <t>Rodriguez</t>
  </si>
  <si>
    <t>Sr Accounting Clerk</t>
  </si>
  <si>
    <t>Beatriz A</t>
  </si>
  <si>
    <t>Alonso I</t>
  </si>
  <si>
    <t>Reyes</t>
  </si>
  <si>
    <t>Kendra Patrice</t>
  </si>
  <si>
    <t>Cabrera</t>
  </si>
  <si>
    <t>Sr Evidence Technician</t>
  </si>
  <si>
    <t>Betty J</t>
  </si>
  <si>
    <t>Wilder</t>
  </si>
  <si>
    <t>Recreation Asst</t>
  </si>
  <si>
    <t>Elaine K</t>
  </si>
  <si>
    <t>Benadom</t>
  </si>
  <si>
    <t>Anthony W</t>
  </si>
  <si>
    <t>Lacono</t>
  </si>
  <si>
    <t>Mark E</t>
  </si>
  <si>
    <t>Cook</t>
  </si>
  <si>
    <t>Senior Planner</t>
  </si>
  <si>
    <t>Thomas B</t>
  </si>
  <si>
    <t>Wiles</t>
  </si>
  <si>
    <t>Equipment Mech Crew Sup</t>
  </si>
  <si>
    <t>Joseph</t>
  </si>
  <si>
    <t>Monteith</t>
  </si>
  <si>
    <t>Sports Program Asst</t>
  </si>
  <si>
    <t>Anthony Daniel</t>
  </si>
  <si>
    <t>Ramirez</t>
  </si>
  <si>
    <t>Sr Library Technician</t>
  </si>
  <si>
    <t>Katharine Louise</t>
  </si>
  <si>
    <t>Dixon</t>
  </si>
  <si>
    <t>Mary A</t>
  </si>
  <si>
    <t>Guevarra</t>
  </si>
  <si>
    <t>Urban Forestry Worker II</t>
  </si>
  <si>
    <t>Jason M</t>
  </si>
  <si>
    <t>Twisselmann</t>
  </si>
  <si>
    <t>Nerissa B</t>
  </si>
  <si>
    <t>Caguimbal</t>
  </si>
  <si>
    <t>Flory B</t>
  </si>
  <si>
    <t>Isla Jr</t>
  </si>
  <si>
    <t>CASP Program Manager</t>
  </si>
  <si>
    <t>Antonia</t>
  </si>
  <si>
    <t>Herrera</t>
  </si>
  <si>
    <t>Ana</t>
  </si>
  <si>
    <t>Medrano</t>
  </si>
  <si>
    <t>Ines</t>
  </si>
  <si>
    <t>Mendoza</t>
  </si>
  <si>
    <t>Esmeralda Julia</t>
  </si>
  <si>
    <t>Casas</t>
  </si>
  <si>
    <t>Frederick L</t>
  </si>
  <si>
    <t>Zieber</t>
  </si>
  <si>
    <t>Assistant City Manager</t>
  </si>
  <si>
    <t>Jim</t>
  </si>
  <si>
    <t>Pia</t>
  </si>
  <si>
    <t>Facil Maint Mech Crew Sup</t>
  </si>
  <si>
    <t>Donald E</t>
  </si>
  <si>
    <t>Gullion</t>
  </si>
  <si>
    <t>Assistant Development Dir</t>
  </si>
  <si>
    <t>Alan Edward</t>
  </si>
  <si>
    <t>Stumpf</t>
  </si>
  <si>
    <t>Tom O</t>
  </si>
  <si>
    <t>Doughty</t>
  </si>
  <si>
    <t>Crime Analyst</t>
  </si>
  <si>
    <t>S Nicole</t>
  </si>
  <si>
    <t>Freeman</t>
  </si>
  <si>
    <t>Christine Elizabeth</t>
  </si>
  <si>
    <t>English-White</t>
  </si>
  <si>
    <t>Jose D</t>
  </si>
  <si>
    <t>Saucedo</t>
  </si>
  <si>
    <t>Robert Lee</t>
  </si>
  <si>
    <t>Cromeenes Jr</t>
  </si>
  <si>
    <t>Gerardo J</t>
  </si>
  <si>
    <t>Gonzalez</t>
  </si>
  <si>
    <t>Deborah Jyl</t>
  </si>
  <si>
    <t>Lutes</t>
  </si>
  <si>
    <t>Computer Operator</t>
  </si>
  <si>
    <t>Tom Eugene</t>
  </si>
  <si>
    <t>Walker</t>
  </si>
  <si>
    <t>Yecenia</t>
  </si>
  <si>
    <t>Pacheco</t>
  </si>
  <si>
    <t>Eliseo Gonzalez</t>
  </si>
  <si>
    <t>Lopez</t>
  </si>
  <si>
    <t>Melvin T</t>
  </si>
  <si>
    <t>Sabado</t>
  </si>
  <si>
    <t>Bldg Permit Spec</t>
  </si>
  <si>
    <t>Kristen</t>
  </si>
  <si>
    <t>Parker</t>
  </si>
  <si>
    <t>Josefina</t>
  </si>
  <si>
    <t>Monsivais</t>
  </si>
  <si>
    <t>Urban Forestry Worker I</t>
  </si>
  <si>
    <t>Julian Martin</t>
  </si>
  <si>
    <t>Vasquez</t>
  </si>
  <si>
    <t>Sr Accounting Technician</t>
  </si>
  <si>
    <t>Alice</t>
  </si>
  <si>
    <t>Aledo</t>
  </si>
  <si>
    <t>Rudy</t>
  </si>
  <si>
    <t>Andrea E</t>
  </si>
  <si>
    <t>Weaghington</t>
  </si>
  <si>
    <t>Latent Fingerprint Tech</t>
  </si>
  <si>
    <t>Gayle Ann</t>
  </si>
  <si>
    <t>Graves</t>
  </si>
  <si>
    <t>Sylvia C</t>
  </si>
  <si>
    <t>Perez</t>
  </si>
  <si>
    <t>John P</t>
  </si>
  <si>
    <t>Falkenberg</t>
  </si>
  <si>
    <t>Melissa</t>
  </si>
  <si>
    <t>Roman</t>
  </si>
  <si>
    <t>Santiago</t>
  </si>
  <si>
    <t>Mary C</t>
  </si>
  <si>
    <t>Aburto</t>
  </si>
  <si>
    <t>Animal Services Mgr</t>
  </si>
  <si>
    <t>Cynthia Louise</t>
  </si>
  <si>
    <t>Burnham</t>
  </si>
  <si>
    <t>Public Svc Maint Wkr IV</t>
  </si>
  <si>
    <t>Alan Bruce</t>
  </si>
  <si>
    <t>Williams</t>
  </si>
  <si>
    <t>Equipment Inventory Tech</t>
  </si>
  <si>
    <t>Jesse C</t>
  </si>
  <si>
    <t>Hernandez</t>
  </si>
  <si>
    <t>Kelly Ann</t>
  </si>
  <si>
    <t>Henderson</t>
  </si>
  <si>
    <t>Homework Center Assistant</t>
  </si>
  <si>
    <t>Jorge</t>
  </si>
  <si>
    <t>Lorenzo</t>
  </si>
  <si>
    <t>Moncayo</t>
  </si>
  <si>
    <t>Kimberly A</t>
  </si>
  <si>
    <t>Styles</t>
  </si>
  <si>
    <t>Human Resource Analyst II</t>
  </si>
  <si>
    <t>Sylvia</t>
  </si>
  <si>
    <t>Enriquez</t>
  </si>
  <si>
    <t>Assistant Engineer</t>
  </si>
  <si>
    <t>Kathy</t>
  </si>
  <si>
    <t>Deputy Dir of Permit Svcs</t>
  </si>
  <si>
    <t>Dennis Alan</t>
  </si>
  <si>
    <t>Richardson</t>
  </si>
  <si>
    <t>Kristin Norris</t>
  </si>
  <si>
    <t>Rogers</t>
  </si>
  <si>
    <t>Principal Planner</t>
  </si>
  <si>
    <t>Tara D</t>
  </si>
  <si>
    <t>Hullinger</t>
  </si>
  <si>
    <t>Animal Servs Office Asst</t>
  </si>
  <si>
    <t>Rayne Milissa</t>
  </si>
  <si>
    <t>Coleman</t>
  </si>
  <si>
    <t>Recreation Program Spec</t>
  </si>
  <si>
    <t>Rucobo Jr</t>
  </si>
  <si>
    <t>Daphne M</t>
  </si>
  <si>
    <t>Dela Cuadra</t>
  </si>
  <si>
    <t>Eduardo C</t>
  </si>
  <si>
    <t>Banuelos</t>
  </si>
  <si>
    <t>Human Resource Technician</t>
  </si>
  <si>
    <t>Maria Del Rosario</t>
  </si>
  <si>
    <t>Avila</t>
  </si>
  <si>
    <t>Eda M</t>
  </si>
  <si>
    <t>Plan Checker II</t>
  </si>
  <si>
    <t>Joseph B</t>
  </si>
  <si>
    <t>Desante</t>
  </si>
  <si>
    <t>Community Dev Analyst</t>
  </si>
  <si>
    <t>Anna Maria</t>
  </si>
  <si>
    <t>Velazquez</t>
  </si>
  <si>
    <t>Jana Lea</t>
  </si>
  <si>
    <t>Calderon</t>
  </si>
  <si>
    <t>Enterprise Zone Manager</t>
  </si>
  <si>
    <t>Andrew David</t>
  </si>
  <si>
    <t>Myrick</t>
  </si>
  <si>
    <t>Interim Library Director</t>
  </si>
  <si>
    <t>Elizabeth</t>
  </si>
  <si>
    <t>Supvsg Wrd Proc Operator</t>
  </si>
  <si>
    <t>Russell B</t>
  </si>
  <si>
    <t>King</t>
  </si>
  <si>
    <t>Paul</t>
  </si>
  <si>
    <t>Public Works Director</t>
  </si>
  <si>
    <t>Gary E</t>
  </si>
  <si>
    <t>Petersen</t>
  </si>
  <si>
    <t>Diana</t>
  </si>
  <si>
    <t>Borrego</t>
  </si>
  <si>
    <t>Vicente P</t>
  </si>
  <si>
    <t>Cortes</t>
  </si>
  <si>
    <t>Park Maint Crew Supvsr</t>
  </si>
  <si>
    <t>Giles</t>
  </si>
  <si>
    <t>Ulises</t>
  </si>
  <si>
    <t>Carrango</t>
  </si>
  <si>
    <t>Tanya Pacheco</t>
  </si>
  <si>
    <t>Martha</t>
  </si>
  <si>
    <t>Pub Works Admin Supv</t>
  </si>
  <si>
    <t>William G</t>
  </si>
  <si>
    <t>Richard Garcia</t>
  </si>
  <si>
    <t>Douglas William</t>
  </si>
  <si>
    <t>Carpenter</t>
  </si>
  <si>
    <t>Literacy Program Mgr</t>
  </si>
  <si>
    <t>Mary Jean</t>
  </si>
  <si>
    <t>Ellison</t>
  </si>
  <si>
    <t>Rony G</t>
  </si>
  <si>
    <t>Musones</t>
  </si>
  <si>
    <t>Cindy</t>
  </si>
  <si>
    <t>Guerrero</t>
  </si>
  <si>
    <t>Patricia</t>
  </si>
  <si>
    <t>Penaloza</t>
  </si>
  <si>
    <t>Grace</t>
  </si>
  <si>
    <t>Aston</t>
  </si>
  <si>
    <t>SL/Traffic Sig Crew Sup</t>
  </si>
  <si>
    <t>Lucas A</t>
  </si>
  <si>
    <t>Martha Celina</t>
  </si>
  <si>
    <t>Flores</t>
  </si>
  <si>
    <t>Zagal</t>
  </si>
  <si>
    <t>Sr Code Enforcmnt Officer</t>
  </si>
  <si>
    <t>Irma Serrano</t>
  </si>
  <si>
    <t>Gowin</t>
  </si>
  <si>
    <t>Randy Wayne</t>
  </si>
  <si>
    <t>Casey</t>
  </si>
  <si>
    <t>Kim Michelle</t>
  </si>
  <si>
    <t>Picaso</t>
  </si>
  <si>
    <t>Administrative Clerk I</t>
  </si>
  <si>
    <t>Carmen</t>
  </si>
  <si>
    <t>Esmeralda</t>
  </si>
  <si>
    <t>Alvarez</t>
  </si>
  <si>
    <t>Darryll James</t>
  </si>
  <si>
    <t>Brown</t>
  </si>
  <si>
    <t>Karen Gail</t>
  </si>
  <si>
    <t>Bryan</t>
  </si>
  <si>
    <t>Esther Mejia</t>
  </si>
  <si>
    <t>Dorado</t>
  </si>
  <si>
    <t>Jarrod C</t>
  </si>
  <si>
    <t>Larash</t>
  </si>
  <si>
    <t>Assistant Planner</t>
  </si>
  <si>
    <t>Deborah A</t>
  </si>
  <si>
    <t>Kleffman</t>
  </si>
  <si>
    <t>Darriel K</t>
  </si>
  <si>
    <t>Woodward</t>
  </si>
  <si>
    <t>Sharon T</t>
  </si>
  <si>
    <t>Katagihara</t>
  </si>
  <si>
    <t>Bonnie Gale</t>
  </si>
  <si>
    <t>Marshall</t>
  </si>
  <si>
    <t>Public Works Assistant</t>
  </si>
  <si>
    <t>Lynn Holiday</t>
  </si>
  <si>
    <t>Mau</t>
  </si>
  <si>
    <t>Tung-Yi Chang</t>
  </si>
  <si>
    <t>Kimura</t>
  </si>
  <si>
    <t>Sr Facility Maint Mech</t>
  </si>
  <si>
    <t>J Carlos</t>
  </si>
  <si>
    <t>Berra</t>
  </si>
  <si>
    <t>Marco Antonio</t>
  </si>
  <si>
    <t>Becerra</t>
  </si>
  <si>
    <t>Deputy City Attorney II</t>
  </si>
  <si>
    <t>Anais Martinez</t>
  </si>
  <si>
    <t>Aquino</t>
  </si>
  <si>
    <t>Jesus Rios</t>
  </si>
  <si>
    <t>Saavedra</t>
  </si>
  <si>
    <t>Melanie Ruth</t>
  </si>
  <si>
    <t>Coffin</t>
  </si>
  <si>
    <t>Senior Accountant</t>
  </si>
  <si>
    <t>Alma Delia</t>
  </si>
  <si>
    <t>Gonzalez-Delgado</t>
  </si>
  <si>
    <t>Comm Dev Admin Supervisor</t>
  </si>
  <si>
    <t>Erika Rocio</t>
  </si>
  <si>
    <t>Deputy City Clerk</t>
  </si>
  <si>
    <t>Maria E</t>
  </si>
  <si>
    <t>Soto</t>
  </si>
  <si>
    <t>Ambika</t>
  </si>
  <si>
    <t>Prasad</t>
  </si>
  <si>
    <t>Planning Technician</t>
  </si>
  <si>
    <t>Robert J</t>
  </si>
  <si>
    <t>Latino</t>
  </si>
  <si>
    <t>Jose R</t>
  </si>
  <si>
    <t>Ruben J</t>
  </si>
  <si>
    <t>Romero</t>
  </si>
  <si>
    <t>Carlos</t>
  </si>
  <si>
    <t>Rico Calubag</t>
  </si>
  <si>
    <t>Omictin</t>
  </si>
  <si>
    <t>Sr Comm Facilities Svc Wk</t>
  </si>
  <si>
    <t>Ana Lucrecia</t>
  </si>
  <si>
    <t>Alcala</t>
  </si>
  <si>
    <t>Mary Prudence P</t>
  </si>
  <si>
    <t>Lagasca</t>
  </si>
  <si>
    <t>Alejandro P</t>
  </si>
  <si>
    <t>Melgoza</t>
  </si>
  <si>
    <t>Nichole Elizabeth</t>
  </si>
  <si>
    <t>Hidalgo</t>
  </si>
  <si>
    <t>Literacy Asst</t>
  </si>
  <si>
    <t>Imelda</t>
  </si>
  <si>
    <t>Pacheco-Perez</t>
  </si>
  <si>
    <t>Nancy</t>
  </si>
  <si>
    <t>Quintero Perez</t>
  </si>
  <si>
    <t>Rosa Guillermina</t>
  </si>
  <si>
    <t>Daniela Regine</t>
  </si>
  <si>
    <t>DeBaca</t>
  </si>
  <si>
    <t>Urban Forestry Crew Supv</t>
  </si>
  <si>
    <t>Victor H</t>
  </si>
  <si>
    <t>Baez</t>
  </si>
  <si>
    <t>Community Services Manage</t>
  </si>
  <si>
    <t>Kristan A</t>
  </si>
  <si>
    <t>Lundquist</t>
  </si>
  <si>
    <t>Jose Asuncion</t>
  </si>
  <si>
    <t>Pump Maint Mechanic</t>
  </si>
  <si>
    <t>Nirbhay</t>
  </si>
  <si>
    <t>Chand</t>
  </si>
  <si>
    <t>Cyrah S</t>
  </si>
  <si>
    <t>Caburian</t>
  </si>
  <si>
    <t>Petra M</t>
  </si>
  <si>
    <t>Savala</t>
  </si>
  <si>
    <t>Maria Esteisi</t>
  </si>
  <si>
    <t>Contreras</t>
  </si>
  <si>
    <t>Dir of Comm Safety Div</t>
  </si>
  <si>
    <t>Georgina Berenice</t>
  </si>
  <si>
    <t>Sheldon MacKenzie</t>
  </si>
  <si>
    <t>Technical Services Mgr</t>
  </si>
  <si>
    <t>Carissa Ann</t>
  </si>
  <si>
    <t>Purnell</t>
  </si>
  <si>
    <t>Elani</t>
  </si>
  <si>
    <t>Trejo-Ezquivel</t>
  </si>
  <si>
    <t>Jenny Nicole</t>
  </si>
  <si>
    <t>Bryant</t>
  </si>
  <si>
    <t>Graciela</t>
  </si>
  <si>
    <t>Judith</t>
  </si>
  <si>
    <t>Esperanza Elvira</t>
  </si>
  <si>
    <t>Ojeda</t>
  </si>
  <si>
    <t>Martina</t>
  </si>
  <si>
    <t>Shaw</t>
  </si>
  <si>
    <t>Samuel Gerardo</t>
  </si>
  <si>
    <t>Chavez-Barragan</t>
  </si>
  <si>
    <t>Raul Ortega</t>
  </si>
  <si>
    <t>Victor M</t>
  </si>
  <si>
    <t>Gutierrez-Hernandez</t>
  </si>
  <si>
    <t>Neighborhood Svcs Worker</t>
  </si>
  <si>
    <t>Rosalio S</t>
  </si>
  <si>
    <t>Campos</t>
  </si>
  <si>
    <t>Arlen Jocelym</t>
  </si>
  <si>
    <t>Jose J Quintor</t>
  </si>
  <si>
    <t>Eduardo</t>
  </si>
  <si>
    <t>Gamboa</t>
  </si>
  <si>
    <t>Juan A Tapia</t>
  </si>
  <si>
    <t>Alvarado</t>
  </si>
  <si>
    <t>Liliana Patricia</t>
  </si>
  <si>
    <t>Chavez</t>
  </si>
  <si>
    <t>John Myles</t>
  </si>
  <si>
    <t>Sorensen</t>
  </si>
  <si>
    <t>Dale R</t>
  </si>
  <si>
    <t>McCormick</t>
  </si>
  <si>
    <t>Manuel Perez</t>
  </si>
  <si>
    <t>Mendez</t>
  </si>
  <si>
    <t>Transportation Planner</t>
  </si>
  <si>
    <t>James Contreras</t>
  </si>
  <si>
    <t>Francisco A</t>
  </si>
  <si>
    <t>Park Grnds Frstry Ops Mgr</t>
  </si>
  <si>
    <t>Rick Alan</t>
  </si>
  <si>
    <t>Key</t>
  </si>
  <si>
    <t>Ramona</t>
  </si>
  <si>
    <t>Sotelo-Colunga</t>
  </si>
  <si>
    <t>Julia</t>
  </si>
  <si>
    <t>Estrada</t>
  </si>
  <si>
    <t>Hector</t>
  </si>
  <si>
    <t>Cruz</t>
  </si>
  <si>
    <t>Payroll Coordinator</t>
  </si>
  <si>
    <t>Max</t>
  </si>
  <si>
    <t>Blackwell</t>
  </si>
  <si>
    <t>Comm Facilities Svc Wkr</t>
  </si>
  <si>
    <t>Salas</t>
  </si>
  <si>
    <t>Street Maintenance Mgr</t>
  </si>
  <si>
    <t>Joseph T</t>
  </si>
  <si>
    <t>Albertoni</t>
  </si>
  <si>
    <t>Manuel R</t>
  </si>
  <si>
    <t>Amorsolo</t>
  </si>
  <si>
    <t>Caecilie A</t>
  </si>
  <si>
    <t>Howard</t>
  </si>
  <si>
    <t>Sheila</t>
  </si>
  <si>
    <t>Molinari</t>
  </si>
  <si>
    <t>Senior Buyer</t>
  </si>
  <si>
    <t>Emmanuel</t>
  </si>
  <si>
    <t>Cauntay</t>
  </si>
  <si>
    <t>Yolanda</t>
  </si>
  <si>
    <t>Seamus T</t>
  </si>
  <si>
    <t>OMore</t>
  </si>
  <si>
    <t>Housing Services Supv</t>
  </si>
  <si>
    <t>Joel</t>
  </si>
  <si>
    <t>John</t>
  </si>
  <si>
    <t>Accounting Officer</t>
  </si>
  <si>
    <t>J Miguel Obregon</t>
  </si>
  <si>
    <t>Gutierrez</t>
  </si>
  <si>
    <t>Rosa Maria</t>
  </si>
  <si>
    <t>Executive Assistant</t>
  </si>
  <si>
    <t>Cheri F</t>
  </si>
  <si>
    <t>Miller</t>
  </si>
  <si>
    <t>Supervising Accountant</t>
  </si>
  <si>
    <t>Elizabeth Tuazon</t>
  </si>
  <si>
    <t>Mariano</t>
  </si>
  <si>
    <t>Inmate Crew Coordinator</t>
  </si>
  <si>
    <t>Tony</t>
  </si>
  <si>
    <t>Santana</t>
  </si>
  <si>
    <t>Robert U</t>
  </si>
  <si>
    <t>Villegas</t>
  </si>
  <si>
    <t>Payroll Technician</t>
  </si>
  <si>
    <t>Cheryl</t>
  </si>
  <si>
    <t>Ancog</t>
  </si>
  <si>
    <t>Diosefe K</t>
  </si>
  <si>
    <t>Lantaca</t>
  </si>
  <si>
    <t>Firefighter</t>
  </si>
  <si>
    <t>Matthew</t>
  </si>
  <si>
    <t>Cheney</t>
  </si>
  <si>
    <t>Alexander Wade</t>
  </si>
  <si>
    <t>Fire Engineer</t>
  </si>
  <si>
    <t>Jon Earl</t>
  </si>
  <si>
    <t>Perkins</t>
  </si>
  <si>
    <t>Shane Eliot</t>
  </si>
  <si>
    <t>VanderVeen</t>
  </si>
  <si>
    <t>Kurtis Michael</t>
  </si>
  <si>
    <t>Matthews</t>
  </si>
  <si>
    <t>Fire Captain</t>
  </si>
  <si>
    <t>Keith P</t>
  </si>
  <si>
    <t>Emery</t>
  </si>
  <si>
    <t>Robert S</t>
  </si>
  <si>
    <t>Asamoto</t>
  </si>
  <si>
    <t>Joshua D</t>
  </si>
  <si>
    <t>Hostetter</t>
  </si>
  <si>
    <t>Anna Kristine</t>
  </si>
  <si>
    <t>Woods</t>
  </si>
  <si>
    <t>Benjamim</t>
  </si>
  <si>
    <t>Majewski</t>
  </si>
  <si>
    <t>Dylan Keats</t>
  </si>
  <si>
    <t>Bowman</t>
  </si>
  <si>
    <t>Jason</t>
  </si>
  <si>
    <t>Larsen</t>
  </si>
  <si>
    <t>Sierra M</t>
  </si>
  <si>
    <t>Felker</t>
  </si>
  <si>
    <t>Suzanne M</t>
  </si>
  <si>
    <t>Cottle-Gavalla</t>
  </si>
  <si>
    <t>Bostwick</t>
  </si>
  <si>
    <t>Hector Manuel</t>
  </si>
  <si>
    <t>Cortez</t>
  </si>
  <si>
    <t>Anthony</t>
  </si>
  <si>
    <t>Andrada</t>
  </si>
  <si>
    <t>Scott R</t>
  </si>
  <si>
    <t>McSeveney</t>
  </si>
  <si>
    <t>Tim Thomas</t>
  </si>
  <si>
    <t>Watson</t>
  </si>
  <si>
    <t>Cary Ray</t>
  </si>
  <si>
    <t>Lesch</t>
  </si>
  <si>
    <t>Deputy Fire Chief</t>
  </si>
  <si>
    <t>Jesse</t>
  </si>
  <si>
    <t>Pinon</t>
  </si>
  <si>
    <t>Kevin P</t>
  </si>
  <si>
    <t>Skinner</t>
  </si>
  <si>
    <t>Firefighter/Paramedic</t>
  </si>
  <si>
    <t>Katrina G</t>
  </si>
  <si>
    <t>Miguel</t>
  </si>
  <si>
    <t>Battalion Chief</t>
  </si>
  <si>
    <t>Scott James</t>
  </si>
  <si>
    <t>Myhre</t>
  </si>
  <si>
    <t>Robert A</t>
  </si>
  <si>
    <t>Flynn</t>
  </si>
  <si>
    <t>Frankie</t>
  </si>
  <si>
    <t>Patrick E</t>
  </si>
  <si>
    <t>O'Connell</t>
  </si>
  <si>
    <t>Anthony John</t>
  </si>
  <si>
    <t>Stagno</t>
  </si>
  <si>
    <t>Michele Lea</t>
  </si>
  <si>
    <t>Vaughn</t>
  </si>
  <si>
    <t>Jesus Gonzales</t>
  </si>
  <si>
    <t>Ricky</t>
  </si>
  <si>
    <t>Peter Augustine</t>
  </si>
  <si>
    <t>Robbert</t>
  </si>
  <si>
    <t>Philip C</t>
  </si>
  <si>
    <t>Vanderhorst</t>
  </si>
  <si>
    <t>Jonathan Patrick</t>
  </si>
  <si>
    <t>Barnes</t>
  </si>
  <si>
    <t>Thomas</t>
  </si>
  <si>
    <t>Luzod</t>
  </si>
  <si>
    <t>Shannon Patrick</t>
  </si>
  <si>
    <t>Joseph William</t>
  </si>
  <si>
    <t>Alfonso L</t>
  </si>
  <si>
    <t>Meraz</t>
  </si>
  <si>
    <t>David Austin</t>
  </si>
  <si>
    <t>Furey</t>
  </si>
  <si>
    <t>Baron R</t>
  </si>
  <si>
    <t>Augustine Jr</t>
  </si>
  <si>
    <t>Paul Edward</t>
  </si>
  <si>
    <t>White</t>
  </si>
  <si>
    <t>Matthew Hawkins</t>
  </si>
  <si>
    <t>Evarts</t>
  </si>
  <si>
    <t>Brett D</t>
  </si>
  <si>
    <t>Loomis</t>
  </si>
  <si>
    <t>Humberto</t>
  </si>
  <si>
    <t>Carrillo</t>
  </si>
  <si>
    <t>Samuel Peter</t>
  </si>
  <si>
    <t>Klemek</t>
  </si>
  <si>
    <t>Peter J</t>
  </si>
  <si>
    <t>Ryan</t>
  </si>
  <si>
    <t>Richard A</t>
  </si>
  <si>
    <t>Scott</t>
  </si>
  <si>
    <t>Houchin</t>
  </si>
  <si>
    <t>Daniel David</t>
  </si>
  <si>
    <t>Green</t>
  </si>
  <si>
    <t>Mashaad Akili</t>
  </si>
  <si>
    <t>Kiburi</t>
  </si>
  <si>
    <t>Cappy A</t>
  </si>
  <si>
    <t>Pottorff</t>
  </si>
  <si>
    <t>Bruce</t>
  </si>
  <si>
    <t>Bush</t>
  </si>
  <si>
    <t>Mark S</t>
  </si>
  <si>
    <t>Freedman</t>
  </si>
  <si>
    <t>Alejandro A</t>
  </si>
  <si>
    <t>Limon</t>
  </si>
  <si>
    <t>John Thomas</t>
  </si>
  <si>
    <t>Wider</t>
  </si>
  <si>
    <t>James Barry</t>
  </si>
  <si>
    <t>Fitzgerald</t>
  </si>
  <si>
    <t>Gina Renee</t>
  </si>
  <si>
    <t>Aubrey</t>
  </si>
  <si>
    <t>Gregory W</t>
  </si>
  <si>
    <t>Hurst</t>
  </si>
  <si>
    <t>Herbert Eugene</t>
  </si>
  <si>
    <t>Shoemaker</t>
  </si>
  <si>
    <t>Robert D</t>
  </si>
  <si>
    <t>Eggleston</t>
  </si>
  <si>
    <t>Ernesto G</t>
  </si>
  <si>
    <t>Valdez</t>
  </si>
  <si>
    <t>Edward Maitland</t>
  </si>
  <si>
    <t>Lauderdale</t>
  </si>
  <si>
    <t>Skylar Thurle</t>
  </si>
  <si>
    <t>Thornton</t>
  </si>
  <si>
    <t>Michael J</t>
  </si>
  <si>
    <t>Mizer</t>
  </si>
  <si>
    <t>Fenwick</t>
  </si>
  <si>
    <t>Ted A</t>
  </si>
  <si>
    <t>Koch</t>
  </si>
  <si>
    <t>Martin Rodriguez</t>
  </si>
  <si>
    <t>Simon A</t>
  </si>
  <si>
    <t>Douglas A</t>
  </si>
  <si>
    <t>Dirksen</t>
  </si>
  <si>
    <t>Christopher Kevin</t>
  </si>
  <si>
    <t>Christopher J</t>
  </si>
  <si>
    <t>Knapp</t>
  </si>
  <si>
    <t>Zachary Patrick</t>
  </si>
  <si>
    <t>Linnane</t>
  </si>
  <si>
    <t>Dennis Matthew</t>
  </si>
  <si>
    <t>Shea</t>
  </si>
  <si>
    <t>Jason William</t>
  </si>
  <si>
    <t>Victor</t>
  </si>
  <si>
    <t>Jacqueline Maria</t>
  </si>
  <si>
    <t>Pacelli</t>
  </si>
  <si>
    <t>Jeffery Alexander</t>
  </si>
  <si>
    <t>Bausch</t>
  </si>
  <si>
    <t>Yang</t>
  </si>
  <si>
    <t>Marques</t>
  </si>
  <si>
    <t>David R</t>
  </si>
  <si>
    <t>McLaughlin</t>
  </si>
  <si>
    <t>Fire Chief</t>
  </si>
  <si>
    <t>Edmond Anthony</t>
  </si>
  <si>
    <t>Carlos A</t>
  </si>
  <si>
    <t>Pimentel</t>
  </si>
  <si>
    <t>Firefighter Recruit</t>
  </si>
  <si>
    <t>Zachery T</t>
  </si>
  <si>
    <t>Davenport</t>
  </si>
  <si>
    <t>Cathal A</t>
  </si>
  <si>
    <t>Blake</t>
  </si>
  <si>
    <t>Joshua A</t>
  </si>
  <si>
    <t>Marmolejo</t>
  </si>
  <si>
    <t>Gustavo</t>
  </si>
  <si>
    <t>Sergio M</t>
  </si>
  <si>
    <t>Ruiz, Jr</t>
  </si>
  <si>
    <t>Ryan L</t>
  </si>
  <si>
    <t>Alexander</t>
  </si>
  <si>
    <t>Lauren Suzanne</t>
  </si>
  <si>
    <t>Glick</t>
  </si>
  <si>
    <t>Steven Michael</t>
  </si>
  <si>
    <t>Criste</t>
  </si>
  <si>
    <t>Kevin Chiharu</t>
  </si>
  <si>
    <t>Maloney</t>
  </si>
  <si>
    <t>William Patterson</t>
  </si>
  <si>
    <t>Stallcup</t>
  </si>
  <si>
    <t>Joseph Frank</t>
  </si>
  <si>
    <t>Tait</t>
  </si>
  <si>
    <t>Alexander J</t>
  </si>
  <si>
    <t>Vallejo</t>
  </si>
  <si>
    <t>Michael D</t>
  </si>
  <si>
    <t>Valerio</t>
  </si>
  <si>
    <t>Police Officer</t>
  </si>
  <si>
    <t>William L</t>
  </si>
  <si>
    <t>Gaston</t>
  </si>
  <si>
    <t>Kristine E</t>
  </si>
  <si>
    <t>Fairbanks</t>
  </si>
  <si>
    <t>Gavin E</t>
  </si>
  <si>
    <t>McVeigh</t>
  </si>
  <si>
    <t>Richard Alphonse</t>
  </si>
  <si>
    <t>Jeffrey Paul</t>
  </si>
  <si>
    <t>Lofton</t>
  </si>
  <si>
    <t>Kenneth Lee</t>
  </si>
  <si>
    <t>Schwener</t>
  </si>
  <si>
    <t>Steven J</t>
  </si>
  <si>
    <t>Hoyte</t>
  </si>
  <si>
    <t>Police Sergeant</t>
  </si>
  <si>
    <t>John David</t>
  </si>
  <si>
    <t>Lynn</t>
  </si>
  <si>
    <t>Brian Robert</t>
  </si>
  <si>
    <t>Miguel A</t>
  </si>
  <si>
    <t>Deputy Chief of Police</t>
  </si>
  <si>
    <t>Terry L</t>
  </si>
  <si>
    <t>Gerhardstein</t>
  </si>
  <si>
    <t>Heath</t>
  </si>
  <si>
    <t>Carlo F</t>
  </si>
  <si>
    <t>Calupad</t>
  </si>
  <si>
    <t>Jared Matthew</t>
  </si>
  <si>
    <t>Sivertson</t>
  </si>
  <si>
    <t>Police Commander</t>
  </si>
  <si>
    <t>Sheldon R</t>
  </si>
  <si>
    <t>Trevor A</t>
  </si>
  <si>
    <t>Elordi</t>
  </si>
  <si>
    <t>Suthichai</t>
  </si>
  <si>
    <t>Livingston</t>
  </si>
  <si>
    <t>Suthided</t>
  </si>
  <si>
    <t>Jeffrey R</t>
  </si>
  <si>
    <t>Ramsden</t>
  </si>
  <si>
    <t>Ian Christopher</t>
  </si>
  <si>
    <t>Parsons</t>
  </si>
  <si>
    <t>James Douglas</t>
  </si>
  <si>
    <t>Godwin</t>
  </si>
  <si>
    <t>Joel L</t>
  </si>
  <si>
    <t>David Lynn</t>
  </si>
  <si>
    <t>Crabill</t>
  </si>
  <si>
    <t>Kenneth G</t>
  </si>
  <si>
    <t>Hendrickson</t>
  </si>
  <si>
    <t>Jacky D</t>
  </si>
  <si>
    <t>Bohn</t>
  </si>
  <si>
    <t>Christopher James</t>
  </si>
  <si>
    <t>Lane</t>
  </si>
  <si>
    <t>Ron Daniel</t>
  </si>
  <si>
    <t>Pemberton</t>
  </si>
  <si>
    <t>Richard G</t>
  </si>
  <si>
    <t>Maldonado</t>
  </si>
  <si>
    <t>Mark W</t>
  </si>
  <si>
    <t>Babione</t>
  </si>
  <si>
    <t>Terrel W</t>
  </si>
  <si>
    <t>Bailey</t>
  </si>
  <si>
    <t>David N</t>
  </si>
  <si>
    <t>John C</t>
  </si>
  <si>
    <t>Murray</t>
  </si>
  <si>
    <t>Yates</t>
  </si>
  <si>
    <t>Jeffrey Raymond</t>
  </si>
  <si>
    <t>Munoz</t>
  </si>
  <si>
    <t>Russ Milton</t>
  </si>
  <si>
    <t>Hauschild</t>
  </si>
  <si>
    <t>Timothy James</t>
  </si>
  <si>
    <t>Simpson</t>
  </si>
  <si>
    <t>John B</t>
  </si>
  <si>
    <t>McNeil</t>
  </si>
  <si>
    <t>Valentin</t>
  </si>
  <si>
    <t>Paredez</t>
  </si>
  <si>
    <t>Wayne Anthony</t>
  </si>
  <si>
    <t>Vance</t>
  </si>
  <si>
    <t>Stephen L</t>
  </si>
  <si>
    <t>Sparks</t>
  </si>
  <si>
    <t>Gabriela</t>
  </si>
  <si>
    <t>Robert Briscoe</t>
  </si>
  <si>
    <t>Hampson III</t>
  </si>
  <si>
    <t>Ernesto M</t>
  </si>
  <si>
    <t>Candi Lee</t>
  </si>
  <si>
    <t>Swinscoe</t>
  </si>
  <si>
    <t>Rocha</t>
  </si>
  <si>
    <t>Daniel E</t>
  </si>
  <si>
    <t>Chief of Police</t>
  </si>
  <si>
    <t>Kelly J</t>
  </si>
  <si>
    <t>McMillin</t>
  </si>
  <si>
    <t>Daniel</t>
  </si>
  <si>
    <t>Perez Jr</t>
  </si>
  <si>
    <t>Anthony P</t>
  </si>
  <si>
    <t>Michael Andrew</t>
  </si>
  <si>
    <t>Batchelor</t>
  </si>
  <si>
    <t>Henry Richard</t>
  </si>
  <si>
    <t>Gomez</t>
  </si>
  <si>
    <t>Oscar M</t>
  </si>
  <si>
    <t>Dydasco</t>
  </si>
  <si>
    <t>Criminalist</t>
  </si>
  <si>
    <t>Patrick J</t>
  </si>
  <si>
    <t>Haney</t>
  </si>
  <si>
    <t>Kevin B</t>
  </si>
  <si>
    <t>Mead</t>
  </si>
  <si>
    <t>Winningham</t>
  </si>
  <si>
    <t>Dale A</t>
  </si>
  <si>
    <t>Fors</t>
  </si>
  <si>
    <t>Gerardo G</t>
  </si>
  <si>
    <t>Magana</t>
  </si>
  <si>
    <t>Timothy Wayne</t>
  </si>
  <si>
    <t>Iorio</t>
  </si>
  <si>
    <t>Christopher Adam</t>
  </si>
  <si>
    <t>Silva</t>
  </si>
  <si>
    <t>Todd M</t>
  </si>
  <si>
    <t>Byron Joseph</t>
  </si>
  <si>
    <t>Gansen</t>
  </si>
  <si>
    <t>Gray</t>
  </si>
  <si>
    <t>Kevin Frank</t>
  </si>
  <si>
    <t>Orepeza</t>
  </si>
  <si>
    <t>Mark William</t>
  </si>
  <si>
    <t>Lazzarini</t>
  </si>
  <si>
    <t>Todd R</t>
  </si>
  <si>
    <t>Kessler</t>
  </si>
  <si>
    <t>Onecimo</t>
  </si>
  <si>
    <t>Solis Jr</t>
  </si>
  <si>
    <t>Scott P</t>
  </si>
  <si>
    <t>Gemette</t>
  </si>
  <si>
    <t>Michael Angel</t>
  </si>
  <si>
    <t>Rivera Jr</t>
  </si>
  <si>
    <t>Bryan G</t>
  </si>
  <si>
    <t>Cupak</t>
  </si>
  <si>
    <t>James Gerard</t>
  </si>
  <si>
    <t>Arensdorf</t>
  </si>
  <si>
    <t>Edith Cerda</t>
  </si>
  <si>
    <t>Ellsworth</t>
  </si>
  <si>
    <t>Craig Arthur</t>
  </si>
  <si>
    <t>Vincent</t>
  </si>
  <si>
    <t>Maiorana</t>
  </si>
  <si>
    <t>Bryan Allen</t>
  </si>
  <si>
    <t>McKinley</t>
  </si>
  <si>
    <t>David</t>
  </si>
  <si>
    <t>Poulin Jr</t>
  </si>
  <si>
    <t>Christopher R</t>
  </si>
  <si>
    <t>Balaoro</t>
  </si>
  <si>
    <t>Chris S</t>
  </si>
  <si>
    <t>Edwin P</t>
  </si>
  <si>
    <t>Robert E</t>
  </si>
  <si>
    <t>Arlene P</t>
  </si>
  <si>
    <t>Currier</t>
  </si>
  <si>
    <t>Angel</t>
  </si>
  <si>
    <t>Robert L</t>
  </si>
  <si>
    <t>Van Blarcom</t>
  </si>
  <si>
    <t>Dana C</t>
  </si>
  <si>
    <t>Cornelison</t>
  </si>
  <si>
    <t>Adolfo</t>
  </si>
  <si>
    <t>Persijn</t>
  </si>
  <si>
    <t>Michael James</t>
  </si>
  <si>
    <t>Muscutt</t>
  </si>
  <si>
    <t>Lance D</t>
  </si>
  <si>
    <t>Miraco</t>
  </si>
  <si>
    <t>Edward M</t>
  </si>
  <si>
    <t>Ruben</t>
  </si>
  <si>
    <t>Zuniga</t>
  </si>
  <si>
    <t>Gabriel Sunrise</t>
  </si>
  <si>
    <t>Carvey</t>
  </si>
  <si>
    <t>Lynd</t>
  </si>
  <si>
    <t>James Dennis</t>
  </si>
  <si>
    <t>Knowlton</t>
  </si>
  <si>
    <t>Michael Anthony</t>
  </si>
  <si>
    <t>Groves</t>
  </si>
  <si>
    <t>Ciro</t>
  </si>
  <si>
    <t>Barboza-Perez</t>
  </si>
  <si>
    <t>Kenneth W</t>
  </si>
  <si>
    <t>Ellsworth Jr</t>
  </si>
  <si>
    <t>Benjamin R</t>
  </si>
  <si>
    <t>Draeger</t>
  </si>
  <si>
    <t>Jeffrey Dale</t>
  </si>
  <si>
    <t>Alford</t>
  </si>
  <si>
    <t>Gerard Deblois</t>
  </si>
  <si>
    <t>Ross</t>
  </si>
  <si>
    <t>Eulalio</t>
  </si>
  <si>
    <t>Villegas-Rivera</t>
  </si>
  <si>
    <t>Cameron Leroy</t>
  </si>
  <si>
    <t>Murphy</t>
  </si>
  <si>
    <t>Rios</t>
  </si>
  <si>
    <t>Danny Earl</t>
  </si>
  <si>
    <t>Warner</t>
  </si>
  <si>
    <t>Jeffery S</t>
  </si>
  <si>
    <t>Gibson</t>
  </si>
  <si>
    <t>Stanley G</t>
  </si>
  <si>
    <t>Cooper</t>
  </si>
  <si>
    <t>George A</t>
  </si>
  <si>
    <t>Lauricella</t>
  </si>
  <si>
    <t>Cassie L</t>
  </si>
  <si>
    <t>McSorley</t>
  </si>
  <si>
    <t>Juan Alberto</t>
  </si>
  <si>
    <t>Ruiz</t>
  </si>
  <si>
    <t>John T</t>
  </si>
  <si>
    <t>Justin Taylor</t>
  </si>
  <si>
    <t>Heckman</t>
  </si>
  <si>
    <t>Brent Allen</t>
  </si>
  <si>
    <t>DeBorde</t>
  </si>
  <si>
    <t>Derek Scott</t>
  </si>
  <si>
    <t>Kimberly N</t>
  </si>
  <si>
    <t>Alejandro</t>
  </si>
  <si>
    <t>Fernandez-Zamora</t>
  </si>
  <si>
    <t>Pedro Z</t>
  </si>
  <si>
    <t>Gomez, Jr</t>
  </si>
  <si>
    <t>Raul Acevedo</t>
  </si>
  <si>
    <t>Rosales</t>
  </si>
  <si>
    <t>Jordan Allen</t>
  </si>
  <si>
    <t>Jorge Ernesto</t>
  </si>
  <si>
    <t>George B</t>
  </si>
  <si>
    <t>Canaday</t>
  </si>
  <si>
    <t>Richard J</t>
  </si>
  <si>
    <t>Diaz</t>
  </si>
  <si>
    <t>Thomas Alan</t>
  </si>
  <si>
    <t>Larkin</t>
  </si>
  <si>
    <t>Nicholas Beau</t>
  </si>
  <si>
    <t>Gebel</t>
  </si>
  <si>
    <t>Scott B</t>
  </si>
  <si>
    <t>Sutton</t>
  </si>
  <si>
    <t>Steven Brett</t>
  </si>
  <si>
    <t>Mattocks</t>
  </si>
  <si>
    <t>Jason Ryan</t>
  </si>
  <si>
    <t>Gates</t>
  </si>
  <si>
    <t>Stephen Matthew</t>
  </si>
  <si>
    <t>Rodolfo</t>
  </si>
  <si>
    <t>Jessica Lynn</t>
  </si>
  <si>
    <t>Gillis</t>
  </si>
  <si>
    <t>Nicole D</t>
  </si>
  <si>
    <t>Capps</t>
  </si>
  <si>
    <t>David Grover</t>
  </si>
  <si>
    <t>Swanson</t>
  </si>
  <si>
    <t>Sunrise House</t>
  </si>
  <si>
    <t>Sunrise House Employee</t>
  </si>
  <si>
    <t>Corrine Genelle</t>
  </si>
  <si>
    <t>Black</t>
  </si>
  <si>
    <t>Sp Official-Adult Basketb</t>
  </si>
  <si>
    <t>William John</t>
  </si>
  <si>
    <t>Karen Ann</t>
  </si>
  <si>
    <t>Ivey</t>
  </si>
  <si>
    <t>Gerry S</t>
  </si>
  <si>
    <t>Davis</t>
  </si>
  <si>
    <t>Karen M</t>
  </si>
  <si>
    <t>Steadman</t>
  </si>
  <si>
    <t>Wayne</t>
  </si>
  <si>
    <t>Schapper</t>
  </si>
  <si>
    <t>Michael B</t>
  </si>
  <si>
    <t>Larry David</t>
  </si>
  <si>
    <t>Bussard</t>
  </si>
  <si>
    <t>Interim Fire Chief</t>
  </si>
  <si>
    <t>Gregory Harold</t>
  </si>
  <si>
    <t>Glass</t>
  </si>
  <si>
    <t>Debra K</t>
  </si>
  <si>
    <t>Frimml</t>
  </si>
  <si>
    <t>William Eugene</t>
  </si>
  <si>
    <t>Adriana</t>
  </si>
  <si>
    <t>Espinoza</t>
  </si>
  <si>
    <t>Edwards</t>
  </si>
  <si>
    <t>Animal Care Worker</t>
  </si>
  <si>
    <t>Robert Thomas</t>
  </si>
  <si>
    <t>Siason, Jr</t>
  </si>
  <si>
    <t>Revenue Technician</t>
  </si>
  <si>
    <t>Teresa K</t>
  </si>
  <si>
    <t>Kistler</t>
  </si>
  <si>
    <t>Debra Lee</t>
  </si>
  <si>
    <t>Pounds</t>
  </si>
  <si>
    <t>Leticia M</t>
  </si>
  <si>
    <t>Daniel J</t>
  </si>
  <si>
    <t>Kostelec</t>
  </si>
  <si>
    <t>Second Chance</t>
  </si>
  <si>
    <t>Second Chance Employee</t>
  </si>
  <si>
    <t>Narciso Germinal Gue</t>
  </si>
  <si>
    <t>Serra</t>
  </si>
  <si>
    <t>Worksite Supervisor I</t>
  </si>
  <si>
    <t>Pearl W</t>
  </si>
  <si>
    <t>Lorena Mendoza</t>
  </si>
  <si>
    <t>Carriedo</t>
  </si>
  <si>
    <t>GIS Administrator</t>
  </si>
  <si>
    <t>Charles</t>
  </si>
  <si>
    <t>Lerable</t>
  </si>
  <si>
    <t>Sheila C</t>
  </si>
  <si>
    <t>Laurie</t>
  </si>
  <si>
    <t>Guillermina</t>
  </si>
  <si>
    <t>Cedillo</t>
  </si>
  <si>
    <t>Thomas L</t>
  </si>
  <si>
    <t>Kever</t>
  </si>
  <si>
    <t>Dorothy Steele</t>
  </si>
  <si>
    <t>Laage</t>
  </si>
  <si>
    <t>Candace L</t>
  </si>
  <si>
    <t>Perryman</t>
  </si>
  <si>
    <t>Christine Anne</t>
  </si>
  <si>
    <t>Amelia M</t>
  </si>
  <si>
    <t>Valdivia</t>
  </si>
  <si>
    <t>Sp Official-Youth Volleyb</t>
  </si>
  <si>
    <t>Montejano</t>
  </si>
  <si>
    <t>Elia Solis</t>
  </si>
  <si>
    <t>Borrero II</t>
  </si>
  <si>
    <t>Clara J</t>
  </si>
  <si>
    <t>Bunse</t>
  </si>
  <si>
    <t>Ronnie Dale</t>
  </si>
  <si>
    <t>Ralph</t>
  </si>
  <si>
    <t>Sr Construction Inspector</t>
  </si>
  <si>
    <t>Rivas</t>
  </si>
  <si>
    <t>Kyle G</t>
  </si>
  <si>
    <t>Kimm</t>
  </si>
  <si>
    <t>Urzua Jr</t>
  </si>
  <si>
    <t>David Vega</t>
  </si>
  <si>
    <t>Vivien Sixta</t>
  </si>
  <si>
    <t>Lindley</t>
  </si>
  <si>
    <t>Recreation Leader I</t>
  </si>
  <si>
    <t>Celia</t>
  </si>
  <si>
    <t>Tracy L</t>
  </si>
  <si>
    <t>Molfino</t>
  </si>
  <si>
    <t>Kathleen J</t>
  </si>
  <si>
    <t>Denney</t>
  </si>
  <si>
    <t>Kevin J</t>
  </si>
  <si>
    <t>Calvert</t>
  </si>
  <si>
    <t>David James</t>
  </si>
  <si>
    <t>Petrini</t>
  </si>
  <si>
    <t>Linda Louise</t>
  </si>
  <si>
    <t>Sloan</t>
  </si>
  <si>
    <t>Vicenta</t>
  </si>
  <si>
    <t>Cota</t>
  </si>
  <si>
    <t>Ann</t>
  </si>
  <si>
    <t>Camel</t>
  </si>
  <si>
    <t>Gilbert A</t>
  </si>
  <si>
    <t>Olivares</t>
  </si>
  <si>
    <t>Jim Alan</t>
  </si>
  <si>
    <t>Rear</t>
  </si>
  <si>
    <t>Comm Improve Asst</t>
  </si>
  <si>
    <t>Vivian H</t>
  </si>
  <si>
    <t>Guadalupe</t>
  </si>
  <si>
    <t>David W</t>
  </si>
  <si>
    <t>Fire Plan Checker</t>
  </si>
  <si>
    <t>Mark H</t>
  </si>
  <si>
    <t>Treuge</t>
  </si>
  <si>
    <t>Leonela</t>
  </si>
  <si>
    <t>Rivera</t>
  </si>
  <si>
    <t>Juan Carlos Rubio</t>
  </si>
  <si>
    <t>Mike L</t>
  </si>
  <si>
    <t>Berry</t>
  </si>
  <si>
    <t>Alejandra S</t>
  </si>
  <si>
    <t>Guerra</t>
  </si>
  <si>
    <t>Butz</t>
  </si>
  <si>
    <t>David Scott</t>
  </si>
  <si>
    <t>Joseph D</t>
  </si>
  <si>
    <t>Gunter</t>
  </si>
  <si>
    <t>Gloria Cruz</t>
  </si>
  <si>
    <t>DeLa Rosa</t>
  </si>
  <si>
    <t>Ciria</t>
  </si>
  <si>
    <t>Caoagan</t>
  </si>
  <si>
    <t>Richelle Denise</t>
  </si>
  <si>
    <t>Santoya</t>
  </si>
  <si>
    <t>Paul Richard</t>
  </si>
  <si>
    <t>Pilotte</t>
  </si>
  <si>
    <t>Combination Bldg Insp II</t>
  </si>
  <si>
    <t>Harry Dean</t>
  </si>
  <si>
    <t>Deupser</t>
  </si>
  <si>
    <t>Kathryn C</t>
  </si>
  <si>
    <t>Sakahara</t>
  </si>
  <si>
    <t>Figueroa</t>
  </si>
  <si>
    <t>Interim Human Resource Di</t>
  </si>
  <si>
    <t>Ralph A</t>
  </si>
  <si>
    <t>Leticia Laura</t>
  </si>
  <si>
    <t>Tinajero</t>
  </si>
  <si>
    <t>Clerical Aide</t>
  </si>
  <si>
    <t>Ernest J</t>
  </si>
  <si>
    <t>Teresa Ruiz</t>
  </si>
  <si>
    <t>Susan W</t>
  </si>
  <si>
    <t>Silacci</t>
  </si>
  <si>
    <t>Patrick John</t>
  </si>
  <si>
    <t>McCarty</t>
  </si>
  <si>
    <t>Samuel Lane</t>
  </si>
  <si>
    <t>Mazza, Jr</t>
  </si>
  <si>
    <t>Amy Darlene</t>
  </si>
  <si>
    <t>Fink</t>
  </si>
  <si>
    <t>Vouchering Technician</t>
  </si>
  <si>
    <t>Laura Joell</t>
  </si>
  <si>
    <t>Kershner</t>
  </si>
  <si>
    <t>Interim Fire Marshal</t>
  </si>
  <si>
    <t>Steven Edward</t>
  </si>
  <si>
    <t>Negro</t>
  </si>
  <si>
    <t>Elizabeth P</t>
  </si>
  <si>
    <t>Roberts</t>
  </si>
  <si>
    <t>Karissa Denyce</t>
  </si>
  <si>
    <t>Nenque</t>
  </si>
  <si>
    <t>Temple</t>
  </si>
  <si>
    <t>William</t>
  </si>
  <si>
    <t>Jackson</t>
  </si>
  <si>
    <t>Public Svc Maint Wkr I</t>
  </si>
  <si>
    <t>Abram O</t>
  </si>
  <si>
    <t>Ortiz</t>
  </si>
  <si>
    <t>John Paul</t>
  </si>
  <si>
    <t>Wood</t>
  </si>
  <si>
    <t>Vicky L</t>
  </si>
  <si>
    <t>Burnett</t>
  </si>
  <si>
    <t>Refujio</t>
  </si>
  <si>
    <t>Colunga</t>
  </si>
  <si>
    <t>Sp Official-Youth Basketb</t>
  </si>
  <si>
    <t>Keith D</t>
  </si>
  <si>
    <t>Stuart</t>
  </si>
  <si>
    <t>Engineering Aide I</t>
  </si>
  <si>
    <t>Cheyenne Elias</t>
  </si>
  <si>
    <t>Soza</t>
  </si>
  <si>
    <t>Araceli</t>
  </si>
  <si>
    <t>Brian K</t>
  </si>
  <si>
    <t>Yolanda Q</t>
  </si>
  <si>
    <t>Cornejo</t>
  </si>
  <si>
    <t>Veronica P</t>
  </si>
  <si>
    <t>Leon</t>
  </si>
  <si>
    <t>Martha Claudine</t>
  </si>
  <si>
    <t>Carota</t>
  </si>
  <si>
    <t>Isai B</t>
  </si>
  <si>
    <t>Richard</t>
  </si>
  <si>
    <t>Gonzales</t>
  </si>
  <si>
    <t>Steve L</t>
  </si>
  <si>
    <t>Fusco</t>
  </si>
  <si>
    <t>Victoria S</t>
  </si>
  <si>
    <t>Dennis J</t>
  </si>
  <si>
    <t>Donohue</t>
  </si>
  <si>
    <t>Dennis L</t>
  </si>
  <si>
    <t>Stacy</t>
  </si>
  <si>
    <t>Nick G</t>
  </si>
  <si>
    <t>Langarica</t>
  </si>
  <si>
    <t>Frank E</t>
  </si>
  <si>
    <t>Brunings</t>
  </si>
  <si>
    <t>Steven Louis</t>
  </si>
  <si>
    <t>Silveria</t>
  </si>
  <si>
    <t>Maribel</t>
  </si>
  <si>
    <t>Torres</t>
  </si>
  <si>
    <t>Animal Serv. Aide</t>
  </si>
  <si>
    <t>Cynthia Marie</t>
  </si>
  <si>
    <t>Robert M</t>
  </si>
  <si>
    <t>Eggers</t>
  </si>
  <si>
    <t>Daniel W</t>
  </si>
  <si>
    <t>Edilcia</t>
  </si>
  <si>
    <t>Eva Alvarez</t>
  </si>
  <si>
    <t>Tony Romero</t>
  </si>
  <si>
    <t>Barrera</t>
  </si>
  <si>
    <t>Mindy Rumbawa</t>
  </si>
  <si>
    <t>Police Officer-New Hire</t>
  </si>
  <si>
    <t>Walter Stanley</t>
  </si>
  <si>
    <t>Tinay</t>
  </si>
  <si>
    <t>Lino A</t>
  </si>
  <si>
    <t>Sanchez-Leon</t>
  </si>
  <si>
    <t>Joseph Anthony</t>
  </si>
  <si>
    <t>Kinney</t>
  </si>
  <si>
    <t>Gil-Hernandez</t>
  </si>
  <si>
    <t>Daisy Lizett</t>
  </si>
  <si>
    <t>Joshua William</t>
  </si>
  <si>
    <t>Stephanie Michelle</t>
  </si>
  <si>
    <t>Vincent Horta</t>
  </si>
  <si>
    <t>Yasmin B</t>
  </si>
  <si>
    <t>Sp Official-Yth Flg Footb</t>
  </si>
  <si>
    <t>Alexis Jose</t>
  </si>
  <si>
    <t>Aleman</t>
  </si>
  <si>
    <t>Nathaniel Jose</t>
  </si>
  <si>
    <t>Myrna Liz V</t>
  </si>
  <si>
    <t>Arriaga Cruz</t>
  </si>
  <si>
    <t>Irma Alejandra</t>
  </si>
  <si>
    <t>Community Services Asst</t>
  </si>
  <si>
    <t>Ana Jeanette</t>
  </si>
  <si>
    <t>Leyva-Reyna</t>
  </si>
  <si>
    <t>Andrew Anthony</t>
  </si>
  <si>
    <t>Castillo</t>
  </si>
  <si>
    <t>Shelby Leann</t>
  </si>
  <si>
    <t>Dominic Andrew</t>
  </si>
  <si>
    <t>Wahab</t>
  </si>
  <si>
    <t>Herminia Cervantes</t>
  </si>
  <si>
    <t>Lozada</t>
  </si>
  <si>
    <t>Victoria</t>
  </si>
  <si>
    <t>Cervantes</t>
  </si>
  <si>
    <t>Estrella</t>
  </si>
  <si>
    <t>Thoeni</t>
  </si>
  <si>
    <t>Reyna Eliana</t>
  </si>
  <si>
    <t>Flores-Olivera</t>
  </si>
  <si>
    <t>Ivan</t>
  </si>
  <si>
    <t>Sandoval</t>
  </si>
  <si>
    <t>Scorekeeper-Youth Basketb</t>
  </si>
  <si>
    <t>Pierce Martin</t>
  </si>
  <si>
    <t>John Mitchell</t>
  </si>
  <si>
    <t>Gerardo Guiterrez</t>
  </si>
  <si>
    <t>Linda</t>
  </si>
  <si>
    <t>Yoana P</t>
  </si>
  <si>
    <t>Antonio</t>
  </si>
  <si>
    <t>Lara</t>
  </si>
  <si>
    <t>Julian James</t>
  </si>
  <si>
    <t>Nagata</t>
  </si>
  <si>
    <t>Zachary</t>
  </si>
  <si>
    <t>Dunagan</t>
  </si>
  <si>
    <t>Amanda</t>
  </si>
  <si>
    <t>Vivian Medina</t>
  </si>
  <si>
    <t>Vehicle Maint Assistant</t>
  </si>
  <si>
    <t>Daniel Lucas</t>
  </si>
  <si>
    <t>Juana Enedina</t>
  </si>
  <si>
    <t>Miranda Jasmin</t>
  </si>
  <si>
    <t>Alan Toan</t>
  </si>
  <si>
    <t>Vu</t>
  </si>
  <si>
    <t>Jasmin</t>
  </si>
  <si>
    <t>Katelynn Mariah</t>
  </si>
  <si>
    <t>Harris</t>
  </si>
  <si>
    <t>Blanca</t>
  </si>
  <si>
    <t>Nathan Joseph</t>
  </si>
  <si>
    <t>Rodzach</t>
  </si>
  <si>
    <t>Comm. Ctr. Svc. Aide</t>
  </si>
  <si>
    <t>Edgardo Constanos</t>
  </si>
  <si>
    <t>Gagno</t>
  </si>
  <si>
    <t>Stephanie Mell</t>
  </si>
  <si>
    <t>Egli</t>
  </si>
  <si>
    <t>Adrian</t>
  </si>
  <si>
    <t>Scorekeeper-Adult Softbal</t>
  </si>
  <si>
    <t>Andrea Renee</t>
  </si>
  <si>
    <t>Erik M</t>
  </si>
  <si>
    <t>Eller</t>
  </si>
  <si>
    <t>Office Assistant</t>
  </si>
  <si>
    <t>Sarah Marie</t>
  </si>
  <si>
    <t>Crabill, Jr</t>
  </si>
  <si>
    <t>Adriana Morales</t>
  </si>
  <si>
    <t>Jamie L</t>
  </si>
  <si>
    <t>Sarai Joanna</t>
  </si>
  <si>
    <t>Police Cadet</t>
  </si>
  <si>
    <t>Juliane Rae</t>
  </si>
  <si>
    <t>Mesiroff</t>
  </si>
  <si>
    <t>Student Intern</t>
  </si>
  <si>
    <t>Thalia Lucero</t>
  </si>
  <si>
    <t>Elias B</t>
  </si>
  <si>
    <t>Macias</t>
  </si>
  <si>
    <t>Anacecilia Barajas</t>
  </si>
  <si>
    <t>Ceja</t>
  </si>
  <si>
    <t>Erin Anne</t>
  </si>
  <si>
    <t>Leah Elizabeth</t>
  </si>
  <si>
    <t>Frye</t>
  </si>
  <si>
    <t>Lamiya Alvarez</t>
  </si>
  <si>
    <t>Webster</t>
  </si>
  <si>
    <t>Daniel Anthony</t>
  </si>
  <si>
    <t>Lucio</t>
  </si>
  <si>
    <t>Carolina</t>
  </si>
  <si>
    <t>Josue Medellin</t>
  </si>
  <si>
    <t>Gisela G</t>
  </si>
  <si>
    <t>Simony Rosario</t>
  </si>
  <si>
    <t>Politron</t>
  </si>
  <si>
    <t>Corinne Elizabeth</t>
  </si>
  <si>
    <t>Armando Pina</t>
  </si>
  <si>
    <t>Perea</t>
  </si>
  <si>
    <t>Jesus Camacho</t>
  </si>
  <si>
    <t>Nesly</t>
  </si>
  <si>
    <t>Lucina Alcala</t>
  </si>
  <si>
    <t>Navarro</t>
  </si>
  <si>
    <t>Recreation Aide</t>
  </si>
  <si>
    <t>Matilde R</t>
  </si>
  <si>
    <t>Pena</t>
  </si>
  <si>
    <t>Zoe Ellin</t>
  </si>
  <si>
    <t>Tyler David</t>
  </si>
  <si>
    <t>Jensen</t>
  </si>
  <si>
    <t>Julia Rose</t>
  </si>
  <si>
    <t>Ashen</t>
  </si>
  <si>
    <t>Angela Lilly</t>
  </si>
  <si>
    <t>Nguyen</t>
  </si>
  <si>
    <t>Clifford Yngoc</t>
  </si>
  <si>
    <t>Woo</t>
  </si>
  <si>
    <t>Jacqueline</t>
  </si>
  <si>
    <t>Maria Del Carmen</t>
  </si>
  <si>
    <t>Correa-Duran</t>
  </si>
  <si>
    <t>Luveria Stephanie</t>
  </si>
  <si>
    <t>Mariah Michelle</t>
  </si>
  <si>
    <t>Flores-Fonseca</t>
  </si>
  <si>
    <t>Joseph Kevin Mapenda</t>
  </si>
  <si>
    <t>Ilos</t>
  </si>
  <si>
    <t>Gina</t>
  </si>
  <si>
    <t>Reynoso</t>
  </si>
  <si>
    <t>Monica Maritza C</t>
  </si>
  <si>
    <t>Felisha Nicole</t>
  </si>
  <si>
    <t>Daisy Jasmine</t>
  </si>
  <si>
    <t>Valencia-Diaz</t>
  </si>
  <si>
    <t>Martin Jovany Zavala</t>
  </si>
  <si>
    <t>Jacuinde</t>
  </si>
  <si>
    <t>Alysia Pauleen</t>
  </si>
  <si>
    <t>Crystal Lizeth</t>
  </si>
  <si>
    <t>Cerda</t>
  </si>
  <si>
    <t>Victoria Lynn</t>
  </si>
  <si>
    <t>Caldwell</t>
  </si>
  <si>
    <t>Alexandra Helene</t>
  </si>
  <si>
    <t>Ludovina</t>
  </si>
  <si>
    <t>William Joseph</t>
  </si>
  <si>
    <t>Yetter</t>
  </si>
  <si>
    <t>Ismael</t>
  </si>
  <si>
    <t>Larios-Negrete</t>
  </si>
  <si>
    <t>Uver</t>
  </si>
  <si>
    <t>Maria Andrea</t>
  </si>
  <si>
    <t>Alexis A</t>
  </si>
  <si>
    <t>Campa</t>
  </si>
  <si>
    <t>Loliza Navadilla</t>
  </si>
  <si>
    <t>Garban</t>
  </si>
  <si>
    <t>Joshua Bradeley</t>
  </si>
  <si>
    <t>Virginia Hernandez</t>
  </si>
  <si>
    <t>Batrez</t>
  </si>
  <si>
    <t>Sergio</t>
  </si>
  <si>
    <t>David Martin</t>
  </si>
  <si>
    <t>Pritt</t>
  </si>
  <si>
    <t>Jordynne Beatrice</t>
  </si>
  <si>
    <t>English</t>
  </si>
  <si>
    <t>Joseph Michael</t>
  </si>
  <si>
    <t>Joanna</t>
  </si>
  <si>
    <t>Zepeda</t>
  </si>
  <si>
    <t>Lorie</t>
  </si>
  <si>
    <t>Yazmine</t>
  </si>
  <si>
    <t>Poxtan</t>
  </si>
  <si>
    <t>Andrea Azarel</t>
  </si>
  <si>
    <t>Elizabeth Martinez</t>
  </si>
  <si>
    <t>Ambriz</t>
  </si>
  <si>
    <t>Josef Franklin</t>
  </si>
  <si>
    <t>Delk</t>
  </si>
  <si>
    <t>Maria Concepcion</t>
  </si>
  <si>
    <t>Cruz Manzo</t>
  </si>
  <si>
    <t>Gross Pay 2012</t>
  </si>
  <si>
    <t>Soc Sec/Medicare/LTD</t>
  </si>
  <si>
    <t>Undercover Officer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</si>
</sst>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">
    <font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5"/>
  <sheetViews>
    <sheetView tabSelected="1" workbookViewId="0">
      <selection activeCell="A3" sqref="A3"/>
    </sheetView>
  </sheetViews>
  <sheetFormatPr defaultRowHeight="15"/>
  <cols>
    <col min="1" max="1" width="17" bestFit="1" customWidth="1"/>
    <col min="2" max="2" width="19.44140625" bestFit="1" customWidth="1"/>
    <col min="3" max="3" width="24.33203125" bestFit="1" customWidth="1"/>
    <col min="4" max="4" width="19.77734375" bestFit="1" customWidth="1"/>
    <col min="5" max="5" width="13.5546875" style="1" bestFit="1" customWidth="1"/>
    <col min="6" max="8" width="12.44140625" style="1" bestFit="1" customWidth="1"/>
    <col min="9" max="9" width="13.5546875" style="1" bestFit="1" customWidth="1"/>
    <col min="10" max="10" width="18.44140625" style="1" bestFit="1" customWidth="1"/>
    <col min="11" max="11" width="22.44140625" style="1" bestFit="1" customWidth="1"/>
    <col min="12" max="12" width="31.109375" style="1" bestFit="1" customWidth="1"/>
    <col min="13" max="13" width="19.88671875" style="1" bestFit="1" customWidth="1"/>
    <col min="14" max="14" width="20.5546875" style="1" bestFit="1" customWidth="1"/>
  </cols>
  <sheetData>
    <row r="1" spans="1:14">
      <c r="A1" s="3" t="s">
        <v>11</v>
      </c>
      <c r="B1" s="3" t="s">
        <v>10</v>
      </c>
      <c r="C1" s="3" t="s">
        <v>1</v>
      </c>
      <c r="D1" s="3" t="s">
        <v>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1529</v>
      </c>
      <c r="J1" s="2" t="s">
        <v>9</v>
      </c>
      <c r="K1" s="2" t="s">
        <v>7</v>
      </c>
      <c r="L1" s="1" t="s">
        <v>6</v>
      </c>
      <c r="M1" s="1" t="s">
        <v>8</v>
      </c>
      <c r="N1" s="1" t="s">
        <v>1530</v>
      </c>
    </row>
    <row r="3" spans="1:14">
      <c r="A3" t="s">
        <v>15</v>
      </c>
      <c r="B3" t="s">
        <v>14</v>
      </c>
      <c r="C3" t="s">
        <v>13</v>
      </c>
      <c r="D3" t="s">
        <v>12</v>
      </c>
      <c r="E3" s="1">
        <v>29432.217799999999</v>
      </c>
      <c r="F3" s="1">
        <v>663.81219999999996</v>
      </c>
      <c r="H3" s="1">
        <v>750</v>
      </c>
      <c r="I3" s="1">
        <v>30846.03</v>
      </c>
      <c r="J3" s="1">
        <v>8510.2800000000007</v>
      </c>
      <c r="K3" s="1">
        <v>3866</v>
      </c>
      <c r="N3" s="1">
        <f>ROUND(+I3*0.0775,2)</f>
        <v>2390.5700000000002</v>
      </c>
    </row>
    <row r="4" spans="1:14">
      <c r="A4" t="s">
        <v>19</v>
      </c>
      <c r="B4" t="s">
        <v>18</v>
      </c>
      <c r="C4" t="s">
        <v>17</v>
      </c>
      <c r="D4" t="s">
        <v>16</v>
      </c>
      <c r="E4" s="1">
        <v>46224.090000000004</v>
      </c>
      <c r="F4" s="1">
        <v>0</v>
      </c>
      <c r="H4" s="1">
        <v>166.64</v>
      </c>
      <c r="I4" s="1">
        <v>46390.73</v>
      </c>
      <c r="J4" s="1">
        <v>0</v>
      </c>
      <c r="K4" s="1">
        <v>5943</v>
      </c>
      <c r="N4" s="1">
        <f t="shared" ref="N4:N67" si="0">ROUND(+I4*0.0775,2)</f>
        <v>3595.28</v>
      </c>
    </row>
    <row r="5" spans="1:14">
      <c r="A5" t="s">
        <v>23</v>
      </c>
      <c r="B5" t="s">
        <v>22</v>
      </c>
      <c r="C5" t="s">
        <v>21</v>
      </c>
      <c r="D5" t="s">
        <v>20</v>
      </c>
      <c r="E5" s="1">
        <v>62864.47</v>
      </c>
      <c r="F5" s="1">
        <v>0</v>
      </c>
      <c r="H5" s="1">
        <v>0</v>
      </c>
      <c r="I5" s="1">
        <v>62864.47</v>
      </c>
      <c r="J5" s="1">
        <v>8510.2800000000007</v>
      </c>
      <c r="K5" s="1">
        <v>8053</v>
      </c>
      <c r="N5" s="1">
        <f t="shared" si="0"/>
        <v>4872</v>
      </c>
    </row>
    <row r="6" spans="1:14">
      <c r="A6" t="s">
        <v>26</v>
      </c>
      <c r="B6" t="s">
        <v>25</v>
      </c>
      <c r="C6" t="s">
        <v>24</v>
      </c>
      <c r="D6" t="s">
        <v>16</v>
      </c>
      <c r="E6" s="1">
        <v>100385.66</v>
      </c>
      <c r="F6" s="1">
        <v>0</v>
      </c>
      <c r="H6" s="1">
        <v>0</v>
      </c>
      <c r="I6" s="1">
        <v>100385.66</v>
      </c>
      <c r="J6" s="1">
        <v>22377.84</v>
      </c>
      <c r="K6" s="1">
        <v>12859</v>
      </c>
      <c r="N6" s="1">
        <f t="shared" si="0"/>
        <v>7779.89</v>
      </c>
    </row>
    <row r="7" spans="1:14">
      <c r="A7" t="s">
        <v>29</v>
      </c>
      <c r="B7" t="s">
        <v>28</v>
      </c>
      <c r="C7" t="s">
        <v>27</v>
      </c>
      <c r="D7" t="s">
        <v>27</v>
      </c>
      <c r="E7" s="1">
        <v>166981.75999999998</v>
      </c>
      <c r="F7" s="1">
        <v>0</v>
      </c>
      <c r="G7" s="1">
        <v>8363.92</v>
      </c>
      <c r="H7" s="1">
        <v>12749.88</v>
      </c>
      <c r="I7" s="1">
        <v>188095.56</v>
      </c>
      <c r="J7" s="1">
        <v>22377.84</v>
      </c>
      <c r="K7" s="1">
        <v>23024</v>
      </c>
      <c r="M7" s="1">
        <v>16918.099999999999</v>
      </c>
      <c r="N7" s="1">
        <f t="shared" si="0"/>
        <v>14577.41</v>
      </c>
    </row>
    <row r="8" spans="1:14">
      <c r="A8" t="s">
        <v>33</v>
      </c>
      <c r="B8" t="s">
        <v>32</v>
      </c>
      <c r="C8" t="s">
        <v>31</v>
      </c>
      <c r="D8" t="s">
        <v>30</v>
      </c>
      <c r="E8" s="1">
        <v>68336.850000000006</v>
      </c>
      <c r="F8" s="1">
        <v>0</v>
      </c>
      <c r="H8" s="1">
        <v>0</v>
      </c>
      <c r="I8" s="1">
        <v>68336.850000000006</v>
      </c>
      <c r="J8" s="1">
        <v>22377.84</v>
      </c>
      <c r="K8" s="1">
        <v>8754</v>
      </c>
      <c r="N8" s="1">
        <f t="shared" si="0"/>
        <v>5296.11</v>
      </c>
    </row>
    <row r="9" spans="1:14">
      <c r="A9" t="s">
        <v>36</v>
      </c>
      <c r="B9" t="s">
        <v>35</v>
      </c>
      <c r="C9" t="s">
        <v>34</v>
      </c>
      <c r="D9" t="s">
        <v>12</v>
      </c>
      <c r="E9" s="1">
        <v>26915.31</v>
      </c>
      <c r="F9" s="1">
        <v>0</v>
      </c>
      <c r="G9" s="1">
        <v>817.27</v>
      </c>
      <c r="H9" s="1">
        <v>0</v>
      </c>
      <c r="I9" s="1">
        <v>27732.58</v>
      </c>
      <c r="J9" s="1">
        <v>8510.2800000000007</v>
      </c>
      <c r="K9" s="1">
        <v>3448</v>
      </c>
      <c r="N9" s="1">
        <f t="shared" si="0"/>
        <v>2149.27</v>
      </c>
    </row>
    <row r="10" spans="1:14">
      <c r="A10" t="s">
        <v>39</v>
      </c>
      <c r="B10" t="s">
        <v>38</v>
      </c>
      <c r="C10" t="s">
        <v>37</v>
      </c>
      <c r="D10" t="s">
        <v>12</v>
      </c>
      <c r="E10" s="1">
        <v>22764.240000000002</v>
      </c>
      <c r="F10" s="1">
        <v>0</v>
      </c>
      <c r="H10" s="1">
        <v>0</v>
      </c>
      <c r="I10" s="1">
        <v>22764.240000000002</v>
      </c>
      <c r="J10" s="1">
        <v>0</v>
      </c>
      <c r="K10" s="1">
        <v>2916</v>
      </c>
      <c r="N10" s="1">
        <f t="shared" si="0"/>
        <v>1764.23</v>
      </c>
    </row>
    <row r="11" spans="1:14">
      <c r="A11" t="s">
        <v>42</v>
      </c>
      <c r="B11" t="s">
        <v>41</v>
      </c>
      <c r="C11" t="s">
        <v>40</v>
      </c>
      <c r="D11" t="s">
        <v>20</v>
      </c>
      <c r="E11" s="1">
        <v>83698.539999999994</v>
      </c>
      <c r="F11" s="1">
        <v>0</v>
      </c>
      <c r="H11" s="1">
        <v>0</v>
      </c>
      <c r="I11" s="1">
        <v>83698.539999999994</v>
      </c>
      <c r="J11" s="1">
        <v>22377.84</v>
      </c>
      <c r="K11" s="1">
        <v>10722</v>
      </c>
      <c r="N11" s="1">
        <f t="shared" si="0"/>
        <v>6486.64</v>
      </c>
    </row>
    <row r="12" spans="1:14">
      <c r="A12" t="s">
        <v>45</v>
      </c>
      <c r="B12" t="s">
        <v>44</v>
      </c>
      <c r="C12" t="s">
        <v>43</v>
      </c>
      <c r="D12" t="s">
        <v>30</v>
      </c>
      <c r="E12" s="1">
        <v>64639.81</v>
      </c>
      <c r="F12" s="1">
        <v>0</v>
      </c>
      <c r="H12" s="1">
        <v>0</v>
      </c>
      <c r="I12" s="1">
        <v>64639.81</v>
      </c>
      <c r="J12" s="1">
        <v>16880.88</v>
      </c>
      <c r="K12" s="1">
        <v>8280</v>
      </c>
      <c r="N12" s="1">
        <f t="shared" si="0"/>
        <v>5009.59</v>
      </c>
    </row>
    <row r="13" spans="1:14">
      <c r="A13" t="s">
        <v>48</v>
      </c>
      <c r="B13" t="s">
        <v>47</v>
      </c>
      <c r="C13" t="s">
        <v>46</v>
      </c>
      <c r="D13" t="s">
        <v>12</v>
      </c>
      <c r="E13" s="1">
        <v>47049.604500000001</v>
      </c>
      <c r="F13" s="1">
        <v>771.83550000000002</v>
      </c>
      <c r="H13" s="1">
        <v>1000</v>
      </c>
      <c r="I13" s="1">
        <v>48821.440000000002</v>
      </c>
      <c r="J13" s="1">
        <v>13710.24</v>
      </c>
      <c r="K13" s="1">
        <v>6155</v>
      </c>
      <c r="N13" s="1">
        <f t="shared" si="0"/>
        <v>3783.66</v>
      </c>
    </row>
    <row r="14" spans="1:14">
      <c r="A14" t="s">
        <v>51</v>
      </c>
      <c r="B14" t="s">
        <v>50</v>
      </c>
      <c r="C14" t="s">
        <v>49</v>
      </c>
      <c r="D14" t="s">
        <v>12</v>
      </c>
      <c r="E14" s="1">
        <v>35648.94</v>
      </c>
      <c r="F14" s="1">
        <v>0</v>
      </c>
      <c r="H14" s="1">
        <v>0</v>
      </c>
      <c r="I14" s="1">
        <v>35648.94</v>
      </c>
      <c r="J14" s="1">
        <v>22377.84</v>
      </c>
      <c r="K14" s="1">
        <v>4567</v>
      </c>
      <c r="N14" s="1">
        <f t="shared" si="0"/>
        <v>2762.79</v>
      </c>
    </row>
    <row r="15" spans="1:14">
      <c r="A15" t="s">
        <v>54</v>
      </c>
      <c r="B15" t="s">
        <v>53</v>
      </c>
      <c r="C15" t="s">
        <v>52</v>
      </c>
      <c r="D15" t="s">
        <v>30</v>
      </c>
      <c r="E15" s="1">
        <v>151043.99</v>
      </c>
      <c r="F15" s="1">
        <v>0</v>
      </c>
      <c r="H15" s="1">
        <v>5990.69</v>
      </c>
      <c r="I15" s="1">
        <v>157034.68</v>
      </c>
      <c r="J15" s="1">
        <v>16880.88</v>
      </c>
      <c r="K15" s="1">
        <v>20116</v>
      </c>
      <c r="M15" s="1">
        <v>11115.28</v>
      </c>
      <c r="N15" s="1">
        <f t="shared" si="0"/>
        <v>12170.19</v>
      </c>
    </row>
    <row r="16" spans="1:14">
      <c r="A16" t="s">
        <v>57</v>
      </c>
      <c r="B16" t="s">
        <v>56</v>
      </c>
      <c r="C16" t="s">
        <v>55</v>
      </c>
      <c r="D16" t="s">
        <v>20</v>
      </c>
      <c r="E16" s="1">
        <v>111600</v>
      </c>
      <c r="F16" s="1">
        <v>0</v>
      </c>
      <c r="H16" s="1">
        <v>960.08999999999651</v>
      </c>
      <c r="I16" s="1">
        <v>112560.09</v>
      </c>
      <c r="J16" s="1">
        <v>22377.84</v>
      </c>
      <c r="K16" s="1">
        <v>14419</v>
      </c>
      <c r="N16" s="1">
        <f t="shared" si="0"/>
        <v>8723.41</v>
      </c>
    </row>
    <row r="17" spans="1:14">
      <c r="A17" t="s">
        <v>61</v>
      </c>
      <c r="B17" t="s">
        <v>60</v>
      </c>
      <c r="C17" t="s">
        <v>59</v>
      </c>
      <c r="D17" t="s">
        <v>58</v>
      </c>
      <c r="E17" s="1">
        <v>58332.055800000002</v>
      </c>
      <c r="F17" s="1">
        <v>2339.4241999999999</v>
      </c>
      <c r="G17" s="1">
        <v>2424.92</v>
      </c>
      <c r="H17" s="1">
        <v>549.96</v>
      </c>
      <c r="I17" s="1">
        <v>63646.36</v>
      </c>
      <c r="J17" s="1">
        <v>22377.84</v>
      </c>
      <c r="K17" s="1">
        <v>7543</v>
      </c>
      <c r="L17" s="1">
        <v>414.56</v>
      </c>
      <c r="N17" s="1">
        <f t="shared" si="0"/>
        <v>4932.59</v>
      </c>
    </row>
    <row r="18" spans="1:14">
      <c r="A18" t="s">
        <v>65</v>
      </c>
      <c r="B18" t="s">
        <v>64</v>
      </c>
      <c r="C18" t="s">
        <v>63</v>
      </c>
      <c r="D18" t="s">
        <v>62</v>
      </c>
      <c r="E18" s="1">
        <v>14554.41</v>
      </c>
      <c r="F18" s="1">
        <v>0</v>
      </c>
      <c r="H18" s="1">
        <v>41.66</v>
      </c>
      <c r="I18" s="1">
        <v>14596.07</v>
      </c>
      <c r="J18" s="1">
        <v>0</v>
      </c>
      <c r="K18" s="1">
        <v>1870</v>
      </c>
      <c r="L18" s="1">
        <v>0</v>
      </c>
      <c r="N18" s="1">
        <f t="shared" si="0"/>
        <v>1131.2</v>
      </c>
    </row>
    <row r="19" spans="1:14">
      <c r="A19" t="s">
        <v>68</v>
      </c>
      <c r="B19" t="s">
        <v>67</v>
      </c>
      <c r="C19" t="s">
        <v>66</v>
      </c>
      <c r="D19" t="s">
        <v>62</v>
      </c>
      <c r="E19" s="1">
        <v>51695.332700000006</v>
      </c>
      <c r="F19" s="1">
        <v>358.82729999999998</v>
      </c>
      <c r="G19" s="1">
        <v>2126.38</v>
      </c>
      <c r="H19" s="1">
        <v>1299.96</v>
      </c>
      <c r="I19" s="1">
        <v>55480.5</v>
      </c>
      <c r="J19" s="1">
        <v>16880.88</v>
      </c>
      <c r="K19" s="1">
        <v>6789</v>
      </c>
      <c r="L19" s="1">
        <v>346.54</v>
      </c>
      <c r="N19" s="1">
        <f t="shared" si="0"/>
        <v>4299.74</v>
      </c>
    </row>
    <row r="20" spans="1:14">
      <c r="A20" t="s">
        <v>70</v>
      </c>
      <c r="B20" t="s">
        <v>69</v>
      </c>
      <c r="C20" t="s">
        <v>13</v>
      </c>
      <c r="D20" t="s">
        <v>12</v>
      </c>
      <c r="E20" s="1">
        <v>54922.47</v>
      </c>
      <c r="F20" s="1">
        <v>0</v>
      </c>
      <c r="H20" s="1">
        <v>750</v>
      </c>
      <c r="I20" s="1">
        <v>55672.47</v>
      </c>
      <c r="J20" s="1">
        <v>0</v>
      </c>
      <c r="K20" s="1">
        <v>7132</v>
      </c>
      <c r="N20" s="1">
        <f t="shared" si="0"/>
        <v>4314.62</v>
      </c>
    </row>
    <row r="21" spans="1:14">
      <c r="A21" t="s">
        <v>74</v>
      </c>
      <c r="B21" t="s">
        <v>73</v>
      </c>
      <c r="C21" t="s">
        <v>72</v>
      </c>
      <c r="D21" t="s">
        <v>71</v>
      </c>
      <c r="E21" s="1">
        <v>37122.286200000002</v>
      </c>
      <c r="F21" s="1">
        <v>1939.3638000000001</v>
      </c>
      <c r="H21" s="1">
        <v>749.96</v>
      </c>
      <c r="I21" s="1">
        <v>39811.61</v>
      </c>
      <c r="J21" s="1">
        <v>16880.88</v>
      </c>
      <c r="K21" s="1">
        <v>4851</v>
      </c>
      <c r="N21" s="1">
        <f t="shared" si="0"/>
        <v>3085.4</v>
      </c>
    </row>
    <row r="22" spans="1:14">
      <c r="A22" t="s">
        <v>65</v>
      </c>
      <c r="B22" t="s">
        <v>76</v>
      </c>
      <c r="C22" t="s">
        <v>75</v>
      </c>
      <c r="D22" t="s">
        <v>20</v>
      </c>
      <c r="E22" s="1">
        <v>100460.66</v>
      </c>
      <c r="F22" s="1">
        <v>0</v>
      </c>
      <c r="H22" s="1">
        <v>0</v>
      </c>
      <c r="I22" s="1">
        <v>100460.66</v>
      </c>
      <c r="J22" s="1">
        <v>16880.88</v>
      </c>
      <c r="K22" s="1">
        <v>12869</v>
      </c>
      <c r="N22" s="1">
        <f t="shared" si="0"/>
        <v>7785.7</v>
      </c>
    </row>
    <row r="23" spans="1:14">
      <c r="A23" t="s">
        <v>78</v>
      </c>
      <c r="B23" t="s">
        <v>77</v>
      </c>
      <c r="C23" t="s">
        <v>46</v>
      </c>
      <c r="D23" t="s">
        <v>12</v>
      </c>
      <c r="E23" s="1">
        <v>30391.58</v>
      </c>
      <c r="F23" s="1">
        <v>0</v>
      </c>
      <c r="H23" s="1">
        <v>750</v>
      </c>
      <c r="I23" s="1">
        <v>31141.58</v>
      </c>
      <c r="J23" s="1">
        <v>0</v>
      </c>
      <c r="K23" s="1">
        <v>3989</v>
      </c>
      <c r="N23" s="1">
        <f t="shared" si="0"/>
        <v>2413.4699999999998</v>
      </c>
    </row>
    <row r="24" spans="1:14">
      <c r="A24" t="s">
        <v>82</v>
      </c>
      <c r="B24" t="s">
        <v>81</v>
      </c>
      <c r="C24" t="s">
        <v>80</v>
      </c>
      <c r="D24" t="s">
        <v>79</v>
      </c>
      <c r="E24" s="1">
        <v>193789.07</v>
      </c>
      <c r="F24" s="1">
        <v>0</v>
      </c>
      <c r="H24" s="1">
        <v>4759.58</v>
      </c>
      <c r="I24" s="1">
        <v>198548.65</v>
      </c>
      <c r="J24" s="1">
        <v>8510.2800000000007</v>
      </c>
      <c r="K24" s="1">
        <v>25434</v>
      </c>
      <c r="M24" s="1">
        <v>3759.58</v>
      </c>
      <c r="N24" s="1">
        <f t="shared" si="0"/>
        <v>15387.52</v>
      </c>
    </row>
    <row r="25" spans="1:14">
      <c r="A25" t="s">
        <v>84</v>
      </c>
      <c r="B25" t="s">
        <v>83</v>
      </c>
      <c r="C25" t="s">
        <v>13</v>
      </c>
      <c r="D25" t="s">
        <v>12</v>
      </c>
      <c r="E25" s="1">
        <v>50898.329700000002</v>
      </c>
      <c r="F25" s="1">
        <v>358.58030000000002</v>
      </c>
      <c r="G25" s="1">
        <v>1062.46</v>
      </c>
      <c r="H25" s="1">
        <v>0</v>
      </c>
      <c r="I25" s="1">
        <v>52319.37</v>
      </c>
      <c r="J25" s="1">
        <v>17333.28</v>
      </c>
      <c r="K25" s="1">
        <v>6520</v>
      </c>
      <c r="N25" s="1">
        <f t="shared" si="0"/>
        <v>4054.75</v>
      </c>
    </row>
    <row r="26" spans="1:14">
      <c r="A26" t="s">
        <v>86</v>
      </c>
      <c r="B26" t="s">
        <v>85</v>
      </c>
      <c r="C26" t="s">
        <v>63</v>
      </c>
      <c r="D26" t="s">
        <v>62</v>
      </c>
      <c r="E26" s="1">
        <v>48714.15</v>
      </c>
      <c r="F26" s="1">
        <v>0</v>
      </c>
      <c r="G26" s="1">
        <v>2025.15</v>
      </c>
      <c r="H26" s="1">
        <v>1299.96</v>
      </c>
      <c r="I26" s="1">
        <v>52039.26</v>
      </c>
      <c r="J26" s="1">
        <v>22377.84</v>
      </c>
      <c r="K26" s="1">
        <v>6407</v>
      </c>
      <c r="L26" s="1">
        <v>351.15</v>
      </c>
      <c r="N26" s="1">
        <f t="shared" si="0"/>
        <v>4033.04</v>
      </c>
    </row>
    <row r="27" spans="1:14">
      <c r="A27" t="s">
        <v>89</v>
      </c>
      <c r="B27" t="s">
        <v>88</v>
      </c>
      <c r="C27" t="s">
        <v>87</v>
      </c>
      <c r="D27" t="s">
        <v>30</v>
      </c>
      <c r="E27" s="1">
        <v>3696.68</v>
      </c>
      <c r="F27" s="1">
        <v>0</v>
      </c>
      <c r="H27" s="1">
        <v>0</v>
      </c>
      <c r="I27" s="1">
        <v>3696.68</v>
      </c>
      <c r="J27" s="1">
        <v>21463.919999999998</v>
      </c>
      <c r="K27" s="1">
        <v>474</v>
      </c>
      <c r="N27" s="1">
        <f t="shared" si="0"/>
        <v>286.49</v>
      </c>
    </row>
    <row r="28" spans="1:14">
      <c r="A28" t="s">
        <v>92</v>
      </c>
      <c r="B28" t="s">
        <v>91</v>
      </c>
      <c r="C28" t="s">
        <v>90</v>
      </c>
      <c r="D28" t="s">
        <v>58</v>
      </c>
      <c r="E28" s="1">
        <v>67106.48</v>
      </c>
      <c r="F28" s="1">
        <v>0</v>
      </c>
      <c r="H28" s="1">
        <v>2000</v>
      </c>
      <c r="I28" s="1">
        <v>69106.48</v>
      </c>
      <c r="J28" s="1">
        <v>8510.2800000000007</v>
      </c>
      <c r="K28" s="1">
        <v>8853</v>
      </c>
      <c r="N28" s="1">
        <f t="shared" si="0"/>
        <v>5355.75</v>
      </c>
    </row>
    <row r="29" spans="1:14">
      <c r="A29" t="s">
        <v>95</v>
      </c>
      <c r="B29" t="s">
        <v>94</v>
      </c>
      <c r="C29" t="s">
        <v>93</v>
      </c>
      <c r="D29" t="s">
        <v>71</v>
      </c>
      <c r="E29" s="1">
        <v>40574.739099999999</v>
      </c>
      <c r="F29" s="1">
        <v>1958.8708999999999</v>
      </c>
      <c r="G29" s="1">
        <v>1665.15</v>
      </c>
      <c r="H29" s="1">
        <v>0</v>
      </c>
      <c r="I29" s="1">
        <v>44198.76</v>
      </c>
      <c r="J29" s="1">
        <v>0</v>
      </c>
      <c r="K29" s="1">
        <v>5198</v>
      </c>
      <c r="N29" s="1">
        <f t="shared" si="0"/>
        <v>3425.4</v>
      </c>
    </row>
    <row r="30" spans="1:14">
      <c r="A30" t="s">
        <v>98</v>
      </c>
      <c r="B30" t="s">
        <v>97</v>
      </c>
      <c r="C30" t="s">
        <v>96</v>
      </c>
      <c r="D30" t="s">
        <v>71</v>
      </c>
      <c r="E30" s="1">
        <v>40051.849300000002</v>
      </c>
      <c r="F30" s="1">
        <v>7963.6706999999997</v>
      </c>
      <c r="G30" s="1">
        <v>4403.83</v>
      </c>
      <c r="H30" s="1">
        <v>0</v>
      </c>
      <c r="I30" s="1">
        <v>52419.350000000006</v>
      </c>
      <c r="J30" s="1">
        <v>16880.88</v>
      </c>
      <c r="K30" s="1">
        <v>5131</v>
      </c>
      <c r="N30" s="1">
        <f t="shared" si="0"/>
        <v>4062.5</v>
      </c>
    </row>
    <row r="31" spans="1:14">
      <c r="A31" t="s">
        <v>101</v>
      </c>
      <c r="B31" t="s">
        <v>100</v>
      </c>
      <c r="C31" t="s">
        <v>99</v>
      </c>
      <c r="D31" t="s">
        <v>62</v>
      </c>
      <c r="E31" s="1">
        <v>48203.998200000002</v>
      </c>
      <c r="F31" s="1">
        <v>3428.3717999999999</v>
      </c>
      <c r="H31" s="1">
        <v>2659.6100000000006</v>
      </c>
      <c r="I31" s="1">
        <v>54291.98</v>
      </c>
      <c r="J31" s="1">
        <v>22377.84</v>
      </c>
      <c r="K31" s="1">
        <v>6516</v>
      </c>
      <c r="L31" s="1">
        <v>311.42</v>
      </c>
      <c r="N31" s="1">
        <f t="shared" si="0"/>
        <v>4207.63</v>
      </c>
    </row>
    <row r="32" spans="1:14">
      <c r="A32" t="s">
        <v>105</v>
      </c>
      <c r="B32" t="s">
        <v>104</v>
      </c>
      <c r="C32" t="s">
        <v>103</v>
      </c>
      <c r="D32" t="s">
        <v>102</v>
      </c>
      <c r="E32" s="1">
        <v>58366.75</v>
      </c>
      <c r="F32" s="1">
        <v>0</v>
      </c>
      <c r="H32" s="1">
        <v>750</v>
      </c>
      <c r="I32" s="1">
        <v>59116.75</v>
      </c>
      <c r="J32" s="1">
        <v>22377.84</v>
      </c>
      <c r="K32" s="1">
        <v>7573</v>
      </c>
      <c r="N32" s="1">
        <f t="shared" si="0"/>
        <v>4581.55</v>
      </c>
    </row>
    <row r="33" spans="1:14">
      <c r="A33" t="s">
        <v>108</v>
      </c>
      <c r="B33" t="s">
        <v>107</v>
      </c>
      <c r="C33" t="s">
        <v>106</v>
      </c>
      <c r="D33" t="s">
        <v>62</v>
      </c>
      <c r="E33" s="1">
        <v>90054.718200000003</v>
      </c>
      <c r="F33" s="1">
        <v>2268.2118</v>
      </c>
      <c r="G33" s="1">
        <v>3966.27</v>
      </c>
      <c r="H33" s="1">
        <v>0</v>
      </c>
      <c r="I33" s="1">
        <v>96289.200000000012</v>
      </c>
      <c r="J33" s="1">
        <v>16880.88</v>
      </c>
      <c r="K33" s="1">
        <v>11536</v>
      </c>
      <c r="N33" s="1">
        <f t="shared" si="0"/>
        <v>7462.41</v>
      </c>
    </row>
    <row r="34" spans="1:14">
      <c r="A34" t="s">
        <v>111</v>
      </c>
      <c r="B34" t="s">
        <v>110</v>
      </c>
      <c r="C34" t="s">
        <v>109</v>
      </c>
      <c r="D34" t="s">
        <v>79</v>
      </c>
      <c r="E34" s="1">
        <v>5289.05</v>
      </c>
      <c r="F34" s="1">
        <v>0</v>
      </c>
      <c r="H34" s="1">
        <v>0</v>
      </c>
      <c r="I34" s="1">
        <v>5289.05</v>
      </c>
      <c r="J34" s="1">
        <v>0</v>
      </c>
      <c r="K34" s="1">
        <v>678</v>
      </c>
      <c r="N34" s="1">
        <f t="shared" si="0"/>
        <v>409.9</v>
      </c>
    </row>
    <row r="35" spans="1:14">
      <c r="A35" t="s">
        <v>114</v>
      </c>
      <c r="B35" t="s">
        <v>113</v>
      </c>
      <c r="C35" t="s">
        <v>112</v>
      </c>
      <c r="D35" t="s">
        <v>62</v>
      </c>
      <c r="E35" s="1">
        <v>76644</v>
      </c>
      <c r="F35" s="1">
        <v>0</v>
      </c>
      <c r="H35" s="1">
        <v>10023.64</v>
      </c>
      <c r="I35" s="1">
        <v>86667.64</v>
      </c>
      <c r="J35" s="1">
        <v>0</v>
      </c>
      <c r="K35" s="1">
        <v>11102</v>
      </c>
      <c r="N35" s="1">
        <f t="shared" si="0"/>
        <v>6716.74</v>
      </c>
    </row>
    <row r="36" spans="1:14">
      <c r="A36" t="s">
        <v>78</v>
      </c>
      <c r="B36" t="s">
        <v>117</v>
      </c>
      <c r="C36" t="s">
        <v>116</v>
      </c>
      <c r="D36" t="s">
        <v>115</v>
      </c>
      <c r="E36" s="1">
        <v>1378.69</v>
      </c>
      <c r="F36" s="1">
        <v>0</v>
      </c>
      <c r="H36" s="1">
        <v>0</v>
      </c>
      <c r="I36" s="1">
        <v>1378.69</v>
      </c>
      <c r="J36" s="1">
        <v>0</v>
      </c>
      <c r="K36" s="1">
        <v>177</v>
      </c>
      <c r="N36" s="1">
        <f t="shared" si="0"/>
        <v>106.85</v>
      </c>
    </row>
    <row r="37" spans="1:14">
      <c r="A37" t="s">
        <v>120</v>
      </c>
      <c r="B37" t="s">
        <v>119</v>
      </c>
      <c r="C37" t="s">
        <v>118</v>
      </c>
      <c r="D37" t="s">
        <v>79</v>
      </c>
      <c r="E37" s="1">
        <v>6543.92</v>
      </c>
      <c r="F37" s="1">
        <v>0</v>
      </c>
      <c r="H37" s="1">
        <v>8999.9</v>
      </c>
      <c r="I37" s="1">
        <v>15543.82</v>
      </c>
      <c r="J37" s="1">
        <v>8510.2800000000007</v>
      </c>
      <c r="K37" s="1">
        <v>1991</v>
      </c>
      <c r="N37" s="1">
        <f t="shared" si="0"/>
        <v>1204.6500000000001</v>
      </c>
    </row>
    <row r="38" spans="1:14">
      <c r="A38" t="s">
        <v>123</v>
      </c>
      <c r="B38" t="s">
        <v>122</v>
      </c>
      <c r="C38" t="s">
        <v>121</v>
      </c>
      <c r="D38" t="s">
        <v>71</v>
      </c>
      <c r="E38" s="1">
        <v>42946.75</v>
      </c>
      <c r="F38" s="1">
        <v>0</v>
      </c>
      <c r="H38" s="1">
        <v>999.96</v>
      </c>
      <c r="I38" s="1">
        <v>43946.71</v>
      </c>
      <c r="J38" s="1">
        <v>22377.84</v>
      </c>
      <c r="K38" s="1">
        <v>5630</v>
      </c>
      <c r="L38" s="1">
        <v>285.61</v>
      </c>
      <c r="N38" s="1">
        <f t="shared" si="0"/>
        <v>3405.87</v>
      </c>
    </row>
    <row r="39" spans="1:14">
      <c r="A39" t="s">
        <v>126</v>
      </c>
      <c r="B39" t="s">
        <v>125</v>
      </c>
      <c r="C39" t="s">
        <v>124</v>
      </c>
      <c r="D39" t="s">
        <v>71</v>
      </c>
      <c r="E39" s="1">
        <v>48111.7817</v>
      </c>
      <c r="F39" s="1">
        <v>518.53830000000005</v>
      </c>
      <c r="H39" s="1">
        <v>999.96</v>
      </c>
      <c r="I39" s="1">
        <v>49630.28</v>
      </c>
      <c r="J39" s="1">
        <v>8510.2800000000007</v>
      </c>
      <c r="K39" s="1">
        <v>6291</v>
      </c>
      <c r="N39" s="1">
        <f t="shared" si="0"/>
        <v>3846.35</v>
      </c>
    </row>
    <row r="40" spans="1:14">
      <c r="A40" t="s">
        <v>128</v>
      </c>
      <c r="B40" t="s">
        <v>127</v>
      </c>
      <c r="C40" t="s">
        <v>46</v>
      </c>
      <c r="D40" t="s">
        <v>12</v>
      </c>
      <c r="E40" s="1">
        <v>56189.78</v>
      </c>
      <c r="F40" s="1">
        <v>0</v>
      </c>
      <c r="H40" s="1">
        <v>0</v>
      </c>
      <c r="I40" s="1">
        <v>56189.78</v>
      </c>
      <c r="J40" s="1">
        <v>8510.2800000000007</v>
      </c>
      <c r="K40" s="1">
        <v>7198</v>
      </c>
      <c r="N40" s="1">
        <f t="shared" si="0"/>
        <v>4354.71</v>
      </c>
    </row>
    <row r="41" spans="1:14">
      <c r="A41" t="s">
        <v>130</v>
      </c>
      <c r="B41" t="s">
        <v>129</v>
      </c>
      <c r="C41" t="s">
        <v>66</v>
      </c>
      <c r="D41" t="s">
        <v>62</v>
      </c>
      <c r="E41" s="1">
        <v>53676.002200000003</v>
      </c>
      <c r="F41" s="1">
        <v>3741.5877999999998</v>
      </c>
      <c r="H41" s="1">
        <v>3889.8499999999985</v>
      </c>
      <c r="I41" s="1">
        <v>61307.44</v>
      </c>
      <c r="J41" s="1">
        <v>16880.88</v>
      </c>
      <c r="K41" s="1">
        <v>7374</v>
      </c>
      <c r="L41" s="1">
        <v>363.26</v>
      </c>
      <c r="N41" s="1">
        <f t="shared" si="0"/>
        <v>4751.33</v>
      </c>
    </row>
    <row r="42" spans="1:14">
      <c r="A42" t="s">
        <v>133</v>
      </c>
      <c r="B42" t="s">
        <v>132</v>
      </c>
      <c r="C42" t="s">
        <v>131</v>
      </c>
      <c r="D42" t="s">
        <v>71</v>
      </c>
      <c r="E42" s="1">
        <v>51360.000999999997</v>
      </c>
      <c r="F42" s="1">
        <v>1273.6590000000001</v>
      </c>
      <c r="G42" s="1">
        <v>3111.23</v>
      </c>
      <c r="H42" s="1">
        <v>1171.0299999999988</v>
      </c>
      <c r="I42" s="1">
        <v>56915.92</v>
      </c>
      <c r="J42" s="1">
        <v>16880.88</v>
      </c>
      <c r="K42" s="1">
        <v>6729</v>
      </c>
      <c r="N42" s="1">
        <f t="shared" si="0"/>
        <v>4410.9799999999996</v>
      </c>
    </row>
    <row r="43" spans="1:14">
      <c r="A43" t="s">
        <v>136</v>
      </c>
      <c r="B43" t="s">
        <v>135</v>
      </c>
      <c r="C43" t="s">
        <v>134</v>
      </c>
      <c r="D43" t="s">
        <v>71</v>
      </c>
      <c r="E43" s="1">
        <v>16550.535500000002</v>
      </c>
      <c r="F43" s="1">
        <v>370.3845</v>
      </c>
      <c r="H43" s="1">
        <v>0</v>
      </c>
      <c r="I43" s="1">
        <v>16920.920000000002</v>
      </c>
      <c r="J43" s="1">
        <v>16880.88</v>
      </c>
      <c r="K43" s="1">
        <v>2120</v>
      </c>
      <c r="N43" s="1">
        <f t="shared" si="0"/>
        <v>1311.37</v>
      </c>
    </row>
    <row r="44" spans="1:14">
      <c r="A44" t="s">
        <v>138</v>
      </c>
      <c r="B44" t="s">
        <v>137</v>
      </c>
      <c r="C44" t="s">
        <v>13</v>
      </c>
      <c r="D44" t="s">
        <v>12</v>
      </c>
      <c r="E44" s="1">
        <v>48647.299200000001</v>
      </c>
      <c r="F44" s="1">
        <v>1075.7408</v>
      </c>
      <c r="H44" s="1">
        <v>750</v>
      </c>
      <c r="I44" s="1">
        <v>50473.04</v>
      </c>
      <c r="J44" s="1">
        <v>8510.2800000000007</v>
      </c>
      <c r="K44" s="1">
        <v>6328</v>
      </c>
      <c r="N44" s="1">
        <f t="shared" si="0"/>
        <v>3911.66</v>
      </c>
    </row>
    <row r="45" spans="1:14">
      <c r="A45" t="s">
        <v>141</v>
      </c>
      <c r="B45" t="s">
        <v>140</v>
      </c>
      <c r="C45" t="s">
        <v>139</v>
      </c>
      <c r="D45" t="s">
        <v>16</v>
      </c>
      <c r="E45" s="1">
        <v>64817.46</v>
      </c>
      <c r="F45" s="1">
        <v>0</v>
      </c>
      <c r="H45" s="1">
        <v>249.96</v>
      </c>
      <c r="I45" s="1">
        <v>65067.42</v>
      </c>
      <c r="J45" s="1">
        <v>8510.2800000000007</v>
      </c>
      <c r="K45" s="1">
        <v>8335</v>
      </c>
      <c r="N45" s="1">
        <f t="shared" si="0"/>
        <v>5042.7299999999996</v>
      </c>
    </row>
    <row r="46" spans="1:14">
      <c r="A46" t="s">
        <v>144</v>
      </c>
      <c r="B46" t="s">
        <v>143</v>
      </c>
      <c r="C46" t="s">
        <v>142</v>
      </c>
      <c r="D46" t="s">
        <v>115</v>
      </c>
      <c r="E46" s="1">
        <v>50803.700000000004</v>
      </c>
      <c r="F46" s="1">
        <v>0</v>
      </c>
      <c r="G46" s="1">
        <v>6451.35</v>
      </c>
      <c r="H46" s="1">
        <v>0</v>
      </c>
      <c r="I46" s="1">
        <v>57255.05</v>
      </c>
      <c r="J46" s="1">
        <v>8510.2800000000007</v>
      </c>
      <c r="K46" s="1">
        <v>6508</v>
      </c>
      <c r="N46" s="1">
        <f t="shared" si="0"/>
        <v>4437.2700000000004</v>
      </c>
    </row>
    <row r="47" spans="1:14">
      <c r="A47" t="s">
        <v>147</v>
      </c>
      <c r="B47" t="s">
        <v>146</v>
      </c>
      <c r="C47" t="s">
        <v>145</v>
      </c>
      <c r="D47" t="s">
        <v>58</v>
      </c>
      <c r="E47" s="1">
        <v>43818.429400000001</v>
      </c>
      <c r="F47" s="1">
        <v>443.25060000000002</v>
      </c>
      <c r="H47" s="1">
        <v>1299.96</v>
      </c>
      <c r="I47" s="1">
        <v>45561.64</v>
      </c>
      <c r="J47" s="1">
        <v>1286.1600000000001</v>
      </c>
      <c r="K47" s="1">
        <v>5780</v>
      </c>
      <c r="L47" s="1">
        <v>296.64999999999998</v>
      </c>
      <c r="N47" s="1">
        <f t="shared" si="0"/>
        <v>3531.03</v>
      </c>
    </row>
    <row r="48" spans="1:14">
      <c r="A48" t="s">
        <v>150</v>
      </c>
      <c r="B48" t="s">
        <v>149</v>
      </c>
      <c r="C48" t="s">
        <v>148</v>
      </c>
      <c r="D48" t="s">
        <v>71</v>
      </c>
      <c r="E48" s="1">
        <v>31217.94</v>
      </c>
      <c r="F48" s="1">
        <v>0</v>
      </c>
      <c r="H48" s="1">
        <v>0</v>
      </c>
      <c r="I48" s="1">
        <v>31217.94</v>
      </c>
      <c r="J48" s="1">
        <v>0</v>
      </c>
      <c r="K48" s="1">
        <v>3999</v>
      </c>
      <c r="N48" s="1">
        <f t="shared" si="0"/>
        <v>2419.39</v>
      </c>
    </row>
    <row r="49" spans="1:14">
      <c r="A49" t="s">
        <v>152</v>
      </c>
      <c r="B49" t="s">
        <v>151</v>
      </c>
      <c r="C49" t="s">
        <v>46</v>
      </c>
      <c r="D49" t="s">
        <v>12</v>
      </c>
      <c r="E49" s="1">
        <v>39998.994599999998</v>
      </c>
      <c r="F49" s="1">
        <v>1199.2854</v>
      </c>
      <c r="H49" s="1">
        <v>750</v>
      </c>
      <c r="I49" s="1">
        <v>41948.28</v>
      </c>
      <c r="J49" s="1">
        <v>22377.84</v>
      </c>
      <c r="K49" s="1">
        <v>5220</v>
      </c>
      <c r="N49" s="1">
        <f t="shared" si="0"/>
        <v>3250.99</v>
      </c>
    </row>
    <row r="50" spans="1:14">
      <c r="A50" t="s">
        <v>155</v>
      </c>
      <c r="B50" t="s">
        <v>154</v>
      </c>
      <c r="C50" t="s">
        <v>153</v>
      </c>
      <c r="D50" t="s">
        <v>62</v>
      </c>
      <c r="E50" s="1">
        <v>105252</v>
      </c>
      <c r="G50" s="1">
        <v>4554.1899999999996</v>
      </c>
      <c r="H50" s="1">
        <v>8472.4499999999971</v>
      </c>
      <c r="I50" s="1">
        <v>118278.64</v>
      </c>
      <c r="J50" s="1">
        <v>16307.64</v>
      </c>
      <c r="K50" s="1">
        <v>14568</v>
      </c>
      <c r="N50" s="1">
        <f t="shared" si="0"/>
        <v>9166.59</v>
      </c>
    </row>
    <row r="51" spans="1:14">
      <c r="A51" t="s">
        <v>157</v>
      </c>
      <c r="B51" t="s">
        <v>156</v>
      </c>
      <c r="C51" t="s">
        <v>99</v>
      </c>
      <c r="D51" t="s">
        <v>62</v>
      </c>
      <c r="E51" s="1">
        <v>47583.235399999998</v>
      </c>
      <c r="F51" s="1">
        <v>2855.4845999999998</v>
      </c>
      <c r="H51" s="1">
        <v>1549.96</v>
      </c>
      <c r="I51" s="1">
        <v>51988.679999999993</v>
      </c>
      <c r="J51" s="1">
        <v>22377.84</v>
      </c>
      <c r="K51" s="1">
        <v>6294</v>
      </c>
      <c r="L51" s="1">
        <v>311.42</v>
      </c>
      <c r="N51" s="1">
        <f t="shared" si="0"/>
        <v>4029.12</v>
      </c>
    </row>
    <row r="52" spans="1:14">
      <c r="A52" t="s">
        <v>160</v>
      </c>
      <c r="B52" t="s">
        <v>159</v>
      </c>
      <c r="C52" t="s">
        <v>158</v>
      </c>
      <c r="D52" t="s">
        <v>58</v>
      </c>
      <c r="E52" s="1">
        <v>87619.39</v>
      </c>
      <c r="F52" s="1">
        <v>0</v>
      </c>
      <c r="G52" s="1">
        <v>1698.56</v>
      </c>
      <c r="H52" s="1">
        <v>305.25</v>
      </c>
      <c r="I52" s="1">
        <v>89623.2</v>
      </c>
      <c r="J52" s="1">
        <v>8510.2800000000007</v>
      </c>
      <c r="K52" s="1">
        <v>11263</v>
      </c>
      <c r="N52" s="1">
        <f t="shared" si="0"/>
        <v>6945.8</v>
      </c>
    </row>
    <row r="53" spans="1:14">
      <c r="A53" t="s">
        <v>162</v>
      </c>
      <c r="B53" t="s">
        <v>161</v>
      </c>
      <c r="C53" t="s">
        <v>13</v>
      </c>
      <c r="D53" t="s">
        <v>12</v>
      </c>
      <c r="E53" s="1">
        <v>26685.35</v>
      </c>
      <c r="F53" s="1">
        <v>0</v>
      </c>
      <c r="H53" s="1">
        <v>0</v>
      </c>
      <c r="I53" s="1">
        <v>26685.35</v>
      </c>
      <c r="J53" s="1">
        <v>0</v>
      </c>
      <c r="K53" s="1">
        <v>3418</v>
      </c>
      <c r="N53" s="1">
        <f t="shared" si="0"/>
        <v>2068.11</v>
      </c>
    </row>
    <row r="54" spans="1:14">
      <c r="A54" t="s">
        <v>164</v>
      </c>
      <c r="B54" t="s">
        <v>163</v>
      </c>
      <c r="C54" t="s">
        <v>93</v>
      </c>
      <c r="D54" t="s">
        <v>71</v>
      </c>
      <c r="E54" s="1">
        <v>43296.002800000002</v>
      </c>
      <c r="F54" s="1">
        <v>3147.3072000000002</v>
      </c>
      <c r="G54" s="1">
        <v>1748.5</v>
      </c>
      <c r="H54" s="1">
        <v>1110.4599999999991</v>
      </c>
      <c r="I54" s="1">
        <v>49302.270000000004</v>
      </c>
      <c r="J54" s="1">
        <v>16880.88</v>
      </c>
      <c r="K54" s="1">
        <v>5688</v>
      </c>
      <c r="N54" s="1">
        <f t="shared" si="0"/>
        <v>3820.93</v>
      </c>
    </row>
    <row r="55" spans="1:14">
      <c r="A55" t="s">
        <v>167</v>
      </c>
      <c r="B55" t="s">
        <v>166</v>
      </c>
      <c r="C55" t="s">
        <v>165</v>
      </c>
      <c r="D55" t="s">
        <v>16</v>
      </c>
      <c r="E55" s="1">
        <v>61558.16</v>
      </c>
      <c r="F55" s="1">
        <v>0</v>
      </c>
      <c r="H55" s="1">
        <v>999.96</v>
      </c>
      <c r="I55" s="1">
        <v>62558.12</v>
      </c>
      <c r="J55" s="1">
        <v>8510.2800000000007</v>
      </c>
      <c r="K55" s="1">
        <v>8014</v>
      </c>
      <c r="N55" s="1">
        <f t="shared" si="0"/>
        <v>4848.25</v>
      </c>
    </row>
    <row r="56" spans="1:14">
      <c r="A56" t="s">
        <v>169</v>
      </c>
      <c r="B56" t="s">
        <v>168</v>
      </c>
      <c r="C56" t="s">
        <v>124</v>
      </c>
      <c r="D56" t="s">
        <v>71</v>
      </c>
      <c r="E56" s="1">
        <v>31721.3089</v>
      </c>
      <c r="F56" s="1">
        <v>212.97110000000001</v>
      </c>
      <c r="H56" s="1">
        <v>208.3</v>
      </c>
      <c r="I56" s="1">
        <v>32142.579999999998</v>
      </c>
      <c r="J56" s="1">
        <v>2104.6799999999998</v>
      </c>
      <c r="K56" s="1">
        <v>4090</v>
      </c>
      <c r="N56" s="1">
        <f t="shared" si="0"/>
        <v>2491.0500000000002</v>
      </c>
    </row>
    <row r="57" spans="1:14">
      <c r="A57" t="s">
        <v>172</v>
      </c>
      <c r="B57" t="s">
        <v>171</v>
      </c>
      <c r="C57" t="s">
        <v>170</v>
      </c>
      <c r="D57" t="s">
        <v>62</v>
      </c>
      <c r="E57" s="1">
        <v>52083.3557</v>
      </c>
      <c r="F57" s="1">
        <v>225.70429999999999</v>
      </c>
      <c r="H57" s="1">
        <v>549.96</v>
      </c>
      <c r="I57" s="1">
        <v>52859.02</v>
      </c>
      <c r="J57" s="1">
        <v>17699.400000000001</v>
      </c>
      <c r="K57" s="1">
        <v>6742</v>
      </c>
      <c r="L57" s="1">
        <v>356.62</v>
      </c>
      <c r="N57" s="1">
        <f t="shared" si="0"/>
        <v>4096.57</v>
      </c>
    </row>
    <row r="58" spans="1:14">
      <c r="A58" t="s">
        <v>175</v>
      </c>
      <c r="B58" t="s">
        <v>174</v>
      </c>
      <c r="C58" t="s">
        <v>173</v>
      </c>
      <c r="D58" t="s">
        <v>62</v>
      </c>
      <c r="E58" s="1">
        <v>46335.450100000002</v>
      </c>
      <c r="F58" s="1">
        <v>1503.6398999999999</v>
      </c>
      <c r="G58" s="1">
        <v>5009.75</v>
      </c>
      <c r="H58" s="1">
        <v>549.96</v>
      </c>
      <c r="I58" s="1">
        <v>53398.8</v>
      </c>
      <c r="J58" s="1">
        <v>16880.88</v>
      </c>
      <c r="K58" s="1">
        <v>6006</v>
      </c>
      <c r="L58" s="1">
        <v>311.38</v>
      </c>
      <c r="N58" s="1">
        <f t="shared" si="0"/>
        <v>4138.41</v>
      </c>
    </row>
    <row r="59" spans="1:14">
      <c r="A59" t="s">
        <v>177</v>
      </c>
      <c r="B59" t="s">
        <v>176</v>
      </c>
      <c r="C59" t="s">
        <v>96</v>
      </c>
      <c r="D59" t="s">
        <v>71</v>
      </c>
      <c r="E59" s="1">
        <v>34779.097500000003</v>
      </c>
      <c r="F59" s="1">
        <v>9520.5825000000004</v>
      </c>
      <c r="H59" s="1">
        <v>500</v>
      </c>
      <c r="I59" s="1">
        <v>44799.680000000008</v>
      </c>
      <c r="J59" s="1">
        <v>8510.2800000000007</v>
      </c>
      <c r="K59" s="1">
        <v>4519</v>
      </c>
      <c r="N59" s="1">
        <f t="shared" si="0"/>
        <v>3471.98</v>
      </c>
    </row>
    <row r="60" spans="1:14">
      <c r="A60" t="s">
        <v>180</v>
      </c>
      <c r="B60" t="s">
        <v>179</v>
      </c>
      <c r="C60" t="s">
        <v>178</v>
      </c>
      <c r="D60" t="s">
        <v>71</v>
      </c>
      <c r="E60" s="1">
        <v>51359.996500000001</v>
      </c>
      <c r="F60" s="1">
        <v>244.45349999999999</v>
      </c>
      <c r="G60" s="1">
        <v>3259.38</v>
      </c>
      <c r="H60" s="1">
        <v>3033.9700000000012</v>
      </c>
      <c r="I60" s="1">
        <v>57897.8</v>
      </c>
      <c r="J60" s="1">
        <v>22377.84</v>
      </c>
      <c r="K60" s="1">
        <v>6968</v>
      </c>
      <c r="N60" s="1">
        <f t="shared" si="0"/>
        <v>4487.08</v>
      </c>
    </row>
    <row r="61" spans="1:14">
      <c r="A61" t="s">
        <v>182</v>
      </c>
      <c r="B61" t="s">
        <v>181</v>
      </c>
      <c r="C61" t="s">
        <v>103</v>
      </c>
      <c r="D61" t="s">
        <v>102</v>
      </c>
      <c r="E61" s="1">
        <v>63557.34</v>
      </c>
      <c r="F61" s="1">
        <v>0</v>
      </c>
      <c r="H61" s="1">
        <v>1500</v>
      </c>
      <c r="I61" s="1">
        <v>65057.34</v>
      </c>
      <c r="J61" s="1">
        <v>16880.88</v>
      </c>
      <c r="K61" s="1">
        <v>8334</v>
      </c>
      <c r="N61" s="1">
        <f t="shared" si="0"/>
        <v>5041.9399999999996</v>
      </c>
    </row>
    <row r="62" spans="1:14">
      <c r="A62" t="s">
        <v>185</v>
      </c>
      <c r="B62" t="s">
        <v>184</v>
      </c>
      <c r="C62" t="s">
        <v>183</v>
      </c>
      <c r="D62" t="s">
        <v>71</v>
      </c>
      <c r="E62" s="1">
        <v>51332.475000000006</v>
      </c>
      <c r="F62" s="1">
        <v>18093.744999999999</v>
      </c>
      <c r="G62" s="1">
        <v>4212.6099999999997</v>
      </c>
      <c r="H62" s="1">
        <v>0</v>
      </c>
      <c r="I62" s="1">
        <v>73638.83</v>
      </c>
      <c r="J62" s="1">
        <v>16880.88</v>
      </c>
      <c r="K62" s="1">
        <v>6576</v>
      </c>
      <c r="N62" s="1">
        <f t="shared" si="0"/>
        <v>5707.01</v>
      </c>
    </row>
    <row r="63" spans="1:14">
      <c r="A63" t="s">
        <v>188</v>
      </c>
      <c r="B63" t="s">
        <v>187</v>
      </c>
      <c r="C63" t="s">
        <v>186</v>
      </c>
      <c r="D63" t="s">
        <v>12</v>
      </c>
      <c r="E63" s="1">
        <v>84770.9</v>
      </c>
      <c r="F63" s="1">
        <v>0</v>
      </c>
      <c r="H63" s="1">
        <v>0</v>
      </c>
      <c r="I63" s="1">
        <v>84770.9</v>
      </c>
      <c r="J63" s="1">
        <v>16880.88</v>
      </c>
      <c r="K63" s="1">
        <v>10859</v>
      </c>
      <c r="N63" s="1">
        <f t="shared" si="0"/>
        <v>6569.74</v>
      </c>
    </row>
    <row r="64" spans="1:14">
      <c r="A64" t="s">
        <v>191</v>
      </c>
      <c r="B64" t="s">
        <v>190</v>
      </c>
      <c r="C64" t="s">
        <v>189</v>
      </c>
      <c r="D64" t="s">
        <v>30</v>
      </c>
      <c r="E64" s="1">
        <v>42321.64</v>
      </c>
      <c r="F64" s="1">
        <v>0</v>
      </c>
      <c r="H64" s="1">
        <v>750</v>
      </c>
      <c r="I64" s="1">
        <v>43071.64</v>
      </c>
      <c r="J64" s="1">
        <v>22377.84</v>
      </c>
      <c r="K64" s="1">
        <v>5517</v>
      </c>
      <c r="N64" s="1">
        <f t="shared" si="0"/>
        <v>3338.05</v>
      </c>
    </row>
    <row r="65" spans="1:14">
      <c r="A65" t="s">
        <v>194</v>
      </c>
      <c r="B65" t="s">
        <v>193</v>
      </c>
      <c r="C65" t="s">
        <v>192</v>
      </c>
      <c r="D65" t="s">
        <v>12</v>
      </c>
      <c r="E65" s="1">
        <v>4722.03</v>
      </c>
      <c r="F65" s="1">
        <v>0</v>
      </c>
      <c r="H65" s="1">
        <v>0</v>
      </c>
      <c r="I65" s="1">
        <v>4722.03</v>
      </c>
      <c r="J65" s="1">
        <v>22377.84</v>
      </c>
      <c r="K65" s="1">
        <v>605</v>
      </c>
      <c r="N65" s="1">
        <f t="shared" si="0"/>
        <v>365.96</v>
      </c>
    </row>
    <row r="66" spans="1:14">
      <c r="A66" t="s">
        <v>197</v>
      </c>
      <c r="B66" t="s">
        <v>196</v>
      </c>
      <c r="C66" t="s">
        <v>195</v>
      </c>
      <c r="D66" t="s">
        <v>62</v>
      </c>
      <c r="E66" s="1">
        <v>51855.729999999996</v>
      </c>
      <c r="F66" s="1">
        <v>0</v>
      </c>
      <c r="G66" s="1">
        <v>1592.66</v>
      </c>
      <c r="H66" s="1">
        <v>549.96</v>
      </c>
      <c r="I66" s="1">
        <v>53998.35</v>
      </c>
      <c r="J66" s="1">
        <v>8510.2800000000007</v>
      </c>
      <c r="K66" s="1">
        <v>6713</v>
      </c>
      <c r="L66" s="1">
        <v>346.54</v>
      </c>
      <c r="N66" s="1">
        <f t="shared" si="0"/>
        <v>4184.87</v>
      </c>
    </row>
    <row r="67" spans="1:14">
      <c r="A67" t="s">
        <v>200</v>
      </c>
      <c r="B67" t="s">
        <v>199</v>
      </c>
      <c r="C67" t="s">
        <v>198</v>
      </c>
      <c r="D67" t="s">
        <v>20</v>
      </c>
      <c r="E67" s="1">
        <v>10285.23</v>
      </c>
      <c r="F67" s="1">
        <v>0</v>
      </c>
      <c r="H67" s="1">
        <v>0</v>
      </c>
      <c r="I67" s="1">
        <v>10285.23</v>
      </c>
      <c r="J67" s="1">
        <v>0</v>
      </c>
      <c r="K67" s="1">
        <v>1318</v>
      </c>
      <c r="N67" s="1">
        <f t="shared" si="0"/>
        <v>797.11</v>
      </c>
    </row>
    <row r="68" spans="1:14">
      <c r="A68" t="s">
        <v>201</v>
      </c>
      <c r="B68" t="s">
        <v>114</v>
      </c>
      <c r="C68" t="s">
        <v>99</v>
      </c>
      <c r="D68" t="s">
        <v>62</v>
      </c>
      <c r="E68" s="1">
        <v>4423.1099999999997</v>
      </c>
      <c r="F68" s="1">
        <v>0</v>
      </c>
      <c r="H68" s="1">
        <v>45.83</v>
      </c>
      <c r="I68" s="1">
        <v>4468.9399999999996</v>
      </c>
      <c r="J68" s="1">
        <v>0</v>
      </c>
      <c r="K68" s="1">
        <v>572</v>
      </c>
      <c r="L68" s="1">
        <v>0</v>
      </c>
      <c r="N68" s="1">
        <f t="shared" ref="N68:N131" si="1">ROUND(+I68*0.0775,2)</f>
        <v>346.34</v>
      </c>
    </row>
    <row r="69" spans="1:14">
      <c r="A69" t="s">
        <v>201</v>
      </c>
      <c r="B69" t="s">
        <v>202</v>
      </c>
      <c r="C69" t="s">
        <v>165</v>
      </c>
      <c r="D69" t="s">
        <v>58</v>
      </c>
      <c r="E69" s="1">
        <v>59291.94000000001</v>
      </c>
      <c r="F69" s="1">
        <v>0</v>
      </c>
      <c r="G69" s="1">
        <v>7537.56</v>
      </c>
      <c r="H69" s="1">
        <v>249.96</v>
      </c>
      <c r="I69" s="1">
        <v>67079.460000000006</v>
      </c>
      <c r="J69" s="1">
        <v>22377.84</v>
      </c>
      <c r="K69" s="1">
        <v>7627</v>
      </c>
      <c r="N69" s="1">
        <f t="shared" si="1"/>
        <v>5198.66</v>
      </c>
    </row>
    <row r="70" spans="1:14">
      <c r="A70" t="s">
        <v>204</v>
      </c>
      <c r="B70" t="s">
        <v>203</v>
      </c>
      <c r="C70" t="s">
        <v>63</v>
      </c>
      <c r="D70" t="s">
        <v>62</v>
      </c>
      <c r="E70" s="1">
        <v>54550.19</v>
      </c>
      <c r="F70" s="1">
        <v>0</v>
      </c>
      <c r="G70" s="1">
        <v>1682.51</v>
      </c>
      <c r="H70" s="1">
        <v>249.96</v>
      </c>
      <c r="I70" s="1">
        <v>56482.66</v>
      </c>
      <c r="J70" s="1">
        <v>16880.88</v>
      </c>
      <c r="K70" s="1">
        <v>7020</v>
      </c>
      <c r="L70" s="1">
        <v>364.36</v>
      </c>
      <c r="N70" s="1">
        <f t="shared" si="1"/>
        <v>4377.41</v>
      </c>
    </row>
    <row r="71" spans="1:14">
      <c r="A71" t="s">
        <v>206</v>
      </c>
      <c r="B71" t="s">
        <v>205</v>
      </c>
      <c r="C71" t="s">
        <v>99</v>
      </c>
      <c r="D71" t="s">
        <v>62</v>
      </c>
      <c r="E71" s="1">
        <v>40442.018400000001</v>
      </c>
      <c r="F71" s="1">
        <v>920.77160000000003</v>
      </c>
      <c r="H71" s="1">
        <v>1299.96</v>
      </c>
      <c r="I71" s="1">
        <v>42662.75</v>
      </c>
      <c r="J71" s="1">
        <v>22377.84</v>
      </c>
      <c r="K71" s="1">
        <v>5347</v>
      </c>
      <c r="L71" s="1">
        <v>296.70999999999998</v>
      </c>
      <c r="N71" s="1">
        <f t="shared" si="1"/>
        <v>3306.36</v>
      </c>
    </row>
    <row r="72" spans="1:14">
      <c r="A72" t="s">
        <v>209</v>
      </c>
      <c r="B72" t="s">
        <v>208</v>
      </c>
      <c r="C72" t="s">
        <v>207</v>
      </c>
      <c r="D72" t="s">
        <v>58</v>
      </c>
      <c r="E72" s="1">
        <v>53834.01</v>
      </c>
      <c r="F72" s="1">
        <v>0</v>
      </c>
      <c r="H72" s="1">
        <v>750</v>
      </c>
      <c r="I72" s="1">
        <v>54584.01</v>
      </c>
      <c r="J72" s="1">
        <v>22377.84</v>
      </c>
      <c r="K72" s="1">
        <v>6992</v>
      </c>
      <c r="N72" s="1">
        <f t="shared" si="1"/>
        <v>4230.26</v>
      </c>
    </row>
    <row r="73" spans="1:14">
      <c r="A73" t="s">
        <v>147</v>
      </c>
      <c r="B73" t="s">
        <v>210</v>
      </c>
      <c r="C73" t="s">
        <v>142</v>
      </c>
      <c r="D73" t="s">
        <v>30</v>
      </c>
      <c r="E73" s="1">
        <v>49789.29</v>
      </c>
      <c r="F73" s="1">
        <v>0</v>
      </c>
      <c r="H73" s="1">
        <v>0</v>
      </c>
      <c r="I73" s="1">
        <v>49789.29</v>
      </c>
      <c r="J73" s="1">
        <v>16880.88</v>
      </c>
      <c r="K73" s="1">
        <v>6378</v>
      </c>
      <c r="N73" s="1">
        <f t="shared" si="1"/>
        <v>3858.67</v>
      </c>
    </row>
    <row r="74" spans="1:14">
      <c r="A74" t="s">
        <v>213</v>
      </c>
      <c r="B74" t="s">
        <v>212</v>
      </c>
      <c r="C74" t="s">
        <v>211</v>
      </c>
      <c r="D74" t="s">
        <v>58</v>
      </c>
      <c r="E74" s="1">
        <v>159049.17000000001</v>
      </c>
      <c r="F74" s="1">
        <v>0</v>
      </c>
      <c r="H74" s="1">
        <v>9000</v>
      </c>
      <c r="I74" s="1">
        <v>168049.17</v>
      </c>
      <c r="J74" s="1">
        <v>22916.04</v>
      </c>
      <c r="K74" s="1">
        <v>21527</v>
      </c>
      <c r="M74" s="1">
        <v>16999.84</v>
      </c>
      <c r="N74" s="1">
        <f t="shared" si="1"/>
        <v>13023.81</v>
      </c>
    </row>
    <row r="75" spans="1:14">
      <c r="A75" t="s">
        <v>216</v>
      </c>
      <c r="B75" t="s">
        <v>215</v>
      </c>
      <c r="C75" t="s">
        <v>214</v>
      </c>
      <c r="D75" t="s">
        <v>20</v>
      </c>
      <c r="E75" s="1">
        <v>143947.47</v>
      </c>
      <c r="F75" s="1">
        <v>0</v>
      </c>
      <c r="H75" s="1">
        <v>13264.48</v>
      </c>
      <c r="I75" s="1">
        <v>157211.95000000001</v>
      </c>
      <c r="J75" s="1">
        <v>22377.84</v>
      </c>
      <c r="K75" s="1">
        <v>20139</v>
      </c>
      <c r="M75" s="1">
        <v>3514.48</v>
      </c>
      <c r="N75" s="1">
        <f t="shared" si="1"/>
        <v>12183.93</v>
      </c>
    </row>
    <row r="76" spans="1:14">
      <c r="A76" t="s">
        <v>219</v>
      </c>
      <c r="B76" t="s">
        <v>218</v>
      </c>
      <c r="C76" t="s">
        <v>217</v>
      </c>
      <c r="D76" t="s">
        <v>30</v>
      </c>
      <c r="E76" s="1">
        <v>109968</v>
      </c>
      <c r="F76" s="1">
        <v>0</v>
      </c>
      <c r="G76" s="1">
        <v>7142.97</v>
      </c>
      <c r="H76" s="1">
        <v>4644.3600000000006</v>
      </c>
      <c r="I76" s="1">
        <v>121755.33</v>
      </c>
      <c r="J76" s="1">
        <v>22377.84</v>
      </c>
      <c r="K76" s="1">
        <v>14682</v>
      </c>
      <c r="N76" s="1">
        <f t="shared" si="1"/>
        <v>9436.0400000000009</v>
      </c>
    </row>
    <row r="77" spans="1:14">
      <c r="A77" t="s">
        <v>221</v>
      </c>
      <c r="B77" t="s">
        <v>220</v>
      </c>
      <c r="C77" t="s">
        <v>49</v>
      </c>
      <c r="D77" t="s">
        <v>12</v>
      </c>
      <c r="E77" s="1">
        <v>35123.33</v>
      </c>
      <c r="F77" s="1">
        <v>0</v>
      </c>
      <c r="H77" s="1">
        <v>750</v>
      </c>
      <c r="I77" s="1">
        <v>35873.33</v>
      </c>
      <c r="J77" s="1">
        <v>8510.2800000000007</v>
      </c>
      <c r="K77" s="1">
        <v>4595</v>
      </c>
      <c r="N77" s="1">
        <f t="shared" si="1"/>
        <v>2780.18</v>
      </c>
    </row>
    <row r="78" spans="1:14">
      <c r="A78" t="s">
        <v>223</v>
      </c>
      <c r="B78" t="s">
        <v>222</v>
      </c>
      <c r="C78" t="s">
        <v>99</v>
      </c>
      <c r="D78" t="s">
        <v>62</v>
      </c>
      <c r="E78" s="1">
        <v>41894.675799999997</v>
      </c>
      <c r="F78" s="1">
        <v>925.70420000000001</v>
      </c>
      <c r="H78" s="1">
        <v>1299.96</v>
      </c>
      <c r="I78" s="1">
        <v>44120.34</v>
      </c>
      <c r="J78" s="1">
        <v>16880.88</v>
      </c>
      <c r="K78" s="1">
        <v>5533</v>
      </c>
      <c r="L78" s="1">
        <v>282.7</v>
      </c>
      <c r="N78" s="1">
        <f t="shared" si="1"/>
        <v>3419.33</v>
      </c>
    </row>
    <row r="79" spans="1:14">
      <c r="A79" t="s">
        <v>226</v>
      </c>
      <c r="B79" t="s">
        <v>225</v>
      </c>
      <c r="C79" t="s">
        <v>224</v>
      </c>
      <c r="D79" t="s">
        <v>102</v>
      </c>
      <c r="E79" s="1">
        <v>11886.02</v>
      </c>
      <c r="F79" s="1">
        <v>0</v>
      </c>
      <c r="H79" s="1">
        <v>0</v>
      </c>
      <c r="I79" s="1">
        <v>11886.02</v>
      </c>
      <c r="J79" s="1">
        <v>0</v>
      </c>
      <c r="K79" s="1">
        <v>1523</v>
      </c>
      <c r="N79" s="1">
        <f t="shared" si="1"/>
        <v>921.17</v>
      </c>
    </row>
    <row r="80" spans="1:14">
      <c r="A80" t="s">
        <v>229</v>
      </c>
      <c r="B80" t="s">
        <v>228</v>
      </c>
      <c r="C80" t="s">
        <v>227</v>
      </c>
      <c r="D80" t="s">
        <v>115</v>
      </c>
      <c r="E80" s="1">
        <v>66844.914999999994</v>
      </c>
      <c r="F80" s="1">
        <v>1017.765</v>
      </c>
      <c r="H80" s="1">
        <v>249.96</v>
      </c>
      <c r="I80" s="1">
        <v>68112.639999999999</v>
      </c>
      <c r="J80" s="1">
        <v>22377.84</v>
      </c>
      <c r="K80" s="1">
        <v>8595</v>
      </c>
      <c r="N80" s="1">
        <f t="shared" si="1"/>
        <v>5278.73</v>
      </c>
    </row>
    <row r="81" spans="1:14">
      <c r="A81" t="s">
        <v>232</v>
      </c>
      <c r="B81" t="s">
        <v>231</v>
      </c>
      <c r="C81" t="s">
        <v>230</v>
      </c>
      <c r="D81" t="s">
        <v>71</v>
      </c>
      <c r="E81" s="1">
        <v>85319.999999999985</v>
      </c>
      <c r="F81" s="1">
        <v>0</v>
      </c>
      <c r="G81" s="1">
        <v>11411.13</v>
      </c>
      <c r="H81" s="1">
        <v>4729.7400000000052</v>
      </c>
      <c r="I81" s="1">
        <v>101460.87</v>
      </c>
      <c r="J81" s="1">
        <v>21559.32</v>
      </c>
      <c r="K81" s="1">
        <v>11535</v>
      </c>
      <c r="N81" s="1">
        <f t="shared" si="1"/>
        <v>7863.22</v>
      </c>
    </row>
    <row r="82" spans="1:14">
      <c r="A82" t="s">
        <v>235</v>
      </c>
      <c r="B82" t="s">
        <v>234</v>
      </c>
      <c r="C82" t="s">
        <v>233</v>
      </c>
      <c r="D82" t="s">
        <v>71</v>
      </c>
      <c r="E82" s="1">
        <v>72869.240000000005</v>
      </c>
      <c r="F82" s="1">
        <v>0</v>
      </c>
      <c r="G82" s="1">
        <v>5638.03</v>
      </c>
      <c r="H82" s="1">
        <v>750</v>
      </c>
      <c r="I82" s="1">
        <v>79257.27</v>
      </c>
      <c r="J82" s="1">
        <v>16880.88</v>
      </c>
      <c r="K82" s="1">
        <v>9431</v>
      </c>
      <c r="N82" s="1">
        <f t="shared" si="1"/>
        <v>6142.44</v>
      </c>
    </row>
    <row r="83" spans="1:14">
      <c r="A83" t="s">
        <v>237</v>
      </c>
      <c r="B83" t="s">
        <v>236</v>
      </c>
      <c r="C83" t="s">
        <v>124</v>
      </c>
      <c r="D83" t="s">
        <v>71</v>
      </c>
      <c r="E83" s="1">
        <v>43544.635399999999</v>
      </c>
      <c r="F83" s="1">
        <v>129.63460000000001</v>
      </c>
      <c r="H83" s="1">
        <v>999.96</v>
      </c>
      <c r="I83" s="1">
        <v>44674.229999999996</v>
      </c>
      <c r="J83" s="1">
        <v>9083.52</v>
      </c>
      <c r="K83" s="1">
        <v>5706</v>
      </c>
      <c r="N83" s="1">
        <f t="shared" si="1"/>
        <v>3462.25</v>
      </c>
    </row>
    <row r="84" spans="1:14">
      <c r="A84" t="s">
        <v>240</v>
      </c>
      <c r="B84" t="s">
        <v>239</v>
      </c>
      <c r="C84" t="s">
        <v>238</v>
      </c>
      <c r="D84" t="s">
        <v>71</v>
      </c>
      <c r="E84" s="1">
        <v>53344.160799999998</v>
      </c>
      <c r="F84" s="1">
        <v>3569.7392</v>
      </c>
      <c r="H84" s="1">
        <v>750</v>
      </c>
      <c r="I84" s="1">
        <v>57663.899999999994</v>
      </c>
      <c r="J84" s="1">
        <v>8510.2800000000007</v>
      </c>
      <c r="K84" s="1">
        <v>6929</v>
      </c>
      <c r="N84" s="1">
        <f t="shared" si="1"/>
        <v>4468.95</v>
      </c>
    </row>
    <row r="85" spans="1:14">
      <c r="A85" t="s">
        <v>243</v>
      </c>
      <c r="B85" t="s">
        <v>242</v>
      </c>
      <c r="C85" t="s">
        <v>241</v>
      </c>
      <c r="D85" t="s">
        <v>12</v>
      </c>
      <c r="E85" s="1">
        <v>42236.07</v>
      </c>
      <c r="F85" s="1">
        <v>0</v>
      </c>
      <c r="G85" s="1">
        <v>1488.49</v>
      </c>
      <c r="H85" s="1">
        <v>0</v>
      </c>
      <c r="I85" s="1">
        <v>43724.56</v>
      </c>
      <c r="J85" s="1">
        <v>8510.2800000000007</v>
      </c>
      <c r="K85" s="1">
        <v>5410</v>
      </c>
      <c r="N85" s="1">
        <f t="shared" si="1"/>
        <v>3388.65</v>
      </c>
    </row>
    <row r="86" spans="1:14">
      <c r="A86" t="s">
        <v>245</v>
      </c>
      <c r="B86" t="s">
        <v>244</v>
      </c>
      <c r="C86" t="s">
        <v>227</v>
      </c>
      <c r="D86" t="s">
        <v>115</v>
      </c>
      <c r="E86" s="1">
        <v>65928.746799999994</v>
      </c>
      <c r="F86" s="1">
        <v>373.59320000000002</v>
      </c>
      <c r="H86" s="1">
        <v>1249.96</v>
      </c>
      <c r="I86" s="1">
        <v>67552.3</v>
      </c>
      <c r="J86" s="1">
        <v>22377.84</v>
      </c>
      <c r="K86" s="1">
        <v>8606</v>
      </c>
      <c r="N86" s="1">
        <f t="shared" si="1"/>
        <v>5235.3</v>
      </c>
    </row>
    <row r="87" spans="1:14">
      <c r="A87" t="s">
        <v>247</v>
      </c>
      <c r="B87" t="s">
        <v>246</v>
      </c>
      <c r="C87" t="s">
        <v>99</v>
      </c>
      <c r="D87" t="s">
        <v>62</v>
      </c>
      <c r="E87" s="1">
        <v>37735.113600000004</v>
      </c>
      <c r="F87" s="1">
        <v>117.8364</v>
      </c>
      <c r="H87" s="1">
        <v>1549.96</v>
      </c>
      <c r="I87" s="1">
        <v>39402.910000000003</v>
      </c>
      <c r="J87" s="1">
        <v>8510.2800000000007</v>
      </c>
      <c r="K87" s="1">
        <v>5032</v>
      </c>
      <c r="L87" s="1">
        <v>137.28</v>
      </c>
      <c r="N87" s="1">
        <f t="shared" si="1"/>
        <v>3053.73</v>
      </c>
    </row>
    <row r="88" spans="1:14">
      <c r="A88" t="s">
        <v>250</v>
      </c>
      <c r="B88" t="s">
        <v>249</v>
      </c>
      <c r="C88" t="s">
        <v>248</v>
      </c>
      <c r="D88" t="s">
        <v>62</v>
      </c>
      <c r="E88" s="1">
        <v>46949.48</v>
      </c>
      <c r="F88" s="1">
        <v>0</v>
      </c>
      <c r="H88" s="1">
        <v>999.96</v>
      </c>
      <c r="I88" s="1">
        <v>47949.440000000002</v>
      </c>
      <c r="J88" s="1">
        <v>22377.84</v>
      </c>
      <c r="K88" s="1">
        <v>6142</v>
      </c>
      <c r="L88" s="1">
        <v>330.55</v>
      </c>
      <c r="N88" s="1">
        <f t="shared" si="1"/>
        <v>3716.08</v>
      </c>
    </row>
    <row r="89" spans="1:14">
      <c r="A89" t="s">
        <v>253</v>
      </c>
      <c r="B89" t="s">
        <v>252</v>
      </c>
      <c r="C89" t="s">
        <v>251</v>
      </c>
      <c r="D89" t="s">
        <v>16</v>
      </c>
      <c r="E89" s="1">
        <v>45047.899999999994</v>
      </c>
      <c r="F89" s="1">
        <v>0</v>
      </c>
      <c r="G89" s="1">
        <v>1383.69</v>
      </c>
      <c r="H89" s="1">
        <v>750</v>
      </c>
      <c r="I89" s="1">
        <v>47181.59</v>
      </c>
      <c r="J89" s="1">
        <v>22377.84</v>
      </c>
      <c r="K89" s="1">
        <v>5867</v>
      </c>
      <c r="N89" s="1">
        <f t="shared" si="1"/>
        <v>3656.57</v>
      </c>
    </row>
    <row r="90" spans="1:14">
      <c r="A90" t="s">
        <v>255</v>
      </c>
      <c r="B90" t="s">
        <v>254</v>
      </c>
      <c r="C90" t="s">
        <v>96</v>
      </c>
      <c r="D90" t="s">
        <v>71</v>
      </c>
      <c r="E90" s="1">
        <v>36546.830999999998</v>
      </c>
      <c r="F90" s="1">
        <v>6639.549</v>
      </c>
      <c r="H90" s="1">
        <v>0</v>
      </c>
      <c r="I90" s="1">
        <v>43186.38</v>
      </c>
      <c r="J90" s="1">
        <v>8510.2800000000007</v>
      </c>
      <c r="K90" s="1">
        <v>4682</v>
      </c>
      <c r="N90" s="1">
        <f t="shared" si="1"/>
        <v>3346.94</v>
      </c>
    </row>
    <row r="91" spans="1:14">
      <c r="A91" t="s">
        <v>257</v>
      </c>
      <c r="B91" t="s">
        <v>256</v>
      </c>
      <c r="C91" t="s">
        <v>195</v>
      </c>
      <c r="D91" t="s">
        <v>62</v>
      </c>
      <c r="E91" s="1">
        <v>51914.720000000001</v>
      </c>
      <c r="F91" s="1">
        <v>0</v>
      </c>
      <c r="G91" s="1">
        <v>3187.45</v>
      </c>
      <c r="H91" s="1">
        <v>549.96</v>
      </c>
      <c r="I91" s="1">
        <v>55652.13</v>
      </c>
      <c r="J91" s="1">
        <v>22377.84</v>
      </c>
      <c r="K91" s="1">
        <v>6721</v>
      </c>
      <c r="L91" s="1">
        <v>346.54</v>
      </c>
      <c r="N91" s="1">
        <f t="shared" si="1"/>
        <v>4313.04</v>
      </c>
    </row>
    <row r="92" spans="1:14">
      <c r="A92" t="s">
        <v>259</v>
      </c>
      <c r="B92" t="s">
        <v>258</v>
      </c>
      <c r="C92" t="s">
        <v>37</v>
      </c>
      <c r="D92" t="s">
        <v>20</v>
      </c>
      <c r="E92" s="1">
        <v>47461.19</v>
      </c>
      <c r="F92" s="1">
        <v>0</v>
      </c>
      <c r="G92" s="1">
        <v>3937</v>
      </c>
      <c r="H92" s="1">
        <v>750</v>
      </c>
      <c r="I92" s="1">
        <v>52148.19</v>
      </c>
      <c r="J92" s="1">
        <v>16880.88</v>
      </c>
      <c r="K92" s="1">
        <v>6176</v>
      </c>
      <c r="N92" s="1">
        <f t="shared" si="1"/>
        <v>4041.48</v>
      </c>
    </row>
    <row r="93" spans="1:14">
      <c r="A93" t="s">
        <v>45</v>
      </c>
      <c r="B93" t="s">
        <v>261</v>
      </c>
      <c r="C93" t="s">
        <v>260</v>
      </c>
      <c r="D93" t="s">
        <v>58</v>
      </c>
      <c r="E93" s="1">
        <v>46360.106200000002</v>
      </c>
      <c r="F93" s="1">
        <v>148.15379999999999</v>
      </c>
      <c r="H93" s="1">
        <v>1299.96</v>
      </c>
      <c r="I93" s="1">
        <v>47808.22</v>
      </c>
      <c r="J93" s="1">
        <v>16880.88</v>
      </c>
      <c r="K93" s="1">
        <v>6105</v>
      </c>
      <c r="L93" s="1">
        <v>322.07</v>
      </c>
      <c r="N93" s="1">
        <f t="shared" si="1"/>
        <v>3705.14</v>
      </c>
    </row>
    <row r="94" spans="1:14">
      <c r="A94" t="s">
        <v>264</v>
      </c>
      <c r="B94" t="s">
        <v>263</v>
      </c>
      <c r="C94" t="s">
        <v>262</v>
      </c>
      <c r="D94" t="s">
        <v>79</v>
      </c>
      <c r="E94" s="1">
        <v>56839.0481</v>
      </c>
      <c r="F94" s="1">
        <v>1900.2819</v>
      </c>
      <c r="H94" s="1">
        <v>4589.9399999999996</v>
      </c>
      <c r="I94" s="1">
        <v>63329.270000000004</v>
      </c>
      <c r="J94" s="1">
        <v>8510.2800000000007</v>
      </c>
      <c r="K94" s="1">
        <v>7869</v>
      </c>
      <c r="N94" s="1">
        <f t="shared" si="1"/>
        <v>4908.0200000000004</v>
      </c>
    </row>
    <row r="95" spans="1:14">
      <c r="A95" t="s">
        <v>267</v>
      </c>
      <c r="B95" t="s">
        <v>266</v>
      </c>
      <c r="C95" t="s">
        <v>265</v>
      </c>
      <c r="D95" t="s">
        <v>79</v>
      </c>
      <c r="E95" s="1">
        <v>18722.97</v>
      </c>
      <c r="F95" s="1">
        <v>0</v>
      </c>
      <c r="H95" s="1">
        <v>0</v>
      </c>
      <c r="I95" s="1">
        <v>18722.97</v>
      </c>
      <c r="J95" s="1">
        <v>0</v>
      </c>
      <c r="K95" s="1">
        <v>2398</v>
      </c>
      <c r="N95" s="1">
        <f t="shared" si="1"/>
        <v>1451.03</v>
      </c>
    </row>
    <row r="96" spans="1:14">
      <c r="A96" t="s">
        <v>270</v>
      </c>
      <c r="B96" t="s">
        <v>269</v>
      </c>
      <c r="C96" t="s">
        <v>268</v>
      </c>
      <c r="D96" t="s">
        <v>62</v>
      </c>
      <c r="E96" s="1">
        <v>65648.87920000001</v>
      </c>
      <c r="F96" s="1">
        <v>199.54079999999999</v>
      </c>
      <c r="G96" s="1">
        <v>3325.68</v>
      </c>
      <c r="H96" s="1">
        <v>0</v>
      </c>
      <c r="I96" s="1">
        <v>69174.100000000006</v>
      </c>
      <c r="J96" s="1">
        <v>8510.2800000000007</v>
      </c>
      <c r="K96" s="1">
        <v>8410</v>
      </c>
      <c r="N96" s="1">
        <f t="shared" si="1"/>
        <v>5360.99</v>
      </c>
    </row>
    <row r="97" spans="1:14">
      <c r="A97" t="s">
        <v>273</v>
      </c>
      <c r="B97" t="s">
        <v>272</v>
      </c>
      <c r="C97" t="s">
        <v>271</v>
      </c>
      <c r="D97" t="s">
        <v>30</v>
      </c>
      <c r="E97" s="1">
        <v>98178.82</v>
      </c>
      <c r="F97" s="1">
        <v>0</v>
      </c>
      <c r="H97" s="1">
        <v>1000</v>
      </c>
      <c r="I97" s="1">
        <v>99178.82</v>
      </c>
      <c r="J97" s="1">
        <v>22377.84</v>
      </c>
      <c r="K97" s="1">
        <v>12705</v>
      </c>
      <c r="N97" s="1">
        <f t="shared" si="1"/>
        <v>7686.36</v>
      </c>
    </row>
    <row r="98" spans="1:14">
      <c r="A98" t="s">
        <v>223</v>
      </c>
      <c r="B98" t="s">
        <v>274</v>
      </c>
      <c r="C98" t="s">
        <v>13</v>
      </c>
      <c r="D98" t="s">
        <v>12</v>
      </c>
      <c r="E98" s="1">
        <v>30296.799999999999</v>
      </c>
      <c r="F98" s="1">
        <v>0</v>
      </c>
      <c r="H98" s="1">
        <v>0</v>
      </c>
      <c r="I98" s="1">
        <v>30296.799999999999</v>
      </c>
      <c r="J98" s="1">
        <v>16880.88</v>
      </c>
      <c r="K98" s="1">
        <v>3881</v>
      </c>
      <c r="N98" s="1">
        <f t="shared" si="1"/>
        <v>2348</v>
      </c>
    </row>
    <row r="99" spans="1:14">
      <c r="A99" t="s">
        <v>276</v>
      </c>
      <c r="B99" t="s">
        <v>275</v>
      </c>
      <c r="C99" t="s">
        <v>173</v>
      </c>
      <c r="D99" t="s">
        <v>62</v>
      </c>
      <c r="E99" s="1">
        <v>39329.599999999999</v>
      </c>
      <c r="F99" s="1">
        <v>0</v>
      </c>
      <c r="H99" s="1">
        <v>549.96</v>
      </c>
      <c r="I99" s="1">
        <v>39879.56</v>
      </c>
      <c r="J99" s="1">
        <v>22377.84</v>
      </c>
      <c r="K99" s="1">
        <v>5109</v>
      </c>
      <c r="L99" s="1">
        <v>296.64999999999998</v>
      </c>
      <c r="N99" s="1">
        <f t="shared" si="1"/>
        <v>3090.67</v>
      </c>
    </row>
    <row r="100" spans="1:14">
      <c r="A100" t="s">
        <v>278</v>
      </c>
      <c r="B100" t="s">
        <v>277</v>
      </c>
      <c r="C100" t="s">
        <v>96</v>
      </c>
      <c r="D100" t="s">
        <v>71</v>
      </c>
      <c r="E100" s="1">
        <v>43295.999000000003</v>
      </c>
      <c r="F100" s="1">
        <v>3151.4110000000001</v>
      </c>
      <c r="H100" s="1">
        <v>1111.5299999999988</v>
      </c>
      <c r="I100" s="1">
        <v>47558.94</v>
      </c>
      <c r="J100" s="1">
        <v>22377.84</v>
      </c>
      <c r="K100" s="1">
        <v>5689</v>
      </c>
      <c r="N100" s="1">
        <f t="shared" si="1"/>
        <v>3685.82</v>
      </c>
    </row>
    <row r="101" spans="1:14">
      <c r="A101" t="s">
        <v>280</v>
      </c>
      <c r="B101" t="s">
        <v>279</v>
      </c>
      <c r="C101" t="s">
        <v>99</v>
      </c>
      <c r="D101" t="s">
        <v>62</v>
      </c>
      <c r="E101" s="1">
        <v>38973.444499999998</v>
      </c>
      <c r="F101" s="1">
        <v>35.805500000000002</v>
      </c>
      <c r="G101" s="1">
        <v>1909.62</v>
      </c>
      <c r="H101" s="1">
        <v>549.96</v>
      </c>
      <c r="I101" s="1">
        <v>41468.83</v>
      </c>
      <c r="J101" s="1">
        <v>8510.2800000000007</v>
      </c>
      <c r="K101" s="1">
        <v>5063</v>
      </c>
      <c r="L101" s="1">
        <v>311.42</v>
      </c>
      <c r="N101" s="1">
        <f t="shared" si="1"/>
        <v>3213.83</v>
      </c>
    </row>
    <row r="102" spans="1:14">
      <c r="A102" t="s">
        <v>283</v>
      </c>
      <c r="B102" t="s">
        <v>282</v>
      </c>
      <c r="C102" t="s">
        <v>281</v>
      </c>
      <c r="D102" t="s">
        <v>16</v>
      </c>
      <c r="E102" s="1">
        <v>50716.77</v>
      </c>
      <c r="F102" s="1">
        <v>0</v>
      </c>
      <c r="H102" s="1">
        <v>750</v>
      </c>
      <c r="I102" s="1">
        <v>51466.77</v>
      </c>
      <c r="J102" s="1">
        <v>8510.2800000000007</v>
      </c>
      <c r="K102" s="1">
        <v>6593</v>
      </c>
      <c r="N102" s="1">
        <f t="shared" si="1"/>
        <v>3988.67</v>
      </c>
    </row>
    <row r="103" spans="1:14">
      <c r="A103" t="s">
        <v>285</v>
      </c>
      <c r="B103" t="s">
        <v>284</v>
      </c>
      <c r="C103" t="s">
        <v>192</v>
      </c>
      <c r="D103" t="s">
        <v>12</v>
      </c>
      <c r="E103" s="1">
        <v>24059.8</v>
      </c>
      <c r="F103" s="1">
        <v>0</v>
      </c>
      <c r="H103" s="1">
        <v>0</v>
      </c>
      <c r="I103" s="1">
        <v>24059.8</v>
      </c>
      <c r="J103" s="1">
        <v>8510.2800000000007</v>
      </c>
      <c r="K103" s="1">
        <v>3082</v>
      </c>
      <c r="N103" s="1">
        <f t="shared" si="1"/>
        <v>1864.63</v>
      </c>
    </row>
    <row r="104" spans="1:14">
      <c r="A104" t="s">
        <v>288</v>
      </c>
      <c r="B104" t="s">
        <v>287</v>
      </c>
      <c r="C104" t="s">
        <v>286</v>
      </c>
      <c r="D104" t="s">
        <v>27</v>
      </c>
      <c r="E104" s="1">
        <v>27527.52</v>
      </c>
      <c r="F104" s="1">
        <v>0</v>
      </c>
      <c r="H104" s="1">
        <v>3400.06</v>
      </c>
      <c r="I104" s="1">
        <v>30927.58</v>
      </c>
      <c r="J104" s="1">
        <v>22377.84</v>
      </c>
      <c r="K104" s="1">
        <v>3962</v>
      </c>
      <c r="N104" s="1">
        <f t="shared" si="1"/>
        <v>2396.89</v>
      </c>
    </row>
    <row r="105" spans="1:14">
      <c r="A105" t="s">
        <v>290</v>
      </c>
      <c r="B105" t="s">
        <v>289</v>
      </c>
      <c r="C105" t="s">
        <v>124</v>
      </c>
      <c r="D105" t="s">
        <v>71</v>
      </c>
      <c r="E105" s="1">
        <v>49394.988400000002</v>
      </c>
      <c r="F105" s="1">
        <v>456.96159999999998</v>
      </c>
      <c r="H105" s="1">
        <v>249.96</v>
      </c>
      <c r="I105" s="1">
        <v>50101.91</v>
      </c>
      <c r="J105" s="1">
        <v>8510.2800000000007</v>
      </c>
      <c r="K105" s="1">
        <v>6360</v>
      </c>
      <c r="N105" s="1">
        <f t="shared" si="1"/>
        <v>3882.9</v>
      </c>
    </row>
    <row r="106" spans="1:14">
      <c r="A106" t="s">
        <v>292</v>
      </c>
      <c r="B106" t="s">
        <v>291</v>
      </c>
      <c r="C106" t="s">
        <v>118</v>
      </c>
      <c r="D106" t="s">
        <v>79</v>
      </c>
      <c r="E106" s="1">
        <v>6473.92</v>
      </c>
      <c r="F106" s="1">
        <v>0</v>
      </c>
      <c r="H106" s="1">
        <v>8999.9</v>
      </c>
      <c r="I106" s="1">
        <v>15473.82</v>
      </c>
      <c r="J106" s="1">
        <v>8510.2800000000007</v>
      </c>
      <c r="K106" s="1">
        <v>1982</v>
      </c>
      <c r="N106" s="1">
        <f t="shared" si="1"/>
        <v>1199.22</v>
      </c>
    </row>
    <row r="107" spans="1:14">
      <c r="A107" t="s">
        <v>295</v>
      </c>
      <c r="B107" t="s">
        <v>294</v>
      </c>
      <c r="C107" t="s">
        <v>293</v>
      </c>
      <c r="D107" t="s">
        <v>71</v>
      </c>
      <c r="E107" s="1">
        <v>46440.700000000004</v>
      </c>
      <c r="F107" s="1">
        <v>0</v>
      </c>
      <c r="H107" s="1">
        <v>249.96</v>
      </c>
      <c r="I107" s="1">
        <v>46690.66</v>
      </c>
      <c r="J107" s="1">
        <v>22377.84</v>
      </c>
      <c r="K107" s="1">
        <v>5981</v>
      </c>
      <c r="L107" s="1">
        <v>308.77</v>
      </c>
      <c r="N107" s="1">
        <f t="shared" si="1"/>
        <v>3618.53</v>
      </c>
    </row>
    <row r="108" spans="1:14">
      <c r="A108" t="s">
        <v>298</v>
      </c>
      <c r="B108" t="s">
        <v>297</v>
      </c>
      <c r="C108" t="s">
        <v>296</v>
      </c>
      <c r="D108" t="s">
        <v>62</v>
      </c>
      <c r="E108" s="1">
        <v>68673.72</v>
      </c>
      <c r="F108" s="1">
        <v>0</v>
      </c>
      <c r="G108" s="1">
        <v>2780.31</v>
      </c>
      <c r="H108" s="1">
        <v>750</v>
      </c>
      <c r="I108" s="1">
        <v>72204.03</v>
      </c>
      <c r="J108" s="1">
        <v>22377.84</v>
      </c>
      <c r="K108" s="1">
        <v>8893</v>
      </c>
      <c r="N108" s="1">
        <f t="shared" si="1"/>
        <v>5595.81</v>
      </c>
    </row>
    <row r="109" spans="1:14">
      <c r="A109" t="s">
        <v>301</v>
      </c>
      <c r="B109" t="s">
        <v>300</v>
      </c>
      <c r="C109" t="s">
        <v>299</v>
      </c>
      <c r="D109" t="s">
        <v>79</v>
      </c>
      <c r="E109" s="1">
        <v>73822.76999999999</v>
      </c>
      <c r="F109" s="1">
        <v>0</v>
      </c>
      <c r="H109" s="1">
        <v>3260.82</v>
      </c>
      <c r="I109" s="1">
        <v>77083.59</v>
      </c>
      <c r="J109" s="1">
        <v>8510.2800000000007</v>
      </c>
      <c r="K109" s="1">
        <v>9874</v>
      </c>
      <c r="N109" s="1">
        <f t="shared" si="1"/>
        <v>5973.98</v>
      </c>
    </row>
    <row r="110" spans="1:14">
      <c r="A110" t="s">
        <v>304</v>
      </c>
      <c r="B110" t="s">
        <v>303</v>
      </c>
      <c r="C110" t="s">
        <v>302</v>
      </c>
      <c r="D110" t="s">
        <v>27</v>
      </c>
      <c r="E110" s="1">
        <v>126656.73999999999</v>
      </c>
      <c r="F110" s="1">
        <v>0</v>
      </c>
      <c r="G110" s="1">
        <v>9830</v>
      </c>
      <c r="H110" s="1">
        <v>11609.5</v>
      </c>
      <c r="I110" s="1">
        <v>148096.24</v>
      </c>
      <c r="J110" s="1">
        <v>8510.2800000000007</v>
      </c>
      <c r="K110" s="1">
        <v>17712</v>
      </c>
      <c r="N110" s="1">
        <f t="shared" si="1"/>
        <v>11477.46</v>
      </c>
    </row>
    <row r="111" spans="1:14">
      <c r="A111" t="s">
        <v>306</v>
      </c>
      <c r="B111" t="s">
        <v>305</v>
      </c>
      <c r="C111" t="s">
        <v>49</v>
      </c>
      <c r="D111" t="s">
        <v>12</v>
      </c>
      <c r="E111" s="1">
        <v>38699.996699999996</v>
      </c>
      <c r="F111" s="1">
        <v>545.61329999999998</v>
      </c>
      <c r="G111" s="1">
        <v>1711.73</v>
      </c>
      <c r="H111" s="1">
        <v>4030.1900000000023</v>
      </c>
      <c r="I111" s="1">
        <v>44987.53</v>
      </c>
      <c r="J111" s="1">
        <v>8510.2800000000007</v>
      </c>
      <c r="K111" s="1">
        <v>5474</v>
      </c>
      <c r="N111" s="1">
        <f t="shared" si="1"/>
        <v>3486.53</v>
      </c>
    </row>
    <row r="112" spans="1:14">
      <c r="A112" t="s">
        <v>309</v>
      </c>
      <c r="B112" t="s">
        <v>308</v>
      </c>
      <c r="C112" t="s">
        <v>307</v>
      </c>
      <c r="D112" t="s">
        <v>79</v>
      </c>
      <c r="E112" s="1">
        <v>80100.180000000008</v>
      </c>
      <c r="F112" s="1">
        <v>0</v>
      </c>
      <c r="H112" s="1">
        <v>10240.76</v>
      </c>
      <c r="I112" s="1">
        <v>90340.94</v>
      </c>
      <c r="J112" s="1">
        <v>2104.6799999999998</v>
      </c>
      <c r="K112" s="1">
        <v>11573</v>
      </c>
      <c r="N112" s="1">
        <f t="shared" si="1"/>
        <v>7001.42</v>
      </c>
    </row>
    <row r="113" spans="1:14">
      <c r="A113" t="s">
        <v>312</v>
      </c>
      <c r="B113" t="s">
        <v>311</v>
      </c>
      <c r="C113" t="s">
        <v>310</v>
      </c>
      <c r="D113" t="s">
        <v>58</v>
      </c>
      <c r="E113" s="1">
        <v>65879.999999999985</v>
      </c>
      <c r="F113" s="1">
        <v>0</v>
      </c>
      <c r="G113" s="1">
        <v>1551.3</v>
      </c>
      <c r="H113" s="1">
        <v>3555.320000000007</v>
      </c>
      <c r="I113" s="1">
        <v>70986.62</v>
      </c>
      <c r="J113" s="1">
        <v>22377.84</v>
      </c>
      <c r="K113" s="1">
        <v>8895</v>
      </c>
      <c r="N113" s="1">
        <f t="shared" si="1"/>
        <v>5501.46</v>
      </c>
    </row>
    <row r="114" spans="1:14">
      <c r="A114" t="s">
        <v>314</v>
      </c>
      <c r="B114" t="s">
        <v>313</v>
      </c>
      <c r="C114" t="s">
        <v>96</v>
      </c>
      <c r="D114" t="s">
        <v>71</v>
      </c>
      <c r="E114" s="1">
        <v>9534.9</v>
      </c>
      <c r="F114" s="1">
        <v>0</v>
      </c>
      <c r="H114" s="1">
        <v>0</v>
      </c>
      <c r="I114" s="1">
        <v>9534.9</v>
      </c>
      <c r="J114" s="1">
        <v>0</v>
      </c>
      <c r="K114" s="1">
        <v>1221</v>
      </c>
      <c r="N114" s="1">
        <f t="shared" si="1"/>
        <v>738.95</v>
      </c>
    </row>
    <row r="115" spans="1:14">
      <c r="A115" t="s">
        <v>317</v>
      </c>
      <c r="B115" t="s">
        <v>316</v>
      </c>
      <c r="C115" t="s">
        <v>315</v>
      </c>
      <c r="D115" t="s">
        <v>20</v>
      </c>
      <c r="E115" s="1">
        <v>44754.009999999995</v>
      </c>
      <c r="F115" s="1">
        <v>0</v>
      </c>
      <c r="G115" s="1">
        <v>698.48</v>
      </c>
      <c r="H115" s="1">
        <v>750</v>
      </c>
      <c r="I115" s="1">
        <v>46202.49</v>
      </c>
      <c r="J115" s="1">
        <v>22377.84</v>
      </c>
      <c r="K115" s="1">
        <v>5829</v>
      </c>
      <c r="N115" s="1">
        <f t="shared" si="1"/>
        <v>3580.69</v>
      </c>
    </row>
    <row r="116" spans="1:14">
      <c r="A116" t="s">
        <v>319</v>
      </c>
      <c r="B116" t="s">
        <v>318</v>
      </c>
      <c r="C116" t="s">
        <v>49</v>
      </c>
      <c r="D116" t="s">
        <v>12</v>
      </c>
      <c r="E116" s="1">
        <v>36382.453000000001</v>
      </c>
      <c r="F116" s="1">
        <v>279.08699999999999</v>
      </c>
      <c r="H116" s="1">
        <v>0</v>
      </c>
      <c r="I116" s="1">
        <v>36661.54</v>
      </c>
      <c r="J116" s="1">
        <v>16880.88</v>
      </c>
      <c r="K116" s="1">
        <v>4661</v>
      </c>
      <c r="N116" s="1">
        <f t="shared" si="1"/>
        <v>2841.27</v>
      </c>
    </row>
    <row r="117" spans="1:14">
      <c r="A117" t="s">
        <v>33</v>
      </c>
      <c r="B117" t="s">
        <v>320</v>
      </c>
      <c r="C117" t="s">
        <v>63</v>
      </c>
      <c r="D117" t="s">
        <v>62</v>
      </c>
      <c r="E117" s="1">
        <v>55113.090000000004</v>
      </c>
      <c r="F117" s="1">
        <v>0</v>
      </c>
      <c r="G117" s="1">
        <v>4353.3900000000003</v>
      </c>
      <c r="H117" s="1">
        <v>999.96</v>
      </c>
      <c r="I117" s="1">
        <v>60466.44</v>
      </c>
      <c r="J117" s="1">
        <v>22377.84</v>
      </c>
      <c r="K117" s="1">
        <v>7188</v>
      </c>
      <c r="L117" s="1">
        <v>382</v>
      </c>
      <c r="N117" s="1">
        <f t="shared" si="1"/>
        <v>4686.1499999999996</v>
      </c>
    </row>
    <row r="118" spans="1:14">
      <c r="A118" t="s">
        <v>322</v>
      </c>
      <c r="B118" t="s">
        <v>321</v>
      </c>
      <c r="C118" t="s">
        <v>134</v>
      </c>
      <c r="D118" t="s">
        <v>71</v>
      </c>
      <c r="E118" s="1">
        <v>47193.738999999994</v>
      </c>
      <c r="F118" s="1">
        <v>453.721</v>
      </c>
      <c r="G118" s="1">
        <v>1881.23</v>
      </c>
      <c r="H118" s="1">
        <v>750</v>
      </c>
      <c r="I118" s="1">
        <v>50278.689999999995</v>
      </c>
      <c r="J118" s="1">
        <v>16880.88</v>
      </c>
      <c r="K118" s="1">
        <v>6142</v>
      </c>
      <c r="N118" s="1">
        <f t="shared" si="1"/>
        <v>3896.6</v>
      </c>
    </row>
    <row r="119" spans="1:14">
      <c r="A119" t="s">
        <v>324</v>
      </c>
      <c r="B119" t="s">
        <v>323</v>
      </c>
      <c r="C119" t="s">
        <v>90</v>
      </c>
      <c r="D119" t="s">
        <v>16</v>
      </c>
      <c r="E119" s="1">
        <v>70858.960800000001</v>
      </c>
      <c r="F119" s="1">
        <v>433.60919999999999</v>
      </c>
      <c r="H119" s="1">
        <v>750</v>
      </c>
      <c r="I119" s="1">
        <v>72042.570000000007</v>
      </c>
      <c r="J119" s="1">
        <v>22377.84</v>
      </c>
      <c r="K119" s="1">
        <v>9173</v>
      </c>
      <c r="N119" s="1">
        <f t="shared" si="1"/>
        <v>5583.3</v>
      </c>
    </row>
    <row r="120" spans="1:14">
      <c r="A120" t="s">
        <v>326</v>
      </c>
      <c r="B120" t="s">
        <v>325</v>
      </c>
      <c r="C120" t="s">
        <v>66</v>
      </c>
      <c r="D120" t="s">
        <v>62</v>
      </c>
      <c r="E120" s="1">
        <v>53675.998299999999</v>
      </c>
      <c r="F120" s="1">
        <v>9677.9616999999998</v>
      </c>
      <c r="G120" s="1">
        <v>4428.59</v>
      </c>
      <c r="H120" s="1">
        <v>5549.3799999999974</v>
      </c>
      <c r="I120" s="1">
        <v>73331.929999999993</v>
      </c>
      <c r="J120" s="1">
        <v>22377.84</v>
      </c>
      <c r="K120" s="1">
        <v>7587</v>
      </c>
      <c r="L120" s="1">
        <v>366.4</v>
      </c>
      <c r="N120" s="1">
        <f t="shared" si="1"/>
        <v>5683.22</v>
      </c>
    </row>
    <row r="121" spans="1:14">
      <c r="A121" t="s">
        <v>329</v>
      </c>
      <c r="B121" t="s">
        <v>328</v>
      </c>
      <c r="C121" t="s">
        <v>327</v>
      </c>
      <c r="D121" t="s">
        <v>30</v>
      </c>
      <c r="E121" s="1">
        <v>78134.559999999998</v>
      </c>
      <c r="F121" s="1">
        <v>0</v>
      </c>
      <c r="G121" s="1">
        <v>5008.62</v>
      </c>
      <c r="H121" s="1">
        <v>0</v>
      </c>
      <c r="I121" s="1">
        <v>83143.179999999993</v>
      </c>
      <c r="J121" s="1">
        <v>8510.2800000000007</v>
      </c>
      <c r="K121" s="1">
        <v>10009</v>
      </c>
      <c r="N121" s="1">
        <f t="shared" si="1"/>
        <v>6443.6</v>
      </c>
    </row>
    <row r="122" spans="1:14">
      <c r="A122" t="s">
        <v>331</v>
      </c>
      <c r="B122" t="s">
        <v>330</v>
      </c>
      <c r="C122" t="s">
        <v>116</v>
      </c>
      <c r="D122" t="s">
        <v>115</v>
      </c>
      <c r="E122" s="1">
        <v>793.35</v>
      </c>
      <c r="F122" s="1">
        <v>0</v>
      </c>
      <c r="H122" s="1">
        <v>0</v>
      </c>
      <c r="I122" s="1">
        <v>793.35</v>
      </c>
      <c r="J122" s="1">
        <v>0</v>
      </c>
      <c r="K122" s="1">
        <v>102</v>
      </c>
      <c r="N122" s="1">
        <f t="shared" si="1"/>
        <v>61.48</v>
      </c>
    </row>
    <row r="123" spans="1:14">
      <c r="A123" t="s">
        <v>333</v>
      </c>
      <c r="B123" t="s">
        <v>332</v>
      </c>
      <c r="C123" t="s">
        <v>241</v>
      </c>
      <c r="D123" t="s">
        <v>12</v>
      </c>
      <c r="E123" s="1">
        <v>40202.354200000002</v>
      </c>
      <c r="F123" s="1">
        <v>399.29579999999999</v>
      </c>
      <c r="G123" s="1">
        <v>1774.65</v>
      </c>
      <c r="H123" s="1">
        <v>0</v>
      </c>
      <c r="I123" s="1">
        <v>42376.3</v>
      </c>
      <c r="J123" s="1">
        <v>16880.88</v>
      </c>
      <c r="K123" s="1">
        <v>5150</v>
      </c>
      <c r="N123" s="1">
        <f t="shared" si="1"/>
        <v>3284.16</v>
      </c>
    </row>
    <row r="124" spans="1:14">
      <c r="A124" t="s">
        <v>336</v>
      </c>
      <c r="B124" t="s">
        <v>335</v>
      </c>
      <c r="C124" t="s">
        <v>334</v>
      </c>
      <c r="D124" t="s">
        <v>71</v>
      </c>
      <c r="E124" s="1">
        <v>945.79</v>
      </c>
      <c r="F124" s="1">
        <v>0</v>
      </c>
      <c r="H124" s="1">
        <v>0</v>
      </c>
      <c r="I124" s="1">
        <v>945.79</v>
      </c>
      <c r="J124" s="1">
        <v>0</v>
      </c>
      <c r="K124" s="1">
        <v>121</v>
      </c>
      <c r="N124" s="1">
        <f t="shared" si="1"/>
        <v>73.3</v>
      </c>
    </row>
    <row r="125" spans="1:14">
      <c r="A125" t="s">
        <v>338</v>
      </c>
      <c r="B125" t="s">
        <v>337</v>
      </c>
      <c r="C125" t="s">
        <v>286</v>
      </c>
      <c r="D125" t="s">
        <v>27</v>
      </c>
      <c r="E125" s="1">
        <v>37161.279999999999</v>
      </c>
      <c r="F125" s="1">
        <v>0</v>
      </c>
      <c r="H125" s="1">
        <v>3025.28</v>
      </c>
      <c r="I125" s="1">
        <v>40186.559999999998</v>
      </c>
      <c r="J125" s="1">
        <v>22377.84</v>
      </c>
      <c r="K125" s="1">
        <v>5148</v>
      </c>
      <c r="N125" s="1">
        <f t="shared" si="1"/>
        <v>3114.46</v>
      </c>
    </row>
    <row r="126" spans="1:14">
      <c r="A126" t="s">
        <v>340</v>
      </c>
      <c r="B126" t="s">
        <v>339</v>
      </c>
      <c r="C126" t="s">
        <v>251</v>
      </c>
      <c r="D126" t="s">
        <v>16</v>
      </c>
      <c r="E126" s="1">
        <v>41328.26</v>
      </c>
      <c r="F126" s="1">
        <v>0</v>
      </c>
      <c r="H126" s="1">
        <v>500</v>
      </c>
      <c r="I126" s="1">
        <v>41828.26</v>
      </c>
      <c r="J126" s="1">
        <v>8510.2800000000007</v>
      </c>
      <c r="K126" s="1">
        <v>5358</v>
      </c>
      <c r="N126" s="1">
        <f t="shared" si="1"/>
        <v>3241.69</v>
      </c>
    </row>
    <row r="127" spans="1:14">
      <c r="A127" t="s">
        <v>343</v>
      </c>
      <c r="B127" t="s">
        <v>342</v>
      </c>
      <c r="C127" t="s">
        <v>341</v>
      </c>
      <c r="D127" t="s">
        <v>20</v>
      </c>
      <c r="E127" s="1">
        <v>97260.17</v>
      </c>
      <c r="F127" s="1">
        <v>0</v>
      </c>
      <c r="H127" s="1">
        <v>750</v>
      </c>
      <c r="I127" s="1">
        <v>98010.17</v>
      </c>
      <c r="J127" s="1">
        <v>16880.88</v>
      </c>
      <c r="K127" s="1">
        <v>12555</v>
      </c>
      <c r="N127" s="1">
        <f t="shared" si="1"/>
        <v>7595.79</v>
      </c>
    </row>
    <row r="128" spans="1:14">
      <c r="A128" t="s">
        <v>345</v>
      </c>
      <c r="B128" t="s">
        <v>344</v>
      </c>
      <c r="C128" t="s">
        <v>49</v>
      </c>
      <c r="D128" t="s">
        <v>12</v>
      </c>
      <c r="E128" s="1">
        <v>35346.39</v>
      </c>
      <c r="F128" s="1">
        <v>0</v>
      </c>
      <c r="H128" s="1">
        <v>0</v>
      </c>
      <c r="I128" s="1">
        <v>35346.39</v>
      </c>
      <c r="J128" s="1">
        <v>8510.2800000000007</v>
      </c>
      <c r="K128" s="1">
        <v>4528</v>
      </c>
      <c r="N128" s="1">
        <f t="shared" si="1"/>
        <v>2739.35</v>
      </c>
    </row>
    <row r="129" spans="1:14">
      <c r="A129" t="s">
        <v>301</v>
      </c>
      <c r="B129" t="s">
        <v>347</v>
      </c>
      <c r="C129" t="s">
        <v>346</v>
      </c>
      <c r="D129" t="s">
        <v>20</v>
      </c>
      <c r="E129" s="1">
        <v>45874.239999999998</v>
      </c>
      <c r="F129" s="1">
        <v>0</v>
      </c>
      <c r="G129" s="1">
        <v>66.66</v>
      </c>
      <c r="H129" s="1">
        <v>0</v>
      </c>
      <c r="I129" s="1">
        <v>45940.9</v>
      </c>
      <c r="J129" s="1">
        <v>8510.2800000000007</v>
      </c>
      <c r="K129" s="1">
        <v>5876</v>
      </c>
      <c r="N129" s="1">
        <f t="shared" si="1"/>
        <v>3560.42</v>
      </c>
    </row>
    <row r="130" spans="1:14">
      <c r="A130" t="s">
        <v>349</v>
      </c>
      <c r="B130" t="s">
        <v>348</v>
      </c>
      <c r="C130" t="s">
        <v>131</v>
      </c>
      <c r="D130" t="s">
        <v>71</v>
      </c>
      <c r="E130" s="1">
        <v>51360.002</v>
      </c>
      <c r="F130" s="1">
        <v>4501.558</v>
      </c>
      <c r="G130" s="1">
        <v>2074.15</v>
      </c>
      <c r="H130" s="1">
        <v>2181.3899999999994</v>
      </c>
      <c r="I130" s="1">
        <v>60117.1</v>
      </c>
      <c r="J130" s="1">
        <v>22377.84</v>
      </c>
      <c r="K130" s="1">
        <v>6859</v>
      </c>
      <c r="N130" s="1">
        <f t="shared" si="1"/>
        <v>4659.08</v>
      </c>
    </row>
    <row r="131" spans="1:14">
      <c r="A131" t="s">
        <v>351</v>
      </c>
      <c r="B131" t="s">
        <v>350</v>
      </c>
      <c r="C131" t="s">
        <v>13</v>
      </c>
      <c r="D131" t="s">
        <v>12</v>
      </c>
      <c r="E131" s="1">
        <v>21498.75</v>
      </c>
      <c r="F131" s="1">
        <v>0</v>
      </c>
      <c r="H131" s="1">
        <v>0</v>
      </c>
      <c r="I131" s="1">
        <v>21498.75</v>
      </c>
      <c r="J131" s="1">
        <v>8510.2800000000007</v>
      </c>
      <c r="K131" s="1">
        <v>2754</v>
      </c>
      <c r="N131" s="1">
        <f t="shared" si="1"/>
        <v>1666.15</v>
      </c>
    </row>
    <row r="132" spans="1:14">
      <c r="A132" t="s">
        <v>354</v>
      </c>
      <c r="B132" t="s">
        <v>353</v>
      </c>
      <c r="C132" t="s">
        <v>352</v>
      </c>
      <c r="D132" t="s">
        <v>71</v>
      </c>
      <c r="E132" s="1">
        <v>55936.174899999998</v>
      </c>
      <c r="F132" s="1">
        <v>127.38509999999999</v>
      </c>
      <c r="G132" s="1">
        <v>3396.94</v>
      </c>
      <c r="H132" s="1">
        <v>750</v>
      </c>
      <c r="I132" s="1">
        <v>60210.5</v>
      </c>
      <c r="J132" s="1">
        <v>8510.2800000000007</v>
      </c>
      <c r="K132" s="1">
        <v>7261</v>
      </c>
      <c r="N132" s="1">
        <f t="shared" ref="N132:N195" si="2">ROUND(+I132*0.0775,2)</f>
        <v>4666.3100000000004</v>
      </c>
    </row>
    <row r="133" spans="1:14">
      <c r="A133" t="s">
        <v>357</v>
      </c>
      <c r="B133" t="s">
        <v>356</v>
      </c>
      <c r="C133" t="s">
        <v>355</v>
      </c>
      <c r="D133" t="s">
        <v>102</v>
      </c>
      <c r="E133" s="1">
        <v>35736.629999999997</v>
      </c>
      <c r="F133" s="1">
        <v>0</v>
      </c>
      <c r="G133" s="1">
        <v>744.23</v>
      </c>
      <c r="H133" s="1">
        <v>0</v>
      </c>
      <c r="I133" s="1">
        <v>36480.86</v>
      </c>
      <c r="J133" s="1">
        <v>16880.88</v>
      </c>
      <c r="K133" s="1">
        <v>4578</v>
      </c>
      <c r="N133" s="1">
        <f t="shared" si="2"/>
        <v>2827.27</v>
      </c>
    </row>
    <row r="134" spans="1:14">
      <c r="A134" t="s">
        <v>359</v>
      </c>
      <c r="B134" t="s">
        <v>358</v>
      </c>
      <c r="C134" t="s">
        <v>46</v>
      </c>
      <c r="D134" t="s">
        <v>12</v>
      </c>
      <c r="E134" s="1">
        <v>59041.346900000004</v>
      </c>
      <c r="F134" s="1">
        <v>270.1431</v>
      </c>
      <c r="G134" s="1">
        <v>3601.91</v>
      </c>
      <c r="H134" s="1">
        <v>0</v>
      </c>
      <c r="I134" s="1">
        <v>62913.4</v>
      </c>
      <c r="J134" s="1">
        <v>8510.2800000000007</v>
      </c>
      <c r="K134" s="1">
        <v>7563</v>
      </c>
      <c r="N134" s="1">
        <f t="shared" si="2"/>
        <v>4875.79</v>
      </c>
    </row>
    <row r="135" spans="1:14">
      <c r="A135" t="s">
        <v>361</v>
      </c>
      <c r="B135" t="s">
        <v>360</v>
      </c>
      <c r="C135" t="s">
        <v>165</v>
      </c>
      <c r="D135" t="s">
        <v>58</v>
      </c>
      <c r="E135" s="1">
        <v>38615.450000000004</v>
      </c>
      <c r="F135" s="1">
        <v>0</v>
      </c>
      <c r="H135" s="1">
        <v>145.81</v>
      </c>
      <c r="I135" s="1">
        <v>38761.26</v>
      </c>
      <c r="J135" s="1">
        <v>0</v>
      </c>
      <c r="K135" s="1">
        <v>4965</v>
      </c>
      <c r="N135" s="1">
        <f t="shared" si="2"/>
        <v>3004</v>
      </c>
    </row>
    <row r="136" spans="1:14">
      <c r="A136" t="s">
        <v>364</v>
      </c>
      <c r="B136" t="s">
        <v>363</v>
      </c>
      <c r="C136" t="s">
        <v>362</v>
      </c>
      <c r="D136" t="s">
        <v>30</v>
      </c>
      <c r="E136" s="1">
        <v>94795.199999999997</v>
      </c>
      <c r="F136" s="1">
        <v>0</v>
      </c>
      <c r="H136" s="1">
        <v>280.5</v>
      </c>
      <c r="I136" s="1">
        <v>95075.7</v>
      </c>
      <c r="J136" s="1">
        <v>8510.2800000000007</v>
      </c>
      <c r="K136" s="1">
        <v>12179</v>
      </c>
      <c r="N136" s="1">
        <f t="shared" si="2"/>
        <v>7368.37</v>
      </c>
    </row>
    <row r="137" spans="1:14">
      <c r="A137" t="s">
        <v>367</v>
      </c>
      <c r="B137" t="s">
        <v>366</v>
      </c>
      <c r="C137" t="s">
        <v>365</v>
      </c>
      <c r="D137" t="s">
        <v>62</v>
      </c>
      <c r="E137" s="1">
        <v>75438.28</v>
      </c>
      <c r="F137" s="1">
        <v>0</v>
      </c>
      <c r="G137" s="1">
        <v>7208.76</v>
      </c>
      <c r="H137" s="1">
        <v>1000</v>
      </c>
      <c r="I137" s="1">
        <v>83647.039999999994</v>
      </c>
      <c r="J137" s="1">
        <v>16880.88</v>
      </c>
      <c r="K137" s="1">
        <v>9792</v>
      </c>
      <c r="N137" s="1">
        <f t="shared" si="2"/>
        <v>6482.65</v>
      </c>
    </row>
    <row r="138" spans="1:14">
      <c r="A138" t="s">
        <v>370</v>
      </c>
      <c r="B138" t="s">
        <v>369</v>
      </c>
      <c r="C138" t="s">
        <v>368</v>
      </c>
      <c r="D138" t="s">
        <v>102</v>
      </c>
      <c r="E138" s="1">
        <v>41131.229999999996</v>
      </c>
      <c r="F138" s="1">
        <v>0</v>
      </c>
      <c r="G138" s="1">
        <v>2642.72</v>
      </c>
      <c r="H138" s="1">
        <v>750</v>
      </c>
      <c r="I138" s="1">
        <v>44523.95</v>
      </c>
      <c r="J138" s="1">
        <v>22377.84</v>
      </c>
      <c r="K138" s="1">
        <v>5365</v>
      </c>
      <c r="N138" s="1">
        <f t="shared" si="2"/>
        <v>3450.61</v>
      </c>
    </row>
    <row r="139" spans="1:14">
      <c r="A139" t="s">
        <v>373</v>
      </c>
      <c r="B139" t="s">
        <v>372</v>
      </c>
      <c r="C139" t="s">
        <v>371</v>
      </c>
      <c r="D139" t="s">
        <v>12</v>
      </c>
      <c r="E139" s="1">
        <v>48444</v>
      </c>
      <c r="F139" s="1">
        <v>0</v>
      </c>
      <c r="G139" s="1">
        <v>3892.08</v>
      </c>
      <c r="H139" s="1">
        <v>1744.1999999999971</v>
      </c>
      <c r="I139" s="1">
        <v>54080.28</v>
      </c>
      <c r="J139" s="1">
        <v>16880.88</v>
      </c>
      <c r="K139" s="1">
        <v>6429</v>
      </c>
      <c r="N139" s="1">
        <f t="shared" si="2"/>
        <v>4191.22</v>
      </c>
    </row>
    <row r="140" spans="1:14">
      <c r="A140" t="s">
        <v>375</v>
      </c>
      <c r="B140" t="s">
        <v>374</v>
      </c>
      <c r="C140" t="s">
        <v>116</v>
      </c>
      <c r="D140" t="s">
        <v>115</v>
      </c>
      <c r="E140" s="1">
        <v>50347.21</v>
      </c>
      <c r="F140" s="1">
        <v>0</v>
      </c>
      <c r="G140" s="1">
        <v>3111.23</v>
      </c>
      <c r="H140" s="1">
        <v>0</v>
      </c>
      <c r="I140" s="1">
        <v>53458.44</v>
      </c>
      <c r="J140" s="1">
        <v>1286.1600000000001</v>
      </c>
      <c r="K140" s="1">
        <v>6449</v>
      </c>
      <c r="N140" s="1">
        <f t="shared" si="2"/>
        <v>4143.03</v>
      </c>
    </row>
    <row r="141" spans="1:14">
      <c r="A141" t="s">
        <v>378</v>
      </c>
      <c r="B141" t="s">
        <v>377</v>
      </c>
      <c r="C141" t="s">
        <v>376</v>
      </c>
      <c r="D141" t="s">
        <v>62</v>
      </c>
      <c r="E141" s="1">
        <v>48058.923699999999</v>
      </c>
      <c r="F141" s="1">
        <v>57.786299999999997</v>
      </c>
      <c r="H141" s="1">
        <v>549.96</v>
      </c>
      <c r="I141" s="1">
        <v>48666.67</v>
      </c>
      <c r="J141" s="1">
        <v>22377.84</v>
      </c>
      <c r="K141" s="1">
        <v>6227</v>
      </c>
      <c r="L141" s="1">
        <v>334.91</v>
      </c>
      <c r="N141" s="1">
        <f t="shared" si="2"/>
        <v>3771.67</v>
      </c>
    </row>
    <row r="142" spans="1:14">
      <c r="A142" t="s">
        <v>380</v>
      </c>
      <c r="B142" t="s">
        <v>379</v>
      </c>
      <c r="C142" t="s">
        <v>93</v>
      </c>
      <c r="D142" t="s">
        <v>71</v>
      </c>
      <c r="E142" s="1">
        <v>43296.000899999999</v>
      </c>
      <c r="F142" s="1">
        <v>1393.3390999999999</v>
      </c>
      <c r="H142" s="1">
        <v>1972.7799999999988</v>
      </c>
      <c r="I142" s="1">
        <v>46662.119999999995</v>
      </c>
      <c r="J142" s="1">
        <v>21604.32</v>
      </c>
      <c r="K142" s="1">
        <v>5799</v>
      </c>
      <c r="N142" s="1">
        <f t="shared" si="2"/>
        <v>3616.31</v>
      </c>
    </row>
    <row r="143" spans="1:14">
      <c r="A143" t="s">
        <v>382</v>
      </c>
      <c r="B143" t="s">
        <v>381</v>
      </c>
      <c r="C143" t="s">
        <v>99</v>
      </c>
      <c r="D143" t="s">
        <v>62</v>
      </c>
      <c r="E143" s="1">
        <v>42673.7359</v>
      </c>
      <c r="F143" s="1">
        <v>223.7841</v>
      </c>
      <c r="H143" s="1">
        <v>1299.96</v>
      </c>
      <c r="I143" s="1">
        <v>44197.479999999996</v>
      </c>
      <c r="J143" s="1">
        <v>22377.84</v>
      </c>
      <c r="K143" s="1">
        <v>5633</v>
      </c>
      <c r="L143" s="1">
        <v>310.08</v>
      </c>
      <c r="N143" s="1">
        <f t="shared" si="2"/>
        <v>3425.3</v>
      </c>
    </row>
    <row r="144" spans="1:14">
      <c r="A144" t="s">
        <v>385</v>
      </c>
      <c r="B144" t="s">
        <v>384</v>
      </c>
      <c r="C144" t="s">
        <v>383</v>
      </c>
      <c r="D144" t="s">
        <v>79</v>
      </c>
      <c r="E144" s="1">
        <v>71313.05</v>
      </c>
      <c r="F144" s="1">
        <v>0</v>
      </c>
      <c r="H144" s="1">
        <v>0</v>
      </c>
      <c r="I144" s="1">
        <v>71313.05</v>
      </c>
      <c r="J144" s="1">
        <v>0</v>
      </c>
      <c r="K144" s="1">
        <v>9135</v>
      </c>
      <c r="N144" s="1">
        <f t="shared" si="2"/>
        <v>5526.76</v>
      </c>
    </row>
    <row r="145" spans="1:14">
      <c r="A145" t="s">
        <v>387</v>
      </c>
      <c r="B145" t="s">
        <v>386</v>
      </c>
      <c r="C145" t="s">
        <v>183</v>
      </c>
      <c r="D145" t="s">
        <v>71</v>
      </c>
      <c r="E145" s="1">
        <v>56076.002</v>
      </c>
      <c r="F145" s="1">
        <v>21729.508000000002</v>
      </c>
      <c r="H145" s="1">
        <v>1259.82</v>
      </c>
      <c r="I145" s="1">
        <v>79065.33</v>
      </c>
      <c r="J145" s="1">
        <v>16880.88</v>
      </c>
      <c r="K145" s="1">
        <v>7345</v>
      </c>
      <c r="N145" s="1">
        <f t="shared" si="2"/>
        <v>6127.56</v>
      </c>
    </row>
    <row r="146" spans="1:14">
      <c r="A146" t="s">
        <v>389</v>
      </c>
      <c r="B146" t="s">
        <v>388</v>
      </c>
      <c r="C146" t="s">
        <v>116</v>
      </c>
      <c r="D146" t="s">
        <v>12</v>
      </c>
      <c r="E146" s="1">
        <v>50044.729999999996</v>
      </c>
      <c r="F146" s="1">
        <v>0</v>
      </c>
      <c r="G146" s="1">
        <v>1037.08</v>
      </c>
      <c r="H146" s="1">
        <v>0</v>
      </c>
      <c r="I146" s="1">
        <v>51081.81</v>
      </c>
      <c r="J146" s="1">
        <v>22377.84</v>
      </c>
      <c r="K146" s="1">
        <v>6411</v>
      </c>
      <c r="N146" s="1">
        <f t="shared" si="2"/>
        <v>3958.84</v>
      </c>
    </row>
    <row r="147" spans="1:14">
      <c r="A147" t="s">
        <v>391</v>
      </c>
      <c r="B147" t="s">
        <v>390</v>
      </c>
      <c r="C147" t="s">
        <v>13</v>
      </c>
      <c r="D147" t="s">
        <v>12</v>
      </c>
      <c r="E147" s="1">
        <v>11073.8</v>
      </c>
      <c r="F147" s="1">
        <v>0</v>
      </c>
      <c r="H147" s="1">
        <v>0</v>
      </c>
      <c r="I147" s="1">
        <v>11073.8</v>
      </c>
      <c r="J147" s="1">
        <v>0</v>
      </c>
      <c r="K147" s="1">
        <v>1419</v>
      </c>
      <c r="N147" s="1">
        <f t="shared" si="2"/>
        <v>858.22</v>
      </c>
    </row>
    <row r="148" spans="1:14">
      <c r="A148" t="s">
        <v>393</v>
      </c>
      <c r="B148" t="s">
        <v>392</v>
      </c>
      <c r="C148" t="s">
        <v>93</v>
      </c>
      <c r="D148" t="s">
        <v>71</v>
      </c>
      <c r="E148" s="1">
        <v>43295.999199999998</v>
      </c>
      <c r="F148" s="1">
        <v>4720.9607999999998</v>
      </c>
      <c r="G148" s="1">
        <v>3101.85</v>
      </c>
      <c r="H148" s="1">
        <v>1221.18</v>
      </c>
      <c r="I148" s="1">
        <v>52339.99</v>
      </c>
      <c r="J148" s="1">
        <v>22377.84</v>
      </c>
      <c r="K148" s="1">
        <v>5703</v>
      </c>
      <c r="N148" s="1">
        <f t="shared" si="2"/>
        <v>4056.35</v>
      </c>
    </row>
    <row r="149" spans="1:14">
      <c r="A149" t="s">
        <v>396</v>
      </c>
      <c r="B149" t="s">
        <v>395</v>
      </c>
      <c r="C149" t="s">
        <v>394</v>
      </c>
      <c r="D149" t="s">
        <v>79</v>
      </c>
      <c r="E149" s="1">
        <v>185375.99999999997</v>
      </c>
      <c r="F149" s="1">
        <v>0</v>
      </c>
      <c r="G149" s="1">
        <v>19638.32</v>
      </c>
      <c r="H149" s="1">
        <v>22441.710000000021</v>
      </c>
      <c r="I149" s="1">
        <v>227456.03</v>
      </c>
      <c r="J149" s="1">
        <v>22377.84</v>
      </c>
      <c r="K149" s="1">
        <v>26621</v>
      </c>
      <c r="M149" s="1">
        <v>8499.92</v>
      </c>
      <c r="N149" s="1">
        <f t="shared" si="2"/>
        <v>17627.84</v>
      </c>
    </row>
    <row r="150" spans="1:14">
      <c r="A150" t="s">
        <v>399</v>
      </c>
      <c r="B150" t="s">
        <v>398</v>
      </c>
      <c r="C150" t="s">
        <v>397</v>
      </c>
      <c r="D150" t="s">
        <v>62</v>
      </c>
      <c r="E150" s="1">
        <v>76644</v>
      </c>
      <c r="F150" s="1">
        <v>0</v>
      </c>
      <c r="G150" s="1">
        <v>7580.22</v>
      </c>
      <c r="H150" s="1">
        <v>1814.1600000000035</v>
      </c>
      <c r="I150" s="1">
        <v>86038.38</v>
      </c>
      <c r="J150" s="1">
        <v>16880.88</v>
      </c>
      <c r="K150" s="1">
        <v>10050</v>
      </c>
      <c r="N150" s="1">
        <f t="shared" si="2"/>
        <v>6667.97</v>
      </c>
    </row>
    <row r="151" spans="1:14">
      <c r="A151" t="s">
        <v>402</v>
      </c>
      <c r="B151" t="s">
        <v>401</v>
      </c>
      <c r="C151" t="s">
        <v>400</v>
      </c>
      <c r="D151" t="s">
        <v>30</v>
      </c>
      <c r="E151" s="1">
        <v>124320.00000000003</v>
      </c>
      <c r="F151" s="1">
        <v>0</v>
      </c>
      <c r="G151" s="1">
        <v>9157.1200000000008</v>
      </c>
      <c r="H151" s="1">
        <v>10639.229999999981</v>
      </c>
      <c r="I151" s="1">
        <v>144116.35</v>
      </c>
      <c r="J151" s="1">
        <v>22377.84</v>
      </c>
      <c r="K151" s="1">
        <v>17288</v>
      </c>
      <c r="M151" s="1">
        <v>16999.84</v>
      </c>
      <c r="N151" s="1">
        <f t="shared" si="2"/>
        <v>11169.02</v>
      </c>
    </row>
    <row r="152" spans="1:14">
      <c r="A152" t="s">
        <v>404</v>
      </c>
      <c r="B152" t="s">
        <v>403</v>
      </c>
      <c r="C152" t="s">
        <v>46</v>
      </c>
      <c r="D152" t="s">
        <v>12</v>
      </c>
      <c r="E152" s="1">
        <v>1905.79</v>
      </c>
      <c r="F152" s="1">
        <v>0</v>
      </c>
      <c r="H152" s="1">
        <v>0</v>
      </c>
      <c r="I152" s="1">
        <v>1905.79</v>
      </c>
      <c r="J152" s="1">
        <v>0</v>
      </c>
      <c r="K152" s="1">
        <v>244</v>
      </c>
      <c r="N152" s="1">
        <f t="shared" si="2"/>
        <v>147.69999999999999</v>
      </c>
    </row>
    <row r="153" spans="1:14">
      <c r="A153" t="s">
        <v>407</v>
      </c>
      <c r="B153" t="s">
        <v>406</v>
      </c>
      <c r="C153" t="s">
        <v>405</v>
      </c>
      <c r="D153" t="s">
        <v>71</v>
      </c>
      <c r="E153" s="1">
        <v>55992.03</v>
      </c>
      <c r="F153" s="1">
        <v>0</v>
      </c>
      <c r="H153" s="1">
        <v>0</v>
      </c>
      <c r="I153" s="1">
        <v>55992.03</v>
      </c>
      <c r="J153" s="1">
        <v>0</v>
      </c>
      <c r="K153" s="1">
        <v>7173</v>
      </c>
      <c r="N153" s="1">
        <f t="shared" si="2"/>
        <v>4339.38</v>
      </c>
    </row>
    <row r="154" spans="1:14">
      <c r="A154" t="s">
        <v>409</v>
      </c>
      <c r="B154" t="s">
        <v>408</v>
      </c>
      <c r="C154" t="s">
        <v>142</v>
      </c>
      <c r="D154" t="s">
        <v>58</v>
      </c>
      <c r="E154" s="1">
        <v>53272.420000000006</v>
      </c>
      <c r="F154" s="1">
        <v>0</v>
      </c>
      <c r="G154" s="1">
        <v>2156.77</v>
      </c>
      <c r="H154" s="1">
        <v>0</v>
      </c>
      <c r="I154" s="1">
        <v>55429.19</v>
      </c>
      <c r="J154" s="1">
        <v>22377.84</v>
      </c>
      <c r="K154" s="1">
        <v>6824</v>
      </c>
      <c r="N154" s="1">
        <f t="shared" si="2"/>
        <v>4295.76</v>
      </c>
    </row>
    <row r="155" spans="1:14">
      <c r="A155" t="s">
        <v>411</v>
      </c>
      <c r="B155" t="s">
        <v>410</v>
      </c>
      <c r="C155" t="s">
        <v>90</v>
      </c>
      <c r="D155" t="s">
        <v>58</v>
      </c>
      <c r="E155" s="1">
        <v>68001.069999999992</v>
      </c>
      <c r="F155" s="1">
        <v>0</v>
      </c>
      <c r="G155" s="1">
        <v>4610.72</v>
      </c>
      <c r="H155" s="1">
        <v>750</v>
      </c>
      <c r="I155" s="1">
        <v>73361.789999999994</v>
      </c>
      <c r="J155" s="1">
        <v>16880.88</v>
      </c>
      <c r="K155" s="1">
        <v>8807</v>
      </c>
      <c r="N155" s="1">
        <f t="shared" si="2"/>
        <v>5685.54</v>
      </c>
    </row>
    <row r="156" spans="1:14">
      <c r="A156" t="s">
        <v>413</v>
      </c>
      <c r="B156" t="s">
        <v>412</v>
      </c>
      <c r="C156" t="s">
        <v>99</v>
      </c>
      <c r="D156" t="s">
        <v>62</v>
      </c>
      <c r="E156" s="1">
        <v>45862.948199999999</v>
      </c>
      <c r="F156" s="1">
        <v>143.2218</v>
      </c>
      <c r="H156" s="1">
        <v>1049.96</v>
      </c>
      <c r="I156" s="1">
        <v>47056.13</v>
      </c>
      <c r="J156" s="1">
        <v>22377.84</v>
      </c>
      <c r="K156" s="1">
        <v>6010</v>
      </c>
      <c r="L156" s="1">
        <v>311.42</v>
      </c>
      <c r="N156" s="1">
        <f t="shared" si="2"/>
        <v>3646.85</v>
      </c>
    </row>
    <row r="157" spans="1:14">
      <c r="A157" t="s">
        <v>415</v>
      </c>
      <c r="B157" t="s">
        <v>414</v>
      </c>
      <c r="C157" t="s">
        <v>248</v>
      </c>
      <c r="D157" t="s">
        <v>62</v>
      </c>
      <c r="E157" s="1">
        <v>49391.01</v>
      </c>
      <c r="F157" s="1">
        <v>0</v>
      </c>
      <c r="H157" s="1">
        <v>999.96</v>
      </c>
      <c r="I157" s="1">
        <v>50390.97</v>
      </c>
      <c r="J157" s="1">
        <v>22377.84</v>
      </c>
      <c r="K157" s="1">
        <v>6455</v>
      </c>
      <c r="L157" s="1">
        <v>330.55</v>
      </c>
      <c r="N157" s="1">
        <f t="shared" si="2"/>
        <v>3905.3</v>
      </c>
    </row>
    <row r="158" spans="1:14">
      <c r="A158" t="s">
        <v>417</v>
      </c>
      <c r="B158" t="s">
        <v>416</v>
      </c>
      <c r="C158" t="s">
        <v>118</v>
      </c>
      <c r="D158" t="s">
        <v>79</v>
      </c>
      <c r="E158" s="1">
        <v>6508.92</v>
      </c>
      <c r="F158" s="1">
        <v>0</v>
      </c>
      <c r="H158" s="1">
        <v>8999.9</v>
      </c>
      <c r="I158" s="1">
        <v>15508.82</v>
      </c>
      <c r="J158" s="1">
        <v>22377.84</v>
      </c>
      <c r="K158" s="1">
        <v>1987</v>
      </c>
      <c r="N158" s="1">
        <f t="shared" si="2"/>
        <v>1201.93</v>
      </c>
    </row>
    <row r="159" spans="1:14">
      <c r="A159" t="s">
        <v>420</v>
      </c>
      <c r="B159" t="s">
        <v>419</v>
      </c>
      <c r="C159" t="s">
        <v>418</v>
      </c>
      <c r="D159" t="s">
        <v>20</v>
      </c>
      <c r="E159" s="1">
        <v>60101.03</v>
      </c>
      <c r="F159" s="1">
        <v>0</v>
      </c>
      <c r="G159" s="1">
        <v>1809.29</v>
      </c>
      <c r="H159" s="1">
        <v>750</v>
      </c>
      <c r="I159" s="1">
        <v>62660.32</v>
      </c>
      <c r="J159" s="1">
        <v>16880.88</v>
      </c>
      <c r="K159" s="1">
        <v>7795</v>
      </c>
      <c r="N159" s="1">
        <f t="shared" si="2"/>
        <v>4856.17</v>
      </c>
    </row>
    <row r="160" spans="1:14">
      <c r="A160" t="s">
        <v>422</v>
      </c>
      <c r="B160" t="s">
        <v>421</v>
      </c>
      <c r="C160" t="s">
        <v>96</v>
      </c>
      <c r="D160" t="s">
        <v>71</v>
      </c>
      <c r="E160" s="1">
        <v>13660.69</v>
      </c>
      <c r="F160" s="1">
        <v>0</v>
      </c>
      <c r="H160" s="1">
        <v>0</v>
      </c>
      <c r="I160" s="1">
        <v>13660.69</v>
      </c>
      <c r="J160" s="1">
        <v>0</v>
      </c>
      <c r="K160" s="1">
        <v>1750</v>
      </c>
      <c r="N160" s="1">
        <f t="shared" si="2"/>
        <v>1058.7</v>
      </c>
    </row>
    <row r="161" spans="1:14">
      <c r="A161" t="s">
        <v>424</v>
      </c>
      <c r="B161" t="s">
        <v>423</v>
      </c>
      <c r="C161" t="s">
        <v>173</v>
      </c>
      <c r="D161" t="s">
        <v>62</v>
      </c>
      <c r="E161" s="1">
        <v>38557.634599999998</v>
      </c>
      <c r="F161" s="1">
        <v>579.6354</v>
      </c>
      <c r="H161" s="1">
        <v>549.96</v>
      </c>
      <c r="I161" s="1">
        <v>39687.229999999996</v>
      </c>
      <c r="J161" s="1">
        <v>16880.88</v>
      </c>
      <c r="K161" s="1">
        <v>5010</v>
      </c>
      <c r="L161" s="1">
        <v>296.64999999999998</v>
      </c>
      <c r="N161" s="1">
        <f t="shared" si="2"/>
        <v>3075.76</v>
      </c>
    </row>
    <row r="162" spans="1:14">
      <c r="A162" t="s">
        <v>426</v>
      </c>
      <c r="B162" t="s">
        <v>425</v>
      </c>
      <c r="C162" t="s">
        <v>173</v>
      </c>
      <c r="D162" t="s">
        <v>62</v>
      </c>
      <c r="E162" s="1">
        <v>23349.859999999997</v>
      </c>
      <c r="F162" s="1">
        <v>0</v>
      </c>
      <c r="H162" s="1">
        <v>45.83</v>
      </c>
      <c r="I162" s="1">
        <v>23395.69</v>
      </c>
      <c r="J162" s="1">
        <v>0</v>
      </c>
      <c r="K162" s="1">
        <v>2997</v>
      </c>
      <c r="L162" s="1">
        <v>0</v>
      </c>
      <c r="N162" s="1">
        <f t="shared" si="2"/>
        <v>1813.17</v>
      </c>
    </row>
    <row r="163" spans="1:14">
      <c r="A163" t="s">
        <v>429</v>
      </c>
      <c r="B163" t="s">
        <v>428</v>
      </c>
      <c r="C163" t="s">
        <v>427</v>
      </c>
      <c r="D163" t="s">
        <v>16</v>
      </c>
      <c r="E163" s="1">
        <v>66506.36</v>
      </c>
      <c r="F163" s="1">
        <v>0</v>
      </c>
      <c r="H163" s="1">
        <v>750</v>
      </c>
      <c r="I163" s="1">
        <v>67256.36</v>
      </c>
      <c r="J163" s="1">
        <v>16880.88</v>
      </c>
      <c r="K163" s="1">
        <v>8616</v>
      </c>
      <c r="N163" s="1">
        <f t="shared" si="2"/>
        <v>5212.37</v>
      </c>
    </row>
    <row r="164" spans="1:14">
      <c r="A164" t="s">
        <v>431</v>
      </c>
      <c r="B164" t="s">
        <v>430</v>
      </c>
      <c r="C164" t="s">
        <v>124</v>
      </c>
      <c r="D164" t="s">
        <v>71</v>
      </c>
      <c r="E164" s="1">
        <v>23399.5</v>
      </c>
      <c r="F164" s="1">
        <v>0</v>
      </c>
      <c r="H164" s="1">
        <v>124.98</v>
      </c>
      <c r="I164" s="1">
        <v>23524.48</v>
      </c>
      <c r="J164" s="1">
        <v>22377.84</v>
      </c>
      <c r="K164" s="1">
        <v>3013</v>
      </c>
      <c r="N164" s="1">
        <f t="shared" si="2"/>
        <v>1823.15</v>
      </c>
    </row>
    <row r="165" spans="1:14">
      <c r="A165" t="s">
        <v>434</v>
      </c>
      <c r="B165" t="s">
        <v>433</v>
      </c>
      <c r="C165" t="s">
        <v>432</v>
      </c>
      <c r="D165" t="s">
        <v>62</v>
      </c>
      <c r="E165" s="1">
        <v>47453.679200000006</v>
      </c>
      <c r="F165" s="1">
        <v>535.88080000000002</v>
      </c>
      <c r="G165" s="1">
        <v>532.85</v>
      </c>
      <c r="H165" s="1">
        <v>549.96</v>
      </c>
      <c r="I165" s="1">
        <v>49072.37</v>
      </c>
      <c r="J165" s="1">
        <v>22377.84</v>
      </c>
      <c r="K165" s="1">
        <v>6149</v>
      </c>
      <c r="L165" s="1">
        <v>315.95999999999998</v>
      </c>
      <c r="N165" s="1">
        <f t="shared" si="2"/>
        <v>3803.11</v>
      </c>
    </row>
    <row r="166" spans="1:14">
      <c r="A166" t="s">
        <v>437</v>
      </c>
      <c r="B166" t="s">
        <v>436</v>
      </c>
      <c r="C166" t="s">
        <v>435</v>
      </c>
      <c r="D166" t="s">
        <v>20</v>
      </c>
      <c r="E166" s="1">
        <v>57020.689999999995</v>
      </c>
      <c r="F166" s="1">
        <v>0</v>
      </c>
      <c r="G166" s="1">
        <v>2389.65</v>
      </c>
      <c r="H166" s="1">
        <v>1000</v>
      </c>
      <c r="I166" s="1">
        <v>60410.34</v>
      </c>
      <c r="J166" s="1">
        <v>22377.84</v>
      </c>
      <c r="K166" s="1">
        <v>7432</v>
      </c>
      <c r="N166" s="1">
        <f t="shared" si="2"/>
        <v>4681.8</v>
      </c>
    </row>
    <row r="167" spans="1:14">
      <c r="A167" t="s">
        <v>345</v>
      </c>
      <c r="B167" t="s">
        <v>438</v>
      </c>
      <c r="C167" t="s">
        <v>103</v>
      </c>
      <c r="D167" t="s">
        <v>102</v>
      </c>
      <c r="E167" s="1">
        <v>67331.189999999988</v>
      </c>
      <c r="F167" s="1">
        <v>0</v>
      </c>
      <c r="G167" s="1">
        <v>2725.96</v>
      </c>
      <c r="H167" s="1">
        <v>0</v>
      </c>
      <c r="I167" s="1">
        <v>70057.149999999994</v>
      </c>
      <c r="J167" s="1">
        <v>22377.84</v>
      </c>
      <c r="K167" s="1">
        <v>8625</v>
      </c>
      <c r="N167" s="1">
        <f t="shared" si="2"/>
        <v>5429.43</v>
      </c>
    </row>
    <row r="168" spans="1:14">
      <c r="A168" t="s">
        <v>440</v>
      </c>
      <c r="B168" t="s">
        <v>439</v>
      </c>
      <c r="C168" t="s">
        <v>346</v>
      </c>
      <c r="D168" t="s">
        <v>20</v>
      </c>
      <c r="E168" s="1">
        <v>44809.31</v>
      </c>
      <c r="F168" s="1">
        <v>0</v>
      </c>
      <c r="H168" s="1">
        <v>750</v>
      </c>
      <c r="I168" s="1">
        <v>45559.31</v>
      </c>
      <c r="J168" s="1">
        <v>22377.84</v>
      </c>
      <c r="K168" s="1">
        <v>5836</v>
      </c>
      <c r="N168" s="1">
        <f t="shared" si="2"/>
        <v>3530.85</v>
      </c>
    </row>
    <row r="169" spans="1:14">
      <c r="A169" t="s">
        <v>443</v>
      </c>
      <c r="B169" t="s">
        <v>442</v>
      </c>
      <c r="C169" t="s">
        <v>441</v>
      </c>
      <c r="D169" t="s">
        <v>71</v>
      </c>
      <c r="E169" s="1">
        <v>59217.062900000004</v>
      </c>
      <c r="F169" s="1">
        <v>850.96709999999996</v>
      </c>
      <c r="G169" s="1">
        <v>6521.56</v>
      </c>
      <c r="H169" s="1">
        <v>0</v>
      </c>
      <c r="I169" s="1">
        <v>66589.59</v>
      </c>
      <c r="J169" s="1">
        <v>8510.2800000000007</v>
      </c>
      <c r="K169" s="1">
        <v>7586</v>
      </c>
      <c r="N169" s="1">
        <f t="shared" si="2"/>
        <v>5160.6899999999996</v>
      </c>
    </row>
    <row r="170" spans="1:14">
      <c r="A170" t="s">
        <v>445</v>
      </c>
      <c r="B170" t="s">
        <v>444</v>
      </c>
      <c r="C170" t="s">
        <v>139</v>
      </c>
      <c r="D170" t="s">
        <v>16</v>
      </c>
      <c r="E170" s="1">
        <v>59806.670000000006</v>
      </c>
      <c r="F170" s="1">
        <v>0</v>
      </c>
      <c r="G170" s="1">
        <v>1662.84</v>
      </c>
      <c r="H170" s="1">
        <v>999.96</v>
      </c>
      <c r="I170" s="1">
        <v>62469.47</v>
      </c>
      <c r="J170" s="1">
        <v>22377.84</v>
      </c>
      <c r="K170" s="1">
        <v>7789</v>
      </c>
      <c r="N170" s="1">
        <f t="shared" si="2"/>
        <v>4841.38</v>
      </c>
    </row>
    <row r="171" spans="1:14">
      <c r="A171" t="s">
        <v>447</v>
      </c>
      <c r="B171" t="s">
        <v>446</v>
      </c>
      <c r="C171" t="s">
        <v>17</v>
      </c>
      <c r="D171" t="s">
        <v>16</v>
      </c>
      <c r="E171" s="1">
        <v>72288</v>
      </c>
      <c r="F171" s="1">
        <v>0</v>
      </c>
      <c r="H171" s="1">
        <v>5727.8300000000017</v>
      </c>
      <c r="I171" s="1">
        <v>78015.83</v>
      </c>
      <c r="J171" s="1">
        <v>22377.84</v>
      </c>
      <c r="K171" s="1">
        <v>9994</v>
      </c>
      <c r="N171" s="1">
        <f t="shared" si="2"/>
        <v>6046.23</v>
      </c>
    </row>
    <row r="172" spans="1:14">
      <c r="A172" t="s">
        <v>449</v>
      </c>
      <c r="B172" t="s">
        <v>448</v>
      </c>
      <c r="C172" t="s">
        <v>124</v>
      </c>
      <c r="D172" t="s">
        <v>71</v>
      </c>
      <c r="E172" s="1">
        <v>48206.529500000004</v>
      </c>
      <c r="F172" s="1">
        <v>3383.4605000000001</v>
      </c>
      <c r="H172" s="1">
        <v>1749.96</v>
      </c>
      <c r="I172" s="1">
        <v>53339.950000000004</v>
      </c>
      <c r="J172" s="1">
        <v>2104.6799999999998</v>
      </c>
      <c r="K172" s="1">
        <v>6399</v>
      </c>
      <c r="N172" s="1">
        <f t="shared" si="2"/>
        <v>4133.8500000000004</v>
      </c>
    </row>
    <row r="173" spans="1:14">
      <c r="A173" t="s">
        <v>450</v>
      </c>
      <c r="B173" t="s">
        <v>114</v>
      </c>
      <c r="C173" t="s">
        <v>173</v>
      </c>
      <c r="D173" t="s">
        <v>62</v>
      </c>
      <c r="E173" s="1">
        <v>46478.619599999998</v>
      </c>
      <c r="F173" s="1">
        <v>1145.6304</v>
      </c>
      <c r="H173" s="1">
        <v>549.96</v>
      </c>
      <c r="I173" s="1">
        <v>48174.21</v>
      </c>
      <c r="J173" s="1">
        <v>16880.88</v>
      </c>
      <c r="K173" s="1">
        <v>6024</v>
      </c>
      <c r="L173" s="1">
        <v>311.38</v>
      </c>
      <c r="N173" s="1">
        <f t="shared" si="2"/>
        <v>3733.5</v>
      </c>
    </row>
    <row r="174" spans="1:14">
      <c r="A174" t="s">
        <v>452</v>
      </c>
      <c r="B174" t="s">
        <v>451</v>
      </c>
      <c r="C174" t="s">
        <v>241</v>
      </c>
      <c r="D174" t="s">
        <v>12</v>
      </c>
      <c r="E174" s="1">
        <v>41526.75</v>
      </c>
      <c r="F174" s="1">
        <v>0</v>
      </c>
      <c r="G174" s="1">
        <v>288.38</v>
      </c>
      <c r="H174" s="1">
        <v>1500</v>
      </c>
      <c r="I174" s="1">
        <v>43315.13</v>
      </c>
      <c r="J174" s="1">
        <v>8510.2800000000007</v>
      </c>
      <c r="K174" s="1">
        <v>5512</v>
      </c>
      <c r="N174" s="1">
        <f t="shared" si="2"/>
        <v>3356.92</v>
      </c>
    </row>
    <row r="175" spans="1:14">
      <c r="A175" t="s">
        <v>455</v>
      </c>
      <c r="B175" t="s">
        <v>454</v>
      </c>
      <c r="C175" t="s">
        <v>453</v>
      </c>
      <c r="D175" t="s">
        <v>71</v>
      </c>
      <c r="E175" s="1">
        <v>82056</v>
      </c>
      <c r="F175" s="1">
        <v>0</v>
      </c>
      <c r="H175" s="1">
        <v>1506.5299999999988</v>
      </c>
      <c r="I175" s="1">
        <v>83562.53</v>
      </c>
      <c r="J175" s="1">
        <v>22377.84</v>
      </c>
      <c r="K175" s="1">
        <v>10704</v>
      </c>
      <c r="N175" s="1">
        <f t="shared" si="2"/>
        <v>6476.1</v>
      </c>
    </row>
    <row r="176" spans="1:14">
      <c r="A176" t="s">
        <v>458</v>
      </c>
      <c r="B176" t="s">
        <v>457</v>
      </c>
      <c r="C176" t="s">
        <v>456</v>
      </c>
      <c r="D176" t="s">
        <v>62</v>
      </c>
      <c r="E176" s="1">
        <v>58293.94</v>
      </c>
      <c r="F176" s="1">
        <v>0</v>
      </c>
      <c r="G176" s="1">
        <v>3269.03</v>
      </c>
      <c r="H176" s="1">
        <v>549.96</v>
      </c>
      <c r="I176" s="1">
        <v>62112.93</v>
      </c>
      <c r="J176" s="1">
        <v>16880.88</v>
      </c>
      <c r="K176" s="1">
        <v>7538</v>
      </c>
      <c r="L176" s="1">
        <v>400.25</v>
      </c>
      <c r="N176" s="1">
        <f t="shared" si="2"/>
        <v>4813.75</v>
      </c>
    </row>
    <row r="177" spans="1:14">
      <c r="A177" t="s">
        <v>461</v>
      </c>
      <c r="B177" t="s">
        <v>460</v>
      </c>
      <c r="C177" t="s">
        <v>459</v>
      </c>
      <c r="D177" t="s">
        <v>71</v>
      </c>
      <c r="E177" s="1">
        <v>53519.86</v>
      </c>
      <c r="F177" s="1">
        <v>0</v>
      </c>
      <c r="H177" s="1">
        <v>249.96</v>
      </c>
      <c r="I177" s="1">
        <v>53769.82</v>
      </c>
      <c r="J177" s="1">
        <v>17699.400000000001</v>
      </c>
      <c r="K177" s="1">
        <v>6888</v>
      </c>
      <c r="L177" s="1">
        <v>374.17</v>
      </c>
      <c r="N177" s="1">
        <f t="shared" si="2"/>
        <v>4167.16</v>
      </c>
    </row>
    <row r="178" spans="1:14">
      <c r="A178" t="s">
        <v>463</v>
      </c>
      <c r="B178" t="s">
        <v>462</v>
      </c>
      <c r="C178" t="s">
        <v>34</v>
      </c>
      <c r="D178" t="s">
        <v>12</v>
      </c>
      <c r="E178" s="1">
        <v>23910.53</v>
      </c>
      <c r="F178" s="1">
        <v>0</v>
      </c>
      <c r="H178" s="1">
        <v>967.5</v>
      </c>
      <c r="I178" s="1">
        <v>24878.03</v>
      </c>
      <c r="J178" s="1">
        <v>16880.88</v>
      </c>
      <c r="K178" s="1">
        <v>3187</v>
      </c>
      <c r="N178" s="1">
        <f t="shared" si="2"/>
        <v>1928.05</v>
      </c>
    </row>
    <row r="179" spans="1:14">
      <c r="A179" t="s">
        <v>309</v>
      </c>
      <c r="B179" t="s">
        <v>465</v>
      </c>
      <c r="C179" t="s">
        <v>464</v>
      </c>
      <c r="D179" t="s">
        <v>12</v>
      </c>
      <c r="E179" s="1">
        <v>5947.59</v>
      </c>
      <c r="F179" s="1">
        <v>0</v>
      </c>
      <c r="H179" s="1">
        <v>0</v>
      </c>
      <c r="I179" s="1">
        <v>5947.59</v>
      </c>
      <c r="J179" s="1">
        <v>0</v>
      </c>
      <c r="K179" s="1">
        <v>762</v>
      </c>
      <c r="N179" s="1">
        <f t="shared" si="2"/>
        <v>460.94</v>
      </c>
    </row>
    <row r="180" spans="1:14">
      <c r="A180" t="s">
        <v>467</v>
      </c>
      <c r="B180" t="s">
        <v>466</v>
      </c>
      <c r="C180" t="s">
        <v>99</v>
      </c>
      <c r="D180" t="s">
        <v>62</v>
      </c>
      <c r="E180" s="1">
        <v>47168.2647</v>
      </c>
      <c r="F180" s="1">
        <v>1217.3852999999999</v>
      </c>
      <c r="H180" s="1">
        <v>1299.96</v>
      </c>
      <c r="I180" s="1">
        <v>49685.61</v>
      </c>
      <c r="J180" s="1">
        <v>22377.84</v>
      </c>
      <c r="K180" s="1">
        <v>6209</v>
      </c>
      <c r="L180" s="1">
        <v>311.42</v>
      </c>
      <c r="N180" s="1">
        <f t="shared" si="2"/>
        <v>3850.63</v>
      </c>
    </row>
    <row r="181" spans="1:14">
      <c r="A181" t="s">
        <v>469</v>
      </c>
      <c r="B181" t="s">
        <v>468</v>
      </c>
      <c r="C181" t="s">
        <v>183</v>
      </c>
      <c r="D181" t="s">
        <v>71</v>
      </c>
      <c r="E181" s="1">
        <v>52625.321100000001</v>
      </c>
      <c r="F181" s="1">
        <v>17706.528900000001</v>
      </c>
      <c r="H181" s="1">
        <v>0</v>
      </c>
      <c r="I181" s="1">
        <v>70331.850000000006</v>
      </c>
      <c r="J181" s="1">
        <v>16880.88</v>
      </c>
      <c r="K181" s="1">
        <v>6741</v>
      </c>
      <c r="N181" s="1">
        <f t="shared" si="2"/>
        <v>5450.72</v>
      </c>
    </row>
    <row r="182" spans="1:14">
      <c r="A182" t="s">
        <v>472</v>
      </c>
      <c r="B182" t="s">
        <v>471</v>
      </c>
      <c r="C182" t="s">
        <v>470</v>
      </c>
      <c r="D182" t="s">
        <v>79</v>
      </c>
      <c r="E182" s="1">
        <v>82161.03</v>
      </c>
      <c r="F182" s="1">
        <v>0</v>
      </c>
      <c r="H182" s="1">
        <v>3150.06</v>
      </c>
      <c r="I182" s="1">
        <v>85311.09</v>
      </c>
      <c r="J182" s="1">
        <v>22377.84</v>
      </c>
      <c r="K182" s="1">
        <v>10928</v>
      </c>
      <c r="N182" s="1">
        <f t="shared" si="2"/>
        <v>6611.61</v>
      </c>
    </row>
    <row r="183" spans="1:14">
      <c r="A183" t="s">
        <v>111</v>
      </c>
      <c r="B183" t="s">
        <v>474</v>
      </c>
      <c r="C183" t="s">
        <v>473</v>
      </c>
      <c r="D183" t="s">
        <v>58</v>
      </c>
      <c r="E183" s="1">
        <v>76533.960000000006</v>
      </c>
      <c r="F183" s="1">
        <v>0</v>
      </c>
      <c r="H183" s="1">
        <v>0</v>
      </c>
      <c r="I183" s="1">
        <v>76533.960000000006</v>
      </c>
      <c r="J183" s="1">
        <v>22377.84</v>
      </c>
      <c r="K183" s="1">
        <v>9804</v>
      </c>
      <c r="N183" s="1">
        <f t="shared" si="2"/>
        <v>5931.38</v>
      </c>
    </row>
    <row r="184" spans="1:14">
      <c r="A184" t="s">
        <v>477</v>
      </c>
      <c r="B184" t="s">
        <v>476</v>
      </c>
      <c r="C184" t="s">
        <v>475</v>
      </c>
      <c r="D184" t="s">
        <v>16</v>
      </c>
      <c r="E184" s="1">
        <v>111557.12</v>
      </c>
      <c r="F184" s="1">
        <v>0</v>
      </c>
      <c r="H184" s="1">
        <v>0</v>
      </c>
      <c r="I184" s="1">
        <v>111557.12</v>
      </c>
      <c r="J184" s="1">
        <v>0</v>
      </c>
      <c r="K184" s="1">
        <v>14290</v>
      </c>
      <c r="N184" s="1">
        <f t="shared" si="2"/>
        <v>8645.68</v>
      </c>
    </row>
    <row r="185" spans="1:14">
      <c r="A185" t="s">
        <v>479</v>
      </c>
      <c r="B185" t="s">
        <v>478</v>
      </c>
      <c r="C185" t="s">
        <v>96</v>
      </c>
      <c r="D185" t="s">
        <v>71</v>
      </c>
      <c r="E185" s="1">
        <v>41753.762199999997</v>
      </c>
      <c r="F185" s="1">
        <v>13097.3878</v>
      </c>
      <c r="H185" s="1">
        <v>0</v>
      </c>
      <c r="I185" s="1">
        <v>54851.149999999994</v>
      </c>
      <c r="J185" s="1">
        <v>8510.2800000000007</v>
      </c>
      <c r="K185" s="1">
        <v>5349</v>
      </c>
      <c r="N185" s="1">
        <f t="shared" si="2"/>
        <v>4250.96</v>
      </c>
    </row>
    <row r="186" spans="1:14">
      <c r="A186" t="s">
        <v>482</v>
      </c>
      <c r="B186" t="s">
        <v>481</v>
      </c>
      <c r="C186" t="s">
        <v>480</v>
      </c>
      <c r="D186" t="s">
        <v>30</v>
      </c>
      <c r="E186" s="1">
        <v>96189.08</v>
      </c>
      <c r="F186" s="1">
        <v>0</v>
      </c>
      <c r="H186" s="1">
        <v>0</v>
      </c>
      <c r="I186" s="1">
        <v>96189.08</v>
      </c>
      <c r="J186" s="1">
        <v>22377.84</v>
      </c>
      <c r="K186" s="1">
        <v>12322</v>
      </c>
      <c r="N186" s="1">
        <f t="shared" si="2"/>
        <v>7454.65</v>
      </c>
    </row>
    <row r="187" spans="1:14">
      <c r="A187" t="s">
        <v>485</v>
      </c>
      <c r="B187" t="s">
        <v>484</v>
      </c>
      <c r="C187" t="s">
        <v>483</v>
      </c>
      <c r="D187" t="s">
        <v>71</v>
      </c>
      <c r="E187" s="1">
        <v>39396.5098</v>
      </c>
      <c r="F187" s="1">
        <v>1311.3702000000001</v>
      </c>
      <c r="G187" s="1">
        <v>1248.92</v>
      </c>
      <c r="H187" s="1">
        <v>750</v>
      </c>
      <c r="I187" s="1">
        <v>42706.799999999996</v>
      </c>
      <c r="J187" s="1">
        <v>21559.32</v>
      </c>
      <c r="K187" s="1">
        <v>5143</v>
      </c>
      <c r="N187" s="1">
        <f t="shared" si="2"/>
        <v>3309.78</v>
      </c>
    </row>
    <row r="188" spans="1:14">
      <c r="A188" t="s">
        <v>487</v>
      </c>
      <c r="B188" t="s">
        <v>100</v>
      </c>
      <c r="C188" t="s">
        <v>486</v>
      </c>
      <c r="D188" t="s">
        <v>102</v>
      </c>
      <c r="E188" s="1">
        <v>13687.58</v>
      </c>
      <c r="F188" s="1">
        <v>0</v>
      </c>
      <c r="H188" s="1">
        <v>0</v>
      </c>
      <c r="I188" s="1">
        <v>13687.58</v>
      </c>
      <c r="J188" s="1">
        <v>0</v>
      </c>
      <c r="K188" s="1">
        <v>1753</v>
      </c>
      <c r="N188" s="1">
        <f t="shared" si="2"/>
        <v>1060.79</v>
      </c>
    </row>
    <row r="189" spans="1:14">
      <c r="A189" t="s">
        <v>489</v>
      </c>
      <c r="B189" t="s">
        <v>488</v>
      </c>
      <c r="C189" t="s">
        <v>134</v>
      </c>
      <c r="D189" t="s">
        <v>71</v>
      </c>
      <c r="E189" s="1">
        <v>46643.669199999989</v>
      </c>
      <c r="F189" s="1">
        <v>26756.560799999999</v>
      </c>
      <c r="G189" s="1">
        <v>3111.23</v>
      </c>
      <c r="H189" s="1">
        <v>750</v>
      </c>
      <c r="I189" s="1">
        <v>77261.459999999992</v>
      </c>
      <c r="J189" s="1">
        <v>22377.84</v>
      </c>
      <c r="K189" s="1">
        <v>6071</v>
      </c>
      <c r="N189" s="1">
        <f t="shared" si="2"/>
        <v>5987.76</v>
      </c>
    </row>
    <row r="190" spans="1:14">
      <c r="A190" t="s">
        <v>491</v>
      </c>
      <c r="B190" t="s">
        <v>490</v>
      </c>
      <c r="C190" t="s">
        <v>99</v>
      </c>
      <c r="D190" t="s">
        <v>62</v>
      </c>
      <c r="E190" s="1">
        <v>41244.7166</v>
      </c>
      <c r="F190" s="1">
        <v>129.92339999999999</v>
      </c>
      <c r="G190" s="1">
        <v>1649.58</v>
      </c>
      <c r="H190" s="1">
        <v>1299.96</v>
      </c>
      <c r="I190" s="1">
        <v>44324.18</v>
      </c>
      <c r="J190" s="1">
        <v>22377.84</v>
      </c>
      <c r="K190" s="1">
        <v>5450</v>
      </c>
      <c r="L190" s="1">
        <v>282.7</v>
      </c>
      <c r="N190" s="1">
        <f t="shared" si="2"/>
        <v>3435.12</v>
      </c>
    </row>
    <row r="191" spans="1:14">
      <c r="A191" t="s">
        <v>494</v>
      </c>
      <c r="B191" t="s">
        <v>493</v>
      </c>
      <c r="C191" t="s">
        <v>492</v>
      </c>
      <c r="D191" t="s">
        <v>79</v>
      </c>
      <c r="E191" s="1">
        <v>43415.100000000006</v>
      </c>
      <c r="F191" s="1">
        <v>0</v>
      </c>
      <c r="H191" s="1">
        <v>4534.5600000000004</v>
      </c>
      <c r="I191" s="1">
        <v>47949.66</v>
      </c>
      <c r="J191" s="1">
        <v>22377.84</v>
      </c>
      <c r="K191" s="1">
        <v>6142</v>
      </c>
      <c r="N191" s="1">
        <f t="shared" si="2"/>
        <v>3716.1</v>
      </c>
    </row>
    <row r="192" spans="1:14">
      <c r="A192" t="s">
        <v>385</v>
      </c>
      <c r="B192" t="s">
        <v>495</v>
      </c>
      <c r="C192" t="s">
        <v>473</v>
      </c>
      <c r="D192" t="s">
        <v>58</v>
      </c>
      <c r="E192" s="1">
        <v>78924</v>
      </c>
      <c r="F192" s="1">
        <v>0</v>
      </c>
      <c r="G192" s="1">
        <v>3342.08</v>
      </c>
      <c r="H192" s="1">
        <v>1512.7299999999959</v>
      </c>
      <c r="I192" s="1">
        <v>83778.81</v>
      </c>
      <c r="J192" s="1">
        <v>16880.88</v>
      </c>
      <c r="K192" s="1">
        <v>10304</v>
      </c>
      <c r="N192" s="1">
        <f t="shared" si="2"/>
        <v>6492.86</v>
      </c>
    </row>
    <row r="193" spans="1:14">
      <c r="A193" t="s">
        <v>498</v>
      </c>
      <c r="B193" t="s">
        <v>497</v>
      </c>
      <c r="C193" t="s">
        <v>496</v>
      </c>
      <c r="D193" t="s">
        <v>16</v>
      </c>
      <c r="E193" s="1">
        <v>75796.149999999994</v>
      </c>
      <c r="F193" s="1">
        <v>0</v>
      </c>
      <c r="G193" s="1">
        <v>462.47</v>
      </c>
      <c r="H193" s="1">
        <v>750</v>
      </c>
      <c r="I193" s="1">
        <v>77008.62</v>
      </c>
      <c r="J193" s="1">
        <v>8510.2800000000007</v>
      </c>
      <c r="K193" s="1">
        <v>9806</v>
      </c>
      <c r="N193" s="1">
        <f t="shared" si="2"/>
        <v>5968.17</v>
      </c>
    </row>
    <row r="194" spans="1:14">
      <c r="A194" t="s">
        <v>501</v>
      </c>
      <c r="B194" t="s">
        <v>500</v>
      </c>
      <c r="C194" t="s">
        <v>499</v>
      </c>
      <c r="D194" t="s">
        <v>30</v>
      </c>
      <c r="E194" s="1">
        <v>56134.33</v>
      </c>
      <c r="F194" s="1">
        <v>0</v>
      </c>
      <c r="H194" s="1">
        <v>750</v>
      </c>
      <c r="I194" s="1">
        <v>56884.33</v>
      </c>
      <c r="J194" s="1">
        <v>22377.84</v>
      </c>
      <c r="K194" s="1">
        <v>7287</v>
      </c>
      <c r="N194" s="1">
        <f t="shared" si="2"/>
        <v>4408.54</v>
      </c>
    </row>
    <row r="195" spans="1:14">
      <c r="A195" t="s">
        <v>503</v>
      </c>
      <c r="B195" t="s">
        <v>502</v>
      </c>
      <c r="C195" t="s">
        <v>371</v>
      </c>
      <c r="D195" t="s">
        <v>12</v>
      </c>
      <c r="E195" s="1">
        <v>46953.24</v>
      </c>
      <c r="F195" s="1">
        <v>0</v>
      </c>
      <c r="H195" s="1">
        <v>0</v>
      </c>
      <c r="I195" s="1">
        <v>46953.24</v>
      </c>
      <c r="J195" s="1">
        <v>22377.84</v>
      </c>
      <c r="K195" s="1">
        <v>6015</v>
      </c>
      <c r="N195" s="1">
        <f t="shared" si="2"/>
        <v>3638.88</v>
      </c>
    </row>
    <row r="196" spans="1:14">
      <c r="A196" t="s">
        <v>506</v>
      </c>
      <c r="B196" t="s">
        <v>505</v>
      </c>
      <c r="C196" t="s">
        <v>504</v>
      </c>
      <c r="D196" t="s">
        <v>30</v>
      </c>
      <c r="E196" s="1">
        <v>88371.944600000003</v>
      </c>
      <c r="F196" s="1">
        <v>429.3954</v>
      </c>
      <c r="G196" s="1">
        <v>6682.26</v>
      </c>
      <c r="H196" s="1">
        <v>0</v>
      </c>
      <c r="I196" s="1">
        <v>95483.599999999991</v>
      </c>
      <c r="J196" s="1">
        <v>22377.84</v>
      </c>
      <c r="K196" s="1">
        <v>11320</v>
      </c>
      <c r="N196" s="1">
        <f t="shared" ref="N196:N259" si="3">ROUND(+I196*0.0775,2)</f>
        <v>7399.98</v>
      </c>
    </row>
    <row r="197" spans="1:14">
      <c r="A197" t="s">
        <v>340</v>
      </c>
      <c r="B197" t="s">
        <v>508</v>
      </c>
      <c r="C197" t="s">
        <v>507</v>
      </c>
      <c r="D197" t="s">
        <v>12</v>
      </c>
      <c r="E197" s="1">
        <v>160128</v>
      </c>
      <c r="F197" s="1">
        <v>0</v>
      </c>
      <c r="H197" s="1">
        <v>8732.5599999999977</v>
      </c>
      <c r="I197" s="1">
        <v>168860.56</v>
      </c>
      <c r="J197" s="1">
        <v>0</v>
      </c>
      <c r="K197" s="1">
        <v>21631</v>
      </c>
      <c r="M197" s="1">
        <v>11278.74</v>
      </c>
      <c r="N197" s="1">
        <f t="shared" si="3"/>
        <v>13086.69</v>
      </c>
    </row>
    <row r="198" spans="1:14">
      <c r="A198" t="s">
        <v>511</v>
      </c>
      <c r="B198" t="s">
        <v>510</v>
      </c>
      <c r="C198" t="s">
        <v>509</v>
      </c>
      <c r="D198" t="s">
        <v>71</v>
      </c>
      <c r="E198" s="1">
        <v>49535.539800000006</v>
      </c>
      <c r="F198" s="1">
        <v>11391.5802</v>
      </c>
      <c r="G198" s="1">
        <v>1956.38</v>
      </c>
      <c r="H198" s="1">
        <v>750</v>
      </c>
      <c r="I198" s="1">
        <v>63633.5</v>
      </c>
      <c r="J198" s="1">
        <v>16880.88</v>
      </c>
      <c r="K198" s="1">
        <v>6442</v>
      </c>
      <c r="N198" s="1">
        <f t="shared" si="3"/>
        <v>4931.6000000000004</v>
      </c>
    </row>
    <row r="199" spans="1:14">
      <c r="A199" t="s">
        <v>389</v>
      </c>
      <c r="B199" t="s">
        <v>512</v>
      </c>
      <c r="C199" t="s">
        <v>173</v>
      </c>
      <c r="D199" t="s">
        <v>62</v>
      </c>
      <c r="E199" s="1">
        <v>44090.86</v>
      </c>
      <c r="F199" s="1">
        <v>0</v>
      </c>
      <c r="H199" s="1">
        <v>549.96</v>
      </c>
      <c r="I199" s="1">
        <v>44640.82</v>
      </c>
      <c r="J199" s="1">
        <v>8510.2800000000007</v>
      </c>
      <c r="K199" s="1">
        <v>5718</v>
      </c>
      <c r="L199" s="1">
        <v>317.83</v>
      </c>
      <c r="N199" s="1">
        <f t="shared" si="3"/>
        <v>3459.66</v>
      </c>
    </row>
    <row r="200" spans="1:14">
      <c r="A200" t="s">
        <v>515</v>
      </c>
      <c r="B200" t="s">
        <v>514</v>
      </c>
      <c r="C200" t="s">
        <v>513</v>
      </c>
      <c r="D200" t="s">
        <v>58</v>
      </c>
      <c r="E200" s="1">
        <v>147530.28</v>
      </c>
      <c r="F200" s="1">
        <v>0</v>
      </c>
      <c r="H200" s="1">
        <v>15365.04</v>
      </c>
      <c r="I200" s="1">
        <v>162895.32</v>
      </c>
      <c r="J200" s="1">
        <v>8510.2800000000007</v>
      </c>
      <c r="K200" s="1">
        <v>20867</v>
      </c>
      <c r="M200" s="1">
        <v>16999.84</v>
      </c>
      <c r="N200" s="1">
        <f t="shared" si="3"/>
        <v>12624.39</v>
      </c>
    </row>
    <row r="201" spans="1:14">
      <c r="A201" t="s">
        <v>517</v>
      </c>
      <c r="B201" t="s">
        <v>516</v>
      </c>
      <c r="C201" t="s">
        <v>13</v>
      </c>
      <c r="D201" t="s">
        <v>12</v>
      </c>
      <c r="E201" s="1">
        <v>29349.05</v>
      </c>
      <c r="F201" s="1">
        <v>0</v>
      </c>
      <c r="H201" s="1">
        <v>0</v>
      </c>
      <c r="I201" s="1">
        <v>29349.05</v>
      </c>
      <c r="J201" s="1">
        <v>0</v>
      </c>
      <c r="K201" s="1">
        <v>3760</v>
      </c>
      <c r="N201" s="1">
        <f t="shared" si="3"/>
        <v>2274.5500000000002</v>
      </c>
    </row>
    <row r="202" spans="1:14">
      <c r="A202" t="s">
        <v>519</v>
      </c>
      <c r="B202" t="s">
        <v>518</v>
      </c>
      <c r="C202" t="s">
        <v>376</v>
      </c>
      <c r="D202" t="s">
        <v>62</v>
      </c>
      <c r="E202" s="1">
        <v>50132.81</v>
      </c>
      <c r="F202" s="1">
        <v>0</v>
      </c>
      <c r="H202" s="1">
        <v>1299.96</v>
      </c>
      <c r="I202" s="1">
        <v>51432.77</v>
      </c>
      <c r="J202" s="1">
        <v>21177.24</v>
      </c>
      <c r="K202" s="1">
        <v>6589</v>
      </c>
      <c r="L202" s="1">
        <v>334.91</v>
      </c>
      <c r="N202" s="1">
        <f t="shared" si="3"/>
        <v>3986.04</v>
      </c>
    </row>
    <row r="203" spans="1:14">
      <c r="A203" t="s">
        <v>521</v>
      </c>
      <c r="B203" t="s">
        <v>269</v>
      </c>
      <c r="C203" t="s">
        <v>520</v>
      </c>
      <c r="D203" t="s">
        <v>62</v>
      </c>
      <c r="E203" s="1">
        <v>65973.09</v>
      </c>
      <c r="F203" s="1">
        <v>0</v>
      </c>
      <c r="H203" s="1">
        <v>8209.44</v>
      </c>
      <c r="I203" s="1">
        <v>74182.53</v>
      </c>
      <c r="J203" s="1">
        <v>8510.2800000000007</v>
      </c>
      <c r="K203" s="1">
        <v>9503</v>
      </c>
      <c r="N203" s="1">
        <f t="shared" si="3"/>
        <v>5749.15</v>
      </c>
    </row>
    <row r="204" spans="1:14">
      <c r="A204" t="s">
        <v>523</v>
      </c>
      <c r="B204" t="s">
        <v>522</v>
      </c>
      <c r="C204" t="s">
        <v>376</v>
      </c>
      <c r="D204" t="s">
        <v>62</v>
      </c>
      <c r="E204" s="1">
        <v>44207.668099999995</v>
      </c>
      <c r="F204" s="1">
        <v>55.0319</v>
      </c>
      <c r="G204" s="1">
        <v>1809.69</v>
      </c>
      <c r="H204" s="1">
        <v>1049.96</v>
      </c>
      <c r="I204" s="1">
        <v>47122.35</v>
      </c>
      <c r="J204" s="1">
        <v>16880.88</v>
      </c>
      <c r="K204" s="1">
        <v>5798</v>
      </c>
      <c r="L204" s="1">
        <v>313.08999999999997</v>
      </c>
      <c r="N204" s="1">
        <f t="shared" si="3"/>
        <v>3651.98</v>
      </c>
    </row>
    <row r="205" spans="1:14">
      <c r="A205" t="s">
        <v>445</v>
      </c>
      <c r="B205" t="s">
        <v>524</v>
      </c>
      <c r="C205" t="s">
        <v>49</v>
      </c>
      <c r="D205" t="s">
        <v>12</v>
      </c>
      <c r="E205" s="1">
        <v>14775.64</v>
      </c>
      <c r="F205" s="1">
        <v>0</v>
      </c>
      <c r="H205" s="1">
        <v>0</v>
      </c>
      <c r="I205" s="1">
        <v>14775.64</v>
      </c>
      <c r="J205" s="1">
        <v>8510.2800000000007</v>
      </c>
      <c r="K205" s="1">
        <v>1893</v>
      </c>
      <c r="N205" s="1">
        <f t="shared" si="3"/>
        <v>1145.1099999999999</v>
      </c>
    </row>
    <row r="206" spans="1:14">
      <c r="A206" t="s">
        <v>434</v>
      </c>
      <c r="B206" t="s">
        <v>525</v>
      </c>
      <c r="C206" t="s">
        <v>124</v>
      </c>
      <c r="D206" t="s">
        <v>71</v>
      </c>
      <c r="E206" s="1">
        <v>51317.188099999999</v>
      </c>
      <c r="F206" s="1">
        <v>12528.241900000001</v>
      </c>
      <c r="G206" s="1">
        <v>545.66999999999996</v>
      </c>
      <c r="H206" s="1">
        <v>249.96</v>
      </c>
      <c r="I206" s="1">
        <v>64641.06</v>
      </c>
      <c r="J206" s="1">
        <v>8510.2800000000007</v>
      </c>
      <c r="K206" s="1">
        <v>6606</v>
      </c>
      <c r="N206" s="1">
        <f t="shared" si="3"/>
        <v>5009.68</v>
      </c>
    </row>
    <row r="207" spans="1:14">
      <c r="A207" t="s">
        <v>285</v>
      </c>
      <c r="B207" t="s">
        <v>527</v>
      </c>
      <c r="C207" t="s">
        <v>526</v>
      </c>
      <c r="D207" t="s">
        <v>58</v>
      </c>
      <c r="E207" s="1">
        <v>86160</v>
      </c>
      <c r="F207" s="1">
        <v>0</v>
      </c>
      <c r="G207" s="1">
        <v>3479.54</v>
      </c>
      <c r="H207" s="1">
        <v>1278.75</v>
      </c>
      <c r="I207" s="1">
        <v>90918.29</v>
      </c>
      <c r="J207" s="1">
        <v>16880.88</v>
      </c>
      <c r="K207" s="1">
        <v>11201</v>
      </c>
      <c r="N207" s="1">
        <f t="shared" si="3"/>
        <v>7046.17</v>
      </c>
    </row>
    <row r="208" spans="1:14">
      <c r="A208" t="s">
        <v>105</v>
      </c>
      <c r="B208" t="s">
        <v>528</v>
      </c>
      <c r="C208" t="s">
        <v>198</v>
      </c>
      <c r="D208" t="s">
        <v>12</v>
      </c>
      <c r="E208" s="1">
        <v>14338.614799999999</v>
      </c>
      <c r="F208" s="1">
        <v>457.61520000000002</v>
      </c>
      <c r="H208" s="1">
        <v>0</v>
      </c>
      <c r="I208" s="1">
        <v>14796.23</v>
      </c>
      <c r="J208" s="1">
        <v>0</v>
      </c>
      <c r="K208" s="1">
        <v>1837</v>
      </c>
      <c r="N208" s="1">
        <f t="shared" si="3"/>
        <v>1146.71</v>
      </c>
    </row>
    <row r="209" spans="1:14">
      <c r="A209" t="s">
        <v>530</v>
      </c>
      <c r="B209" t="s">
        <v>529</v>
      </c>
      <c r="C209" t="s">
        <v>31</v>
      </c>
      <c r="D209" t="s">
        <v>30</v>
      </c>
      <c r="E209" s="1">
        <v>64099.24</v>
      </c>
      <c r="F209" s="1">
        <v>0</v>
      </c>
      <c r="G209" s="1">
        <v>1575.87</v>
      </c>
      <c r="H209" s="1">
        <v>750</v>
      </c>
      <c r="I209" s="1">
        <v>66425.11</v>
      </c>
      <c r="J209" s="1">
        <v>15957.36</v>
      </c>
      <c r="K209" s="1">
        <v>8307</v>
      </c>
      <c r="N209" s="1">
        <f t="shared" si="3"/>
        <v>5147.95</v>
      </c>
    </row>
    <row r="210" spans="1:14">
      <c r="A210" t="s">
        <v>533</v>
      </c>
      <c r="B210" t="s">
        <v>532</v>
      </c>
      <c r="C210" t="s">
        <v>531</v>
      </c>
      <c r="D210" t="s">
        <v>12</v>
      </c>
      <c r="E210" s="1">
        <v>77736.462599999999</v>
      </c>
      <c r="F210" s="1">
        <v>709.54740000000004</v>
      </c>
      <c r="H210" s="1">
        <v>1097.5</v>
      </c>
      <c r="I210" s="1">
        <v>79543.509999999995</v>
      </c>
      <c r="J210" s="1">
        <v>17333.28</v>
      </c>
      <c r="K210" s="1">
        <v>10099</v>
      </c>
      <c r="N210" s="1">
        <f t="shared" si="3"/>
        <v>6164.62</v>
      </c>
    </row>
    <row r="211" spans="1:14">
      <c r="A211" t="s">
        <v>535</v>
      </c>
      <c r="B211" t="s">
        <v>534</v>
      </c>
      <c r="C211" t="s">
        <v>227</v>
      </c>
      <c r="D211" t="s">
        <v>115</v>
      </c>
      <c r="E211" s="1">
        <v>68844.004400000005</v>
      </c>
      <c r="F211" s="1">
        <v>5891.8955999999998</v>
      </c>
      <c r="G211" s="1">
        <v>3111.23</v>
      </c>
      <c r="H211" s="1">
        <v>7574.1300000000047</v>
      </c>
      <c r="I211" s="1">
        <v>85421.260000000009</v>
      </c>
      <c r="J211" s="1">
        <v>21559.32</v>
      </c>
      <c r="K211" s="1">
        <v>9789</v>
      </c>
      <c r="N211" s="1">
        <f t="shared" si="3"/>
        <v>6620.15</v>
      </c>
    </row>
    <row r="212" spans="1:14">
      <c r="A212" t="s">
        <v>537</v>
      </c>
      <c r="B212" t="s">
        <v>536</v>
      </c>
      <c r="C212" t="s">
        <v>251</v>
      </c>
      <c r="D212" t="s">
        <v>16</v>
      </c>
      <c r="E212" s="1">
        <v>43930.01</v>
      </c>
      <c r="F212" s="1">
        <v>0</v>
      </c>
      <c r="H212" s="1">
        <v>750</v>
      </c>
      <c r="I212" s="1">
        <v>44680.01</v>
      </c>
      <c r="J212" s="1">
        <v>16880.88</v>
      </c>
      <c r="K212" s="1">
        <v>5724</v>
      </c>
      <c r="N212" s="1">
        <f t="shared" si="3"/>
        <v>3462.7</v>
      </c>
    </row>
    <row r="213" spans="1:14">
      <c r="A213" t="s">
        <v>539</v>
      </c>
      <c r="B213" t="s">
        <v>538</v>
      </c>
      <c r="C213" t="s">
        <v>470</v>
      </c>
      <c r="D213" t="s">
        <v>79</v>
      </c>
      <c r="E213" s="1">
        <v>62285.43</v>
      </c>
      <c r="F213" s="1">
        <v>0</v>
      </c>
      <c r="H213" s="1">
        <v>3057.75</v>
      </c>
      <c r="I213" s="1">
        <v>65343.18</v>
      </c>
      <c r="J213" s="1">
        <v>22377.84</v>
      </c>
      <c r="K213" s="1">
        <v>8370</v>
      </c>
      <c r="N213" s="1">
        <f t="shared" si="3"/>
        <v>5064.1000000000004</v>
      </c>
    </row>
    <row r="214" spans="1:14">
      <c r="A214" t="s">
        <v>541</v>
      </c>
      <c r="B214" t="s">
        <v>540</v>
      </c>
      <c r="C214" t="s">
        <v>217</v>
      </c>
      <c r="D214" t="s">
        <v>30</v>
      </c>
      <c r="E214" s="1">
        <v>94912.08</v>
      </c>
      <c r="F214" s="1">
        <v>0</v>
      </c>
      <c r="H214" s="1">
        <v>750</v>
      </c>
      <c r="I214" s="1">
        <v>95662.080000000002</v>
      </c>
      <c r="J214" s="1">
        <v>22377.84</v>
      </c>
      <c r="K214" s="1">
        <v>12254</v>
      </c>
      <c r="N214" s="1">
        <f t="shared" si="3"/>
        <v>7413.81</v>
      </c>
    </row>
    <row r="215" spans="1:14">
      <c r="A215" t="s">
        <v>437</v>
      </c>
      <c r="B215" t="s">
        <v>543</v>
      </c>
      <c r="C215" t="s">
        <v>542</v>
      </c>
      <c r="D215" t="s">
        <v>62</v>
      </c>
      <c r="E215" s="1">
        <v>76643.997600000002</v>
      </c>
      <c r="F215" s="1">
        <v>232.14240000000001</v>
      </c>
      <c r="G215" s="1">
        <v>3095.23</v>
      </c>
      <c r="H215" s="1">
        <v>9621.0200000000041</v>
      </c>
      <c r="I215" s="1">
        <v>89592.39</v>
      </c>
      <c r="J215" s="1">
        <v>0</v>
      </c>
      <c r="K215" s="1">
        <v>11051</v>
      </c>
      <c r="N215" s="1">
        <f t="shared" si="3"/>
        <v>6943.41</v>
      </c>
    </row>
    <row r="216" spans="1:14">
      <c r="A216" t="s">
        <v>545</v>
      </c>
      <c r="B216" t="s">
        <v>544</v>
      </c>
      <c r="C216" t="s">
        <v>142</v>
      </c>
      <c r="D216" t="s">
        <v>71</v>
      </c>
      <c r="E216" s="1">
        <v>52463</v>
      </c>
      <c r="F216" s="1">
        <v>997.85</v>
      </c>
      <c r="H216" s="1">
        <v>750</v>
      </c>
      <c r="I216" s="1">
        <v>54210.85</v>
      </c>
      <c r="J216" s="1">
        <v>22377.84</v>
      </c>
      <c r="K216" s="1">
        <v>6817</v>
      </c>
      <c r="N216" s="1">
        <f t="shared" si="3"/>
        <v>4201.34</v>
      </c>
    </row>
    <row r="217" spans="1:14">
      <c r="A217" t="s">
        <v>546</v>
      </c>
      <c r="B217" t="s">
        <v>146</v>
      </c>
      <c r="C217" t="s">
        <v>195</v>
      </c>
      <c r="D217" t="s">
        <v>62</v>
      </c>
      <c r="E217" s="1">
        <v>46761.657100000004</v>
      </c>
      <c r="F217" s="1">
        <v>1908.0728999999999</v>
      </c>
      <c r="G217" s="1">
        <v>5171.9799999999996</v>
      </c>
      <c r="H217" s="1">
        <v>1299.96</v>
      </c>
      <c r="I217" s="1">
        <v>55141.67</v>
      </c>
      <c r="J217" s="1">
        <v>22377.84</v>
      </c>
      <c r="K217" s="1">
        <v>6157</v>
      </c>
      <c r="L217" s="1">
        <v>330.14</v>
      </c>
      <c r="N217" s="1">
        <f t="shared" si="3"/>
        <v>4273.4799999999996</v>
      </c>
    </row>
    <row r="218" spans="1:14">
      <c r="A218" t="s">
        <v>549</v>
      </c>
      <c r="B218" t="s">
        <v>548</v>
      </c>
      <c r="C218" t="s">
        <v>547</v>
      </c>
      <c r="D218" t="s">
        <v>16</v>
      </c>
      <c r="E218" s="1">
        <v>69841.89</v>
      </c>
      <c r="F218" s="1">
        <v>0</v>
      </c>
      <c r="G218" s="1">
        <v>7847.31</v>
      </c>
      <c r="H218" s="1">
        <v>0</v>
      </c>
      <c r="I218" s="1">
        <v>77689.2</v>
      </c>
      <c r="J218" s="1">
        <v>22377.84</v>
      </c>
      <c r="K218" s="1">
        <v>8947</v>
      </c>
      <c r="N218" s="1">
        <f t="shared" si="3"/>
        <v>6020.91</v>
      </c>
    </row>
    <row r="219" spans="1:14">
      <c r="A219" t="s">
        <v>551</v>
      </c>
      <c r="B219" t="s">
        <v>550</v>
      </c>
      <c r="C219" t="s">
        <v>207</v>
      </c>
      <c r="D219" t="s">
        <v>58</v>
      </c>
      <c r="E219" s="1">
        <v>58240.79</v>
      </c>
      <c r="F219" s="1">
        <v>0</v>
      </c>
      <c r="G219" s="1">
        <v>2389.85</v>
      </c>
      <c r="H219" s="1">
        <v>0</v>
      </c>
      <c r="I219" s="1">
        <v>60630.64</v>
      </c>
      <c r="J219" s="1">
        <v>22377.84</v>
      </c>
      <c r="K219" s="1">
        <v>7461</v>
      </c>
      <c r="N219" s="1">
        <f t="shared" si="3"/>
        <v>4698.87</v>
      </c>
    </row>
    <row r="220" spans="1:14">
      <c r="A220" t="s">
        <v>553</v>
      </c>
      <c r="B220" t="s">
        <v>552</v>
      </c>
      <c r="C220" t="s">
        <v>96</v>
      </c>
      <c r="D220" t="s">
        <v>71</v>
      </c>
      <c r="E220" s="1">
        <v>9487.25</v>
      </c>
      <c r="F220" s="1">
        <v>0</v>
      </c>
      <c r="H220" s="1">
        <v>0</v>
      </c>
      <c r="I220" s="1">
        <v>9487.25</v>
      </c>
      <c r="J220" s="1">
        <v>22377.84</v>
      </c>
      <c r="K220" s="1">
        <v>1215</v>
      </c>
      <c r="N220" s="1">
        <f t="shared" si="3"/>
        <v>735.26</v>
      </c>
    </row>
    <row r="221" spans="1:14">
      <c r="A221" t="s">
        <v>411</v>
      </c>
      <c r="B221" t="s">
        <v>555</v>
      </c>
      <c r="C221" t="s">
        <v>554</v>
      </c>
      <c r="D221" t="s">
        <v>16</v>
      </c>
      <c r="E221" s="1">
        <v>32349.17</v>
      </c>
      <c r="F221" s="1">
        <v>0</v>
      </c>
      <c r="G221" s="1">
        <v>1418</v>
      </c>
      <c r="H221" s="1">
        <v>500</v>
      </c>
      <c r="I221" s="1">
        <v>34267.17</v>
      </c>
      <c r="J221" s="1">
        <v>16880.88</v>
      </c>
      <c r="K221" s="1">
        <v>4208</v>
      </c>
      <c r="N221" s="1">
        <f t="shared" si="3"/>
        <v>2655.71</v>
      </c>
    </row>
    <row r="222" spans="1:14">
      <c r="A222" t="s">
        <v>557</v>
      </c>
      <c r="B222" t="s">
        <v>556</v>
      </c>
      <c r="C222" t="s">
        <v>116</v>
      </c>
      <c r="D222" t="s">
        <v>12</v>
      </c>
      <c r="E222" s="1">
        <v>41700.92</v>
      </c>
      <c r="F222" s="1">
        <v>0</v>
      </c>
      <c r="H222" s="1">
        <v>750</v>
      </c>
      <c r="I222" s="1">
        <v>42450.92</v>
      </c>
      <c r="J222" s="1">
        <v>22377.84</v>
      </c>
      <c r="K222" s="1">
        <v>5438</v>
      </c>
      <c r="N222" s="1">
        <f t="shared" si="3"/>
        <v>3289.95</v>
      </c>
    </row>
    <row r="223" spans="1:14">
      <c r="A223" t="s">
        <v>559</v>
      </c>
      <c r="B223" t="s">
        <v>558</v>
      </c>
      <c r="C223" t="s">
        <v>173</v>
      </c>
      <c r="D223" t="s">
        <v>62</v>
      </c>
      <c r="E223" s="1">
        <v>47280</v>
      </c>
      <c r="F223" s="1">
        <v>1123.8</v>
      </c>
      <c r="G223" s="1">
        <v>3041.75</v>
      </c>
      <c r="H223" s="1">
        <v>2362.9300000000003</v>
      </c>
      <c r="I223" s="1">
        <v>53808.480000000003</v>
      </c>
      <c r="J223" s="1">
        <v>22377.84</v>
      </c>
      <c r="K223" s="1">
        <v>6359</v>
      </c>
      <c r="L223" s="1">
        <v>322.06</v>
      </c>
      <c r="N223" s="1">
        <f t="shared" si="3"/>
        <v>4170.16</v>
      </c>
    </row>
    <row r="224" spans="1:14">
      <c r="A224" t="s">
        <v>561</v>
      </c>
      <c r="B224" t="s">
        <v>560</v>
      </c>
      <c r="C224" t="s">
        <v>124</v>
      </c>
      <c r="D224" t="s">
        <v>71</v>
      </c>
      <c r="E224" s="1">
        <v>48668.545299999998</v>
      </c>
      <c r="F224" s="1">
        <v>842.62469999999996</v>
      </c>
      <c r="G224" s="1">
        <v>1576.11</v>
      </c>
      <c r="H224" s="1">
        <v>249.96</v>
      </c>
      <c r="I224" s="1">
        <v>51337.24</v>
      </c>
      <c r="J224" s="1">
        <v>2104.6799999999998</v>
      </c>
      <c r="K224" s="1">
        <v>6266</v>
      </c>
      <c r="N224" s="1">
        <f t="shared" si="3"/>
        <v>3978.64</v>
      </c>
    </row>
    <row r="225" spans="1:14">
      <c r="A225" t="s">
        <v>563</v>
      </c>
      <c r="B225" t="s">
        <v>562</v>
      </c>
      <c r="C225" t="s">
        <v>116</v>
      </c>
      <c r="D225" t="s">
        <v>62</v>
      </c>
      <c r="E225" s="1">
        <v>47114.32</v>
      </c>
      <c r="F225" s="1">
        <v>0</v>
      </c>
      <c r="H225" s="1">
        <v>0</v>
      </c>
      <c r="I225" s="1">
        <v>47114.32</v>
      </c>
      <c r="J225" s="1">
        <v>8510.2800000000007</v>
      </c>
      <c r="K225" s="1">
        <v>6035</v>
      </c>
      <c r="N225" s="1">
        <f t="shared" si="3"/>
        <v>3651.36</v>
      </c>
    </row>
    <row r="226" spans="1:14">
      <c r="A226" t="s">
        <v>565</v>
      </c>
      <c r="B226" t="s">
        <v>564</v>
      </c>
      <c r="C226" t="s">
        <v>355</v>
      </c>
      <c r="D226" t="s">
        <v>102</v>
      </c>
      <c r="E226" s="1">
        <v>17890.59</v>
      </c>
      <c r="F226" s="1">
        <v>0</v>
      </c>
      <c r="H226" s="1">
        <v>0</v>
      </c>
      <c r="I226" s="1">
        <v>17890.59</v>
      </c>
      <c r="J226" s="1">
        <v>0</v>
      </c>
      <c r="K226" s="1">
        <v>2292</v>
      </c>
      <c r="N226" s="1">
        <f t="shared" si="3"/>
        <v>1386.52</v>
      </c>
    </row>
    <row r="227" spans="1:14">
      <c r="A227" t="s">
        <v>568</v>
      </c>
      <c r="B227" t="s">
        <v>567</v>
      </c>
      <c r="C227" t="s">
        <v>566</v>
      </c>
      <c r="D227" t="s">
        <v>30</v>
      </c>
      <c r="E227" s="1">
        <v>69639.33</v>
      </c>
      <c r="F227" s="1">
        <v>0</v>
      </c>
      <c r="H227" s="1">
        <v>0</v>
      </c>
      <c r="I227" s="1">
        <v>69639.33</v>
      </c>
      <c r="J227" s="1">
        <v>22377.84</v>
      </c>
      <c r="K227" s="1">
        <v>8921</v>
      </c>
      <c r="N227" s="1">
        <f t="shared" si="3"/>
        <v>5397.05</v>
      </c>
    </row>
    <row r="228" spans="1:14">
      <c r="A228" t="s">
        <v>570</v>
      </c>
      <c r="B228" t="s">
        <v>569</v>
      </c>
      <c r="C228" t="s">
        <v>121</v>
      </c>
      <c r="D228" t="s">
        <v>71</v>
      </c>
      <c r="E228" s="1">
        <v>38284.19</v>
      </c>
      <c r="F228" s="1">
        <v>0</v>
      </c>
      <c r="G228" s="1">
        <v>1673.54</v>
      </c>
      <c r="H228" s="1">
        <v>249.96</v>
      </c>
      <c r="I228" s="1">
        <v>40207.69</v>
      </c>
      <c r="J228" s="1">
        <v>16880.88</v>
      </c>
      <c r="K228" s="1">
        <v>4936</v>
      </c>
      <c r="L228" s="1">
        <v>272.05</v>
      </c>
      <c r="N228" s="1">
        <f t="shared" si="3"/>
        <v>3116.1</v>
      </c>
    </row>
    <row r="229" spans="1:14">
      <c r="A229" t="s">
        <v>572</v>
      </c>
      <c r="B229" t="s">
        <v>571</v>
      </c>
      <c r="C229" t="s">
        <v>49</v>
      </c>
      <c r="D229" t="s">
        <v>12</v>
      </c>
      <c r="E229" s="1">
        <v>33459.980000000003</v>
      </c>
      <c r="F229" s="1">
        <v>0</v>
      </c>
      <c r="H229" s="1">
        <v>0</v>
      </c>
      <c r="I229" s="1">
        <v>33459.980000000003</v>
      </c>
      <c r="J229" s="1">
        <v>16880.88</v>
      </c>
      <c r="K229" s="1">
        <v>4286</v>
      </c>
      <c r="N229" s="1">
        <f t="shared" si="3"/>
        <v>2593.15</v>
      </c>
    </row>
    <row r="230" spans="1:14">
      <c r="A230" t="s">
        <v>574</v>
      </c>
      <c r="B230" t="s">
        <v>573</v>
      </c>
      <c r="C230" t="s">
        <v>96</v>
      </c>
      <c r="D230" t="s">
        <v>71</v>
      </c>
      <c r="E230" s="1">
        <v>7521.3099999999995</v>
      </c>
      <c r="F230" s="1">
        <v>0</v>
      </c>
      <c r="H230" s="1">
        <v>750</v>
      </c>
      <c r="I230" s="1">
        <v>8271.31</v>
      </c>
      <c r="J230" s="1">
        <v>0</v>
      </c>
      <c r="K230" s="1">
        <v>1060</v>
      </c>
      <c r="N230" s="1">
        <f t="shared" si="3"/>
        <v>641.03</v>
      </c>
    </row>
    <row r="231" spans="1:14">
      <c r="A231" t="s">
        <v>577</v>
      </c>
      <c r="B231" t="s">
        <v>576</v>
      </c>
      <c r="C231" t="s">
        <v>575</v>
      </c>
      <c r="D231" t="s">
        <v>58</v>
      </c>
      <c r="E231" s="1">
        <v>57588.22</v>
      </c>
      <c r="F231" s="1">
        <v>0</v>
      </c>
      <c r="G231" s="1">
        <v>2331.5</v>
      </c>
      <c r="H231" s="1">
        <v>750</v>
      </c>
      <c r="I231" s="1">
        <v>60669.72</v>
      </c>
      <c r="J231" s="1">
        <v>16880.88</v>
      </c>
      <c r="K231" s="1">
        <v>7473</v>
      </c>
      <c r="N231" s="1">
        <f t="shared" si="3"/>
        <v>4701.8999999999996</v>
      </c>
    </row>
    <row r="232" spans="1:14">
      <c r="A232" t="s">
        <v>579</v>
      </c>
      <c r="B232" t="s">
        <v>578</v>
      </c>
      <c r="C232" t="s">
        <v>46</v>
      </c>
      <c r="D232" t="s">
        <v>12</v>
      </c>
      <c r="E232" s="1">
        <v>47428.89</v>
      </c>
      <c r="F232" s="1">
        <v>653.4</v>
      </c>
      <c r="H232" s="1">
        <v>0</v>
      </c>
      <c r="I232" s="1">
        <v>48082.29</v>
      </c>
      <c r="J232" s="1">
        <v>2104.6799999999998</v>
      </c>
      <c r="K232" s="1">
        <v>6076</v>
      </c>
      <c r="N232" s="1">
        <f t="shared" si="3"/>
        <v>3726.38</v>
      </c>
    </row>
    <row r="233" spans="1:14">
      <c r="A233" t="s">
        <v>582</v>
      </c>
      <c r="B233" t="s">
        <v>581</v>
      </c>
      <c r="C233" t="s">
        <v>580</v>
      </c>
      <c r="D233" t="s">
        <v>62</v>
      </c>
      <c r="E233" s="1">
        <v>52494.46</v>
      </c>
      <c r="F233" s="1">
        <v>0</v>
      </c>
      <c r="G233" s="1">
        <v>5690.26</v>
      </c>
      <c r="H233" s="1">
        <v>549.96</v>
      </c>
      <c r="I233" s="1">
        <v>58734.68</v>
      </c>
      <c r="J233" s="1">
        <v>22377.84</v>
      </c>
      <c r="K233" s="1">
        <v>6795</v>
      </c>
      <c r="L233" s="1">
        <v>365.49</v>
      </c>
      <c r="N233" s="1">
        <f t="shared" si="3"/>
        <v>4551.9399999999996</v>
      </c>
    </row>
    <row r="234" spans="1:14">
      <c r="A234" t="s">
        <v>584</v>
      </c>
      <c r="B234" t="s">
        <v>583</v>
      </c>
      <c r="C234" t="s">
        <v>165</v>
      </c>
      <c r="D234" t="s">
        <v>58</v>
      </c>
      <c r="E234" s="1">
        <v>65715.39</v>
      </c>
      <c r="F234" s="1">
        <v>0</v>
      </c>
      <c r="G234" s="1">
        <v>2660.54</v>
      </c>
      <c r="H234" s="1">
        <v>999.96</v>
      </c>
      <c r="I234" s="1">
        <v>69375.89</v>
      </c>
      <c r="J234" s="1">
        <v>16880.88</v>
      </c>
      <c r="K234" s="1">
        <v>8546</v>
      </c>
      <c r="N234" s="1">
        <f t="shared" si="3"/>
        <v>5376.63</v>
      </c>
    </row>
    <row r="235" spans="1:14">
      <c r="A235" t="s">
        <v>587</v>
      </c>
      <c r="B235" t="s">
        <v>586</v>
      </c>
      <c r="C235" t="s">
        <v>585</v>
      </c>
      <c r="D235" t="s">
        <v>27</v>
      </c>
      <c r="E235" s="1">
        <v>1009.3200000000002</v>
      </c>
      <c r="F235" s="1">
        <v>0</v>
      </c>
      <c r="H235" s="1">
        <v>92.31</v>
      </c>
      <c r="I235" s="1">
        <v>1101.6300000000001</v>
      </c>
      <c r="J235" s="1">
        <v>16880.88</v>
      </c>
      <c r="K235" s="1">
        <v>141</v>
      </c>
      <c r="N235" s="1">
        <f t="shared" si="3"/>
        <v>85.38</v>
      </c>
    </row>
    <row r="236" spans="1:14">
      <c r="A236" t="s">
        <v>589</v>
      </c>
      <c r="B236" t="s">
        <v>588</v>
      </c>
      <c r="C236" t="s">
        <v>281</v>
      </c>
      <c r="D236" t="s">
        <v>58</v>
      </c>
      <c r="E236" s="1">
        <v>53441.75</v>
      </c>
      <c r="F236" s="1">
        <v>0</v>
      </c>
      <c r="H236" s="1">
        <v>750</v>
      </c>
      <c r="I236" s="1">
        <v>54191.75</v>
      </c>
      <c r="J236" s="1">
        <v>8510.2800000000007</v>
      </c>
      <c r="K236" s="1">
        <v>6942</v>
      </c>
      <c r="N236" s="1">
        <f t="shared" si="3"/>
        <v>4199.8599999999997</v>
      </c>
    </row>
    <row r="237" spans="1:14">
      <c r="A237" t="s">
        <v>591</v>
      </c>
      <c r="B237" t="s">
        <v>590</v>
      </c>
      <c r="C237" t="s">
        <v>124</v>
      </c>
      <c r="D237" t="s">
        <v>71</v>
      </c>
      <c r="E237" s="1">
        <v>46914.9493</v>
      </c>
      <c r="F237" s="1">
        <v>4046.4506999999999</v>
      </c>
      <c r="G237" s="1">
        <v>493.85</v>
      </c>
      <c r="H237" s="1">
        <v>999.96</v>
      </c>
      <c r="I237" s="1">
        <v>52455.21</v>
      </c>
      <c r="J237" s="1">
        <v>8510.2800000000007</v>
      </c>
      <c r="K237" s="1">
        <v>6138</v>
      </c>
      <c r="N237" s="1">
        <f t="shared" si="3"/>
        <v>4065.28</v>
      </c>
    </row>
    <row r="238" spans="1:14">
      <c r="A238" t="s">
        <v>594</v>
      </c>
      <c r="B238" t="s">
        <v>593</v>
      </c>
      <c r="C238" t="s">
        <v>592</v>
      </c>
      <c r="D238" t="s">
        <v>20</v>
      </c>
      <c r="E238" s="1">
        <v>64273.58</v>
      </c>
      <c r="F238" s="1">
        <v>0</v>
      </c>
      <c r="H238" s="1">
        <v>0</v>
      </c>
      <c r="I238" s="1">
        <v>64273.58</v>
      </c>
      <c r="J238" s="1">
        <v>16880.88</v>
      </c>
      <c r="K238" s="1">
        <v>8233</v>
      </c>
      <c r="N238" s="1">
        <f t="shared" si="3"/>
        <v>4981.2</v>
      </c>
    </row>
    <row r="239" spans="1:14">
      <c r="A239" t="s">
        <v>340</v>
      </c>
      <c r="B239" t="s">
        <v>596</v>
      </c>
      <c r="C239" t="s">
        <v>595</v>
      </c>
      <c r="D239" t="s">
        <v>30</v>
      </c>
      <c r="E239" s="1">
        <v>46487.32</v>
      </c>
      <c r="F239" s="1">
        <v>0</v>
      </c>
      <c r="H239" s="1">
        <v>500</v>
      </c>
      <c r="I239" s="1">
        <v>46987.32</v>
      </c>
      <c r="J239" s="1">
        <v>0</v>
      </c>
      <c r="K239" s="1">
        <v>6019</v>
      </c>
      <c r="N239" s="1">
        <f t="shared" si="3"/>
        <v>3641.52</v>
      </c>
    </row>
    <row r="240" spans="1:14">
      <c r="A240" t="s">
        <v>599</v>
      </c>
      <c r="B240" t="s">
        <v>598</v>
      </c>
      <c r="C240" t="s">
        <v>597</v>
      </c>
      <c r="D240" t="s">
        <v>79</v>
      </c>
      <c r="E240" s="1">
        <v>53887.607199999999</v>
      </c>
      <c r="F240" s="1">
        <v>318.46280000000002</v>
      </c>
      <c r="H240" s="1">
        <v>1146.17</v>
      </c>
      <c r="I240" s="1">
        <v>55352.24</v>
      </c>
      <c r="J240" s="1">
        <v>22377.84</v>
      </c>
      <c r="K240" s="1">
        <v>7050</v>
      </c>
      <c r="N240" s="1">
        <f t="shared" si="3"/>
        <v>4289.8</v>
      </c>
    </row>
    <row r="241" spans="1:14">
      <c r="A241" t="s">
        <v>601</v>
      </c>
      <c r="B241" t="s">
        <v>600</v>
      </c>
      <c r="C241" t="s">
        <v>99</v>
      </c>
      <c r="D241" t="s">
        <v>62</v>
      </c>
      <c r="E241" s="1">
        <v>16143.83</v>
      </c>
      <c r="F241" s="1">
        <v>0</v>
      </c>
      <c r="H241" s="1">
        <v>229.15</v>
      </c>
      <c r="I241" s="1">
        <v>16372.98</v>
      </c>
      <c r="J241" s="1">
        <v>22377.84</v>
      </c>
      <c r="K241" s="1">
        <v>2097</v>
      </c>
      <c r="L241" s="1">
        <v>302.41000000000003</v>
      </c>
      <c r="N241" s="1">
        <f t="shared" si="3"/>
        <v>1268.9100000000001</v>
      </c>
    </row>
    <row r="242" spans="1:14">
      <c r="A242" t="s">
        <v>604</v>
      </c>
      <c r="B242" t="s">
        <v>603</v>
      </c>
      <c r="C242" t="s">
        <v>602</v>
      </c>
      <c r="D242" t="s">
        <v>30</v>
      </c>
      <c r="E242" s="1">
        <v>54242.63</v>
      </c>
      <c r="F242" s="1">
        <v>0</v>
      </c>
      <c r="H242" s="1">
        <v>750</v>
      </c>
      <c r="I242" s="1">
        <v>54992.63</v>
      </c>
      <c r="J242" s="1">
        <v>8510.2800000000007</v>
      </c>
      <c r="K242" s="1">
        <v>7045</v>
      </c>
      <c r="N242" s="1">
        <f t="shared" si="3"/>
        <v>4261.93</v>
      </c>
    </row>
    <row r="243" spans="1:14">
      <c r="A243" t="s">
        <v>197</v>
      </c>
      <c r="B243" t="s">
        <v>605</v>
      </c>
      <c r="C243" t="s">
        <v>376</v>
      </c>
      <c r="D243" t="s">
        <v>62</v>
      </c>
      <c r="E243" s="1">
        <v>51864.000200000009</v>
      </c>
      <c r="F243" s="1">
        <v>731.95979999999997</v>
      </c>
      <c r="G243" s="1">
        <v>3647.27</v>
      </c>
      <c r="H243" s="1">
        <v>2527.7599999999948</v>
      </c>
      <c r="I243" s="1">
        <v>58770.99</v>
      </c>
      <c r="J243" s="1">
        <v>22377.84</v>
      </c>
      <c r="K243" s="1">
        <v>6968</v>
      </c>
      <c r="L243" s="1">
        <v>334.91</v>
      </c>
      <c r="N243" s="1">
        <f t="shared" si="3"/>
        <v>4554.75</v>
      </c>
    </row>
    <row r="244" spans="1:14">
      <c r="A244" t="s">
        <v>607</v>
      </c>
      <c r="B244" t="s">
        <v>606</v>
      </c>
      <c r="C244" t="s">
        <v>368</v>
      </c>
      <c r="D244" t="s">
        <v>102</v>
      </c>
      <c r="E244" s="1">
        <v>13872.78</v>
      </c>
      <c r="F244" s="1">
        <v>0</v>
      </c>
      <c r="H244" s="1">
        <v>0</v>
      </c>
      <c r="I244" s="1">
        <v>13872.78</v>
      </c>
      <c r="J244" s="1">
        <v>0</v>
      </c>
      <c r="K244" s="1">
        <v>1777</v>
      </c>
      <c r="N244" s="1">
        <f t="shared" si="3"/>
        <v>1075.1400000000001</v>
      </c>
    </row>
    <row r="245" spans="1:14">
      <c r="A245" t="s">
        <v>461</v>
      </c>
      <c r="B245" t="s">
        <v>608</v>
      </c>
      <c r="C245" t="s">
        <v>376</v>
      </c>
      <c r="D245" t="s">
        <v>62</v>
      </c>
      <c r="E245" s="1">
        <v>51864.001600000003</v>
      </c>
      <c r="F245" s="1">
        <v>77.048400000000001</v>
      </c>
      <c r="H245" s="1">
        <v>2810.25</v>
      </c>
      <c r="I245" s="1">
        <v>54751.3</v>
      </c>
      <c r="J245" s="1">
        <v>22377.84</v>
      </c>
      <c r="K245" s="1">
        <v>7004</v>
      </c>
      <c r="L245" s="1">
        <v>334.91</v>
      </c>
      <c r="N245" s="1">
        <f t="shared" si="3"/>
        <v>4243.2299999999996</v>
      </c>
    </row>
    <row r="246" spans="1:14">
      <c r="A246" t="s">
        <v>610</v>
      </c>
      <c r="B246" t="s">
        <v>609</v>
      </c>
      <c r="C246" t="s">
        <v>165</v>
      </c>
      <c r="D246" t="s">
        <v>58</v>
      </c>
      <c r="E246" s="1">
        <v>51295.95</v>
      </c>
      <c r="F246" s="1">
        <v>0</v>
      </c>
      <c r="G246" s="1">
        <v>2188.62</v>
      </c>
      <c r="H246" s="1">
        <v>749.96</v>
      </c>
      <c r="I246" s="1">
        <v>54234.53</v>
      </c>
      <c r="J246" s="1">
        <v>22377.84</v>
      </c>
      <c r="K246" s="1">
        <v>6667</v>
      </c>
      <c r="N246" s="1">
        <f t="shared" si="3"/>
        <v>4203.18</v>
      </c>
    </row>
    <row r="247" spans="1:14">
      <c r="A247" t="s">
        <v>613</v>
      </c>
      <c r="B247" t="s">
        <v>612</v>
      </c>
      <c r="C247" t="s">
        <v>611</v>
      </c>
      <c r="D247" t="s">
        <v>62</v>
      </c>
      <c r="E247" s="1">
        <v>12278.52</v>
      </c>
      <c r="F247" s="1">
        <v>0</v>
      </c>
      <c r="H247" s="1">
        <v>274.98</v>
      </c>
      <c r="I247" s="1">
        <v>12553.5</v>
      </c>
      <c r="J247" s="1">
        <v>22377.84</v>
      </c>
      <c r="K247" s="1">
        <v>1608</v>
      </c>
      <c r="L247" s="1">
        <v>278.56</v>
      </c>
      <c r="N247" s="1">
        <f t="shared" si="3"/>
        <v>972.9</v>
      </c>
    </row>
    <row r="248" spans="1:14">
      <c r="A248" t="s">
        <v>615</v>
      </c>
      <c r="B248" t="s">
        <v>614</v>
      </c>
      <c r="C248" t="s">
        <v>592</v>
      </c>
      <c r="D248" t="s">
        <v>20</v>
      </c>
      <c r="E248" s="1">
        <v>62787.94</v>
      </c>
      <c r="F248" s="1">
        <v>0</v>
      </c>
      <c r="H248" s="1">
        <v>0</v>
      </c>
      <c r="I248" s="1">
        <v>62787.94</v>
      </c>
      <c r="J248" s="1">
        <v>22377.84</v>
      </c>
      <c r="K248" s="1">
        <v>8043</v>
      </c>
      <c r="N248" s="1">
        <f t="shared" si="3"/>
        <v>4866.07</v>
      </c>
    </row>
    <row r="249" spans="1:14">
      <c r="A249" t="s">
        <v>617</v>
      </c>
      <c r="B249" t="s">
        <v>616</v>
      </c>
      <c r="C249" t="s">
        <v>99</v>
      </c>
      <c r="D249" t="s">
        <v>62</v>
      </c>
      <c r="E249" s="1">
        <v>46527.9228</v>
      </c>
      <c r="F249" s="1">
        <v>769.81719999999996</v>
      </c>
      <c r="G249" s="1">
        <v>1909.62</v>
      </c>
      <c r="H249" s="1">
        <v>549.96</v>
      </c>
      <c r="I249" s="1">
        <v>49757.32</v>
      </c>
      <c r="J249" s="1">
        <v>22377.84</v>
      </c>
      <c r="K249" s="1">
        <v>6031</v>
      </c>
      <c r="L249" s="1">
        <v>311.42</v>
      </c>
      <c r="N249" s="1">
        <f t="shared" si="3"/>
        <v>3856.19</v>
      </c>
    </row>
    <row r="250" spans="1:14">
      <c r="A250" t="s">
        <v>619</v>
      </c>
      <c r="B250" t="s">
        <v>618</v>
      </c>
      <c r="C250" t="s">
        <v>72</v>
      </c>
      <c r="D250" t="s">
        <v>71</v>
      </c>
      <c r="E250" s="1">
        <v>29751.43</v>
      </c>
      <c r="F250" s="1">
        <v>0</v>
      </c>
      <c r="H250" s="1">
        <v>187.47</v>
      </c>
      <c r="I250" s="1">
        <v>29938.9</v>
      </c>
      <c r="J250" s="1">
        <v>8510.2800000000007</v>
      </c>
      <c r="K250" s="1">
        <v>3835</v>
      </c>
      <c r="N250" s="1">
        <f t="shared" si="3"/>
        <v>2320.2600000000002</v>
      </c>
    </row>
    <row r="251" spans="1:14">
      <c r="A251" t="s">
        <v>622</v>
      </c>
      <c r="B251" t="s">
        <v>621</v>
      </c>
      <c r="C251" t="s">
        <v>620</v>
      </c>
      <c r="D251" t="s">
        <v>12</v>
      </c>
      <c r="E251" s="1">
        <v>42999.02</v>
      </c>
      <c r="F251" s="1">
        <v>0</v>
      </c>
      <c r="G251" s="1">
        <v>1774.65</v>
      </c>
      <c r="H251" s="1">
        <v>0</v>
      </c>
      <c r="I251" s="1">
        <v>44773.67</v>
      </c>
      <c r="J251" s="1">
        <v>21559.32</v>
      </c>
      <c r="K251" s="1">
        <v>5508</v>
      </c>
      <c r="N251" s="1">
        <f t="shared" si="3"/>
        <v>3469.96</v>
      </c>
    </row>
    <row r="252" spans="1:14">
      <c r="A252" t="s">
        <v>624</v>
      </c>
      <c r="B252" t="s">
        <v>623</v>
      </c>
      <c r="C252" t="s">
        <v>13</v>
      </c>
      <c r="D252" t="s">
        <v>12</v>
      </c>
      <c r="E252" s="1">
        <v>43322.9444</v>
      </c>
      <c r="F252" s="1">
        <v>1531.6856</v>
      </c>
      <c r="H252" s="1">
        <v>750</v>
      </c>
      <c r="I252" s="1">
        <v>45604.63</v>
      </c>
      <c r="J252" s="1">
        <v>8510.2800000000007</v>
      </c>
      <c r="K252" s="1">
        <v>5646</v>
      </c>
      <c r="N252" s="1">
        <f t="shared" si="3"/>
        <v>3534.36</v>
      </c>
    </row>
    <row r="253" spans="1:14">
      <c r="A253" t="s">
        <v>201</v>
      </c>
      <c r="B253" t="s">
        <v>625</v>
      </c>
      <c r="C253" t="s">
        <v>124</v>
      </c>
      <c r="D253" t="s">
        <v>71</v>
      </c>
      <c r="E253" s="1">
        <v>46027.275600000001</v>
      </c>
      <c r="F253" s="1">
        <v>25492.624400000001</v>
      </c>
      <c r="H253" s="1">
        <v>999.96</v>
      </c>
      <c r="I253" s="1">
        <v>72519.86</v>
      </c>
      <c r="J253" s="1">
        <v>16880.88</v>
      </c>
      <c r="K253" s="1">
        <v>6024</v>
      </c>
      <c r="N253" s="1">
        <f t="shared" si="3"/>
        <v>5620.29</v>
      </c>
    </row>
    <row r="254" spans="1:14">
      <c r="A254" t="s">
        <v>627</v>
      </c>
      <c r="B254" t="s">
        <v>626</v>
      </c>
      <c r="C254" t="s">
        <v>139</v>
      </c>
      <c r="D254" t="s">
        <v>16</v>
      </c>
      <c r="E254" s="1">
        <v>61396.21</v>
      </c>
      <c r="F254" s="1">
        <v>0</v>
      </c>
      <c r="H254" s="1">
        <v>999.96</v>
      </c>
      <c r="I254" s="1">
        <v>62396.17</v>
      </c>
      <c r="J254" s="1">
        <v>16880.88</v>
      </c>
      <c r="K254" s="1">
        <v>7993</v>
      </c>
      <c r="N254" s="1">
        <f t="shared" si="3"/>
        <v>4835.7</v>
      </c>
    </row>
    <row r="255" spans="1:14">
      <c r="A255" t="s">
        <v>630</v>
      </c>
      <c r="B255" t="s">
        <v>629</v>
      </c>
      <c r="C255" t="s">
        <v>628</v>
      </c>
      <c r="D255" t="s">
        <v>62</v>
      </c>
      <c r="E255" s="1">
        <v>74098.289999999994</v>
      </c>
      <c r="F255" s="1">
        <v>0</v>
      </c>
      <c r="G255" s="1">
        <v>2941.08</v>
      </c>
      <c r="H255" s="1">
        <v>1299.96</v>
      </c>
      <c r="I255" s="1">
        <v>78339.33</v>
      </c>
      <c r="J255" s="1">
        <v>22377.84</v>
      </c>
      <c r="K255" s="1">
        <v>9659</v>
      </c>
      <c r="L255" s="1">
        <v>502.37</v>
      </c>
      <c r="N255" s="1">
        <f t="shared" si="3"/>
        <v>6071.3</v>
      </c>
    </row>
    <row r="256" spans="1:14">
      <c r="A256" t="s">
        <v>633</v>
      </c>
      <c r="B256" t="s">
        <v>632</v>
      </c>
      <c r="C256" t="s">
        <v>631</v>
      </c>
      <c r="D256" t="s">
        <v>102</v>
      </c>
      <c r="E256" s="1">
        <v>82196.989999999991</v>
      </c>
      <c r="F256" s="1">
        <v>0</v>
      </c>
      <c r="G256" s="1">
        <v>3379.69</v>
      </c>
      <c r="H256" s="1">
        <v>0</v>
      </c>
      <c r="I256" s="1">
        <v>85576.68</v>
      </c>
      <c r="J256" s="1">
        <v>8510.2800000000007</v>
      </c>
      <c r="K256" s="1">
        <v>10529</v>
      </c>
      <c r="N256" s="1">
        <f t="shared" si="3"/>
        <v>6632.19</v>
      </c>
    </row>
    <row r="257" spans="1:14">
      <c r="A257" t="s">
        <v>312</v>
      </c>
      <c r="B257" t="s">
        <v>634</v>
      </c>
      <c r="C257" t="s">
        <v>456</v>
      </c>
      <c r="D257" t="s">
        <v>62</v>
      </c>
      <c r="E257" s="1">
        <v>57202.62</v>
      </c>
      <c r="F257" s="1">
        <v>0</v>
      </c>
      <c r="G257" s="1">
        <v>2332.85</v>
      </c>
      <c r="H257" s="1">
        <v>1299.96</v>
      </c>
      <c r="I257" s="1">
        <v>60835.43</v>
      </c>
      <c r="J257" s="1">
        <v>16880.88</v>
      </c>
      <c r="K257" s="1">
        <v>7494</v>
      </c>
      <c r="L257" s="1">
        <v>381.81</v>
      </c>
      <c r="N257" s="1">
        <f t="shared" si="3"/>
        <v>4714.75</v>
      </c>
    </row>
    <row r="258" spans="1:14">
      <c r="A258" t="s">
        <v>637</v>
      </c>
      <c r="B258" t="s">
        <v>636</v>
      </c>
      <c r="C258" t="s">
        <v>635</v>
      </c>
      <c r="D258" t="s">
        <v>62</v>
      </c>
      <c r="E258" s="1">
        <v>53599.092899999996</v>
      </c>
      <c r="F258" s="1">
        <v>31.5471</v>
      </c>
      <c r="G258" s="1">
        <v>2441.33</v>
      </c>
      <c r="H258" s="1">
        <v>249.96</v>
      </c>
      <c r="I258" s="1">
        <v>56321.93</v>
      </c>
      <c r="J258" s="1">
        <v>17333.28</v>
      </c>
      <c r="K258" s="1">
        <v>6898</v>
      </c>
      <c r="L258" s="1">
        <v>364.36</v>
      </c>
      <c r="N258" s="1">
        <f t="shared" si="3"/>
        <v>4364.95</v>
      </c>
    </row>
    <row r="259" spans="1:14">
      <c r="A259" t="s">
        <v>639</v>
      </c>
      <c r="B259" t="s">
        <v>638</v>
      </c>
      <c r="C259" t="s">
        <v>49</v>
      </c>
      <c r="D259" t="s">
        <v>12</v>
      </c>
      <c r="E259" s="1">
        <v>15096.63</v>
      </c>
      <c r="F259" s="1">
        <v>0</v>
      </c>
      <c r="G259" s="1">
        <v>146.59</v>
      </c>
      <c r="H259" s="1">
        <v>0</v>
      </c>
      <c r="I259" s="1">
        <v>15243.22</v>
      </c>
      <c r="J259" s="1">
        <v>8510.2800000000007</v>
      </c>
      <c r="K259" s="1">
        <v>1934</v>
      </c>
      <c r="N259" s="1">
        <f t="shared" si="3"/>
        <v>1181.3499999999999</v>
      </c>
    </row>
    <row r="260" spans="1:14">
      <c r="A260" t="s">
        <v>641</v>
      </c>
      <c r="B260" t="s">
        <v>640</v>
      </c>
      <c r="C260" t="s">
        <v>72</v>
      </c>
      <c r="D260" t="s">
        <v>71</v>
      </c>
      <c r="E260" s="1">
        <v>45791.8606</v>
      </c>
      <c r="F260" s="1">
        <v>1275.1494</v>
      </c>
      <c r="H260" s="1">
        <v>249.96</v>
      </c>
      <c r="I260" s="1">
        <v>47316.97</v>
      </c>
      <c r="J260" s="1">
        <v>16880.88</v>
      </c>
      <c r="K260" s="1">
        <v>5898</v>
      </c>
      <c r="N260" s="1">
        <f t="shared" ref="N260:N308" si="4">ROUND(+I260*0.0775,2)</f>
        <v>3667.07</v>
      </c>
    </row>
    <row r="261" spans="1:14">
      <c r="A261" t="s">
        <v>643</v>
      </c>
      <c r="B261" t="s">
        <v>642</v>
      </c>
      <c r="C261" t="s">
        <v>90</v>
      </c>
      <c r="D261" t="s">
        <v>16</v>
      </c>
      <c r="E261" s="1">
        <v>43179.93</v>
      </c>
      <c r="F261" s="1">
        <v>0</v>
      </c>
      <c r="H261" s="1">
        <v>0</v>
      </c>
      <c r="I261" s="1">
        <v>43179.93</v>
      </c>
      <c r="J261" s="1">
        <v>22377.84</v>
      </c>
      <c r="K261" s="1">
        <v>5531</v>
      </c>
      <c r="N261" s="1">
        <f t="shared" si="4"/>
        <v>3346.44</v>
      </c>
    </row>
    <row r="262" spans="1:14">
      <c r="A262" t="s">
        <v>389</v>
      </c>
      <c r="B262" t="s">
        <v>645</v>
      </c>
      <c r="C262" t="s">
        <v>644</v>
      </c>
      <c r="D262" t="s">
        <v>79</v>
      </c>
      <c r="E262" s="1">
        <v>112016.32000000001</v>
      </c>
      <c r="F262" s="1">
        <v>0</v>
      </c>
      <c r="G262" s="1">
        <v>2888.56</v>
      </c>
      <c r="H262" s="1">
        <v>8959.44</v>
      </c>
      <c r="I262" s="1">
        <v>123864.32000000001</v>
      </c>
      <c r="J262" s="1">
        <v>8510.2800000000007</v>
      </c>
      <c r="K262" s="1">
        <v>15497</v>
      </c>
      <c r="N262" s="1">
        <f t="shared" si="4"/>
        <v>9599.48</v>
      </c>
    </row>
    <row r="263" spans="1:14">
      <c r="A263" t="s">
        <v>458</v>
      </c>
      <c r="B263" t="s">
        <v>646</v>
      </c>
      <c r="C263" t="s">
        <v>99</v>
      </c>
      <c r="D263" t="s">
        <v>62</v>
      </c>
      <c r="E263" s="1">
        <v>39639.39</v>
      </c>
      <c r="F263" s="1">
        <v>0</v>
      </c>
      <c r="H263" s="1">
        <v>549.96</v>
      </c>
      <c r="I263" s="1">
        <v>40189.35</v>
      </c>
      <c r="J263" s="1">
        <v>16880.88</v>
      </c>
      <c r="K263" s="1">
        <v>5148</v>
      </c>
      <c r="L263" s="1">
        <v>279.35000000000002</v>
      </c>
      <c r="N263" s="1">
        <f t="shared" si="4"/>
        <v>3114.67</v>
      </c>
    </row>
    <row r="264" spans="1:14">
      <c r="A264" t="s">
        <v>649</v>
      </c>
      <c r="B264" t="s">
        <v>648</v>
      </c>
      <c r="C264" t="s">
        <v>647</v>
      </c>
      <c r="D264" t="s">
        <v>12</v>
      </c>
      <c r="E264" s="1">
        <v>64439.298600000009</v>
      </c>
      <c r="F264" s="1">
        <v>631.66139999999996</v>
      </c>
      <c r="G264" s="1">
        <v>2546.31</v>
      </c>
      <c r="H264" s="1">
        <v>750</v>
      </c>
      <c r="I264" s="1">
        <v>68367.27</v>
      </c>
      <c r="J264" s="1">
        <v>8717.2800000000007</v>
      </c>
      <c r="K264" s="1">
        <v>8351</v>
      </c>
      <c r="N264" s="1">
        <f t="shared" si="4"/>
        <v>5298.46</v>
      </c>
    </row>
    <row r="265" spans="1:14">
      <c r="A265" t="s">
        <v>651</v>
      </c>
      <c r="B265" t="s">
        <v>650</v>
      </c>
      <c r="C265" t="s">
        <v>371</v>
      </c>
      <c r="D265" t="s">
        <v>12</v>
      </c>
      <c r="E265" s="1">
        <v>45534.86</v>
      </c>
      <c r="F265" s="1">
        <v>0</v>
      </c>
      <c r="H265" s="1">
        <v>750</v>
      </c>
      <c r="I265" s="1">
        <v>46284.86</v>
      </c>
      <c r="J265" s="1">
        <v>8510.2800000000007</v>
      </c>
      <c r="K265" s="1">
        <v>5929</v>
      </c>
      <c r="N265" s="1">
        <f t="shared" si="4"/>
        <v>3587.08</v>
      </c>
    </row>
    <row r="266" spans="1:14">
      <c r="A266" t="s">
        <v>653</v>
      </c>
      <c r="B266" t="s">
        <v>652</v>
      </c>
      <c r="C266" t="s">
        <v>124</v>
      </c>
      <c r="D266" t="s">
        <v>71</v>
      </c>
      <c r="E266" s="1">
        <v>48194.553200000002</v>
      </c>
      <c r="F266" s="1">
        <v>314.82679999999999</v>
      </c>
      <c r="H266" s="1">
        <v>999.96</v>
      </c>
      <c r="I266" s="1">
        <v>49509.340000000004</v>
      </c>
      <c r="J266" s="1">
        <v>0</v>
      </c>
      <c r="K266" s="1">
        <v>6302</v>
      </c>
      <c r="N266" s="1">
        <f t="shared" si="4"/>
        <v>3836.97</v>
      </c>
    </row>
    <row r="267" spans="1:14">
      <c r="A267" t="s">
        <v>545</v>
      </c>
      <c r="B267" t="s">
        <v>654</v>
      </c>
      <c r="C267" t="s">
        <v>464</v>
      </c>
      <c r="D267" t="s">
        <v>12</v>
      </c>
      <c r="E267" s="1">
        <v>11499.59</v>
      </c>
      <c r="F267" s="1">
        <v>0</v>
      </c>
      <c r="H267" s="1">
        <v>0</v>
      </c>
      <c r="I267" s="1">
        <v>11499.59</v>
      </c>
      <c r="J267" s="1">
        <v>0</v>
      </c>
      <c r="K267" s="1">
        <v>1473</v>
      </c>
      <c r="N267" s="1">
        <f t="shared" si="4"/>
        <v>891.22</v>
      </c>
    </row>
    <row r="268" spans="1:14">
      <c r="A268" t="s">
        <v>387</v>
      </c>
      <c r="B268" t="s">
        <v>655</v>
      </c>
      <c r="C268" t="s">
        <v>124</v>
      </c>
      <c r="D268" t="s">
        <v>71</v>
      </c>
      <c r="E268" s="1">
        <v>49773.577599999997</v>
      </c>
      <c r="F268" s="1">
        <v>1098.6523999999999</v>
      </c>
      <c r="G268" s="1">
        <v>1037.08</v>
      </c>
      <c r="H268" s="1">
        <v>999.96</v>
      </c>
      <c r="I268" s="1">
        <v>52909.27</v>
      </c>
      <c r="J268" s="1">
        <v>22377.84</v>
      </c>
      <c r="K268" s="1">
        <v>6504</v>
      </c>
      <c r="N268" s="1">
        <f t="shared" si="4"/>
        <v>4100.47</v>
      </c>
    </row>
    <row r="269" spans="1:14">
      <c r="A269" t="s">
        <v>657</v>
      </c>
      <c r="B269" t="s">
        <v>656</v>
      </c>
      <c r="C269" t="s">
        <v>192</v>
      </c>
      <c r="D269" t="s">
        <v>12</v>
      </c>
      <c r="E269" s="1">
        <v>4408.7388000000001</v>
      </c>
      <c r="F269" s="1">
        <v>13.6212</v>
      </c>
      <c r="H269" s="1">
        <v>0</v>
      </c>
      <c r="I269" s="1">
        <v>4422.3599999999997</v>
      </c>
      <c r="J269" s="1">
        <v>8510.2800000000007</v>
      </c>
      <c r="K269" s="1">
        <v>565</v>
      </c>
      <c r="N269" s="1">
        <f t="shared" si="4"/>
        <v>342.73</v>
      </c>
    </row>
    <row r="270" spans="1:14">
      <c r="A270" t="s">
        <v>659</v>
      </c>
      <c r="B270" t="s">
        <v>658</v>
      </c>
      <c r="C270" t="s">
        <v>96</v>
      </c>
      <c r="D270" t="s">
        <v>71</v>
      </c>
      <c r="E270" s="1">
        <v>36257.641799999998</v>
      </c>
      <c r="F270" s="1">
        <v>11832.8982</v>
      </c>
      <c r="G270" s="1">
        <v>1510.08</v>
      </c>
      <c r="H270" s="1">
        <v>750</v>
      </c>
      <c r="I270" s="1">
        <v>50350.619999999995</v>
      </c>
      <c r="J270" s="1">
        <v>16880.88</v>
      </c>
      <c r="K270" s="1">
        <v>4741</v>
      </c>
      <c r="N270" s="1">
        <f t="shared" si="4"/>
        <v>3902.17</v>
      </c>
    </row>
    <row r="271" spans="1:14">
      <c r="A271" t="s">
        <v>661</v>
      </c>
      <c r="B271" t="s">
        <v>660</v>
      </c>
      <c r="C271" t="s">
        <v>173</v>
      </c>
      <c r="D271" t="s">
        <v>62</v>
      </c>
      <c r="E271" s="1">
        <v>46665.427200000006</v>
      </c>
      <c r="F271" s="1">
        <v>859.22280000000001</v>
      </c>
      <c r="G271" s="1">
        <v>1909.38</v>
      </c>
      <c r="H271" s="1">
        <v>1299.96</v>
      </c>
      <c r="I271" s="1">
        <v>50733.990000000005</v>
      </c>
      <c r="J271" s="1">
        <v>22377.84</v>
      </c>
      <c r="K271" s="1">
        <v>6144</v>
      </c>
      <c r="L271" s="1">
        <v>311.38</v>
      </c>
      <c r="N271" s="1">
        <f t="shared" si="4"/>
        <v>3931.88</v>
      </c>
    </row>
    <row r="272" spans="1:14">
      <c r="A272" t="s">
        <v>370</v>
      </c>
      <c r="B272" t="s">
        <v>662</v>
      </c>
      <c r="C272" t="s">
        <v>90</v>
      </c>
      <c r="D272" t="s">
        <v>16</v>
      </c>
      <c r="E272" s="1">
        <v>22807.81</v>
      </c>
      <c r="F272" s="1">
        <v>0</v>
      </c>
      <c r="H272" s="1">
        <v>0</v>
      </c>
      <c r="I272" s="1">
        <v>22807.81</v>
      </c>
      <c r="J272" s="1">
        <v>0</v>
      </c>
      <c r="K272" s="1">
        <v>2922</v>
      </c>
      <c r="N272" s="1">
        <f t="shared" si="4"/>
        <v>1767.61</v>
      </c>
    </row>
    <row r="273" spans="1:14">
      <c r="A273" t="s">
        <v>664</v>
      </c>
      <c r="B273" t="s">
        <v>663</v>
      </c>
      <c r="C273" t="s">
        <v>90</v>
      </c>
      <c r="D273" t="s">
        <v>58</v>
      </c>
      <c r="E273" s="1">
        <v>66032.929999999993</v>
      </c>
      <c r="F273" s="1">
        <v>0</v>
      </c>
      <c r="H273" s="1">
        <v>750</v>
      </c>
      <c r="I273" s="1">
        <v>66782.929999999993</v>
      </c>
      <c r="J273" s="1">
        <v>2104.6799999999998</v>
      </c>
      <c r="K273" s="1">
        <v>8555</v>
      </c>
      <c r="N273" s="1">
        <f t="shared" si="4"/>
        <v>5175.68</v>
      </c>
    </row>
    <row r="274" spans="1:14">
      <c r="A274" t="s">
        <v>667</v>
      </c>
      <c r="B274" t="s">
        <v>666</v>
      </c>
      <c r="C274" t="s">
        <v>665</v>
      </c>
      <c r="D274" t="s">
        <v>62</v>
      </c>
      <c r="E274" s="1">
        <v>43159.090000000004</v>
      </c>
      <c r="F274" s="1">
        <v>0</v>
      </c>
      <c r="G274" s="1">
        <v>4280.59</v>
      </c>
      <c r="H274" s="1">
        <v>1549.96</v>
      </c>
      <c r="I274" s="1">
        <v>48989.64</v>
      </c>
      <c r="J274" s="1">
        <v>22377.84</v>
      </c>
      <c r="K274" s="1">
        <v>5727</v>
      </c>
      <c r="L274" s="1">
        <v>288.14</v>
      </c>
      <c r="N274" s="1">
        <f t="shared" si="4"/>
        <v>3796.7</v>
      </c>
    </row>
    <row r="275" spans="1:14">
      <c r="A275" t="s">
        <v>345</v>
      </c>
      <c r="B275" t="s">
        <v>668</v>
      </c>
      <c r="C275" t="s">
        <v>134</v>
      </c>
      <c r="D275" t="s">
        <v>71</v>
      </c>
      <c r="E275" s="1">
        <v>44049.8413</v>
      </c>
      <c r="F275" s="1">
        <v>1217.2687000000001</v>
      </c>
      <c r="H275" s="1">
        <v>500</v>
      </c>
      <c r="I275" s="1">
        <v>45767.11</v>
      </c>
      <c r="J275" s="1">
        <v>22377.84</v>
      </c>
      <c r="K275" s="1">
        <v>5707</v>
      </c>
      <c r="N275" s="1">
        <f t="shared" si="4"/>
        <v>3546.95</v>
      </c>
    </row>
    <row r="276" spans="1:14">
      <c r="A276" t="s">
        <v>461</v>
      </c>
      <c r="B276" t="s">
        <v>669</v>
      </c>
      <c r="C276" t="s">
        <v>376</v>
      </c>
      <c r="D276" t="s">
        <v>62</v>
      </c>
      <c r="E276" s="1">
        <v>49055.46</v>
      </c>
      <c r="F276" s="1">
        <v>0</v>
      </c>
      <c r="H276" s="1">
        <v>549.96</v>
      </c>
      <c r="I276" s="1">
        <v>49605.42</v>
      </c>
      <c r="J276" s="1">
        <v>22916.04</v>
      </c>
      <c r="K276" s="1">
        <v>6354</v>
      </c>
      <c r="L276" s="1">
        <v>334.91</v>
      </c>
      <c r="N276" s="1">
        <f t="shared" si="4"/>
        <v>3844.42</v>
      </c>
    </row>
    <row r="277" spans="1:14">
      <c r="A277" t="s">
        <v>671</v>
      </c>
      <c r="B277" t="s">
        <v>670</v>
      </c>
      <c r="C277" t="s">
        <v>124</v>
      </c>
      <c r="D277" t="s">
        <v>71</v>
      </c>
      <c r="E277" s="1">
        <v>48740.820599999999</v>
      </c>
      <c r="F277" s="1">
        <v>518.51940000000002</v>
      </c>
      <c r="H277" s="1">
        <v>749.96</v>
      </c>
      <c r="I277" s="1">
        <v>50009.299999999996</v>
      </c>
      <c r="J277" s="1">
        <v>8510.2800000000007</v>
      </c>
      <c r="K277" s="1">
        <v>6340</v>
      </c>
      <c r="N277" s="1">
        <f t="shared" si="4"/>
        <v>3875.72</v>
      </c>
    </row>
    <row r="278" spans="1:14">
      <c r="A278" t="s">
        <v>673</v>
      </c>
      <c r="B278" t="s">
        <v>672</v>
      </c>
      <c r="C278" t="s">
        <v>49</v>
      </c>
      <c r="D278" t="s">
        <v>12</v>
      </c>
      <c r="E278" s="1">
        <v>24762.7683</v>
      </c>
      <c r="F278" s="1">
        <v>458.19170000000003</v>
      </c>
      <c r="H278" s="1">
        <v>500</v>
      </c>
      <c r="I278" s="1">
        <v>25720.959999999999</v>
      </c>
      <c r="J278" s="1">
        <v>8510.2800000000007</v>
      </c>
      <c r="K278" s="1">
        <v>3236</v>
      </c>
      <c r="N278" s="1">
        <f t="shared" si="4"/>
        <v>1993.37</v>
      </c>
    </row>
    <row r="279" spans="1:14">
      <c r="A279" t="s">
        <v>675</v>
      </c>
      <c r="B279" t="s">
        <v>674</v>
      </c>
      <c r="C279" t="s">
        <v>192</v>
      </c>
      <c r="D279" t="s">
        <v>12</v>
      </c>
      <c r="E279" s="1">
        <v>1580.06</v>
      </c>
      <c r="F279" s="1">
        <v>0</v>
      </c>
      <c r="H279" s="1">
        <v>0</v>
      </c>
      <c r="I279" s="1">
        <v>1580.06</v>
      </c>
      <c r="J279" s="1">
        <v>0</v>
      </c>
      <c r="K279" s="1">
        <v>202</v>
      </c>
      <c r="N279" s="1">
        <f t="shared" si="4"/>
        <v>122.45</v>
      </c>
    </row>
    <row r="280" spans="1:14">
      <c r="A280" t="s">
        <v>677</v>
      </c>
      <c r="B280" t="s">
        <v>676</v>
      </c>
      <c r="C280" t="s">
        <v>397</v>
      </c>
      <c r="D280" t="s">
        <v>62</v>
      </c>
      <c r="E280" s="1">
        <v>76643.999999999985</v>
      </c>
      <c r="F280" s="1">
        <v>0</v>
      </c>
      <c r="G280" s="1">
        <v>4949.05</v>
      </c>
      <c r="H280" s="1">
        <v>12712.100000000006</v>
      </c>
      <c r="I280" s="1">
        <v>94305.15</v>
      </c>
      <c r="J280" s="1">
        <v>0</v>
      </c>
      <c r="K280" s="1">
        <v>34679</v>
      </c>
      <c r="N280" s="1">
        <f t="shared" si="4"/>
        <v>7308.65</v>
      </c>
    </row>
    <row r="281" spans="1:14">
      <c r="A281" t="s">
        <v>679</v>
      </c>
      <c r="B281" t="s">
        <v>678</v>
      </c>
      <c r="C281" t="s">
        <v>112</v>
      </c>
      <c r="D281" t="s">
        <v>62</v>
      </c>
      <c r="E281" s="1">
        <v>75883.76999999999</v>
      </c>
      <c r="F281" s="1">
        <v>0</v>
      </c>
      <c r="G281" s="1">
        <v>3039.96</v>
      </c>
      <c r="H281" s="1">
        <v>8959.44</v>
      </c>
      <c r="I281" s="1">
        <v>87883.17</v>
      </c>
      <c r="J281" s="1">
        <v>0</v>
      </c>
      <c r="K281" s="1">
        <v>32928</v>
      </c>
      <c r="N281" s="1">
        <f t="shared" si="4"/>
        <v>6810.95</v>
      </c>
    </row>
    <row r="282" spans="1:14">
      <c r="A282" t="s">
        <v>681</v>
      </c>
      <c r="B282" t="s">
        <v>680</v>
      </c>
      <c r="C282" t="s">
        <v>173</v>
      </c>
      <c r="D282" t="s">
        <v>62</v>
      </c>
      <c r="E282" s="1">
        <v>46521.7569</v>
      </c>
      <c r="F282" s="1">
        <v>1237.6931</v>
      </c>
      <c r="H282" s="1">
        <v>549.96</v>
      </c>
      <c r="I282" s="1">
        <v>48309.409999999996</v>
      </c>
      <c r="J282" s="1">
        <v>22377.84</v>
      </c>
      <c r="K282" s="1">
        <v>18269</v>
      </c>
      <c r="N282" s="1">
        <f t="shared" si="4"/>
        <v>3743.98</v>
      </c>
    </row>
    <row r="283" spans="1:14">
      <c r="A283" t="s">
        <v>105</v>
      </c>
      <c r="B283" t="s">
        <v>683</v>
      </c>
      <c r="C283" t="s">
        <v>682</v>
      </c>
      <c r="D283" t="s">
        <v>58</v>
      </c>
      <c r="E283" s="1">
        <v>94980.000000000015</v>
      </c>
      <c r="F283" s="1">
        <v>0</v>
      </c>
      <c r="G283" s="1">
        <v>5890.62</v>
      </c>
      <c r="H283" s="1">
        <v>3295.2299999999959</v>
      </c>
      <c r="I283" s="1">
        <v>104165.85</v>
      </c>
      <c r="J283" s="1">
        <v>22377.84</v>
      </c>
      <c r="K283" s="1">
        <v>38141</v>
      </c>
      <c r="N283" s="1">
        <f t="shared" si="4"/>
        <v>8072.85</v>
      </c>
    </row>
    <row r="284" spans="1:14">
      <c r="A284" t="s">
        <v>237</v>
      </c>
      <c r="B284" t="s">
        <v>684</v>
      </c>
      <c r="C284" t="s">
        <v>24</v>
      </c>
      <c r="D284" t="s">
        <v>58</v>
      </c>
      <c r="E284" s="1">
        <v>109416.00000000001</v>
      </c>
      <c r="F284" s="1">
        <v>0</v>
      </c>
      <c r="G284" s="1">
        <v>7732.79</v>
      </c>
      <c r="H284" s="1">
        <v>14516.190000000002</v>
      </c>
      <c r="I284" s="1">
        <v>131664.98000000001</v>
      </c>
      <c r="J284" s="1">
        <v>22377.84</v>
      </c>
      <c r="K284" s="1">
        <v>48098</v>
      </c>
      <c r="N284" s="1">
        <f t="shared" si="4"/>
        <v>10204.040000000001</v>
      </c>
    </row>
    <row r="285" spans="1:14">
      <c r="A285" t="s">
        <v>687</v>
      </c>
      <c r="B285" t="s">
        <v>686</v>
      </c>
      <c r="C285" t="s">
        <v>685</v>
      </c>
      <c r="D285" t="s">
        <v>62</v>
      </c>
      <c r="E285" s="1">
        <v>89978.46</v>
      </c>
      <c r="F285" s="1">
        <v>0</v>
      </c>
      <c r="G285" s="1">
        <v>8403.67</v>
      </c>
      <c r="H285" s="1">
        <v>0</v>
      </c>
      <c r="I285" s="1">
        <v>98382.13</v>
      </c>
      <c r="J285" s="1">
        <v>22377.84</v>
      </c>
      <c r="K285" s="1">
        <v>34921</v>
      </c>
      <c r="N285" s="1">
        <f t="shared" si="4"/>
        <v>7624.62</v>
      </c>
    </row>
    <row r="286" spans="1:14">
      <c r="A286" t="s">
        <v>689</v>
      </c>
      <c r="B286" t="s">
        <v>688</v>
      </c>
      <c r="C286" t="s">
        <v>435</v>
      </c>
      <c r="D286" t="s">
        <v>20</v>
      </c>
      <c r="E286" s="1">
        <v>59171.999999999993</v>
      </c>
      <c r="F286" s="1">
        <v>0</v>
      </c>
      <c r="G286" s="1">
        <v>5089.7700000000004</v>
      </c>
      <c r="H286" s="1">
        <v>2094.9000000000015</v>
      </c>
      <c r="I286" s="1">
        <v>66356.67</v>
      </c>
      <c r="J286" s="1">
        <v>22377.84</v>
      </c>
      <c r="K286" s="1">
        <v>23778</v>
      </c>
      <c r="N286" s="1">
        <f t="shared" si="4"/>
        <v>5142.6400000000003</v>
      </c>
    </row>
    <row r="287" spans="1:14">
      <c r="A287" t="s">
        <v>691</v>
      </c>
      <c r="B287" t="s">
        <v>690</v>
      </c>
      <c r="C287" t="s">
        <v>435</v>
      </c>
      <c r="D287" t="s">
        <v>20</v>
      </c>
      <c r="E287" s="1">
        <v>59143.360000000001</v>
      </c>
      <c r="F287" s="1">
        <v>0</v>
      </c>
      <c r="G287" s="1">
        <v>3044.79</v>
      </c>
      <c r="H287" s="1">
        <v>0</v>
      </c>
      <c r="I287" s="1">
        <v>62188.15</v>
      </c>
      <c r="J287" s="1">
        <v>8510.2800000000007</v>
      </c>
      <c r="K287" s="1">
        <v>22954</v>
      </c>
      <c r="N287" s="1">
        <f t="shared" si="4"/>
        <v>4819.58</v>
      </c>
    </row>
    <row r="288" spans="1:14">
      <c r="A288" t="s">
        <v>693</v>
      </c>
      <c r="B288" t="s">
        <v>692</v>
      </c>
      <c r="C288" t="s">
        <v>112</v>
      </c>
      <c r="D288" t="s">
        <v>62</v>
      </c>
      <c r="E288" s="1">
        <v>76644.001000000004</v>
      </c>
      <c r="F288" s="1">
        <v>237.66900000000001</v>
      </c>
      <c r="G288" s="1">
        <v>4753.38</v>
      </c>
      <c r="H288" s="1">
        <v>2396.7299999999959</v>
      </c>
      <c r="I288" s="1">
        <v>84031.78</v>
      </c>
      <c r="J288" s="1">
        <v>22377.84</v>
      </c>
      <c r="K288" s="1">
        <v>30676</v>
      </c>
      <c r="N288" s="1">
        <f t="shared" si="4"/>
        <v>6512.46</v>
      </c>
    </row>
    <row r="289" spans="1:14">
      <c r="A289" t="s">
        <v>696</v>
      </c>
      <c r="B289" t="s">
        <v>695</v>
      </c>
      <c r="C289" t="s">
        <v>694</v>
      </c>
      <c r="D289" t="s">
        <v>20</v>
      </c>
      <c r="E289" s="1">
        <v>67773.499800000005</v>
      </c>
      <c r="F289" s="1">
        <v>1425.4902</v>
      </c>
      <c r="G289" s="1">
        <v>6645.06</v>
      </c>
      <c r="H289" s="1">
        <v>3150.06</v>
      </c>
      <c r="I289" s="1">
        <v>78994.11</v>
      </c>
      <c r="J289" s="1">
        <v>8510.2800000000007</v>
      </c>
      <c r="K289" s="1">
        <v>27525</v>
      </c>
      <c r="N289" s="1">
        <f t="shared" si="4"/>
        <v>6122.04</v>
      </c>
    </row>
    <row r="290" spans="1:14">
      <c r="A290" t="s">
        <v>698</v>
      </c>
      <c r="B290" t="s">
        <v>325</v>
      </c>
      <c r="C290" t="s">
        <v>697</v>
      </c>
      <c r="D290" t="s">
        <v>62</v>
      </c>
      <c r="E290" s="1">
        <v>41145.600000000006</v>
      </c>
      <c r="F290" s="1">
        <v>0</v>
      </c>
      <c r="G290" s="1">
        <v>3687.99</v>
      </c>
      <c r="H290" s="1">
        <v>549.96</v>
      </c>
      <c r="I290" s="1">
        <v>45383.55</v>
      </c>
      <c r="J290" s="1">
        <v>16880.88</v>
      </c>
      <c r="K290" s="1">
        <v>16182</v>
      </c>
      <c r="N290" s="1">
        <f t="shared" si="4"/>
        <v>3517.23</v>
      </c>
    </row>
    <row r="291" spans="1:14">
      <c r="A291" t="s">
        <v>701</v>
      </c>
      <c r="B291" t="s">
        <v>700</v>
      </c>
      <c r="C291" t="s">
        <v>699</v>
      </c>
      <c r="D291" t="s">
        <v>62</v>
      </c>
      <c r="E291" s="1">
        <v>95928</v>
      </c>
      <c r="F291" s="1">
        <v>0</v>
      </c>
      <c r="G291" s="1">
        <v>6960.81</v>
      </c>
      <c r="H291" s="1">
        <v>4327.9900000000052</v>
      </c>
      <c r="I291" s="1">
        <v>107216.8</v>
      </c>
      <c r="J291" s="1">
        <v>16880.88</v>
      </c>
      <c r="K291" s="1">
        <v>38909</v>
      </c>
      <c r="N291" s="1">
        <f t="shared" si="4"/>
        <v>8309.2999999999993</v>
      </c>
    </row>
    <row r="292" spans="1:14">
      <c r="A292" t="s">
        <v>703</v>
      </c>
      <c r="B292" t="s">
        <v>702</v>
      </c>
      <c r="C292" t="s">
        <v>173</v>
      </c>
      <c r="D292" t="s">
        <v>62</v>
      </c>
      <c r="E292" s="1">
        <v>46665.43</v>
      </c>
      <c r="F292" s="1">
        <v>0</v>
      </c>
      <c r="G292" s="1">
        <v>5343.89</v>
      </c>
      <c r="H292" s="1">
        <v>549.96</v>
      </c>
      <c r="I292" s="1">
        <v>52559.28</v>
      </c>
      <c r="J292" s="1">
        <v>8510.2800000000007</v>
      </c>
      <c r="K292" s="1">
        <v>18324</v>
      </c>
      <c r="N292" s="1">
        <f t="shared" si="4"/>
        <v>4073.34</v>
      </c>
    </row>
    <row r="293" spans="1:14">
      <c r="A293" t="s">
        <v>705</v>
      </c>
      <c r="B293" t="s">
        <v>704</v>
      </c>
      <c r="C293" t="s">
        <v>173</v>
      </c>
      <c r="D293" t="s">
        <v>62</v>
      </c>
      <c r="E293" s="1">
        <v>44679.590000000004</v>
      </c>
      <c r="F293" s="1">
        <v>0</v>
      </c>
      <c r="H293" s="1">
        <v>549.96</v>
      </c>
      <c r="I293" s="1">
        <v>45229.55</v>
      </c>
      <c r="J293" s="1">
        <v>8510.2800000000007</v>
      </c>
      <c r="K293" s="1">
        <v>17554</v>
      </c>
      <c r="N293" s="1">
        <f t="shared" si="4"/>
        <v>3505.29</v>
      </c>
    </row>
    <row r="294" spans="1:14">
      <c r="A294" t="s">
        <v>707</v>
      </c>
      <c r="B294" t="s">
        <v>706</v>
      </c>
      <c r="C294" t="s">
        <v>631</v>
      </c>
      <c r="D294" t="s">
        <v>102</v>
      </c>
      <c r="E294" s="1">
        <v>83688</v>
      </c>
      <c r="F294" s="1">
        <v>0</v>
      </c>
      <c r="G294" s="1">
        <v>11577.77</v>
      </c>
      <c r="H294" s="1">
        <v>11957.649999999994</v>
      </c>
      <c r="I294" s="1">
        <v>107223.42</v>
      </c>
      <c r="J294" s="1">
        <v>8510.2800000000007</v>
      </c>
      <c r="K294" s="1">
        <v>37120</v>
      </c>
      <c r="N294" s="1">
        <f t="shared" si="4"/>
        <v>8309.82</v>
      </c>
    </row>
    <row r="295" spans="1:14">
      <c r="A295" t="s">
        <v>710</v>
      </c>
      <c r="B295" t="s">
        <v>709</v>
      </c>
      <c r="C295" t="s">
        <v>708</v>
      </c>
      <c r="D295" t="s">
        <v>20</v>
      </c>
      <c r="E295" s="1">
        <v>76352.59</v>
      </c>
      <c r="F295" s="1">
        <v>0</v>
      </c>
      <c r="G295" s="1">
        <v>7817.49</v>
      </c>
      <c r="H295" s="1">
        <v>1000</v>
      </c>
      <c r="I295" s="1">
        <v>85170.08</v>
      </c>
      <c r="J295" s="1">
        <v>17699.400000000001</v>
      </c>
      <c r="K295" s="1">
        <v>30021</v>
      </c>
      <c r="N295" s="1">
        <f t="shared" si="4"/>
        <v>6600.68</v>
      </c>
    </row>
    <row r="296" spans="1:14">
      <c r="A296" t="s">
        <v>223</v>
      </c>
      <c r="B296" t="s">
        <v>711</v>
      </c>
      <c r="C296" t="s">
        <v>142</v>
      </c>
      <c r="D296" t="s">
        <v>102</v>
      </c>
      <c r="E296" s="1">
        <v>55412.53</v>
      </c>
      <c r="F296" s="1">
        <v>0</v>
      </c>
      <c r="G296" s="1">
        <v>1779.35</v>
      </c>
      <c r="H296" s="1">
        <v>0</v>
      </c>
      <c r="I296" s="1">
        <v>57191.88</v>
      </c>
      <c r="J296" s="1">
        <v>8510.2800000000007</v>
      </c>
      <c r="K296" s="1">
        <v>21506</v>
      </c>
      <c r="N296" s="1">
        <f t="shared" si="4"/>
        <v>4432.37</v>
      </c>
    </row>
    <row r="297" spans="1:14">
      <c r="A297" t="s">
        <v>713</v>
      </c>
      <c r="B297" t="s">
        <v>712</v>
      </c>
      <c r="C297" t="s">
        <v>456</v>
      </c>
      <c r="D297" t="s">
        <v>62</v>
      </c>
      <c r="E297" s="1">
        <v>57182.219499999999</v>
      </c>
      <c r="F297" s="1">
        <v>771.94050000000004</v>
      </c>
      <c r="H297" s="1">
        <v>549.96</v>
      </c>
      <c r="I297" s="1">
        <v>58504.119999999995</v>
      </c>
      <c r="J297" s="1">
        <v>16880.88</v>
      </c>
      <c r="K297" s="1">
        <v>22406</v>
      </c>
      <c r="N297" s="1">
        <f t="shared" si="4"/>
        <v>4534.07</v>
      </c>
    </row>
    <row r="298" spans="1:14">
      <c r="A298" t="s">
        <v>557</v>
      </c>
      <c r="B298" t="s">
        <v>715</v>
      </c>
      <c r="C298" t="s">
        <v>714</v>
      </c>
      <c r="D298" t="s">
        <v>30</v>
      </c>
      <c r="E298" s="1">
        <v>82464</v>
      </c>
      <c r="F298" s="1">
        <v>0</v>
      </c>
      <c r="G298" s="1">
        <v>1784.08</v>
      </c>
      <c r="H298" s="1">
        <v>951.44000000000233</v>
      </c>
      <c r="I298" s="1">
        <v>85199.52</v>
      </c>
      <c r="J298" s="1">
        <v>22377.84</v>
      </c>
      <c r="K298" s="1">
        <v>32374</v>
      </c>
      <c r="N298" s="1">
        <f t="shared" si="4"/>
        <v>6602.96</v>
      </c>
    </row>
    <row r="299" spans="1:14">
      <c r="A299" t="s">
        <v>675</v>
      </c>
      <c r="B299" t="s">
        <v>716</v>
      </c>
      <c r="C299" t="s">
        <v>697</v>
      </c>
      <c r="D299" t="s">
        <v>62</v>
      </c>
      <c r="E299" s="1">
        <v>42946.69</v>
      </c>
      <c r="F299" s="1">
        <v>0</v>
      </c>
      <c r="G299" s="1">
        <v>2635.85</v>
      </c>
      <c r="H299" s="1">
        <v>549.96</v>
      </c>
      <c r="I299" s="1">
        <v>46132.5</v>
      </c>
      <c r="J299" s="1">
        <v>8510.2800000000007</v>
      </c>
      <c r="K299" s="1">
        <v>16881</v>
      </c>
      <c r="N299" s="1">
        <f t="shared" si="4"/>
        <v>3575.27</v>
      </c>
    </row>
    <row r="300" spans="1:14">
      <c r="A300" t="s">
        <v>312</v>
      </c>
      <c r="B300" t="s">
        <v>471</v>
      </c>
      <c r="C300" t="s">
        <v>371</v>
      </c>
      <c r="D300" t="s">
        <v>12</v>
      </c>
      <c r="E300" s="1">
        <v>38147.869999999995</v>
      </c>
      <c r="F300" s="1">
        <v>0</v>
      </c>
      <c r="G300" s="1">
        <v>1537.16</v>
      </c>
      <c r="H300" s="1">
        <v>0</v>
      </c>
      <c r="I300" s="1">
        <v>39685.03</v>
      </c>
      <c r="J300" s="1">
        <v>22377.84</v>
      </c>
      <c r="K300" s="1">
        <v>14805</v>
      </c>
      <c r="N300" s="1">
        <f t="shared" si="4"/>
        <v>3075.59</v>
      </c>
    </row>
    <row r="301" spans="1:14">
      <c r="A301" t="s">
        <v>719</v>
      </c>
      <c r="B301" t="s">
        <v>718</v>
      </c>
      <c r="C301" t="s">
        <v>717</v>
      </c>
      <c r="D301" t="s">
        <v>20</v>
      </c>
      <c r="E301" s="1">
        <v>107340.00000000001</v>
      </c>
      <c r="F301" s="1">
        <v>0</v>
      </c>
      <c r="G301" s="1">
        <v>15279.31</v>
      </c>
      <c r="H301" s="1">
        <v>23158.92</v>
      </c>
      <c r="I301" s="1">
        <v>145778.23000000001</v>
      </c>
      <c r="J301" s="1">
        <v>1286.1600000000001</v>
      </c>
      <c r="K301" s="1">
        <v>50647</v>
      </c>
      <c r="N301" s="1">
        <f t="shared" si="4"/>
        <v>11297.81</v>
      </c>
    </row>
    <row r="302" spans="1:14">
      <c r="A302" t="s">
        <v>389</v>
      </c>
      <c r="B302" t="s">
        <v>720</v>
      </c>
      <c r="C302" t="s">
        <v>37</v>
      </c>
      <c r="D302" t="s">
        <v>20</v>
      </c>
      <c r="E302" s="1">
        <v>47911.65</v>
      </c>
      <c r="F302" s="1">
        <v>0</v>
      </c>
      <c r="G302" s="1">
        <v>6711.61</v>
      </c>
      <c r="H302" s="1">
        <v>750</v>
      </c>
      <c r="I302" s="1">
        <v>55373.26</v>
      </c>
      <c r="J302" s="1">
        <v>22377.84</v>
      </c>
      <c r="K302" s="1">
        <v>18886</v>
      </c>
      <c r="N302" s="1">
        <f t="shared" si="4"/>
        <v>4291.43</v>
      </c>
    </row>
    <row r="303" spans="1:14">
      <c r="A303" t="s">
        <v>723</v>
      </c>
      <c r="B303" t="s">
        <v>722</v>
      </c>
      <c r="C303" t="s">
        <v>721</v>
      </c>
      <c r="D303" t="s">
        <v>79</v>
      </c>
      <c r="E303" s="1">
        <v>61700.05999999999</v>
      </c>
      <c r="F303" s="1">
        <v>0</v>
      </c>
      <c r="G303" s="1">
        <v>2612.5500000000002</v>
      </c>
      <c r="H303" s="1">
        <v>4950.04</v>
      </c>
      <c r="I303" s="1">
        <v>69262.649999999994</v>
      </c>
      <c r="J303" s="1">
        <v>16880.88</v>
      </c>
      <c r="K303" s="1">
        <v>25867</v>
      </c>
      <c r="N303" s="1">
        <f t="shared" si="4"/>
        <v>5367.86</v>
      </c>
    </row>
    <row r="304" spans="1:14">
      <c r="A304" t="s">
        <v>726</v>
      </c>
      <c r="B304" t="s">
        <v>725</v>
      </c>
      <c r="C304" t="s">
        <v>724</v>
      </c>
      <c r="D304" t="s">
        <v>20</v>
      </c>
      <c r="E304" s="1">
        <v>92712.000000000015</v>
      </c>
      <c r="F304" s="1">
        <v>0</v>
      </c>
      <c r="G304" s="1">
        <v>13127.46</v>
      </c>
      <c r="H304" s="1">
        <v>18118.199999999997</v>
      </c>
      <c r="I304" s="1">
        <v>123957.66</v>
      </c>
      <c r="J304" s="1">
        <v>0</v>
      </c>
      <c r="K304" s="1">
        <v>43013</v>
      </c>
      <c r="N304" s="1">
        <f t="shared" si="4"/>
        <v>9606.7199999999993</v>
      </c>
    </row>
    <row r="305" spans="1:14">
      <c r="A305" t="s">
        <v>729</v>
      </c>
      <c r="B305" t="s">
        <v>728</v>
      </c>
      <c r="C305" t="s">
        <v>727</v>
      </c>
      <c r="D305" t="s">
        <v>62</v>
      </c>
      <c r="E305" s="1">
        <v>8324.06</v>
      </c>
      <c r="F305" s="1">
        <v>0</v>
      </c>
      <c r="H305" s="1">
        <v>137.49</v>
      </c>
      <c r="I305" s="1">
        <v>8461.5499999999993</v>
      </c>
      <c r="J305" s="1">
        <v>22377.84</v>
      </c>
      <c r="K305" s="1">
        <v>3284</v>
      </c>
      <c r="N305" s="1">
        <f t="shared" si="4"/>
        <v>655.77</v>
      </c>
    </row>
    <row r="306" spans="1:14">
      <c r="A306" t="s">
        <v>731</v>
      </c>
      <c r="B306" t="s">
        <v>730</v>
      </c>
      <c r="C306" t="s">
        <v>99</v>
      </c>
      <c r="D306" t="s">
        <v>62</v>
      </c>
      <c r="E306" s="1">
        <v>40896.93</v>
      </c>
      <c r="F306" s="1">
        <v>0</v>
      </c>
      <c r="H306" s="1">
        <v>549.96</v>
      </c>
      <c r="I306" s="1">
        <v>41446.89</v>
      </c>
      <c r="J306" s="1">
        <v>22377.84</v>
      </c>
      <c r="K306" s="1">
        <v>16086</v>
      </c>
      <c r="N306" s="1">
        <f t="shared" si="4"/>
        <v>3212.13</v>
      </c>
    </row>
    <row r="307" spans="1:14">
      <c r="A307" t="s">
        <v>734</v>
      </c>
      <c r="B307" t="s">
        <v>733</v>
      </c>
      <c r="C307" t="s">
        <v>732</v>
      </c>
      <c r="D307" t="s">
        <v>20</v>
      </c>
      <c r="E307" s="1">
        <v>58122.079999999994</v>
      </c>
      <c r="F307" s="1">
        <v>0</v>
      </c>
      <c r="G307" s="1">
        <v>8196.15</v>
      </c>
      <c r="H307" s="1">
        <v>3870</v>
      </c>
      <c r="I307" s="1">
        <v>70188.23</v>
      </c>
      <c r="J307" s="1">
        <v>8510.2800000000007</v>
      </c>
      <c r="K307" s="1">
        <v>24059</v>
      </c>
      <c r="N307" s="1">
        <f t="shared" si="4"/>
        <v>5439.59</v>
      </c>
    </row>
    <row r="308" spans="1:14">
      <c r="A308" t="s">
        <v>736</v>
      </c>
      <c r="B308" t="s">
        <v>735</v>
      </c>
      <c r="C308" t="s">
        <v>473</v>
      </c>
      <c r="D308" t="s">
        <v>58</v>
      </c>
      <c r="E308" s="1">
        <v>73877.509999999995</v>
      </c>
      <c r="F308" s="1">
        <v>0</v>
      </c>
      <c r="G308" s="1">
        <v>4780.97</v>
      </c>
      <c r="H308" s="1">
        <v>0</v>
      </c>
      <c r="I308" s="1">
        <v>78658.48</v>
      </c>
      <c r="J308" s="1">
        <v>22377.84</v>
      </c>
      <c r="K308" s="1">
        <v>28672</v>
      </c>
      <c r="N308" s="1">
        <f t="shared" si="4"/>
        <v>6096.03</v>
      </c>
    </row>
    <row r="309" spans="1:14">
      <c r="A309" t="s">
        <v>739</v>
      </c>
      <c r="B309" t="s">
        <v>738</v>
      </c>
      <c r="C309" t="s">
        <v>737</v>
      </c>
      <c r="D309" t="s">
        <v>115</v>
      </c>
      <c r="E309" s="1">
        <v>78556.714500000002</v>
      </c>
      <c r="F309" s="1">
        <v>25687.3655</v>
      </c>
      <c r="H309" s="1">
        <v>2919.94</v>
      </c>
      <c r="I309" s="1">
        <v>107164.02</v>
      </c>
      <c r="J309" s="1">
        <v>24897.84</v>
      </c>
      <c r="K309" s="1">
        <v>34017</v>
      </c>
      <c r="N309" s="1">
        <f>ROUND(+I309*0.015,2)</f>
        <v>1607.46</v>
      </c>
    </row>
    <row r="310" spans="1:14">
      <c r="A310" t="s">
        <v>574</v>
      </c>
      <c r="B310" t="s">
        <v>740</v>
      </c>
      <c r="C310" t="s">
        <v>737</v>
      </c>
      <c r="D310" t="s">
        <v>115</v>
      </c>
      <c r="E310" s="1">
        <v>84503.99530000001</v>
      </c>
      <c r="F310" s="1">
        <v>12515.1147</v>
      </c>
      <c r="H310" s="1">
        <v>12852.119999999995</v>
      </c>
      <c r="I310" s="1">
        <v>109871.23000000001</v>
      </c>
      <c r="J310" s="1">
        <v>24897.84</v>
      </c>
      <c r="K310" s="1">
        <v>40646</v>
      </c>
      <c r="N310" s="1">
        <f t="shared" ref="N310:N373" si="5">ROUND(+I310*0.015,2)</f>
        <v>1648.07</v>
      </c>
    </row>
    <row r="311" spans="1:14">
      <c r="A311" t="s">
        <v>743</v>
      </c>
      <c r="B311" t="s">
        <v>742</v>
      </c>
      <c r="C311" t="s">
        <v>741</v>
      </c>
      <c r="D311" t="s">
        <v>115</v>
      </c>
      <c r="E311" s="1">
        <v>92934.875200000009</v>
      </c>
      <c r="F311" s="1">
        <v>10506.5548</v>
      </c>
      <c r="G311" s="1">
        <v>3762.54</v>
      </c>
      <c r="H311" s="1">
        <v>2669.94</v>
      </c>
      <c r="I311" s="1">
        <v>109873.91</v>
      </c>
      <c r="J311" s="1">
        <v>24897.84</v>
      </c>
      <c r="K311" s="1">
        <v>39915</v>
      </c>
      <c r="N311" s="1">
        <f t="shared" si="5"/>
        <v>1648.11</v>
      </c>
    </row>
    <row r="312" spans="1:14">
      <c r="A312" t="s">
        <v>745</v>
      </c>
      <c r="B312" t="s">
        <v>744</v>
      </c>
      <c r="C312" t="s">
        <v>741</v>
      </c>
      <c r="D312" t="s">
        <v>115</v>
      </c>
      <c r="E312" s="1">
        <v>93168.000799999994</v>
      </c>
      <c r="F312" s="1">
        <v>18351.5092</v>
      </c>
      <c r="H312" s="1">
        <v>6346.7100000000064</v>
      </c>
      <c r="I312" s="1">
        <v>117866.22</v>
      </c>
      <c r="J312" s="1">
        <v>9674.2800000000007</v>
      </c>
      <c r="K312" s="1">
        <v>41547</v>
      </c>
      <c r="N312" s="1">
        <f t="shared" si="5"/>
        <v>1767.99</v>
      </c>
    </row>
    <row r="313" spans="1:14">
      <c r="A313" t="s">
        <v>747</v>
      </c>
      <c r="B313" t="s">
        <v>746</v>
      </c>
      <c r="C313" t="s">
        <v>737</v>
      </c>
      <c r="D313" t="s">
        <v>115</v>
      </c>
      <c r="E313" s="1">
        <v>84354.994999999995</v>
      </c>
      <c r="F313" s="1">
        <v>478.815</v>
      </c>
      <c r="G313" s="1">
        <v>2451.83</v>
      </c>
      <c r="H313" s="1">
        <v>2919.94</v>
      </c>
      <c r="I313" s="1">
        <v>90205.58</v>
      </c>
      <c r="J313" s="1">
        <v>18680.88</v>
      </c>
      <c r="K313" s="1">
        <v>36437</v>
      </c>
      <c r="N313" s="1">
        <f t="shared" si="5"/>
        <v>1353.08</v>
      </c>
    </row>
    <row r="314" spans="1:14">
      <c r="A314" t="s">
        <v>750</v>
      </c>
      <c r="B314" t="s">
        <v>749</v>
      </c>
      <c r="C314" t="s">
        <v>748</v>
      </c>
      <c r="D314" t="s">
        <v>115</v>
      </c>
      <c r="E314" s="1">
        <v>105767.9957</v>
      </c>
      <c r="F314" s="1">
        <v>14602.9143</v>
      </c>
      <c r="G314" s="1">
        <v>4576.5</v>
      </c>
      <c r="H314" s="1">
        <v>6606.3699999999953</v>
      </c>
      <c r="I314" s="1">
        <v>131553.78</v>
      </c>
      <c r="J314" s="1">
        <v>24897.84</v>
      </c>
      <c r="K314" s="1">
        <v>46916</v>
      </c>
      <c r="N314" s="1">
        <f t="shared" si="5"/>
        <v>1973.31</v>
      </c>
    </row>
    <row r="315" spans="1:14">
      <c r="A315" t="s">
        <v>752</v>
      </c>
      <c r="B315" t="s">
        <v>751</v>
      </c>
      <c r="C315" t="s">
        <v>741</v>
      </c>
      <c r="D315" t="s">
        <v>115</v>
      </c>
      <c r="E315" s="1">
        <v>93167.995599999995</v>
      </c>
      <c r="F315" s="1">
        <v>8629.4843999999994</v>
      </c>
      <c r="H315" s="1">
        <v>8203.2900000000081</v>
      </c>
      <c r="I315" s="1">
        <v>110000.77</v>
      </c>
      <c r="J315" s="1">
        <v>0</v>
      </c>
      <c r="K315" s="1">
        <v>42323</v>
      </c>
      <c r="N315" s="1">
        <f t="shared" si="5"/>
        <v>1650.01</v>
      </c>
    </row>
    <row r="316" spans="1:14">
      <c r="A316" t="s">
        <v>754</v>
      </c>
      <c r="B316" t="s">
        <v>753</v>
      </c>
      <c r="C316" t="s">
        <v>741</v>
      </c>
      <c r="D316" t="s">
        <v>115</v>
      </c>
      <c r="E316" s="1">
        <v>93168.004199999996</v>
      </c>
      <c r="F316" s="1">
        <v>1491.3458000000001</v>
      </c>
      <c r="G316" s="1">
        <v>3941.73</v>
      </c>
      <c r="H316" s="1">
        <v>4063.6600000000035</v>
      </c>
      <c r="I316" s="1">
        <v>102664.73999999999</v>
      </c>
      <c r="J316" s="1">
        <v>24897.84</v>
      </c>
      <c r="K316" s="1">
        <v>40594</v>
      </c>
      <c r="N316" s="1">
        <f t="shared" si="5"/>
        <v>1539.97</v>
      </c>
    </row>
    <row r="317" spans="1:14">
      <c r="A317" t="s">
        <v>756</v>
      </c>
      <c r="B317" t="s">
        <v>755</v>
      </c>
      <c r="C317" t="s">
        <v>737</v>
      </c>
      <c r="D317" t="s">
        <v>115</v>
      </c>
      <c r="E317" s="1">
        <v>84326.194499999998</v>
      </c>
      <c r="F317" s="1">
        <v>6525.2655000000004</v>
      </c>
      <c r="G317" s="1">
        <v>3556.88</v>
      </c>
      <c r="H317" s="1">
        <v>3196.84</v>
      </c>
      <c r="I317" s="1">
        <v>97605.18</v>
      </c>
      <c r="J317" s="1">
        <v>18680.88</v>
      </c>
      <c r="K317" s="1">
        <v>36541</v>
      </c>
      <c r="N317" s="1">
        <f t="shared" si="5"/>
        <v>1464.08</v>
      </c>
    </row>
    <row r="318" spans="1:14">
      <c r="A318" t="s">
        <v>758</v>
      </c>
      <c r="B318" t="s">
        <v>757</v>
      </c>
      <c r="C318" t="s">
        <v>737</v>
      </c>
      <c r="D318" t="s">
        <v>115</v>
      </c>
      <c r="E318" s="1">
        <v>84503.9951</v>
      </c>
      <c r="F318" s="1">
        <v>7070.7349000000004</v>
      </c>
      <c r="H318" s="1">
        <v>5092.7899999999936</v>
      </c>
      <c r="I318" s="1">
        <v>96667.51999999999</v>
      </c>
      <c r="J318" s="1">
        <v>9674.2800000000007</v>
      </c>
      <c r="K318" s="1">
        <v>37407</v>
      </c>
      <c r="N318" s="1">
        <f t="shared" si="5"/>
        <v>1450.01</v>
      </c>
    </row>
    <row r="319" spans="1:14">
      <c r="A319" t="s">
        <v>760</v>
      </c>
      <c r="B319" t="s">
        <v>759</v>
      </c>
      <c r="C319" t="s">
        <v>741</v>
      </c>
      <c r="D319" t="s">
        <v>115</v>
      </c>
      <c r="E319" s="1">
        <v>56886.221800000007</v>
      </c>
      <c r="F319" s="1">
        <v>7415.2982000000002</v>
      </c>
      <c r="G319" s="1">
        <v>4210.46</v>
      </c>
      <c r="H319" s="1">
        <v>2335.29</v>
      </c>
      <c r="I319" s="1">
        <v>70847.27</v>
      </c>
      <c r="J319" s="1">
        <v>24897.84</v>
      </c>
      <c r="K319" s="1">
        <v>24725</v>
      </c>
      <c r="N319" s="1">
        <f t="shared" si="5"/>
        <v>1062.71</v>
      </c>
    </row>
    <row r="320" spans="1:14">
      <c r="A320" t="s">
        <v>762</v>
      </c>
      <c r="B320" t="s">
        <v>761</v>
      </c>
      <c r="C320" t="s">
        <v>741</v>
      </c>
      <c r="D320" t="s">
        <v>115</v>
      </c>
      <c r="E320" s="1">
        <v>93167.998800000001</v>
      </c>
      <c r="F320" s="1">
        <v>8091.4512000000004</v>
      </c>
      <c r="H320" s="1">
        <v>5256.6199999999953</v>
      </c>
      <c r="I320" s="1">
        <v>106516.06999999999</v>
      </c>
      <c r="J320" s="1">
        <v>9674.2800000000007</v>
      </c>
      <c r="K320" s="1">
        <v>41092</v>
      </c>
      <c r="N320" s="1">
        <f t="shared" si="5"/>
        <v>1597.74</v>
      </c>
    </row>
    <row r="321" spans="1:14">
      <c r="A321" t="s">
        <v>764</v>
      </c>
      <c r="B321" t="s">
        <v>763</v>
      </c>
      <c r="C321" t="s">
        <v>741</v>
      </c>
      <c r="D321" t="s">
        <v>115</v>
      </c>
      <c r="E321" s="1">
        <v>88343.843299999993</v>
      </c>
      <c r="F321" s="1">
        <v>251.95670000000001</v>
      </c>
      <c r="G321" s="1">
        <v>50.23</v>
      </c>
      <c r="H321" s="1">
        <v>3389.88</v>
      </c>
      <c r="I321" s="1">
        <v>92035.909999999989</v>
      </c>
      <c r="J321" s="1">
        <v>24897.84</v>
      </c>
      <c r="K321" s="1">
        <v>38299</v>
      </c>
      <c r="N321" s="1">
        <f t="shared" si="5"/>
        <v>1380.54</v>
      </c>
    </row>
    <row r="322" spans="1:14">
      <c r="A322" t="s">
        <v>766</v>
      </c>
      <c r="B322" t="s">
        <v>765</v>
      </c>
      <c r="C322" t="s">
        <v>741</v>
      </c>
      <c r="D322" t="s">
        <v>115</v>
      </c>
      <c r="E322" s="1">
        <v>79576.619500000001</v>
      </c>
      <c r="F322" s="1">
        <v>11181.8105</v>
      </c>
      <c r="H322" s="1">
        <v>3389.88</v>
      </c>
      <c r="I322" s="1">
        <v>94148.31</v>
      </c>
      <c r="J322" s="1">
        <v>18680.88</v>
      </c>
      <c r="K322" s="1">
        <v>34639</v>
      </c>
      <c r="N322" s="1">
        <f t="shared" si="5"/>
        <v>1412.22</v>
      </c>
    </row>
    <row r="323" spans="1:14">
      <c r="A323" t="s">
        <v>767</v>
      </c>
      <c r="B323" t="s">
        <v>716</v>
      </c>
      <c r="C323" t="s">
        <v>737</v>
      </c>
      <c r="D323" t="s">
        <v>115</v>
      </c>
      <c r="E323" s="1">
        <v>44406.790099999998</v>
      </c>
      <c r="F323" s="1">
        <v>48.969900000000003</v>
      </c>
      <c r="H323" s="1">
        <v>1200</v>
      </c>
      <c r="I323" s="1">
        <v>45655.759999999995</v>
      </c>
      <c r="J323" s="1">
        <v>24897.84</v>
      </c>
      <c r="K323" s="1">
        <v>19041</v>
      </c>
      <c r="N323" s="1">
        <f t="shared" si="5"/>
        <v>684.84</v>
      </c>
    </row>
    <row r="324" spans="1:14">
      <c r="A324" t="s">
        <v>769</v>
      </c>
      <c r="B324" t="s">
        <v>768</v>
      </c>
      <c r="C324" t="s">
        <v>748</v>
      </c>
      <c r="D324" t="s">
        <v>115</v>
      </c>
      <c r="E324" s="1">
        <v>105768.0024</v>
      </c>
      <c r="F324" s="1">
        <v>27253.417600000001</v>
      </c>
      <c r="G324" s="1">
        <v>16464.919999999998</v>
      </c>
      <c r="H324" s="1">
        <v>7592.4700000000012</v>
      </c>
      <c r="I324" s="1">
        <v>157078.81</v>
      </c>
      <c r="J324" s="1">
        <v>24897.84</v>
      </c>
      <c r="K324" s="1">
        <v>47328</v>
      </c>
      <c r="N324" s="1">
        <f t="shared" si="5"/>
        <v>2356.1799999999998</v>
      </c>
    </row>
    <row r="325" spans="1:14">
      <c r="A325" t="s">
        <v>771</v>
      </c>
      <c r="B325" t="s">
        <v>770</v>
      </c>
      <c r="C325" t="s">
        <v>748</v>
      </c>
      <c r="D325" t="s">
        <v>115</v>
      </c>
      <c r="E325" s="1">
        <v>97586.000800000009</v>
      </c>
      <c r="F325" s="1">
        <v>3868.9092000000001</v>
      </c>
      <c r="G325" s="1">
        <v>7017.29</v>
      </c>
      <c r="H325" s="1">
        <v>3639.88</v>
      </c>
      <c r="I325" s="1">
        <v>112112.08</v>
      </c>
      <c r="J325" s="1">
        <v>0</v>
      </c>
      <c r="K325" s="1">
        <v>42262</v>
      </c>
      <c r="N325" s="1">
        <f>ROUND(+I325*0.005,2)</f>
        <v>560.55999999999995</v>
      </c>
    </row>
    <row r="326" spans="1:14">
      <c r="A326" t="s">
        <v>773</v>
      </c>
      <c r="B326" t="s">
        <v>772</v>
      </c>
      <c r="C326" t="s">
        <v>737</v>
      </c>
      <c r="D326" t="s">
        <v>115</v>
      </c>
      <c r="E326" s="1">
        <v>10522.51</v>
      </c>
      <c r="F326" s="1">
        <v>0</v>
      </c>
      <c r="G326" s="1">
        <v>3412.65</v>
      </c>
      <c r="H326" s="1">
        <v>800</v>
      </c>
      <c r="I326" s="1">
        <v>14735.16</v>
      </c>
      <c r="J326" s="1">
        <v>0</v>
      </c>
      <c r="K326" s="1">
        <v>4727</v>
      </c>
      <c r="N326" s="1">
        <f t="shared" si="5"/>
        <v>221.03</v>
      </c>
    </row>
    <row r="327" spans="1:14">
      <c r="A327" t="s">
        <v>775</v>
      </c>
      <c r="B327" t="s">
        <v>774</v>
      </c>
      <c r="C327" t="s">
        <v>737</v>
      </c>
      <c r="D327" t="s">
        <v>115</v>
      </c>
      <c r="E327" s="1">
        <v>82446.838400000008</v>
      </c>
      <c r="F327" s="1">
        <v>7922.2416000000003</v>
      </c>
      <c r="G327" s="1">
        <v>5049.05</v>
      </c>
      <c r="H327" s="1">
        <v>2670.73</v>
      </c>
      <c r="I327" s="1">
        <v>98088.86</v>
      </c>
      <c r="J327" s="1">
        <v>9674.2800000000007</v>
      </c>
      <c r="K327" s="1">
        <v>35537</v>
      </c>
      <c r="N327" s="1">
        <f t="shared" si="5"/>
        <v>1471.33</v>
      </c>
    </row>
    <row r="328" spans="1:14">
      <c r="A328" t="s">
        <v>777</v>
      </c>
      <c r="B328" t="s">
        <v>776</v>
      </c>
      <c r="C328" t="s">
        <v>748</v>
      </c>
      <c r="D328" t="s">
        <v>115</v>
      </c>
      <c r="E328" s="1">
        <v>90333.163499999995</v>
      </c>
      <c r="F328" s="1">
        <v>22312.6865</v>
      </c>
      <c r="H328" s="1">
        <v>1950</v>
      </c>
      <c r="I328" s="1">
        <v>114595.84999999999</v>
      </c>
      <c r="J328" s="1">
        <v>18680.88</v>
      </c>
      <c r="K328" s="1">
        <v>38528</v>
      </c>
      <c r="N328" s="1">
        <f t="shared" si="5"/>
        <v>1718.94</v>
      </c>
    </row>
    <row r="329" spans="1:14">
      <c r="A329" t="s">
        <v>780</v>
      </c>
      <c r="B329" t="s">
        <v>779</v>
      </c>
      <c r="C329" t="s">
        <v>778</v>
      </c>
      <c r="D329" t="s">
        <v>115</v>
      </c>
      <c r="E329" s="1">
        <v>153239.99879999997</v>
      </c>
      <c r="F329" s="1">
        <v>897.89120000000003</v>
      </c>
      <c r="G329" s="1">
        <v>11050.97</v>
      </c>
      <c r="H329" s="1">
        <v>33304.180000000022</v>
      </c>
      <c r="I329" s="1">
        <v>198493.04</v>
      </c>
      <c r="J329" s="1">
        <v>14342.16</v>
      </c>
      <c r="K329" s="1">
        <v>77882</v>
      </c>
      <c r="N329" s="1">
        <f t="shared" si="5"/>
        <v>2977.4</v>
      </c>
    </row>
    <row r="330" spans="1:14">
      <c r="A330" t="s">
        <v>782</v>
      </c>
      <c r="B330" t="s">
        <v>781</v>
      </c>
      <c r="C330" t="s">
        <v>748</v>
      </c>
      <c r="D330" t="s">
        <v>115</v>
      </c>
      <c r="E330" s="1">
        <v>102476.30390000001</v>
      </c>
      <c r="F330" s="1">
        <v>11884.536099999999</v>
      </c>
      <c r="G330" s="1">
        <v>1906.87</v>
      </c>
      <c r="H330" s="1">
        <v>1809.18</v>
      </c>
      <c r="I330" s="1">
        <v>118076.89</v>
      </c>
      <c r="J330" s="1">
        <v>24897.84</v>
      </c>
      <c r="K330" s="1">
        <v>43539</v>
      </c>
      <c r="N330" s="1">
        <f t="shared" si="5"/>
        <v>1771.15</v>
      </c>
    </row>
    <row r="331" spans="1:14">
      <c r="A331" t="s">
        <v>785</v>
      </c>
      <c r="B331" t="s">
        <v>784</v>
      </c>
      <c r="C331" t="s">
        <v>783</v>
      </c>
      <c r="D331" t="s">
        <v>115</v>
      </c>
      <c r="E331" s="1">
        <v>26515.24</v>
      </c>
      <c r="F331" s="1">
        <v>0</v>
      </c>
      <c r="H331" s="1">
        <v>200</v>
      </c>
      <c r="I331" s="1">
        <v>26715.24</v>
      </c>
      <c r="J331" s="1">
        <v>0</v>
      </c>
      <c r="K331" s="1">
        <v>11154</v>
      </c>
      <c r="N331" s="1">
        <f t="shared" si="5"/>
        <v>400.73</v>
      </c>
    </row>
    <row r="332" spans="1:14">
      <c r="A332" t="s">
        <v>788</v>
      </c>
      <c r="B332" t="s">
        <v>787</v>
      </c>
      <c r="C332" t="s">
        <v>786</v>
      </c>
      <c r="D332" t="s">
        <v>115</v>
      </c>
      <c r="E332" s="1">
        <v>135672.00380000001</v>
      </c>
      <c r="F332" s="1">
        <v>12537.556200000001</v>
      </c>
      <c r="G332" s="1">
        <v>6000.88</v>
      </c>
      <c r="H332" s="1">
        <v>15671.5</v>
      </c>
      <c r="I332" s="1">
        <v>169881.94</v>
      </c>
      <c r="J332" s="1">
        <v>18688.68</v>
      </c>
      <c r="K332" s="1">
        <v>63186</v>
      </c>
      <c r="N332" s="1">
        <f t="shared" si="5"/>
        <v>2548.23</v>
      </c>
    </row>
    <row r="333" spans="1:14">
      <c r="A333" t="s">
        <v>790</v>
      </c>
      <c r="B333" t="s">
        <v>789</v>
      </c>
      <c r="C333" t="s">
        <v>737</v>
      </c>
      <c r="D333" t="s">
        <v>115</v>
      </c>
      <c r="E333" s="1">
        <v>84504.004499999995</v>
      </c>
      <c r="F333" s="1">
        <v>27594.445500000002</v>
      </c>
      <c r="H333" s="1">
        <v>5613.3899999999994</v>
      </c>
      <c r="I333" s="1">
        <v>117711.84</v>
      </c>
      <c r="J333" s="1">
        <v>24897.84</v>
      </c>
      <c r="K333" s="1">
        <v>37624</v>
      </c>
      <c r="N333" s="1">
        <f t="shared" si="5"/>
        <v>1765.68</v>
      </c>
    </row>
    <row r="334" spans="1:14">
      <c r="A334" t="s">
        <v>345</v>
      </c>
      <c r="B334" t="s">
        <v>791</v>
      </c>
      <c r="C334" t="s">
        <v>741</v>
      </c>
      <c r="D334" t="s">
        <v>115</v>
      </c>
      <c r="E334" s="1">
        <v>93168.004400000005</v>
      </c>
      <c r="F334" s="1">
        <v>14045.045599999999</v>
      </c>
      <c r="H334" s="1">
        <v>2729.6100000000006</v>
      </c>
      <c r="I334" s="1">
        <v>109942.66</v>
      </c>
      <c r="J334" s="1">
        <v>24897.84</v>
      </c>
      <c r="K334" s="1">
        <v>40037</v>
      </c>
      <c r="N334" s="1">
        <f t="shared" si="5"/>
        <v>1649.14</v>
      </c>
    </row>
    <row r="335" spans="1:14">
      <c r="A335" t="s">
        <v>793</v>
      </c>
      <c r="B335" t="s">
        <v>792</v>
      </c>
      <c r="C335" t="s">
        <v>748</v>
      </c>
      <c r="D335" t="s">
        <v>115</v>
      </c>
      <c r="E335" s="1">
        <v>105768.00159999999</v>
      </c>
      <c r="F335" s="1">
        <v>5849.3083999999999</v>
      </c>
      <c r="H335" s="1">
        <v>2412.13</v>
      </c>
      <c r="I335" s="1">
        <v>114029.43999999999</v>
      </c>
      <c r="J335" s="1">
        <v>18680.88</v>
      </c>
      <c r="K335" s="1">
        <v>45165</v>
      </c>
      <c r="N335" s="1">
        <f t="shared" si="5"/>
        <v>1710.44</v>
      </c>
    </row>
    <row r="336" spans="1:14">
      <c r="A336" t="s">
        <v>795</v>
      </c>
      <c r="B336" t="s">
        <v>794</v>
      </c>
      <c r="C336" t="s">
        <v>741</v>
      </c>
      <c r="D336" t="s">
        <v>115</v>
      </c>
      <c r="E336" s="1">
        <v>85042.988000000012</v>
      </c>
      <c r="F336" s="1">
        <v>9406.3919999999998</v>
      </c>
      <c r="G336" s="1">
        <v>4031.31</v>
      </c>
      <c r="H336" s="1">
        <v>1200</v>
      </c>
      <c r="I336" s="1">
        <v>99680.69</v>
      </c>
      <c r="J336" s="1">
        <v>24897.84</v>
      </c>
      <c r="K336" s="1">
        <v>36006</v>
      </c>
      <c r="N336" s="1">
        <f t="shared" si="5"/>
        <v>1495.21</v>
      </c>
    </row>
    <row r="337" spans="1:14">
      <c r="A337" t="s">
        <v>797</v>
      </c>
      <c r="B337" t="s">
        <v>796</v>
      </c>
      <c r="C337" t="s">
        <v>748</v>
      </c>
      <c r="D337" t="s">
        <v>115</v>
      </c>
      <c r="E337" s="1">
        <v>105767.9988</v>
      </c>
      <c r="F337" s="1">
        <v>8300.3811999999998</v>
      </c>
      <c r="H337" s="1">
        <v>14888.490000000005</v>
      </c>
      <c r="I337" s="1">
        <v>128956.87000000001</v>
      </c>
      <c r="J337" s="1">
        <v>0</v>
      </c>
      <c r="K337" s="1">
        <v>50374</v>
      </c>
      <c r="N337" s="1">
        <f t="shared" si="5"/>
        <v>1934.35</v>
      </c>
    </row>
    <row r="338" spans="1:14">
      <c r="A338" t="s">
        <v>329</v>
      </c>
      <c r="B338" t="s">
        <v>798</v>
      </c>
      <c r="C338" t="s">
        <v>741</v>
      </c>
      <c r="D338" t="s">
        <v>115</v>
      </c>
      <c r="E338" s="1">
        <v>93167.999299999981</v>
      </c>
      <c r="F338" s="1">
        <v>31526.110700000001</v>
      </c>
      <c r="G338" s="1">
        <v>15210.92</v>
      </c>
      <c r="H338" s="1">
        <v>17954.770000000004</v>
      </c>
      <c r="I338" s="1">
        <v>157859.79999999999</v>
      </c>
      <c r="J338" s="1">
        <v>24897.84</v>
      </c>
      <c r="K338" s="1">
        <v>46394</v>
      </c>
      <c r="N338" s="1">
        <f t="shared" si="5"/>
        <v>2367.9</v>
      </c>
    </row>
    <row r="339" spans="1:14">
      <c r="A339" t="s">
        <v>458</v>
      </c>
      <c r="B339" t="s">
        <v>799</v>
      </c>
      <c r="C339" t="s">
        <v>748</v>
      </c>
      <c r="D339" t="s">
        <v>115</v>
      </c>
      <c r="E339" s="1">
        <v>97130.823600000003</v>
      </c>
      <c r="F339" s="1">
        <v>25829.276399999999</v>
      </c>
      <c r="G339" s="1">
        <v>10988.75</v>
      </c>
      <c r="H339" s="1">
        <v>2639.88</v>
      </c>
      <c r="I339" s="1">
        <v>136588.73000000001</v>
      </c>
      <c r="J339" s="1">
        <v>24897.84</v>
      </c>
      <c r="K339" s="1">
        <v>41654</v>
      </c>
      <c r="N339" s="1">
        <f>ROUND(+I339*0.005,2)</f>
        <v>682.94</v>
      </c>
    </row>
    <row r="340" spans="1:14">
      <c r="A340" t="s">
        <v>801</v>
      </c>
      <c r="B340" t="s">
        <v>800</v>
      </c>
      <c r="C340" t="s">
        <v>748</v>
      </c>
      <c r="D340" t="s">
        <v>115</v>
      </c>
      <c r="E340" s="1">
        <v>97944.496099999989</v>
      </c>
      <c r="F340" s="1">
        <v>23122.653900000001</v>
      </c>
      <c r="H340" s="1">
        <v>2781.49</v>
      </c>
      <c r="I340" s="1">
        <v>123848.64</v>
      </c>
      <c r="J340" s="1">
        <v>18680.88</v>
      </c>
      <c r="K340" s="1">
        <v>42053</v>
      </c>
      <c r="N340" s="1">
        <f t="shared" si="5"/>
        <v>1857.73</v>
      </c>
    </row>
    <row r="341" spans="1:14">
      <c r="A341" t="s">
        <v>803</v>
      </c>
      <c r="B341" t="s">
        <v>802</v>
      </c>
      <c r="C341" t="s">
        <v>748</v>
      </c>
      <c r="D341" t="s">
        <v>115</v>
      </c>
      <c r="E341" s="1">
        <v>105768.00199999999</v>
      </c>
      <c r="F341" s="1">
        <v>10268.468000000001</v>
      </c>
      <c r="G341" s="1">
        <v>3813.73</v>
      </c>
      <c r="H341" s="1">
        <v>6644.9500000000116</v>
      </c>
      <c r="I341" s="1">
        <v>126495.15</v>
      </c>
      <c r="J341" s="1">
        <v>24897.84</v>
      </c>
      <c r="K341" s="1">
        <v>46932</v>
      </c>
      <c r="N341" s="1">
        <f t="shared" si="5"/>
        <v>1897.43</v>
      </c>
    </row>
    <row r="342" spans="1:14">
      <c r="A342" t="s">
        <v>805</v>
      </c>
      <c r="B342" t="s">
        <v>804</v>
      </c>
      <c r="C342" t="s">
        <v>737</v>
      </c>
      <c r="D342" t="s">
        <v>115</v>
      </c>
      <c r="E342" s="1">
        <v>67770.849999999991</v>
      </c>
      <c r="F342" s="1">
        <v>0</v>
      </c>
      <c r="H342" s="1">
        <v>2639.88</v>
      </c>
      <c r="I342" s="1">
        <v>70410.73</v>
      </c>
      <c r="J342" s="1">
        <v>24897.84</v>
      </c>
      <c r="K342" s="1">
        <v>29396</v>
      </c>
      <c r="N342" s="1">
        <f t="shared" si="5"/>
        <v>1056.1600000000001</v>
      </c>
    </row>
    <row r="343" spans="1:14">
      <c r="A343" t="s">
        <v>807</v>
      </c>
      <c r="B343" t="s">
        <v>806</v>
      </c>
      <c r="C343" t="s">
        <v>741</v>
      </c>
      <c r="D343" t="s">
        <v>115</v>
      </c>
      <c r="E343" s="1">
        <v>93168.002499999988</v>
      </c>
      <c r="F343" s="1">
        <v>1381.5574999999999</v>
      </c>
      <c r="G343" s="1">
        <v>12785.52</v>
      </c>
      <c r="H343" s="1">
        <v>11423.430000000008</v>
      </c>
      <c r="I343" s="1">
        <v>118758.51</v>
      </c>
      <c r="J343" s="1">
        <v>18680.88</v>
      </c>
      <c r="K343" s="1">
        <v>43667</v>
      </c>
      <c r="N343" s="1">
        <f t="shared" si="5"/>
        <v>1781.38</v>
      </c>
    </row>
    <row r="344" spans="1:14">
      <c r="A344" t="s">
        <v>653</v>
      </c>
      <c r="B344" t="s">
        <v>808</v>
      </c>
      <c r="C344" t="s">
        <v>741</v>
      </c>
      <c r="D344" t="s">
        <v>115</v>
      </c>
      <c r="E344" s="1">
        <v>84439.103000000003</v>
      </c>
      <c r="F344" s="1">
        <v>9871.9169999999995</v>
      </c>
      <c r="H344" s="1">
        <v>2200</v>
      </c>
      <c r="I344" s="1">
        <v>96511.02</v>
      </c>
      <c r="J344" s="1">
        <v>24897.84</v>
      </c>
      <c r="K344" s="1">
        <v>36172</v>
      </c>
      <c r="N344" s="1">
        <f t="shared" si="5"/>
        <v>1447.67</v>
      </c>
    </row>
    <row r="345" spans="1:14">
      <c r="A345" t="s">
        <v>795</v>
      </c>
      <c r="B345" t="s">
        <v>809</v>
      </c>
      <c r="C345" t="s">
        <v>737</v>
      </c>
      <c r="D345" t="s">
        <v>115</v>
      </c>
      <c r="E345" s="1">
        <v>44591.98</v>
      </c>
      <c r="F345" s="1">
        <v>0</v>
      </c>
      <c r="H345" s="1">
        <v>1100</v>
      </c>
      <c r="I345" s="1">
        <v>45691.98</v>
      </c>
      <c r="J345" s="1">
        <v>0</v>
      </c>
      <c r="K345" s="1">
        <v>19076</v>
      </c>
      <c r="N345" s="1">
        <f t="shared" si="5"/>
        <v>685.38</v>
      </c>
    </row>
    <row r="346" spans="1:14">
      <c r="A346" t="s">
        <v>811</v>
      </c>
      <c r="B346" t="s">
        <v>810</v>
      </c>
      <c r="C346" t="s">
        <v>741</v>
      </c>
      <c r="D346" t="s">
        <v>115</v>
      </c>
      <c r="E346" s="1">
        <v>93168</v>
      </c>
      <c r="F346" s="1">
        <v>8623.5</v>
      </c>
      <c r="H346" s="1">
        <v>6053.8800000000047</v>
      </c>
      <c r="I346" s="1">
        <v>107845.38</v>
      </c>
      <c r="J346" s="1">
        <v>18680.88</v>
      </c>
      <c r="K346" s="1">
        <v>41425</v>
      </c>
      <c r="N346" s="1">
        <f t="shared" si="5"/>
        <v>1617.68</v>
      </c>
    </row>
    <row r="347" spans="1:14">
      <c r="A347" t="s">
        <v>813</v>
      </c>
      <c r="B347" t="s">
        <v>812</v>
      </c>
      <c r="C347" t="s">
        <v>737</v>
      </c>
      <c r="D347" t="s">
        <v>115</v>
      </c>
      <c r="E347" s="1">
        <v>75647.729200000002</v>
      </c>
      <c r="F347" s="1">
        <v>8530.7507999999998</v>
      </c>
      <c r="H347" s="1">
        <v>2200</v>
      </c>
      <c r="I347" s="1">
        <v>86378.48</v>
      </c>
      <c r="J347" s="1">
        <v>24897.84</v>
      </c>
      <c r="K347" s="1">
        <v>32501</v>
      </c>
      <c r="N347" s="1">
        <f t="shared" si="5"/>
        <v>1295.68</v>
      </c>
    </row>
    <row r="348" spans="1:14">
      <c r="A348" t="s">
        <v>815</v>
      </c>
      <c r="B348" t="s">
        <v>814</v>
      </c>
      <c r="C348" t="s">
        <v>741</v>
      </c>
      <c r="D348" t="s">
        <v>115</v>
      </c>
      <c r="E348" s="1">
        <v>89464.301200000002</v>
      </c>
      <c r="F348" s="1">
        <v>239.9588</v>
      </c>
      <c r="H348" s="1">
        <v>2669.94</v>
      </c>
      <c r="I348" s="1">
        <v>92374.2</v>
      </c>
      <c r="J348" s="1">
        <v>24897.84</v>
      </c>
      <c r="K348" s="1">
        <v>38466</v>
      </c>
      <c r="N348" s="1">
        <f t="shared" si="5"/>
        <v>1385.61</v>
      </c>
    </row>
    <row r="349" spans="1:14">
      <c r="A349" t="s">
        <v>817</v>
      </c>
      <c r="B349" t="s">
        <v>816</v>
      </c>
      <c r="C349" t="s">
        <v>741</v>
      </c>
      <c r="D349" t="s">
        <v>115</v>
      </c>
      <c r="E349" s="1">
        <v>77239.643100000001</v>
      </c>
      <c r="F349" s="1">
        <v>6358.9069</v>
      </c>
      <c r="H349" s="1">
        <v>1950</v>
      </c>
      <c r="I349" s="1">
        <v>85548.55</v>
      </c>
      <c r="J349" s="1">
        <v>24897.84</v>
      </c>
      <c r="K349" s="1">
        <v>33062</v>
      </c>
      <c r="N349" s="1">
        <f t="shared" si="5"/>
        <v>1283.23</v>
      </c>
    </row>
    <row r="350" spans="1:14">
      <c r="A350" t="s">
        <v>819</v>
      </c>
      <c r="B350" t="s">
        <v>818</v>
      </c>
      <c r="C350" t="s">
        <v>748</v>
      </c>
      <c r="D350" t="s">
        <v>115</v>
      </c>
      <c r="E350" s="1">
        <v>85161.784199999995</v>
      </c>
      <c r="F350" s="1">
        <v>149.82579999999999</v>
      </c>
      <c r="H350" s="1">
        <v>3007.6</v>
      </c>
      <c r="I350" s="1">
        <v>88319.21</v>
      </c>
      <c r="J350" s="1">
        <v>24897.84</v>
      </c>
      <c r="K350" s="1">
        <v>36811</v>
      </c>
      <c r="N350" s="1">
        <f t="shared" si="5"/>
        <v>1324.79</v>
      </c>
    </row>
    <row r="351" spans="1:14">
      <c r="A351" t="s">
        <v>821</v>
      </c>
      <c r="B351" t="s">
        <v>820</v>
      </c>
      <c r="C351" t="s">
        <v>786</v>
      </c>
      <c r="D351" t="s">
        <v>115</v>
      </c>
      <c r="E351" s="1">
        <v>135672.00390000001</v>
      </c>
      <c r="F351" s="1">
        <v>9483.5360999999994</v>
      </c>
      <c r="H351" s="1">
        <v>15854.71</v>
      </c>
      <c r="I351" s="1">
        <v>161010.25</v>
      </c>
      <c r="J351" s="1">
        <v>18688.68</v>
      </c>
      <c r="K351" s="1">
        <v>63262</v>
      </c>
      <c r="N351" s="1">
        <f t="shared" si="5"/>
        <v>2415.15</v>
      </c>
    </row>
    <row r="352" spans="1:14">
      <c r="A352" t="s">
        <v>823</v>
      </c>
      <c r="B352" t="s">
        <v>822</v>
      </c>
      <c r="C352" t="s">
        <v>741</v>
      </c>
      <c r="D352" t="s">
        <v>115</v>
      </c>
      <c r="E352" s="1">
        <v>66190.36039999999</v>
      </c>
      <c r="F352" s="1">
        <v>2704.3296</v>
      </c>
      <c r="G352" s="1">
        <v>9892.69</v>
      </c>
      <c r="H352" s="1">
        <v>2639.88</v>
      </c>
      <c r="I352" s="1">
        <v>81427.259999999995</v>
      </c>
      <c r="J352" s="1">
        <v>9674.2800000000007</v>
      </c>
      <c r="K352" s="1">
        <v>28737</v>
      </c>
      <c r="N352" s="1">
        <f t="shared" si="5"/>
        <v>1221.4100000000001</v>
      </c>
    </row>
    <row r="353" spans="1:14">
      <c r="A353" t="s">
        <v>825</v>
      </c>
      <c r="B353" t="s">
        <v>824</v>
      </c>
      <c r="C353" t="s">
        <v>748</v>
      </c>
      <c r="D353" t="s">
        <v>115</v>
      </c>
      <c r="E353" s="1">
        <v>105768.0043</v>
      </c>
      <c r="F353" s="1">
        <v>15603.995699999999</v>
      </c>
      <c r="G353" s="1">
        <v>4086.16</v>
      </c>
      <c r="H353" s="1">
        <v>6264.429999999993</v>
      </c>
      <c r="I353" s="1">
        <v>131722.59</v>
      </c>
      <c r="J353" s="1">
        <v>24897.84</v>
      </c>
      <c r="K353" s="1">
        <v>46774</v>
      </c>
      <c r="N353" s="1">
        <f t="shared" si="5"/>
        <v>1975.84</v>
      </c>
    </row>
    <row r="354" spans="1:14">
      <c r="A354" t="s">
        <v>827</v>
      </c>
      <c r="B354" t="s">
        <v>826</v>
      </c>
      <c r="C354" t="s">
        <v>737</v>
      </c>
      <c r="D354" t="s">
        <v>115</v>
      </c>
      <c r="E354" s="1">
        <v>77354.399800000014</v>
      </c>
      <c r="F354" s="1">
        <v>8633.6702000000005</v>
      </c>
      <c r="H354" s="1">
        <v>2200</v>
      </c>
      <c r="I354" s="1">
        <v>88188.07</v>
      </c>
      <c r="J354" s="1">
        <v>9674.2800000000007</v>
      </c>
      <c r="K354" s="1">
        <v>33214</v>
      </c>
      <c r="N354" s="1">
        <f t="shared" si="5"/>
        <v>1322.82</v>
      </c>
    </row>
    <row r="355" spans="1:14">
      <c r="A355" t="s">
        <v>424</v>
      </c>
      <c r="B355" t="s">
        <v>828</v>
      </c>
      <c r="C355" t="s">
        <v>741</v>
      </c>
      <c r="D355" t="s">
        <v>115</v>
      </c>
      <c r="E355" s="1">
        <v>92769.1927</v>
      </c>
      <c r="F355" s="1">
        <v>8169.4072999999999</v>
      </c>
      <c r="G355" s="1">
        <v>5912.59</v>
      </c>
      <c r="H355" s="1">
        <v>1950</v>
      </c>
      <c r="I355" s="1">
        <v>108801.19</v>
      </c>
      <c r="J355" s="1">
        <v>24897.84</v>
      </c>
      <c r="K355" s="1">
        <v>39545</v>
      </c>
      <c r="N355" s="1">
        <f t="shared" si="5"/>
        <v>1632.02</v>
      </c>
    </row>
    <row r="356" spans="1:14">
      <c r="A356" t="s">
        <v>830</v>
      </c>
      <c r="B356" t="s">
        <v>829</v>
      </c>
      <c r="C356" t="s">
        <v>741</v>
      </c>
      <c r="D356" t="s">
        <v>115</v>
      </c>
      <c r="E356" s="1">
        <v>93167.997300000003</v>
      </c>
      <c r="F356" s="1">
        <v>4362.2127</v>
      </c>
      <c r="G356" s="1">
        <v>1440.9</v>
      </c>
      <c r="H356" s="1">
        <v>14735.380000000005</v>
      </c>
      <c r="I356" s="1">
        <v>113706.49</v>
      </c>
      <c r="J356" s="1">
        <v>24897.84</v>
      </c>
      <c r="K356" s="1">
        <v>45050</v>
      </c>
      <c r="N356" s="1">
        <f t="shared" si="5"/>
        <v>1705.6</v>
      </c>
    </row>
    <row r="357" spans="1:14">
      <c r="A357" t="s">
        <v>832</v>
      </c>
      <c r="B357" t="s">
        <v>831</v>
      </c>
      <c r="C357" t="s">
        <v>748</v>
      </c>
      <c r="D357" t="s">
        <v>115</v>
      </c>
      <c r="E357" s="1">
        <v>103851.8656</v>
      </c>
      <c r="F357" s="1">
        <v>12156.2644</v>
      </c>
      <c r="G357" s="1">
        <v>5552.79</v>
      </c>
      <c r="H357" s="1">
        <v>1200</v>
      </c>
      <c r="I357" s="1">
        <v>122760.92</v>
      </c>
      <c r="J357" s="1">
        <v>24897.84</v>
      </c>
      <c r="K357" s="1">
        <v>43859</v>
      </c>
      <c r="N357" s="1">
        <f t="shared" si="5"/>
        <v>1841.41</v>
      </c>
    </row>
    <row r="358" spans="1:14">
      <c r="A358" t="s">
        <v>834</v>
      </c>
      <c r="B358" t="s">
        <v>833</v>
      </c>
      <c r="C358" t="s">
        <v>741</v>
      </c>
      <c r="D358" t="s">
        <v>115</v>
      </c>
      <c r="E358" s="1">
        <v>86459.810599999997</v>
      </c>
      <c r="F358" s="1">
        <v>9718.3294000000005</v>
      </c>
      <c r="H358" s="1">
        <v>2669.94</v>
      </c>
      <c r="I358" s="1">
        <v>98848.08</v>
      </c>
      <c r="J358" s="1">
        <v>24897.84</v>
      </c>
      <c r="K358" s="1">
        <v>37212</v>
      </c>
      <c r="N358" s="1">
        <f t="shared" si="5"/>
        <v>1482.72</v>
      </c>
    </row>
    <row r="359" spans="1:14">
      <c r="A359" t="s">
        <v>836</v>
      </c>
      <c r="B359" t="s">
        <v>835</v>
      </c>
      <c r="C359" t="s">
        <v>741</v>
      </c>
      <c r="D359" t="s">
        <v>115</v>
      </c>
      <c r="E359" s="1">
        <v>90178.328899999993</v>
      </c>
      <c r="F359" s="1">
        <v>1360.5610999999999</v>
      </c>
      <c r="G359" s="1">
        <v>828.94</v>
      </c>
      <c r="H359" s="1">
        <v>2919.94</v>
      </c>
      <c r="I359" s="1">
        <v>95287.77</v>
      </c>
      <c r="J359" s="1">
        <v>18680.88</v>
      </c>
      <c r="K359" s="1">
        <v>38869</v>
      </c>
      <c r="N359" s="1">
        <f t="shared" si="5"/>
        <v>1429.32</v>
      </c>
    </row>
    <row r="360" spans="1:14">
      <c r="A360" t="s">
        <v>838</v>
      </c>
      <c r="B360" t="s">
        <v>837</v>
      </c>
      <c r="C360" t="s">
        <v>748</v>
      </c>
      <c r="D360" t="s">
        <v>115</v>
      </c>
      <c r="E360" s="1">
        <v>87037.765599999999</v>
      </c>
      <c r="F360" s="1">
        <v>15459.9244</v>
      </c>
      <c r="G360" s="1">
        <v>11739.73</v>
      </c>
      <c r="H360" s="1">
        <v>3639.88</v>
      </c>
      <c r="I360" s="1">
        <v>117877.3</v>
      </c>
      <c r="J360" s="1">
        <v>24897.84</v>
      </c>
      <c r="K360" s="1">
        <v>37858</v>
      </c>
      <c r="N360" s="1">
        <f>ROUND(+I360*0.005,2)</f>
        <v>589.39</v>
      </c>
    </row>
    <row r="361" spans="1:14">
      <c r="A361" t="s">
        <v>840</v>
      </c>
      <c r="B361" t="s">
        <v>839</v>
      </c>
      <c r="C361" t="s">
        <v>748</v>
      </c>
      <c r="D361" t="s">
        <v>115</v>
      </c>
      <c r="E361" s="1">
        <v>105767.9955</v>
      </c>
      <c r="F361" s="1">
        <v>1455.6945000000001</v>
      </c>
      <c r="H361" s="1">
        <v>13215.39</v>
      </c>
      <c r="I361" s="1">
        <v>120439.08</v>
      </c>
      <c r="J361" s="1">
        <v>18680.88</v>
      </c>
      <c r="K361" s="1">
        <v>49676</v>
      </c>
      <c r="N361" s="1">
        <f t="shared" si="5"/>
        <v>1806.59</v>
      </c>
    </row>
    <row r="362" spans="1:14">
      <c r="A362" t="s">
        <v>842</v>
      </c>
      <c r="B362" t="s">
        <v>841</v>
      </c>
      <c r="C362" t="s">
        <v>737</v>
      </c>
      <c r="D362" t="s">
        <v>115</v>
      </c>
      <c r="E362" s="1">
        <v>84503.995800000004</v>
      </c>
      <c r="F362" s="1">
        <v>9369.5741999999991</v>
      </c>
      <c r="G362" s="1">
        <v>3250.15</v>
      </c>
      <c r="H362" s="1">
        <v>2313.1399999999994</v>
      </c>
      <c r="I362" s="1">
        <v>99436.86</v>
      </c>
      <c r="J362" s="1">
        <v>9674.2800000000007</v>
      </c>
      <c r="K362" s="1">
        <v>36246</v>
      </c>
      <c r="N362" s="1">
        <f t="shared" si="5"/>
        <v>1491.55</v>
      </c>
    </row>
    <row r="363" spans="1:14">
      <c r="A363" t="s">
        <v>844</v>
      </c>
      <c r="B363" t="s">
        <v>843</v>
      </c>
      <c r="C363" t="s">
        <v>748</v>
      </c>
      <c r="D363" t="s">
        <v>115</v>
      </c>
      <c r="E363" s="1">
        <v>105768.0047</v>
      </c>
      <c r="F363" s="1">
        <v>10159.2153</v>
      </c>
      <c r="G363" s="1">
        <v>13109.22</v>
      </c>
      <c r="H363" s="1">
        <v>8480.7799999999988</v>
      </c>
      <c r="I363" s="1">
        <v>137517.22</v>
      </c>
      <c r="J363" s="1">
        <v>24897.84</v>
      </c>
      <c r="K363" s="1">
        <v>47699</v>
      </c>
      <c r="N363" s="1">
        <f t="shared" si="5"/>
        <v>2062.7600000000002</v>
      </c>
    </row>
    <row r="364" spans="1:14">
      <c r="A364" t="s">
        <v>846</v>
      </c>
      <c r="B364" t="s">
        <v>845</v>
      </c>
      <c r="C364" t="s">
        <v>741</v>
      </c>
      <c r="D364" t="s">
        <v>115</v>
      </c>
      <c r="E364" s="1">
        <v>93167.996700000003</v>
      </c>
      <c r="F364" s="1">
        <v>9014.0632999999998</v>
      </c>
      <c r="H364" s="1">
        <v>6068.79</v>
      </c>
      <c r="I364" s="1">
        <v>108250.84999999999</v>
      </c>
      <c r="J364" s="1">
        <v>18680.88</v>
      </c>
      <c r="K364" s="1">
        <v>41431</v>
      </c>
      <c r="N364" s="1">
        <f t="shared" si="5"/>
        <v>1623.76</v>
      </c>
    </row>
    <row r="365" spans="1:14">
      <c r="A365" t="s">
        <v>848</v>
      </c>
      <c r="B365" t="s">
        <v>847</v>
      </c>
      <c r="C365" t="s">
        <v>748</v>
      </c>
      <c r="D365" t="s">
        <v>115</v>
      </c>
      <c r="E365" s="1">
        <v>77978.64</v>
      </c>
      <c r="F365" s="1">
        <v>0</v>
      </c>
      <c r="H365" s="1">
        <v>2639.88</v>
      </c>
      <c r="I365" s="1">
        <v>80618.52</v>
      </c>
      <c r="J365" s="1">
        <v>24897.84</v>
      </c>
      <c r="K365" s="1">
        <v>33658</v>
      </c>
      <c r="N365" s="1">
        <f t="shared" si="5"/>
        <v>1209.28</v>
      </c>
    </row>
    <row r="366" spans="1:14">
      <c r="A366" t="s">
        <v>850</v>
      </c>
      <c r="B366" t="s">
        <v>849</v>
      </c>
      <c r="C366" t="s">
        <v>741</v>
      </c>
      <c r="D366" t="s">
        <v>115</v>
      </c>
      <c r="E366" s="1">
        <v>93167.996199999994</v>
      </c>
      <c r="F366" s="1">
        <v>1934.6738</v>
      </c>
      <c r="G366" s="1">
        <v>7087.96</v>
      </c>
      <c r="H366" s="1">
        <v>4213.55</v>
      </c>
      <c r="I366" s="1">
        <v>106404.18000000001</v>
      </c>
      <c r="J366" s="1">
        <v>24897.84</v>
      </c>
      <c r="K366" s="1">
        <v>40657</v>
      </c>
      <c r="N366" s="1">
        <f t="shared" si="5"/>
        <v>1596.06</v>
      </c>
    </row>
    <row r="367" spans="1:14">
      <c r="A367" t="s">
        <v>852</v>
      </c>
      <c r="B367" t="s">
        <v>851</v>
      </c>
      <c r="C367" t="s">
        <v>786</v>
      </c>
      <c r="D367" t="s">
        <v>115</v>
      </c>
      <c r="E367" s="1">
        <v>122274.99189999998</v>
      </c>
      <c r="F367" s="1">
        <v>21813.538100000002</v>
      </c>
      <c r="G367" s="1">
        <v>7998.33</v>
      </c>
      <c r="H367" s="1">
        <v>2639.88</v>
      </c>
      <c r="I367" s="1">
        <v>154726.74</v>
      </c>
      <c r="J367" s="1">
        <v>18688.68</v>
      </c>
      <c r="K367" s="1">
        <v>52152</v>
      </c>
      <c r="N367" s="1">
        <f t="shared" si="5"/>
        <v>2320.9</v>
      </c>
    </row>
    <row r="368" spans="1:14">
      <c r="A368" t="s">
        <v>854</v>
      </c>
      <c r="B368" t="s">
        <v>853</v>
      </c>
      <c r="C368" t="s">
        <v>737</v>
      </c>
      <c r="D368" t="s">
        <v>115</v>
      </c>
      <c r="E368" s="1">
        <v>88246.562700000009</v>
      </c>
      <c r="F368" s="1">
        <v>10387.097299999999</v>
      </c>
      <c r="G368" s="1">
        <v>3627.4</v>
      </c>
      <c r="H368" s="1">
        <v>3389.88</v>
      </c>
      <c r="I368" s="1">
        <v>105650.94</v>
      </c>
      <c r="J368" s="1">
        <v>24897.84</v>
      </c>
      <c r="K368" s="1">
        <v>38258</v>
      </c>
      <c r="N368" s="1">
        <f>ROUND(+I368*0.005,2)</f>
        <v>528.25</v>
      </c>
    </row>
    <row r="369" spans="1:14">
      <c r="A369" t="s">
        <v>856</v>
      </c>
      <c r="B369" t="s">
        <v>855</v>
      </c>
      <c r="C369" t="s">
        <v>737</v>
      </c>
      <c r="D369" t="s">
        <v>115</v>
      </c>
      <c r="E369" s="1">
        <v>84504</v>
      </c>
      <c r="F369" s="1">
        <v>0</v>
      </c>
      <c r="H369" s="1">
        <v>13951.199999999997</v>
      </c>
      <c r="I369" s="1">
        <v>98455.2</v>
      </c>
      <c r="J369" s="1">
        <v>24897.84</v>
      </c>
      <c r="K369" s="1">
        <v>41105</v>
      </c>
      <c r="N369" s="1">
        <f t="shared" si="5"/>
        <v>1476.83</v>
      </c>
    </row>
    <row r="370" spans="1:14">
      <c r="A370" t="s">
        <v>858</v>
      </c>
      <c r="B370" t="s">
        <v>857</v>
      </c>
      <c r="C370" t="s">
        <v>748</v>
      </c>
      <c r="D370" t="s">
        <v>115</v>
      </c>
      <c r="E370" s="1">
        <v>105767.99920000002</v>
      </c>
      <c r="F370" s="1">
        <v>23150.800800000001</v>
      </c>
      <c r="H370" s="1">
        <v>13351.869999999999</v>
      </c>
      <c r="I370" s="1">
        <v>142270.67000000001</v>
      </c>
      <c r="J370" s="1">
        <v>24897.84</v>
      </c>
      <c r="K370" s="1">
        <v>49733</v>
      </c>
      <c r="N370" s="1">
        <f t="shared" si="5"/>
        <v>2134.06</v>
      </c>
    </row>
    <row r="371" spans="1:14">
      <c r="A371" t="s">
        <v>860</v>
      </c>
      <c r="B371" t="s">
        <v>859</v>
      </c>
      <c r="C371" t="s">
        <v>748</v>
      </c>
      <c r="D371" t="s">
        <v>115</v>
      </c>
      <c r="E371" s="1">
        <v>105768.00009999999</v>
      </c>
      <c r="F371" s="1">
        <v>1078.7499</v>
      </c>
      <c r="G371" s="1">
        <v>6795.33</v>
      </c>
      <c r="H371" s="1">
        <v>6850.1900000000023</v>
      </c>
      <c r="I371" s="1">
        <v>120492.26999999999</v>
      </c>
      <c r="J371" s="1">
        <v>24897.84</v>
      </c>
      <c r="K371" s="1">
        <v>47018</v>
      </c>
      <c r="N371" s="1">
        <f t="shared" si="5"/>
        <v>1807.38</v>
      </c>
    </row>
    <row r="372" spans="1:14">
      <c r="A372" t="s">
        <v>862</v>
      </c>
      <c r="B372" t="s">
        <v>861</v>
      </c>
      <c r="C372" t="s">
        <v>737</v>
      </c>
      <c r="D372" t="s">
        <v>115</v>
      </c>
      <c r="E372" s="1">
        <v>84504.004799999995</v>
      </c>
      <c r="F372" s="1">
        <v>12144.5352</v>
      </c>
      <c r="H372" s="1">
        <v>11486.27</v>
      </c>
      <c r="I372" s="1">
        <v>108134.81</v>
      </c>
      <c r="J372" s="1">
        <v>9674.2800000000007</v>
      </c>
      <c r="K372" s="1">
        <v>40076</v>
      </c>
      <c r="N372" s="1">
        <f t="shared" si="5"/>
        <v>1622.02</v>
      </c>
    </row>
    <row r="373" spans="1:14">
      <c r="A373" t="s">
        <v>863</v>
      </c>
      <c r="B373" t="s">
        <v>22</v>
      </c>
      <c r="C373" t="s">
        <v>748</v>
      </c>
      <c r="D373" t="s">
        <v>115</v>
      </c>
      <c r="E373" s="1">
        <v>102198.25719999999</v>
      </c>
      <c r="F373" s="1">
        <v>6031.1628000000001</v>
      </c>
      <c r="H373" s="1">
        <v>1919.94</v>
      </c>
      <c r="I373" s="1">
        <v>110149.36</v>
      </c>
      <c r="J373" s="1">
        <v>24897.84</v>
      </c>
      <c r="K373" s="1">
        <v>43469</v>
      </c>
      <c r="N373" s="1">
        <f t="shared" si="5"/>
        <v>1652.24</v>
      </c>
    </row>
    <row r="374" spans="1:14">
      <c r="A374" t="s">
        <v>865</v>
      </c>
      <c r="B374" t="s">
        <v>864</v>
      </c>
      <c r="C374" t="s">
        <v>741</v>
      </c>
      <c r="D374" t="s">
        <v>115</v>
      </c>
      <c r="E374" s="1">
        <v>93168</v>
      </c>
      <c r="F374" s="1">
        <v>0</v>
      </c>
      <c r="H374" s="1">
        <v>4090.4900000000052</v>
      </c>
      <c r="I374" s="1">
        <v>97258.49</v>
      </c>
      <c r="J374" s="1">
        <v>24897.84</v>
      </c>
      <c r="K374" s="1">
        <v>40605</v>
      </c>
      <c r="N374" s="1">
        <f t="shared" ref="N374:N437" si="6">ROUND(+I374*0.015,2)</f>
        <v>1458.88</v>
      </c>
    </row>
    <row r="375" spans="1:14">
      <c r="A375" t="s">
        <v>545</v>
      </c>
      <c r="B375" t="s">
        <v>866</v>
      </c>
      <c r="C375" t="s">
        <v>748</v>
      </c>
      <c r="D375" t="s">
        <v>115</v>
      </c>
      <c r="E375" s="1">
        <v>93515.166199999992</v>
      </c>
      <c r="F375" s="1">
        <v>2861.6837999999998</v>
      </c>
      <c r="H375" s="1">
        <v>2669.94</v>
      </c>
      <c r="I375" s="1">
        <v>99046.79</v>
      </c>
      <c r="J375" s="1">
        <v>24897.84</v>
      </c>
      <c r="K375" s="1">
        <v>40157</v>
      </c>
      <c r="N375" s="1">
        <f t="shared" si="6"/>
        <v>1485.7</v>
      </c>
    </row>
    <row r="376" spans="1:14">
      <c r="A376" t="s">
        <v>197</v>
      </c>
      <c r="B376" t="s">
        <v>867</v>
      </c>
      <c r="C376" t="s">
        <v>748</v>
      </c>
      <c r="D376" t="s">
        <v>115</v>
      </c>
      <c r="E376" s="1">
        <v>105767.9975</v>
      </c>
      <c r="F376" s="1">
        <v>2681.5425</v>
      </c>
      <c r="H376" s="1">
        <v>7068.6400000000058</v>
      </c>
      <c r="I376" s="1">
        <v>115518.18</v>
      </c>
      <c r="J376" s="1">
        <v>24897.84</v>
      </c>
      <c r="K376" s="1">
        <v>47109</v>
      </c>
      <c r="N376" s="1">
        <f t="shared" si="6"/>
        <v>1732.77</v>
      </c>
    </row>
    <row r="377" spans="1:14">
      <c r="A377" t="s">
        <v>869</v>
      </c>
      <c r="B377" t="s">
        <v>868</v>
      </c>
      <c r="C377" t="s">
        <v>748</v>
      </c>
      <c r="D377" t="s">
        <v>115</v>
      </c>
      <c r="E377" s="1">
        <v>102089.37</v>
      </c>
      <c r="F377" s="1">
        <v>17690.939999999999</v>
      </c>
      <c r="H377" s="1">
        <v>2639.88</v>
      </c>
      <c r="I377" s="1">
        <v>122420.19</v>
      </c>
      <c r="J377" s="1">
        <v>24897.84</v>
      </c>
      <c r="K377" s="1">
        <v>43724</v>
      </c>
      <c r="N377" s="1">
        <f t="shared" si="6"/>
        <v>1836.3</v>
      </c>
    </row>
    <row r="378" spans="1:14">
      <c r="A378" t="s">
        <v>797</v>
      </c>
      <c r="B378" t="s">
        <v>870</v>
      </c>
      <c r="C378" t="s">
        <v>748</v>
      </c>
      <c r="D378" t="s">
        <v>115</v>
      </c>
      <c r="E378" s="1">
        <v>105767.9975</v>
      </c>
      <c r="F378" s="1">
        <v>15502.8125</v>
      </c>
      <c r="H378" s="1">
        <v>3257.42</v>
      </c>
      <c r="I378" s="1">
        <v>124528.23</v>
      </c>
      <c r="J378" s="1">
        <v>24897.84</v>
      </c>
      <c r="K378" s="1">
        <v>45518</v>
      </c>
      <c r="N378" s="1">
        <f t="shared" si="6"/>
        <v>1867.92</v>
      </c>
    </row>
    <row r="379" spans="1:14">
      <c r="A379" t="s">
        <v>872</v>
      </c>
      <c r="B379" t="s">
        <v>871</v>
      </c>
      <c r="C379" t="s">
        <v>737</v>
      </c>
      <c r="D379" t="s">
        <v>115</v>
      </c>
      <c r="E379" s="1">
        <v>78173.585399999996</v>
      </c>
      <c r="F379" s="1">
        <v>12917.794599999999</v>
      </c>
      <c r="H379" s="1">
        <v>2919.94</v>
      </c>
      <c r="I379" s="1">
        <v>94011.319999999992</v>
      </c>
      <c r="J379" s="1">
        <v>9674.2800000000007</v>
      </c>
      <c r="K379" s="1">
        <v>33857</v>
      </c>
      <c r="N379" s="1">
        <f t="shared" si="6"/>
        <v>1410.17</v>
      </c>
    </row>
    <row r="380" spans="1:14">
      <c r="A380" t="s">
        <v>874</v>
      </c>
      <c r="B380" t="s">
        <v>873</v>
      </c>
      <c r="C380" t="s">
        <v>737</v>
      </c>
      <c r="D380" t="s">
        <v>115</v>
      </c>
      <c r="E380" s="1">
        <v>75364.279399999999</v>
      </c>
      <c r="F380" s="1">
        <v>11560.5506</v>
      </c>
      <c r="G380" s="1">
        <v>2947.85</v>
      </c>
      <c r="H380" s="1">
        <v>1950</v>
      </c>
      <c r="I380" s="1">
        <v>91822.680000000008</v>
      </c>
      <c r="J380" s="1">
        <v>9674.2800000000007</v>
      </c>
      <c r="K380" s="1">
        <v>32279</v>
      </c>
      <c r="N380" s="1">
        <f t="shared" si="6"/>
        <v>1377.34</v>
      </c>
    </row>
    <row r="381" spans="1:14">
      <c r="A381" t="s">
        <v>876</v>
      </c>
      <c r="B381" t="s">
        <v>875</v>
      </c>
      <c r="C381" t="s">
        <v>737</v>
      </c>
      <c r="D381" t="s">
        <v>115</v>
      </c>
      <c r="E381" s="1">
        <v>79785.025800000003</v>
      </c>
      <c r="F381" s="1">
        <v>663.81420000000003</v>
      </c>
      <c r="G381" s="1">
        <v>7935.59</v>
      </c>
      <c r="H381" s="1">
        <v>2503.8000000000002</v>
      </c>
      <c r="I381" s="1">
        <v>90888.23</v>
      </c>
      <c r="J381" s="1">
        <v>18680.88</v>
      </c>
      <c r="K381" s="1">
        <v>34356</v>
      </c>
      <c r="N381" s="1">
        <f t="shared" si="6"/>
        <v>1363.32</v>
      </c>
    </row>
    <row r="382" spans="1:14">
      <c r="A382" t="s">
        <v>878</v>
      </c>
      <c r="B382" t="s">
        <v>877</v>
      </c>
      <c r="C382" t="s">
        <v>737</v>
      </c>
      <c r="D382" t="s">
        <v>115</v>
      </c>
      <c r="E382" s="1">
        <v>84504.003199999992</v>
      </c>
      <c r="F382" s="1">
        <v>1022.9268</v>
      </c>
      <c r="H382" s="1">
        <v>4566.6300000000065</v>
      </c>
      <c r="I382" s="1">
        <v>90093.56</v>
      </c>
      <c r="J382" s="1">
        <v>9674.2800000000007</v>
      </c>
      <c r="K382" s="1">
        <v>37187</v>
      </c>
      <c r="N382" s="1">
        <f t="shared" si="6"/>
        <v>1351.4</v>
      </c>
    </row>
    <row r="383" spans="1:14">
      <c r="A383" t="s">
        <v>880</v>
      </c>
      <c r="B383" t="s">
        <v>879</v>
      </c>
      <c r="C383" t="s">
        <v>737</v>
      </c>
      <c r="D383" t="s">
        <v>115</v>
      </c>
      <c r="E383" s="1">
        <v>80706.248999999996</v>
      </c>
      <c r="F383" s="1">
        <v>1142.6310000000001</v>
      </c>
      <c r="H383" s="1">
        <v>3639.88</v>
      </c>
      <c r="I383" s="1">
        <v>85488.76</v>
      </c>
      <c r="J383" s="1">
        <v>9674.2800000000007</v>
      </c>
      <c r="K383" s="1">
        <v>35215</v>
      </c>
      <c r="N383" s="1">
        <f t="shared" si="6"/>
        <v>1282.33</v>
      </c>
    </row>
    <row r="384" spans="1:14">
      <c r="A384" t="s">
        <v>882</v>
      </c>
      <c r="B384" t="s">
        <v>881</v>
      </c>
      <c r="C384" t="s">
        <v>737</v>
      </c>
      <c r="D384" t="s">
        <v>115</v>
      </c>
      <c r="E384" s="1">
        <v>58886.157800000001</v>
      </c>
      <c r="F384" s="1">
        <v>6975.3422</v>
      </c>
      <c r="H384" s="1">
        <v>2200</v>
      </c>
      <c r="I384" s="1">
        <v>68061.5</v>
      </c>
      <c r="J384" s="1">
        <v>24897.84</v>
      </c>
      <c r="K384" s="1">
        <v>25503</v>
      </c>
      <c r="N384" s="1">
        <f t="shared" si="6"/>
        <v>1020.92</v>
      </c>
    </row>
    <row r="385" spans="1:14">
      <c r="A385" t="s">
        <v>883</v>
      </c>
      <c r="B385" t="s">
        <v>536</v>
      </c>
      <c r="C385" t="s">
        <v>737</v>
      </c>
      <c r="D385" t="s">
        <v>115</v>
      </c>
      <c r="E385" s="1">
        <v>84504.000599999999</v>
      </c>
      <c r="F385" s="1">
        <v>7985.0594000000001</v>
      </c>
      <c r="H385" s="1">
        <v>18530.72</v>
      </c>
      <c r="I385" s="1">
        <v>111019.78</v>
      </c>
      <c r="J385" s="1">
        <v>9674.2800000000007</v>
      </c>
      <c r="K385" s="1">
        <v>43017</v>
      </c>
      <c r="N385" s="1">
        <f t="shared" si="6"/>
        <v>1665.3</v>
      </c>
    </row>
    <row r="386" spans="1:14">
      <c r="A386" t="s">
        <v>884</v>
      </c>
      <c r="B386" t="s">
        <v>212</v>
      </c>
      <c r="C386" t="s">
        <v>737</v>
      </c>
      <c r="D386" t="s">
        <v>115</v>
      </c>
      <c r="E386" s="1">
        <v>64609.538199999995</v>
      </c>
      <c r="F386" s="1">
        <v>1647.1818000000001</v>
      </c>
      <c r="H386" s="1">
        <v>1950</v>
      </c>
      <c r="I386" s="1">
        <v>68206.720000000001</v>
      </c>
      <c r="J386" s="1">
        <v>9674.2800000000007</v>
      </c>
      <c r="K386" s="1">
        <v>15003</v>
      </c>
      <c r="N386" s="1">
        <f t="shared" si="6"/>
        <v>1023.1</v>
      </c>
    </row>
    <row r="387" spans="1:14">
      <c r="A387" t="s">
        <v>886</v>
      </c>
      <c r="B387" t="s">
        <v>885</v>
      </c>
      <c r="C387" t="s">
        <v>737</v>
      </c>
      <c r="D387" t="s">
        <v>115</v>
      </c>
      <c r="E387" s="1">
        <v>51374.667399999998</v>
      </c>
      <c r="F387" s="1">
        <v>4368.6126000000004</v>
      </c>
      <c r="H387" s="1">
        <v>2000</v>
      </c>
      <c r="I387" s="1">
        <v>57743.28</v>
      </c>
      <c r="J387" s="1">
        <v>24897.84</v>
      </c>
      <c r="K387" s="1">
        <v>12031</v>
      </c>
      <c r="N387" s="1">
        <f t="shared" si="6"/>
        <v>866.15</v>
      </c>
    </row>
    <row r="388" spans="1:14">
      <c r="A388" t="s">
        <v>345</v>
      </c>
      <c r="B388" t="s">
        <v>888</v>
      </c>
      <c r="C388" t="s">
        <v>887</v>
      </c>
      <c r="D388" t="s">
        <v>115</v>
      </c>
      <c r="E388" s="1">
        <v>39057.22</v>
      </c>
      <c r="F388" s="1">
        <v>0</v>
      </c>
      <c r="H388" s="1">
        <v>2387.52</v>
      </c>
      <c r="I388" s="1">
        <v>41444.74</v>
      </c>
      <c r="J388" s="1">
        <v>7684.92</v>
      </c>
      <c r="K388" s="1">
        <v>9342</v>
      </c>
      <c r="M388" s="1">
        <v>408.7</v>
      </c>
      <c r="N388" s="1">
        <f t="shared" si="6"/>
        <v>621.66999999999996</v>
      </c>
    </row>
    <row r="389" spans="1:14">
      <c r="A389" t="s">
        <v>890</v>
      </c>
      <c r="B389" t="s">
        <v>889</v>
      </c>
      <c r="C389" t="s">
        <v>737</v>
      </c>
      <c r="D389" t="s">
        <v>115</v>
      </c>
      <c r="E389" s="1">
        <v>71238.292400000006</v>
      </c>
      <c r="F389" s="1">
        <v>2368.7276000000002</v>
      </c>
      <c r="H389" s="1">
        <v>2200</v>
      </c>
      <c r="I389" s="1">
        <v>75807.02</v>
      </c>
      <c r="J389" s="1">
        <v>0</v>
      </c>
      <c r="K389" s="1">
        <v>16553</v>
      </c>
      <c r="N389" s="1">
        <f t="shared" si="6"/>
        <v>1137.1099999999999</v>
      </c>
    </row>
    <row r="390" spans="1:14">
      <c r="A390" t="s">
        <v>893</v>
      </c>
      <c r="B390" t="s">
        <v>892</v>
      </c>
      <c r="C390" t="s">
        <v>891</v>
      </c>
      <c r="D390" t="s">
        <v>115</v>
      </c>
      <c r="E390" s="1">
        <v>5517.77</v>
      </c>
      <c r="F390" s="1">
        <v>0</v>
      </c>
      <c r="H390" s="1">
        <v>200</v>
      </c>
      <c r="I390" s="1">
        <v>5717.77</v>
      </c>
      <c r="J390" s="1">
        <v>0</v>
      </c>
      <c r="K390" s="1">
        <v>1289</v>
      </c>
      <c r="N390" s="1">
        <f t="shared" si="6"/>
        <v>85.77</v>
      </c>
    </row>
    <row r="391" spans="1:14">
      <c r="A391" t="s">
        <v>895</v>
      </c>
      <c r="B391" t="s">
        <v>894</v>
      </c>
      <c r="C391" t="s">
        <v>737</v>
      </c>
      <c r="D391" t="s">
        <v>115</v>
      </c>
      <c r="E391" s="1">
        <v>8191.5565000000006</v>
      </c>
      <c r="F391" s="1">
        <v>51.153500000000001</v>
      </c>
      <c r="H391" s="1">
        <v>100</v>
      </c>
      <c r="I391" s="1">
        <v>8342.7100000000009</v>
      </c>
      <c r="J391" s="1">
        <v>0</v>
      </c>
      <c r="K391" s="1">
        <v>1869</v>
      </c>
      <c r="N391" s="1">
        <f t="shared" si="6"/>
        <v>125.14</v>
      </c>
    </row>
    <row r="392" spans="1:14">
      <c r="A392" t="s">
        <v>897</v>
      </c>
      <c r="B392" t="s">
        <v>896</v>
      </c>
      <c r="C392" t="s">
        <v>737</v>
      </c>
      <c r="D392" t="s">
        <v>115</v>
      </c>
      <c r="E392" s="1">
        <v>63705.534599999999</v>
      </c>
      <c r="F392" s="1">
        <v>1360.7154</v>
      </c>
      <c r="H392" s="1">
        <v>2200</v>
      </c>
      <c r="I392" s="1">
        <v>67266.25</v>
      </c>
      <c r="J392" s="1">
        <v>24897.84</v>
      </c>
      <c r="K392" s="1">
        <v>14855</v>
      </c>
      <c r="N392" s="1">
        <f t="shared" si="6"/>
        <v>1008.99</v>
      </c>
    </row>
    <row r="393" spans="1:14">
      <c r="A393" t="s">
        <v>557</v>
      </c>
      <c r="B393" t="s">
        <v>898</v>
      </c>
      <c r="C393" t="s">
        <v>737</v>
      </c>
      <c r="D393" t="s">
        <v>115</v>
      </c>
      <c r="E393" s="1">
        <v>72844.964000000007</v>
      </c>
      <c r="F393" s="1">
        <v>4239.0259999999998</v>
      </c>
      <c r="H393" s="1">
        <v>2200</v>
      </c>
      <c r="I393" s="1">
        <v>79283.990000000005</v>
      </c>
      <c r="J393" s="1">
        <v>24897.84</v>
      </c>
      <c r="K393" s="1">
        <v>16915</v>
      </c>
      <c r="N393" s="1">
        <f t="shared" si="6"/>
        <v>1189.26</v>
      </c>
    </row>
    <row r="394" spans="1:14">
      <c r="A394" t="s">
        <v>900</v>
      </c>
      <c r="B394" t="s">
        <v>899</v>
      </c>
      <c r="C394" t="s">
        <v>737</v>
      </c>
      <c r="D394" t="s">
        <v>115</v>
      </c>
      <c r="E394" s="1">
        <v>74507.130699999994</v>
      </c>
      <c r="F394" s="1">
        <v>5879.9393</v>
      </c>
      <c r="H394" s="1">
        <v>1700</v>
      </c>
      <c r="I394" s="1">
        <v>82087.069999999992</v>
      </c>
      <c r="J394" s="1">
        <v>9674.2800000000007</v>
      </c>
      <c r="K394" s="1">
        <v>17177</v>
      </c>
      <c r="N394" s="1">
        <f t="shared" si="6"/>
        <v>1231.31</v>
      </c>
    </row>
    <row r="395" spans="1:14">
      <c r="A395" t="s">
        <v>902</v>
      </c>
      <c r="B395" t="s">
        <v>901</v>
      </c>
      <c r="C395" t="s">
        <v>737</v>
      </c>
      <c r="D395" t="s">
        <v>115</v>
      </c>
      <c r="E395" s="1">
        <v>70407.492199999993</v>
      </c>
      <c r="F395" s="1">
        <v>1732.2378000000001</v>
      </c>
      <c r="H395" s="1">
        <v>1950</v>
      </c>
      <c r="I395" s="1">
        <v>74089.73</v>
      </c>
      <c r="J395" s="1">
        <v>9674.2800000000007</v>
      </c>
      <c r="K395" s="1">
        <v>16309</v>
      </c>
      <c r="N395" s="1">
        <f t="shared" si="6"/>
        <v>1111.3499999999999</v>
      </c>
    </row>
    <row r="396" spans="1:14">
      <c r="A396" t="s">
        <v>904</v>
      </c>
      <c r="B396" t="s">
        <v>903</v>
      </c>
      <c r="C396" t="s">
        <v>737</v>
      </c>
      <c r="D396" t="s">
        <v>115</v>
      </c>
      <c r="E396" s="1">
        <v>64606.122700000007</v>
      </c>
      <c r="F396" s="1">
        <v>1110.0572999999999</v>
      </c>
      <c r="H396" s="1">
        <v>2200</v>
      </c>
      <c r="I396" s="1">
        <v>67916.180000000008</v>
      </c>
      <c r="J396" s="1">
        <v>9674.2800000000007</v>
      </c>
      <c r="K396" s="1">
        <v>15058</v>
      </c>
      <c r="N396" s="1">
        <f t="shared" si="6"/>
        <v>1018.74</v>
      </c>
    </row>
    <row r="397" spans="1:14">
      <c r="A397" t="s">
        <v>906</v>
      </c>
      <c r="B397" t="s">
        <v>905</v>
      </c>
      <c r="C397" t="s">
        <v>737</v>
      </c>
      <c r="D397" t="s">
        <v>115</v>
      </c>
      <c r="E397" s="1">
        <v>71635.679199999984</v>
      </c>
      <c r="F397" s="1">
        <v>17171.310799999999</v>
      </c>
      <c r="H397" s="1">
        <v>2200</v>
      </c>
      <c r="I397" s="1">
        <v>91006.989999999991</v>
      </c>
      <c r="J397" s="1">
        <v>9674.2800000000007</v>
      </c>
      <c r="K397" s="1">
        <v>16643</v>
      </c>
      <c r="N397" s="1">
        <f t="shared" si="6"/>
        <v>1365.1</v>
      </c>
    </row>
    <row r="398" spans="1:14">
      <c r="A398" t="s">
        <v>908</v>
      </c>
      <c r="B398" t="s">
        <v>907</v>
      </c>
      <c r="C398" t="s">
        <v>737</v>
      </c>
      <c r="D398" t="s">
        <v>115</v>
      </c>
      <c r="E398" s="1">
        <v>64587.365399999995</v>
      </c>
      <c r="F398" s="1">
        <v>5800.9445999999998</v>
      </c>
      <c r="H398" s="1">
        <v>1950</v>
      </c>
      <c r="I398" s="1">
        <v>72338.31</v>
      </c>
      <c r="J398" s="1">
        <v>9674.2800000000007</v>
      </c>
      <c r="K398" s="1">
        <v>14998</v>
      </c>
      <c r="N398" s="1">
        <f t="shared" si="6"/>
        <v>1085.07</v>
      </c>
    </row>
    <row r="399" spans="1:14">
      <c r="A399" t="s">
        <v>910</v>
      </c>
      <c r="B399" t="s">
        <v>909</v>
      </c>
      <c r="C399" t="s">
        <v>737</v>
      </c>
      <c r="D399" t="s">
        <v>115</v>
      </c>
      <c r="E399" s="1">
        <v>63260.730299999996</v>
      </c>
      <c r="F399" s="1">
        <v>10223.269700000001</v>
      </c>
      <c r="H399" s="1">
        <v>2200</v>
      </c>
      <c r="I399" s="1">
        <v>75684</v>
      </c>
      <c r="J399" s="1">
        <v>18680.88</v>
      </c>
      <c r="K399" s="1">
        <v>14755</v>
      </c>
      <c r="N399" s="1">
        <f t="shared" si="6"/>
        <v>1135.26</v>
      </c>
    </row>
    <row r="400" spans="1:14">
      <c r="A400" t="s">
        <v>912</v>
      </c>
      <c r="B400" t="s">
        <v>911</v>
      </c>
      <c r="C400" t="s">
        <v>737</v>
      </c>
      <c r="D400" t="s">
        <v>115</v>
      </c>
      <c r="E400" s="1">
        <v>5517.77</v>
      </c>
      <c r="F400" s="1">
        <v>0</v>
      </c>
      <c r="H400" s="1">
        <v>200</v>
      </c>
      <c r="I400" s="1">
        <v>5717.77</v>
      </c>
      <c r="J400" s="1">
        <v>9674.2800000000007</v>
      </c>
      <c r="K400" s="1">
        <v>1289</v>
      </c>
      <c r="N400" s="1">
        <f t="shared" si="6"/>
        <v>85.77</v>
      </c>
    </row>
    <row r="401" spans="1:14">
      <c r="A401" t="s">
        <v>914</v>
      </c>
      <c r="B401" t="s">
        <v>913</v>
      </c>
      <c r="C401" t="s">
        <v>737</v>
      </c>
      <c r="D401" t="s">
        <v>115</v>
      </c>
      <c r="E401" s="1">
        <v>71638.904800000004</v>
      </c>
      <c r="F401" s="1">
        <v>483.41520000000003</v>
      </c>
      <c r="H401" s="1">
        <v>1950</v>
      </c>
      <c r="I401" s="1">
        <v>74072.320000000007</v>
      </c>
      <c r="J401" s="1">
        <v>9674.2800000000007</v>
      </c>
      <c r="K401" s="1">
        <v>16587</v>
      </c>
      <c r="N401" s="1">
        <f t="shared" si="6"/>
        <v>1111.08</v>
      </c>
    </row>
    <row r="402" spans="1:14">
      <c r="A402" t="s">
        <v>533</v>
      </c>
      <c r="B402" t="s">
        <v>915</v>
      </c>
      <c r="C402" t="s">
        <v>737</v>
      </c>
      <c r="D402" t="s">
        <v>115</v>
      </c>
      <c r="E402" s="1">
        <v>71248.6152</v>
      </c>
      <c r="F402" s="1">
        <v>4683.0847999999996</v>
      </c>
      <c r="H402" s="1">
        <v>1950</v>
      </c>
      <c r="I402" s="1">
        <v>77881.7</v>
      </c>
      <c r="J402" s="1">
        <v>9674.2800000000007</v>
      </c>
      <c r="K402" s="1">
        <v>16499</v>
      </c>
      <c r="N402" s="1">
        <f t="shared" si="6"/>
        <v>1168.23</v>
      </c>
    </row>
    <row r="403" spans="1:14">
      <c r="A403" t="s">
        <v>916</v>
      </c>
      <c r="B403" t="s">
        <v>770</v>
      </c>
      <c r="C403" t="s">
        <v>737</v>
      </c>
      <c r="D403" t="s">
        <v>115</v>
      </c>
      <c r="E403" s="1">
        <v>5517.77</v>
      </c>
      <c r="F403" s="1">
        <v>0</v>
      </c>
      <c r="H403" s="1">
        <v>200</v>
      </c>
      <c r="I403" s="1">
        <v>5717.77</v>
      </c>
      <c r="J403" s="1">
        <v>9674.2800000000007</v>
      </c>
      <c r="K403" s="1">
        <v>1289</v>
      </c>
      <c r="N403" s="1">
        <f t="shared" si="6"/>
        <v>85.77</v>
      </c>
    </row>
    <row r="404" spans="1:14">
      <c r="A404" t="s">
        <v>919</v>
      </c>
      <c r="B404" t="s">
        <v>918</v>
      </c>
      <c r="C404" t="s">
        <v>917</v>
      </c>
      <c r="D404" t="s">
        <v>71</v>
      </c>
      <c r="E404" s="1">
        <v>73800.584400000007</v>
      </c>
      <c r="F404" s="1">
        <v>20711.4156</v>
      </c>
      <c r="H404" s="1">
        <v>6657.3</v>
      </c>
      <c r="I404" s="1">
        <v>101169.3</v>
      </c>
      <c r="J404" s="1">
        <v>17870.16</v>
      </c>
      <c r="K404" s="1">
        <v>25280</v>
      </c>
      <c r="N404" s="1">
        <f>ROUND(+I404*0.005,2)</f>
        <v>505.85</v>
      </c>
    </row>
    <row r="405" spans="1:14">
      <c r="A405" t="s">
        <v>921</v>
      </c>
      <c r="B405" t="s">
        <v>920</v>
      </c>
      <c r="C405" t="s">
        <v>917</v>
      </c>
      <c r="D405" t="s">
        <v>71</v>
      </c>
      <c r="E405" s="1">
        <v>94512.001700000008</v>
      </c>
      <c r="F405" s="1">
        <v>16044.318300000001</v>
      </c>
      <c r="G405" s="1">
        <v>3998.58</v>
      </c>
      <c r="H405" s="1">
        <v>2458.34</v>
      </c>
      <c r="I405" s="1">
        <v>117013.24</v>
      </c>
      <c r="J405" s="1">
        <v>18688.68</v>
      </c>
      <c r="K405" s="1">
        <v>30468</v>
      </c>
      <c r="N405" s="1">
        <f>ROUND(+I405*0.005,2)</f>
        <v>585.07000000000005</v>
      </c>
    </row>
    <row r="406" spans="1:14">
      <c r="A406" t="s">
        <v>923</v>
      </c>
      <c r="B406" t="s">
        <v>922</v>
      </c>
      <c r="C406" t="s">
        <v>917</v>
      </c>
      <c r="D406" t="s">
        <v>71</v>
      </c>
      <c r="E406" s="1">
        <v>92817.3554</v>
      </c>
      <c r="F406" s="1">
        <v>40904.054600000003</v>
      </c>
      <c r="G406" s="1">
        <v>8413.2199999999993</v>
      </c>
      <c r="H406" s="1">
        <v>4030</v>
      </c>
      <c r="I406" s="1">
        <v>146164.63</v>
      </c>
      <c r="J406" s="1">
        <v>18688.68</v>
      </c>
      <c r="K406" s="1">
        <v>30429</v>
      </c>
      <c r="N406" s="1">
        <f t="shared" si="6"/>
        <v>2192.4699999999998</v>
      </c>
    </row>
    <row r="407" spans="1:14">
      <c r="A407" t="s">
        <v>424</v>
      </c>
      <c r="B407" t="s">
        <v>924</v>
      </c>
      <c r="C407" t="s">
        <v>917</v>
      </c>
      <c r="D407" t="s">
        <v>71</v>
      </c>
      <c r="E407" s="1">
        <v>94511.997600000002</v>
      </c>
      <c r="F407" s="1">
        <v>4036.6523999999999</v>
      </c>
      <c r="G407" s="1">
        <v>1479.98</v>
      </c>
      <c r="H407" s="1">
        <v>6008.2200000000066</v>
      </c>
      <c r="I407" s="1">
        <v>106036.85</v>
      </c>
      <c r="J407" s="1">
        <v>18688.68</v>
      </c>
      <c r="K407" s="1">
        <v>31583</v>
      </c>
      <c r="N407" s="1">
        <f t="shared" si="6"/>
        <v>1590.55</v>
      </c>
    </row>
    <row r="408" spans="1:14">
      <c r="A408" t="s">
        <v>926</v>
      </c>
      <c r="B408" t="s">
        <v>925</v>
      </c>
      <c r="C408" t="s">
        <v>917</v>
      </c>
      <c r="D408" t="s">
        <v>71</v>
      </c>
      <c r="E408" s="1">
        <v>94317.024999999994</v>
      </c>
      <c r="F408" s="1">
        <v>7497.3450000000003</v>
      </c>
      <c r="G408" s="1">
        <v>12159.52</v>
      </c>
      <c r="H408" s="1">
        <v>1950</v>
      </c>
      <c r="I408" s="1">
        <v>115923.89</v>
      </c>
      <c r="J408" s="1">
        <v>18688.68</v>
      </c>
      <c r="K408" s="1">
        <v>30247</v>
      </c>
      <c r="N408" s="1">
        <f t="shared" si="6"/>
        <v>1738.86</v>
      </c>
    </row>
    <row r="409" spans="1:14">
      <c r="A409" t="s">
        <v>928</v>
      </c>
      <c r="B409" t="s">
        <v>927</v>
      </c>
      <c r="C409" t="s">
        <v>917</v>
      </c>
      <c r="D409" t="s">
        <v>71</v>
      </c>
      <c r="E409" s="1">
        <v>94512.000899999999</v>
      </c>
      <c r="F409" s="1">
        <v>31542.3691</v>
      </c>
      <c r="G409" s="1">
        <v>7821.24</v>
      </c>
      <c r="H409" s="1">
        <v>1994.01</v>
      </c>
      <c r="I409" s="1">
        <v>135869.62</v>
      </c>
      <c r="J409" s="1">
        <v>14342.16</v>
      </c>
      <c r="K409" s="1">
        <v>30322</v>
      </c>
      <c r="N409" s="1">
        <f t="shared" si="6"/>
        <v>2038.04</v>
      </c>
    </row>
    <row r="410" spans="1:14">
      <c r="A410" t="s">
        <v>930</v>
      </c>
      <c r="B410" t="s">
        <v>929</v>
      </c>
      <c r="C410" t="s">
        <v>917</v>
      </c>
      <c r="D410" t="s">
        <v>71</v>
      </c>
      <c r="E410" s="1">
        <v>90522.595099999991</v>
      </c>
      <c r="F410" s="1">
        <v>2637.7049000000002</v>
      </c>
      <c r="G410" s="1">
        <v>8454.74</v>
      </c>
      <c r="H410" s="1">
        <v>1200</v>
      </c>
      <c r="I410" s="1">
        <v>102815.03999999999</v>
      </c>
      <c r="J410" s="1">
        <v>18688.68</v>
      </c>
      <c r="K410" s="1">
        <v>28819</v>
      </c>
      <c r="N410" s="1">
        <f t="shared" si="6"/>
        <v>1542.23</v>
      </c>
    </row>
    <row r="411" spans="1:14">
      <c r="A411" t="s">
        <v>933</v>
      </c>
      <c r="B411" t="s">
        <v>932</v>
      </c>
      <c r="C411" t="s">
        <v>931</v>
      </c>
      <c r="D411" t="s">
        <v>71</v>
      </c>
      <c r="E411" s="1">
        <v>131747.07220000002</v>
      </c>
      <c r="F411" s="1">
        <v>18768.7978</v>
      </c>
      <c r="G411" s="1">
        <v>17113.27</v>
      </c>
      <c r="H411" s="1">
        <v>3426.96</v>
      </c>
      <c r="I411" s="1">
        <v>171056.1</v>
      </c>
      <c r="J411" s="1">
        <v>18688.68</v>
      </c>
      <c r="K411" s="1">
        <v>42472</v>
      </c>
      <c r="N411" s="1">
        <f t="shared" si="6"/>
        <v>2565.84</v>
      </c>
    </row>
    <row r="412" spans="1:14">
      <c r="A412" t="s">
        <v>172</v>
      </c>
      <c r="B412" t="s">
        <v>934</v>
      </c>
      <c r="C412" t="s">
        <v>917</v>
      </c>
      <c r="D412" t="s">
        <v>71</v>
      </c>
      <c r="E412" s="1">
        <v>94511.996800000008</v>
      </c>
      <c r="F412" s="1">
        <v>40598.123200000002</v>
      </c>
      <c r="G412" s="1">
        <v>10799.18</v>
      </c>
      <c r="H412" s="1">
        <v>2991.99</v>
      </c>
      <c r="I412" s="1">
        <v>148901.29</v>
      </c>
      <c r="J412" s="1">
        <v>18688.68</v>
      </c>
      <c r="K412" s="1">
        <v>30636</v>
      </c>
      <c r="N412" s="1">
        <f t="shared" si="6"/>
        <v>2233.52</v>
      </c>
    </row>
    <row r="413" spans="1:14">
      <c r="A413" t="s">
        <v>351</v>
      </c>
      <c r="B413" t="s">
        <v>935</v>
      </c>
      <c r="C413" t="s">
        <v>917</v>
      </c>
      <c r="D413" t="s">
        <v>71</v>
      </c>
      <c r="E413" s="1">
        <v>93791.51</v>
      </c>
      <c r="F413" s="1">
        <v>0</v>
      </c>
      <c r="H413" s="1">
        <v>1200</v>
      </c>
      <c r="I413" s="1">
        <v>94991.51</v>
      </c>
      <c r="J413" s="1">
        <v>18688.68</v>
      </c>
      <c r="K413" s="1">
        <v>29846</v>
      </c>
      <c r="N413" s="1">
        <f t="shared" si="6"/>
        <v>1424.87</v>
      </c>
    </row>
    <row r="414" spans="1:14">
      <c r="A414" t="s">
        <v>938</v>
      </c>
      <c r="B414" t="s">
        <v>937</v>
      </c>
      <c r="C414" t="s">
        <v>936</v>
      </c>
      <c r="D414" t="s">
        <v>71</v>
      </c>
      <c r="E414" s="1">
        <v>117998.7828</v>
      </c>
      <c r="F414" s="1">
        <v>3065.4571999999998</v>
      </c>
      <c r="G414" s="1">
        <v>19827.759999999998</v>
      </c>
      <c r="H414" s="1">
        <v>2200</v>
      </c>
      <c r="I414" s="1">
        <v>143092</v>
      </c>
      <c r="J414" s="1">
        <v>18688.68</v>
      </c>
      <c r="K414" s="1">
        <v>37766</v>
      </c>
      <c r="N414" s="1">
        <f>ROUND(+I414*0.005,2)</f>
        <v>715.46</v>
      </c>
    </row>
    <row r="415" spans="1:14">
      <c r="A415" t="s">
        <v>172</v>
      </c>
      <c r="B415" t="s">
        <v>939</v>
      </c>
      <c r="C415" t="s">
        <v>931</v>
      </c>
      <c r="D415" t="s">
        <v>71</v>
      </c>
      <c r="E415" s="1">
        <v>112814.01039999998</v>
      </c>
      <c r="F415" s="1">
        <v>23593.499599999999</v>
      </c>
      <c r="G415" s="1">
        <v>13205.27</v>
      </c>
      <c r="H415" s="1">
        <v>5998</v>
      </c>
      <c r="I415" s="1">
        <v>155610.78</v>
      </c>
      <c r="J415" s="1">
        <v>18688.68</v>
      </c>
      <c r="K415" s="1">
        <v>37331</v>
      </c>
      <c r="N415" s="1">
        <f t="shared" si="6"/>
        <v>2334.16</v>
      </c>
    </row>
    <row r="416" spans="1:14">
      <c r="A416" t="s">
        <v>941</v>
      </c>
      <c r="B416" t="s">
        <v>940</v>
      </c>
      <c r="C416" t="s">
        <v>917</v>
      </c>
      <c r="D416" t="s">
        <v>71</v>
      </c>
      <c r="E416" s="1">
        <v>93978.713300000003</v>
      </c>
      <c r="F416" s="1">
        <v>14943.5867</v>
      </c>
      <c r="H416" s="1">
        <v>4280</v>
      </c>
      <c r="I416" s="1">
        <v>113202.3</v>
      </c>
      <c r="J416" s="1">
        <v>18688.68</v>
      </c>
      <c r="K416" s="1">
        <v>30873</v>
      </c>
      <c r="N416" s="1">
        <f t="shared" si="6"/>
        <v>1698.03</v>
      </c>
    </row>
    <row r="417" spans="1:14">
      <c r="A417" t="s">
        <v>943</v>
      </c>
      <c r="B417" t="s">
        <v>942</v>
      </c>
      <c r="C417" t="s">
        <v>917</v>
      </c>
      <c r="D417" t="s">
        <v>71</v>
      </c>
      <c r="E417" s="1">
        <v>89946.395600000018</v>
      </c>
      <c r="F417" s="1">
        <v>53536.5844</v>
      </c>
      <c r="H417" s="1">
        <v>3280</v>
      </c>
      <c r="I417" s="1">
        <v>146762.98000000001</v>
      </c>
      <c r="J417" s="1">
        <v>18688.68</v>
      </c>
      <c r="K417" s="1">
        <v>29292</v>
      </c>
      <c r="N417" s="1">
        <f t="shared" si="6"/>
        <v>2201.44</v>
      </c>
    </row>
    <row r="418" spans="1:14">
      <c r="A418" t="s">
        <v>561</v>
      </c>
      <c r="B418" t="s">
        <v>945</v>
      </c>
      <c r="C418" t="s">
        <v>944</v>
      </c>
      <c r="D418" t="s">
        <v>71</v>
      </c>
      <c r="E418" s="1">
        <v>126324.7334</v>
      </c>
      <c r="F418" s="1">
        <v>28214.886600000002</v>
      </c>
      <c r="G418" s="1">
        <v>9693.07</v>
      </c>
      <c r="H418" s="1">
        <v>4896</v>
      </c>
      <c r="I418" s="1">
        <v>169128.69</v>
      </c>
      <c r="J418" s="1">
        <v>18688.68</v>
      </c>
      <c r="K418" s="1">
        <v>41230</v>
      </c>
      <c r="N418" s="1">
        <f t="shared" si="6"/>
        <v>2536.9299999999998</v>
      </c>
    </row>
    <row r="419" spans="1:14">
      <c r="A419" t="s">
        <v>947</v>
      </c>
      <c r="B419" t="s">
        <v>946</v>
      </c>
      <c r="C419" t="s">
        <v>917</v>
      </c>
      <c r="D419" t="s">
        <v>71</v>
      </c>
      <c r="E419" s="1">
        <v>9470.9542000000019</v>
      </c>
      <c r="F419" s="1">
        <v>366.3458</v>
      </c>
      <c r="G419" s="1">
        <v>3907.69</v>
      </c>
      <c r="H419" s="1">
        <v>2640</v>
      </c>
      <c r="I419" s="1">
        <v>16384.990000000002</v>
      </c>
      <c r="J419" s="1">
        <v>18688.68</v>
      </c>
      <c r="K419" s="1">
        <v>3805</v>
      </c>
      <c r="N419" s="1">
        <f t="shared" si="6"/>
        <v>245.77</v>
      </c>
    </row>
    <row r="420" spans="1:14">
      <c r="A420" t="s">
        <v>949</v>
      </c>
      <c r="B420" t="s">
        <v>948</v>
      </c>
      <c r="C420" t="s">
        <v>917</v>
      </c>
      <c r="D420" t="s">
        <v>71</v>
      </c>
      <c r="E420" s="1">
        <v>94511.998699999996</v>
      </c>
      <c r="F420" s="1">
        <v>54355.751300000004</v>
      </c>
      <c r="G420" s="1">
        <v>10799.18</v>
      </c>
      <c r="H420" s="1">
        <v>2715.63</v>
      </c>
      <c r="I420" s="1">
        <v>162382.56</v>
      </c>
      <c r="J420" s="1">
        <v>18688.68</v>
      </c>
      <c r="K420" s="1">
        <v>30549</v>
      </c>
      <c r="N420" s="1">
        <f t="shared" si="6"/>
        <v>2435.7399999999998</v>
      </c>
    </row>
    <row r="421" spans="1:14">
      <c r="A421" t="s">
        <v>949</v>
      </c>
      <c r="B421" t="s">
        <v>950</v>
      </c>
      <c r="C421" t="s">
        <v>931</v>
      </c>
      <c r="D421" t="s">
        <v>71</v>
      </c>
      <c r="E421" s="1">
        <v>108222.35400000001</v>
      </c>
      <c r="F421" s="1">
        <v>15790.755999999999</v>
      </c>
      <c r="G421" s="1">
        <v>11311.99</v>
      </c>
      <c r="H421" s="1">
        <v>6526</v>
      </c>
      <c r="I421" s="1">
        <v>141851.1</v>
      </c>
      <c r="J421" s="1">
        <v>14342.16</v>
      </c>
      <c r="K421" s="1">
        <v>36054</v>
      </c>
      <c r="N421" s="1">
        <f t="shared" si="6"/>
        <v>2127.77</v>
      </c>
    </row>
    <row r="422" spans="1:14">
      <c r="A422" t="s">
        <v>952</v>
      </c>
      <c r="B422" t="s">
        <v>951</v>
      </c>
      <c r="C422" t="s">
        <v>917</v>
      </c>
      <c r="D422" t="s">
        <v>71</v>
      </c>
      <c r="E422" s="1">
        <v>94511.996399999989</v>
      </c>
      <c r="F422" s="1">
        <v>51473.7736</v>
      </c>
      <c r="G422" s="1">
        <v>11290.09</v>
      </c>
      <c r="H422" s="1">
        <v>9533.81</v>
      </c>
      <c r="I422" s="1">
        <v>166809.66999999998</v>
      </c>
      <c r="J422" s="1">
        <v>7684.92</v>
      </c>
      <c r="K422" s="1">
        <v>32691</v>
      </c>
      <c r="N422" s="1">
        <f t="shared" si="6"/>
        <v>2502.15</v>
      </c>
    </row>
    <row r="423" spans="1:14">
      <c r="A423" t="s">
        <v>954</v>
      </c>
      <c r="B423" t="s">
        <v>953</v>
      </c>
      <c r="C423" t="s">
        <v>917</v>
      </c>
      <c r="D423" t="s">
        <v>71</v>
      </c>
      <c r="E423" s="1">
        <v>92840.953099999999</v>
      </c>
      <c r="F423" s="1">
        <v>12577.706899999999</v>
      </c>
      <c r="G423" s="1">
        <v>7782.16</v>
      </c>
      <c r="H423" s="1">
        <v>3280</v>
      </c>
      <c r="I423" s="1">
        <v>116480.82</v>
      </c>
      <c r="J423" s="1">
        <v>18688.68</v>
      </c>
      <c r="K423" s="1">
        <v>30201</v>
      </c>
      <c r="N423" s="1">
        <f t="shared" si="6"/>
        <v>1747.21</v>
      </c>
    </row>
    <row r="424" spans="1:14">
      <c r="A424" t="s">
        <v>956</v>
      </c>
      <c r="B424" t="s">
        <v>955</v>
      </c>
      <c r="C424" t="s">
        <v>931</v>
      </c>
      <c r="D424" t="s">
        <v>71</v>
      </c>
      <c r="E424" s="1">
        <v>103460.70929999999</v>
      </c>
      <c r="F424" s="1">
        <v>45102.310700000002</v>
      </c>
      <c r="H424" s="1">
        <v>6583.41</v>
      </c>
      <c r="I424" s="1">
        <v>155146.43</v>
      </c>
      <c r="J424" s="1">
        <v>18688.68</v>
      </c>
      <c r="K424" s="1">
        <v>34576</v>
      </c>
      <c r="N424" s="1">
        <f t="shared" si="6"/>
        <v>2327.1999999999998</v>
      </c>
    </row>
    <row r="425" spans="1:14">
      <c r="A425" t="s">
        <v>182</v>
      </c>
      <c r="B425" t="s">
        <v>957</v>
      </c>
      <c r="C425" t="s">
        <v>917</v>
      </c>
      <c r="D425" t="s">
        <v>71</v>
      </c>
      <c r="E425" s="1">
        <v>81693.703599999993</v>
      </c>
      <c r="F425" s="1">
        <v>9520.9364000000005</v>
      </c>
      <c r="H425" s="1">
        <v>4030</v>
      </c>
      <c r="I425" s="1">
        <v>95244.64</v>
      </c>
      <c r="J425" s="1">
        <v>7684.92</v>
      </c>
      <c r="K425" s="1">
        <v>26934</v>
      </c>
      <c r="N425" s="1">
        <f t="shared" si="6"/>
        <v>1428.67</v>
      </c>
    </row>
    <row r="426" spans="1:14">
      <c r="A426" t="s">
        <v>959</v>
      </c>
      <c r="B426" t="s">
        <v>958</v>
      </c>
      <c r="C426" t="s">
        <v>944</v>
      </c>
      <c r="D426" t="s">
        <v>71</v>
      </c>
      <c r="E426" s="1">
        <v>146552.91649999999</v>
      </c>
      <c r="F426" s="1">
        <v>3530.9034999999999</v>
      </c>
      <c r="G426" s="1">
        <v>18326.41</v>
      </c>
      <c r="H426" s="1">
        <v>2302</v>
      </c>
      <c r="I426" s="1">
        <v>170712.22999999998</v>
      </c>
      <c r="J426" s="1">
        <v>18688.68</v>
      </c>
      <c r="K426" s="1">
        <v>46770</v>
      </c>
      <c r="N426" s="1">
        <f t="shared" si="6"/>
        <v>2560.6799999999998</v>
      </c>
    </row>
    <row r="427" spans="1:14">
      <c r="A427" t="s">
        <v>961</v>
      </c>
      <c r="B427" t="s">
        <v>960</v>
      </c>
      <c r="C427" t="s">
        <v>917</v>
      </c>
      <c r="D427" t="s">
        <v>71</v>
      </c>
      <c r="E427" s="1">
        <v>91829.151199999993</v>
      </c>
      <c r="F427" s="1">
        <v>47460.058799999999</v>
      </c>
      <c r="H427" s="1">
        <v>4030</v>
      </c>
      <c r="I427" s="1">
        <v>143319.21</v>
      </c>
      <c r="J427" s="1">
        <v>22965.96</v>
      </c>
      <c r="K427" s="1">
        <v>30119</v>
      </c>
      <c r="N427" s="1">
        <f t="shared" si="6"/>
        <v>2149.79</v>
      </c>
    </row>
    <row r="428" spans="1:14">
      <c r="A428" t="s">
        <v>963</v>
      </c>
      <c r="B428" t="s">
        <v>962</v>
      </c>
      <c r="C428" t="s">
        <v>917</v>
      </c>
      <c r="D428" t="s">
        <v>71</v>
      </c>
      <c r="E428" s="1">
        <v>94511.999100000001</v>
      </c>
      <c r="F428" s="1">
        <v>27302.390899999999</v>
      </c>
      <c r="G428" s="1">
        <v>11627.07</v>
      </c>
      <c r="H428" s="1">
        <v>1992.48</v>
      </c>
      <c r="I428" s="1">
        <v>135433.94</v>
      </c>
      <c r="J428" s="1">
        <v>18688.68</v>
      </c>
      <c r="K428" s="1">
        <v>30322</v>
      </c>
      <c r="N428" s="1">
        <f t="shared" si="6"/>
        <v>2031.51</v>
      </c>
    </row>
    <row r="429" spans="1:14">
      <c r="A429" t="s">
        <v>965</v>
      </c>
      <c r="B429" t="s">
        <v>964</v>
      </c>
      <c r="C429" t="s">
        <v>931</v>
      </c>
      <c r="D429" t="s">
        <v>71</v>
      </c>
      <c r="E429" s="1">
        <v>132371.99970000001</v>
      </c>
      <c r="F429" s="1">
        <v>47778.030299999999</v>
      </c>
      <c r="G429" s="1">
        <v>15390.79</v>
      </c>
      <c r="H429" s="1">
        <v>2887.36</v>
      </c>
      <c r="I429" s="1">
        <v>198428.18</v>
      </c>
      <c r="J429" s="1">
        <v>18688.68</v>
      </c>
      <c r="K429" s="1">
        <v>42498</v>
      </c>
      <c r="N429" s="1">
        <f t="shared" si="6"/>
        <v>2976.42</v>
      </c>
    </row>
    <row r="430" spans="1:14">
      <c r="A430" t="s">
        <v>967</v>
      </c>
      <c r="B430" t="s">
        <v>966</v>
      </c>
      <c r="C430" t="s">
        <v>917</v>
      </c>
      <c r="D430" t="s">
        <v>71</v>
      </c>
      <c r="E430" s="1">
        <v>87777.035400000008</v>
      </c>
      <c r="F430" s="1">
        <v>14330.3246</v>
      </c>
      <c r="G430" s="1">
        <v>3462.08</v>
      </c>
      <c r="H430" s="1">
        <v>4030</v>
      </c>
      <c r="I430" s="1">
        <v>109599.44</v>
      </c>
      <c r="J430" s="1">
        <v>18688.68</v>
      </c>
      <c r="K430" s="1">
        <v>28846</v>
      </c>
      <c r="N430" s="1">
        <f t="shared" si="6"/>
        <v>1643.99</v>
      </c>
    </row>
    <row r="431" spans="1:14">
      <c r="A431" t="s">
        <v>1531</v>
      </c>
      <c r="C431" t="s">
        <v>917</v>
      </c>
      <c r="D431" t="s">
        <v>71</v>
      </c>
      <c r="E431" s="1">
        <v>94511.997799999997</v>
      </c>
      <c r="F431" s="1">
        <v>16773.192200000001</v>
      </c>
      <c r="G431" s="1">
        <v>9234.01</v>
      </c>
      <c r="H431" s="1">
        <v>11710.64</v>
      </c>
      <c r="I431" s="1">
        <v>132229.84</v>
      </c>
      <c r="J431" s="1">
        <v>14342.16</v>
      </c>
      <c r="K431" s="1">
        <v>33375</v>
      </c>
      <c r="N431" s="1">
        <f t="shared" si="6"/>
        <v>1983.45</v>
      </c>
    </row>
    <row r="432" spans="1:14">
      <c r="A432" t="s">
        <v>969</v>
      </c>
      <c r="B432" t="s">
        <v>968</v>
      </c>
      <c r="C432" t="s">
        <v>931</v>
      </c>
      <c r="D432" t="s">
        <v>71</v>
      </c>
      <c r="E432" s="1">
        <v>102956.34510000001</v>
      </c>
      <c r="F432" s="1">
        <v>779.23490000000004</v>
      </c>
      <c r="G432" s="1">
        <v>10647.55</v>
      </c>
      <c r="H432" s="1">
        <v>3600.06</v>
      </c>
      <c r="I432" s="1">
        <v>117983.19</v>
      </c>
      <c r="J432" s="1">
        <v>18688.68</v>
      </c>
      <c r="K432" s="1">
        <v>33480</v>
      </c>
      <c r="N432" s="1">
        <f t="shared" si="6"/>
        <v>1769.75</v>
      </c>
    </row>
    <row r="433" spans="1:14">
      <c r="A433" t="s">
        <v>971</v>
      </c>
      <c r="B433" t="s">
        <v>970</v>
      </c>
      <c r="C433" t="s">
        <v>931</v>
      </c>
      <c r="D433" t="s">
        <v>71</v>
      </c>
      <c r="E433" s="1">
        <v>110850.94119999999</v>
      </c>
      <c r="F433" s="1">
        <v>21521.058799999999</v>
      </c>
      <c r="G433" s="1">
        <v>15994.27</v>
      </c>
      <c r="H433" s="1">
        <v>12744.810000000001</v>
      </c>
      <c r="I433" s="1">
        <v>161111.07999999999</v>
      </c>
      <c r="J433" s="1">
        <v>18688.68</v>
      </c>
      <c r="K433" s="1">
        <v>38834</v>
      </c>
      <c r="N433" s="1">
        <f>ROUND(+I433*0.005,2)</f>
        <v>805.56</v>
      </c>
    </row>
    <row r="434" spans="1:14">
      <c r="A434" t="s">
        <v>1531</v>
      </c>
      <c r="C434" t="s">
        <v>917</v>
      </c>
      <c r="D434" t="s">
        <v>71</v>
      </c>
      <c r="E434" s="1">
        <v>94512</v>
      </c>
      <c r="F434" s="1">
        <v>79374.626099999994</v>
      </c>
      <c r="H434" s="1">
        <v>65613</v>
      </c>
      <c r="I434" s="1">
        <v>239499.62609999999</v>
      </c>
      <c r="J434" s="1">
        <v>7684.92</v>
      </c>
      <c r="K434" s="1">
        <v>50311</v>
      </c>
      <c r="N434" s="1">
        <f t="shared" si="6"/>
        <v>3592.49</v>
      </c>
    </row>
    <row r="435" spans="1:14">
      <c r="A435" t="s">
        <v>973</v>
      </c>
      <c r="B435" t="s">
        <v>972</v>
      </c>
      <c r="C435" t="s">
        <v>917</v>
      </c>
      <c r="D435" t="s">
        <v>71</v>
      </c>
      <c r="E435" s="1">
        <v>90021.304099999979</v>
      </c>
      <c r="F435" s="1">
        <v>34399.865899999997</v>
      </c>
      <c r="G435" s="1">
        <v>662.35</v>
      </c>
      <c r="H435" s="1">
        <v>5360</v>
      </c>
      <c r="I435" s="1">
        <v>130443.51999999999</v>
      </c>
      <c r="J435" s="1">
        <v>18688.68</v>
      </c>
      <c r="K435" s="1">
        <v>29969</v>
      </c>
      <c r="N435" s="1">
        <f t="shared" si="6"/>
        <v>1956.65</v>
      </c>
    </row>
    <row r="436" spans="1:14">
      <c r="A436" t="s">
        <v>1531</v>
      </c>
      <c r="C436" t="s">
        <v>917</v>
      </c>
      <c r="D436" t="s">
        <v>71</v>
      </c>
      <c r="E436" s="1">
        <v>94512.00039999999</v>
      </c>
      <c r="F436" s="1">
        <v>14187.069600000001</v>
      </c>
      <c r="G436" s="1">
        <v>10002.540000000001</v>
      </c>
      <c r="H436" s="1">
        <v>8595.4399999999987</v>
      </c>
      <c r="I436" s="1">
        <v>127297.05</v>
      </c>
      <c r="J436" s="1">
        <v>18688.68</v>
      </c>
      <c r="K436" s="1">
        <v>32396</v>
      </c>
      <c r="N436" s="1">
        <f t="shared" si="6"/>
        <v>1909.46</v>
      </c>
    </row>
    <row r="437" spans="1:14">
      <c r="A437" t="s">
        <v>659</v>
      </c>
      <c r="B437" t="s">
        <v>974</v>
      </c>
      <c r="C437" t="s">
        <v>944</v>
      </c>
      <c r="D437" t="s">
        <v>71</v>
      </c>
      <c r="E437" s="1">
        <v>148864.42170000001</v>
      </c>
      <c r="F437" s="1">
        <v>9382.3083000000006</v>
      </c>
      <c r="G437" s="1">
        <v>18326.41</v>
      </c>
      <c r="H437" s="1">
        <v>1200</v>
      </c>
      <c r="I437" s="1">
        <v>177773.14</v>
      </c>
      <c r="J437" s="1">
        <v>18688.68</v>
      </c>
      <c r="K437" s="1">
        <v>47150</v>
      </c>
      <c r="N437" s="1">
        <f t="shared" si="6"/>
        <v>2666.6</v>
      </c>
    </row>
    <row r="438" spans="1:14">
      <c r="A438" t="s">
        <v>976</v>
      </c>
      <c r="B438" t="s">
        <v>975</v>
      </c>
      <c r="C438" t="s">
        <v>931</v>
      </c>
      <c r="D438" t="s">
        <v>71</v>
      </c>
      <c r="E438" s="1">
        <v>124826.0086</v>
      </c>
      <c r="F438" s="1">
        <v>16132.841399999999</v>
      </c>
      <c r="G438" s="1">
        <v>14937.04</v>
      </c>
      <c r="H438" s="1">
        <v>8176.06</v>
      </c>
      <c r="I438" s="1">
        <v>164071.95000000001</v>
      </c>
      <c r="J438" s="1">
        <v>18688.68</v>
      </c>
      <c r="K438" s="1">
        <v>41789</v>
      </c>
      <c r="N438" s="1">
        <f t="shared" ref="N438:N501" si="7">ROUND(+I438*0.015,2)</f>
        <v>2461.08</v>
      </c>
    </row>
    <row r="439" spans="1:14">
      <c r="A439" t="s">
        <v>977</v>
      </c>
      <c r="B439" t="s">
        <v>770</v>
      </c>
      <c r="C439" t="s">
        <v>917</v>
      </c>
      <c r="D439" t="s">
        <v>71</v>
      </c>
      <c r="E439" s="1">
        <v>88353.799700000003</v>
      </c>
      <c r="F439" s="1">
        <v>11501.6203</v>
      </c>
      <c r="G439" s="1">
        <v>9817.44</v>
      </c>
      <c r="H439" s="1">
        <v>3280</v>
      </c>
      <c r="I439" s="1">
        <v>112952.86</v>
      </c>
      <c r="J439" s="1">
        <v>18688.68</v>
      </c>
      <c r="K439" s="1">
        <v>28791</v>
      </c>
      <c r="N439" s="1">
        <f t="shared" si="7"/>
        <v>1694.29</v>
      </c>
    </row>
    <row r="440" spans="1:14">
      <c r="A440" t="s">
        <v>979</v>
      </c>
      <c r="B440" t="s">
        <v>978</v>
      </c>
      <c r="C440" t="s">
        <v>917</v>
      </c>
      <c r="D440" t="s">
        <v>71</v>
      </c>
      <c r="E440" s="1">
        <v>87737.376000000004</v>
      </c>
      <c r="F440" s="1">
        <v>20771.804</v>
      </c>
      <c r="G440" s="1">
        <v>8619.4</v>
      </c>
      <c r="H440" s="1">
        <v>1200</v>
      </c>
      <c r="I440" s="1">
        <v>118328.58</v>
      </c>
      <c r="J440" s="1">
        <v>14342.16</v>
      </c>
      <c r="K440" s="1">
        <v>27944</v>
      </c>
      <c r="N440" s="1">
        <f t="shared" si="7"/>
        <v>1774.93</v>
      </c>
    </row>
    <row r="441" spans="1:14">
      <c r="A441" t="s">
        <v>981</v>
      </c>
      <c r="B441" t="s">
        <v>980</v>
      </c>
      <c r="C441" t="s">
        <v>931</v>
      </c>
      <c r="D441" t="s">
        <v>71</v>
      </c>
      <c r="E441" s="1">
        <v>46653.868799999997</v>
      </c>
      <c r="F441" s="1">
        <v>190.9212</v>
      </c>
      <c r="H441" s="1">
        <v>800</v>
      </c>
      <c r="I441" s="1">
        <v>47644.789999999994</v>
      </c>
      <c r="J441" s="1">
        <v>0</v>
      </c>
      <c r="K441" s="1">
        <v>14910</v>
      </c>
      <c r="N441" s="1">
        <f t="shared" si="7"/>
        <v>714.67</v>
      </c>
    </row>
    <row r="442" spans="1:14">
      <c r="A442" t="s">
        <v>983</v>
      </c>
      <c r="B442" t="s">
        <v>982</v>
      </c>
      <c r="C442" t="s">
        <v>917</v>
      </c>
      <c r="D442" t="s">
        <v>71</v>
      </c>
      <c r="E442" s="1">
        <v>94511.995999999999</v>
      </c>
      <c r="F442" s="1">
        <v>15407.044</v>
      </c>
      <c r="G442" s="1">
        <v>10702.67</v>
      </c>
      <c r="H442" s="1">
        <v>8118.98</v>
      </c>
      <c r="I442" s="1">
        <v>128740.68999999999</v>
      </c>
      <c r="J442" s="1">
        <v>22965.96</v>
      </c>
      <c r="K442" s="1">
        <v>32247</v>
      </c>
      <c r="N442" s="1">
        <f t="shared" si="7"/>
        <v>1931.11</v>
      </c>
    </row>
    <row r="443" spans="1:14">
      <c r="A443" t="s">
        <v>985</v>
      </c>
      <c r="B443" t="s">
        <v>984</v>
      </c>
      <c r="C443" t="s">
        <v>917</v>
      </c>
      <c r="D443" t="s">
        <v>71</v>
      </c>
      <c r="E443" s="1">
        <v>80761.365900000004</v>
      </c>
      <c r="F443" s="1">
        <v>11196.044099999999</v>
      </c>
      <c r="H443" s="1">
        <v>1950</v>
      </c>
      <c r="I443" s="1">
        <v>93907.41</v>
      </c>
      <c r="J443" s="1">
        <v>7684.92</v>
      </c>
      <c r="K443" s="1">
        <v>25988</v>
      </c>
      <c r="N443" s="1">
        <f t="shared" si="7"/>
        <v>1408.61</v>
      </c>
    </row>
    <row r="444" spans="1:14">
      <c r="A444" t="s">
        <v>987</v>
      </c>
      <c r="B444" t="s">
        <v>986</v>
      </c>
      <c r="C444" t="s">
        <v>917</v>
      </c>
      <c r="D444" t="s">
        <v>71</v>
      </c>
      <c r="E444" s="1">
        <v>94511.999200000006</v>
      </c>
      <c r="F444" s="1">
        <v>14735.7408</v>
      </c>
      <c r="G444" s="1">
        <v>5800.95</v>
      </c>
      <c r="H444" s="1">
        <v>6459.92</v>
      </c>
      <c r="I444" s="1">
        <v>121508.61</v>
      </c>
      <c r="J444" s="1">
        <v>18688.68</v>
      </c>
      <c r="K444" s="1">
        <v>31725</v>
      </c>
      <c r="N444" s="1">
        <f t="shared" si="7"/>
        <v>1822.63</v>
      </c>
    </row>
    <row r="445" spans="1:14">
      <c r="A445" t="s">
        <v>1531</v>
      </c>
      <c r="C445" t="s">
        <v>917</v>
      </c>
      <c r="D445" t="s">
        <v>71</v>
      </c>
      <c r="E445" s="1">
        <v>82429.862999999998</v>
      </c>
      <c r="F445" s="1">
        <v>13988.967000000001</v>
      </c>
      <c r="H445" s="1">
        <v>3280</v>
      </c>
      <c r="I445" s="1">
        <v>99698.83</v>
      </c>
      <c r="J445" s="1">
        <v>18688.68</v>
      </c>
      <c r="K445" s="1">
        <v>26930</v>
      </c>
      <c r="N445" s="1">
        <f t="shared" si="7"/>
        <v>1495.48</v>
      </c>
    </row>
    <row r="446" spans="1:14">
      <c r="A446" t="s">
        <v>989</v>
      </c>
      <c r="B446" t="s">
        <v>988</v>
      </c>
      <c r="C446" t="s">
        <v>917</v>
      </c>
      <c r="D446" t="s">
        <v>71</v>
      </c>
      <c r="E446" s="1">
        <v>69203.828799999988</v>
      </c>
      <c r="F446" s="1">
        <v>75337.071200000006</v>
      </c>
      <c r="G446" s="1">
        <v>992.15</v>
      </c>
      <c r="H446" s="1">
        <v>1950</v>
      </c>
      <c r="I446" s="1">
        <v>147483.04999999999</v>
      </c>
      <c r="J446" s="1">
        <v>18688.68</v>
      </c>
      <c r="K446" s="1">
        <v>22357</v>
      </c>
      <c r="N446" s="1">
        <f>ROUND(+I446*0.005,2)</f>
        <v>737.42</v>
      </c>
    </row>
    <row r="447" spans="1:14">
      <c r="A447" t="s">
        <v>1531</v>
      </c>
      <c r="C447" t="s">
        <v>917</v>
      </c>
      <c r="D447" t="s">
        <v>71</v>
      </c>
      <c r="E447" s="1">
        <v>94512.001799999998</v>
      </c>
      <c r="F447" s="1">
        <v>11695.858200000001</v>
      </c>
      <c r="G447" s="1">
        <v>3808.19</v>
      </c>
      <c r="H447" s="1">
        <v>4984.67</v>
      </c>
      <c r="I447" s="1">
        <v>115000.72</v>
      </c>
      <c r="J447" s="1">
        <v>18688.68</v>
      </c>
      <c r="K447" s="1">
        <v>31262</v>
      </c>
      <c r="N447" s="1">
        <f t="shared" si="7"/>
        <v>1725.01</v>
      </c>
    </row>
    <row r="448" spans="1:14">
      <c r="A448" t="s">
        <v>991</v>
      </c>
      <c r="B448" t="s">
        <v>990</v>
      </c>
      <c r="C448" t="s">
        <v>917</v>
      </c>
      <c r="D448" t="s">
        <v>71</v>
      </c>
      <c r="E448" s="1">
        <v>78435.690900000001</v>
      </c>
      <c r="F448" s="1">
        <v>5689.4890999999998</v>
      </c>
      <c r="G448" s="1">
        <v>8455.75</v>
      </c>
      <c r="H448" s="1">
        <v>4080</v>
      </c>
      <c r="I448" s="1">
        <v>96660.930000000008</v>
      </c>
      <c r="J448" s="1">
        <v>18688.68</v>
      </c>
      <c r="K448" s="1">
        <v>25926</v>
      </c>
      <c r="N448" s="1">
        <f t="shared" si="7"/>
        <v>1449.91</v>
      </c>
    </row>
    <row r="449" spans="1:14">
      <c r="A449" t="s">
        <v>981</v>
      </c>
      <c r="B449" t="s">
        <v>992</v>
      </c>
      <c r="C449" t="s">
        <v>917</v>
      </c>
      <c r="D449" t="s">
        <v>71</v>
      </c>
      <c r="E449" s="1">
        <v>94367.665999999997</v>
      </c>
      <c r="F449" s="1">
        <v>13289.044</v>
      </c>
      <c r="G449" s="1">
        <v>3808.19</v>
      </c>
      <c r="H449" s="1">
        <v>3780</v>
      </c>
      <c r="I449" s="1">
        <v>115244.9</v>
      </c>
      <c r="J449" s="1">
        <v>18688.68</v>
      </c>
      <c r="K449" s="1">
        <v>30838</v>
      </c>
      <c r="N449" s="1">
        <f t="shared" si="7"/>
        <v>1728.67</v>
      </c>
    </row>
    <row r="450" spans="1:14">
      <c r="A450" t="s">
        <v>994</v>
      </c>
      <c r="B450" t="s">
        <v>993</v>
      </c>
      <c r="C450" t="s">
        <v>917</v>
      </c>
      <c r="D450" t="s">
        <v>71</v>
      </c>
      <c r="E450" s="1">
        <v>94512.000199999995</v>
      </c>
      <c r="F450" s="1">
        <v>19118.229800000001</v>
      </c>
      <c r="H450" s="1">
        <v>4438.91</v>
      </c>
      <c r="I450" s="1">
        <v>118069.14</v>
      </c>
      <c r="J450" s="1">
        <v>18688.68</v>
      </c>
      <c r="K450" s="1">
        <v>31090</v>
      </c>
      <c r="N450" s="1">
        <f t="shared" si="7"/>
        <v>1771.04</v>
      </c>
    </row>
    <row r="451" spans="1:14">
      <c r="A451" t="s">
        <v>182</v>
      </c>
      <c r="B451" t="s">
        <v>995</v>
      </c>
      <c r="C451" t="s">
        <v>917</v>
      </c>
      <c r="D451" t="s">
        <v>71</v>
      </c>
      <c r="E451" s="1">
        <v>89424.616699999999</v>
      </c>
      <c r="F451" s="1">
        <v>7708.6133</v>
      </c>
      <c r="G451" s="1">
        <v>13418.85</v>
      </c>
      <c r="H451" s="1">
        <v>2160</v>
      </c>
      <c r="I451" s="1">
        <v>112712.08</v>
      </c>
      <c r="J451" s="1">
        <v>18688.68</v>
      </c>
      <c r="K451" s="1">
        <v>28776</v>
      </c>
      <c r="N451" s="1">
        <f t="shared" si="7"/>
        <v>1690.68</v>
      </c>
    </row>
    <row r="452" spans="1:14">
      <c r="A452" t="s">
        <v>1531</v>
      </c>
      <c r="C452" t="s">
        <v>917</v>
      </c>
      <c r="D452" t="s">
        <v>71</v>
      </c>
      <c r="E452" s="1">
        <v>58131.385499999997</v>
      </c>
      <c r="F452" s="1">
        <v>749.73450000000003</v>
      </c>
      <c r="H452" s="1">
        <v>1920</v>
      </c>
      <c r="I452" s="1">
        <v>60801.119999999995</v>
      </c>
      <c r="J452" s="1">
        <v>18688.68</v>
      </c>
      <c r="K452" s="1">
        <v>18868</v>
      </c>
      <c r="N452" s="1">
        <f t="shared" si="7"/>
        <v>912.02</v>
      </c>
    </row>
    <row r="453" spans="1:14">
      <c r="A453" t="s">
        <v>997</v>
      </c>
      <c r="B453" t="s">
        <v>996</v>
      </c>
      <c r="C453" t="s">
        <v>917</v>
      </c>
      <c r="D453" t="s">
        <v>71</v>
      </c>
      <c r="E453" s="1">
        <v>94511.999800000005</v>
      </c>
      <c r="F453" s="1">
        <v>2214.2802000000001</v>
      </c>
      <c r="G453" s="1">
        <v>1022.37</v>
      </c>
      <c r="H453" s="1">
        <v>11755.929999999995</v>
      </c>
      <c r="I453" s="1">
        <v>109504.57999999999</v>
      </c>
      <c r="J453" s="1">
        <v>0</v>
      </c>
      <c r="K453" s="1">
        <v>33389</v>
      </c>
      <c r="N453" s="1">
        <f t="shared" si="7"/>
        <v>1642.57</v>
      </c>
    </row>
    <row r="454" spans="1:14">
      <c r="A454" t="s">
        <v>998</v>
      </c>
      <c r="B454" t="s">
        <v>711</v>
      </c>
      <c r="C454" t="s">
        <v>917</v>
      </c>
      <c r="D454" t="s">
        <v>71</v>
      </c>
      <c r="E454" s="1">
        <v>94511.996100000004</v>
      </c>
      <c r="F454" s="1">
        <v>33062.7039</v>
      </c>
      <c r="H454" s="1">
        <v>7731.2</v>
      </c>
      <c r="I454" s="1">
        <v>135305.9</v>
      </c>
      <c r="J454" s="1">
        <v>18688.68</v>
      </c>
      <c r="K454" s="1">
        <v>32125</v>
      </c>
      <c r="N454" s="1">
        <f t="shared" si="7"/>
        <v>2029.59</v>
      </c>
    </row>
    <row r="455" spans="1:14">
      <c r="A455" t="s">
        <v>312</v>
      </c>
      <c r="B455" t="s">
        <v>999</v>
      </c>
      <c r="C455" t="s">
        <v>917</v>
      </c>
      <c r="D455" t="s">
        <v>71</v>
      </c>
      <c r="E455" s="1">
        <v>94512.001499999984</v>
      </c>
      <c r="F455" s="1">
        <v>39039.198499999999</v>
      </c>
      <c r="G455" s="1">
        <v>6533.97</v>
      </c>
      <c r="H455" s="1">
        <v>6358.12</v>
      </c>
      <c r="I455" s="1">
        <v>146443.28999999998</v>
      </c>
      <c r="J455" s="1">
        <v>18688.68</v>
      </c>
      <c r="K455" s="1">
        <v>31693</v>
      </c>
      <c r="N455" s="1">
        <f t="shared" si="7"/>
        <v>2196.65</v>
      </c>
    </row>
    <row r="456" spans="1:14">
      <c r="A456" t="s">
        <v>1002</v>
      </c>
      <c r="B456" t="s">
        <v>1001</v>
      </c>
      <c r="C456" t="s">
        <v>1000</v>
      </c>
      <c r="D456" t="s">
        <v>71</v>
      </c>
      <c r="E456" s="1">
        <v>177595.9</v>
      </c>
      <c r="F456" s="1">
        <v>0</v>
      </c>
      <c r="G456" s="1">
        <v>20467.46</v>
      </c>
      <c r="H456" s="1">
        <v>900</v>
      </c>
      <c r="I456" s="1">
        <v>198963.36</v>
      </c>
      <c r="J456" s="1">
        <v>18688.68</v>
      </c>
      <c r="K456" s="1">
        <v>56083</v>
      </c>
      <c r="M456" s="1">
        <v>8499.92</v>
      </c>
      <c r="N456" s="1">
        <f t="shared" si="7"/>
        <v>2984.45</v>
      </c>
    </row>
    <row r="457" spans="1:14">
      <c r="A457" t="s">
        <v>1004</v>
      </c>
      <c r="B457" t="s">
        <v>1003</v>
      </c>
      <c r="C457" t="s">
        <v>944</v>
      </c>
      <c r="D457" t="s">
        <v>71</v>
      </c>
      <c r="E457" s="1">
        <v>156276.00020000001</v>
      </c>
      <c r="F457" s="1">
        <v>1487.6297999999999</v>
      </c>
      <c r="G457" s="1">
        <v>11320.86</v>
      </c>
      <c r="H457" s="1">
        <v>18503.450000000008</v>
      </c>
      <c r="I457" s="1">
        <v>187587.94</v>
      </c>
      <c r="J457" s="1">
        <v>18688.68</v>
      </c>
      <c r="K457" s="1">
        <v>54916</v>
      </c>
      <c r="N457" s="1">
        <f t="shared" si="7"/>
        <v>2813.82</v>
      </c>
    </row>
    <row r="458" spans="1:14">
      <c r="A458" t="s">
        <v>429</v>
      </c>
      <c r="B458" t="s">
        <v>1005</v>
      </c>
      <c r="C458" t="s">
        <v>917</v>
      </c>
      <c r="D458" t="s">
        <v>71</v>
      </c>
      <c r="E458" s="1">
        <v>91127.91810000001</v>
      </c>
      <c r="F458" s="1">
        <v>14845.6219</v>
      </c>
      <c r="G458" s="1">
        <v>6249.37</v>
      </c>
      <c r="H458" s="1">
        <v>3280</v>
      </c>
      <c r="I458" s="1">
        <v>115502.91</v>
      </c>
      <c r="J458" s="1">
        <v>15160.68</v>
      </c>
      <c r="K458" s="1">
        <v>29663</v>
      </c>
      <c r="N458" s="1">
        <f t="shared" si="7"/>
        <v>1732.54</v>
      </c>
    </row>
    <row r="459" spans="1:14">
      <c r="A459" t="s">
        <v>1007</v>
      </c>
      <c r="B459" t="s">
        <v>1006</v>
      </c>
      <c r="C459" t="s">
        <v>917</v>
      </c>
      <c r="D459" t="s">
        <v>71</v>
      </c>
      <c r="E459" s="1">
        <v>93198.5141</v>
      </c>
      <c r="F459" s="1">
        <v>71.565899999999999</v>
      </c>
      <c r="H459" s="1">
        <v>2520</v>
      </c>
      <c r="I459" s="1">
        <v>95790.080000000002</v>
      </c>
      <c r="J459" s="1">
        <v>14342.16</v>
      </c>
      <c r="K459" s="1">
        <v>30075</v>
      </c>
      <c r="N459" s="1">
        <f t="shared" si="7"/>
        <v>1436.85</v>
      </c>
    </row>
    <row r="460" spans="1:14">
      <c r="A460" t="s">
        <v>1009</v>
      </c>
      <c r="B460" t="s">
        <v>1008</v>
      </c>
      <c r="C460" t="s">
        <v>944</v>
      </c>
      <c r="D460" t="s">
        <v>71</v>
      </c>
      <c r="E460" s="1">
        <v>146925.51760000002</v>
      </c>
      <c r="F460" s="1">
        <v>14196.9324</v>
      </c>
      <c r="G460" s="1">
        <v>6009.18</v>
      </c>
      <c r="H460" s="1">
        <v>4304.0600000000004</v>
      </c>
      <c r="I460" s="1">
        <v>171435.69</v>
      </c>
      <c r="J460" s="1">
        <v>18688.68</v>
      </c>
      <c r="K460" s="1">
        <v>47516</v>
      </c>
      <c r="N460" s="1">
        <f t="shared" si="7"/>
        <v>2571.54</v>
      </c>
    </row>
    <row r="461" spans="1:14">
      <c r="A461" t="s">
        <v>1531</v>
      </c>
      <c r="C461" t="s">
        <v>917</v>
      </c>
      <c r="D461" t="s">
        <v>71</v>
      </c>
      <c r="E461" s="1">
        <v>94511.9997</v>
      </c>
      <c r="F461" s="1">
        <v>5279.6302999999998</v>
      </c>
      <c r="G461" s="1">
        <v>10799.18</v>
      </c>
      <c r="H461" s="1">
        <v>9054.9300000000039</v>
      </c>
      <c r="I461" s="1">
        <v>119645.74</v>
      </c>
      <c r="J461" s="1">
        <v>18688.68</v>
      </c>
      <c r="K461" s="1">
        <v>32541</v>
      </c>
      <c r="N461" s="1">
        <f t="shared" si="7"/>
        <v>1794.69</v>
      </c>
    </row>
    <row r="462" spans="1:14">
      <c r="A462" t="s">
        <v>1011</v>
      </c>
      <c r="B462" t="s">
        <v>1010</v>
      </c>
      <c r="C462" t="s">
        <v>917</v>
      </c>
      <c r="D462" t="s">
        <v>71</v>
      </c>
      <c r="E462" s="1">
        <v>94341.516400000008</v>
      </c>
      <c r="F462" s="1">
        <v>13508.063599999999</v>
      </c>
      <c r="G462" s="1">
        <v>2862.64</v>
      </c>
      <c r="H462" s="1">
        <v>1200</v>
      </c>
      <c r="I462" s="1">
        <v>111912.22</v>
      </c>
      <c r="J462" s="1">
        <v>18688.68</v>
      </c>
      <c r="K462" s="1">
        <v>30019</v>
      </c>
      <c r="N462" s="1">
        <f t="shared" si="7"/>
        <v>1678.68</v>
      </c>
    </row>
    <row r="463" spans="1:14">
      <c r="A463" t="s">
        <v>1014</v>
      </c>
      <c r="B463" t="s">
        <v>1013</v>
      </c>
      <c r="C463" t="s">
        <v>1012</v>
      </c>
      <c r="D463" t="s">
        <v>71</v>
      </c>
      <c r="E463" s="1">
        <v>108900.0036</v>
      </c>
      <c r="F463" s="1">
        <v>26861.4264</v>
      </c>
      <c r="H463" s="1">
        <v>2038.53</v>
      </c>
      <c r="I463" s="1">
        <v>137799.96</v>
      </c>
      <c r="J463" s="1">
        <v>18688.68</v>
      </c>
      <c r="K463" s="1">
        <v>34857</v>
      </c>
      <c r="N463" s="1">
        <f t="shared" si="7"/>
        <v>2067</v>
      </c>
    </row>
    <row r="464" spans="1:14">
      <c r="A464" t="s">
        <v>1531</v>
      </c>
      <c r="C464" t="s">
        <v>931</v>
      </c>
      <c r="D464" t="s">
        <v>71</v>
      </c>
      <c r="E464" s="1">
        <v>123596.14619999999</v>
      </c>
      <c r="F464" s="1">
        <v>22075.263800000001</v>
      </c>
      <c r="G464" s="1">
        <v>15745.91</v>
      </c>
      <c r="H464" s="1">
        <v>4350.0600000000004</v>
      </c>
      <c r="I464" s="1">
        <v>165767.38</v>
      </c>
      <c r="J464" s="1">
        <v>18688.68</v>
      </c>
      <c r="K464" s="1">
        <v>40201</v>
      </c>
      <c r="N464" s="1">
        <f t="shared" si="7"/>
        <v>2486.5100000000002</v>
      </c>
    </row>
    <row r="465" spans="1:14">
      <c r="A465" t="s">
        <v>1016</v>
      </c>
      <c r="B465" t="s">
        <v>1015</v>
      </c>
      <c r="C465" t="s">
        <v>917</v>
      </c>
      <c r="D465" t="s">
        <v>71</v>
      </c>
      <c r="E465" s="1">
        <v>83209.058600000004</v>
      </c>
      <c r="F465" s="1">
        <v>8871.5913999999993</v>
      </c>
      <c r="G465" s="1">
        <v>675.11</v>
      </c>
      <c r="H465" s="1">
        <v>4030</v>
      </c>
      <c r="I465" s="1">
        <v>96785.760000000009</v>
      </c>
      <c r="J465" s="1">
        <v>18688.68</v>
      </c>
      <c r="K465" s="1">
        <v>27411</v>
      </c>
      <c r="N465" s="1">
        <f t="shared" si="7"/>
        <v>1451.79</v>
      </c>
    </row>
    <row r="466" spans="1:14">
      <c r="A466" t="s">
        <v>1017</v>
      </c>
      <c r="B466" t="s">
        <v>603</v>
      </c>
      <c r="C466" t="s">
        <v>917</v>
      </c>
      <c r="D466" t="s">
        <v>71</v>
      </c>
      <c r="E466" s="1">
        <v>36085.42</v>
      </c>
      <c r="F466" s="1">
        <v>0</v>
      </c>
      <c r="G466" s="1">
        <v>8240.1</v>
      </c>
      <c r="H466" s="1">
        <v>700</v>
      </c>
      <c r="I466" s="1">
        <v>45025.52</v>
      </c>
      <c r="J466" s="1">
        <v>0</v>
      </c>
      <c r="K466" s="1">
        <v>11558</v>
      </c>
      <c r="N466" s="1">
        <f t="shared" si="7"/>
        <v>675.38</v>
      </c>
    </row>
    <row r="467" spans="1:14">
      <c r="A467" t="s">
        <v>1019</v>
      </c>
      <c r="B467" t="s">
        <v>1018</v>
      </c>
      <c r="C467" t="s">
        <v>917</v>
      </c>
      <c r="D467" t="s">
        <v>71</v>
      </c>
      <c r="E467" s="1">
        <v>94511.998699999996</v>
      </c>
      <c r="F467" s="1">
        <v>43653.291299999997</v>
      </c>
      <c r="H467" s="1">
        <v>3460.95</v>
      </c>
      <c r="I467" s="1">
        <v>141626.23999999999</v>
      </c>
      <c r="J467" s="1">
        <v>18688.68</v>
      </c>
      <c r="K467" s="1">
        <v>30783</v>
      </c>
      <c r="N467" s="1">
        <f t="shared" si="7"/>
        <v>2124.39</v>
      </c>
    </row>
    <row r="468" spans="1:14">
      <c r="A468" t="s">
        <v>1021</v>
      </c>
      <c r="B468" t="s">
        <v>1020</v>
      </c>
      <c r="C468" t="s">
        <v>917</v>
      </c>
      <c r="D468" t="s">
        <v>71</v>
      </c>
      <c r="E468" s="1">
        <v>94511.997399999978</v>
      </c>
      <c r="F468" s="1">
        <v>48608.062599999997</v>
      </c>
      <c r="G468" s="1">
        <v>10308.35</v>
      </c>
      <c r="H468" s="1">
        <v>5874.98</v>
      </c>
      <c r="I468" s="1">
        <v>159303.38999999998</v>
      </c>
      <c r="J468" s="1">
        <v>18688.68</v>
      </c>
      <c r="K468" s="1">
        <v>31542</v>
      </c>
      <c r="N468" s="1">
        <f t="shared" si="7"/>
        <v>2389.5500000000002</v>
      </c>
    </row>
    <row r="469" spans="1:14">
      <c r="A469" t="s">
        <v>1023</v>
      </c>
      <c r="B469" t="s">
        <v>1022</v>
      </c>
      <c r="C469" t="s">
        <v>917</v>
      </c>
      <c r="D469" t="s">
        <v>71</v>
      </c>
      <c r="E469" s="1">
        <v>90723.346000000005</v>
      </c>
      <c r="F469" s="1">
        <v>8942.3040000000001</v>
      </c>
      <c r="G469" s="1">
        <v>7268.42</v>
      </c>
      <c r="H469" s="1">
        <v>3280</v>
      </c>
      <c r="I469" s="1">
        <v>110214.07</v>
      </c>
      <c r="J469" s="1">
        <v>18688.68</v>
      </c>
      <c r="K469" s="1">
        <v>29536</v>
      </c>
      <c r="N469" s="1">
        <f t="shared" si="7"/>
        <v>1653.21</v>
      </c>
    </row>
    <row r="470" spans="1:14">
      <c r="A470" t="s">
        <v>1025</v>
      </c>
      <c r="B470" t="s">
        <v>1024</v>
      </c>
      <c r="C470" t="s">
        <v>917</v>
      </c>
      <c r="D470" t="s">
        <v>71</v>
      </c>
      <c r="E470" s="1">
        <v>61798.219100000002</v>
      </c>
      <c r="F470" s="1">
        <v>7241.7609000000002</v>
      </c>
      <c r="G470" s="1">
        <v>3462</v>
      </c>
      <c r="H470" s="1">
        <v>2640</v>
      </c>
      <c r="I470" s="1">
        <v>75141.98</v>
      </c>
      <c r="J470" s="1">
        <v>18688.68</v>
      </c>
      <c r="K470" s="1">
        <v>20246</v>
      </c>
      <c r="N470" s="1">
        <f t="shared" si="7"/>
        <v>1127.1300000000001</v>
      </c>
    </row>
    <row r="471" spans="1:14">
      <c r="A471" t="s">
        <v>997</v>
      </c>
      <c r="B471" t="s">
        <v>1026</v>
      </c>
      <c r="C471" t="s">
        <v>917</v>
      </c>
      <c r="D471" t="s">
        <v>71</v>
      </c>
      <c r="E471" s="1">
        <v>90503.365600000005</v>
      </c>
      <c r="F471" s="1">
        <v>8558.0643999999993</v>
      </c>
      <c r="H471" s="1">
        <v>5360</v>
      </c>
      <c r="I471" s="1">
        <v>104421.43000000001</v>
      </c>
      <c r="J471" s="1">
        <v>15160.68</v>
      </c>
      <c r="K471" s="1">
        <v>30120</v>
      </c>
      <c r="N471" s="1">
        <f t="shared" si="7"/>
        <v>1566.32</v>
      </c>
    </row>
    <row r="472" spans="1:14">
      <c r="A472" t="s">
        <v>1028</v>
      </c>
      <c r="B472" t="s">
        <v>1027</v>
      </c>
      <c r="C472" t="s">
        <v>917</v>
      </c>
      <c r="D472" t="s">
        <v>71</v>
      </c>
      <c r="E472" s="1">
        <v>94511.999400000001</v>
      </c>
      <c r="F472" s="1">
        <v>19849.970600000001</v>
      </c>
      <c r="G472" s="1">
        <v>11117.06</v>
      </c>
      <c r="H472" s="1">
        <v>9228.369999999999</v>
      </c>
      <c r="I472" s="1">
        <v>134707.4</v>
      </c>
      <c r="J472" s="1">
        <v>7684.92</v>
      </c>
      <c r="K472" s="1">
        <v>32595</v>
      </c>
      <c r="N472" s="1">
        <f t="shared" si="7"/>
        <v>2020.61</v>
      </c>
    </row>
    <row r="473" spans="1:14">
      <c r="A473" t="s">
        <v>1531</v>
      </c>
      <c r="C473" t="s">
        <v>931</v>
      </c>
      <c r="D473" t="s">
        <v>71</v>
      </c>
      <c r="E473" s="1">
        <v>104634.34599999999</v>
      </c>
      <c r="F473" s="1">
        <v>33064.034</v>
      </c>
      <c r="G473" s="1">
        <v>12142.36</v>
      </c>
      <c r="H473" s="1">
        <v>5776</v>
      </c>
      <c r="I473" s="1">
        <v>155616.74</v>
      </c>
      <c r="J473" s="1">
        <v>18688.68</v>
      </c>
      <c r="K473" s="1">
        <v>34691</v>
      </c>
      <c r="N473" s="1">
        <f t="shared" si="7"/>
        <v>2334.25</v>
      </c>
    </row>
    <row r="474" spans="1:14">
      <c r="A474" t="s">
        <v>1031</v>
      </c>
      <c r="B474" t="s">
        <v>1030</v>
      </c>
      <c r="C474" t="s">
        <v>917</v>
      </c>
      <c r="D474" t="s">
        <v>71</v>
      </c>
      <c r="E474" s="1">
        <v>91144.55319999998</v>
      </c>
      <c r="F474" s="1">
        <v>36799.676800000001</v>
      </c>
      <c r="H474" s="1">
        <v>6110</v>
      </c>
      <c r="I474" s="1">
        <v>134054.22999999998</v>
      </c>
      <c r="J474" s="1">
        <v>10130.64</v>
      </c>
      <c r="K474" s="1">
        <v>30557</v>
      </c>
      <c r="N474" s="1">
        <f t="shared" si="7"/>
        <v>2010.81</v>
      </c>
    </row>
    <row r="475" spans="1:14">
      <c r="A475" t="s">
        <v>1033</v>
      </c>
      <c r="B475" t="s">
        <v>1032</v>
      </c>
      <c r="C475" t="s">
        <v>931</v>
      </c>
      <c r="D475" t="s">
        <v>71</v>
      </c>
      <c r="E475" s="1">
        <v>84852.215200000006</v>
      </c>
      <c r="F475" s="1">
        <v>763.6848</v>
      </c>
      <c r="G475" s="1">
        <v>14219.17</v>
      </c>
      <c r="H475" s="1">
        <v>1200</v>
      </c>
      <c r="I475" s="1">
        <v>101035.07</v>
      </c>
      <c r="J475" s="1">
        <v>18688.68</v>
      </c>
      <c r="K475" s="1">
        <v>27038</v>
      </c>
      <c r="N475" s="1">
        <f t="shared" si="7"/>
        <v>1515.53</v>
      </c>
    </row>
    <row r="476" spans="1:14">
      <c r="A476" t="s">
        <v>1035</v>
      </c>
      <c r="B476" t="s">
        <v>1034</v>
      </c>
      <c r="C476" t="s">
        <v>917</v>
      </c>
      <c r="D476" t="s">
        <v>71</v>
      </c>
      <c r="E476" s="1">
        <v>94512.00499999999</v>
      </c>
      <c r="F476" s="1">
        <v>20374.035</v>
      </c>
      <c r="G476" s="1">
        <v>8473.33</v>
      </c>
      <c r="H476" s="1">
        <v>4896.7199999999993</v>
      </c>
      <c r="I476" s="1">
        <v>128256.09</v>
      </c>
      <c r="J476" s="1">
        <v>18688.68</v>
      </c>
      <c r="K476" s="1">
        <v>31234</v>
      </c>
      <c r="N476" s="1">
        <f t="shared" si="7"/>
        <v>1923.84</v>
      </c>
    </row>
    <row r="477" spans="1:14">
      <c r="A477" t="s">
        <v>1037</v>
      </c>
      <c r="B477" t="s">
        <v>1036</v>
      </c>
      <c r="C477" t="s">
        <v>931</v>
      </c>
      <c r="D477" t="s">
        <v>71</v>
      </c>
      <c r="E477" s="1">
        <v>132371.99589999998</v>
      </c>
      <c r="F477" s="1">
        <v>61796.384100000003</v>
      </c>
      <c r="G477" s="1">
        <v>17928.13</v>
      </c>
      <c r="H477" s="1">
        <v>17325.099999999999</v>
      </c>
      <c r="I477" s="1">
        <v>229421.61</v>
      </c>
      <c r="J477" s="1">
        <v>18688.68</v>
      </c>
      <c r="K477" s="1">
        <v>47035</v>
      </c>
      <c r="N477" s="1">
        <f t="shared" si="7"/>
        <v>3441.32</v>
      </c>
    </row>
    <row r="478" spans="1:14">
      <c r="A478" t="s">
        <v>1039</v>
      </c>
      <c r="B478" t="s">
        <v>1038</v>
      </c>
      <c r="C478" t="s">
        <v>917</v>
      </c>
      <c r="D478" t="s">
        <v>71</v>
      </c>
      <c r="E478" s="1">
        <v>94512.004499999995</v>
      </c>
      <c r="F478" s="1">
        <v>5660.4955</v>
      </c>
      <c r="G478" s="1">
        <v>9301.7099999999991</v>
      </c>
      <c r="H478" s="1">
        <v>7342.24</v>
      </c>
      <c r="I478" s="1">
        <v>116816.45000000001</v>
      </c>
      <c r="J478" s="1">
        <v>7684.92</v>
      </c>
      <c r="K478" s="1">
        <v>32003</v>
      </c>
      <c r="N478" s="1">
        <f t="shared" si="7"/>
        <v>1752.25</v>
      </c>
    </row>
    <row r="479" spans="1:14">
      <c r="A479" t="s">
        <v>1041</v>
      </c>
      <c r="B479" t="s">
        <v>1040</v>
      </c>
      <c r="C479" t="s">
        <v>917</v>
      </c>
      <c r="D479" t="s">
        <v>71</v>
      </c>
      <c r="E479" s="1">
        <v>94512.001499999998</v>
      </c>
      <c r="F479" s="1">
        <v>25068.3285</v>
      </c>
      <c r="H479" s="1">
        <v>14482.76</v>
      </c>
      <c r="I479" s="1">
        <v>134063.09</v>
      </c>
      <c r="J479" s="1">
        <v>18688.68</v>
      </c>
      <c r="K479" s="1">
        <v>34246</v>
      </c>
      <c r="N479" s="1">
        <f t="shared" si="7"/>
        <v>2010.95</v>
      </c>
    </row>
    <row r="480" spans="1:14">
      <c r="A480" t="s">
        <v>1043</v>
      </c>
      <c r="B480" t="s">
        <v>1042</v>
      </c>
      <c r="C480" t="s">
        <v>931</v>
      </c>
      <c r="D480" t="s">
        <v>71</v>
      </c>
      <c r="E480" s="1">
        <v>121717.06280000001</v>
      </c>
      <c r="F480" s="1">
        <v>7849.0572000000002</v>
      </c>
      <c r="G480" s="1">
        <v>13386.68</v>
      </c>
      <c r="H480" s="1">
        <v>8926.06</v>
      </c>
      <c r="I480" s="1">
        <v>151878.86000000002</v>
      </c>
      <c r="J480" s="1">
        <v>15160.68</v>
      </c>
      <c r="K480" s="1">
        <v>41048</v>
      </c>
      <c r="N480" s="1">
        <f t="shared" si="7"/>
        <v>2278.1799999999998</v>
      </c>
    </row>
    <row r="481" spans="1:14">
      <c r="A481" t="s">
        <v>1531</v>
      </c>
      <c r="C481" t="s">
        <v>917</v>
      </c>
      <c r="D481" t="s">
        <v>71</v>
      </c>
      <c r="E481" s="1">
        <v>94512.004300000001</v>
      </c>
      <c r="F481" s="1">
        <v>1447.0657000000001</v>
      </c>
      <c r="G481" s="1">
        <v>10308.35</v>
      </c>
      <c r="H481" s="1">
        <v>5786.8499999999931</v>
      </c>
      <c r="I481" s="1">
        <v>112054.27</v>
      </c>
      <c r="J481" s="1">
        <v>14342.16</v>
      </c>
      <c r="K481" s="1">
        <v>31514</v>
      </c>
      <c r="N481" s="1">
        <f t="shared" si="7"/>
        <v>1680.81</v>
      </c>
    </row>
    <row r="482" spans="1:14">
      <c r="A482" t="s">
        <v>1045</v>
      </c>
      <c r="B482" t="s">
        <v>1044</v>
      </c>
      <c r="C482" t="s">
        <v>931</v>
      </c>
      <c r="D482" t="s">
        <v>71</v>
      </c>
      <c r="E482" s="1">
        <v>103613.7522</v>
      </c>
      <c r="F482" s="1">
        <v>30013.237799999999</v>
      </c>
      <c r="H482" s="1">
        <v>6907.55</v>
      </c>
      <c r="I482" s="1">
        <v>140534.54</v>
      </c>
      <c r="J482" s="1">
        <v>18688.68</v>
      </c>
      <c r="K482" s="1">
        <v>34726</v>
      </c>
      <c r="N482" s="1">
        <f t="shared" si="7"/>
        <v>2108.02</v>
      </c>
    </row>
    <row r="483" spans="1:14">
      <c r="A483" t="s">
        <v>1047</v>
      </c>
      <c r="B483" t="s">
        <v>1046</v>
      </c>
      <c r="C483" t="s">
        <v>917</v>
      </c>
      <c r="D483" t="s">
        <v>71</v>
      </c>
      <c r="E483" s="1">
        <v>93796.714900000006</v>
      </c>
      <c r="F483" s="1">
        <v>1348.8851</v>
      </c>
      <c r="G483" s="1">
        <v>6746.42</v>
      </c>
      <c r="H483" s="1">
        <v>1360</v>
      </c>
      <c r="I483" s="1">
        <v>103252.02</v>
      </c>
      <c r="J483" s="1">
        <v>15160.68</v>
      </c>
      <c r="K483" s="1">
        <v>29898</v>
      </c>
      <c r="N483" s="1">
        <f t="shared" si="7"/>
        <v>1548.78</v>
      </c>
    </row>
    <row r="484" spans="1:14">
      <c r="A484" t="s">
        <v>921</v>
      </c>
      <c r="B484" t="s">
        <v>1048</v>
      </c>
      <c r="C484" t="s">
        <v>917</v>
      </c>
      <c r="D484" t="s">
        <v>71</v>
      </c>
      <c r="E484" s="1">
        <v>89835.851999999999</v>
      </c>
      <c r="F484" s="1">
        <v>9501.1980000000003</v>
      </c>
      <c r="H484" s="1">
        <v>2200</v>
      </c>
      <c r="I484" s="1">
        <v>101537.05</v>
      </c>
      <c r="J484" s="1">
        <v>0</v>
      </c>
      <c r="K484" s="1">
        <v>28918</v>
      </c>
      <c r="N484" s="1">
        <f t="shared" si="7"/>
        <v>1523.06</v>
      </c>
    </row>
    <row r="485" spans="1:14">
      <c r="A485" t="s">
        <v>1050</v>
      </c>
      <c r="B485" t="s">
        <v>1049</v>
      </c>
      <c r="C485" t="s">
        <v>944</v>
      </c>
      <c r="D485" t="s">
        <v>71</v>
      </c>
      <c r="E485" s="1">
        <v>144284.55179999999</v>
      </c>
      <c r="F485" s="1">
        <v>10762.888199999999</v>
      </c>
      <c r="G485" s="1">
        <v>18326.41</v>
      </c>
      <c r="H485" s="1">
        <v>5720</v>
      </c>
      <c r="I485" s="1">
        <v>179093.84999999998</v>
      </c>
      <c r="J485" s="1">
        <v>18688.68</v>
      </c>
      <c r="K485" s="1">
        <v>47131</v>
      </c>
      <c r="N485" s="1">
        <f t="shared" si="7"/>
        <v>2686.41</v>
      </c>
    </row>
    <row r="486" spans="1:14">
      <c r="A486" t="s">
        <v>1052</v>
      </c>
      <c r="B486" t="s">
        <v>1051</v>
      </c>
      <c r="C486" t="s">
        <v>917</v>
      </c>
      <c r="D486" t="s">
        <v>71</v>
      </c>
      <c r="E486" s="1">
        <v>67906.828599999993</v>
      </c>
      <c r="F486" s="1">
        <v>5474.7914000000001</v>
      </c>
      <c r="G486" s="1">
        <v>9817.44</v>
      </c>
      <c r="H486" s="1">
        <v>2510</v>
      </c>
      <c r="I486" s="1">
        <v>85709.06</v>
      </c>
      <c r="J486" s="1">
        <v>18688.68</v>
      </c>
      <c r="K486" s="1">
        <v>22125</v>
      </c>
      <c r="N486" s="1">
        <f t="shared" si="7"/>
        <v>1285.6400000000001</v>
      </c>
    </row>
    <row r="487" spans="1:14">
      <c r="A487" t="s">
        <v>1054</v>
      </c>
      <c r="B487" t="s">
        <v>1053</v>
      </c>
      <c r="C487" t="s">
        <v>917</v>
      </c>
      <c r="D487" t="s">
        <v>71</v>
      </c>
      <c r="E487" s="1">
        <v>94512.004599999986</v>
      </c>
      <c r="F487" s="1">
        <v>12014.4954</v>
      </c>
      <c r="G487" s="1">
        <v>10799.18</v>
      </c>
      <c r="H487" s="1">
        <v>3688.5699999999997</v>
      </c>
      <c r="I487" s="1">
        <v>121014.25</v>
      </c>
      <c r="J487" s="1">
        <v>14342.16</v>
      </c>
      <c r="K487" s="1">
        <v>30855</v>
      </c>
      <c r="N487" s="1">
        <f t="shared" si="7"/>
        <v>1815.21</v>
      </c>
    </row>
    <row r="488" spans="1:14">
      <c r="A488" t="s">
        <v>1056</v>
      </c>
      <c r="B488" t="s">
        <v>1055</v>
      </c>
      <c r="C488" t="s">
        <v>917</v>
      </c>
      <c r="D488" t="s">
        <v>71</v>
      </c>
      <c r="E488" s="1">
        <v>87256.054299999989</v>
      </c>
      <c r="F488" s="1">
        <v>9231.2857000000004</v>
      </c>
      <c r="G488" s="1">
        <v>5273.59</v>
      </c>
      <c r="H488" s="1">
        <v>3280</v>
      </c>
      <c r="I488" s="1">
        <v>105040.93</v>
      </c>
      <c r="J488" s="1">
        <v>22965.96</v>
      </c>
      <c r="K488" s="1">
        <v>28446</v>
      </c>
      <c r="N488" s="1">
        <f t="shared" si="7"/>
        <v>1575.61</v>
      </c>
    </row>
    <row r="489" spans="1:14">
      <c r="A489" t="s">
        <v>997</v>
      </c>
      <c r="B489" t="s">
        <v>1057</v>
      </c>
      <c r="C489" t="s">
        <v>917</v>
      </c>
      <c r="D489" t="s">
        <v>71</v>
      </c>
      <c r="E489" s="1">
        <v>84934.141799999998</v>
      </c>
      <c r="F489" s="1">
        <v>9577.8582000000006</v>
      </c>
      <c r="G489" s="1">
        <v>13190.33</v>
      </c>
      <c r="H489" s="1">
        <v>10073.36</v>
      </c>
      <c r="I489" s="1">
        <v>117775.69</v>
      </c>
      <c r="J489" s="1">
        <v>18688.68</v>
      </c>
      <c r="K489" s="1">
        <v>29851</v>
      </c>
      <c r="N489" s="1">
        <f>ROUND(+I489*0.005,2)</f>
        <v>588.88</v>
      </c>
    </row>
    <row r="490" spans="1:14">
      <c r="A490" t="s">
        <v>693</v>
      </c>
      <c r="B490" t="s">
        <v>1058</v>
      </c>
      <c r="C490" t="s">
        <v>917</v>
      </c>
      <c r="D490" t="s">
        <v>71</v>
      </c>
      <c r="E490" s="1">
        <v>84878.550300000003</v>
      </c>
      <c r="F490" s="1">
        <v>30127.879700000001</v>
      </c>
      <c r="G490" s="1">
        <v>3548.54</v>
      </c>
      <c r="H490" s="1">
        <v>4030</v>
      </c>
      <c r="I490" s="1">
        <v>122584.97</v>
      </c>
      <c r="J490" s="1">
        <v>18688.68</v>
      </c>
      <c r="K490" s="1">
        <v>27935</v>
      </c>
      <c r="N490" s="1">
        <f t="shared" si="7"/>
        <v>1838.77</v>
      </c>
    </row>
    <row r="491" spans="1:14">
      <c r="A491" t="s">
        <v>1056</v>
      </c>
      <c r="B491" t="s">
        <v>1059</v>
      </c>
      <c r="C491" t="s">
        <v>917</v>
      </c>
      <c r="D491" t="s">
        <v>71</v>
      </c>
      <c r="E491" s="1">
        <v>94511.995999999999</v>
      </c>
      <c r="F491" s="1">
        <v>36868.194000000003</v>
      </c>
      <c r="G491" s="1">
        <v>3998.58</v>
      </c>
      <c r="H491" s="1">
        <v>12739.7</v>
      </c>
      <c r="I491" s="1">
        <v>148118.47</v>
      </c>
      <c r="J491" s="1">
        <v>18688.68</v>
      </c>
      <c r="K491" s="1">
        <v>33698</v>
      </c>
      <c r="N491" s="1">
        <f t="shared" si="7"/>
        <v>2221.7800000000002</v>
      </c>
    </row>
    <row r="492" spans="1:14">
      <c r="A492" t="s">
        <v>1061</v>
      </c>
      <c r="B492" t="s">
        <v>1060</v>
      </c>
      <c r="C492" t="s">
        <v>917</v>
      </c>
      <c r="D492" t="s">
        <v>71</v>
      </c>
      <c r="E492" s="1">
        <v>92575.805399999997</v>
      </c>
      <c r="F492" s="1">
        <v>18134.114600000001</v>
      </c>
      <c r="G492" s="1">
        <v>3679.92</v>
      </c>
      <c r="H492" s="1">
        <v>1440</v>
      </c>
      <c r="I492" s="1">
        <v>115829.84</v>
      </c>
      <c r="J492" s="1">
        <v>18688.68</v>
      </c>
      <c r="K492" s="1">
        <v>29540</v>
      </c>
      <c r="N492" s="1">
        <f t="shared" si="7"/>
        <v>1737.45</v>
      </c>
    </row>
    <row r="493" spans="1:14">
      <c r="A493" t="s">
        <v>415</v>
      </c>
      <c r="B493" t="s">
        <v>1062</v>
      </c>
      <c r="C493" t="s">
        <v>917</v>
      </c>
      <c r="D493" t="s">
        <v>71</v>
      </c>
      <c r="E493" s="1">
        <v>92955.728399999993</v>
      </c>
      <c r="F493" s="1">
        <v>17714.241600000001</v>
      </c>
      <c r="G493" s="1">
        <v>12118.84</v>
      </c>
      <c r="H493" s="1">
        <v>1200</v>
      </c>
      <c r="I493" s="1">
        <v>123988.81</v>
      </c>
      <c r="J493" s="1">
        <v>18688.68</v>
      </c>
      <c r="K493" s="1">
        <v>29584</v>
      </c>
      <c r="N493" s="1">
        <f t="shared" si="7"/>
        <v>1859.83</v>
      </c>
    </row>
    <row r="494" spans="1:14">
      <c r="A494" t="s">
        <v>235</v>
      </c>
      <c r="B494" t="s">
        <v>828</v>
      </c>
      <c r="C494" t="s">
        <v>931</v>
      </c>
      <c r="D494" t="s">
        <v>71</v>
      </c>
      <c r="E494" s="1">
        <v>119900.92050000001</v>
      </c>
      <c r="F494" s="1">
        <v>40243.779499999997</v>
      </c>
      <c r="G494" s="1">
        <v>10269.65</v>
      </c>
      <c r="H494" s="1">
        <v>3952.06</v>
      </c>
      <c r="I494" s="1">
        <v>174366.41</v>
      </c>
      <c r="J494" s="1">
        <v>18688.68</v>
      </c>
      <c r="K494" s="1">
        <v>38915</v>
      </c>
      <c r="N494" s="1">
        <f>ROUND(+I494*0.005,2)</f>
        <v>871.83</v>
      </c>
    </row>
    <row r="495" spans="1:14">
      <c r="A495" t="s">
        <v>1064</v>
      </c>
      <c r="B495" t="s">
        <v>1063</v>
      </c>
      <c r="C495" t="s">
        <v>917</v>
      </c>
      <c r="D495" t="s">
        <v>71</v>
      </c>
      <c r="E495" s="1">
        <v>93995.983800000016</v>
      </c>
      <c r="F495" s="1">
        <v>71581.996199999994</v>
      </c>
      <c r="G495" s="1">
        <v>6270.53</v>
      </c>
      <c r="H495" s="1">
        <v>1950</v>
      </c>
      <c r="I495" s="1">
        <v>173798.51</v>
      </c>
      <c r="J495" s="1">
        <v>18688.68</v>
      </c>
      <c r="K495" s="1">
        <v>30146</v>
      </c>
      <c r="N495" s="1">
        <f>ROUND(+I495*0.005,2)</f>
        <v>868.99</v>
      </c>
    </row>
    <row r="496" spans="1:14">
      <c r="A496" t="s">
        <v>1531</v>
      </c>
      <c r="C496" t="s">
        <v>917</v>
      </c>
      <c r="D496" t="s">
        <v>71</v>
      </c>
      <c r="E496" s="1">
        <v>94511.999599999996</v>
      </c>
      <c r="F496" s="1">
        <v>19125.110400000001</v>
      </c>
      <c r="G496" s="1">
        <v>12014.33</v>
      </c>
      <c r="H496" s="1">
        <v>10315.530000000001</v>
      </c>
      <c r="I496" s="1">
        <v>135966.97</v>
      </c>
      <c r="J496" s="1">
        <v>18688.68</v>
      </c>
      <c r="K496" s="1">
        <v>32937</v>
      </c>
      <c r="N496" s="1">
        <f t="shared" si="7"/>
        <v>2039.5</v>
      </c>
    </row>
    <row r="497" spans="1:14">
      <c r="A497" t="s">
        <v>1531</v>
      </c>
      <c r="C497" t="s">
        <v>917</v>
      </c>
      <c r="D497" t="s">
        <v>71</v>
      </c>
      <c r="E497" s="1">
        <v>92416.628899999996</v>
      </c>
      <c r="F497" s="1">
        <v>12620.6111</v>
      </c>
      <c r="G497" s="1">
        <v>3907.69</v>
      </c>
      <c r="H497" s="1">
        <v>4030</v>
      </c>
      <c r="I497" s="1">
        <v>112974.93</v>
      </c>
      <c r="J497" s="1">
        <v>18688.68</v>
      </c>
      <c r="K497" s="1">
        <v>30304</v>
      </c>
      <c r="N497" s="1">
        <f t="shared" si="7"/>
        <v>1694.62</v>
      </c>
    </row>
    <row r="498" spans="1:14">
      <c r="A498" t="s">
        <v>1066</v>
      </c>
      <c r="B498" t="s">
        <v>1065</v>
      </c>
      <c r="C498" t="s">
        <v>931</v>
      </c>
      <c r="D498" t="s">
        <v>71</v>
      </c>
      <c r="E498" s="1">
        <v>112066.23999999999</v>
      </c>
      <c r="F498" s="1">
        <v>0</v>
      </c>
      <c r="G498" s="1">
        <v>14309.38</v>
      </c>
      <c r="H498" s="1">
        <v>1200</v>
      </c>
      <c r="I498" s="1">
        <v>127575.62</v>
      </c>
      <c r="J498" s="1">
        <v>14342.16</v>
      </c>
      <c r="K498" s="1">
        <v>35588</v>
      </c>
      <c r="N498" s="1">
        <f t="shared" si="7"/>
        <v>1913.63</v>
      </c>
    </row>
    <row r="499" spans="1:14">
      <c r="A499" t="s">
        <v>424</v>
      </c>
      <c r="B499" t="s">
        <v>1067</v>
      </c>
      <c r="C499" t="s">
        <v>917</v>
      </c>
      <c r="D499" t="s">
        <v>71</v>
      </c>
      <c r="E499" s="1">
        <v>94512.002399999998</v>
      </c>
      <c r="F499" s="1">
        <v>13476.4776</v>
      </c>
      <c r="G499" s="1">
        <v>11092.07</v>
      </c>
      <c r="H499" s="1">
        <v>3169.2200000000003</v>
      </c>
      <c r="I499" s="1">
        <v>122249.77</v>
      </c>
      <c r="J499" s="1">
        <v>18688.68</v>
      </c>
      <c r="K499" s="1">
        <v>30691</v>
      </c>
      <c r="N499" s="1">
        <f t="shared" si="7"/>
        <v>1833.75</v>
      </c>
    </row>
    <row r="500" spans="1:14">
      <c r="A500" t="s">
        <v>1068</v>
      </c>
      <c r="B500" t="s">
        <v>164</v>
      </c>
      <c r="C500" t="s">
        <v>917</v>
      </c>
      <c r="D500" t="s">
        <v>71</v>
      </c>
      <c r="E500" s="1">
        <v>94512.002700000012</v>
      </c>
      <c r="F500" s="1">
        <v>1099.0373</v>
      </c>
      <c r="G500" s="1">
        <v>11636.62</v>
      </c>
      <c r="H500" s="1">
        <v>6061.28</v>
      </c>
      <c r="I500" s="1">
        <v>113308.94</v>
      </c>
      <c r="J500" s="1">
        <v>14342.16</v>
      </c>
      <c r="K500" s="1">
        <v>31600</v>
      </c>
      <c r="N500" s="1">
        <f t="shared" si="7"/>
        <v>1699.63</v>
      </c>
    </row>
    <row r="501" spans="1:14">
      <c r="A501" t="s">
        <v>1070</v>
      </c>
      <c r="B501" t="s">
        <v>1069</v>
      </c>
      <c r="C501" t="s">
        <v>917</v>
      </c>
      <c r="D501" t="s">
        <v>71</v>
      </c>
      <c r="E501" s="1">
        <v>92723.572499999995</v>
      </c>
      <c r="F501" s="1">
        <v>11876.497499999999</v>
      </c>
      <c r="H501" s="1">
        <v>3790</v>
      </c>
      <c r="I501" s="1">
        <v>108390.06999999999</v>
      </c>
      <c r="J501" s="1">
        <v>14342.16</v>
      </c>
      <c r="K501" s="1">
        <v>30325</v>
      </c>
      <c r="N501" s="1">
        <f t="shared" si="7"/>
        <v>1625.85</v>
      </c>
    </row>
    <row r="502" spans="1:14">
      <c r="A502" t="s">
        <v>1072</v>
      </c>
      <c r="B502" t="s">
        <v>1071</v>
      </c>
      <c r="C502" t="s">
        <v>917</v>
      </c>
      <c r="D502" t="s">
        <v>71</v>
      </c>
      <c r="E502" s="1">
        <v>94512.003599999996</v>
      </c>
      <c r="F502" s="1">
        <v>1896.4964</v>
      </c>
      <c r="G502" s="1">
        <v>9120.84</v>
      </c>
      <c r="H502" s="1">
        <v>6430.58</v>
      </c>
      <c r="I502" s="1">
        <v>111959.92</v>
      </c>
      <c r="J502" s="1">
        <v>7684.92</v>
      </c>
      <c r="K502" s="1">
        <v>31716</v>
      </c>
      <c r="N502" s="1">
        <f t="shared" ref="N502:N548" si="8">ROUND(+I502*0.015,2)</f>
        <v>1679.4</v>
      </c>
    </row>
    <row r="503" spans="1:14">
      <c r="A503" t="s">
        <v>691</v>
      </c>
      <c r="B503" t="s">
        <v>1073</v>
      </c>
      <c r="C503" t="s">
        <v>917</v>
      </c>
      <c r="D503" t="s">
        <v>71</v>
      </c>
      <c r="E503" s="1">
        <v>92214.421100000007</v>
      </c>
      <c r="F503" s="1">
        <v>10371.678900000001</v>
      </c>
      <c r="G503" s="1">
        <v>2443.2600000000002</v>
      </c>
      <c r="H503" s="1">
        <v>3280</v>
      </c>
      <c r="I503" s="1">
        <v>108309.36</v>
      </c>
      <c r="J503" s="1">
        <v>18688.68</v>
      </c>
      <c r="K503" s="1">
        <v>30004</v>
      </c>
      <c r="N503" s="1">
        <f t="shared" si="8"/>
        <v>1624.64</v>
      </c>
    </row>
    <row r="504" spans="1:14">
      <c r="A504" t="s">
        <v>182</v>
      </c>
      <c r="B504" t="s">
        <v>1074</v>
      </c>
      <c r="C504" t="s">
        <v>917</v>
      </c>
      <c r="D504" t="s">
        <v>71</v>
      </c>
      <c r="E504" s="1">
        <v>94512.000700000004</v>
      </c>
      <c r="F504" s="1">
        <v>18837.079300000001</v>
      </c>
      <c r="H504" s="1">
        <v>6373.01</v>
      </c>
      <c r="I504" s="1">
        <v>119722.09</v>
      </c>
      <c r="J504" s="1">
        <v>14342.16</v>
      </c>
      <c r="K504" s="1">
        <v>31698</v>
      </c>
      <c r="N504" s="1">
        <f t="shared" si="8"/>
        <v>1795.83</v>
      </c>
    </row>
    <row r="505" spans="1:14">
      <c r="A505" t="s">
        <v>1075</v>
      </c>
      <c r="B505" t="s">
        <v>603</v>
      </c>
      <c r="C505" t="s">
        <v>917</v>
      </c>
      <c r="D505" t="s">
        <v>71</v>
      </c>
      <c r="E505" s="1">
        <v>94511.995200000005</v>
      </c>
      <c r="F505" s="1">
        <v>21648.684799999999</v>
      </c>
      <c r="H505" s="1">
        <v>12967.72</v>
      </c>
      <c r="I505" s="1">
        <v>129128.40000000001</v>
      </c>
      <c r="J505" s="1">
        <v>14342.16</v>
      </c>
      <c r="K505" s="1">
        <v>33770</v>
      </c>
      <c r="N505" s="1">
        <f t="shared" si="8"/>
        <v>1936.93</v>
      </c>
    </row>
    <row r="506" spans="1:14">
      <c r="A506" t="s">
        <v>1077</v>
      </c>
      <c r="B506" t="s">
        <v>1076</v>
      </c>
      <c r="C506" t="s">
        <v>917</v>
      </c>
      <c r="D506" t="s">
        <v>71</v>
      </c>
      <c r="E506" s="1">
        <v>90487.7019</v>
      </c>
      <c r="F506" s="1">
        <v>17444.188099999999</v>
      </c>
      <c r="G506" s="1">
        <v>10587.94</v>
      </c>
      <c r="H506" s="1">
        <v>1950</v>
      </c>
      <c r="I506" s="1">
        <v>120469.83</v>
      </c>
      <c r="J506" s="1">
        <v>14342.16</v>
      </c>
      <c r="K506" s="1">
        <v>29044</v>
      </c>
      <c r="N506" s="1">
        <f t="shared" si="8"/>
        <v>1807.05</v>
      </c>
    </row>
    <row r="507" spans="1:14">
      <c r="A507" t="s">
        <v>1078</v>
      </c>
      <c r="B507" t="s">
        <v>753</v>
      </c>
      <c r="C507" t="s">
        <v>917</v>
      </c>
      <c r="D507" t="s">
        <v>71</v>
      </c>
      <c r="E507" s="1">
        <v>94511.9951</v>
      </c>
      <c r="F507" s="1">
        <v>14009.0249</v>
      </c>
      <c r="G507" s="1">
        <v>11700.36</v>
      </c>
      <c r="H507" s="1">
        <v>5552.24</v>
      </c>
      <c r="I507" s="1">
        <v>125773.62000000001</v>
      </c>
      <c r="J507" s="1">
        <v>18688.68</v>
      </c>
      <c r="K507" s="1">
        <v>31440</v>
      </c>
      <c r="N507" s="1">
        <f t="shared" si="8"/>
        <v>1886.6</v>
      </c>
    </row>
    <row r="508" spans="1:14">
      <c r="A508" t="s">
        <v>1080</v>
      </c>
      <c r="B508" t="s">
        <v>1079</v>
      </c>
      <c r="C508" t="s">
        <v>917</v>
      </c>
      <c r="D508" t="s">
        <v>71</v>
      </c>
      <c r="E508" s="1">
        <v>93996.123500000002</v>
      </c>
      <c r="F508" s="1">
        <v>12745.486500000001</v>
      </c>
      <c r="G508" s="1">
        <v>9479.56</v>
      </c>
      <c r="H508" s="1">
        <v>1950</v>
      </c>
      <c r="I508" s="1">
        <v>118171.17</v>
      </c>
      <c r="J508" s="1">
        <v>18688.68</v>
      </c>
      <c r="K508" s="1">
        <v>30146</v>
      </c>
      <c r="N508" s="1">
        <f t="shared" si="8"/>
        <v>1772.57</v>
      </c>
    </row>
    <row r="509" spans="1:14">
      <c r="A509" t="s">
        <v>1082</v>
      </c>
      <c r="B509" t="s">
        <v>1081</v>
      </c>
      <c r="C509" t="s">
        <v>931</v>
      </c>
      <c r="D509" t="s">
        <v>71</v>
      </c>
      <c r="E509" s="1">
        <v>130334.71780000001</v>
      </c>
      <c r="F509" s="1">
        <v>21324.762200000001</v>
      </c>
      <c r="G509" s="1">
        <v>17113.27</v>
      </c>
      <c r="H509" s="1">
        <v>4350.0600000000004</v>
      </c>
      <c r="I509" s="1">
        <v>173122.81</v>
      </c>
      <c r="J509" s="1">
        <v>18688.68</v>
      </c>
      <c r="K509" s="1">
        <v>42318</v>
      </c>
      <c r="N509" s="1">
        <f t="shared" si="8"/>
        <v>2596.84</v>
      </c>
    </row>
    <row r="510" spans="1:14">
      <c r="A510" t="s">
        <v>1084</v>
      </c>
      <c r="B510" t="s">
        <v>1083</v>
      </c>
      <c r="C510" t="s">
        <v>917</v>
      </c>
      <c r="D510" t="s">
        <v>71</v>
      </c>
      <c r="E510" s="1">
        <v>94512.004899999985</v>
      </c>
      <c r="F510" s="1">
        <v>18256.035100000001</v>
      </c>
      <c r="H510" s="1">
        <v>7637.48</v>
      </c>
      <c r="I510" s="1">
        <v>120405.51999999999</v>
      </c>
      <c r="J510" s="1">
        <v>7684.92</v>
      </c>
      <c r="K510" s="1">
        <v>32095</v>
      </c>
      <c r="N510" s="1">
        <f t="shared" si="8"/>
        <v>1806.08</v>
      </c>
    </row>
    <row r="511" spans="1:14">
      <c r="A511" t="s">
        <v>1086</v>
      </c>
      <c r="B511" t="s">
        <v>1085</v>
      </c>
      <c r="C511" t="s">
        <v>917</v>
      </c>
      <c r="D511" t="s">
        <v>71</v>
      </c>
      <c r="E511" s="1">
        <v>94512.000499999995</v>
      </c>
      <c r="F511" s="1">
        <v>6298.5195000000003</v>
      </c>
      <c r="G511" s="1">
        <v>11591.9</v>
      </c>
      <c r="H511" s="1">
        <v>9936.9599999999991</v>
      </c>
      <c r="I511" s="1">
        <v>122339.37999999999</v>
      </c>
      <c r="J511" s="1">
        <v>9076.68</v>
      </c>
      <c r="K511" s="1">
        <v>32818</v>
      </c>
      <c r="N511" s="1">
        <f t="shared" si="8"/>
        <v>1835.09</v>
      </c>
    </row>
    <row r="512" spans="1:14">
      <c r="A512" t="s">
        <v>1088</v>
      </c>
      <c r="B512" t="s">
        <v>1087</v>
      </c>
      <c r="C512" t="s">
        <v>917</v>
      </c>
      <c r="D512" t="s">
        <v>71</v>
      </c>
      <c r="E512" s="1">
        <v>94511.99990000001</v>
      </c>
      <c r="F512" s="1">
        <v>21461.150099999999</v>
      </c>
      <c r="G512" s="1">
        <v>11591.9</v>
      </c>
      <c r="H512" s="1">
        <v>5412.77</v>
      </c>
      <c r="I512" s="1">
        <v>132977.82</v>
      </c>
      <c r="J512" s="1">
        <v>18688.68</v>
      </c>
      <c r="K512" s="1">
        <v>31396</v>
      </c>
      <c r="N512" s="1">
        <f t="shared" si="8"/>
        <v>1994.67</v>
      </c>
    </row>
    <row r="513" spans="1:14">
      <c r="A513" t="s">
        <v>1090</v>
      </c>
      <c r="B513" t="s">
        <v>1089</v>
      </c>
      <c r="C513" t="s">
        <v>917</v>
      </c>
      <c r="D513" t="s">
        <v>71</v>
      </c>
      <c r="E513" s="1">
        <v>94495.742199999993</v>
      </c>
      <c r="F513" s="1">
        <v>19501.7078</v>
      </c>
      <c r="G513" s="1">
        <v>2574.19</v>
      </c>
      <c r="H513" s="1">
        <v>3230</v>
      </c>
      <c r="I513" s="1">
        <v>119801.64</v>
      </c>
      <c r="J513" s="1">
        <v>7684.92</v>
      </c>
      <c r="K513" s="1">
        <v>30705</v>
      </c>
      <c r="N513" s="1">
        <f t="shared" si="8"/>
        <v>1797.02</v>
      </c>
    </row>
    <row r="514" spans="1:14">
      <c r="A514" t="s">
        <v>1092</v>
      </c>
      <c r="B514" t="s">
        <v>1091</v>
      </c>
      <c r="C514" t="s">
        <v>931</v>
      </c>
      <c r="D514" t="s">
        <v>71</v>
      </c>
      <c r="E514" s="1">
        <v>132372.0006</v>
      </c>
      <c r="F514" s="1">
        <v>44060.769399999997</v>
      </c>
      <c r="G514" s="1">
        <v>17928.13</v>
      </c>
      <c r="H514" s="1">
        <v>11483.02</v>
      </c>
      <c r="I514" s="1">
        <v>205843.91999999998</v>
      </c>
      <c r="J514" s="1">
        <v>18688.68</v>
      </c>
      <c r="K514" s="1">
        <v>45199</v>
      </c>
      <c r="N514" s="1">
        <f t="shared" si="8"/>
        <v>3087.66</v>
      </c>
    </row>
    <row r="515" spans="1:14">
      <c r="A515" t="s">
        <v>1094</v>
      </c>
      <c r="B515" t="s">
        <v>1093</v>
      </c>
      <c r="C515" t="s">
        <v>931</v>
      </c>
      <c r="D515" t="s">
        <v>71</v>
      </c>
      <c r="E515" s="1">
        <v>101243.25659999999</v>
      </c>
      <c r="F515" s="1">
        <v>18989.733400000001</v>
      </c>
      <c r="G515" s="1">
        <v>11100.25</v>
      </c>
      <c r="H515" s="1">
        <v>5646</v>
      </c>
      <c r="I515" s="1">
        <v>136979.24</v>
      </c>
      <c r="J515" s="1">
        <v>18688.68</v>
      </c>
      <c r="K515" s="1">
        <v>33585</v>
      </c>
      <c r="N515" s="1">
        <f t="shared" si="8"/>
        <v>2054.69</v>
      </c>
    </row>
    <row r="516" spans="1:14">
      <c r="A516" t="s">
        <v>1096</v>
      </c>
      <c r="B516" t="s">
        <v>1095</v>
      </c>
      <c r="C516" t="s">
        <v>917</v>
      </c>
      <c r="D516" t="s">
        <v>71</v>
      </c>
      <c r="E516" s="1">
        <v>94511.996400000004</v>
      </c>
      <c r="F516" s="1">
        <v>23710.353599999999</v>
      </c>
      <c r="G516" s="1">
        <v>6992.94</v>
      </c>
      <c r="H516" s="1">
        <v>9389.2099999999991</v>
      </c>
      <c r="I516" s="1">
        <v>134604.5</v>
      </c>
      <c r="J516" s="1">
        <v>18688.68</v>
      </c>
      <c r="K516" s="1">
        <v>32646</v>
      </c>
      <c r="N516" s="1">
        <f t="shared" si="8"/>
        <v>2019.07</v>
      </c>
    </row>
    <row r="517" spans="1:14">
      <c r="A517" t="s">
        <v>1531</v>
      </c>
      <c r="C517" t="s">
        <v>917</v>
      </c>
      <c r="D517" t="s">
        <v>71</v>
      </c>
      <c r="E517" s="1">
        <v>94511.999400000001</v>
      </c>
      <c r="F517" s="1">
        <v>23303.810600000001</v>
      </c>
      <c r="G517" s="1">
        <v>7773.05</v>
      </c>
      <c r="H517" s="1">
        <v>6423.01</v>
      </c>
      <c r="I517" s="1">
        <v>132011.87</v>
      </c>
      <c r="J517" s="1">
        <v>7684.92</v>
      </c>
      <c r="K517" s="1">
        <v>31714</v>
      </c>
      <c r="N517" s="1">
        <f t="shared" si="8"/>
        <v>1980.18</v>
      </c>
    </row>
    <row r="518" spans="1:14">
      <c r="A518" t="s">
        <v>1099</v>
      </c>
      <c r="B518" t="s">
        <v>1098</v>
      </c>
      <c r="C518" t="s">
        <v>917</v>
      </c>
      <c r="D518" t="s">
        <v>71</v>
      </c>
      <c r="E518" s="1">
        <v>72491.799299999999</v>
      </c>
      <c r="F518" s="1">
        <v>6860.0707000000002</v>
      </c>
      <c r="G518" s="1">
        <v>10951.62</v>
      </c>
      <c r="H518" s="1">
        <v>1200</v>
      </c>
      <c r="I518" s="1">
        <v>91503.489999999991</v>
      </c>
      <c r="J518" s="1">
        <v>18688.68</v>
      </c>
      <c r="K518" s="1">
        <v>23154</v>
      </c>
      <c r="N518" s="1">
        <f t="shared" si="8"/>
        <v>1372.55</v>
      </c>
    </row>
    <row r="519" spans="1:14">
      <c r="A519" t="s">
        <v>1101</v>
      </c>
      <c r="B519" t="s">
        <v>1100</v>
      </c>
      <c r="C519" t="s">
        <v>931</v>
      </c>
      <c r="D519" t="s">
        <v>71</v>
      </c>
      <c r="E519" s="1">
        <v>76011.049100000004</v>
      </c>
      <c r="F519" s="1">
        <v>4916.2209000000003</v>
      </c>
      <c r="G519" s="1">
        <v>15148.96</v>
      </c>
      <c r="H519" s="1">
        <v>5368</v>
      </c>
      <c r="I519" s="1">
        <v>101444.23</v>
      </c>
      <c r="J519" s="1">
        <v>14342.16</v>
      </c>
      <c r="K519" s="1">
        <v>25569</v>
      </c>
      <c r="N519" s="1">
        <f t="shared" si="8"/>
        <v>1521.66</v>
      </c>
    </row>
    <row r="520" spans="1:14">
      <c r="A520" t="s">
        <v>1531</v>
      </c>
      <c r="C520" t="s">
        <v>917</v>
      </c>
      <c r="D520" t="s">
        <v>71</v>
      </c>
      <c r="E520" s="1">
        <v>50459.46</v>
      </c>
      <c r="F520" s="1">
        <v>0</v>
      </c>
      <c r="G520" s="1">
        <v>4477.1400000000003</v>
      </c>
      <c r="H520" s="1">
        <v>1920</v>
      </c>
      <c r="I520" s="1">
        <v>56856.6</v>
      </c>
      <c r="J520" s="1">
        <v>18688.68</v>
      </c>
      <c r="K520" s="1">
        <v>16458</v>
      </c>
      <c r="N520" s="1">
        <f t="shared" si="8"/>
        <v>852.85</v>
      </c>
    </row>
    <row r="521" spans="1:14">
      <c r="A521" t="s">
        <v>1103</v>
      </c>
      <c r="B521" t="s">
        <v>1102</v>
      </c>
      <c r="C521" t="s">
        <v>944</v>
      </c>
      <c r="D521" t="s">
        <v>71</v>
      </c>
      <c r="E521" s="1">
        <v>152938.13099999999</v>
      </c>
      <c r="F521" s="1">
        <v>2535.759</v>
      </c>
      <c r="G521" s="1">
        <v>18326.41</v>
      </c>
      <c r="H521" s="1">
        <v>5776</v>
      </c>
      <c r="I521" s="1">
        <v>179576.3</v>
      </c>
      <c r="J521" s="1">
        <v>18688.68</v>
      </c>
      <c r="K521" s="1">
        <v>49868</v>
      </c>
      <c r="N521" s="1">
        <f t="shared" si="8"/>
        <v>2693.64</v>
      </c>
    </row>
    <row r="522" spans="1:14">
      <c r="A522" t="s">
        <v>1105</v>
      </c>
      <c r="B522" t="s">
        <v>1104</v>
      </c>
      <c r="C522" t="s">
        <v>917</v>
      </c>
      <c r="D522" t="s">
        <v>71</v>
      </c>
      <c r="E522" s="1">
        <v>94511.995600000009</v>
      </c>
      <c r="F522" s="1">
        <v>42895.114399999999</v>
      </c>
      <c r="G522" s="1">
        <v>11231.52</v>
      </c>
      <c r="H522" s="1">
        <v>9096.85</v>
      </c>
      <c r="I522" s="1">
        <v>157735.48000000001</v>
      </c>
      <c r="J522" s="1">
        <v>18688.68</v>
      </c>
      <c r="K522" s="1">
        <v>32554</v>
      </c>
      <c r="N522" s="1">
        <f t="shared" si="8"/>
        <v>2366.0300000000002</v>
      </c>
    </row>
    <row r="523" spans="1:14">
      <c r="A523" t="s">
        <v>1107</v>
      </c>
      <c r="B523" t="s">
        <v>1106</v>
      </c>
      <c r="C523" t="s">
        <v>936</v>
      </c>
      <c r="D523" t="s">
        <v>71</v>
      </c>
      <c r="E523" s="1">
        <v>164203</v>
      </c>
      <c r="F523" s="1">
        <v>0</v>
      </c>
      <c r="G523" s="1">
        <v>24797.51</v>
      </c>
      <c r="H523" s="1">
        <v>2200</v>
      </c>
      <c r="I523" s="1">
        <v>191200.51</v>
      </c>
      <c r="J523" s="1">
        <v>18688.68</v>
      </c>
      <c r="K523" s="1">
        <v>52284</v>
      </c>
      <c r="N523" s="1">
        <f t="shared" si="8"/>
        <v>2868.01</v>
      </c>
    </row>
    <row r="524" spans="1:14">
      <c r="A524" t="s">
        <v>424</v>
      </c>
      <c r="B524" t="s">
        <v>129</v>
      </c>
      <c r="C524" t="s">
        <v>917</v>
      </c>
      <c r="D524" t="s">
        <v>71</v>
      </c>
      <c r="E524" s="1">
        <v>93858.8848</v>
      </c>
      <c r="F524" s="1">
        <v>44431.515200000002</v>
      </c>
      <c r="G524" s="1">
        <v>5426.87</v>
      </c>
      <c r="H524" s="1">
        <v>4280</v>
      </c>
      <c r="I524" s="1">
        <v>147997.26999999999</v>
      </c>
      <c r="J524" s="1">
        <v>7684.92</v>
      </c>
      <c r="K524" s="1">
        <v>30835</v>
      </c>
      <c r="N524" s="1">
        <f t="shared" si="8"/>
        <v>2219.96</v>
      </c>
    </row>
    <row r="525" spans="1:14">
      <c r="A525" t="s">
        <v>1109</v>
      </c>
      <c r="B525" t="s">
        <v>1108</v>
      </c>
      <c r="C525" t="s">
        <v>944</v>
      </c>
      <c r="D525" t="s">
        <v>71</v>
      </c>
      <c r="E525" s="1">
        <v>69385.740000000005</v>
      </c>
      <c r="F525" s="1">
        <v>0</v>
      </c>
      <c r="H525" s="1">
        <v>184.62</v>
      </c>
      <c r="I525" s="1">
        <v>69570.36</v>
      </c>
      <c r="J525" s="1">
        <v>0</v>
      </c>
      <c r="K525" s="1">
        <v>21859</v>
      </c>
      <c r="N525" s="1">
        <f t="shared" si="8"/>
        <v>1043.56</v>
      </c>
    </row>
    <row r="526" spans="1:14">
      <c r="A526" t="s">
        <v>477</v>
      </c>
      <c r="B526" t="s">
        <v>1110</v>
      </c>
      <c r="C526" t="s">
        <v>917</v>
      </c>
      <c r="D526" t="s">
        <v>71</v>
      </c>
      <c r="E526" s="1">
        <v>94511.997300000003</v>
      </c>
      <c r="F526" s="1">
        <v>9903.9927000000007</v>
      </c>
      <c r="H526" s="1">
        <v>7445.3099999999995</v>
      </c>
      <c r="I526" s="1">
        <v>111861.3</v>
      </c>
      <c r="J526" s="1">
        <v>18688.68</v>
      </c>
      <c r="K526" s="1">
        <v>32035</v>
      </c>
      <c r="N526" s="1">
        <f t="shared" si="8"/>
        <v>1677.92</v>
      </c>
    </row>
    <row r="527" spans="1:14">
      <c r="A527" t="s">
        <v>1531</v>
      </c>
      <c r="C527" t="s">
        <v>917</v>
      </c>
      <c r="D527" t="s">
        <v>71</v>
      </c>
      <c r="E527" s="1">
        <v>88725.369699999996</v>
      </c>
      <c r="F527" s="1">
        <v>15869.4403</v>
      </c>
      <c r="H527" s="1">
        <v>3280</v>
      </c>
      <c r="I527" s="1">
        <v>107874.81</v>
      </c>
      <c r="J527" s="1">
        <v>14342.16</v>
      </c>
      <c r="K527" s="1">
        <v>28908</v>
      </c>
      <c r="N527" s="1">
        <f t="shared" si="8"/>
        <v>1618.12</v>
      </c>
    </row>
    <row r="528" spans="1:14">
      <c r="A528" t="s">
        <v>1112</v>
      </c>
      <c r="B528" t="s">
        <v>1111</v>
      </c>
      <c r="C528" t="s">
        <v>917</v>
      </c>
      <c r="D528" t="s">
        <v>71</v>
      </c>
      <c r="E528" s="1">
        <v>87548.703999999998</v>
      </c>
      <c r="F528" s="1">
        <v>22191.725999999999</v>
      </c>
      <c r="G528" s="1">
        <v>438.12</v>
      </c>
      <c r="H528" s="1">
        <v>4030</v>
      </c>
      <c r="I528" s="1">
        <v>114208.54999999999</v>
      </c>
      <c r="J528" s="1">
        <v>18688.68</v>
      </c>
      <c r="K528" s="1">
        <v>28774</v>
      </c>
      <c r="N528" s="1">
        <f t="shared" si="8"/>
        <v>1713.13</v>
      </c>
    </row>
    <row r="529" spans="1:14">
      <c r="A529" t="s">
        <v>1114</v>
      </c>
      <c r="B529" t="s">
        <v>1113</v>
      </c>
      <c r="C529" t="s">
        <v>917</v>
      </c>
      <c r="D529" t="s">
        <v>71</v>
      </c>
      <c r="E529" s="1">
        <v>72060.800500000012</v>
      </c>
      <c r="F529" s="1">
        <v>39304.989500000003</v>
      </c>
      <c r="H529" s="1">
        <v>3280</v>
      </c>
      <c r="I529" s="1">
        <v>114645.79000000001</v>
      </c>
      <c r="J529" s="1">
        <v>7684.92</v>
      </c>
      <c r="K529" s="1">
        <v>23672</v>
      </c>
      <c r="N529" s="1">
        <f t="shared" si="8"/>
        <v>1719.69</v>
      </c>
    </row>
    <row r="530" spans="1:14">
      <c r="A530" t="s">
        <v>1101</v>
      </c>
      <c r="B530" t="s">
        <v>1115</v>
      </c>
      <c r="C530" t="s">
        <v>917</v>
      </c>
      <c r="D530" t="s">
        <v>71</v>
      </c>
      <c r="E530" s="1">
        <v>85651.590200000006</v>
      </c>
      <c r="F530" s="1">
        <v>7735.9898000000003</v>
      </c>
      <c r="H530" s="1">
        <v>4030</v>
      </c>
      <c r="I530" s="1">
        <v>97417.58</v>
      </c>
      <c r="J530" s="1">
        <v>18688.68</v>
      </c>
      <c r="K530" s="1">
        <v>28178</v>
      </c>
      <c r="N530" s="1">
        <f t="shared" si="8"/>
        <v>1461.26</v>
      </c>
    </row>
    <row r="531" spans="1:14">
      <c r="A531" t="s">
        <v>144</v>
      </c>
      <c r="B531" t="s">
        <v>1116</v>
      </c>
      <c r="C531" t="s">
        <v>917</v>
      </c>
      <c r="D531" t="s">
        <v>71</v>
      </c>
      <c r="E531" s="1">
        <v>94511.996099999989</v>
      </c>
      <c r="F531" s="1">
        <v>13232.813899999999</v>
      </c>
      <c r="G531" s="1">
        <v>10553.69</v>
      </c>
      <c r="H531" s="1">
        <v>5538.74</v>
      </c>
      <c r="I531" s="1">
        <v>123837.23999999999</v>
      </c>
      <c r="J531" s="1">
        <v>7684.92</v>
      </c>
      <c r="K531" s="1">
        <v>31436</v>
      </c>
      <c r="N531" s="1">
        <f t="shared" si="8"/>
        <v>1857.56</v>
      </c>
    </row>
    <row r="532" spans="1:14">
      <c r="A532" t="s">
        <v>1118</v>
      </c>
      <c r="B532" t="s">
        <v>1117</v>
      </c>
      <c r="C532" t="s">
        <v>917</v>
      </c>
      <c r="D532" t="s">
        <v>71</v>
      </c>
      <c r="E532" s="1">
        <v>82058.524399999995</v>
      </c>
      <c r="F532" s="1">
        <v>13474.8056</v>
      </c>
      <c r="H532" s="1">
        <v>4030</v>
      </c>
      <c r="I532" s="1">
        <v>99563.329999999987</v>
      </c>
      <c r="J532" s="1">
        <v>18688.68</v>
      </c>
      <c r="K532" s="1">
        <v>27049</v>
      </c>
      <c r="N532" s="1">
        <f t="shared" si="8"/>
        <v>1493.45</v>
      </c>
    </row>
    <row r="533" spans="1:14">
      <c r="A533" t="s">
        <v>1120</v>
      </c>
      <c r="B533" t="s">
        <v>1119</v>
      </c>
      <c r="C533" t="s">
        <v>917</v>
      </c>
      <c r="D533" t="s">
        <v>71</v>
      </c>
      <c r="E533" s="1">
        <v>74544.272400000002</v>
      </c>
      <c r="F533" s="1">
        <v>15827.097599999999</v>
      </c>
      <c r="H533" s="1">
        <v>3280</v>
      </c>
      <c r="I533" s="1">
        <v>93651.37</v>
      </c>
      <c r="J533" s="1">
        <v>18688.68</v>
      </c>
      <c r="K533" s="1">
        <v>24452</v>
      </c>
      <c r="N533" s="1">
        <f t="shared" si="8"/>
        <v>1404.77</v>
      </c>
    </row>
    <row r="534" spans="1:14">
      <c r="A534" t="s">
        <v>1122</v>
      </c>
      <c r="B534" t="s">
        <v>1121</v>
      </c>
      <c r="C534" t="s">
        <v>917</v>
      </c>
      <c r="D534" t="s">
        <v>71</v>
      </c>
      <c r="E534" s="1">
        <v>94511.995699999999</v>
      </c>
      <c r="F534" s="1">
        <v>85738.424299999999</v>
      </c>
      <c r="G534" s="1">
        <v>10065.23</v>
      </c>
      <c r="H534" s="1">
        <v>2076.59</v>
      </c>
      <c r="I534" s="1">
        <v>192392.24</v>
      </c>
      <c r="J534" s="1">
        <v>18688.68</v>
      </c>
      <c r="K534" s="1">
        <v>30348</v>
      </c>
      <c r="N534" s="1">
        <f t="shared" si="8"/>
        <v>2885.88</v>
      </c>
    </row>
    <row r="535" spans="1:14">
      <c r="A535" t="s">
        <v>817</v>
      </c>
      <c r="B535" t="s">
        <v>1123</v>
      </c>
      <c r="C535" t="s">
        <v>917</v>
      </c>
      <c r="D535" t="s">
        <v>71</v>
      </c>
      <c r="E535" s="1">
        <v>92353.611300000019</v>
      </c>
      <c r="F535" s="1">
        <v>41287.898699999998</v>
      </c>
      <c r="G535" s="1">
        <v>4962.34</v>
      </c>
      <c r="H535" s="1">
        <v>3280</v>
      </c>
      <c r="I535" s="1">
        <v>141883.85</v>
      </c>
      <c r="J535" s="1">
        <v>18688.68</v>
      </c>
      <c r="K535" s="1">
        <v>30048</v>
      </c>
      <c r="N535" s="1">
        <f t="shared" si="8"/>
        <v>2128.2600000000002</v>
      </c>
    </row>
    <row r="536" spans="1:14">
      <c r="A536" t="s">
        <v>673</v>
      </c>
      <c r="B536" t="s">
        <v>1124</v>
      </c>
      <c r="C536" t="s">
        <v>917</v>
      </c>
      <c r="D536" t="s">
        <v>71</v>
      </c>
      <c r="E536" s="1">
        <v>94511.9951</v>
      </c>
      <c r="F536" s="1">
        <v>13851.3449</v>
      </c>
      <c r="H536" s="1">
        <v>11809.48</v>
      </c>
      <c r="I536" s="1">
        <v>120172.81999999999</v>
      </c>
      <c r="J536" s="1">
        <v>18688.68</v>
      </c>
      <c r="K536" s="1">
        <v>33406</v>
      </c>
      <c r="N536" s="1">
        <f t="shared" si="8"/>
        <v>1802.59</v>
      </c>
    </row>
    <row r="537" spans="1:14">
      <c r="A537" t="s">
        <v>1126</v>
      </c>
      <c r="B537" t="s">
        <v>1125</v>
      </c>
      <c r="C537" t="s">
        <v>917</v>
      </c>
      <c r="D537" t="s">
        <v>71</v>
      </c>
      <c r="E537" s="1">
        <v>82668.037100000001</v>
      </c>
      <c r="F537" s="1">
        <v>6305.0228999999999</v>
      </c>
      <c r="G537" s="1">
        <v>9131.4</v>
      </c>
      <c r="H537" s="1">
        <v>1640</v>
      </c>
      <c r="I537" s="1">
        <v>99744.459999999992</v>
      </c>
      <c r="J537" s="1">
        <v>0</v>
      </c>
      <c r="K537" s="1">
        <v>26490</v>
      </c>
      <c r="N537" s="1">
        <f t="shared" si="8"/>
        <v>1496.17</v>
      </c>
    </row>
    <row r="538" spans="1:14">
      <c r="A538" t="s">
        <v>1531</v>
      </c>
      <c r="C538" t="s">
        <v>917</v>
      </c>
      <c r="D538" t="s">
        <v>71</v>
      </c>
      <c r="E538" s="1">
        <v>94512.003999999972</v>
      </c>
      <c r="F538" s="1">
        <v>30397.616000000002</v>
      </c>
      <c r="G538" s="1">
        <v>3816.85</v>
      </c>
      <c r="H538" s="1">
        <v>1880.3</v>
      </c>
      <c r="I538" s="1">
        <v>130606.76999999999</v>
      </c>
      <c r="J538" s="1">
        <v>18688.68</v>
      </c>
      <c r="K538" s="1">
        <v>30286</v>
      </c>
      <c r="N538" s="1">
        <f t="shared" si="8"/>
        <v>1959.1</v>
      </c>
    </row>
    <row r="539" spans="1:14">
      <c r="A539" t="s">
        <v>1128</v>
      </c>
      <c r="B539" t="s">
        <v>1127</v>
      </c>
      <c r="C539" t="s">
        <v>917</v>
      </c>
      <c r="D539" t="s">
        <v>71</v>
      </c>
      <c r="E539" s="1">
        <v>94512.0046</v>
      </c>
      <c r="F539" s="1">
        <v>7778.4953999999998</v>
      </c>
      <c r="G539" s="1">
        <v>10299.35</v>
      </c>
      <c r="H539" s="1">
        <v>3446.79</v>
      </c>
      <c r="I539" s="1">
        <v>116036.64</v>
      </c>
      <c r="J539" s="1">
        <v>7684.92</v>
      </c>
      <c r="K539" s="1">
        <v>30779</v>
      </c>
      <c r="N539" s="1">
        <f t="shared" si="8"/>
        <v>1740.55</v>
      </c>
    </row>
    <row r="540" spans="1:14">
      <c r="A540" t="s">
        <v>1130</v>
      </c>
      <c r="B540" t="s">
        <v>1129</v>
      </c>
      <c r="C540" t="s">
        <v>917</v>
      </c>
      <c r="D540" t="s">
        <v>71</v>
      </c>
      <c r="E540" s="1">
        <v>94512.004799999995</v>
      </c>
      <c r="F540" s="1">
        <v>21795.565200000001</v>
      </c>
      <c r="G540" s="1">
        <v>11543.53</v>
      </c>
      <c r="H540" s="1">
        <v>7726.02</v>
      </c>
      <c r="I540" s="1">
        <v>135577.12</v>
      </c>
      <c r="J540" s="1">
        <v>18688.68</v>
      </c>
      <c r="K540" s="1">
        <v>32123</v>
      </c>
      <c r="N540" s="1">
        <f t="shared" si="8"/>
        <v>2033.66</v>
      </c>
    </row>
    <row r="541" spans="1:14">
      <c r="A541" t="s">
        <v>1132</v>
      </c>
      <c r="B541" t="s">
        <v>1131</v>
      </c>
      <c r="C541" t="s">
        <v>917</v>
      </c>
      <c r="D541" t="s">
        <v>71</v>
      </c>
      <c r="E541" s="1">
        <v>40478.040399999998</v>
      </c>
      <c r="F541" s="1">
        <v>384.2396</v>
      </c>
      <c r="H541" s="1">
        <v>2080</v>
      </c>
      <c r="I541" s="1">
        <v>42942.28</v>
      </c>
      <c r="J541" s="1">
        <v>14342.16</v>
      </c>
      <c r="K541" s="1">
        <v>13372</v>
      </c>
      <c r="N541" s="1">
        <f t="shared" si="8"/>
        <v>644.13</v>
      </c>
    </row>
    <row r="542" spans="1:14">
      <c r="A542" t="s">
        <v>415</v>
      </c>
      <c r="B542" t="s">
        <v>114</v>
      </c>
      <c r="C542" t="s">
        <v>917</v>
      </c>
      <c r="D542" t="s">
        <v>71</v>
      </c>
      <c r="E542" s="1">
        <v>94511.998399999997</v>
      </c>
      <c r="F542" s="1">
        <v>29052.961599999999</v>
      </c>
      <c r="G542" s="1">
        <v>11290.09</v>
      </c>
      <c r="H542" s="1">
        <v>13125.69</v>
      </c>
      <c r="I542" s="1">
        <v>147980.74</v>
      </c>
      <c r="J542" s="1">
        <v>14342.16</v>
      </c>
      <c r="K542" s="1">
        <v>33820</v>
      </c>
      <c r="N542" s="1">
        <f t="shared" si="8"/>
        <v>2219.71</v>
      </c>
    </row>
    <row r="543" spans="1:14">
      <c r="A543" t="s">
        <v>1134</v>
      </c>
      <c r="B543" t="s">
        <v>1133</v>
      </c>
      <c r="C543" t="s">
        <v>917</v>
      </c>
      <c r="D543" t="s">
        <v>71</v>
      </c>
      <c r="E543" s="1">
        <v>80675.231799999994</v>
      </c>
      <c r="F543" s="1">
        <v>39927.108200000002</v>
      </c>
      <c r="H543" s="1">
        <v>4280</v>
      </c>
      <c r="I543" s="1">
        <v>124882.34</v>
      </c>
      <c r="J543" s="1">
        <v>7684.92</v>
      </c>
      <c r="K543" s="1">
        <v>26693</v>
      </c>
      <c r="N543" s="1">
        <f t="shared" si="8"/>
        <v>1873.24</v>
      </c>
    </row>
    <row r="544" spans="1:14">
      <c r="A544" t="s">
        <v>1136</v>
      </c>
      <c r="B544" t="s">
        <v>1135</v>
      </c>
      <c r="C544" t="s">
        <v>917</v>
      </c>
      <c r="D544" t="s">
        <v>71</v>
      </c>
      <c r="E544" s="1">
        <v>89295.095700000005</v>
      </c>
      <c r="F544" s="1">
        <v>12592.1443</v>
      </c>
      <c r="H544" s="1">
        <v>3280</v>
      </c>
      <c r="I544" s="1">
        <v>105167.24</v>
      </c>
      <c r="J544" s="1">
        <v>22965.96</v>
      </c>
      <c r="K544" s="1">
        <v>29087</v>
      </c>
      <c r="N544" s="1">
        <f t="shared" si="8"/>
        <v>1577.51</v>
      </c>
    </row>
    <row r="545" spans="1:14">
      <c r="A545" t="s">
        <v>1531</v>
      </c>
      <c r="C545" t="s">
        <v>917</v>
      </c>
      <c r="D545" t="s">
        <v>71</v>
      </c>
      <c r="E545" s="1">
        <v>85299.358200000002</v>
      </c>
      <c r="F545" s="1">
        <v>19671.691800000001</v>
      </c>
      <c r="G545" s="1">
        <v>4695.88</v>
      </c>
      <c r="H545" s="1">
        <v>4030</v>
      </c>
      <c r="I545" s="1">
        <v>113696.93000000001</v>
      </c>
      <c r="J545" s="1">
        <v>7684.92</v>
      </c>
      <c r="K545" s="1">
        <v>28067</v>
      </c>
      <c r="N545" s="1">
        <f t="shared" si="8"/>
        <v>1705.45</v>
      </c>
    </row>
    <row r="546" spans="1:14">
      <c r="A546" t="s">
        <v>1138</v>
      </c>
      <c r="B546" t="s">
        <v>1137</v>
      </c>
      <c r="C546" t="s">
        <v>917</v>
      </c>
      <c r="D546" t="s">
        <v>71</v>
      </c>
      <c r="E546" s="1">
        <v>14920.679999999998</v>
      </c>
      <c r="F546" s="1">
        <v>0</v>
      </c>
      <c r="G546" s="1">
        <v>9817.44</v>
      </c>
      <c r="H546" s="1">
        <v>1200</v>
      </c>
      <c r="I546" s="1">
        <v>25938.12</v>
      </c>
      <c r="J546" s="1">
        <v>18688.68</v>
      </c>
      <c r="K546" s="1">
        <v>5065</v>
      </c>
      <c r="N546" s="1">
        <f t="shared" si="8"/>
        <v>389.07</v>
      </c>
    </row>
    <row r="547" spans="1:14">
      <c r="A547" t="s">
        <v>120</v>
      </c>
      <c r="B547" t="s">
        <v>1139</v>
      </c>
      <c r="C547" t="s">
        <v>917</v>
      </c>
      <c r="D547" t="s">
        <v>71</v>
      </c>
      <c r="E547" s="1">
        <v>94511.9954</v>
      </c>
      <c r="F547" s="1">
        <v>18303.694599999999</v>
      </c>
      <c r="G547" s="1">
        <v>5453.8</v>
      </c>
      <c r="H547" s="1">
        <v>4251.5200000000004</v>
      </c>
      <c r="I547" s="1">
        <v>122521.01000000001</v>
      </c>
      <c r="J547" s="1">
        <v>14342.16</v>
      </c>
      <c r="K547" s="1">
        <v>31031</v>
      </c>
      <c r="N547" s="1">
        <f t="shared" si="8"/>
        <v>1837.82</v>
      </c>
    </row>
    <row r="548" spans="1:14">
      <c r="A548" t="s">
        <v>449</v>
      </c>
      <c r="B548" t="s">
        <v>1140</v>
      </c>
      <c r="C548" t="s">
        <v>917</v>
      </c>
      <c r="D548" t="s">
        <v>71</v>
      </c>
      <c r="E548" s="1">
        <v>94511.998199999987</v>
      </c>
      <c r="F548" s="1">
        <v>12090.361800000001</v>
      </c>
      <c r="H548" s="1">
        <v>7921.35</v>
      </c>
      <c r="I548" s="1">
        <v>114523.70999999999</v>
      </c>
      <c r="J548" s="1">
        <v>18688.68</v>
      </c>
      <c r="K548" s="1">
        <v>32185</v>
      </c>
      <c r="N548" s="1">
        <f t="shared" si="8"/>
        <v>1717.86</v>
      </c>
    </row>
    <row r="549" spans="1:14">
      <c r="A549" t="s">
        <v>1142</v>
      </c>
      <c r="B549" t="s">
        <v>1141</v>
      </c>
      <c r="C549" t="s">
        <v>13</v>
      </c>
      <c r="D549" t="s">
        <v>12</v>
      </c>
      <c r="E549" s="1">
        <v>3231.6</v>
      </c>
      <c r="F549" s="1">
        <v>0</v>
      </c>
      <c r="H549" s="1">
        <v>0</v>
      </c>
      <c r="I549" s="1">
        <v>3231.6</v>
      </c>
      <c r="J549" s="1">
        <v>0</v>
      </c>
      <c r="N549" s="1">
        <f>ROUND(+I549*0.0775,2)</f>
        <v>250.45</v>
      </c>
    </row>
    <row r="550" spans="1:14">
      <c r="A550" t="s">
        <v>1144</v>
      </c>
      <c r="B550" t="s">
        <v>1143</v>
      </c>
      <c r="C550" t="s">
        <v>96</v>
      </c>
      <c r="D550" t="s">
        <v>71</v>
      </c>
      <c r="E550" s="1">
        <v>3767.53</v>
      </c>
      <c r="F550" s="1">
        <v>0</v>
      </c>
      <c r="H550" s="1">
        <v>0</v>
      </c>
      <c r="I550" s="1">
        <v>3767.53</v>
      </c>
      <c r="J550" s="1">
        <v>0</v>
      </c>
      <c r="N550" s="1">
        <f t="shared" ref="N550:N613" si="9">ROUND(+I550*0.0775,2)</f>
        <v>291.98</v>
      </c>
    </row>
    <row r="551" spans="1:14">
      <c r="A551" t="s">
        <v>1146</v>
      </c>
      <c r="B551" t="s">
        <v>1145</v>
      </c>
      <c r="C551" t="s">
        <v>217</v>
      </c>
      <c r="D551" t="s">
        <v>30</v>
      </c>
      <c r="E551" s="1">
        <v>28874.63</v>
      </c>
      <c r="F551" s="1">
        <v>0</v>
      </c>
      <c r="H551" s="1">
        <v>0</v>
      </c>
      <c r="I551" s="1">
        <v>28874.63</v>
      </c>
      <c r="J551" s="1">
        <v>0</v>
      </c>
      <c r="N551" s="1">
        <f t="shared" si="9"/>
        <v>2237.7800000000002</v>
      </c>
    </row>
    <row r="552" spans="1:14">
      <c r="A552" t="s">
        <v>1150</v>
      </c>
      <c r="B552" t="s">
        <v>1149</v>
      </c>
      <c r="C552" t="s">
        <v>1148</v>
      </c>
      <c r="D552" t="s">
        <v>1147</v>
      </c>
      <c r="E552" s="1">
        <v>3707.8240000000001</v>
      </c>
      <c r="F552" s="1">
        <v>586.476</v>
      </c>
      <c r="H552" s="1">
        <v>0</v>
      </c>
      <c r="I552" s="1">
        <v>4294.3</v>
      </c>
      <c r="J552" s="1">
        <v>0</v>
      </c>
      <c r="N552" s="1">
        <f t="shared" si="9"/>
        <v>332.81</v>
      </c>
    </row>
    <row r="553" spans="1:14">
      <c r="A553" t="s">
        <v>949</v>
      </c>
      <c r="B553" t="s">
        <v>1152</v>
      </c>
      <c r="C553" t="s">
        <v>1151</v>
      </c>
      <c r="D553" t="s">
        <v>102</v>
      </c>
      <c r="E553" s="1">
        <v>489.12</v>
      </c>
      <c r="F553" s="1">
        <v>0</v>
      </c>
      <c r="H553" s="1">
        <v>0</v>
      </c>
      <c r="I553" s="1">
        <v>489.12</v>
      </c>
      <c r="J553" s="1">
        <v>0</v>
      </c>
      <c r="N553" s="1">
        <f t="shared" si="9"/>
        <v>37.909999999999997</v>
      </c>
    </row>
    <row r="554" spans="1:14">
      <c r="A554" t="s">
        <v>1154</v>
      </c>
      <c r="B554" t="s">
        <v>1153</v>
      </c>
      <c r="C554" t="s">
        <v>230</v>
      </c>
      <c r="D554" t="s">
        <v>71</v>
      </c>
      <c r="E554" s="1">
        <v>26894.240000000002</v>
      </c>
      <c r="F554" s="1">
        <v>0</v>
      </c>
      <c r="H554" s="1">
        <v>0</v>
      </c>
      <c r="I554" s="1">
        <v>26894.240000000002</v>
      </c>
      <c r="J554" s="1">
        <v>0</v>
      </c>
      <c r="N554" s="1">
        <f t="shared" si="9"/>
        <v>2084.3000000000002</v>
      </c>
    </row>
    <row r="555" spans="1:14">
      <c r="A555" t="s">
        <v>1156</v>
      </c>
      <c r="B555" t="s">
        <v>1155</v>
      </c>
      <c r="C555" t="s">
        <v>917</v>
      </c>
      <c r="D555" t="s">
        <v>71</v>
      </c>
      <c r="E555" s="1">
        <v>40706.01</v>
      </c>
      <c r="F555" s="1">
        <v>0</v>
      </c>
      <c r="H555" s="1">
        <v>0</v>
      </c>
      <c r="I555" s="1">
        <v>40706.01</v>
      </c>
      <c r="J555" s="1">
        <v>0</v>
      </c>
      <c r="N555" s="1">
        <f t="shared" si="9"/>
        <v>3154.72</v>
      </c>
    </row>
    <row r="556" spans="1:14">
      <c r="A556" t="s">
        <v>1158</v>
      </c>
      <c r="B556" t="s">
        <v>1157</v>
      </c>
      <c r="C556" t="s">
        <v>13</v>
      </c>
      <c r="D556" t="s">
        <v>12</v>
      </c>
      <c r="E556" s="1">
        <v>7186.53</v>
      </c>
      <c r="F556" s="1">
        <v>0</v>
      </c>
      <c r="H556" s="1">
        <v>0</v>
      </c>
      <c r="I556" s="1">
        <v>7186.53</v>
      </c>
      <c r="J556" s="1">
        <v>0</v>
      </c>
      <c r="N556" s="1">
        <f t="shared" si="9"/>
        <v>556.96</v>
      </c>
    </row>
    <row r="557" spans="1:14">
      <c r="A557" t="s">
        <v>1160</v>
      </c>
      <c r="B557" t="s">
        <v>1159</v>
      </c>
      <c r="C557" t="s">
        <v>334</v>
      </c>
      <c r="D557" t="s">
        <v>71</v>
      </c>
      <c r="E557" s="1">
        <v>2731.35</v>
      </c>
      <c r="F557" s="1">
        <v>0</v>
      </c>
      <c r="H557" s="1">
        <v>0</v>
      </c>
      <c r="I557" s="1">
        <v>2731.35</v>
      </c>
      <c r="J557" s="1">
        <v>0</v>
      </c>
      <c r="N557" s="1">
        <f t="shared" si="9"/>
        <v>211.68</v>
      </c>
    </row>
    <row r="558" spans="1:14">
      <c r="A558" t="s">
        <v>458</v>
      </c>
      <c r="B558" t="s">
        <v>1161</v>
      </c>
      <c r="C558" t="s">
        <v>1148</v>
      </c>
      <c r="D558" t="s">
        <v>1147</v>
      </c>
      <c r="E558" s="1">
        <v>4361.3999999999996</v>
      </c>
      <c r="F558" s="1">
        <v>0</v>
      </c>
      <c r="H558" s="1">
        <v>0</v>
      </c>
      <c r="I558" s="1">
        <v>4361.3999999999996</v>
      </c>
      <c r="J558" s="1">
        <v>0</v>
      </c>
      <c r="N558" s="1">
        <f t="shared" si="9"/>
        <v>338.01</v>
      </c>
    </row>
    <row r="559" spans="1:14">
      <c r="A559" t="s">
        <v>1163</v>
      </c>
      <c r="B559" t="s">
        <v>1162</v>
      </c>
      <c r="C559" t="s">
        <v>362</v>
      </c>
      <c r="D559" t="s">
        <v>30</v>
      </c>
      <c r="E559" s="1">
        <v>31675.360000000001</v>
      </c>
      <c r="F559" s="1">
        <v>0</v>
      </c>
      <c r="H559" s="1">
        <v>0</v>
      </c>
      <c r="I559" s="1">
        <v>31675.360000000001</v>
      </c>
      <c r="J559" s="1">
        <v>9021.1200000000008</v>
      </c>
      <c r="N559" s="1">
        <f t="shared" si="9"/>
        <v>2454.84</v>
      </c>
    </row>
    <row r="560" spans="1:14">
      <c r="A560" t="s">
        <v>1166</v>
      </c>
      <c r="B560" t="s">
        <v>1165</v>
      </c>
      <c r="C560" t="s">
        <v>1164</v>
      </c>
      <c r="D560" t="s">
        <v>115</v>
      </c>
      <c r="E560" s="1">
        <v>40382.49</v>
      </c>
      <c r="F560" s="1">
        <v>0</v>
      </c>
      <c r="H560" s="1">
        <v>0</v>
      </c>
      <c r="I560" s="1">
        <v>40382.49</v>
      </c>
      <c r="J560" s="1">
        <v>0</v>
      </c>
      <c r="N560" s="1">
        <f t="shared" si="9"/>
        <v>3129.64</v>
      </c>
    </row>
    <row r="561" spans="1:14">
      <c r="A561" t="s">
        <v>1168</v>
      </c>
      <c r="B561" t="s">
        <v>1167</v>
      </c>
      <c r="C561" t="s">
        <v>1148</v>
      </c>
      <c r="D561" t="s">
        <v>1147</v>
      </c>
      <c r="E561" s="1">
        <v>41339.815000000002</v>
      </c>
      <c r="F561" s="1">
        <v>3002.895</v>
      </c>
      <c r="H561" s="1">
        <v>0</v>
      </c>
      <c r="I561" s="1">
        <v>44342.71</v>
      </c>
      <c r="J561" s="1">
        <v>0</v>
      </c>
      <c r="N561" s="1">
        <f t="shared" si="9"/>
        <v>3436.56</v>
      </c>
    </row>
    <row r="562" spans="1:14">
      <c r="A562" t="s">
        <v>687</v>
      </c>
      <c r="B562" t="s">
        <v>1169</v>
      </c>
      <c r="C562" t="s">
        <v>124</v>
      </c>
      <c r="D562" t="s">
        <v>71</v>
      </c>
      <c r="E562" s="1">
        <v>15046.21</v>
      </c>
      <c r="F562" s="1">
        <v>0</v>
      </c>
      <c r="H562" s="1">
        <v>0</v>
      </c>
      <c r="I562" s="1">
        <v>15046.21</v>
      </c>
      <c r="J562" s="1">
        <v>0</v>
      </c>
      <c r="N562" s="1">
        <f t="shared" si="9"/>
        <v>1166.08</v>
      </c>
    </row>
    <row r="563" spans="1:14">
      <c r="A563" t="s">
        <v>1171</v>
      </c>
      <c r="B563" t="s">
        <v>1170</v>
      </c>
      <c r="C563" t="s">
        <v>486</v>
      </c>
      <c r="D563" t="s">
        <v>102</v>
      </c>
      <c r="E563" s="1">
        <v>7885.62</v>
      </c>
      <c r="F563" s="1">
        <v>0</v>
      </c>
      <c r="H563" s="1">
        <v>0</v>
      </c>
      <c r="I563" s="1">
        <v>7885.62</v>
      </c>
      <c r="J563" s="1">
        <v>0</v>
      </c>
      <c r="N563" s="1">
        <f t="shared" si="9"/>
        <v>611.14</v>
      </c>
    </row>
    <row r="564" spans="1:14">
      <c r="A564" t="s">
        <v>1172</v>
      </c>
      <c r="B564" t="s">
        <v>174</v>
      </c>
      <c r="C564" t="s">
        <v>917</v>
      </c>
      <c r="D564" t="s">
        <v>71</v>
      </c>
      <c r="E564" s="1">
        <v>40980.620000000003</v>
      </c>
      <c r="F564" s="1">
        <v>0</v>
      </c>
      <c r="H564" s="1">
        <v>0</v>
      </c>
      <c r="I564" s="1">
        <v>40980.620000000003</v>
      </c>
      <c r="J564" s="1">
        <v>0</v>
      </c>
      <c r="N564" s="1">
        <f t="shared" si="9"/>
        <v>3176</v>
      </c>
    </row>
    <row r="565" spans="1:14">
      <c r="A565" t="s">
        <v>1175</v>
      </c>
      <c r="B565" t="s">
        <v>1174</v>
      </c>
      <c r="C565" t="s">
        <v>1173</v>
      </c>
      <c r="D565" t="s">
        <v>71</v>
      </c>
      <c r="E565" s="1">
        <v>9510.73</v>
      </c>
      <c r="F565" s="1">
        <v>0</v>
      </c>
      <c r="H565" s="1">
        <v>0</v>
      </c>
      <c r="I565" s="1">
        <v>9510.73</v>
      </c>
      <c r="J565" s="1">
        <v>0</v>
      </c>
      <c r="N565" s="1">
        <f t="shared" si="9"/>
        <v>737.08</v>
      </c>
    </row>
    <row r="566" spans="1:14">
      <c r="A566" t="s">
        <v>1178</v>
      </c>
      <c r="B566" t="s">
        <v>1177</v>
      </c>
      <c r="C566" t="s">
        <v>1176</v>
      </c>
      <c r="D566" t="s">
        <v>16</v>
      </c>
      <c r="E566" s="1">
        <v>19567.18</v>
      </c>
      <c r="F566" s="1">
        <v>0</v>
      </c>
      <c r="H566" s="1">
        <v>0</v>
      </c>
      <c r="I566" s="1">
        <v>19567.18</v>
      </c>
      <c r="J566" s="1">
        <v>0</v>
      </c>
      <c r="N566" s="1">
        <f t="shared" si="9"/>
        <v>1516.46</v>
      </c>
    </row>
    <row r="567" spans="1:14">
      <c r="A567" t="s">
        <v>1180</v>
      </c>
      <c r="B567" t="s">
        <v>1179</v>
      </c>
      <c r="C567" t="s">
        <v>1148</v>
      </c>
      <c r="D567" t="s">
        <v>1147</v>
      </c>
      <c r="E567" s="1">
        <v>13040.08</v>
      </c>
      <c r="F567" s="1">
        <v>2769.57</v>
      </c>
      <c r="H567" s="1">
        <v>0</v>
      </c>
      <c r="I567" s="1">
        <v>15809.65</v>
      </c>
      <c r="J567" s="1">
        <v>0</v>
      </c>
      <c r="N567" s="1">
        <f t="shared" si="9"/>
        <v>1225.25</v>
      </c>
    </row>
    <row r="568" spans="1:14">
      <c r="A568" t="s">
        <v>317</v>
      </c>
      <c r="B568" t="s">
        <v>1181</v>
      </c>
      <c r="C568" t="s">
        <v>142</v>
      </c>
      <c r="D568" t="s">
        <v>58</v>
      </c>
      <c r="E568" s="1">
        <v>6454.16</v>
      </c>
      <c r="F568" s="1">
        <v>0</v>
      </c>
      <c r="H568" s="1">
        <v>0</v>
      </c>
      <c r="I568" s="1">
        <v>6454.16</v>
      </c>
      <c r="J568" s="1">
        <v>0</v>
      </c>
      <c r="N568" s="1">
        <f t="shared" si="9"/>
        <v>500.2</v>
      </c>
    </row>
    <row r="569" spans="1:14">
      <c r="A569" t="s">
        <v>1183</v>
      </c>
      <c r="B569" t="s">
        <v>1182</v>
      </c>
      <c r="C569" t="s">
        <v>475</v>
      </c>
      <c r="D569" t="s">
        <v>16</v>
      </c>
      <c r="E569" s="1">
        <v>33799.5</v>
      </c>
      <c r="F569" s="1">
        <v>0</v>
      </c>
      <c r="H569" s="1">
        <v>0</v>
      </c>
      <c r="I569" s="1">
        <v>33799.5</v>
      </c>
      <c r="J569" s="1">
        <v>0</v>
      </c>
      <c r="N569" s="1">
        <f t="shared" si="9"/>
        <v>2619.46</v>
      </c>
    </row>
    <row r="570" spans="1:14">
      <c r="A570" t="s">
        <v>1187</v>
      </c>
      <c r="B570" t="s">
        <v>1186</v>
      </c>
      <c r="C570" t="s">
        <v>1185</v>
      </c>
      <c r="D570" t="s">
        <v>1184</v>
      </c>
      <c r="E570" s="1">
        <v>17687.72</v>
      </c>
      <c r="F570" s="1">
        <v>0</v>
      </c>
      <c r="H570" s="1">
        <v>320</v>
      </c>
      <c r="I570" s="1">
        <v>18007.72</v>
      </c>
      <c r="J570" s="1">
        <v>0</v>
      </c>
      <c r="N570" s="1">
        <f t="shared" si="9"/>
        <v>1395.6</v>
      </c>
    </row>
    <row r="571" spans="1:14">
      <c r="A571" t="s">
        <v>545</v>
      </c>
      <c r="B571" t="s">
        <v>1189</v>
      </c>
      <c r="C571" t="s">
        <v>1188</v>
      </c>
      <c r="D571" t="s">
        <v>102</v>
      </c>
      <c r="E571" s="1">
        <v>6238</v>
      </c>
      <c r="F571" s="1">
        <v>0</v>
      </c>
      <c r="H571" s="1">
        <v>0</v>
      </c>
      <c r="I571" s="1">
        <v>6238</v>
      </c>
      <c r="J571" s="1">
        <v>0</v>
      </c>
      <c r="N571" s="1">
        <f t="shared" si="9"/>
        <v>483.45</v>
      </c>
    </row>
    <row r="572" spans="1:14">
      <c r="A572" t="s">
        <v>1191</v>
      </c>
      <c r="B572" t="s">
        <v>1190</v>
      </c>
      <c r="C572" t="s">
        <v>1148</v>
      </c>
      <c r="D572" t="s">
        <v>1147</v>
      </c>
      <c r="E572" s="1">
        <v>27079.67</v>
      </c>
      <c r="F572" s="1">
        <v>0</v>
      </c>
      <c r="H572" s="1">
        <v>0</v>
      </c>
      <c r="I572" s="1">
        <v>27079.67</v>
      </c>
      <c r="J572" s="1">
        <v>0</v>
      </c>
      <c r="N572" s="1">
        <f t="shared" si="9"/>
        <v>2098.67</v>
      </c>
    </row>
    <row r="573" spans="1:14">
      <c r="A573" t="s">
        <v>1194</v>
      </c>
      <c r="B573" t="s">
        <v>1193</v>
      </c>
      <c r="C573" t="s">
        <v>1192</v>
      </c>
      <c r="D573" t="s">
        <v>20</v>
      </c>
      <c r="E573" s="1">
        <v>33153.5</v>
      </c>
      <c r="F573" s="1">
        <v>0</v>
      </c>
      <c r="H573" s="1">
        <v>0</v>
      </c>
      <c r="I573" s="1">
        <v>33153.5</v>
      </c>
      <c r="J573" s="1">
        <v>0</v>
      </c>
      <c r="N573" s="1">
        <f t="shared" si="9"/>
        <v>2569.4</v>
      </c>
    </row>
    <row r="574" spans="1:14">
      <c r="A574" t="s">
        <v>1196</v>
      </c>
      <c r="B574" t="s">
        <v>1195</v>
      </c>
      <c r="C574" t="s">
        <v>139</v>
      </c>
      <c r="D574" t="s">
        <v>16</v>
      </c>
      <c r="E574" s="1">
        <v>17955.080000000002</v>
      </c>
      <c r="F574" s="1">
        <v>0</v>
      </c>
      <c r="H574" s="1">
        <v>0</v>
      </c>
      <c r="I574" s="1">
        <v>17955.080000000002</v>
      </c>
      <c r="J574" s="1">
        <v>0</v>
      </c>
      <c r="N574" s="1">
        <f t="shared" si="9"/>
        <v>1391.52</v>
      </c>
    </row>
    <row r="575" spans="1:14">
      <c r="A575" t="s">
        <v>1198</v>
      </c>
      <c r="B575" t="s">
        <v>1197</v>
      </c>
      <c r="C575" t="s">
        <v>142</v>
      </c>
      <c r="D575" t="s">
        <v>71</v>
      </c>
      <c r="E575" s="1">
        <v>14090.71</v>
      </c>
      <c r="F575" s="1">
        <v>0</v>
      </c>
      <c r="H575" s="1">
        <v>0</v>
      </c>
      <c r="I575" s="1">
        <v>14090.71</v>
      </c>
      <c r="J575" s="1">
        <v>0</v>
      </c>
      <c r="N575" s="1">
        <f t="shared" si="9"/>
        <v>1092.03</v>
      </c>
    </row>
    <row r="576" spans="1:14">
      <c r="A576" t="s">
        <v>1200</v>
      </c>
      <c r="B576" t="s">
        <v>1199</v>
      </c>
      <c r="C576" t="s">
        <v>717</v>
      </c>
      <c r="D576" t="s">
        <v>20</v>
      </c>
      <c r="E576" s="1">
        <v>26729.75</v>
      </c>
      <c r="F576" s="1">
        <v>0</v>
      </c>
      <c r="H576" s="1">
        <v>0</v>
      </c>
      <c r="I576" s="1">
        <v>26729.75</v>
      </c>
      <c r="J576" s="1">
        <v>0</v>
      </c>
      <c r="N576" s="1">
        <f t="shared" si="9"/>
        <v>2071.56</v>
      </c>
    </row>
    <row r="577" spans="1:14">
      <c r="A577" t="s">
        <v>1202</v>
      </c>
      <c r="B577" t="s">
        <v>1201</v>
      </c>
      <c r="C577" t="s">
        <v>1185</v>
      </c>
      <c r="D577" t="s">
        <v>1184</v>
      </c>
      <c r="E577" s="1">
        <v>58283.38</v>
      </c>
      <c r="F577" s="1">
        <v>0</v>
      </c>
      <c r="H577" s="1">
        <v>550</v>
      </c>
      <c r="I577" s="1">
        <v>58833.38</v>
      </c>
      <c r="J577" s="1">
        <v>0</v>
      </c>
      <c r="N577" s="1">
        <f t="shared" si="9"/>
        <v>4559.59</v>
      </c>
    </row>
    <row r="578" spans="1:14">
      <c r="A578" t="s">
        <v>1204</v>
      </c>
      <c r="B578" t="s">
        <v>1203</v>
      </c>
      <c r="C578" t="s">
        <v>134</v>
      </c>
      <c r="D578" t="s">
        <v>71</v>
      </c>
      <c r="E578" s="1">
        <v>17483.71</v>
      </c>
      <c r="F578" s="1">
        <v>0</v>
      </c>
      <c r="H578" s="1">
        <v>0</v>
      </c>
      <c r="I578" s="1">
        <v>17483.71</v>
      </c>
      <c r="J578" s="1">
        <v>13765.56</v>
      </c>
      <c r="N578" s="1">
        <f t="shared" si="9"/>
        <v>1354.99</v>
      </c>
    </row>
    <row r="579" spans="1:14">
      <c r="A579" t="s">
        <v>420</v>
      </c>
      <c r="B579" t="s">
        <v>1205</v>
      </c>
      <c r="C579" t="s">
        <v>192</v>
      </c>
      <c r="D579" t="s">
        <v>12</v>
      </c>
      <c r="E579" s="1">
        <v>6999.06</v>
      </c>
      <c r="F579" s="1">
        <v>0</v>
      </c>
      <c r="H579" s="1">
        <v>0</v>
      </c>
      <c r="I579" s="1">
        <v>6999.06</v>
      </c>
      <c r="J579" s="1">
        <v>0</v>
      </c>
      <c r="N579" s="1">
        <f t="shared" si="9"/>
        <v>542.42999999999995</v>
      </c>
    </row>
    <row r="580" spans="1:14">
      <c r="A580" t="s">
        <v>1207</v>
      </c>
      <c r="B580" t="s">
        <v>1206</v>
      </c>
      <c r="C580" t="s">
        <v>49</v>
      </c>
      <c r="D580" t="s">
        <v>12</v>
      </c>
      <c r="E580" s="1">
        <v>2143.1</v>
      </c>
      <c r="F580" s="1">
        <v>0</v>
      </c>
      <c r="H580" s="1">
        <v>0</v>
      </c>
      <c r="I580" s="1">
        <v>2143.1</v>
      </c>
      <c r="J580" s="1">
        <v>0</v>
      </c>
      <c r="N580" s="1">
        <f t="shared" si="9"/>
        <v>166.09</v>
      </c>
    </row>
    <row r="581" spans="1:14">
      <c r="A581" t="s">
        <v>1209</v>
      </c>
      <c r="B581" t="s">
        <v>199</v>
      </c>
      <c r="C581" t="s">
        <v>1208</v>
      </c>
      <c r="D581" t="s">
        <v>102</v>
      </c>
      <c r="E581" s="1">
        <v>781</v>
      </c>
      <c r="F581" s="1">
        <v>0</v>
      </c>
      <c r="H581" s="1">
        <v>0</v>
      </c>
      <c r="I581" s="1">
        <v>781</v>
      </c>
      <c r="J581" s="1">
        <v>0</v>
      </c>
      <c r="N581" s="1">
        <f t="shared" si="9"/>
        <v>60.53</v>
      </c>
    </row>
    <row r="582" spans="1:14">
      <c r="A582" t="s">
        <v>407</v>
      </c>
      <c r="B582" t="s">
        <v>1210</v>
      </c>
      <c r="C582" t="s">
        <v>286</v>
      </c>
      <c r="D582" t="s">
        <v>27</v>
      </c>
      <c r="E582" s="1">
        <v>3748.9</v>
      </c>
      <c r="F582" s="1">
        <v>0</v>
      </c>
      <c r="H582" s="1">
        <v>0</v>
      </c>
      <c r="I582" s="1">
        <v>3748.9</v>
      </c>
      <c r="J582" s="1">
        <v>0</v>
      </c>
      <c r="N582" s="1">
        <f t="shared" si="9"/>
        <v>290.54000000000002</v>
      </c>
    </row>
    <row r="583" spans="1:14">
      <c r="A583" t="s">
        <v>1211</v>
      </c>
      <c r="B583" t="s">
        <v>935</v>
      </c>
      <c r="C583" t="s">
        <v>1208</v>
      </c>
      <c r="D583" t="s">
        <v>102</v>
      </c>
      <c r="E583" s="1">
        <v>6557.6</v>
      </c>
      <c r="F583" s="1">
        <v>0</v>
      </c>
      <c r="H583" s="1">
        <v>0</v>
      </c>
      <c r="I583" s="1">
        <v>6557.6</v>
      </c>
      <c r="J583" s="1">
        <v>0</v>
      </c>
      <c r="N583" s="1">
        <f t="shared" si="9"/>
        <v>508.21</v>
      </c>
    </row>
    <row r="584" spans="1:14">
      <c r="A584" t="s">
        <v>1213</v>
      </c>
      <c r="B584" t="s">
        <v>1212</v>
      </c>
      <c r="C584" t="s">
        <v>265</v>
      </c>
      <c r="D584" t="s">
        <v>79</v>
      </c>
      <c r="E584" s="1">
        <v>10773.89</v>
      </c>
      <c r="F584" s="1">
        <v>0</v>
      </c>
      <c r="H584" s="1">
        <v>0</v>
      </c>
      <c r="I584" s="1">
        <v>10773.89</v>
      </c>
      <c r="J584" s="1">
        <v>0</v>
      </c>
      <c r="N584" s="1">
        <f t="shared" si="9"/>
        <v>834.98</v>
      </c>
    </row>
    <row r="585" spans="1:14">
      <c r="A585" t="s">
        <v>1215</v>
      </c>
      <c r="B585" t="s">
        <v>1214</v>
      </c>
      <c r="C585" t="s">
        <v>334</v>
      </c>
      <c r="D585" t="s">
        <v>71</v>
      </c>
      <c r="E585" s="1">
        <v>260.89999999999998</v>
      </c>
      <c r="F585" s="1">
        <v>0</v>
      </c>
      <c r="H585" s="1">
        <v>0</v>
      </c>
      <c r="I585" s="1">
        <v>260.89999999999998</v>
      </c>
      <c r="J585" s="1">
        <v>0</v>
      </c>
      <c r="N585" s="1">
        <f t="shared" si="9"/>
        <v>20.22</v>
      </c>
    </row>
    <row r="586" spans="1:14">
      <c r="A586" t="s">
        <v>1217</v>
      </c>
      <c r="B586" t="s">
        <v>460</v>
      </c>
      <c r="C586" t="s">
        <v>1216</v>
      </c>
      <c r="D586" t="s">
        <v>58</v>
      </c>
      <c r="E586" s="1">
        <v>70122.05</v>
      </c>
      <c r="F586" s="1">
        <v>0</v>
      </c>
      <c r="G586" s="1">
        <v>6055.73</v>
      </c>
      <c r="H586" s="1">
        <v>249.96</v>
      </c>
      <c r="I586" s="1">
        <v>76427.740000000005</v>
      </c>
      <c r="J586" s="1">
        <v>16880.88</v>
      </c>
      <c r="N586" s="1">
        <f t="shared" si="9"/>
        <v>5923.15</v>
      </c>
    </row>
    <row r="587" spans="1:14">
      <c r="A587" t="s">
        <v>1219</v>
      </c>
      <c r="B587" t="s">
        <v>1218</v>
      </c>
      <c r="C587" t="s">
        <v>334</v>
      </c>
      <c r="D587" t="s">
        <v>71</v>
      </c>
      <c r="E587" s="1">
        <v>3611.95</v>
      </c>
      <c r="F587" s="1">
        <v>0</v>
      </c>
      <c r="H587" s="1">
        <v>0</v>
      </c>
      <c r="I587" s="1">
        <v>3611.95</v>
      </c>
      <c r="J587" s="1">
        <v>0</v>
      </c>
      <c r="N587" s="1">
        <f t="shared" si="9"/>
        <v>279.93</v>
      </c>
    </row>
    <row r="588" spans="1:14">
      <c r="A588" t="s">
        <v>1220</v>
      </c>
      <c r="B588" t="s">
        <v>1074</v>
      </c>
      <c r="C588" t="s">
        <v>1185</v>
      </c>
      <c r="D588" t="s">
        <v>1184</v>
      </c>
      <c r="E588" s="1">
        <v>33557.4</v>
      </c>
      <c r="F588" s="1">
        <v>0</v>
      </c>
      <c r="H588" s="1">
        <v>440</v>
      </c>
      <c r="I588" s="1">
        <v>33997.4</v>
      </c>
      <c r="J588" s="1">
        <v>0</v>
      </c>
      <c r="N588" s="1">
        <f t="shared" si="9"/>
        <v>2634.8</v>
      </c>
    </row>
    <row r="589" spans="1:14">
      <c r="A589" t="s">
        <v>349</v>
      </c>
      <c r="B589" t="s">
        <v>1221</v>
      </c>
      <c r="C589" t="s">
        <v>1173</v>
      </c>
      <c r="D589" t="s">
        <v>71</v>
      </c>
      <c r="E589" s="1">
        <v>4314.04</v>
      </c>
      <c r="F589" s="1">
        <v>0</v>
      </c>
      <c r="H589" s="1">
        <v>0</v>
      </c>
      <c r="I589" s="1">
        <v>4314.04</v>
      </c>
      <c r="J589" s="1">
        <v>0</v>
      </c>
      <c r="N589" s="1">
        <f t="shared" si="9"/>
        <v>334.34</v>
      </c>
    </row>
    <row r="590" spans="1:14">
      <c r="A590" t="s">
        <v>1223</v>
      </c>
      <c r="B590" t="s">
        <v>1222</v>
      </c>
      <c r="C590" t="s">
        <v>142</v>
      </c>
      <c r="D590" t="s">
        <v>71</v>
      </c>
      <c r="E590" s="1">
        <v>6846.2</v>
      </c>
      <c r="F590" s="1">
        <v>0</v>
      </c>
      <c r="H590" s="1">
        <v>0</v>
      </c>
      <c r="I590" s="1">
        <v>6846.2</v>
      </c>
      <c r="J590" s="1">
        <v>0</v>
      </c>
      <c r="N590" s="1">
        <f t="shared" si="9"/>
        <v>530.58000000000004</v>
      </c>
    </row>
    <row r="591" spans="1:14">
      <c r="A591" t="s">
        <v>1009</v>
      </c>
      <c r="B591" t="s">
        <v>1225</v>
      </c>
      <c r="C591" t="s">
        <v>1224</v>
      </c>
      <c r="D591" t="s">
        <v>102</v>
      </c>
      <c r="E591" s="1">
        <v>1523.67</v>
      </c>
      <c r="F591" s="1">
        <v>0</v>
      </c>
      <c r="H591" s="1">
        <v>0</v>
      </c>
      <c r="I591" s="1">
        <v>1523.67</v>
      </c>
      <c r="J591" s="1">
        <v>0</v>
      </c>
      <c r="N591" s="1">
        <f t="shared" si="9"/>
        <v>118.08</v>
      </c>
    </row>
    <row r="592" spans="1:14">
      <c r="A592" t="s">
        <v>1227</v>
      </c>
      <c r="B592" t="s">
        <v>1226</v>
      </c>
      <c r="C592" t="s">
        <v>944</v>
      </c>
      <c r="D592" t="s">
        <v>71</v>
      </c>
      <c r="E592" s="1">
        <v>60940.65</v>
      </c>
      <c r="F592" s="1">
        <v>0</v>
      </c>
      <c r="H592" s="1">
        <v>0</v>
      </c>
      <c r="I592" s="1">
        <v>60940.65</v>
      </c>
      <c r="J592" s="1">
        <v>0</v>
      </c>
      <c r="N592" s="1">
        <f t="shared" si="9"/>
        <v>4722.8999999999996</v>
      </c>
    </row>
    <row r="593" spans="1:14">
      <c r="A593" t="s">
        <v>1229</v>
      </c>
      <c r="B593" t="s">
        <v>1228</v>
      </c>
      <c r="C593" t="s">
        <v>496</v>
      </c>
      <c r="D593" t="s">
        <v>16</v>
      </c>
      <c r="E593" s="1">
        <v>2726.76</v>
      </c>
      <c r="F593" s="1">
        <v>0</v>
      </c>
      <c r="H593" s="1">
        <v>0</v>
      </c>
      <c r="I593" s="1">
        <v>2726.76</v>
      </c>
      <c r="J593" s="1">
        <v>0</v>
      </c>
      <c r="N593" s="1">
        <f t="shared" si="9"/>
        <v>211.32</v>
      </c>
    </row>
    <row r="594" spans="1:14">
      <c r="A594" t="s">
        <v>1231</v>
      </c>
      <c r="B594" t="s">
        <v>1230</v>
      </c>
      <c r="C594" t="s">
        <v>13</v>
      </c>
      <c r="D594" t="s">
        <v>12</v>
      </c>
      <c r="E594" s="1">
        <v>4370.87</v>
      </c>
      <c r="F594" s="1">
        <v>0</v>
      </c>
      <c r="H594" s="1">
        <v>0</v>
      </c>
      <c r="I594" s="1">
        <v>4370.87</v>
      </c>
      <c r="J594" s="1">
        <v>0</v>
      </c>
      <c r="N594" s="1">
        <f t="shared" si="9"/>
        <v>338.74</v>
      </c>
    </row>
    <row r="595" spans="1:14">
      <c r="A595" t="s">
        <v>1233</v>
      </c>
      <c r="B595" t="s">
        <v>1232</v>
      </c>
      <c r="C595" t="s">
        <v>192</v>
      </c>
      <c r="D595" t="s">
        <v>12</v>
      </c>
      <c r="E595" s="1">
        <v>1212.27</v>
      </c>
      <c r="F595" s="1">
        <v>0</v>
      </c>
      <c r="H595" s="1">
        <v>0</v>
      </c>
      <c r="I595" s="1">
        <v>1212.27</v>
      </c>
      <c r="J595" s="1">
        <v>0</v>
      </c>
      <c r="N595" s="1">
        <f t="shared" si="9"/>
        <v>93.95</v>
      </c>
    </row>
    <row r="596" spans="1:14">
      <c r="A596" t="s">
        <v>1235</v>
      </c>
      <c r="B596" t="s">
        <v>1234</v>
      </c>
      <c r="C596" t="s">
        <v>49</v>
      </c>
      <c r="D596" t="s">
        <v>12</v>
      </c>
      <c r="E596" s="1">
        <v>36356.49</v>
      </c>
      <c r="F596" s="1">
        <v>0</v>
      </c>
      <c r="H596" s="1">
        <v>0</v>
      </c>
      <c r="I596" s="1">
        <v>36356.49</v>
      </c>
      <c r="J596" s="1">
        <v>16880.88</v>
      </c>
      <c r="N596" s="1">
        <f>ROUND(+I596*0.0775,2)</f>
        <v>2817.63</v>
      </c>
    </row>
    <row r="597" spans="1:14">
      <c r="A597" t="s">
        <v>1237</v>
      </c>
      <c r="B597" t="s">
        <v>1236</v>
      </c>
      <c r="C597" t="s">
        <v>1185</v>
      </c>
      <c r="D597" t="s">
        <v>1184</v>
      </c>
      <c r="E597" s="1">
        <v>32687.86</v>
      </c>
      <c r="F597" s="1">
        <v>0</v>
      </c>
      <c r="H597" s="1">
        <v>480</v>
      </c>
      <c r="I597" s="1">
        <v>33167.86</v>
      </c>
      <c r="J597" s="1">
        <v>0</v>
      </c>
      <c r="N597" s="1">
        <f t="shared" si="9"/>
        <v>2570.5100000000002</v>
      </c>
    </row>
    <row r="598" spans="1:14">
      <c r="A598" t="s">
        <v>1021</v>
      </c>
      <c r="B598" t="s">
        <v>258</v>
      </c>
      <c r="C598" t="s">
        <v>1148</v>
      </c>
      <c r="D598" t="s">
        <v>1147</v>
      </c>
      <c r="E598" s="1">
        <v>31038.317999999996</v>
      </c>
      <c r="F598" s="1">
        <v>1928.7719999999999</v>
      </c>
      <c r="H598" s="1">
        <v>0</v>
      </c>
      <c r="I598" s="1">
        <v>32967.089999999997</v>
      </c>
      <c r="J598" s="1">
        <v>0</v>
      </c>
      <c r="N598" s="1">
        <f t="shared" si="9"/>
        <v>2554.9499999999998</v>
      </c>
    </row>
    <row r="599" spans="1:14">
      <c r="A599" t="s">
        <v>1239</v>
      </c>
      <c r="B599" t="s">
        <v>1238</v>
      </c>
      <c r="C599" t="s">
        <v>299</v>
      </c>
      <c r="D599" t="s">
        <v>79</v>
      </c>
      <c r="E599" s="1">
        <v>12101.57</v>
      </c>
      <c r="F599" s="1">
        <v>0</v>
      </c>
      <c r="H599" s="1">
        <v>0</v>
      </c>
      <c r="I599" s="1">
        <v>12101.57</v>
      </c>
      <c r="J599" s="1">
        <v>0</v>
      </c>
      <c r="N599" s="1">
        <f t="shared" si="9"/>
        <v>937.87</v>
      </c>
    </row>
    <row r="600" spans="1:14">
      <c r="A600" t="s">
        <v>312</v>
      </c>
      <c r="B600" t="s">
        <v>305</v>
      </c>
      <c r="C600" t="s">
        <v>265</v>
      </c>
      <c r="D600" t="s">
        <v>79</v>
      </c>
      <c r="E600" s="1">
        <v>16720.11</v>
      </c>
      <c r="F600" s="1">
        <v>0</v>
      </c>
      <c r="H600" s="1">
        <v>0</v>
      </c>
      <c r="I600" s="1">
        <v>16720.11</v>
      </c>
      <c r="J600" s="1">
        <v>0</v>
      </c>
      <c r="N600" s="1">
        <f t="shared" si="9"/>
        <v>1295.81</v>
      </c>
    </row>
    <row r="601" spans="1:14">
      <c r="A601" t="s">
        <v>1241</v>
      </c>
      <c r="B601" t="s">
        <v>1240</v>
      </c>
      <c r="C601" t="s">
        <v>1148</v>
      </c>
      <c r="D601" t="s">
        <v>1147</v>
      </c>
      <c r="E601" s="1">
        <v>11056.370999999999</v>
      </c>
      <c r="F601" s="1">
        <v>1985.9490000000001</v>
      </c>
      <c r="H601" s="1">
        <v>0</v>
      </c>
      <c r="I601" s="1">
        <v>13042.32</v>
      </c>
      <c r="J601" s="1">
        <v>0</v>
      </c>
      <c r="N601" s="1">
        <f t="shared" si="9"/>
        <v>1010.78</v>
      </c>
    </row>
    <row r="602" spans="1:14">
      <c r="A602" t="s">
        <v>1243</v>
      </c>
      <c r="B602" t="s">
        <v>1242</v>
      </c>
      <c r="C602" t="s">
        <v>1148</v>
      </c>
      <c r="D602" t="s">
        <v>1147</v>
      </c>
      <c r="E602" s="1">
        <v>48684.1</v>
      </c>
      <c r="F602" s="1">
        <v>0</v>
      </c>
      <c r="H602" s="1">
        <v>0</v>
      </c>
      <c r="I602" s="1">
        <v>48684.1</v>
      </c>
      <c r="J602" s="1">
        <v>0</v>
      </c>
      <c r="N602" s="1">
        <f t="shared" si="9"/>
        <v>3773.02</v>
      </c>
    </row>
    <row r="603" spans="1:14">
      <c r="A603" t="s">
        <v>679</v>
      </c>
      <c r="B603" t="s">
        <v>1245</v>
      </c>
      <c r="C603" t="s">
        <v>1244</v>
      </c>
      <c r="D603" t="s">
        <v>30</v>
      </c>
      <c r="E603" s="1">
        <v>57731.999999999993</v>
      </c>
      <c r="F603" s="1">
        <v>0</v>
      </c>
      <c r="G603" s="1">
        <v>3663.76</v>
      </c>
      <c r="H603" s="1">
        <v>1868.4800000000032</v>
      </c>
      <c r="I603" s="1">
        <v>63264.24</v>
      </c>
      <c r="J603" s="1">
        <v>22377.84</v>
      </c>
      <c r="N603" s="1">
        <f t="shared" si="9"/>
        <v>4902.9799999999996</v>
      </c>
    </row>
    <row r="604" spans="1:14">
      <c r="A604" t="s">
        <v>312</v>
      </c>
      <c r="B604" t="s">
        <v>1246</v>
      </c>
      <c r="C604" t="s">
        <v>486</v>
      </c>
      <c r="D604" t="s">
        <v>102</v>
      </c>
      <c r="E604" s="1">
        <v>10857.74</v>
      </c>
      <c r="F604" s="1">
        <v>0</v>
      </c>
      <c r="H604" s="1">
        <v>0</v>
      </c>
      <c r="I604" s="1">
        <v>10857.74</v>
      </c>
      <c r="J604" s="1">
        <v>0</v>
      </c>
      <c r="N604" s="1">
        <f t="shared" si="9"/>
        <v>841.47</v>
      </c>
    </row>
    <row r="605" spans="1:14">
      <c r="A605" t="s">
        <v>108</v>
      </c>
      <c r="B605" t="s">
        <v>1247</v>
      </c>
      <c r="C605" t="s">
        <v>334</v>
      </c>
      <c r="D605" t="s">
        <v>71</v>
      </c>
      <c r="E605" s="1">
        <v>1826.35</v>
      </c>
      <c r="F605" s="1">
        <v>0</v>
      </c>
      <c r="H605" s="1">
        <v>0</v>
      </c>
      <c r="I605" s="1">
        <v>1826.35</v>
      </c>
      <c r="J605" s="1">
        <v>0</v>
      </c>
      <c r="N605" s="1">
        <f t="shared" si="9"/>
        <v>141.54</v>
      </c>
    </row>
    <row r="606" spans="1:14">
      <c r="A606" t="s">
        <v>1250</v>
      </c>
      <c r="B606" t="s">
        <v>1249</v>
      </c>
      <c r="C606" t="s">
        <v>1248</v>
      </c>
      <c r="D606" t="s">
        <v>16</v>
      </c>
      <c r="E606" s="1">
        <v>23587.22</v>
      </c>
      <c r="F606" s="1">
        <v>0</v>
      </c>
      <c r="H606" s="1">
        <v>0</v>
      </c>
      <c r="I606" s="1">
        <v>23587.22</v>
      </c>
      <c r="J606" s="1">
        <v>0</v>
      </c>
      <c r="N606" s="1">
        <f t="shared" si="9"/>
        <v>1828.01</v>
      </c>
    </row>
    <row r="607" spans="1:14">
      <c r="A607" t="s">
        <v>1252</v>
      </c>
      <c r="B607" t="s">
        <v>1251</v>
      </c>
      <c r="C607" t="s">
        <v>1185</v>
      </c>
      <c r="D607" t="s">
        <v>1184</v>
      </c>
      <c r="E607" s="1">
        <v>33432</v>
      </c>
      <c r="F607" s="1">
        <v>0</v>
      </c>
      <c r="H607" s="1">
        <v>480</v>
      </c>
      <c r="I607" s="1">
        <v>33912</v>
      </c>
      <c r="J607" s="1">
        <v>0</v>
      </c>
      <c r="N607" s="1">
        <f t="shared" si="9"/>
        <v>2628.18</v>
      </c>
    </row>
    <row r="608" spans="1:14">
      <c r="A608" t="s">
        <v>389</v>
      </c>
      <c r="B608" t="s">
        <v>1253</v>
      </c>
      <c r="C608" t="s">
        <v>1148</v>
      </c>
      <c r="D608" t="s">
        <v>1147</v>
      </c>
      <c r="E608" s="1">
        <v>8259.23</v>
      </c>
      <c r="F608" s="1">
        <v>0</v>
      </c>
      <c r="H608" s="1">
        <v>0</v>
      </c>
      <c r="I608" s="1">
        <v>8259.23</v>
      </c>
      <c r="J608" s="1">
        <v>0</v>
      </c>
      <c r="N608" s="1">
        <f t="shared" si="9"/>
        <v>640.09</v>
      </c>
    </row>
    <row r="609" spans="1:14">
      <c r="A609" t="s">
        <v>1255</v>
      </c>
      <c r="B609" t="s">
        <v>1254</v>
      </c>
      <c r="C609" t="s">
        <v>1173</v>
      </c>
      <c r="D609" t="s">
        <v>71</v>
      </c>
      <c r="E609" s="1">
        <v>1373.56</v>
      </c>
      <c r="F609" s="1">
        <v>0</v>
      </c>
      <c r="H609" s="1">
        <v>0</v>
      </c>
      <c r="I609" s="1">
        <v>1373.56</v>
      </c>
      <c r="J609" s="1">
        <v>0</v>
      </c>
      <c r="N609" s="1">
        <f t="shared" si="9"/>
        <v>106.45</v>
      </c>
    </row>
    <row r="610" spans="1:14">
      <c r="A610" t="s">
        <v>1257</v>
      </c>
      <c r="B610" t="s">
        <v>1256</v>
      </c>
      <c r="C610" t="s">
        <v>13</v>
      </c>
      <c r="D610" t="s">
        <v>12</v>
      </c>
      <c r="E610" s="1">
        <v>19816.29</v>
      </c>
      <c r="F610" s="1">
        <v>0</v>
      </c>
      <c r="H610" s="1">
        <v>0</v>
      </c>
      <c r="I610" s="1">
        <v>19816.29</v>
      </c>
      <c r="J610" s="1">
        <v>0</v>
      </c>
      <c r="N610" s="1">
        <f t="shared" si="9"/>
        <v>1535.76</v>
      </c>
    </row>
    <row r="611" spans="1:14">
      <c r="A611" t="s">
        <v>1258</v>
      </c>
      <c r="B611" t="s">
        <v>716</v>
      </c>
      <c r="C611" t="s">
        <v>334</v>
      </c>
      <c r="D611" t="s">
        <v>71</v>
      </c>
      <c r="E611" s="1">
        <v>5136.63</v>
      </c>
      <c r="F611" s="1">
        <v>0</v>
      </c>
      <c r="H611" s="1">
        <v>0</v>
      </c>
      <c r="I611" s="1">
        <v>5136.63</v>
      </c>
      <c r="J611" s="1">
        <v>0</v>
      </c>
      <c r="N611" s="1">
        <f t="shared" si="9"/>
        <v>398.09</v>
      </c>
    </row>
    <row r="612" spans="1:14">
      <c r="A612" t="s">
        <v>977</v>
      </c>
      <c r="B612" t="s">
        <v>1259</v>
      </c>
      <c r="C612" t="s">
        <v>334</v>
      </c>
      <c r="D612" t="s">
        <v>71</v>
      </c>
      <c r="E612" s="1">
        <v>8936.1299999999992</v>
      </c>
      <c r="F612" s="1">
        <v>0</v>
      </c>
      <c r="H612" s="1">
        <v>0</v>
      </c>
      <c r="I612" s="1">
        <v>8936.1299999999992</v>
      </c>
      <c r="J612" s="1">
        <v>0</v>
      </c>
      <c r="N612" s="1">
        <f t="shared" si="9"/>
        <v>692.55</v>
      </c>
    </row>
    <row r="613" spans="1:14">
      <c r="A613" t="s">
        <v>1261</v>
      </c>
      <c r="B613" t="s">
        <v>1260</v>
      </c>
      <c r="C613" t="s">
        <v>334</v>
      </c>
      <c r="D613" t="s">
        <v>71</v>
      </c>
      <c r="E613" s="1">
        <v>41769.26</v>
      </c>
      <c r="F613" s="1">
        <v>0</v>
      </c>
      <c r="H613" s="1">
        <v>0</v>
      </c>
      <c r="I613" s="1">
        <v>41769.26</v>
      </c>
      <c r="J613" s="1">
        <v>2104.6799999999998</v>
      </c>
      <c r="N613" s="1">
        <f t="shared" si="9"/>
        <v>3237.12</v>
      </c>
    </row>
    <row r="614" spans="1:14">
      <c r="A614" t="s">
        <v>1263</v>
      </c>
      <c r="B614" t="s">
        <v>1262</v>
      </c>
      <c r="C614" t="s">
        <v>118</v>
      </c>
      <c r="D614" t="s">
        <v>79</v>
      </c>
      <c r="E614" s="1">
        <v>6543.92</v>
      </c>
      <c r="F614" s="1">
        <v>0</v>
      </c>
      <c r="H614" s="1">
        <v>8999.9</v>
      </c>
      <c r="I614" s="1">
        <v>15543.82</v>
      </c>
      <c r="J614" s="1">
        <v>21559.32</v>
      </c>
      <c r="N614" s="1">
        <f t="shared" ref="N614:N677" si="10">ROUND(+I614*0.0775,2)</f>
        <v>1204.6500000000001</v>
      </c>
    </row>
    <row r="615" spans="1:14">
      <c r="A615" t="s">
        <v>1265</v>
      </c>
      <c r="B615" t="s">
        <v>1264</v>
      </c>
      <c r="C615" t="s">
        <v>109</v>
      </c>
      <c r="D615" t="s">
        <v>79</v>
      </c>
      <c r="E615" s="1">
        <v>133.16999999999999</v>
      </c>
      <c r="F615" s="1">
        <v>0</v>
      </c>
      <c r="H615" s="1">
        <v>0</v>
      </c>
      <c r="I615" s="1">
        <v>133.16999999999999</v>
      </c>
      <c r="J615" s="1">
        <v>0</v>
      </c>
      <c r="N615" s="1">
        <f t="shared" si="10"/>
        <v>10.32</v>
      </c>
    </row>
    <row r="616" spans="1:14">
      <c r="A616" t="s">
        <v>1267</v>
      </c>
      <c r="B616" t="s">
        <v>1266</v>
      </c>
      <c r="C616" t="s">
        <v>1148</v>
      </c>
      <c r="D616" t="s">
        <v>1147</v>
      </c>
      <c r="E616" s="1">
        <v>36827.464999999997</v>
      </c>
      <c r="F616" s="1">
        <v>2710.395</v>
      </c>
      <c r="H616" s="1">
        <v>0</v>
      </c>
      <c r="I616" s="1">
        <v>39537.859999999993</v>
      </c>
      <c r="J616" s="1">
        <v>0</v>
      </c>
      <c r="N616" s="1">
        <f t="shared" si="10"/>
        <v>3064.18</v>
      </c>
    </row>
    <row r="617" spans="1:14">
      <c r="A617" t="s">
        <v>1269</v>
      </c>
      <c r="B617" t="s">
        <v>1268</v>
      </c>
      <c r="C617" t="s">
        <v>227</v>
      </c>
      <c r="D617" t="s">
        <v>115</v>
      </c>
      <c r="E617" s="1">
        <v>14687.05</v>
      </c>
      <c r="F617" s="1">
        <v>0</v>
      </c>
      <c r="H617" s="1">
        <v>0</v>
      </c>
      <c r="I617" s="1">
        <v>14687.05</v>
      </c>
      <c r="J617" s="1">
        <v>0</v>
      </c>
      <c r="N617" s="1">
        <f t="shared" si="10"/>
        <v>1138.25</v>
      </c>
    </row>
    <row r="618" spans="1:14">
      <c r="A618" t="s">
        <v>1272</v>
      </c>
      <c r="B618" t="s">
        <v>1271</v>
      </c>
      <c r="C618" t="s">
        <v>1270</v>
      </c>
      <c r="D618" t="s">
        <v>16</v>
      </c>
      <c r="E618" s="1">
        <v>16057.05</v>
      </c>
      <c r="F618" s="1">
        <v>0</v>
      </c>
      <c r="H618" s="1">
        <v>0</v>
      </c>
      <c r="I618" s="1">
        <v>16057.05</v>
      </c>
      <c r="J618" s="1">
        <v>0</v>
      </c>
      <c r="N618" s="1">
        <f t="shared" si="10"/>
        <v>1244.42</v>
      </c>
    </row>
    <row r="619" spans="1:14">
      <c r="A619" t="s">
        <v>1274</v>
      </c>
      <c r="B619" t="s">
        <v>1273</v>
      </c>
      <c r="C619" t="s">
        <v>307</v>
      </c>
      <c r="D619" t="s">
        <v>79</v>
      </c>
      <c r="E619" s="1">
        <v>20644.310000000001</v>
      </c>
      <c r="F619" s="1">
        <v>0</v>
      </c>
      <c r="H619" s="1">
        <v>0</v>
      </c>
      <c r="I619" s="1">
        <v>20644.310000000001</v>
      </c>
      <c r="J619" s="1">
        <v>0</v>
      </c>
      <c r="N619" s="1">
        <f t="shared" si="10"/>
        <v>1599.93</v>
      </c>
    </row>
    <row r="620" spans="1:14">
      <c r="A620" t="s">
        <v>1275</v>
      </c>
      <c r="B620" t="s">
        <v>1246</v>
      </c>
      <c r="C620" t="s">
        <v>1148</v>
      </c>
      <c r="D620" t="s">
        <v>1147</v>
      </c>
      <c r="E620" s="1">
        <v>32606.660499999998</v>
      </c>
      <c r="F620" s="1">
        <v>2811.9794999999999</v>
      </c>
      <c r="H620" s="1">
        <v>0</v>
      </c>
      <c r="I620" s="1">
        <v>35418.639999999999</v>
      </c>
      <c r="J620" s="1">
        <v>0</v>
      </c>
      <c r="N620" s="1">
        <f t="shared" si="10"/>
        <v>2744.94</v>
      </c>
    </row>
    <row r="621" spans="1:14">
      <c r="A621" t="s">
        <v>973</v>
      </c>
      <c r="B621" t="s">
        <v>1277</v>
      </c>
      <c r="C621" t="s">
        <v>1276</v>
      </c>
      <c r="D621" t="s">
        <v>79</v>
      </c>
      <c r="E621" s="1">
        <v>32134.63</v>
      </c>
      <c r="F621" s="1">
        <v>0</v>
      </c>
      <c r="H621" s="1">
        <v>0</v>
      </c>
      <c r="I621" s="1">
        <v>32134.63</v>
      </c>
      <c r="J621" s="1">
        <v>0</v>
      </c>
      <c r="N621" s="1">
        <f t="shared" si="10"/>
        <v>2490.4299999999998</v>
      </c>
    </row>
    <row r="622" spans="1:14">
      <c r="A622" t="s">
        <v>1279</v>
      </c>
      <c r="B622" t="s">
        <v>1278</v>
      </c>
      <c r="C622" t="s">
        <v>1185</v>
      </c>
      <c r="D622" t="s">
        <v>1184</v>
      </c>
      <c r="E622" s="1">
        <v>42876.1</v>
      </c>
      <c r="F622" s="1">
        <v>0</v>
      </c>
      <c r="H622" s="1">
        <v>480</v>
      </c>
      <c r="I622" s="1">
        <v>43356.1</v>
      </c>
      <c r="J622" s="1">
        <v>0</v>
      </c>
      <c r="N622" s="1">
        <f t="shared" si="10"/>
        <v>3360.1</v>
      </c>
    </row>
    <row r="623" spans="1:14">
      <c r="A623" t="s">
        <v>415</v>
      </c>
      <c r="B623" t="s">
        <v>1281</v>
      </c>
      <c r="C623" t="s">
        <v>1280</v>
      </c>
      <c r="D623" t="s">
        <v>58</v>
      </c>
      <c r="E623" s="1">
        <v>2908.84</v>
      </c>
      <c r="F623" s="1">
        <v>0</v>
      </c>
      <c r="H623" s="1">
        <v>0</v>
      </c>
      <c r="I623" s="1">
        <v>2908.84</v>
      </c>
      <c r="J623" s="1">
        <v>0</v>
      </c>
      <c r="N623" s="1">
        <f t="shared" si="10"/>
        <v>225.44</v>
      </c>
    </row>
    <row r="624" spans="1:14">
      <c r="A624" t="s">
        <v>415</v>
      </c>
      <c r="B624" t="s">
        <v>1282</v>
      </c>
      <c r="C624" t="s">
        <v>13</v>
      </c>
      <c r="D624" t="s">
        <v>12</v>
      </c>
      <c r="E624" s="1">
        <v>6858.69</v>
      </c>
      <c r="F624" s="1">
        <v>0</v>
      </c>
      <c r="H624" s="1">
        <v>0</v>
      </c>
      <c r="I624" s="1">
        <v>6858.69</v>
      </c>
      <c r="J624" s="1">
        <v>0</v>
      </c>
      <c r="N624" s="1">
        <f t="shared" si="10"/>
        <v>531.54999999999995</v>
      </c>
    </row>
    <row r="625" spans="1:14">
      <c r="A625" t="s">
        <v>1284</v>
      </c>
      <c r="B625" t="s">
        <v>1283</v>
      </c>
      <c r="C625" t="s">
        <v>1148</v>
      </c>
      <c r="D625" t="s">
        <v>1147</v>
      </c>
      <c r="E625" s="1">
        <v>40506.170599999998</v>
      </c>
      <c r="F625" s="1">
        <v>8201.3094000000001</v>
      </c>
      <c r="H625" s="1">
        <v>0</v>
      </c>
      <c r="I625" s="1">
        <v>48707.479999999996</v>
      </c>
      <c r="J625" s="1">
        <v>0</v>
      </c>
      <c r="N625" s="1">
        <f t="shared" si="10"/>
        <v>3774.83</v>
      </c>
    </row>
    <row r="626" spans="1:14">
      <c r="A626" t="s">
        <v>1286</v>
      </c>
      <c r="B626" t="s">
        <v>1285</v>
      </c>
      <c r="C626" t="s">
        <v>1151</v>
      </c>
      <c r="D626" t="s">
        <v>102</v>
      </c>
      <c r="E626" s="1">
        <v>2030.51</v>
      </c>
      <c r="F626" s="1">
        <v>0</v>
      </c>
      <c r="H626" s="1">
        <v>0</v>
      </c>
      <c r="I626" s="1">
        <v>2030.51</v>
      </c>
      <c r="J626" s="1">
        <v>0</v>
      </c>
      <c r="N626" s="1">
        <f t="shared" si="10"/>
        <v>157.36000000000001</v>
      </c>
    </row>
    <row r="627" spans="1:14">
      <c r="A627" t="s">
        <v>1288</v>
      </c>
      <c r="B627" t="s">
        <v>1287</v>
      </c>
      <c r="C627" t="s">
        <v>778</v>
      </c>
      <c r="D627" t="s">
        <v>115</v>
      </c>
      <c r="E627" s="1">
        <v>58874.34</v>
      </c>
      <c r="F627" s="1">
        <v>0</v>
      </c>
      <c r="H627" s="1">
        <v>0</v>
      </c>
      <c r="I627" s="1">
        <v>58874.34</v>
      </c>
      <c r="J627" s="1">
        <v>0</v>
      </c>
      <c r="N627" s="1">
        <f t="shared" si="10"/>
        <v>4562.76</v>
      </c>
    </row>
    <row r="628" spans="1:14">
      <c r="A628" t="s">
        <v>1290</v>
      </c>
      <c r="B628" t="s">
        <v>1289</v>
      </c>
      <c r="C628" t="s">
        <v>486</v>
      </c>
      <c r="D628" t="s">
        <v>102</v>
      </c>
      <c r="E628" s="1">
        <v>4821.4399999999996</v>
      </c>
      <c r="F628" s="1">
        <v>0</v>
      </c>
      <c r="H628" s="1">
        <v>0</v>
      </c>
      <c r="I628" s="1">
        <v>4821.4399999999996</v>
      </c>
      <c r="J628" s="1">
        <v>0</v>
      </c>
      <c r="N628" s="1">
        <f t="shared" si="10"/>
        <v>373.66</v>
      </c>
    </row>
    <row r="629" spans="1:14">
      <c r="A629" t="s">
        <v>1293</v>
      </c>
      <c r="B629" t="s">
        <v>1292</v>
      </c>
      <c r="C629" t="s">
        <v>1291</v>
      </c>
      <c r="D629" t="s">
        <v>30</v>
      </c>
      <c r="E629" s="1">
        <v>20232.53</v>
      </c>
      <c r="F629" s="1">
        <v>0</v>
      </c>
      <c r="H629" s="1">
        <v>0</v>
      </c>
      <c r="I629" s="1">
        <v>20232.53</v>
      </c>
      <c r="J629" s="1">
        <v>0</v>
      </c>
      <c r="N629" s="1">
        <f t="shared" si="10"/>
        <v>1568.02</v>
      </c>
    </row>
    <row r="630" spans="1:14">
      <c r="A630" t="s">
        <v>1296</v>
      </c>
      <c r="B630" t="s">
        <v>1295</v>
      </c>
      <c r="C630" t="s">
        <v>1294</v>
      </c>
      <c r="D630" t="s">
        <v>115</v>
      </c>
      <c r="E630" s="1">
        <v>31053.21</v>
      </c>
      <c r="F630" s="1">
        <v>0</v>
      </c>
      <c r="H630" s="1">
        <v>0</v>
      </c>
      <c r="I630" s="1">
        <v>31053.21</v>
      </c>
      <c r="J630" s="1">
        <v>0</v>
      </c>
      <c r="N630" s="1">
        <f t="shared" si="10"/>
        <v>2406.62</v>
      </c>
    </row>
    <row r="631" spans="1:14">
      <c r="A631" t="s">
        <v>1298</v>
      </c>
      <c r="B631" t="s">
        <v>1297</v>
      </c>
      <c r="C631" t="s">
        <v>13</v>
      </c>
      <c r="D631" t="s">
        <v>12</v>
      </c>
      <c r="E631" s="1">
        <v>16600.29</v>
      </c>
      <c r="F631" s="1">
        <v>0</v>
      </c>
      <c r="H631" s="1">
        <v>0</v>
      </c>
      <c r="I631" s="1">
        <v>16600.29</v>
      </c>
      <c r="J631" s="1">
        <v>0</v>
      </c>
      <c r="N631" s="1">
        <f t="shared" si="10"/>
        <v>1286.52</v>
      </c>
    </row>
    <row r="632" spans="1:14">
      <c r="A632" t="s">
        <v>1300</v>
      </c>
      <c r="B632" t="s">
        <v>1299</v>
      </c>
      <c r="C632" t="s">
        <v>486</v>
      </c>
      <c r="D632" t="s">
        <v>102</v>
      </c>
      <c r="E632" s="1">
        <v>6339.57</v>
      </c>
      <c r="F632" s="1">
        <v>0</v>
      </c>
      <c r="H632" s="1">
        <v>0</v>
      </c>
      <c r="I632" s="1">
        <v>6339.57</v>
      </c>
      <c r="J632" s="1">
        <v>0</v>
      </c>
      <c r="N632" s="1">
        <f t="shared" si="10"/>
        <v>491.32</v>
      </c>
    </row>
    <row r="633" spans="1:14">
      <c r="A633" t="s">
        <v>65</v>
      </c>
      <c r="B633" t="s">
        <v>525</v>
      </c>
      <c r="C633" t="s">
        <v>189</v>
      </c>
      <c r="D633" t="s">
        <v>58</v>
      </c>
      <c r="E633" s="1">
        <v>6920.45</v>
      </c>
      <c r="F633" s="1">
        <v>0</v>
      </c>
      <c r="H633" s="1">
        <v>0</v>
      </c>
      <c r="I633" s="1">
        <v>6920.45</v>
      </c>
      <c r="J633" s="1">
        <v>0</v>
      </c>
      <c r="N633" s="1">
        <f t="shared" si="10"/>
        <v>536.33000000000004</v>
      </c>
    </row>
    <row r="634" spans="1:14">
      <c r="A634" t="s">
        <v>1301</v>
      </c>
      <c r="B634" t="s">
        <v>342</v>
      </c>
      <c r="C634" t="s">
        <v>1151</v>
      </c>
      <c r="D634" t="s">
        <v>102</v>
      </c>
      <c r="E634" s="1">
        <v>900.44</v>
      </c>
      <c r="F634" s="1">
        <v>0</v>
      </c>
      <c r="H634" s="1">
        <v>0</v>
      </c>
      <c r="I634" s="1">
        <v>900.44</v>
      </c>
      <c r="J634" s="1">
        <v>0</v>
      </c>
      <c r="N634" s="1">
        <f t="shared" si="10"/>
        <v>69.78</v>
      </c>
    </row>
    <row r="635" spans="1:14">
      <c r="A635" t="s">
        <v>1303</v>
      </c>
      <c r="B635" t="s">
        <v>1302</v>
      </c>
      <c r="C635" t="s">
        <v>334</v>
      </c>
      <c r="D635" t="s">
        <v>71</v>
      </c>
      <c r="E635" s="1">
        <v>334.28</v>
      </c>
      <c r="F635" s="1">
        <v>0</v>
      </c>
      <c r="H635" s="1">
        <v>0</v>
      </c>
      <c r="I635" s="1">
        <v>334.28</v>
      </c>
      <c r="J635" s="1">
        <v>0</v>
      </c>
      <c r="N635" s="1">
        <f t="shared" si="10"/>
        <v>25.91</v>
      </c>
    </row>
    <row r="636" spans="1:14">
      <c r="A636" t="s">
        <v>1306</v>
      </c>
      <c r="B636" t="s">
        <v>1305</v>
      </c>
      <c r="C636" t="s">
        <v>1304</v>
      </c>
      <c r="D636" t="s">
        <v>62</v>
      </c>
      <c r="E636" s="1">
        <v>14740.58</v>
      </c>
      <c r="F636" s="1">
        <v>0</v>
      </c>
      <c r="H636" s="1">
        <v>0</v>
      </c>
      <c r="I636" s="1">
        <v>14740.58</v>
      </c>
      <c r="J636" s="1">
        <v>0</v>
      </c>
      <c r="N636" s="1">
        <f t="shared" si="10"/>
        <v>1142.3900000000001</v>
      </c>
    </row>
    <row r="637" spans="1:14">
      <c r="A637" t="s">
        <v>1308</v>
      </c>
      <c r="B637" t="s">
        <v>1307</v>
      </c>
      <c r="C637" t="s">
        <v>1151</v>
      </c>
      <c r="D637" t="s">
        <v>102</v>
      </c>
      <c r="E637" s="1">
        <v>842.74</v>
      </c>
      <c r="F637" s="1">
        <v>0</v>
      </c>
      <c r="H637" s="1">
        <v>0</v>
      </c>
      <c r="I637" s="1">
        <v>842.74</v>
      </c>
      <c r="J637" s="1">
        <v>0</v>
      </c>
      <c r="N637" s="1">
        <f t="shared" si="10"/>
        <v>65.31</v>
      </c>
    </row>
    <row r="638" spans="1:14">
      <c r="A638" t="s">
        <v>1310</v>
      </c>
      <c r="B638" t="s">
        <v>1309</v>
      </c>
      <c r="C638" t="s">
        <v>334</v>
      </c>
      <c r="D638" t="s">
        <v>71</v>
      </c>
      <c r="E638" s="1">
        <v>22030.42</v>
      </c>
      <c r="F638" s="1">
        <v>0</v>
      </c>
      <c r="H638" s="1">
        <v>0</v>
      </c>
      <c r="I638" s="1">
        <v>22030.42</v>
      </c>
      <c r="J638" s="1">
        <v>0</v>
      </c>
      <c r="N638" s="1">
        <f t="shared" si="10"/>
        <v>1707.36</v>
      </c>
    </row>
    <row r="639" spans="1:14">
      <c r="A639" t="s">
        <v>1312</v>
      </c>
      <c r="B639" t="s">
        <v>1311</v>
      </c>
      <c r="C639" t="s">
        <v>1151</v>
      </c>
      <c r="D639" t="s">
        <v>102</v>
      </c>
      <c r="E639" s="1">
        <v>588.61</v>
      </c>
      <c r="F639" s="1">
        <v>0</v>
      </c>
      <c r="H639" s="1">
        <v>0</v>
      </c>
      <c r="I639" s="1">
        <v>588.61</v>
      </c>
      <c r="J639" s="1">
        <v>0</v>
      </c>
      <c r="N639" s="1">
        <f t="shared" si="10"/>
        <v>45.62</v>
      </c>
    </row>
    <row r="640" spans="1:14">
      <c r="A640" t="s">
        <v>1315</v>
      </c>
      <c r="B640" t="s">
        <v>1314</v>
      </c>
      <c r="C640" t="s">
        <v>1313</v>
      </c>
      <c r="D640" t="s">
        <v>102</v>
      </c>
      <c r="E640" s="1">
        <v>846.46</v>
      </c>
      <c r="F640" s="1">
        <v>0</v>
      </c>
      <c r="H640" s="1">
        <v>0</v>
      </c>
      <c r="I640" s="1">
        <v>846.46</v>
      </c>
      <c r="J640" s="1">
        <v>0</v>
      </c>
      <c r="N640" s="1">
        <f t="shared" si="10"/>
        <v>65.599999999999994</v>
      </c>
    </row>
    <row r="641" spans="1:14">
      <c r="A641" t="s">
        <v>1318</v>
      </c>
      <c r="B641" t="s">
        <v>1317</v>
      </c>
      <c r="C641" t="s">
        <v>1316</v>
      </c>
      <c r="D641" t="s">
        <v>58</v>
      </c>
      <c r="E641" s="1">
        <v>15809.91</v>
      </c>
      <c r="F641" s="1">
        <v>0</v>
      </c>
      <c r="H641" s="1">
        <v>0</v>
      </c>
      <c r="I641" s="1">
        <v>15809.91</v>
      </c>
      <c r="J641" s="1">
        <v>0</v>
      </c>
      <c r="N641" s="1">
        <f t="shared" si="10"/>
        <v>1225.27</v>
      </c>
    </row>
    <row r="642" spans="1:14">
      <c r="A642" t="s">
        <v>1025</v>
      </c>
      <c r="B642" t="s">
        <v>1319</v>
      </c>
      <c r="C642" t="s">
        <v>486</v>
      </c>
      <c r="D642" t="s">
        <v>102</v>
      </c>
      <c r="E642" s="1">
        <v>6550.75</v>
      </c>
      <c r="F642" s="1">
        <v>0</v>
      </c>
      <c r="H642" s="1">
        <v>0</v>
      </c>
      <c r="I642" s="1">
        <v>6550.75</v>
      </c>
      <c r="J642" s="1">
        <v>0</v>
      </c>
      <c r="N642" s="1">
        <f t="shared" si="10"/>
        <v>507.68</v>
      </c>
    </row>
    <row r="643" spans="1:14">
      <c r="A643" t="s">
        <v>643</v>
      </c>
      <c r="B643" t="s">
        <v>1320</v>
      </c>
      <c r="C643" t="s">
        <v>1185</v>
      </c>
      <c r="D643" t="s">
        <v>1184</v>
      </c>
      <c r="E643" s="1">
        <v>88900.71</v>
      </c>
      <c r="F643" s="1">
        <v>0</v>
      </c>
      <c r="H643" s="1">
        <v>4800</v>
      </c>
      <c r="I643" s="1">
        <v>93700.71</v>
      </c>
      <c r="J643" s="1">
        <v>0</v>
      </c>
      <c r="N643" s="1">
        <f t="shared" si="10"/>
        <v>7261.81</v>
      </c>
    </row>
    <row r="644" spans="1:14">
      <c r="A644" t="s">
        <v>1322</v>
      </c>
      <c r="B644" t="s">
        <v>1321</v>
      </c>
      <c r="C644" t="s">
        <v>13</v>
      </c>
      <c r="D644" t="s">
        <v>12</v>
      </c>
      <c r="E644" s="1">
        <v>8034.78</v>
      </c>
      <c r="F644" s="1">
        <v>0</v>
      </c>
      <c r="H644" s="1">
        <v>0</v>
      </c>
      <c r="I644" s="1">
        <v>8034.78</v>
      </c>
      <c r="J644" s="1">
        <v>0</v>
      </c>
      <c r="N644" s="1">
        <f t="shared" si="10"/>
        <v>622.70000000000005</v>
      </c>
    </row>
    <row r="645" spans="1:14">
      <c r="A645" t="s">
        <v>1324</v>
      </c>
      <c r="B645" t="s">
        <v>1323</v>
      </c>
      <c r="C645" t="s">
        <v>486</v>
      </c>
      <c r="D645" t="s">
        <v>102</v>
      </c>
      <c r="E645" s="1">
        <v>10024.59</v>
      </c>
      <c r="F645" s="1">
        <v>0</v>
      </c>
      <c r="H645" s="1">
        <v>0</v>
      </c>
      <c r="I645" s="1">
        <v>10024.59</v>
      </c>
      <c r="J645" s="1">
        <v>0</v>
      </c>
      <c r="N645" s="1">
        <f t="shared" si="10"/>
        <v>776.91</v>
      </c>
    </row>
    <row r="646" spans="1:14">
      <c r="A646" t="s">
        <v>1326</v>
      </c>
      <c r="B646" t="s">
        <v>1325</v>
      </c>
      <c r="C646" t="s">
        <v>116</v>
      </c>
      <c r="D646" t="s">
        <v>79</v>
      </c>
      <c r="E646" s="1">
        <v>21013.84</v>
      </c>
      <c r="F646" s="1">
        <v>0</v>
      </c>
      <c r="H646" s="1">
        <v>0</v>
      </c>
      <c r="I646" s="1">
        <v>21013.84</v>
      </c>
      <c r="J646" s="1">
        <v>0</v>
      </c>
      <c r="N646" s="1">
        <f t="shared" si="10"/>
        <v>1628.57</v>
      </c>
    </row>
    <row r="647" spans="1:14">
      <c r="A647" t="s">
        <v>1252</v>
      </c>
      <c r="B647" t="s">
        <v>1327</v>
      </c>
      <c r="C647" t="s">
        <v>1313</v>
      </c>
      <c r="D647" t="s">
        <v>102</v>
      </c>
      <c r="E647" s="1">
        <v>1322.44</v>
      </c>
      <c r="F647" s="1">
        <v>0</v>
      </c>
      <c r="H647" s="1">
        <v>0</v>
      </c>
      <c r="I647" s="1">
        <v>1322.44</v>
      </c>
      <c r="J647" s="1">
        <v>0</v>
      </c>
      <c r="N647" s="1">
        <f t="shared" si="10"/>
        <v>102.49</v>
      </c>
    </row>
    <row r="648" spans="1:14">
      <c r="A648" t="s">
        <v>1329</v>
      </c>
      <c r="B648" t="s">
        <v>1328</v>
      </c>
      <c r="C648" t="s">
        <v>170</v>
      </c>
      <c r="D648" t="s">
        <v>62</v>
      </c>
      <c r="E648" s="1">
        <v>23357.49</v>
      </c>
      <c r="F648" s="1">
        <v>0</v>
      </c>
      <c r="H648" s="1">
        <v>0</v>
      </c>
      <c r="I648" s="1">
        <v>23357.49</v>
      </c>
      <c r="J648" s="1">
        <v>0</v>
      </c>
      <c r="N648" s="1">
        <f t="shared" si="10"/>
        <v>1810.21</v>
      </c>
    </row>
    <row r="649" spans="1:14">
      <c r="A649" t="s">
        <v>1331</v>
      </c>
      <c r="B649" t="s">
        <v>1330</v>
      </c>
      <c r="C649" t="s">
        <v>1151</v>
      </c>
      <c r="D649" t="s">
        <v>102</v>
      </c>
      <c r="E649" s="1">
        <v>437.26</v>
      </c>
      <c r="F649" s="1">
        <v>0</v>
      </c>
      <c r="H649" s="1">
        <v>0</v>
      </c>
      <c r="I649" s="1">
        <v>437.26</v>
      </c>
      <c r="J649" s="1">
        <v>0</v>
      </c>
      <c r="N649" s="1">
        <f t="shared" si="10"/>
        <v>33.89</v>
      </c>
    </row>
    <row r="650" spans="1:14">
      <c r="A650" t="s">
        <v>1029</v>
      </c>
      <c r="B650" t="s">
        <v>1332</v>
      </c>
      <c r="C650" t="s">
        <v>334</v>
      </c>
      <c r="D650" t="s">
        <v>71</v>
      </c>
      <c r="E650" s="1">
        <v>260.91000000000003</v>
      </c>
      <c r="F650" s="1">
        <v>0</v>
      </c>
      <c r="H650" s="1">
        <v>0</v>
      </c>
      <c r="I650" s="1">
        <v>260.91000000000003</v>
      </c>
      <c r="J650" s="1">
        <v>0</v>
      </c>
      <c r="N650" s="1">
        <f t="shared" si="10"/>
        <v>20.22</v>
      </c>
    </row>
    <row r="651" spans="1:14">
      <c r="A651" t="s">
        <v>1334</v>
      </c>
      <c r="B651" t="s">
        <v>1333</v>
      </c>
      <c r="C651" t="s">
        <v>118</v>
      </c>
      <c r="D651" t="s">
        <v>79</v>
      </c>
      <c r="E651" s="1">
        <v>9844.9800000000014</v>
      </c>
      <c r="F651" s="1">
        <v>0</v>
      </c>
      <c r="H651" s="1">
        <v>8999.9</v>
      </c>
      <c r="I651" s="1">
        <v>18844.88</v>
      </c>
      <c r="J651" s="1">
        <v>0</v>
      </c>
      <c r="N651" s="1">
        <f t="shared" si="10"/>
        <v>1460.48</v>
      </c>
    </row>
    <row r="652" spans="1:14">
      <c r="A652" t="s">
        <v>1336</v>
      </c>
      <c r="B652" t="s">
        <v>1335</v>
      </c>
      <c r="C652" t="s">
        <v>1313</v>
      </c>
      <c r="D652" t="s">
        <v>102</v>
      </c>
      <c r="E652" s="1">
        <v>1192.77</v>
      </c>
      <c r="F652" s="1">
        <v>0</v>
      </c>
      <c r="H652" s="1">
        <v>0</v>
      </c>
      <c r="I652" s="1">
        <v>1192.77</v>
      </c>
      <c r="J652" s="1">
        <v>0</v>
      </c>
      <c r="N652" s="1">
        <f t="shared" si="10"/>
        <v>92.44</v>
      </c>
    </row>
    <row r="653" spans="1:14">
      <c r="A653" t="s">
        <v>1009</v>
      </c>
      <c r="B653" t="s">
        <v>702</v>
      </c>
      <c r="C653" t="s">
        <v>103</v>
      </c>
      <c r="D653" t="s">
        <v>102</v>
      </c>
      <c r="E653" s="1">
        <v>1019.88</v>
      </c>
      <c r="F653" s="1">
        <v>0</v>
      </c>
      <c r="H653" s="1">
        <v>0</v>
      </c>
      <c r="I653" s="1">
        <v>1019.88</v>
      </c>
      <c r="J653" s="1">
        <v>0</v>
      </c>
      <c r="N653" s="1">
        <f t="shared" si="10"/>
        <v>79.040000000000006</v>
      </c>
    </row>
    <row r="654" spans="1:14">
      <c r="A654" t="s">
        <v>1338</v>
      </c>
      <c r="B654" t="s">
        <v>1337</v>
      </c>
      <c r="C654" t="s">
        <v>1185</v>
      </c>
      <c r="D654" t="s">
        <v>1184</v>
      </c>
      <c r="E654" s="1">
        <v>31379.91</v>
      </c>
      <c r="F654" s="1">
        <v>0</v>
      </c>
      <c r="H654" s="1">
        <v>480</v>
      </c>
      <c r="I654" s="1">
        <v>31859.91</v>
      </c>
      <c r="J654" s="1">
        <v>0</v>
      </c>
      <c r="N654" s="1">
        <f t="shared" si="10"/>
        <v>2469.14</v>
      </c>
    </row>
    <row r="655" spans="1:14">
      <c r="A655" t="s">
        <v>1340</v>
      </c>
      <c r="B655" t="s">
        <v>1339</v>
      </c>
      <c r="C655" t="s">
        <v>362</v>
      </c>
      <c r="D655" t="s">
        <v>30</v>
      </c>
      <c r="E655" s="1">
        <v>23129.34</v>
      </c>
      <c r="F655" s="1">
        <v>0</v>
      </c>
      <c r="H655" s="1">
        <v>0</v>
      </c>
      <c r="I655" s="1">
        <v>23129.34</v>
      </c>
      <c r="J655" s="1">
        <v>0</v>
      </c>
      <c r="N655" s="1">
        <f t="shared" si="10"/>
        <v>1792.52</v>
      </c>
    </row>
    <row r="656" spans="1:14">
      <c r="A656" t="s">
        <v>1342</v>
      </c>
      <c r="B656" t="s">
        <v>1341</v>
      </c>
      <c r="C656" t="s">
        <v>341</v>
      </c>
      <c r="D656" t="s">
        <v>12</v>
      </c>
      <c r="E656" s="1">
        <v>19627.66</v>
      </c>
      <c r="F656" s="1">
        <v>0</v>
      </c>
      <c r="H656" s="1">
        <v>0</v>
      </c>
      <c r="I656" s="1">
        <v>19627.66</v>
      </c>
      <c r="J656" s="1">
        <v>0</v>
      </c>
      <c r="N656" s="1">
        <f t="shared" si="10"/>
        <v>1521.14</v>
      </c>
    </row>
    <row r="657" spans="1:14">
      <c r="A657" t="s">
        <v>1344</v>
      </c>
      <c r="B657" t="s">
        <v>1343</v>
      </c>
      <c r="C657" t="s">
        <v>241</v>
      </c>
      <c r="D657" t="s">
        <v>12</v>
      </c>
      <c r="E657" s="1">
        <v>44086.530699999996</v>
      </c>
      <c r="F657" s="1">
        <v>2352.9893000000002</v>
      </c>
      <c r="G657" s="1">
        <v>1859.15</v>
      </c>
      <c r="H657" s="1">
        <v>750</v>
      </c>
      <c r="I657" s="1">
        <v>49048.67</v>
      </c>
      <c r="J657" s="1">
        <v>22377.84</v>
      </c>
      <c r="N657" s="1">
        <f t="shared" si="10"/>
        <v>3801.27</v>
      </c>
    </row>
    <row r="658" spans="1:14">
      <c r="A658" t="s">
        <v>345</v>
      </c>
      <c r="B658" t="s">
        <v>1346</v>
      </c>
      <c r="C658" t="s">
        <v>1345</v>
      </c>
      <c r="D658" t="s">
        <v>71</v>
      </c>
      <c r="E658" s="1">
        <v>10858.24</v>
      </c>
      <c r="F658" s="1">
        <v>0</v>
      </c>
      <c r="H658" s="1">
        <v>0</v>
      </c>
      <c r="I658" s="1">
        <v>10858.24</v>
      </c>
      <c r="J658" s="1">
        <v>0</v>
      </c>
      <c r="N658" s="1">
        <f t="shared" si="10"/>
        <v>841.51</v>
      </c>
    </row>
    <row r="659" spans="1:14">
      <c r="A659" t="s">
        <v>1348</v>
      </c>
      <c r="B659" t="s">
        <v>1347</v>
      </c>
      <c r="C659" t="s">
        <v>334</v>
      </c>
      <c r="D659" t="s">
        <v>71</v>
      </c>
      <c r="E659" s="1">
        <v>1926.65</v>
      </c>
      <c r="F659" s="1">
        <v>0</v>
      </c>
      <c r="H659" s="1">
        <v>0</v>
      </c>
      <c r="I659" s="1">
        <v>1926.65</v>
      </c>
      <c r="J659" s="1">
        <v>0</v>
      </c>
      <c r="N659" s="1">
        <f t="shared" si="10"/>
        <v>149.32</v>
      </c>
    </row>
    <row r="660" spans="1:14">
      <c r="A660" t="s">
        <v>182</v>
      </c>
      <c r="B660" t="s">
        <v>1349</v>
      </c>
      <c r="C660" t="s">
        <v>1151</v>
      </c>
      <c r="D660" t="s">
        <v>102</v>
      </c>
      <c r="E660" s="1">
        <v>1720.97</v>
      </c>
      <c r="F660" s="1">
        <v>0</v>
      </c>
      <c r="H660" s="1">
        <v>0</v>
      </c>
      <c r="I660" s="1">
        <v>1720.97</v>
      </c>
      <c r="J660" s="1">
        <v>0</v>
      </c>
      <c r="N660" s="1">
        <f t="shared" si="10"/>
        <v>133.38</v>
      </c>
    </row>
    <row r="661" spans="1:14">
      <c r="A661" t="s">
        <v>445</v>
      </c>
      <c r="B661" t="s">
        <v>1350</v>
      </c>
      <c r="C661" t="s">
        <v>486</v>
      </c>
      <c r="D661" t="s">
        <v>102</v>
      </c>
      <c r="E661" s="1">
        <v>3224.36</v>
      </c>
      <c r="F661" s="1">
        <v>0</v>
      </c>
      <c r="H661" s="1">
        <v>0</v>
      </c>
      <c r="I661" s="1">
        <v>3224.36</v>
      </c>
      <c r="J661" s="1">
        <v>0</v>
      </c>
      <c r="N661" s="1">
        <f t="shared" si="10"/>
        <v>249.89</v>
      </c>
    </row>
    <row r="662" spans="1:14">
      <c r="A662" t="s">
        <v>607</v>
      </c>
      <c r="B662" t="s">
        <v>1351</v>
      </c>
      <c r="C662" t="s">
        <v>192</v>
      </c>
      <c r="D662" t="s">
        <v>12</v>
      </c>
      <c r="E662" s="1">
        <v>4267.99</v>
      </c>
      <c r="F662" s="1">
        <v>0</v>
      </c>
      <c r="H662" s="1">
        <v>0</v>
      </c>
      <c r="I662" s="1">
        <v>4267.99</v>
      </c>
      <c r="J662" s="1">
        <v>0</v>
      </c>
      <c r="N662" s="1">
        <f t="shared" si="10"/>
        <v>330.77</v>
      </c>
    </row>
    <row r="663" spans="1:14">
      <c r="A663" t="s">
        <v>1353</v>
      </c>
      <c r="B663" t="s">
        <v>1352</v>
      </c>
      <c r="C663" t="s">
        <v>118</v>
      </c>
      <c r="D663" t="s">
        <v>79</v>
      </c>
      <c r="E663" s="1">
        <v>6508.92</v>
      </c>
      <c r="F663" s="1">
        <v>0</v>
      </c>
      <c r="H663" s="1">
        <v>8999.9</v>
      </c>
      <c r="I663" s="1">
        <v>15508.82</v>
      </c>
      <c r="J663" s="1">
        <v>8510.2800000000007</v>
      </c>
      <c r="N663" s="1">
        <f t="shared" si="10"/>
        <v>1201.93</v>
      </c>
    </row>
    <row r="664" spans="1:14">
      <c r="A664" t="s">
        <v>319</v>
      </c>
      <c r="B664" t="s">
        <v>1354</v>
      </c>
      <c r="C664" t="s">
        <v>109</v>
      </c>
      <c r="D664" t="s">
        <v>79</v>
      </c>
      <c r="E664" s="1">
        <v>19477.88</v>
      </c>
      <c r="F664" s="1">
        <v>0</v>
      </c>
      <c r="H664" s="1">
        <v>0</v>
      </c>
      <c r="I664" s="1">
        <v>19477.88</v>
      </c>
      <c r="J664" s="1">
        <v>0</v>
      </c>
      <c r="N664" s="1">
        <f t="shared" si="10"/>
        <v>1509.54</v>
      </c>
    </row>
    <row r="665" spans="1:14">
      <c r="A665" t="s">
        <v>1357</v>
      </c>
      <c r="B665" t="s">
        <v>1356</v>
      </c>
      <c r="C665" t="s">
        <v>1355</v>
      </c>
      <c r="D665" t="s">
        <v>71</v>
      </c>
      <c r="E665" s="1">
        <v>46588.8099</v>
      </c>
      <c r="F665" s="1">
        <v>15179.7601</v>
      </c>
      <c r="H665" s="1">
        <v>1800</v>
      </c>
      <c r="I665" s="1">
        <v>63568.57</v>
      </c>
      <c r="J665" s="1">
        <v>18688.68</v>
      </c>
      <c r="N665" s="1">
        <f t="shared" si="10"/>
        <v>4926.5600000000004</v>
      </c>
    </row>
    <row r="666" spans="1:14">
      <c r="A666" t="s">
        <v>1359</v>
      </c>
      <c r="B666" t="s">
        <v>1358</v>
      </c>
      <c r="C666" t="s">
        <v>1355</v>
      </c>
      <c r="D666" t="s">
        <v>71</v>
      </c>
      <c r="E666" s="1">
        <v>13677.923199999999</v>
      </c>
      <c r="F666" s="1">
        <v>127.1468</v>
      </c>
      <c r="H666" s="1">
        <v>380</v>
      </c>
      <c r="I666" s="1">
        <v>14185.07</v>
      </c>
      <c r="J666" s="1">
        <v>18688.68</v>
      </c>
      <c r="N666" s="1">
        <f t="shared" si="10"/>
        <v>1099.3399999999999</v>
      </c>
    </row>
    <row r="667" spans="1:14">
      <c r="A667" t="s">
        <v>1361</v>
      </c>
      <c r="B667" t="s">
        <v>1360</v>
      </c>
      <c r="C667" t="s">
        <v>1355</v>
      </c>
      <c r="D667" t="s">
        <v>71</v>
      </c>
      <c r="E667" s="1">
        <v>24659.489099999999</v>
      </c>
      <c r="F667" s="1">
        <v>3764.9009000000001</v>
      </c>
      <c r="H667" s="1">
        <v>840</v>
      </c>
      <c r="I667" s="1">
        <v>29264.39</v>
      </c>
      <c r="J667" s="1">
        <v>18688.68</v>
      </c>
      <c r="N667" s="1">
        <f t="shared" si="10"/>
        <v>2267.9899999999998</v>
      </c>
    </row>
    <row r="668" spans="1:14">
      <c r="A668" t="s">
        <v>1362</v>
      </c>
      <c r="B668" t="s">
        <v>555</v>
      </c>
      <c r="C668" t="s">
        <v>1185</v>
      </c>
      <c r="D668" t="s">
        <v>1184</v>
      </c>
      <c r="E668" s="1">
        <v>51954.3</v>
      </c>
      <c r="F668" s="1">
        <v>0</v>
      </c>
      <c r="H668" s="1">
        <v>0</v>
      </c>
      <c r="I668" s="1">
        <v>51954.3</v>
      </c>
      <c r="J668" s="1">
        <v>0</v>
      </c>
      <c r="N668" s="1">
        <f t="shared" si="10"/>
        <v>4026.46</v>
      </c>
    </row>
    <row r="669" spans="1:14">
      <c r="A669" t="s">
        <v>693</v>
      </c>
      <c r="B669" t="s">
        <v>1363</v>
      </c>
      <c r="C669" t="s">
        <v>486</v>
      </c>
      <c r="D669" t="s">
        <v>102</v>
      </c>
      <c r="E669" s="1">
        <v>7551.68</v>
      </c>
      <c r="F669" s="1">
        <v>0</v>
      </c>
      <c r="H669" s="1">
        <v>0</v>
      </c>
      <c r="I669" s="1">
        <v>7551.68</v>
      </c>
      <c r="J669" s="1">
        <v>0</v>
      </c>
      <c r="N669" s="1">
        <f t="shared" si="10"/>
        <v>585.26</v>
      </c>
    </row>
    <row r="670" spans="1:14">
      <c r="A670" t="s">
        <v>976</v>
      </c>
      <c r="B670" t="s">
        <v>1364</v>
      </c>
      <c r="C670" t="s">
        <v>1313</v>
      </c>
      <c r="D670" t="s">
        <v>102</v>
      </c>
      <c r="E670" s="1">
        <v>3287.94</v>
      </c>
      <c r="F670" s="1">
        <v>0</v>
      </c>
      <c r="H670" s="1">
        <v>0</v>
      </c>
      <c r="I670" s="1">
        <v>3287.94</v>
      </c>
      <c r="J670" s="1">
        <v>0</v>
      </c>
      <c r="N670" s="1">
        <f t="shared" si="10"/>
        <v>254.82</v>
      </c>
    </row>
    <row r="671" spans="1:14">
      <c r="A671" t="s">
        <v>65</v>
      </c>
      <c r="B671" t="s">
        <v>1365</v>
      </c>
      <c r="C671" t="s">
        <v>1316</v>
      </c>
      <c r="D671" t="s">
        <v>58</v>
      </c>
      <c r="E671" s="1">
        <v>23205.27</v>
      </c>
      <c r="F671" s="1">
        <v>0</v>
      </c>
      <c r="H671" s="1">
        <v>0</v>
      </c>
      <c r="I671" s="1">
        <v>23205.27</v>
      </c>
      <c r="J671" s="1">
        <v>0</v>
      </c>
      <c r="N671" s="1">
        <f t="shared" si="10"/>
        <v>1798.41</v>
      </c>
    </row>
    <row r="672" spans="1:14">
      <c r="A672" t="s">
        <v>309</v>
      </c>
      <c r="B672" t="s">
        <v>1366</v>
      </c>
      <c r="C672" t="s">
        <v>1345</v>
      </c>
      <c r="D672" t="s">
        <v>71</v>
      </c>
      <c r="E672" s="1">
        <v>262.81</v>
      </c>
      <c r="F672" s="1">
        <v>0</v>
      </c>
      <c r="H672" s="1">
        <v>0</v>
      </c>
      <c r="I672" s="1">
        <v>262.81</v>
      </c>
      <c r="J672" s="1">
        <v>0</v>
      </c>
      <c r="N672" s="1">
        <f t="shared" si="10"/>
        <v>20.37</v>
      </c>
    </row>
    <row r="673" spans="1:14">
      <c r="A673" t="s">
        <v>1207</v>
      </c>
      <c r="B673" t="s">
        <v>1367</v>
      </c>
      <c r="C673" t="s">
        <v>1148</v>
      </c>
      <c r="D673" t="s">
        <v>1147</v>
      </c>
      <c r="E673" s="1">
        <v>9195.81</v>
      </c>
      <c r="F673" s="1">
        <v>0</v>
      </c>
      <c r="H673" s="1">
        <v>0</v>
      </c>
      <c r="I673" s="1">
        <v>9195.81</v>
      </c>
      <c r="J673" s="1">
        <v>0</v>
      </c>
      <c r="N673" s="1">
        <f t="shared" si="10"/>
        <v>712.68</v>
      </c>
    </row>
    <row r="674" spans="1:14">
      <c r="A674" t="s">
        <v>1370</v>
      </c>
      <c r="B674" t="s">
        <v>1369</v>
      </c>
      <c r="C674" t="s">
        <v>1368</v>
      </c>
      <c r="D674" t="s">
        <v>102</v>
      </c>
      <c r="E674" s="1">
        <v>244.37</v>
      </c>
      <c r="F674" s="1">
        <v>0</v>
      </c>
      <c r="H674" s="1">
        <v>0</v>
      </c>
      <c r="I674" s="1">
        <v>244.37</v>
      </c>
      <c r="J674" s="1">
        <v>0</v>
      </c>
      <c r="N674" s="1">
        <f t="shared" si="10"/>
        <v>18.940000000000001</v>
      </c>
    </row>
    <row r="675" spans="1:14">
      <c r="A675" t="s">
        <v>1370</v>
      </c>
      <c r="B675" t="s">
        <v>1371</v>
      </c>
      <c r="C675" t="s">
        <v>1368</v>
      </c>
      <c r="D675" t="s">
        <v>102</v>
      </c>
      <c r="E675" s="1">
        <v>167.7</v>
      </c>
      <c r="F675" s="1">
        <v>0</v>
      </c>
      <c r="H675" s="1">
        <v>0</v>
      </c>
      <c r="I675" s="1">
        <v>167.7</v>
      </c>
      <c r="J675" s="1">
        <v>0</v>
      </c>
      <c r="N675" s="1">
        <f t="shared" si="10"/>
        <v>13</v>
      </c>
    </row>
    <row r="676" spans="1:14">
      <c r="A676" t="s">
        <v>1373</v>
      </c>
      <c r="B676" t="s">
        <v>1372</v>
      </c>
      <c r="C676" t="s">
        <v>486</v>
      </c>
      <c r="D676" t="s">
        <v>102</v>
      </c>
      <c r="E676" s="1">
        <v>1110.3800000000001</v>
      </c>
      <c r="F676" s="1">
        <v>0</v>
      </c>
      <c r="H676" s="1">
        <v>0</v>
      </c>
      <c r="I676" s="1">
        <v>1110.3800000000001</v>
      </c>
      <c r="J676" s="1">
        <v>0</v>
      </c>
      <c r="N676" s="1">
        <f t="shared" si="10"/>
        <v>86.05</v>
      </c>
    </row>
    <row r="677" spans="1:14">
      <c r="A677" t="s">
        <v>461</v>
      </c>
      <c r="B677" t="s">
        <v>1374</v>
      </c>
      <c r="C677" t="s">
        <v>486</v>
      </c>
      <c r="D677" t="s">
        <v>102</v>
      </c>
      <c r="E677" s="1">
        <v>8429.7999999999993</v>
      </c>
      <c r="F677" s="1">
        <v>0</v>
      </c>
      <c r="H677" s="1">
        <v>0</v>
      </c>
      <c r="I677" s="1">
        <v>8429.7999999999993</v>
      </c>
      <c r="J677" s="1">
        <v>0</v>
      </c>
      <c r="N677" s="1">
        <f t="shared" si="10"/>
        <v>653.30999999999995</v>
      </c>
    </row>
    <row r="678" spans="1:14">
      <c r="A678" t="s">
        <v>1377</v>
      </c>
      <c r="B678" t="s">
        <v>1376</v>
      </c>
      <c r="C678" t="s">
        <v>1375</v>
      </c>
      <c r="D678" t="s">
        <v>102</v>
      </c>
      <c r="E678" s="1">
        <v>8298.06</v>
      </c>
      <c r="F678" s="1">
        <v>0</v>
      </c>
      <c r="H678" s="1">
        <v>0</v>
      </c>
      <c r="I678" s="1">
        <v>8298.06</v>
      </c>
      <c r="J678" s="1">
        <v>0</v>
      </c>
      <c r="N678" s="1">
        <f t="shared" ref="N678:N741" si="11">ROUND(+I678*0.0775,2)</f>
        <v>643.1</v>
      </c>
    </row>
    <row r="679" spans="1:14">
      <c r="A679" t="s">
        <v>1379</v>
      </c>
      <c r="B679" t="s">
        <v>1378</v>
      </c>
      <c r="C679" t="s">
        <v>1224</v>
      </c>
      <c r="D679" t="s">
        <v>102</v>
      </c>
      <c r="E679" s="1">
        <v>2881.06</v>
      </c>
      <c r="F679" s="1">
        <v>0</v>
      </c>
      <c r="H679" s="1">
        <v>0</v>
      </c>
      <c r="I679" s="1">
        <v>2881.06</v>
      </c>
      <c r="J679" s="1">
        <v>0</v>
      </c>
      <c r="N679" s="1">
        <f t="shared" si="11"/>
        <v>223.28</v>
      </c>
    </row>
    <row r="680" spans="1:14">
      <c r="A680" t="s">
        <v>111</v>
      </c>
      <c r="B680" t="s">
        <v>1380</v>
      </c>
      <c r="C680" t="s">
        <v>1280</v>
      </c>
      <c r="D680" t="s">
        <v>58</v>
      </c>
      <c r="E680" s="1">
        <v>3083.6</v>
      </c>
      <c r="F680" s="1">
        <v>0</v>
      </c>
      <c r="H680" s="1">
        <v>0</v>
      </c>
      <c r="I680" s="1">
        <v>3083.6</v>
      </c>
      <c r="J680" s="1">
        <v>0</v>
      </c>
      <c r="N680" s="1">
        <f t="shared" si="11"/>
        <v>238.98</v>
      </c>
    </row>
    <row r="681" spans="1:14">
      <c r="A681" t="s">
        <v>1382</v>
      </c>
      <c r="B681" t="s">
        <v>1381</v>
      </c>
      <c r="C681" t="s">
        <v>1313</v>
      </c>
      <c r="D681" t="s">
        <v>102</v>
      </c>
      <c r="E681" s="1">
        <v>2867.65</v>
      </c>
      <c r="F681" s="1">
        <v>0</v>
      </c>
      <c r="H681" s="1">
        <v>0</v>
      </c>
      <c r="I681" s="1">
        <v>2867.65</v>
      </c>
      <c r="J681" s="1">
        <v>0</v>
      </c>
      <c r="N681" s="1">
        <f t="shared" si="11"/>
        <v>222.24</v>
      </c>
    </row>
    <row r="682" spans="1:14">
      <c r="A682" t="s">
        <v>1384</v>
      </c>
      <c r="B682" t="s">
        <v>1383</v>
      </c>
      <c r="C682" t="s">
        <v>192</v>
      </c>
      <c r="D682" t="s">
        <v>12</v>
      </c>
      <c r="E682" s="1">
        <v>2025</v>
      </c>
      <c r="F682" s="1">
        <v>0</v>
      </c>
      <c r="H682" s="1">
        <v>0</v>
      </c>
      <c r="I682" s="1">
        <v>2025</v>
      </c>
      <c r="J682" s="1">
        <v>0</v>
      </c>
      <c r="N682" s="1">
        <f t="shared" si="11"/>
        <v>156.94</v>
      </c>
    </row>
    <row r="683" spans="1:14">
      <c r="A683" t="s">
        <v>1386</v>
      </c>
      <c r="B683" t="s">
        <v>1385</v>
      </c>
      <c r="C683" t="s">
        <v>1148</v>
      </c>
      <c r="D683" t="s">
        <v>1147</v>
      </c>
      <c r="E683" s="1">
        <v>358.08</v>
      </c>
      <c r="F683" s="1">
        <v>0</v>
      </c>
      <c r="H683" s="1">
        <v>0</v>
      </c>
      <c r="I683" s="1">
        <v>358.08</v>
      </c>
      <c r="J683" s="1">
        <v>0</v>
      </c>
      <c r="N683" s="1">
        <f t="shared" si="11"/>
        <v>27.75</v>
      </c>
    </row>
    <row r="684" spans="1:14">
      <c r="A684" t="s">
        <v>1388</v>
      </c>
      <c r="B684" t="s">
        <v>1387</v>
      </c>
      <c r="C684" t="s">
        <v>192</v>
      </c>
      <c r="D684" t="s">
        <v>12</v>
      </c>
      <c r="E684" s="1">
        <v>8091.7</v>
      </c>
      <c r="F684" s="1">
        <v>0</v>
      </c>
      <c r="H684" s="1">
        <v>0</v>
      </c>
      <c r="I684" s="1">
        <v>8091.7</v>
      </c>
      <c r="J684" s="1">
        <v>0</v>
      </c>
      <c r="N684" s="1">
        <f t="shared" si="11"/>
        <v>627.11</v>
      </c>
    </row>
    <row r="685" spans="1:14">
      <c r="A685" t="s">
        <v>1390</v>
      </c>
      <c r="B685" t="s">
        <v>1389</v>
      </c>
      <c r="C685" t="s">
        <v>1148</v>
      </c>
      <c r="D685" t="s">
        <v>1147</v>
      </c>
      <c r="E685" s="1">
        <v>29230.816800000001</v>
      </c>
      <c r="F685" s="1">
        <v>3168.2831999999999</v>
      </c>
      <c r="H685" s="1">
        <v>0</v>
      </c>
      <c r="I685" s="1">
        <v>32399.1</v>
      </c>
      <c r="J685" s="1">
        <v>0</v>
      </c>
      <c r="N685" s="1">
        <f t="shared" si="11"/>
        <v>2510.9299999999998</v>
      </c>
    </row>
    <row r="686" spans="1:14">
      <c r="A686" t="s">
        <v>1392</v>
      </c>
      <c r="B686" t="s">
        <v>1391</v>
      </c>
      <c r="C686" t="s">
        <v>486</v>
      </c>
      <c r="D686" t="s">
        <v>102</v>
      </c>
      <c r="E686" s="1">
        <v>7985.38</v>
      </c>
      <c r="F686" s="1">
        <v>0</v>
      </c>
      <c r="H686" s="1">
        <v>0</v>
      </c>
      <c r="I686" s="1">
        <v>7985.38</v>
      </c>
      <c r="J686" s="1">
        <v>0</v>
      </c>
      <c r="N686" s="1">
        <f t="shared" si="11"/>
        <v>618.87</v>
      </c>
    </row>
    <row r="687" spans="1:14">
      <c r="A687" t="s">
        <v>1322</v>
      </c>
      <c r="B687" t="s">
        <v>1394</v>
      </c>
      <c r="C687" t="s">
        <v>1393</v>
      </c>
      <c r="D687" t="s">
        <v>102</v>
      </c>
      <c r="E687" s="1">
        <v>6157.42</v>
      </c>
      <c r="F687" s="1">
        <v>0</v>
      </c>
      <c r="H687" s="1">
        <v>0</v>
      </c>
      <c r="I687" s="1">
        <v>6157.42</v>
      </c>
      <c r="J687" s="1">
        <v>0</v>
      </c>
      <c r="N687" s="1">
        <f t="shared" si="11"/>
        <v>477.2</v>
      </c>
    </row>
    <row r="688" spans="1:14">
      <c r="A688" t="s">
        <v>1308</v>
      </c>
      <c r="B688" t="s">
        <v>1395</v>
      </c>
      <c r="C688" t="s">
        <v>1393</v>
      </c>
      <c r="D688" t="s">
        <v>102</v>
      </c>
      <c r="E688" s="1">
        <v>1594.97</v>
      </c>
      <c r="F688" s="1">
        <v>0</v>
      </c>
      <c r="H688" s="1">
        <v>0</v>
      </c>
      <c r="I688" s="1">
        <v>1594.97</v>
      </c>
      <c r="J688" s="1">
        <v>0</v>
      </c>
      <c r="N688" s="1">
        <f t="shared" si="11"/>
        <v>123.61</v>
      </c>
    </row>
    <row r="689" spans="1:14">
      <c r="A689" t="s">
        <v>345</v>
      </c>
      <c r="B689" t="s">
        <v>1396</v>
      </c>
      <c r="C689" t="s">
        <v>1280</v>
      </c>
      <c r="D689" t="s">
        <v>58</v>
      </c>
      <c r="E689" s="1">
        <v>2150.9299999999998</v>
      </c>
      <c r="F689" s="1">
        <v>0</v>
      </c>
      <c r="H689" s="1">
        <v>0</v>
      </c>
      <c r="I689" s="1">
        <v>2150.9299999999998</v>
      </c>
      <c r="J689" s="1">
        <v>0</v>
      </c>
      <c r="N689" s="1">
        <f t="shared" si="11"/>
        <v>166.7</v>
      </c>
    </row>
    <row r="690" spans="1:14">
      <c r="A690" t="s">
        <v>1097</v>
      </c>
      <c r="B690" t="s">
        <v>1397</v>
      </c>
      <c r="C690" t="s">
        <v>1148</v>
      </c>
      <c r="D690" t="s">
        <v>1147</v>
      </c>
      <c r="E690" s="1">
        <v>4564.16</v>
      </c>
      <c r="F690" s="1">
        <v>0</v>
      </c>
      <c r="H690" s="1">
        <v>0</v>
      </c>
      <c r="I690" s="1">
        <v>4564.16</v>
      </c>
      <c r="J690" s="1">
        <v>0</v>
      </c>
      <c r="N690" s="1">
        <f t="shared" si="11"/>
        <v>353.72</v>
      </c>
    </row>
    <row r="691" spans="1:14">
      <c r="A691" t="s">
        <v>415</v>
      </c>
      <c r="B691" t="s">
        <v>1398</v>
      </c>
      <c r="C691" t="s">
        <v>486</v>
      </c>
      <c r="D691" t="s">
        <v>102</v>
      </c>
      <c r="E691" s="1">
        <v>8147.5</v>
      </c>
      <c r="F691" s="1">
        <v>0</v>
      </c>
      <c r="H691" s="1">
        <v>0</v>
      </c>
      <c r="I691" s="1">
        <v>8147.5</v>
      </c>
      <c r="J691" s="1">
        <v>0</v>
      </c>
      <c r="N691" s="1">
        <f t="shared" si="11"/>
        <v>631.42999999999995</v>
      </c>
    </row>
    <row r="692" spans="1:14">
      <c r="A692" t="s">
        <v>1400</v>
      </c>
      <c r="B692" t="s">
        <v>1399</v>
      </c>
      <c r="C692" t="s">
        <v>1224</v>
      </c>
      <c r="D692" t="s">
        <v>102</v>
      </c>
      <c r="E692" s="1">
        <v>3065.07</v>
      </c>
      <c r="F692" s="1">
        <v>0</v>
      </c>
      <c r="H692" s="1">
        <v>0</v>
      </c>
      <c r="I692" s="1">
        <v>3065.07</v>
      </c>
      <c r="J692" s="1">
        <v>0</v>
      </c>
      <c r="N692" s="1">
        <f t="shared" si="11"/>
        <v>237.54</v>
      </c>
    </row>
    <row r="693" spans="1:14">
      <c r="A693" t="s">
        <v>1402</v>
      </c>
      <c r="B693" t="s">
        <v>1401</v>
      </c>
      <c r="C693" t="s">
        <v>1313</v>
      </c>
      <c r="D693" t="s">
        <v>102</v>
      </c>
      <c r="E693" s="1">
        <v>3112.03</v>
      </c>
      <c r="F693" s="1">
        <v>0</v>
      </c>
      <c r="H693" s="1">
        <v>0</v>
      </c>
      <c r="I693" s="1">
        <v>3112.03</v>
      </c>
      <c r="J693" s="1">
        <v>0</v>
      </c>
      <c r="N693" s="1">
        <f t="shared" si="11"/>
        <v>241.18</v>
      </c>
    </row>
    <row r="694" spans="1:14">
      <c r="A694" t="s">
        <v>1404</v>
      </c>
      <c r="B694" t="s">
        <v>1403</v>
      </c>
      <c r="C694" t="s">
        <v>1355</v>
      </c>
      <c r="D694" t="s">
        <v>71</v>
      </c>
      <c r="E694" s="1">
        <v>37786.559200000003</v>
      </c>
      <c r="F694" s="1">
        <v>18452.820800000001</v>
      </c>
      <c r="H694" s="1">
        <v>2430</v>
      </c>
      <c r="I694" s="1">
        <v>58669.380000000005</v>
      </c>
      <c r="J694" s="1">
        <v>14342.16</v>
      </c>
      <c r="N694" s="1">
        <f t="shared" si="11"/>
        <v>4546.88</v>
      </c>
    </row>
    <row r="695" spans="1:14">
      <c r="A695" t="s">
        <v>535</v>
      </c>
      <c r="B695" t="s">
        <v>1405</v>
      </c>
      <c r="C695" t="s">
        <v>1313</v>
      </c>
      <c r="D695" t="s">
        <v>102</v>
      </c>
      <c r="E695" s="1">
        <v>198.85</v>
      </c>
      <c r="F695" s="1">
        <v>0</v>
      </c>
      <c r="H695" s="1">
        <v>0</v>
      </c>
      <c r="I695" s="1">
        <v>198.85</v>
      </c>
      <c r="J695" s="1">
        <v>0</v>
      </c>
      <c r="N695" s="1">
        <f t="shared" si="11"/>
        <v>15.41</v>
      </c>
    </row>
    <row r="696" spans="1:14">
      <c r="A696" t="s">
        <v>340</v>
      </c>
      <c r="B696" t="s">
        <v>1406</v>
      </c>
      <c r="C696" t="s">
        <v>554</v>
      </c>
      <c r="D696" t="s">
        <v>58</v>
      </c>
      <c r="E696" s="1">
        <v>10841.1</v>
      </c>
      <c r="F696" s="1">
        <v>0</v>
      </c>
      <c r="H696" s="1">
        <v>0</v>
      </c>
      <c r="I696" s="1">
        <v>10841.1</v>
      </c>
      <c r="J696" s="1">
        <v>0</v>
      </c>
      <c r="N696" s="1">
        <f t="shared" si="11"/>
        <v>840.19</v>
      </c>
    </row>
    <row r="697" spans="1:14">
      <c r="A697" t="s">
        <v>437</v>
      </c>
      <c r="B697" t="s">
        <v>1408</v>
      </c>
      <c r="C697" t="s">
        <v>1407</v>
      </c>
      <c r="D697" t="s">
        <v>62</v>
      </c>
      <c r="E697" s="1">
        <v>12418.78</v>
      </c>
      <c r="F697" s="1">
        <v>0</v>
      </c>
      <c r="H697" s="1">
        <v>0</v>
      </c>
      <c r="I697" s="1">
        <v>12418.78</v>
      </c>
      <c r="J697" s="1">
        <v>0</v>
      </c>
      <c r="N697" s="1">
        <f t="shared" si="11"/>
        <v>962.46</v>
      </c>
    </row>
    <row r="698" spans="1:14">
      <c r="A698" t="s">
        <v>340</v>
      </c>
      <c r="B698" t="s">
        <v>1409</v>
      </c>
      <c r="C698" t="s">
        <v>192</v>
      </c>
      <c r="D698" t="s">
        <v>12</v>
      </c>
      <c r="E698" s="1">
        <v>3632.33</v>
      </c>
      <c r="F698" s="1">
        <v>0</v>
      </c>
      <c r="H698" s="1">
        <v>0</v>
      </c>
      <c r="I698" s="1">
        <v>3632.33</v>
      </c>
      <c r="J698" s="1">
        <v>0</v>
      </c>
      <c r="N698" s="1">
        <f t="shared" si="11"/>
        <v>281.51</v>
      </c>
    </row>
    <row r="699" spans="1:14">
      <c r="A699" t="s">
        <v>345</v>
      </c>
      <c r="B699" t="s">
        <v>1410</v>
      </c>
      <c r="C699" t="s">
        <v>1313</v>
      </c>
      <c r="D699" t="s">
        <v>102</v>
      </c>
      <c r="E699" s="1">
        <v>239.57</v>
      </c>
      <c r="F699" s="1">
        <v>0</v>
      </c>
      <c r="H699" s="1">
        <v>0</v>
      </c>
      <c r="I699" s="1">
        <v>239.57</v>
      </c>
      <c r="J699" s="1">
        <v>0</v>
      </c>
      <c r="N699" s="1">
        <f t="shared" si="11"/>
        <v>18.57</v>
      </c>
    </row>
    <row r="700" spans="1:14">
      <c r="A700" t="s">
        <v>1412</v>
      </c>
      <c r="B700" t="s">
        <v>1411</v>
      </c>
      <c r="C700" t="s">
        <v>1148</v>
      </c>
      <c r="D700" t="s">
        <v>1147</v>
      </c>
      <c r="E700" s="1">
        <v>572.14</v>
      </c>
      <c r="F700" s="1">
        <v>0</v>
      </c>
      <c r="H700" s="1">
        <v>0</v>
      </c>
      <c r="I700" s="1">
        <v>572.14</v>
      </c>
      <c r="J700" s="1">
        <v>0</v>
      </c>
      <c r="N700" s="1">
        <f t="shared" si="11"/>
        <v>44.34</v>
      </c>
    </row>
    <row r="701" spans="1:14">
      <c r="A701" t="s">
        <v>969</v>
      </c>
      <c r="B701" t="s">
        <v>1413</v>
      </c>
      <c r="C701" t="s">
        <v>1224</v>
      </c>
      <c r="D701" t="s">
        <v>102</v>
      </c>
      <c r="E701" s="1">
        <v>8570.39</v>
      </c>
      <c r="F701" s="1">
        <v>0</v>
      </c>
      <c r="H701" s="1">
        <v>0</v>
      </c>
      <c r="I701" s="1">
        <v>8570.39</v>
      </c>
      <c r="J701" s="1">
        <v>0</v>
      </c>
      <c r="N701" s="1">
        <f t="shared" si="11"/>
        <v>664.21</v>
      </c>
    </row>
    <row r="702" spans="1:14">
      <c r="A702" t="s">
        <v>1415</v>
      </c>
      <c r="B702" t="s">
        <v>1414</v>
      </c>
      <c r="C702" t="s">
        <v>486</v>
      </c>
      <c r="D702" t="s">
        <v>102</v>
      </c>
      <c r="E702" s="1">
        <v>7282.71</v>
      </c>
      <c r="F702" s="1">
        <v>0</v>
      </c>
      <c r="H702" s="1">
        <v>0</v>
      </c>
      <c r="I702" s="1">
        <v>7282.71</v>
      </c>
      <c r="J702" s="1">
        <v>0</v>
      </c>
      <c r="N702" s="1">
        <f t="shared" si="11"/>
        <v>564.41</v>
      </c>
    </row>
    <row r="703" spans="1:14">
      <c r="A703" t="s">
        <v>340</v>
      </c>
      <c r="B703" t="s">
        <v>1416</v>
      </c>
      <c r="C703" t="s">
        <v>192</v>
      </c>
      <c r="D703" t="s">
        <v>12</v>
      </c>
      <c r="E703" s="1">
        <v>381.4</v>
      </c>
      <c r="F703" s="1">
        <v>0</v>
      </c>
      <c r="H703" s="1">
        <v>0</v>
      </c>
      <c r="I703" s="1">
        <v>381.4</v>
      </c>
      <c r="J703" s="1">
        <v>0</v>
      </c>
      <c r="N703" s="1">
        <f t="shared" si="11"/>
        <v>29.56</v>
      </c>
    </row>
    <row r="704" spans="1:14">
      <c r="A704" t="s">
        <v>1418</v>
      </c>
      <c r="B704" t="s">
        <v>1417</v>
      </c>
      <c r="C704" t="s">
        <v>1313</v>
      </c>
      <c r="D704" t="s">
        <v>102</v>
      </c>
      <c r="E704" s="1">
        <v>3064.09</v>
      </c>
      <c r="F704" s="1">
        <v>0</v>
      </c>
      <c r="H704" s="1">
        <v>0</v>
      </c>
      <c r="I704" s="1">
        <v>3064.09</v>
      </c>
      <c r="J704" s="1">
        <v>0</v>
      </c>
      <c r="N704" s="1">
        <f t="shared" si="11"/>
        <v>237.47</v>
      </c>
    </row>
    <row r="705" spans="1:14">
      <c r="A705" t="s">
        <v>1421</v>
      </c>
      <c r="B705" t="s">
        <v>1420</v>
      </c>
      <c r="C705" t="s">
        <v>1419</v>
      </c>
      <c r="D705" t="s">
        <v>62</v>
      </c>
      <c r="E705" s="1">
        <v>10661.58</v>
      </c>
      <c r="F705" s="1">
        <v>0</v>
      </c>
      <c r="H705" s="1">
        <v>0</v>
      </c>
      <c r="I705" s="1">
        <v>10661.58</v>
      </c>
      <c r="J705" s="1">
        <v>0</v>
      </c>
      <c r="N705" s="1">
        <f t="shared" si="11"/>
        <v>826.27</v>
      </c>
    </row>
    <row r="706" spans="1:14">
      <c r="A706" t="s">
        <v>1423</v>
      </c>
      <c r="B706" t="s">
        <v>1422</v>
      </c>
      <c r="C706" t="s">
        <v>470</v>
      </c>
      <c r="D706" t="s">
        <v>79</v>
      </c>
      <c r="E706" s="1">
        <v>3168.1</v>
      </c>
      <c r="F706" s="1">
        <v>0</v>
      </c>
      <c r="H706" s="1">
        <v>0</v>
      </c>
      <c r="I706" s="1">
        <v>3168.1</v>
      </c>
      <c r="J706" s="1">
        <v>0</v>
      </c>
      <c r="N706" s="1">
        <f t="shared" si="11"/>
        <v>245.53</v>
      </c>
    </row>
    <row r="707" spans="1:14">
      <c r="A707" t="s">
        <v>691</v>
      </c>
      <c r="B707" t="s">
        <v>1424</v>
      </c>
      <c r="C707" t="s">
        <v>486</v>
      </c>
      <c r="D707" t="s">
        <v>102</v>
      </c>
      <c r="E707" s="1">
        <v>9803.52</v>
      </c>
      <c r="F707" s="1">
        <v>0</v>
      </c>
      <c r="H707" s="1">
        <v>0</v>
      </c>
      <c r="I707" s="1">
        <v>9803.52</v>
      </c>
      <c r="J707" s="1">
        <v>0</v>
      </c>
      <c r="N707" s="1">
        <f t="shared" si="11"/>
        <v>759.77</v>
      </c>
    </row>
    <row r="708" spans="1:14">
      <c r="A708" t="s">
        <v>1322</v>
      </c>
      <c r="B708" t="s">
        <v>1426</v>
      </c>
      <c r="C708" t="s">
        <v>1425</v>
      </c>
      <c r="D708" t="s">
        <v>102</v>
      </c>
      <c r="E708" s="1">
        <v>7191.78</v>
      </c>
      <c r="F708" s="1">
        <v>0</v>
      </c>
      <c r="H708" s="1">
        <v>0</v>
      </c>
      <c r="I708" s="1">
        <v>7191.78</v>
      </c>
      <c r="J708" s="1">
        <v>0</v>
      </c>
      <c r="N708" s="1">
        <f t="shared" si="11"/>
        <v>557.36</v>
      </c>
    </row>
    <row r="709" spans="1:14">
      <c r="A709" t="s">
        <v>1428</v>
      </c>
      <c r="B709" t="s">
        <v>1427</v>
      </c>
      <c r="C709" t="s">
        <v>1355</v>
      </c>
      <c r="D709" t="s">
        <v>71</v>
      </c>
      <c r="E709" s="1">
        <v>39978.690199999997</v>
      </c>
      <c r="F709" s="1">
        <v>7115.9297999999999</v>
      </c>
      <c r="H709" s="1">
        <v>2430</v>
      </c>
      <c r="I709" s="1">
        <v>49524.619999999995</v>
      </c>
      <c r="J709" s="1">
        <v>18688.68</v>
      </c>
      <c r="N709" s="1">
        <f t="shared" si="11"/>
        <v>3838.16</v>
      </c>
    </row>
    <row r="710" spans="1:14">
      <c r="A710" t="s">
        <v>1275</v>
      </c>
      <c r="B710" t="s">
        <v>1430</v>
      </c>
      <c r="C710" t="s">
        <v>1429</v>
      </c>
      <c r="D710" t="s">
        <v>20</v>
      </c>
      <c r="E710" s="1">
        <v>16024.76</v>
      </c>
      <c r="F710" s="1">
        <v>0</v>
      </c>
      <c r="H710" s="1">
        <v>0</v>
      </c>
      <c r="I710" s="1">
        <v>16024.76</v>
      </c>
      <c r="J710" s="1">
        <v>0</v>
      </c>
      <c r="N710" s="1">
        <f t="shared" si="11"/>
        <v>1241.92</v>
      </c>
    </row>
    <row r="711" spans="1:14">
      <c r="A711" t="s">
        <v>1431</v>
      </c>
      <c r="B711" t="s">
        <v>958</v>
      </c>
      <c r="C711" t="s">
        <v>1355</v>
      </c>
      <c r="D711" t="s">
        <v>71</v>
      </c>
      <c r="E711" s="1">
        <v>46939.877099999991</v>
      </c>
      <c r="F711" s="1">
        <v>15980.802900000001</v>
      </c>
      <c r="H711" s="1">
        <v>2870</v>
      </c>
      <c r="I711" s="1">
        <v>65790.679999999993</v>
      </c>
      <c r="J711" s="1">
        <v>7684.92</v>
      </c>
      <c r="N711" s="1">
        <f t="shared" si="11"/>
        <v>5098.78</v>
      </c>
    </row>
    <row r="712" spans="1:14">
      <c r="A712" t="s">
        <v>177</v>
      </c>
      <c r="B712" t="s">
        <v>1432</v>
      </c>
      <c r="C712" t="s">
        <v>1148</v>
      </c>
      <c r="D712" t="s">
        <v>1147</v>
      </c>
      <c r="E712" s="1">
        <v>28977.695</v>
      </c>
      <c r="F712" s="1">
        <v>2251.7249999999999</v>
      </c>
      <c r="H712" s="1">
        <v>0</v>
      </c>
      <c r="I712" s="1">
        <v>31229.42</v>
      </c>
      <c r="J712" s="1">
        <v>0</v>
      </c>
      <c r="N712" s="1">
        <f t="shared" si="11"/>
        <v>2420.2800000000002</v>
      </c>
    </row>
    <row r="713" spans="1:14">
      <c r="A713" t="s">
        <v>559</v>
      </c>
      <c r="B713" t="s">
        <v>1433</v>
      </c>
      <c r="C713" t="s">
        <v>192</v>
      </c>
      <c r="D713" t="s">
        <v>12</v>
      </c>
      <c r="E713" s="1">
        <v>7530.25</v>
      </c>
      <c r="F713" s="1">
        <v>0</v>
      </c>
      <c r="H713" s="1">
        <v>0</v>
      </c>
      <c r="I713" s="1">
        <v>7530.25</v>
      </c>
      <c r="J713" s="1">
        <v>0</v>
      </c>
      <c r="N713" s="1">
        <f t="shared" si="11"/>
        <v>583.59</v>
      </c>
    </row>
    <row r="714" spans="1:14">
      <c r="A714" t="s">
        <v>1062</v>
      </c>
      <c r="B714" t="s">
        <v>1434</v>
      </c>
      <c r="C714" t="s">
        <v>1345</v>
      </c>
      <c r="D714" t="s">
        <v>71</v>
      </c>
      <c r="E714" s="1">
        <v>7649.89</v>
      </c>
      <c r="F714" s="1">
        <v>0</v>
      </c>
      <c r="H714" s="1">
        <v>0</v>
      </c>
      <c r="I714" s="1">
        <v>7649.89</v>
      </c>
      <c r="J714" s="1">
        <v>0</v>
      </c>
      <c r="N714" s="1">
        <f t="shared" si="11"/>
        <v>592.87</v>
      </c>
    </row>
    <row r="715" spans="1:14">
      <c r="A715" t="s">
        <v>1437</v>
      </c>
      <c r="B715" t="s">
        <v>1436</v>
      </c>
      <c r="C715" t="s">
        <v>1435</v>
      </c>
      <c r="D715" t="s">
        <v>71</v>
      </c>
      <c r="E715" s="1">
        <v>11305.72</v>
      </c>
      <c r="F715" s="1">
        <v>0</v>
      </c>
      <c r="H715" s="1">
        <v>0</v>
      </c>
      <c r="I715" s="1">
        <v>11305.72</v>
      </c>
      <c r="J715" s="1">
        <v>0</v>
      </c>
      <c r="N715" s="1">
        <f t="shared" si="11"/>
        <v>876.19</v>
      </c>
    </row>
    <row r="716" spans="1:14">
      <c r="A716" t="s">
        <v>461</v>
      </c>
      <c r="B716" t="s">
        <v>1439</v>
      </c>
      <c r="C716" t="s">
        <v>1438</v>
      </c>
      <c r="D716" t="s">
        <v>102</v>
      </c>
      <c r="E716" s="1">
        <v>325.81</v>
      </c>
      <c r="F716" s="1">
        <v>0</v>
      </c>
      <c r="H716" s="1">
        <v>0</v>
      </c>
      <c r="I716" s="1">
        <v>325.81</v>
      </c>
      <c r="J716" s="1">
        <v>0</v>
      </c>
      <c r="N716" s="1">
        <f t="shared" si="11"/>
        <v>25.25</v>
      </c>
    </row>
    <row r="717" spans="1:14">
      <c r="A717" t="s">
        <v>1252</v>
      </c>
      <c r="B717" t="s">
        <v>1440</v>
      </c>
      <c r="C717" t="s">
        <v>1313</v>
      </c>
      <c r="D717" t="s">
        <v>102</v>
      </c>
      <c r="E717" s="1">
        <v>1267.33</v>
      </c>
      <c r="F717" s="1">
        <v>0</v>
      </c>
      <c r="H717" s="1">
        <v>0</v>
      </c>
      <c r="I717" s="1">
        <v>1267.33</v>
      </c>
      <c r="J717" s="1">
        <v>0</v>
      </c>
      <c r="N717" s="1">
        <f t="shared" si="11"/>
        <v>98.22</v>
      </c>
    </row>
    <row r="718" spans="1:14">
      <c r="A718" t="s">
        <v>1441</v>
      </c>
      <c r="B718" t="s">
        <v>508</v>
      </c>
      <c r="C718" t="s">
        <v>1224</v>
      </c>
      <c r="D718" t="s">
        <v>102</v>
      </c>
      <c r="E718" s="1">
        <v>198.69</v>
      </c>
      <c r="F718" s="1">
        <v>0</v>
      </c>
      <c r="H718" s="1">
        <v>0</v>
      </c>
      <c r="I718" s="1">
        <v>198.69</v>
      </c>
      <c r="J718" s="1">
        <v>0</v>
      </c>
      <c r="N718" s="1">
        <f t="shared" si="11"/>
        <v>15.4</v>
      </c>
    </row>
    <row r="719" spans="1:14">
      <c r="A719" t="s">
        <v>1443</v>
      </c>
      <c r="B719" t="s">
        <v>1442</v>
      </c>
      <c r="C719" t="s">
        <v>1313</v>
      </c>
      <c r="D719" t="s">
        <v>102</v>
      </c>
      <c r="E719" s="1">
        <v>2041.65</v>
      </c>
      <c r="F719" s="1">
        <v>0</v>
      </c>
      <c r="H719" s="1">
        <v>0</v>
      </c>
      <c r="I719" s="1">
        <v>2041.65</v>
      </c>
      <c r="J719" s="1">
        <v>0</v>
      </c>
      <c r="N719" s="1">
        <f t="shared" si="11"/>
        <v>158.22999999999999</v>
      </c>
    </row>
    <row r="720" spans="1:14">
      <c r="A720" t="s">
        <v>172</v>
      </c>
      <c r="B720" t="s">
        <v>1444</v>
      </c>
      <c r="C720" t="s">
        <v>486</v>
      </c>
      <c r="D720" t="s">
        <v>102</v>
      </c>
      <c r="E720" s="1">
        <v>18.98</v>
      </c>
      <c r="F720" s="1">
        <v>0</v>
      </c>
      <c r="H720" s="1">
        <v>0</v>
      </c>
      <c r="I720" s="1">
        <v>18.98</v>
      </c>
      <c r="J720" s="1">
        <v>0</v>
      </c>
      <c r="N720" s="1">
        <f t="shared" si="11"/>
        <v>1.47</v>
      </c>
    </row>
    <row r="721" spans="1:14">
      <c r="A721" t="s">
        <v>1446</v>
      </c>
      <c r="B721" t="s">
        <v>1445</v>
      </c>
      <c r="C721" t="s">
        <v>1224</v>
      </c>
      <c r="D721" t="s">
        <v>102</v>
      </c>
      <c r="E721" s="1">
        <v>35.19</v>
      </c>
      <c r="F721" s="1">
        <v>0</v>
      </c>
      <c r="H721" s="1">
        <v>0</v>
      </c>
      <c r="I721" s="1">
        <v>35.19</v>
      </c>
      <c r="J721" s="1">
        <v>0</v>
      </c>
      <c r="N721" s="1">
        <f t="shared" si="11"/>
        <v>2.73</v>
      </c>
    </row>
    <row r="722" spans="1:14">
      <c r="A722" t="s">
        <v>1448</v>
      </c>
      <c r="B722" t="s">
        <v>1447</v>
      </c>
      <c r="C722" t="s">
        <v>1345</v>
      </c>
      <c r="D722" t="s">
        <v>71</v>
      </c>
      <c r="E722" s="1">
        <v>2290.2399999999998</v>
      </c>
      <c r="F722" s="1">
        <v>0</v>
      </c>
      <c r="H722" s="1">
        <v>0</v>
      </c>
      <c r="I722" s="1">
        <v>2290.2399999999998</v>
      </c>
      <c r="J722" s="1">
        <v>0</v>
      </c>
      <c r="N722" s="1">
        <f t="shared" si="11"/>
        <v>177.49</v>
      </c>
    </row>
    <row r="723" spans="1:14">
      <c r="A723" t="s">
        <v>1450</v>
      </c>
      <c r="B723" t="s">
        <v>1449</v>
      </c>
      <c r="C723" t="s">
        <v>1224</v>
      </c>
      <c r="D723" t="s">
        <v>102</v>
      </c>
      <c r="E723" s="1">
        <v>683.01</v>
      </c>
      <c r="F723" s="1">
        <v>0</v>
      </c>
      <c r="H723" s="1">
        <v>0</v>
      </c>
      <c r="I723" s="1">
        <v>683.01</v>
      </c>
      <c r="J723" s="1">
        <v>0</v>
      </c>
      <c r="N723" s="1">
        <f t="shared" si="11"/>
        <v>52.93</v>
      </c>
    </row>
    <row r="724" spans="1:14">
      <c r="A724" t="s">
        <v>494</v>
      </c>
      <c r="B724" t="s">
        <v>1451</v>
      </c>
      <c r="C724" t="s">
        <v>13</v>
      </c>
      <c r="D724" t="s">
        <v>12</v>
      </c>
      <c r="E724" s="1">
        <v>15070.32</v>
      </c>
      <c r="F724" s="1">
        <v>0</v>
      </c>
      <c r="H724" s="1">
        <v>0</v>
      </c>
      <c r="I724" s="1">
        <v>15070.32</v>
      </c>
      <c r="J724" s="1">
        <v>0</v>
      </c>
      <c r="N724" s="1">
        <f t="shared" si="11"/>
        <v>1167.95</v>
      </c>
    </row>
    <row r="725" spans="1:14">
      <c r="A725" t="s">
        <v>182</v>
      </c>
      <c r="B725" t="s">
        <v>1452</v>
      </c>
      <c r="C725" t="s">
        <v>1148</v>
      </c>
      <c r="D725" t="s">
        <v>1147</v>
      </c>
      <c r="E725" s="1">
        <v>368.09</v>
      </c>
      <c r="F725" s="1">
        <v>0</v>
      </c>
      <c r="H725" s="1">
        <v>0</v>
      </c>
      <c r="I725" s="1">
        <v>368.09</v>
      </c>
      <c r="J725" s="1">
        <v>0</v>
      </c>
      <c r="N725" s="1">
        <f t="shared" si="11"/>
        <v>28.53</v>
      </c>
    </row>
    <row r="726" spans="1:14">
      <c r="A726" t="s">
        <v>445</v>
      </c>
      <c r="B726" t="s">
        <v>1453</v>
      </c>
      <c r="C726" t="s">
        <v>486</v>
      </c>
      <c r="D726" t="s">
        <v>102</v>
      </c>
      <c r="E726" s="1">
        <v>10342.15</v>
      </c>
      <c r="F726" s="1">
        <v>0</v>
      </c>
      <c r="H726" s="1">
        <v>0</v>
      </c>
      <c r="I726" s="1">
        <v>10342.15</v>
      </c>
      <c r="J726" s="1">
        <v>0</v>
      </c>
      <c r="N726" s="1">
        <f t="shared" si="11"/>
        <v>801.52</v>
      </c>
    </row>
    <row r="727" spans="1:14">
      <c r="A727" t="s">
        <v>1455</v>
      </c>
      <c r="B727" t="s">
        <v>1454</v>
      </c>
      <c r="C727" t="s">
        <v>13</v>
      </c>
      <c r="D727" t="s">
        <v>12</v>
      </c>
      <c r="E727" s="1">
        <v>19504</v>
      </c>
      <c r="F727" s="1">
        <v>0</v>
      </c>
      <c r="H727" s="1">
        <v>0</v>
      </c>
      <c r="I727" s="1">
        <v>19504</v>
      </c>
      <c r="J727" s="1">
        <v>0</v>
      </c>
      <c r="N727" s="1">
        <f t="shared" si="11"/>
        <v>1511.56</v>
      </c>
    </row>
    <row r="728" spans="1:14">
      <c r="A728" t="s">
        <v>42</v>
      </c>
      <c r="B728" t="s">
        <v>1456</v>
      </c>
      <c r="C728" t="s">
        <v>49</v>
      </c>
      <c r="D728" t="s">
        <v>12</v>
      </c>
      <c r="E728" s="1">
        <v>6440.22</v>
      </c>
      <c r="F728" s="1">
        <v>0</v>
      </c>
      <c r="H728" s="1">
        <v>0</v>
      </c>
      <c r="I728" s="1">
        <v>6440.22</v>
      </c>
      <c r="J728" s="1">
        <v>0</v>
      </c>
      <c r="N728" s="1">
        <f t="shared" si="11"/>
        <v>499.12</v>
      </c>
    </row>
    <row r="729" spans="1:14">
      <c r="A729" t="s">
        <v>1458</v>
      </c>
      <c r="B729" t="s">
        <v>1457</v>
      </c>
      <c r="C729" t="s">
        <v>1280</v>
      </c>
      <c r="D729" t="s">
        <v>58</v>
      </c>
      <c r="E729" s="1">
        <v>3623.88</v>
      </c>
      <c r="F729" s="1">
        <v>0</v>
      </c>
      <c r="H729" s="1">
        <v>0</v>
      </c>
      <c r="I729" s="1">
        <v>3623.88</v>
      </c>
      <c r="J729" s="1">
        <v>0</v>
      </c>
      <c r="N729" s="1">
        <f t="shared" si="11"/>
        <v>280.85000000000002</v>
      </c>
    </row>
    <row r="730" spans="1:14">
      <c r="A730" t="s">
        <v>445</v>
      </c>
      <c r="B730" t="s">
        <v>1459</v>
      </c>
      <c r="C730" t="s">
        <v>1280</v>
      </c>
      <c r="D730" t="s">
        <v>58</v>
      </c>
      <c r="E730" s="1">
        <v>283.33</v>
      </c>
      <c r="F730" s="1">
        <v>0</v>
      </c>
      <c r="H730" s="1">
        <v>0</v>
      </c>
      <c r="I730" s="1">
        <v>283.33</v>
      </c>
      <c r="J730" s="1">
        <v>0</v>
      </c>
      <c r="N730" s="1">
        <f t="shared" si="11"/>
        <v>21.96</v>
      </c>
    </row>
    <row r="731" spans="1:14">
      <c r="A731" t="s">
        <v>312</v>
      </c>
      <c r="B731" t="s">
        <v>1460</v>
      </c>
      <c r="C731" t="s">
        <v>192</v>
      </c>
      <c r="D731" t="s">
        <v>12</v>
      </c>
      <c r="E731" s="1">
        <v>4594.8999999999996</v>
      </c>
      <c r="F731" s="1">
        <v>0</v>
      </c>
      <c r="H731" s="1">
        <v>0</v>
      </c>
      <c r="I731" s="1">
        <v>4594.8999999999996</v>
      </c>
      <c r="J731" s="1">
        <v>0</v>
      </c>
      <c r="N731" s="1">
        <f t="shared" si="11"/>
        <v>356.1</v>
      </c>
    </row>
    <row r="732" spans="1:14">
      <c r="A732" t="s">
        <v>1462</v>
      </c>
      <c r="B732" t="s">
        <v>1461</v>
      </c>
      <c r="C732" t="s">
        <v>1185</v>
      </c>
      <c r="D732" t="s">
        <v>1184</v>
      </c>
      <c r="E732" s="1">
        <v>28037.88</v>
      </c>
      <c r="F732" s="1">
        <v>0</v>
      </c>
      <c r="H732" s="1">
        <v>80</v>
      </c>
      <c r="I732" s="1">
        <v>28117.88</v>
      </c>
      <c r="J732" s="1">
        <v>0</v>
      </c>
      <c r="N732" s="1">
        <f t="shared" si="11"/>
        <v>2179.14</v>
      </c>
    </row>
    <row r="733" spans="1:14">
      <c r="A733" t="s">
        <v>1465</v>
      </c>
      <c r="B733" t="s">
        <v>1464</v>
      </c>
      <c r="C733" t="s">
        <v>1463</v>
      </c>
      <c r="D733" t="s">
        <v>102</v>
      </c>
      <c r="E733" s="1">
        <v>2215.67</v>
      </c>
      <c r="F733" s="1">
        <v>0</v>
      </c>
      <c r="H733" s="1">
        <v>0</v>
      </c>
      <c r="I733" s="1">
        <v>2215.67</v>
      </c>
      <c r="J733" s="1">
        <v>0</v>
      </c>
      <c r="N733" s="1">
        <f t="shared" si="11"/>
        <v>171.71</v>
      </c>
    </row>
    <row r="734" spans="1:14">
      <c r="A734" t="s">
        <v>1308</v>
      </c>
      <c r="B734" t="s">
        <v>1466</v>
      </c>
      <c r="C734" t="s">
        <v>1313</v>
      </c>
      <c r="D734" t="s">
        <v>102</v>
      </c>
      <c r="E734" s="1">
        <v>1173.9000000000001</v>
      </c>
      <c r="F734" s="1">
        <v>0</v>
      </c>
      <c r="H734" s="1">
        <v>0</v>
      </c>
      <c r="I734" s="1">
        <v>1173.9000000000001</v>
      </c>
      <c r="J734" s="1">
        <v>0</v>
      </c>
      <c r="N734" s="1">
        <f t="shared" si="11"/>
        <v>90.98</v>
      </c>
    </row>
    <row r="735" spans="1:14">
      <c r="A735" t="s">
        <v>389</v>
      </c>
      <c r="B735" t="s">
        <v>516</v>
      </c>
      <c r="C735" t="s">
        <v>1148</v>
      </c>
      <c r="D735" t="s">
        <v>1147</v>
      </c>
      <c r="E735" s="1">
        <v>28934.178</v>
      </c>
      <c r="F735" s="1">
        <v>2562.5819999999999</v>
      </c>
      <c r="H735" s="1">
        <v>0</v>
      </c>
      <c r="I735" s="1">
        <v>31496.76</v>
      </c>
      <c r="J735" s="1">
        <v>0</v>
      </c>
      <c r="N735" s="1">
        <f t="shared" si="11"/>
        <v>2441</v>
      </c>
    </row>
    <row r="736" spans="1:14">
      <c r="A736" t="s">
        <v>1468</v>
      </c>
      <c r="B736" t="s">
        <v>1467</v>
      </c>
      <c r="C736" t="s">
        <v>1313</v>
      </c>
      <c r="D736" t="s">
        <v>102</v>
      </c>
      <c r="E736" s="1">
        <v>10442.84</v>
      </c>
      <c r="F736" s="1">
        <v>0</v>
      </c>
      <c r="H736" s="1">
        <v>0</v>
      </c>
      <c r="I736" s="1">
        <v>10442.84</v>
      </c>
      <c r="J736" s="1">
        <v>0</v>
      </c>
      <c r="N736" s="1">
        <f t="shared" si="11"/>
        <v>809.32</v>
      </c>
    </row>
    <row r="737" spans="1:14">
      <c r="A737" t="s">
        <v>1470</v>
      </c>
      <c r="B737" t="s">
        <v>1469</v>
      </c>
      <c r="C737" t="s">
        <v>1224</v>
      </c>
      <c r="D737" t="s">
        <v>102</v>
      </c>
      <c r="E737" s="1">
        <v>2005.03</v>
      </c>
      <c r="F737" s="1">
        <v>0</v>
      </c>
      <c r="H737" s="1">
        <v>0</v>
      </c>
      <c r="I737" s="1">
        <v>2005.03</v>
      </c>
      <c r="J737" s="1">
        <v>0</v>
      </c>
      <c r="N737" s="1">
        <f t="shared" si="11"/>
        <v>155.38999999999999</v>
      </c>
    </row>
    <row r="738" spans="1:14">
      <c r="A738" t="s">
        <v>1472</v>
      </c>
      <c r="B738" t="s">
        <v>1471</v>
      </c>
      <c r="C738" t="s">
        <v>1148</v>
      </c>
      <c r="D738" t="s">
        <v>1147</v>
      </c>
      <c r="E738" s="1">
        <v>1940.46</v>
      </c>
      <c r="F738" s="1">
        <v>0</v>
      </c>
      <c r="H738" s="1">
        <v>0</v>
      </c>
      <c r="I738" s="1">
        <v>1940.46</v>
      </c>
      <c r="J738" s="1">
        <v>0</v>
      </c>
      <c r="N738" s="1">
        <f t="shared" si="11"/>
        <v>150.38999999999999</v>
      </c>
    </row>
    <row r="739" spans="1:14">
      <c r="A739" t="s">
        <v>349</v>
      </c>
      <c r="B739" t="s">
        <v>670</v>
      </c>
      <c r="C739" t="s">
        <v>1148</v>
      </c>
      <c r="D739" t="s">
        <v>1147</v>
      </c>
      <c r="E739" s="1">
        <v>1732.41</v>
      </c>
      <c r="F739" s="1">
        <v>0</v>
      </c>
      <c r="H739" s="1">
        <v>0</v>
      </c>
      <c r="I739" s="1">
        <v>1732.41</v>
      </c>
      <c r="J739" s="1">
        <v>0</v>
      </c>
      <c r="N739" s="1">
        <f t="shared" si="11"/>
        <v>134.26</v>
      </c>
    </row>
    <row r="740" spans="1:14">
      <c r="A740" t="s">
        <v>1474</v>
      </c>
      <c r="B740" t="s">
        <v>1473</v>
      </c>
      <c r="C740" t="s">
        <v>1313</v>
      </c>
      <c r="D740" t="s">
        <v>102</v>
      </c>
      <c r="E740" s="1">
        <v>6284.24</v>
      </c>
      <c r="F740" s="1">
        <v>0</v>
      </c>
      <c r="H740" s="1">
        <v>0</v>
      </c>
      <c r="I740" s="1">
        <v>6284.24</v>
      </c>
      <c r="J740" s="1">
        <v>0</v>
      </c>
      <c r="N740" s="1">
        <f t="shared" si="11"/>
        <v>487.03</v>
      </c>
    </row>
    <row r="741" spans="1:14">
      <c r="A741" t="s">
        <v>389</v>
      </c>
      <c r="B741" t="s">
        <v>1475</v>
      </c>
      <c r="C741" t="s">
        <v>49</v>
      </c>
      <c r="D741" t="s">
        <v>12</v>
      </c>
      <c r="E741" s="1">
        <v>15238.59</v>
      </c>
      <c r="F741" s="1">
        <v>0</v>
      </c>
      <c r="H741" s="1">
        <v>0</v>
      </c>
      <c r="I741" s="1">
        <v>15238.59</v>
      </c>
      <c r="J741" s="1">
        <v>0</v>
      </c>
      <c r="N741" s="1">
        <f t="shared" si="11"/>
        <v>1180.99</v>
      </c>
    </row>
    <row r="742" spans="1:14">
      <c r="A742" t="s">
        <v>1477</v>
      </c>
      <c r="B742" t="s">
        <v>1476</v>
      </c>
      <c r="C742" t="s">
        <v>486</v>
      </c>
      <c r="D742" t="s">
        <v>102</v>
      </c>
      <c r="E742" s="1">
        <v>6164.92</v>
      </c>
      <c r="F742" s="1">
        <v>0</v>
      </c>
      <c r="H742" s="1">
        <v>0</v>
      </c>
      <c r="I742" s="1">
        <v>6164.92</v>
      </c>
      <c r="J742" s="1">
        <v>0</v>
      </c>
      <c r="N742" s="1">
        <f t="shared" ref="N742:N773" si="12">ROUND(+I742*0.0775,2)</f>
        <v>477.78</v>
      </c>
    </row>
    <row r="743" spans="1:14">
      <c r="A743" t="s">
        <v>434</v>
      </c>
      <c r="B743" t="s">
        <v>1478</v>
      </c>
      <c r="C743" t="s">
        <v>1224</v>
      </c>
      <c r="D743" t="s">
        <v>102</v>
      </c>
      <c r="E743" s="1">
        <v>5486.85</v>
      </c>
      <c r="F743" s="1">
        <v>0</v>
      </c>
      <c r="H743" s="1">
        <v>0</v>
      </c>
      <c r="I743" s="1">
        <v>5486.85</v>
      </c>
      <c r="J743" s="1">
        <v>0</v>
      </c>
      <c r="N743" s="1">
        <f t="shared" si="12"/>
        <v>425.23</v>
      </c>
    </row>
    <row r="744" spans="1:14">
      <c r="A744" t="s">
        <v>1480</v>
      </c>
      <c r="B744" t="s">
        <v>1479</v>
      </c>
      <c r="C744" t="s">
        <v>1313</v>
      </c>
      <c r="D744" t="s">
        <v>102</v>
      </c>
      <c r="E744" s="1">
        <v>2872.44</v>
      </c>
      <c r="F744" s="1">
        <v>0</v>
      </c>
      <c r="H744" s="1">
        <v>0</v>
      </c>
      <c r="I744" s="1">
        <v>2872.44</v>
      </c>
      <c r="J744" s="1">
        <v>0</v>
      </c>
      <c r="N744" s="1">
        <f t="shared" si="12"/>
        <v>222.61</v>
      </c>
    </row>
    <row r="745" spans="1:14">
      <c r="A745" t="s">
        <v>1482</v>
      </c>
      <c r="B745" t="s">
        <v>1481</v>
      </c>
      <c r="C745" t="s">
        <v>1148</v>
      </c>
      <c r="D745" t="s">
        <v>1147</v>
      </c>
      <c r="E745" s="1">
        <v>1784.43</v>
      </c>
      <c r="F745" s="1">
        <v>0</v>
      </c>
      <c r="H745" s="1">
        <v>0</v>
      </c>
      <c r="I745" s="1">
        <v>1784.43</v>
      </c>
      <c r="J745" s="1">
        <v>0</v>
      </c>
      <c r="N745" s="1">
        <f t="shared" si="12"/>
        <v>138.29</v>
      </c>
    </row>
    <row r="746" spans="1:14">
      <c r="A746" t="s">
        <v>1484</v>
      </c>
      <c r="B746" t="s">
        <v>1483</v>
      </c>
      <c r="C746" t="s">
        <v>1185</v>
      </c>
      <c r="D746" t="s">
        <v>1184</v>
      </c>
      <c r="E746" s="1">
        <v>12903.04</v>
      </c>
      <c r="F746" s="1">
        <v>0</v>
      </c>
      <c r="H746" s="1">
        <v>0</v>
      </c>
      <c r="I746" s="1">
        <v>12903.04</v>
      </c>
      <c r="J746" s="1">
        <v>0</v>
      </c>
      <c r="N746" s="1">
        <f t="shared" si="12"/>
        <v>999.99</v>
      </c>
    </row>
    <row r="747" spans="1:14">
      <c r="A747" t="s">
        <v>1455</v>
      </c>
      <c r="B747" t="s">
        <v>1485</v>
      </c>
      <c r="C747" t="s">
        <v>1185</v>
      </c>
      <c r="D747" t="s">
        <v>1184</v>
      </c>
      <c r="E747" s="1">
        <v>31379.93</v>
      </c>
      <c r="F747" s="1">
        <v>0</v>
      </c>
      <c r="H747" s="1">
        <v>480</v>
      </c>
      <c r="I747" s="1">
        <v>31859.93</v>
      </c>
      <c r="J747" s="1">
        <v>0</v>
      </c>
      <c r="N747" s="1">
        <f t="shared" si="12"/>
        <v>2469.14</v>
      </c>
    </row>
    <row r="748" spans="1:14">
      <c r="A748" t="s">
        <v>312</v>
      </c>
      <c r="B748" t="s">
        <v>1486</v>
      </c>
      <c r="C748" t="s">
        <v>1224</v>
      </c>
      <c r="D748" t="s">
        <v>102</v>
      </c>
      <c r="E748" s="1">
        <v>5297.83</v>
      </c>
      <c r="F748" s="1">
        <v>0</v>
      </c>
      <c r="H748" s="1">
        <v>0</v>
      </c>
      <c r="I748" s="1">
        <v>5297.83</v>
      </c>
      <c r="J748" s="1">
        <v>0</v>
      </c>
      <c r="N748" s="1">
        <f t="shared" si="12"/>
        <v>410.58</v>
      </c>
    </row>
    <row r="749" spans="1:14">
      <c r="A749" t="s">
        <v>1488</v>
      </c>
      <c r="B749" t="s">
        <v>1487</v>
      </c>
      <c r="C749" t="s">
        <v>486</v>
      </c>
      <c r="D749" t="s">
        <v>102</v>
      </c>
      <c r="E749" s="1">
        <v>7476.2</v>
      </c>
      <c r="F749" s="1">
        <v>0</v>
      </c>
      <c r="H749" s="1">
        <v>0</v>
      </c>
      <c r="I749" s="1">
        <v>7476.2</v>
      </c>
      <c r="J749" s="1">
        <v>0</v>
      </c>
      <c r="N749" s="1">
        <f t="shared" si="12"/>
        <v>579.41</v>
      </c>
    </row>
    <row r="750" spans="1:14">
      <c r="A750" t="s">
        <v>1490</v>
      </c>
      <c r="B750" t="s">
        <v>1489</v>
      </c>
      <c r="C750" t="s">
        <v>1148</v>
      </c>
      <c r="D750" t="s">
        <v>1147</v>
      </c>
      <c r="E750" s="1">
        <v>1124.27</v>
      </c>
      <c r="F750" s="1">
        <v>0</v>
      </c>
      <c r="H750" s="1">
        <v>0</v>
      </c>
      <c r="I750" s="1">
        <v>1124.27</v>
      </c>
      <c r="J750" s="1">
        <v>0</v>
      </c>
      <c r="N750" s="1">
        <f t="shared" si="12"/>
        <v>87.13</v>
      </c>
    </row>
    <row r="751" spans="1:14">
      <c r="A751" t="s">
        <v>693</v>
      </c>
      <c r="B751" t="s">
        <v>1491</v>
      </c>
      <c r="C751" t="s">
        <v>241</v>
      </c>
      <c r="D751" t="s">
        <v>12</v>
      </c>
      <c r="E751" s="1">
        <v>9335.2999999999993</v>
      </c>
      <c r="F751" s="1">
        <v>0</v>
      </c>
      <c r="H751" s="1">
        <v>0</v>
      </c>
      <c r="I751" s="1">
        <v>9335.2999999999993</v>
      </c>
      <c r="J751" s="1">
        <v>0</v>
      </c>
      <c r="N751" s="1">
        <f t="shared" si="12"/>
        <v>723.49</v>
      </c>
    </row>
    <row r="752" spans="1:14">
      <c r="A752" t="s">
        <v>1493</v>
      </c>
      <c r="B752" t="s">
        <v>1492</v>
      </c>
      <c r="C752" t="s">
        <v>1148</v>
      </c>
      <c r="D752" t="s">
        <v>1147</v>
      </c>
      <c r="E752" s="1">
        <v>5503.6225000000004</v>
      </c>
      <c r="F752" s="1">
        <v>682.26750000000004</v>
      </c>
      <c r="H752" s="1">
        <v>0</v>
      </c>
      <c r="I752" s="1">
        <v>6185.89</v>
      </c>
      <c r="J752" s="1">
        <v>0</v>
      </c>
      <c r="N752" s="1">
        <f t="shared" si="12"/>
        <v>479.41</v>
      </c>
    </row>
    <row r="753" spans="1:14">
      <c r="A753" t="s">
        <v>1495</v>
      </c>
      <c r="B753" t="s">
        <v>1494</v>
      </c>
      <c r="C753" t="s">
        <v>1425</v>
      </c>
      <c r="D753" t="s">
        <v>102</v>
      </c>
      <c r="E753" s="1">
        <v>948.85</v>
      </c>
      <c r="F753" s="1">
        <v>0</v>
      </c>
      <c r="H753" s="1">
        <v>0</v>
      </c>
      <c r="I753" s="1">
        <v>948.85</v>
      </c>
      <c r="J753" s="1">
        <v>0</v>
      </c>
      <c r="N753" s="1">
        <f t="shared" si="12"/>
        <v>73.540000000000006</v>
      </c>
    </row>
    <row r="754" spans="1:14">
      <c r="A754" t="s">
        <v>1497</v>
      </c>
      <c r="B754" t="s">
        <v>1496</v>
      </c>
      <c r="C754" t="s">
        <v>1148</v>
      </c>
      <c r="D754" t="s">
        <v>1147</v>
      </c>
      <c r="E754" s="1">
        <v>2198.41</v>
      </c>
      <c r="F754" s="1">
        <v>0</v>
      </c>
      <c r="H754" s="1">
        <v>0</v>
      </c>
      <c r="I754" s="1">
        <v>2198.41</v>
      </c>
      <c r="J754" s="1">
        <v>0</v>
      </c>
      <c r="N754" s="1">
        <f t="shared" si="12"/>
        <v>170.38</v>
      </c>
    </row>
    <row r="755" spans="1:14">
      <c r="A755" t="s">
        <v>1499</v>
      </c>
      <c r="B755" t="s">
        <v>1498</v>
      </c>
      <c r="C755" t="s">
        <v>1355</v>
      </c>
      <c r="D755" t="s">
        <v>71</v>
      </c>
      <c r="E755" s="1">
        <v>24674.5288</v>
      </c>
      <c r="F755" s="1">
        <v>2886.2312000000002</v>
      </c>
      <c r="H755" s="1">
        <v>920</v>
      </c>
      <c r="I755" s="1">
        <v>28480.760000000002</v>
      </c>
      <c r="J755" s="1">
        <v>8738.8799999999992</v>
      </c>
      <c r="N755" s="1">
        <f t="shared" si="12"/>
        <v>2207.2600000000002</v>
      </c>
    </row>
    <row r="756" spans="1:14">
      <c r="A756" t="s">
        <v>1501</v>
      </c>
      <c r="B756" t="s">
        <v>1500</v>
      </c>
      <c r="C756" t="s">
        <v>1463</v>
      </c>
      <c r="D756" t="s">
        <v>102</v>
      </c>
      <c r="E756" s="1">
        <v>2649.94</v>
      </c>
      <c r="F756" s="1">
        <v>0</v>
      </c>
      <c r="H756" s="1">
        <v>0</v>
      </c>
      <c r="I756" s="1">
        <v>2649.94</v>
      </c>
      <c r="J756" s="1">
        <v>0</v>
      </c>
      <c r="N756" s="1">
        <f t="shared" si="12"/>
        <v>205.37</v>
      </c>
    </row>
    <row r="757" spans="1:14">
      <c r="A757" t="s">
        <v>1171</v>
      </c>
      <c r="B757" t="s">
        <v>1502</v>
      </c>
      <c r="C757" t="s">
        <v>486</v>
      </c>
      <c r="D757" t="s">
        <v>102</v>
      </c>
      <c r="E757" s="1">
        <v>593.15</v>
      </c>
      <c r="F757" s="1">
        <v>0</v>
      </c>
      <c r="H757" s="1">
        <v>0</v>
      </c>
      <c r="I757" s="1">
        <v>593.15</v>
      </c>
      <c r="J757" s="1">
        <v>0</v>
      </c>
      <c r="N757" s="1">
        <f t="shared" si="12"/>
        <v>45.97</v>
      </c>
    </row>
    <row r="758" spans="1:14">
      <c r="A758" t="s">
        <v>445</v>
      </c>
      <c r="B758" t="s">
        <v>1503</v>
      </c>
      <c r="C758" t="s">
        <v>1185</v>
      </c>
      <c r="D758" t="s">
        <v>1184</v>
      </c>
      <c r="E758" s="1">
        <v>818.03</v>
      </c>
      <c r="F758" s="1">
        <v>0</v>
      </c>
      <c r="H758" s="1">
        <v>0</v>
      </c>
      <c r="I758" s="1">
        <v>818.03</v>
      </c>
      <c r="J758" s="1">
        <v>0</v>
      </c>
      <c r="N758" s="1">
        <f t="shared" si="12"/>
        <v>63.4</v>
      </c>
    </row>
    <row r="759" spans="1:14">
      <c r="A759" t="s">
        <v>1505</v>
      </c>
      <c r="B759" t="s">
        <v>1504</v>
      </c>
      <c r="C759" t="s">
        <v>1425</v>
      </c>
      <c r="D759" t="s">
        <v>102</v>
      </c>
      <c r="E759" s="1">
        <v>878.14</v>
      </c>
      <c r="F759" s="1">
        <v>0</v>
      </c>
      <c r="H759" s="1">
        <v>0</v>
      </c>
      <c r="I759" s="1">
        <v>878.14</v>
      </c>
      <c r="J759" s="1">
        <v>0</v>
      </c>
      <c r="N759" s="1">
        <f t="shared" si="12"/>
        <v>68.06</v>
      </c>
    </row>
    <row r="760" spans="1:14">
      <c r="A760" t="s">
        <v>1507</v>
      </c>
      <c r="B760" t="s">
        <v>1506</v>
      </c>
      <c r="C760" t="s">
        <v>1148</v>
      </c>
      <c r="D760" t="s">
        <v>1147</v>
      </c>
      <c r="E760" s="1">
        <v>912.23</v>
      </c>
      <c r="F760" s="1">
        <v>0</v>
      </c>
      <c r="H760" s="1">
        <v>0</v>
      </c>
      <c r="I760" s="1">
        <v>912.23</v>
      </c>
      <c r="J760" s="1">
        <v>0</v>
      </c>
      <c r="N760" s="1">
        <f t="shared" si="12"/>
        <v>70.7</v>
      </c>
    </row>
    <row r="761" spans="1:14">
      <c r="A761" t="s">
        <v>1035</v>
      </c>
      <c r="B761" t="s">
        <v>1508</v>
      </c>
      <c r="C761" t="s">
        <v>1313</v>
      </c>
      <c r="D761" t="s">
        <v>102</v>
      </c>
      <c r="E761" s="1">
        <v>9427.59</v>
      </c>
      <c r="F761" s="1">
        <v>0</v>
      </c>
      <c r="H761" s="1">
        <v>0</v>
      </c>
      <c r="I761" s="1">
        <v>9427.59</v>
      </c>
      <c r="J761" s="1">
        <v>0</v>
      </c>
      <c r="N761" s="1">
        <f t="shared" si="12"/>
        <v>730.64</v>
      </c>
    </row>
    <row r="762" spans="1:14">
      <c r="A762" t="s">
        <v>1510</v>
      </c>
      <c r="B762" t="s">
        <v>1509</v>
      </c>
      <c r="C762" t="s">
        <v>192</v>
      </c>
      <c r="D762" t="s">
        <v>12</v>
      </c>
      <c r="E762" s="1">
        <v>2306.5100000000002</v>
      </c>
      <c r="F762" s="1">
        <v>0</v>
      </c>
      <c r="H762" s="1">
        <v>0</v>
      </c>
      <c r="I762" s="1">
        <v>2306.5100000000002</v>
      </c>
      <c r="J762" s="1">
        <v>0</v>
      </c>
      <c r="N762" s="1">
        <f t="shared" si="12"/>
        <v>178.75</v>
      </c>
    </row>
    <row r="763" spans="1:14">
      <c r="A763" t="s">
        <v>182</v>
      </c>
      <c r="B763" t="s">
        <v>1511</v>
      </c>
      <c r="C763" t="s">
        <v>118</v>
      </c>
      <c r="D763" t="s">
        <v>79</v>
      </c>
      <c r="E763" s="1">
        <v>7200</v>
      </c>
      <c r="F763" s="1">
        <v>0</v>
      </c>
      <c r="H763" s="1">
        <v>9279.82</v>
      </c>
      <c r="I763" s="1">
        <v>16479.82</v>
      </c>
      <c r="J763" s="1">
        <v>0</v>
      </c>
      <c r="N763" s="1">
        <f t="shared" si="12"/>
        <v>1277.19</v>
      </c>
    </row>
    <row r="764" spans="1:14">
      <c r="A764" t="s">
        <v>1513</v>
      </c>
      <c r="B764" t="s">
        <v>1512</v>
      </c>
      <c r="C764" t="s">
        <v>1355</v>
      </c>
      <c r="D764" t="s">
        <v>71</v>
      </c>
      <c r="E764" s="1">
        <v>39745.004699999998</v>
      </c>
      <c r="F764" s="1">
        <v>8718.0152999999991</v>
      </c>
      <c r="H764" s="1">
        <v>2350</v>
      </c>
      <c r="I764" s="1">
        <v>50813.02</v>
      </c>
      <c r="J764" s="1">
        <v>7684.92</v>
      </c>
      <c r="N764" s="1">
        <f t="shared" si="12"/>
        <v>3938.01</v>
      </c>
    </row>
    <row r="765" spans="1:14">
      <c r="A765" t="s">
        <v>1515</v>
      </c>
      <c r="B765" t="s">
        <v>1514</v>
      </c>
      <c r="C765" t="s">
        <v>554</v>
      </c>
      <c r="D765" t="s">
        <v>58</v>
      </c>
      <c r="E765" s="1">
        <v>7606.51</v>
      </c>
      <c r="F765" s="1">
        <v>0</v>
      </c>
      <c r="H765" s="1">
        <v>0</v>
      </c>
      <c r="I765" s="1">
        <v>7606.51</v>
      </c>
      <c r="J765" s="1">
        <v>0</v>
      </c>
      <c r="N765" s="1">
        <f t="shared" si="12"/>
        <v>589.5</v>
      </c>
    </row>
    <row r="766" spans="1:14">
      <c r="A766" t="s">
        <v>461</v>
      </c>
      <c r="B766" t="s">
        <v>1516</v>
      </c>
      <c r="C766" t="s">
        <v>1313</v>
      </c>
      <c r="D766" t="s">
        <v>102</v>
      </c>
      <c r="E766" s="1">
        <v>2400.4899999999998</v>
      </c>
      <c r="F766" s="1">
        <v>0</v>
      </c>
      <c r="H766" s="1">
        <v>0</v>
      </c>
      <c r="I766" s="1">
        <v>2400.4899999999998</v>
      </c>
      <c r="J766" s="1">
        <v>0</v>
      </c>
      <c r="N766" s="1">
        <f t="shared" si="12"/>
        <v>186.04</v>
      </c>
    </row>
    <row r="767" spans="1:14">
      <c r="A767" t="s">
        <v>1518</v>
      </c>
      <c r="B767" t="s">
        <v>1517</v>
      </c>
      <c r="C767" t="s">
        <v>1148</v>
      </c>
      <c r="D767" t="s">
        <v>1147</v>
      </c>
      <c r="E767" s="1">
        <v>648.16999999999996</v>
      </c>
      <c r="F767" s="1">
        <v>0</v>
      </c>
      <c r="H767" s="1">
        <v>0</v>
      </c>
      <c r="I767" s="1">
        <v>648.16999999999996</v>
      </c>
      <c r="J767" s="1">
        <v>0</v>
      </c>
      <c r="N767" s="1">
        <f t="shared" si="12"/>
        <v>50.23</v>
      </c>
    </row>
    <row r="768" spans="1:14">
      <c r="A768" t="s">
        <v>182</v>
      </c>
      <c r="B768" t="s">
        <v>1519</v>
      </c>
      <c r="C768" t="s">
        <v>1148</v>
      </c>
      <c r="D768" t="s">
        <v>1147</v>
      </c>
      <c r="E768" s="1">
        <v>1216.29</v>
      </c>
      <c r="F768" s="1">
        <v>0</v>
      </c>
      <c r="H768" s="1">
        <v>0</v>
      </c>
      <c r="I768" s="1">
        <v>1216.29</v>
      </c>
      <c r="J768" s="1">
        <v>0</v>
      </c>
      <c r="N768" s="1">
        <f t="shared" si="12"/>
        <v>94.26</v>
      </c>
    </row>
    <row r="769" spans="1:14">
      <c r="A769" t="s">
        <v>1521</v>
      </c>
      <c r="B769" t="s">
        <v>1520</v>
      </c>
      <c r="C769" t="s">
        <v>1148</v>
      </c>
      <c r="D769" t="s">
        <v>1147</v>
      </c>
      <c r="E769" s="1">
        <v>2538.61</v>
      </c>
      <c r="F769" s="1">
        <v>0</v>
      </c>
      <c r="H769" s="1">
        <v>0</v>
      </c>
      <c r="I769" s="1">
        <v>2538.61</v>
      </c>
      <c r="J769" s="1">
        <v>0</v>
      </c>
      <c r="N769" s="1">
        <f t="shared" si="12"/>
        <v>196.74</v>
      </c>
    </row>
    <row r="770" spans="1:14">
      <c r="A770" t="s">
        <v>424</v>
      </c>
      <c r="B770" t="s">
        <v>1522</v>
      </c>
      <c r="C770" t="s">
        <v>1148</v>
      </c>
      <c r="D770" t="s">
        <v>1147</v>
      </c>
      <c r="E770" s="1">
        <v>2430.58</v>
      </c>
      <c r="F770" s="1">
        <v>0</v>
      </c>
      <c r="H770" s="1">
        <v>0</v>
      </c>
      <c r="I770" s="1">
        <v>2430.58</v>
      </c>
      <c r="J770" s="1">
        <v>0</v>
      </c>
      <c r="N770" s="1">
        <f t="shared" si="12"/>
        <v>188.37</v>
      </c>
    </row>
    <row r="771" spans="1:14">
      <c r="A771" t="s">
        <v>1524</v>
      </c>
      <c r="B771" t="s">
        <v>1523</v>
      </c>
      <c r="C771" t="s">
        <v>1185</v>
      </c>
      <c r="D771" t="s">
        <v>1184</v>
      </c>
      <c r="E771" s="1">
        <v>30836.99</v>
      </c>
      <c r="F771" s="1">
        <v>0</v>
      </c>
      <c r="H771" s="1">
        <v>360</v>
      </c>
      <c r="I771" s="1">
        <v>31196.99</v>
      </c>
      <c r="J771" s="1">
        <v>0</v>
      </c>
      <c r="N771" s="1">
        <f t="shared" si="12"/>
        <v>2417.77</v>
      </c>
    </row>
    <row r="772" spans="1:14">
      <c r="A772" t="s">
        <v>1526</v>
      </c>
      <c r="B772" t="s">
        <v>1525</v>
      </c>
      <c r="C772" t="s">
        <v>1313</v>
      </c>
      <c r="D772" t="s">
        <v>102</v>
      </c>
      <c r="E772" s="1">
        <v>785.8</v>
      </c>
      <c r="F772" s="1">
        <v>0</v>
      </c>
      <c r="H772" s="1">
        <v>0</v>
      </c>
      <c r="I772" s="1">
        <v>785.8</v>
      </c>
      <c r="J772" s="1">
        <v>0</v>
      </c>
      <c r="N772" s="1">
        <f t="shared" si="12"/>
        <v>60.9</v>
      </c>
    </row>
    <row r="773" spans="1:14">
      <c r="A773" t="s">
        <v>1528</v>
      </c>
      <c r="B773" t="s">
        <v>1527</v>
      </c>
      <c r="C773" t="s">
        <v>486</v>
      </c>
      <c r="D773" t="s">
        <v>102</v>
      </c>
      <c r="E773" s="1">
        <v>8514.81</v>
      </c>
      <c r="F773" s="1">
        <v>0</v>
      </c>
      <c r="H773" s="1">
        <v>0</v>
      </c>
      <c r="I773" s="1">
        <v>8514.81</v>
      </c>
      <c r="J773" s="1">
        <v>0</v>
      </c>
      <c r="N773" s="1">
        <f t="shared" si="12"/>
        <v>659.9</v>
      </c>
    </row>
    <row r="775" spans="1:14">
      <c r="E775" s="1">
        <v>40987344.30250001</v>
      </c>
      <c r="F775" s="1">
        <v>3937843.3435999998</v>
      </c>
      <c r="G775" s="1">
        <v>1732481.3199999998</v>
      </c>
      <c r="H775" s="1">
        <v>1817356.1500000011</v>
      </c>
      <c r="I775" s="1">
        <v>48475025.116100058</v>
      </c>
    </row>
  </sheetData>
  <sheetProtection password="C7D4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Guiterrez</dc:creator>
  <cp:lastModifiedBy>Miguel Guiterrez</cp:lastModifiedBy>
  <dcterms:created xsi:type="dcterms:W3CDTF">2013-02-27T19:44:24Z</dcterms:created>
  <dcterms:modified xsi:type="dcterms:W3CDTF">2013-03-01T01:07:11Z</dcterms:modified>
</cp:coreProperties>
</file>