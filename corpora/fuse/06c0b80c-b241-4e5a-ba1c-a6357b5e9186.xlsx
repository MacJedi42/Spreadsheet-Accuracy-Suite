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60" windowWidth="17235" windowHeight="9240"/>
  </bookViews>
  <sheets>
    <sheet name="BWB Hours" sheetId="2" r:id="rId1"/>
  </sheets>
  <definedNames>
    <definedName name="_xlnm.Print_Area" localSheetId="0">'BWB Hours'!$A$1:$V$87</definedName>
  </definedNames>
  <calcPr calcId="125725"/>
</workbook>
</file>

<file path=xl/calcChain.xml><?xml version="1.0" encoding="utf-8"?>
<calcChain xmlns="http://schemas.openxmlformats.org/spreadsheetml/2006/main">
  <c r="P19" i="2"/>
  <c r="U76"/>
  <c r="S76"/>
  <c r="Q76"/>
  <c r="Q44"/>
  <c r="U44"/>
  <c r="S44"/>
  <c r="E13"/>
  <c r="V19" s="1"/>
  <c r="T12"/>
  <c r="T13" s="1"/>
  <c r="T19" s="1"/>
  <c r="V11"/>
  <c r="V21" l="1"/>
  <c r="V23" s="1"/>
  <c r="V25" s="1"/>
  <c r="V27" s="1"/>
  <c r="V29" s="1"/>
  <c r="V31" s="1"/>
  <c r="V33" s="1"/>
  <c r="V35" s="1"/>
  <c r="V37" s="1"/>
  <c r="V39" s="1"/>
  <c r="V41" s="1"/>
  <c r="V43" s="1"/>
  <c r="V51" s="1"/>
  <c r="V53" s="1"/>
  <c r="V55" s="1"/>
  <c r="V57" s="1"/>
  <c r="V59" s="1"/>
  <c r="V61" s="1"/>
  <c r="V63" s="1"/>
  <c r="V65" s="1"/>
  <c r="V67" s="1"/>
  <c r="V69" s="1"/>
  <c r="V71" s="1"/>
  <c r="V73" s="1"/>
  <c r="V75" s="1"/>
  <c r="K12"/>
  <c r="R19" s="1"/>
  <c r="P21" s="1"/>
  <c r="M11"/>
  <c r="K13" l="1"/>
  <c r="R21"/>
  <c r="P23" s="1"/>
  <c r="R23" s="1"/>
  <c r="P25" s="1"/>
  <c r="R25" s="1"/>
  <c r="P27" s="1"/>
  <c r="R27" s="1"/>
  <c r="P29" s="1"/>
  <c r="R29" s="1"/>
  <c r="P31" s="1"/>
  <c r="R31" s="1"/>
  <c r="P33" s="1"/>
  <c r="R33" s="1"/>
  <c r="P35" s="1"/>
  <c r="R35" s="1"/>
  <c r="P37" s="1"/>
  <c r="R37" s="1"/>
  <c r="P39" s="1"/>
  <c r="R39" s="1"/>
  <c r="P41" s="1"/>
  <c r="R41" s="1"/>
  <c r="P43" s="1"/>
  <c r="R43" s="1"/>
  <c r="P51" s="1"/>
  <c r="R51" s="1"/>
  <c r="P53" s="1"/>
  <c r="R53" s="1"/>
  <c r="P55" s="1"/>
  <c r="R55" s="1"/>
  <c r="P57" s="1"/>
  <c r="R57" s="1"/>
  <c r="P59" s="1"/>
  <c r="R59" s="1"/>
  <c r="P61" s="1"/>
  <c r="R61" s="1"/>
  <c r="P63" s="1"/>
  <c r="R63" s="1"/>
  <c r="P65" s="1"/>
  <c r="R65" s="1"/>
  <c r="P67" s="1"/>
  <c r="R67" s="1"/>
  <c r="P69" s="1"/>
  <c r="R69" s="1"/>
  <c r="P71" s="1"/>
  <c r="R71" s="1"/>
  <c r="P73" s="1"/>
  <c r="R73" s="1"/>
  <c r="P75" s="1"/>
  <c r="R75" s="1"/>
  <c r="R77" s="1"/>
  <c r="T21"/>
  <c r="T23" s="1"/>
  <c r="T25" s="1"/>
  <c r="T27" s="1"/>
  <c r="T29" s="1"/>
  <c r="T31" s="1"/>
  <c r="T33" s="1"/>
  <c r="T35" s="1"/>
  <c r="T37" s="1"/>
  <c r="T39" s="1"/>
  <c r="T41" s="1"/>
  <c r="T43" s="1"/>
  <c r="T51" s="1"/>
  <c r="T53" s="1"/>
  <c r="T55" s="1"/>
  <c r="T57" s="1"/>
  <c r="T59" s="1"/>
  <c r="T61" s="1"/>
  <c r="T63" s="1"/>
  <c r="T65" s="1"/>
  <c r="T67" s="1"/>
  <c r="T69" s="1"/>
  <c r="T71" s="1"/>
  <c r="T73" s="1"/>
  <c r="T75" l="1"/>
  <c r="T77"/>
</calcChain>
</file>

<file path=xl/sharedStrings.xml><?xml version="1.0" encoding="utf-8"?>
<sst xmlns="http://schemas.openxmlformats.org/spreadsheetml/2006/main" count="150" uniqueCount="95">
  <si>
    <t>V: Vacation</t>
  </si>
  <si>
    <t>PE: Personal</t>
  </si>
  <si>
    <t>M: Military Duty</t>
  </si>
  <si>
    <t>F: Family Leave</t>
  </si>
  <si>
    <t>1 full-time day=7.25 hours</t>
  </si>
  <si>
    <t>S: Sporadic Absence</t>
  </si>
  <si>
    <t>P: Paid Time Off</t>
  </si>
  <si>
    <t>D: Disability</t>
  </si>
  <si>
    <t>R: Religious</t>
  </si>
  <si>
    <t>J: Jury Duty</t>
  </si>
  <si>
    <t>DF: Death in Family</t>
  </si>
  <si>
    <t>Weekend days</t>
  </si>
  <si>
    <t>W: Worker's Comp</t>
  </si>
  <si>
    <t>L: Leave w/o Pay</t>
  </si>
  <si>
    <t>H: Holiday</t>
  </si>
  <si>
    <t>Cells to enter personal information</t>
  </si>
  <si>
    <t>Time Off Codes</t>
  </si>
  <si>
    <t>Legend</t>
  </si>
  <si>
    <t>Total Days Taken</t>
  </si>
  <si>
    <t>May-June</t>
  </si>
  <si>
    <t>May</t>
  </si>
  <si>
    <t>Apr-May</t>
  </si>
  <si>
    <t>April</t>
  </si>
  <si>
    <t>Mar-Apr</t>
  </si>
  <si>
    <t>March</t>
  </si>
  <si>
    <t>Feb-Mar</t>
  </si>
  <si>
    <t>February</t>
  </si>
  <si>
    <t>Jan-Feb</t>
  </si>
  <si>
    <t>January</t>
  </si>
  <si>
    <t>Dec-Jan</t>
  </si>
  <si>
    <t>December</t>
  </si>
  <si>
    <t>SU</t>
  </si>
  <si>
    <t>SA</t>
  </si>
  <si>
    <t>F</t>
  </si>
  <si>
    <t>TH</t>
  </si>
  <si>
    <t>W</t>
  </si>
  <si>
    <t>T</t>
  </si>
  <si>
    <t>M</t>
  </si>
  <si>
    <t>Days</t>
  </si>
  <si>
    <t>Sick Days Bal.</t>
  </si>
  <si>
    <t>Sick Days Taken</t>
  </si>
  <si>
    <t>Vac. Bal.</t>
  </si>
  <si>
    <t>Vac. Days Taken</t>
  </si>
  <si>
    <t>Vac. Days Available</t>
  </si>
  <si>
    <t>Summary of Time Available &amp; Taken</t>
  </si>
  <si>
    <t>Subtotals:</t>
  </si>
  <si>
    <t>Nov-Dec</t>
  </si>
  <si>
    <t>November</t>
  </si>
  <si>
    <t>Oct-Nov</t>
  </si>
  <si>
    <t>October</t>
  </si>
  <si>
    <t>Sept-Oct</t>
  </si>
  <si>
    <t>September</t>
  </si>
  <si>
    <t>Aug-Sept</t>
  </si>
  <si>
    <t>August</t>
  </si>
  <si>
    <t>July-Aug</t>
  </si>
  <si>
    <t>July</t>
  </si>
  <si>
    <t>June-July</t>
  </si>
  <si>
    <t>June</t>
  </si>
  <si>
    <t>Enter # Biweekly Pays:</t>
  </si>
  <si>
    <t>Max=</t>
  </si>
  <si>
    <t>Max. =</t>
  </si>
  <si>
    <t>Holidays</t>
  </si>
  <si>
    <t>Daily Schedule (Days, Hours):</t>
  </si>
  <si>
    <t xml:space="preserve">Department: </t>
  </si>
  <si>
    <t xml:space="preserve">Employee's Name: </t>
  </si>
  <si>
    <t>Enter Duty Time (e.g., 100%):</t>
  </si>
  <si>
    <t>July 4, 2012</t>
  </si>
  <si>
    <t>December 25, 2012</t>
  </si>
  <si>
    <t>September 3, 2012</t>
  </si>
  <si>
    <t>December 31, 2012</t>
  </si>
  <si>
    <t>November 22, 2012</t>
  </si>
  <si>
    <t>January 1, 2013</t>
  </si>
  <si>
    <t>November 23, 2012</t>
  </si>
  <si>
    <t>May 27, 2013</t>
  </si>
  <si>
    <t>December 24, 2012</t>
  </si>
  <si>
    <t>FY2013 Attendance &amp; Time Off Tracking Tool for Biweekly B (Office and Clerical) Staff in Days (Page 2)</t>
  </si>
  <si>
    <t>Time Remaining to Carry Over into FY2014 through 6/23/13</t>
  </si>
  <si>
    <t>PE Days Taken</t>
  </si>
  <si>
    <t>PE Days Bal.</t>
  </si>
  <si>
    <t>Holiday Schedule for FY2013</t>
  </si>
  <si>
    <t>Vacation Hours Accrued Biweekly in FY2013:</t>
  </si>
  <si>
    <t>Enter FY2012 Vacation Hours Carried Over:</t>
  </si>
  <si>
    <t>Personal Hours in FY2013:</t>
  </si>
  <si>
    <t>Vac. Hrs. Avail.</t>
  </si>
  <si>
    <t>Vac. Hrs. Taken</t>
  </si>
  <si>
    <t>Sick Hrs. Taken</t>
  </si>
  <si>
    <t>Sick Hrs. Bal.</t>
  </si>
  <si>
    <t>Prs. Hrs. Taken</t>
  </si>
  <si>
    <t>Prs. Hrs. Bal.</t>
  </si>
  <si>
    <t>Enter FY2012 Sick Hours Carried Over:</t>
  </si>
  <si>
    <t>Sick Hours Allocated in FY2013:</t>
  </si>
  <si>
    <t>Total Sick Hours Available in FY2013:</t>
  </si>
  <si>
    <t>FY2013 Attendance &amp; Time Off Tracking Tool for Biweekly B (Office and Clerical) Staff in Hours</t>
  </si>
  <si>
    <t>Total Vacation Hours Projected in FY2013:</t>
  </si>
  <si>
    <t>HOW TO USE THIS TOOL: Save the spreadsheet to your computer. In orange cells, where denoted, begin by entering your duty time, e.g., 100%, and number of pay periods, e.g., 26. Then, enter sick and/or vacation days carried over from FY2012. You can mark your daily attendance with an X. Use codes listed below to record the amount of time off taken in the daily boxes, e.g., 7.25-V. One full-time day is equivalent to 7.25 hours. For each pay period, you must manually add up and enter the amount of time taken for each category in the corresponding orange box. As you enter time in the Summary columns at the end of each pay period, totals and time remaining, i.e., balances, will be calculated with embedded formulas that are based on current policies. If you have questions, contact your senior HR manager.</t>
  </si>
</sst>
</file>

<file path=xl/styles.xml><?xml version="1.0" encoding="utf-8"?>
<styleSheet xmlns="http://schemas.openxmlformats.org/spreadsheetml/2006/main">
  <numFmts count="2">
    <numFmt numFmtId="43" formatCode="_(* #,##0.00_);_(* \(#,##0.00\);_(* &quot;-&quot;??_);_(@_)"/>
    <numFmt numFmtId="164" formatCode="0.000"/>
  </numFmts>
  <fonts count="17">
    <font>
      <sz val="10"/>
      <name val="Arial"/>
    </font>
    <font>
      <sz val="11"/>
      <color theme="1"/>
      <name val="Calibri"/>
      <family val="2"/>
      <scheme val="minor"/>
    </font>
    <font>
      <b/>
      <sz val="12"/>
      <name val="Garamond"/>
      <family val="1"/>
    </font>
    <font>
      <b/>
      <sz val="10"/>
      <name val="Garamond"/>
      <family val="1"/>
    </font>
    <font>
      <sz val="11"/>
      <name val="Garamond"/>
      <family val="1"/>
    </font>
    <font>
      <b/>
      <sz val="11"/>
      <name val="Garamond"/>
      <family val="1"/>
    </font>
    <font>
      <sz val="9"/>
      <name val="Garamond"/>
      <family val="1"/>
    </font>
    <font>
      <sz val="10"/>
      <name val="Garamond"/>
      <family val="1"/>
    </font>
    <font>
      <sz val="8"/>
      <name val="Garamond"/>
      <family val="1"/>
    </font>
    <font>
      <b/>
      <sz val="9"/>
      <name val="Garamond"/>
      <family val="1"/>
    </font>
    <font>
      <b/>
      <sz val="8"/>
      <name val="Garamond"/>
      <family val="1"/>
    </font>
    <font>
      <sz val="10"/>
      <name val="Arial"/>
      <family val="2"/>
    </font>
    <font>
      <b/>
      <sz val="7"/>
      <name val="Garamond"/>
      <family val="1"/>
    </font>
    <font>
      <sz val="11"/>
      <color theme="1"/>
      <name val="Calibri"/>
      <family val="2"/>
      <scheme val="minor"/>
    </font>
    <font>
      <sz val="9"/>
      <color rgb="FFFF0000"/>
      <name val="Garamond"/>
      <family val="1"/>
    </font>
    <font>
      <b/>
      <sz val="12"/>
      <color rgb="FFFF0000"/>
      <name val="Garamond"/>
      <family val="1"/>
    </font>
    <font>
      <b/>
      <sz val="9"/>
      <color rgb="FFFF0000"/>
      <name val="Garamond"/>
      <family val="1"/>
    </font>
  </fonts>
  <fills count="7">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2" tint="-9.9978637043366805E-2"/>
        <bgColor indexed="64"/>
      </patternFill>
    </fill>
  </fills>
  <borders count="29">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thin">
        <color indexed="64"/>
      </left>
      <right style="double">
        <color indexed="64"/>
      </right>
      <top style="double">
        <color indexed="64"/>
      </top>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bottom/>
      <diagonal/>
    </border>
    <border>
      <left/>
      <right/>
      <top style="thin">
        <color indexed="64"/>
      </top>
      <bottom style="thin">
        <color indexed="64"/>
      </bottom>
      <diagonal/>
    </border>
    <border>
      <left style="double">
        <color indexed="64"/>
      </left>
      <right style="double">
        <color indexed="64"/>
      </right>
      <top style="thin">
        <color indexed="64"/>
      </top>
      <bottom/>
      <diagonal/>
    </border>
    <border>
      <left style="double">
        <color indexed="64"/>
      </left>
      <right style="double">
        <color indexed="64"/>
      </right>
      <top/>
      <bottom style="double">
        <color indexed="64"/>
      </bottom>
      <diagonal/>
    </border>
    <border>
      <left style="double">
        <color indexed="64"/>
      </left>
      <right style="double">
        <color indexed="64"/>
      </right>
      <top style="double">
        <color indexed="64"/>
      </top>
      <bottom/>
      <diagonal/>
    </border>
    <border>
      <left style="thin">
        <color indexed="64"/>
      </left>
      <right style="thin">
        <color indexed="64"/>
      </right>
      <top/>
      <bottom style="double">
        <color indexed="64"/>
      </bottom>
      <diagonal/>
    </border>
    <border>
      <left style="double">
        <color indexed="64"/>
      </left>
      <right style="double">
        <color indexed="64"/>
      </right>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style="thin">
        <color indexed="64"/>
      </top>
      <bottom/>
      <diagonal/>
    </border>
    <border>
      <left/>
      <right style="double">
        <color indexed="64"/>
      </right>
      <top style="thin">
        <color indexed="64"/>
      </top>
      <bottom/>
      <diagonal/>
    </border>
  </borders>
  <cellStyleXfs count="7">
    <xf numFmtId="0" fontId="0" fillId="0" borderId="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3" fillId="0" borderId="0"/>
    <xf numFmtId="0" fontId="1" fillId="0" borderId="0"/>
  </cellStyleXfs>
  <cellXfs count="184">
    <xf numFmtId="0" fontId="0" fillId="0" borderId="0" xfId="0"/>
    <xf numFmtId="0" fontId="2" fillId="0" borderId="0" xfId="0" applyFont="1" applyBorder="1" applyProtection="1"/>
    <xf numFmtId="0" fontId="2" fillId="0" borderId="0" xfId="0" applyFont="1" applyBorder="1" applyAlignment="1" applyProtection="1">
      <alignment vertical="center"/>
    </xf>
    <xf numFmtId="0" fontId="3" fillId="0" borderId="0" xfId="0" applyFont="1" applyBorder="1" applyProtection="1"/>
    <xf numFmtId="0" fontId="3" fillId="0" borderId="0" xfId="0" applyFont="1" applyBorder="1" applyAlignment="1" applyProtection="1">
      <alignment vertical="center"/>
    </xf>
    <xf numFmtId="0" fontId="4" fillId="0" borderId="0" xfId="0" applyFont="1" applyBorder="1" applyAlignment="1" applyProtection="1">
      <alignment vertical="center"/>
    </xf>
    <xf numFmtId="0" fontId="5" fillId="0" borderId="0" xfId="0" applyFont="1" applyBorder="1" applyProtection="1"/>
    <xf numFmtId="0" fontId="5" fillId="0" borderId="0" xfId="0" applyFont="1" applyBorder="1" applyAlignment="1" applyProtection="1">
      <alignment vertical="center"/>
    </xf>
    <xf numFmtId="0" fontId="2" fillId="0" borderId="1" xfId="0" applyFont="1" applyBorder="1" applyProtection="1"/>
    <xf numFmtId="0" fontId="2" fillId="0" borderId="2" xfId="0" applyFont="1" applyBorder="1" applyProtection="1"/>
    <xf numFmtId="49" fontId="6" fillId="0" borderId="2" xfId="0" applyNumberFormat="1" applyFont="1" applyBorder="1" applyAlignment="1" applyProtection="1">
      <alignment horizontal="left"/>
    </xf>
    <xf numFmtId="49" fontId="6" fillId="0" borderId="3" xfId="0" applyNumberFormat="1" applyFont="1" applyBorder="1" applyAlignment="1" applyProtection="1"/>
    <xf numFmtId="49" fontId="7" fillId="0" borderId="0" xfId="0" applyNumberFormat="1" applyFont="1" applyBorder="1" applyAlignment="1" applyProtection="1">
      <alignment horizontal="left"/>
    </xf>
    <xf numFmtId="49" fontId="6" fillId="0" borderId="0" xfId="0" applyNumberFormat="1" applyFont="1" applyBorder="1" applyAlignment="1" applyProtection="1">
      <alignment horizontal="left"/>
    </xf>
    <xf numFmtId="49" fontId="6" fillId="0" borderId="5" xfId="0" applyNumberFormat="1" applyFont="1" applyBorder="1" applyAlignment="1" applyProtection="1"/>
    <xf numFmtId="49" fontId="7" fillId="0" borderId="2" xfId="0" applyNumberFormat="1" applyFont="1" applyBorder="1" applyAlignment="1" applyProtection="1">
      <alignment horizontal="left"/>
    </xf>
    <xf numFmtId="49" fontId="8" fillId="0" borderId="3" xfId="0" applyNumberFormat="1" applyFont="1" applyBorder="1" applyAlignment="1" applyProtection="1">
      <alignment horizontal="left"/>
    </xf>
    <xf numFmtId="0" fontId="7" fillId="0" borderId="1" xfId="0" applyFont="1" applyBorder="1" applyProtection="1"/>
    <xf numFmtId="0" fontId="7" fillId="0" borderId="2" xfId="0" applyFont="1" applyBorder="1" applyProtection="1"/>
    <xf numFmtId="0" fontId="9" fillId="0" borderId="0" xfId="0" applyFont="1" applyBorder="1" applyProtection="1"/>
    <xf numFmtId="0" fontId="9" fillId="0" borderId="4" xfId="0" applyFont="1" applyBorder="1" applyProtection="1"/>
    <xf numFmtId="49" fontId="6" fillId="0" borderId="5" xfId="0" applyNumberFormat="1" applyFont="1" applyBorder="1" applyAlignment="1" applyProtection="1">
      <alignment horizontal="left"/>
    </xf>
    <xf numFmtId="0" fontId="6" fillId="0" borderId="4" xfId="0" applyFont="1" applyBorder="1" applyProtection="1"/>
    <xf numFmtId="0" fontId="6" fillId="0" borderId="0" xfId="0" applyFont="1" applyBorder="1" applyProtection="1"/>
    <xf numFmtId="0" fontId="9" fillId="2" borderId="0" xfId="0" applyFont="1" applyFill="1" applyBorder="1" applyAlignment="1" applyProtection="1">
      <alignment horizontal="center" vertical="center" wrapText="1"/>
    </xf>
    <xf numFmtId="0" fontId="9" fillId="0" borderId="6" xfId="0" applyFont="1" applyBorder="1" applyProtection="1"/>
    <xf numFmtId="0" fontId="9" fillId="0" borderId="7" xfId="0" applyFont="1" applyBorder="1" applyProtection="1"/>
    <xf numFmtId="0" fontId="9" fillId="0" borderId="8" xfId="0" applyFont="1" applyBorder="1" applyAlignment="1" applyProtection="1">
      <alignment vertical="center"/>
    </xf>
    <xf numFmtId="0" fontId="2" fillId="0" borderId="4" xfId="0" applyFont="1" applyBorder="1" applyProtection="1"/>
    <xf numFmtId="0" fontId="7" fillId="0" borderId="0" xfId="0" applyFont="1" applyBorder="1" applyProtection="1"/>
    <xf numFmtId="0" fontId="7" fillId="0" borderId="5" xfId="0" applyFont="1" applyBorder="1" applyAlignment="1" applyProtection="1">
      <alignment vertical="center"/>
    </xf>
    <xf numFmtId="2" fontId="10" fillId="2" borderId="9" xfId="0" applyNumberFormat="1" applyFont="1" applyFill="1" applyBorder="1" applyAlignment="1" applyProtection="1">
      <alignment horizontal="center"/>
    </xf>
    <xf numFmtId="2" fontId="10" fillId="5" borderId="6" xfId="0" applyNumberFormat="1" applyFont="1" applyFill="1" applyBorder="1" applyProtection="1"/>
    <xf numFmtId="0" fontId="10" fillId="5" borderId="11" xfId="0" applyFont="1" applyFill="1" applyBorder="1" applyProtection="1"/>
    <xf numFmtId="0" fontId="10" fillId="5" borderId="6" xfId="0" applyFont="1" applyFill="1" applyBorder="1" applyProtection="1"/>
    <xf numFmtId="0" fontId="3" fillId="5" borderId="8" xfId="0" applyFont="1" applyFill="1" applyBorder="1" applyAlignment="1" applyProtection="1">
      <alignment vertical="center"/>
    </xf>
    <xf numFmtId="0" fontId="9" fillId="0" borderId="5" xfId="0" applyFont="1" applyBorder="1" applyAlignment="1" applyProtection="1">
      <alignment vertical="center"/>
    </xf>
    <xf numFmtId="0" fontId="2" fillId="0" borderId="0" xfId="0" applyFont="1" applyBorder="1" applyAlignment="1" applyProtection="1">
      <alignment horizontal="center" vertical="center"/>
    </xf>
    <xf numFmtId="0" fontId="10" fillId="0" borderId="0" xfId="0" applyFont="1" applyBorder="1" applyProtection="1"/>
    <xf numFmtId="0" fontId="3" fillId="0" borderId="0" xfId="0" applyFont="1" applyBorder="1" applyAlignment="1" applyProtection="1">
      <alignment horizontal="left"/>
    </xf>
    <xf numFmtId="0" fontId="2" fillId="0" borderId="0" xfId="0" applyFont="1" applyBorder="1" applyAlignment="1" applyProtection="1">
      <alignment horizontal="center"/>
    </xf>
    <xf numFmtId="0" fontId="2" fillId="0" borderId="5" xfId="0" applyFont="1" applyBorder="1" applyAlignment="1" applyProtection="1">
      <alignment vertical="center"/>
    </xf>
    <xf numFmtId="0" fontId="9" fillId="0" borderId="7" xfId="0" applyFont="1" applyBorder="1" applyAlignment="1" applyProtection="1">
      <alignment horizontal="left"/>
    </xf>
    <xf numFmtId="0" fontId="10" fillId="0" borderId="0" xfId="0" applyFont="1" applyBorder="1" applyAlignment="1" applyProtection="1">
      <alignment horizontal="center"/>
    </xf>
    <xf numFmtId="0" fontId="10" fillId="0" borderId="0" xfId="0" applyFont="1" applyBorder="1" applyAlignment="1" applyProtection="1"/>
    <xf numFmtId="2" fontId="10" fillId="5" borderId="12" xfId="0" applyNumberFormat="1" applyFont="1" applyFill="1" applyBorder="1" applyAlignment="1" applyProtection="1">
      <alignment horizontal="center"/>
    </xf>
    <xf numFmtId="2" fontId="10" fillId="5" borderId="1" xfId="0" applyNumberFormat="1" applyFont="1" applyFill="1" applyBorder="1" applyAlignment="1" applyProtection="1">
      <alignment horizontal="center" vertical="center"/>
    </xf>
    <xf numFmtId="2" fontId="10" fillId="2" borderId="14" xfId="0" applyNumberFormat="1" applyFont="1" applyFill="1" applyBorder="1" applyAlignment="1" applyProtection="1">
      <alignment horizontal="center"/>
    </xf>
    <xf numFmtId="2" fontId="10" fillId="5" borderId="2" xfId="0" applyNumberFormat="1" applyFont="1" applyFill="1" applyBorder="1" applyAlignment="1" applyProtection="1">
      <alignment horizontal="center"/>
    </xf>
    <xf numFmtId="0" fontId="12" fillId="5" borderId="2" xfId="0" applyFont="1" applyFill="1" applyBorder="1" applyAlignment="1" applyProtection="1">
      <alignment horizontal="center" vertical="center" wrapText="1"/>
    </xf>
    <xf numFmtId="0" fontId="9" fillId="2" borderId="11" xfId="0" applyFont="1" applyFill="1" applyBorder="1" applyAlignment="1" applyProtection="1">
      <alignment vertical="center"/>
    </xf>
    <xf numFmtId="0" fontId="2" fillId="0" borderId="3" xfId="0" applyFont="1" applyBorder="1" applyProtection="1"/>
    <xf numFmtId="0" fontId="3" fillId="0" borderId="2" xfId="0" applyFont="1" applyBorder="1" applyAlignment="1" applyProtection="1">
      <alignment horizontal="right"/>
    </xf>
    <xf numFmtId="0" fontId="2" fillId="0" borderId="5" xfId="0" applyFont="1" applyBorder="1" applyProtection="1"/>
    <xf numFmtId="0" fontId="3" fillId="0" borderId="0" xfId="0" applyFont="1" applyBorder="1" applyAlignment="1" applyProtection="1">
      <alignment horizontal="right"/>
    </xf>
    <xf numFmtId="0" fontId="10" fillId="0" borderId="7" xfId="0" applyFont="1" applyBorder="1" applyAlignment="1" applyProtection="1">
      <alignment horizontal="right"/>
    </xf>
    <xf numFmtId="0" fontId="3" fillId="0" borderId="7" xfId="0" applyFont="1" applyBorder="1" applyAlignment="1" applyProtection="1">
      <alignment horizontal="right"/>
    </xf>
    <xf numFmtId="0" fontId="2" fillId="0" borderId="7" xfId="0" applyFont="1" applyBorder="1" applyProtection="1"/>
    <xf numFmtId="0" fontId="3" fillId="0" borderId="7" xfId="0" applyFont="1" applyBorder="1" applyAlignment="1" applyProtection="1">
      <alignment horizontal="left"/>
    </xf>
    <xf numFmtId="0" fontId="9" fillId="0" borderId="7" xfId="0" applyFont="1" applyBorder="1" applyAlignment="1" applyProtection="1">
      <alignment horizontal="right"/>
    </xf>
    <xf numFmtId="0" fontId="3" fillId="0" borderId="7" xfId="0" applyFont="1" applyBorder="1" applyProtection="1"/>
    <xf numFmtId="49" fontId="6" fillId="0" borderId="0" xfId="0" applyNumberFormat="1" applyFont="1" applyBorder="1" applyAlignment="1" applyProtection="1"/>
    <xf numFmtId="49" fontId="8" fillId="0" borderId="0" xfId="0" applyNumberFormat="1" applyFont="1" applyBorder="1" applyAlignment="1" applyProtection="1">
      <alignment horizontal="left"/>
    </xf>
    <xf numFmtId="0" fontId="6" fillId="0" borderId="2" xfId="0" applyFont="1" applyBorder="1" applyProtection="1"/>
    <xf numFmtId="0" fontId="6" fillId="0" borderId="3" xfId="0" applyFont="1" applyBorder="1" applyAlignment="1" applyProtection="1">
      <alignment vertical="center"/>
    </xf>
    <xf numFmtId="0" fontId="6" fillId="0" borderId="0" xfId="0" applyFont="1" applyBorder="1" applyAlignment="1" applyProtection="1">
      <alignment horizontal="left" wrapText="1"/>
    </xf>
    <xf numFmtId="49" fontId="14" fillId="0" borderId="4" xfId="0" applyNumberFormat="1" applyFont="1" applyBorder="1" applyAlignment="1" applyProtection="1">
      <alignment horizontal="left"/>
    </xf>
    <xf numFmtId="10" fontId="10" fillId="4" borderId="17" xfId="0" applyNumberFormat="1" applyFont="1" applyFill="1" applyBorder="1" applyAlignment="1" applyProtection="1">
      <alignment horizontal="center"/>
      <protection locked="0"/>
    </xf>
    <xf numFmtId="0" fontId="2" fillId="0" borderId="8" xfId="0" applyFont="1" applyBorder="1" applyAlignment="1" applyProtection="1">
      <alignment vertical="center"/>
    </xf>
    <xf numFmtId="0" fontId="3" fillId="0" borderId="5" xfId="0" applyFont="1" applyBorder="1" applyAlignment="1" applyProtection="1">
      <alignment horizontal="left"/>
    </xf>
    <xf numFmtId="0" fontId="3" fillId="0" borderId="8" xfId="0" applyFont="1" applyBorder="1" applyAlignment="1" applyProtection="1">
      <alignment horizontal="left"/>
    </xf>
    <xf numFmtId="0" fontId="9" fillId="2" borderId="0" xfId="0" applyFont="1" applyFill="1" applyBorder="1" applyAlignment="1" applyProtection="1">
      <alignment horizontal="center" vertical="center" wrapText="1"/>
    </xf>
    <xf numFmtId="0" fontId="9" fillId="4" borderId="7" xfId="0" applyFont="1" applyFill="1" applyBorder="1" applyProtection="1"/>
    <xf numFmtId="0" fontId="9" fillId="4" borderId="8" xfId="0" applyFont="1" applyFill="1" applyBorder="1" applyProtection="1"/>
    <xf numFmtId="2" fontId="10" fillId="5" borderId="1" xfId="0" applyNumberFormat="1" applyFont="1" applyFill="1" applyBorder="1" applyProtection="1"/>
    <xf numFmtId="2" fontId="10" fillId="5" borderId="2" xfId="0" applyNumberFormat="1" applyFont="1" applyFill="1" applyBorder="1" applyProtection="1"/>
    <xf numFmtId="0" fontId="10" fillId="5" borderId="9" xfId="0" applyFont="1" applyFill="1" applyBorder="1" applyProtection="1"/>
    <xf numFmtId="0" fontId="10" fillId="5" borderId="10" xfId="0" applyFont="1" applyFill="1" applyBorder="1" applyProtection="1"/>
    <xf numFmtId="0" fontId="10" fillId="5" borderId="2" xfId="0" applyFont="1" applyFill="1" applyBorder="1" applyProtection="1"/>
    <xf numFmtId="0" fontId="7" fillId="5" borderId="2" xfId="0" applyFont="1" applyFill="1" applyBorder="1" applyProtection="1"/>
    <xf numFmtId="0" fontId="2" fillId="5" borderId="0" xfId="0" applyFont="1" applyFill="1" applyBorder="1" applyProtection="1"/>
    <xf numFmtId="0" fontId="10" fillId="5" borderId="0" xfId="0" applyFont="1" applyFill="1" applyBorder="1" applyProtection="1"/>
    <xf numFmtId="2" fontId="10" fillId="2" borderId="3" xfId="0" applyNumberFormat="1" applyFont="1" applyFill="1" applyBorder="1" applyAlignment="1" applyProtection="1">
      <alignment horizontal="center"/>
    </xf>
    <xf numFmtId="0" fontId="6" fillId="3" borderId="12" xfId="0" applyFont="1" applyFill="1" applyBorder="1" applyAlignment="1" applyProtection="1">
      <alignment horizontal="center" vertical="center" wrapText="1"/>
      <protection locked="0"/>
    </xf>
    <xf numFmtId="0" fontId="6" fillId="2" borderId="12" xfId="0" applyFont="1" applyFill="1" applyBorder="1" applyAlignment="1" applyProtection="1">
      <alignment horizontal="center" vertical="center" wrapText="1"/>
      <protection locked="0"/>
    </xf>
    <xf numFmtId="0" fontId="6" fillId="6" borderId="12" xfId="0" applyFont="1" applyFill="1" applyBorder="1" applyAlignment="1" applyProtection="1">
      <alignment horizontal="center" vertical="center" wrapText="1"/>
      <protection locked="0"/>
    </xf>
    <xf numFmtId="0" fontId="9" fillId="0" borderId="3" xfId="0" applyFont="1" applyBorder="1" applyAlignment="1" applyProtection="1">
      <alignment vertical="center"/>
    </xf>
    <xf numFmtId="2" fontId="10" fillId="2" borderId="4" xfId="0" applyNumberFormat="1" applyFont="1" applyFill="1" applyBorder="1" applyAlignment="1" applyProtection="1">
      <alignment horizontal="center" vertical="center"/>
    </xf>
    <xf numFmtId="2" fontId="10" fillId="2" borderId="0" xfId="0" applyNumberFormat="1" applyFont="1" applyFill="1" applyBorder="1" applyAlignment="1" applyProtection="1">
      <alignment horizontal="center" vertical="center"/>
    </xf>
    <xf numFmtId="2" fontId="10" fillId="2" borderId="5" xfId="0" applyNumberFormat="1" applyFont="1" applyFill="1" applyBorder="1" applyAlignment="1" applyProtection="1">
      <alignment horizontal="center" vertical="center"/>
    </xf>
    <xf numFmtId="0" fontId="12" fillId="3" borderId="13" xfId="0" applyFont="1" applyFill="1" applyBorder="1" applyAlignment="1">
      <alignment horizontal="center" vertical="center"/>
    </xf>
    <xf numFmtId="0" fontId="12" fillId="2" borderId="13" xfId="0" applyFont="1" applyFill="1" applyBorder="1" applyAlignment="1">
      <alignment horizontal="center" vertical="center"/>
    </xf>
    <xf numFmtId="0" fontId="12" fillId="6" borderId="13" xfId="0" applyFont="1" applyFill="1" applyBorder="1" applyAlignment="1">
      <alignment horizontal="center" vertical="center"/>
    </xf>
    <xf numFmtId="0" fontId="9" fillId="2" borderId="8" xfId="0" applyFont="1" applyFill="1" applyBorder="1" applyAlignment="1" applyProtection="1">
      <alignment vertical="center"/>
    </xf>
    <xf numFmtId="0" fontId="9" fillId="2" borderId="13" xfId="0" applyFont="1" applyFill="1" applyBorder="1" applyAlignment="1" applyProtection="1">
      <alignment vertical="center"/>
    </xf>
    <xf numFmtId="2" fontId="9" fillId="2" borderId="7" xfId="0" applyNumberFormat="1" applyFont="1" applyFill="1" applyBorder="1" applyAlignment="1" applyProtection="1">
      <alignment horizontal="left"/>
    </xf>
    <xf numFmtId="2" fontId="10" fillId="2" borderId="4" xfId="0" applyNumberFormat="1" applyFont="1" applyFill="1" applyBorder="1" applyAlignment="1" applyProtection="1">
      <alignment horizontal="center"/>
    </xf>
    <xf numFmtId="49" fontId="14" fillId="0" borderId="0" xfId="0" applyNumberFormat="1" applyFont="1" applyBorder="1" applyAlignment="1" applyProtection="1">
      <alignment horizontal="left"/>
    </xf>
    <xf numFmtId="0" fontId="15" fillId="0" borderId="2" xfId="0" applyFont="1" applyBorder="1" applyProtection="1"/>
    <xf numFmtId="0" fontId="15" fillId="0" borderId="1" xfId="0" applyFont="1" applyBorder="1" applyProtection="1"/>
    <xf numFmtId="49" fontId="6" fillId="0" borderId="4" xfId="0" applyNumberFormat="1" applyFont="1" applyBorder="1" applyAlignment="1" applyProtection="1">
      <alignment horizontal="left"/>
    </xf>
    <xf numFmtId="0" fontId="9" fillId="6" borderId="9" xfId="0" applyFont="1" applyFill="1" applyBorder="1" applyProtection="1"/>
    <xf numFmtId="0" fontId="9" fillId="3" borderId="9" xfId="0" applyFont="1" applyFill="1" applyBorder="1" applyAlignment="1" applyProtection="1">
      <alignment vertical="center"/>
    </xf>
    <xf numFmtId="2" fontId="9" fillId="4" borderId="16" xfId="0" applyNumberFormat="1" applyFont="1" applyFill="1" applyBorder="1" applyAlignment="1" applyProtection="1">
      <alignment vertical="center"/>
    </xf>
    <xf numFmtId="2" fontId="10" fillId="2" borderId="1" xfId="0" applyNumberFormat="1" applyFont="1" applyFill="1" applyBorder="1" applyAlignment="1" applyProtection="1">
      <alignment horizontal="center"/>
    </xf>
    <xf numFmtId="2" fontId="10" fillId="2" borderId="2" xfId="0" applyNumberFormat="1" applyFont="1" applyFill="1" applyBorder="1" applyAlignment="1" applyProtection="1">
      <alignment horizontal="center"/>
    </xf>
    <xf numFmtId="2" fontId="10" fillId="2" borderId="0" xfId="0" applyNumberFormat="1" applyFont="1" applyFill="1" applyBorder="1" applyAlignment="1" applyProtection="1">
      <alignment horizontal="center"/>
    </xf>
    <xf numFmtId="164" fontId="10" fillId="2" borderId="6" xfId="0" applyNumberFormat="1" applyFont="1" applyFill="1" applyBorder="1" applyAlignment="1" applyProtection="1">
      <alignment horizontal="center"/>
    </xf>
    <xf numFmtId="0" fontId="3" fillId="0" borderId="2" xfId="0" applyFont="1" applyBorder="1" applyAlignment="1" applyProtection="1">
      <alignment horizontal="left"/>
    </xf>
    <xf numFmtId="0" fontId="3" fillId="0" borderId="2" xfId="0" applyFont="1" applyBorder="1" applyAlignment="1" applyProtection="1">
      <alignment horizontal="right" vertical="center"/>
    </xf>
    <xf numFmtId="0" fontId="6" fillId="3" borderId="12" xfId="3" applyFont="1" applyFill="1" applyBorder="1" applyAlignment="1" applyProtection="1">
      <alignment horizontal="center" vertical="center" wrapText="1"/>
      <protection locked="0"/>
    </xf>
    <xf numFmtId="0" fontId="6" fillId="2" borderId="12" xfId="3" applyFont="1" applyFill="1" applyBorder="1" applyAlignment="1" applyProtection="1">
      <alignment horizontal="center" vertical="center" wrapText="1"/>
      <protection locked="0"/>
    </xf>
    <xf numFmtId="0" fontId="6" fillId="6" borderId="12" xfId="3" applyFont="1" applyFill="1" applyBorder="1" applyAlignment="1" applyProtection="1">
      <alignment horizontal="center" vertical="center" wrapText="1"/>
      <protection locked="0"/>
    </xf>
    <xf numFmtId="0" fontId="12" fillId="3" borderId="13" xfId="3" applyFont="1" applyFill="1" applyBorder="1" applyAlignment="1">
      <alignment horizontal="center" vertical="center"/>
    </xf>
    <xf numFmtId="0" fontId="12" fillId="2" borderId="13" xfId="3" applyFont="1" applyFill="1" applyBorder="1" applyAlignment="1">
      <alignment horizontal="center" vertical="center"/>
    </xf>
    <xf numFmtId="0" fontId="12" fillId="6" borderId="13" xfId="3" applyFont="1" applyFill="1" applyBorder="1" applyAlignment="1">
      <alignment horizontal="center" vertical="center"/>
    </xf>
    <xf numFmtId="0" fontId="12" fillId="2" borderId="13" xfId="3" applyFont="1" applyFill="1" applyBorder="1" applyAlignment="1" applyProtection="1">
      <alignment horizontal="center" vertical="center"/>
    </xf>
    <xf numFmtId="0" fontId="12" fillId="3" borderId="13" xfId="3" applyFont="1" applyFill="1" applyBorder="1" applyAlignment="1" applyProtection="1">
      <alignment horizontal="center" vertical="center"/>
    </xf>
    <xf numFmtId="43" fontId="10" fillId="4" borderId="15" xfId="2" applyFont="1" applyFill="1" applyBorder="1" applyAlignment="1" applyProtection="1">
      <alignment horizontal="center"/>
      <protection locked="0"/>
    </xf>
    <xf numFmtId="43" fontId="10" fillId="4" borderId="15" xfId="2" applyFont="1" applyFill="1" applyBorder="1" applyAlignment="1" applyProtection="1">
      <alignment horizontal="right"/>
      <protection locked="0"/>
    </xf>
    <xf numFmtId="0" fontId="11" fillId="0" borderId="0" xfId="3"/>
    <xf numFmtId="0" fontId="2" fillId="0" borderId="0" xfId="3" applyFont="1" applyBorder="1" applyProtection="1"/>
    <xf numFmtId="0" fontId="9" fillId="0" borderId="7" xfId="3" applyFont="1" applyBorder="1" applyProtection="1"/>
    <xf numFmtId="0" fontId="9" fillId="0" borderId="8" xfId="3" applyFont="1" applyBorder="1" applyAlignment="1" applyProtection="1">
      <alignment vertical="center"/>
    </xf>
    <xf numFmtId="0" fontId="9" fillId="0" borderId="7" xfId="3" applyFont="1" applyBorder="1" applyAlignment="1" applyProtection="1">
      <alignment horizontal="left"/>
    </xf>
    <xf numFmtId="2" fontId="10" fillId="2" borderId="0" xfId="3" applyNumberFormat="1" applyFont="1" applyFill="1" applyBorder="1" applyAlignment="1" applyProtection="1">
      <alignment horizontal="center"/>
    </xf>
    <xf numFmtId="0" fontId="3" fillId="0" borderId="0" xfId="3" applyFont="1" applyBorder="1" applyAlignment="1" applyProtection="1">
      <alignment horizontal="right"/>
    </xf>
    <xf numFmtId="0" fontId="9" fillId="0" borderId="5" xfId="0" applyFont="1" applyBorder="1" applyProtection="1"/>
    <xf numFmtId="2" fontId="10" fillId="2" borderId="7" xfId="3" applyNumberFormat="1" applyFont="1" applyFill="1" applyBorder="1" applyAlignment="1" applyProtection="1">
      <alignment horizontal="center"/>
    </xf>
    <xf numFmtId="49" fontId="8" fillId="0" borderId="5" xfId="0" applyNumberFormat="1" applyFont="1" applyBorder="1" applyAlignment="1" applyProtection="1">
      <alignment horizontal="left"/>
    </xf>
    <xf numFmtId="0" fontId="9" fillId="2" borderId="9" xfId="0" applyFont="1" applyFill="1" applyBorder="1" applyAlignment="1" applyProtection="1">
      <alignment horizontal="center"/>
    </xf>
    <xf numFmtId="0" fontId="9" fillId="2" borderId="9" xfId="0" applyFont="1" applyFill="1" applyBorder="1" applyAlignment="1" applyProtection="1">
      <alignment wrapText="1"/>
    </xf>
    <xf numFmtId="0" fontId="2" fillId="0" borderId="0" xfId="0" applyFont="1" applyBorder="1" applyAlignment="1" applyProtection="1">
      <alignment horizontal="center"/>
    </xf>
    <xf numFmtId="0" fontId="6" fillId="0" borderId="0" xfId="0" applyFont="1" applyBorder="1" applyAlignment="1" applyProtection="1">
      <alignment horizontal="left" wrapText="1"/>
    </xf>
    <xf numFmtId="2" fontId="10" fillId="4" borderId="17" xfId="0" applyNumberFormat="1" applyFont="1" applyFill="1" applyBorder="1" applyAlignment="1" applyProtection="1">
      <alignment horizontal="center"/>
      <protection locked="0"/>
    </xf>
    <xf numFmtId="0" fontId="9" fillId="2" borderId="5" xfId="0" applyFont="1" applyFill="1" applyBorder="1" applyAlignment="1" applyProtection="1">
      <alignment vertical="center"/>
    </xf>
    <xf numFmtId="2" fontId="10" fillId="2" borderId="0" xfId="3" applyNumberFormat="1" applyFont="1" applyFill="1" applyBorder="1" applyAlignment="1" applyProtection="1">
      <alignment horizontal="center"/>
    </xf>
    <xf numFmtId="2" fontId="10" fillId="2" borderId="1" xfId="3" applyNumberFormat="1" applyFont="1" applyFill="1" applyBorder="1" applyAlignment="1" applyProtection="1">
      <alignment horizontal="center"/>
    </xf>
    <xf numFmtId="2" fontId="10" fillId="2" borderId="2" xfId="3" applyNumberFormat="1" applyFont="1" applyFill="1" applyBorder="1" applyAlignment="1" applyProtection="1">
      <alignment horizontal="center"/>
    </xf>
    <xf numFmtId="2" fontId="10" fillId="2" borderId="3" xfId="3" applyNumberFormat="1" applyFont="1" applyFill="1" applyBorder="1" applyAlignment="1" applyProtection="1">
      <alignment horizontal="center"/>
    </xf>
    <xf numFmtId="0" fontId="12" fillId="2" borderId="6" xfId="3" applyFont="1" applyFill="1" applyBorder="1" applyAlignment="1" applyProtection="1">
      <alignment horizontal="center" textRotation="90" wrapText="1"/>
    </xf>
    <xf numFmtId="0" fontId="12" fillId="2" borderId="7" xfId="3" applyFont="1" applyFill="1" applyBorder="1" applyAlignment="1" applyProtection="1">
      <alignment horizontal="center" textRotation="90" wrapText="1"/>
    </xf>
    <xf numFmtId="2" fontId="10" fillId="4" borderId="22" xfId="2" applyNumberFormat="1" applyFont="1" applyFill="1" applyBorder="1" applyAlignment="1" applyProtection="1">
      <alignment horizontal="center"/>
      <protection locked="0"/>
    </xf>
    <xf numFmtId="0" fontId="11" fillId="0" borderId="21" xfId="3" applyBorder="1" applyProtection="1">
      <protection locked="0"/>
    </xf>
    <xf numFmtId="0" fontId="16" fillId="2" borderId="0" xfId="0" applyFont="1" applyFill="1" applyBorder="1" applyAlignment="1" applyProtection="1">
      <alignment horizontal="left"/>
    </xf>
    <xf numFmtId="0" fontId="16" fillId="2" borderId="4" xfId="0" applyFont="1" applyFill="1" applyBorder="1" applyAlignment="1" applyProtection="1">
      <alignment horizontal="left"/>
    </xf>
    <xf numFmtId="0" fontId="9" fillId="2" borderId="18" xfId="0" applyFont="1" applyFill="1" applyBorder="1" applyAlignment="1" applyProtection="1">
      <alignment horizontal="center" textRotation="90" wrapText="1"/>
    </xf>
    <xf numFmtId="0" fontId="2" fillId="0" borderId="0" xfId="0" applyFont="1" applyBorder="1" applyAlignment="1" applyProtection="1">
      <alignment horizontal="center"/>
    </xf>
    <xf numFmtId="0" fontId="6" fillId="0" borderId="11" xfId="0" applyFont="1" applyBorder="1" applyAlignment="1" applyProtection="1">
      <alignment horizontal="left" vertical="center" wrapText="1"/>
    </xf>
    <xf numFmtId="0" fontId="6" fillId="0" borderId="19" xfId="0" applyFont="1" applyBorder="1" applyAlignment="1" applyProtection="1">
      <alignment horizontal="left" vertical="center" wrapText="1"/>
    </xf>
    <xf numFmtId="0" fontId="6" fillId="0" borderId="10" xfId="0" applyFont="1" applyBorder="1" applyAlignment="1" applyProtection="1">
      <alignment horizontal="left" vertical="center" wrapText="1"/>
    </xf>
    <xf numFmtId="0" fontId="9" fillId="0" borderId="8" xfId="0" applyFont="1" applyBorder="1" applyAlignment="1" applyProtection="1">
      <alignment vertical="center"/>
    </xf>
    <xf numFmtId="0" fontId="9" fillId="0" borderId="7" xfId="0" applyFont="1" applyBorder="1" applyAlignment="1" applyProtection="1">
      <alignment vertical="center"/>
    </xf>
    <xf numFmtId="0" fontId="9" fillId="0" borderId="6" xfId="0" applyFont="1" applyBorder="1" applyAlignment="1" applyProtection="1">
      <alignment vertical="center"/>
    </xf>
    <xf numFmtId="0" fontId="9" fillId="4" borderId="8" xfId="0" applyFont="1" applyFill="1" applyBorder="1" applyProtection="1"/>
    <xf numFmtId="0" fontId="9" fillId="4" borderId="7" xfId="0" applyFont="1" applyFill="1" applyBorder="1" applyProtection="1"/>
    <xf numFmtId="0" fontId="9" fillId="4" borderId="6" xfId="0" applyFont="1" applyFill="1" applyBorder="1" applyProtection="1"/>
    <xf numFmtId="0" fontId="9" fillId="6" borderId="8" xfId="0" applyFont="1" applyFill="1" applyBorder="1" applyAlignment="1" applyProtection="1"/>
    <xf numFmtId="0" fontId="9" fillId="6" borderId="7" xfId="0" applyFont="1" applyFill="1" applyBorder="1" applyAlignment="1" applyProtection="1"/>
    <xf numFmtId="0" fontId="9" fillId="6" borderId="6" xfId="0" applyFont="1" applyFill="1" applyBorder="1" applyAlignment="1" applyProtection="1"/>
    <xf numFmtId="0" fontId="9" fillId="4" borderId="18" xfId="0" applyFont="1" applyFill="1" applyBorder="1" applyAlignment="1" applyProtection="1">
      <alignment horizontal="center" textRotation="90" wrapText="1"/>
    </xf>
    <xf numFmtId="0" fontId="9" fillId="2" borderId="12" xfId="0" applyFont="1" applyFill="1" applyBorder="1" applyAlignment="1" applyProtection="1">
      <alignment horizontal="center" textRotation="90" wrapText="1"/>
    </xf>
    <xf numFmtId="0" fontId="9" fillId="4" borderId="23" xfId="0" applyFont="1" applyFill="1" applyBorder="1" applyAlignment="1" applyProtection="1">
      <alignment horizontal="center" textRotation="90" wrapText="1"/>
    </xf>
    <xf numFmtId="0" fontId="11" fillId="0" borderId="24" xfId="3" applyBorder="1" applyProtection="1">
      <protection locked="0"/>
    </xf>
    <xf numFmtId="0" fontId="3" fillId="0" borderId="3" xfId="0" applyFont="1" applyBorder="1" applyAlignment="1" applyProtection="1">
      <alignment vertical="center"/>
    </xf>
    <xf numFmtId="0" fontId="3" fillId="0" borderId="2" xfId="0" applyFont="1" applyBorder="1" applyAlignment="1" applyProtection="1">
      <alignment vertical="center"/>
    </xf>
    <xf numFmtId="0" fontId="10" fillId="5" borderId="8" xfId="3" applyFont="1" applyFill="1" applyBorder="1" applyAlignment="1" applyProtection="1">
      <alignment horizontal="center"/>
    </xf>
    <xf numFmtId="0" fontId="10" fillId="5" borderId="7" xfId="3" applyFont="1" applyFill="1" applyBorder="1" applyAlignment="1" applyProtection="1">
      <alignment horizontal="center"/>
    </xf>
    <xf numFmtId="0" fontId="10" fillId="5" borderId="6" xfId="3" applyFont="1" applyFill="1" applyBorder="1" applyAlignment="1" applyProtection="1">
      <alignment horizontal="center"/>
    </xf>
    <xf numFmtId="2" fontId="10" fillId="4" borderId="20" xfId="2" applyNumberFormat="1" applyFont="1" applyFill="1" applyBorder="1" applyAlignment="1" applyProtection="1">
      <alignment horizontal="center"/>
      <protection locked="0"/>
    </xf>
    <xf numFmtId="2" fontId="10" fillId="4" borderId="21" xfId="2" applyNumberFormat="1" applyFont="1" applyFill="1" applyBorder="1" applyAlignment="1" applyProtection="1">
      <alignment horizontal="center"/>
      <protection locked="0"/>
    </xf>
    <xf numFmtId="0" fontId="3" fillId="0" borderId="11" xfId="3" applyFont="1" applyBorder="1" applyAlignment="1" applyProtection="1">
      <alignment horizontal="right"/>
    </xf>
    <xf numFmtId="0" fontId="3" fillId="0" borderId="10" xfId="3" applyFont="1" applyBorder="1" applyAlignment="1" applyProtection="1">
      <alignment horizontal="right"/>
    </xf>
    <xf numFmtId="0" fontId="3" fillId="0" borderId="25" xfId="4" applyFont="1" applyBorder="1" applyAlignment="1" applyProtection="1">
      <alignment horizontal="right"/>
    </xf>
    <xf numFmtId="0" fontId="3" fillId="0" borderId="19" xfId="4" applyFont="1" applyBorder="1" applyAlignment="1" applyProtection="1">
      <alignment horizontal="right"/>
    </xf>
    <xf numFmtId="0" fontId="3" fillId="0" borderId="26" xfId="4" applyFont="1" applyBorder="1" applyAlignment="1" applyProtection="1">
      <alignment horizontal="right"/>
    </xf>
    <xf numFmtId="0" fontId="3" fillId="4" borderId="27" xfId="4" applyNumberFormat="1" applyFont="1" applyFill="1" applyBorder="1" applyAlignment="1" applyProtection="1">
      <alignment horizontal="left"/>
      <protection locked="0"/>
    </xf>
    <xf numFmtId="0" fontId="3" fillId="4" borderId="7" xfId="4" applyNumberFormat="1" applyFont="1" applyFill="1" applyBorder="1" applyAlignment="1" applyProtection="1">
      <alignment horizontal="left"/>
      <protection locked="0"/>
    </xf>
    <xf numFmtId="0" fontId="3" fillId="4" borderId="6" xfId="4" applyNumberFormat="1" applyFont="1" applyFill="1" applyBorder="1" applyAlignment="1" applyProtection="1">
      <alignment horizontal="left"/>
      <protection locked="0"/>
    </xf>
    <xf numFmtId="0" fontId="3" fillId="4" borderId="7" xfId="3" applyNumberFormat="1" applyFont="1" applyFill="1" applyBorder="1" applyAlignment="1" applyProtection="1">
      <alignment horizontal="left"/>
      <protection locked="0"/>
    </xf>
    <xf numFmtId="0" fontId="3" fillId="4" borderId="28" xfId="3" applyNumberFormat="1" applyFont="1" applyFill="1" applyBorder="1" applyAlignment="1" applyProtection="1">
      <alignment horizontal="left"/>
      <protection locked="0"/>
    </xf>
    <xf numFmtId="0" fontId="9" fillId="5" borderId="8" xfId="0" applyFont="1" applyFill="1" applyBorder="1" applyAlignment="1" applyProtection="1">
      <alignment horizontal="center"/>
    </xf>
    <xf numFmtId="0" fontId="9" fillId="5" borderId="7" xfId="0" applyFont="1" applyFill="1" applyBorder="1" applyAlignment="1" applyProtection="1">
      <alignment horizontal="center"/>
    </xf>
    <xf numFmtId="0" fontId="9" fillId="5" borderId="6" xfId="0" applyFont="1" applyFill="1" applyBorder="1" applyAlignment="1" applyProtection="1">
      <alignment horizontal="center"/>
    </xf>
  </cellXfs>
  <cellStyles count="7">
    <cellStyle name="Comma 2" xfId="1"/>
    <cellStyle name="Comma 3" xfId="2"/>
    <cellStyle name="Normal" xfId="0" builtinId="0"/>
    <cellStyle name="Normal 2" xfId="3"/>
    <cellStyle name="Normal 2 2" xfId="4"/>
    <cellStyle name="Normal 3" xfId="5"/>
    <cellStyle name="Normal 3 2" xfId="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M104"/>
  <sheetViews>
    <sheetView tabSelected="1" zoomScaleNormal="100" workbookViewId="0">
      <selection activeCell="I19" sqref="I19"/>
    </sheetView>
  </sheetViews>
  <sheetFormatPr defaultRowHeight="15.75"/>
  <cols>
    <col min="1" max="1" width="9.7109375" style="2" customWidth="1"/>
    <col min="2" max="15" width="7.42578125" style="1" customWidth="1"/>
    <col min="16" max="22" width="5.140625" style="1" customWidth="1"/>
    <col min="23" max="33" width="4.7109375" style="1" customWidth="1"/>
    <col min="34" max="36" width="4.5703125" style="1" customWidth="1"/>
    <col min="37" max="39" width="4" style="1" customWidth="1"/>
    <col min="40" max="40" width="5.28515625" style="1" customWidth="1"/>
    <col min="41" max="16384" width="9.140625" style="1"/>
  </cols>
  <sheetData>
    <row r="1" spans="1:39" ht="13.5" customHeight="1">
      <c r="A1" s="147" t="s">
        <v>92</v>
      </c>
      <c r="B1" s="147"/>
      <c r="C1" s="147"/>
      <c r="D1" s="147"/>
      <c r="E1" s="147"/>
      <c r="F1" s="147"/>
      <c r="G1" s="147"/>
      <c r="H1" s="147"/>
      <c r="I1" s="147"/>
      <c r="J1" s="147"/>
      <c r="K1" s="147"/>
      <c r="L1" s="147"/>
      <c r="M1" s="147"/>
      <c r="N1" s="147"/>
      <c r="O1" s="147"/>
      <c r="P1" s="147"/>
      <c r="Q1" s="147"/>
      <c r="R1" s="147"/>
      <c r="S1" s="147"/>
      <c r="T1" s="147"/>
      <c r="U1" s="147"/>
      <c r="V1" s="147"/>
      <c r="W1" s="132"/>
      <c r="X1" s="132"/>
      <c r="Y1" s="132"/>
      <c r="Z1" s="132"/>
      <c r="AA1" s="132"/>
      <c r="AB1" s="132"/>
      <c r="AC1" s="132"/>
      <c r="AD1" s="132"/>
      <c r="AE1" s="132"/>
      <c r="AF1" s="40"/>
      <c r="AG1" s="40"/>
      <c r="AH1" s="40"/>
      <c r="AI1" s="40"/>
      <c r="AJ1" s="40"/>
      <c r="AK1" s="40"/>
      <c r="AL1" s="40"/>
      <c r="AM1" s="40"/>
    </row>
    <row r="2" spans="1:39" s="3" customFormat="1" ht="12.75">
      <c r="A2" s="171" t="s">
        <v>64</v>
      </c>
      <c r="B2" s="172"/>
      <c r="C2" s="179"/>
      <c r="D2" s="179"/>
      <c r="E2" s="179"/>
      <c r="F2" s="179"/>
      <c r="G2" s="171" t="s">
        <v>63</v>
      </c>
      <c r="H2" s="172"/>
      <c r="I2" s="179"/>
      <c r="J2" s="179"/>
      <c r="K2" s="179"/>
      <c r="L2" s="179"/>
      <c r="M2" s="180"/>
      <c r="N2" s="173" t="s">
        <v>62</v>
      </c>
      <c r="O2" s="174"/>
      <c r="P2" s="174"/>
      <c r="Q2" s="174"/>
      <c r="R2" s="175"/>
      <c r="S2" s="176"/>
      <c r="T2" s="177"/>
      <c r="U2" s="177"/>
      <c r="V2" s="178"/>
      <c r="W2" s="133"/>
      <c r="X2" s="133"/>
      <c r="Y2" s="133"/>
      <c r="Z2" s="133"/>
      <c r="AA2" s="133"/>
      <c r="AB2" s="133"/>
      <c r="AC2" s="133"/>
      <c r="AD2" s="133"/>
      <c r="AE2" s="133"/>
      <c r="AF2" s="65"/>
      <c r="AG2" s="65"/>
      <c r="AH2" s="65"/>
      <c r="AI2" s="65"/>
    </row>
    <row r="3" spans="1:39" ht="61.5" customHeight="1">
      <c r="A3" s="148" t="s">
        <v>94</v>
      </c>
      <c r="B3" s="149"/>
      <c r="C3" s="149"/>
      <c r="D3" s="149"/>
      <c r="E3" s="149"/>
      <c r="F3" s="149"/>
      <c r="G3" s="149"/>
      <c r="H3" s="149"/>
      <c r="I3" s="149"/>
      <c r="J3" s="149"/>
      <c r="K3" s="149"/>
      <c r="L3" s="149"/>
      <c r="M3" s="149"/>
      <c r="N3" s="149"/>
      <c r="O3" s="149"/>
      <c r="P3" s="149"/>
      <c r="Q3" s="149"/>
      <c r="R3" s="149"/>
      <c r="S3" s="149"/>
      <c r="T3" s="149"/>
      <c r="U3" s="149"/>
      <c r="V3" s="150"/>
      <c r="W3" s="133"/>
      <c r="X3" s="133"/>
      <c r="Y3" s="133"/>
      <c r="Z3" s="133"/>
      <c r="AA3" s="133"/>
      <c r="AB3" s="133"/>
      <c r="AC3" s="133"/>
      <c r="AD3" s="133"/>
      <c r="AE3" s="133"/>
      <c r="AF3" s="65"/>
      <c r="AG3" s="65"/>
      <c r="AH3" s="65"/>
      <c r="AI3" s="65"/>
      <c r="AJ3" s="65"/>
      <c r="AK3" s="65"/>
      <c r="AL3" s="65"/>
      <c r="AM3" s="65"/>
    </row>
    <row r="4" spans="1:39" s="24" customFormat="1" ht="12.75" thickBot="1">
      <c r="A4" s="27" t="s">
        <v>17</v>
      </c>
      <c r="B4" s="26"/>
      <c r="C4" s="26"/>
      <c r="D4" s="26"/>
      <c r="E4" s="25"/>
      <c r="F4" s="73" t="s">
        <v>16</v>
      </c>
      <c r="G4" s="72"/>
      <c r="H4" s="72"/>
      <c r="I4" s="72"/>
      <c r="J4" s="72"/>
      <c r="K4" s="72"/>
      <c r="L4" s="72"/>
      <c r="M4" s="72"/>
      <c r="N4" s="157" t="s">
        <v>79</v>
      </c>
      <c r="O4" s="158"/>
      <c r="P4" s="158"/>
      <c r="Q4" s="158"/>
      <c r="R4" s="158"/>
      <c r="S4" s="158"/>
      <c r="T4" s="158"/>
      <c r="U4" s="158"/>
      <c r="V4" s="159"/>
      <c r="W4" s="71"/>
      <c r="X4" s="71"/>
      <c r="Y4" s="71"/>
      <c r="Z4" s="71"/>
      <c r="AA4" s="71"/>
      <c r="AB4" s="71"/>
      <c r="AC4" s="71"/>
      <c r="AD4" s="71"/>
      <c r="AE4" s="71"/>
    </row>
    <row r="5" spans="1:39" s="24" customFormat="1" ht="12.75" thickTop="1">
      <c r="A5" s="103"/>
      <c r="B5" s="23" t="s">
        <v>15</v>
      </c>
      <c r="C5" s="19"/>
      <c r="D5" s="19"/>
      <c r="E5" s="20"/>
      <c r="F5" s="129" t="s">
        <v>10</v>
      </c>
      <c r="G5" s="13"/>
      <c r="H5" s="13" t="s">
        <v>9</v>
      </c>
      <c r="I5" s="71"/>
      <c r="J5" s="13" t="s">
        <v>6</v>
      </c>
      <c r="K5" s="71"/>
      <c r="L5" s="13" t="s">
        <v>8</v>
      </c>
      <c r="M5" s="71"/>
      <c r="N5" s="14" t="s">
        <v>66</v>
      </c>
      <c r="O5" s="13"/>
      <c r="P5" s="13"/>
      <c r="Q5" s="13"/>
      <c r="R5" s="13" t="s">
        <v>67</v>
      </c>
      <c r="S5" s="13"/>
      <c r="T5" s="13"/>
      <c r="U5" s="13"/>
      <c r="V5" s="100"/>
      <c r="W5" s="71"/>
      <c r="X5" s="71"/>
      <c r="Y5" s="71"/>
      <c r="Z5" s="71"/>
      <c r="AA5" s="71"/>
      <c r="AB5" s="71"/>
      <c r="AC5" s="71"/>
      <c r="AD5" s="71"/>
      <c r="AE5" s="71"/>
    </row>
    <row r="6" spans="1:39" s="24" customFormat="1" ht="12">
      <c r="A6" s="102"/>
      <c r="B6" s="23" t="s">
        <v>11</v>
      </c>
      <c r="C6" s="19"/>
      <c r="D6" s="19"/>
      <c r="E6" s="20"/>
      <c r="F6" s="21" t="s">
        <v>7</v>
      </c>
      <c r="G6" s="13"/>
      <c r="H6" s="13" t="s">
        <v>2</v>
      </c>
      <c r="I6" s="71"/>
      <c r="J6" s="13" t="s">
        <v>1</v>
      </c>
      <c r="K6" s="71"/>
      <c r="L6" s="13" t="s">
        <v>5</v>
      </c>
      <c r="M6" s="71"/>
      <c r="N6" s="14" t="s">
        <v>68</v>
      </c>
      <c r="O6" s="13"/>
      <c r="P6" s="13"/>
      <c r="Q6" s="13"/>
      <c r="R6" s="13" t="s">
        <v>69</v>
      </c>
      <c r="S6" s="13"/>
      <c r="T6" s="13"/>
      <c r="U6" s="13"/>
      <c r="V6" s="100"/>
      <c r="W6" s="71"/>
      <c r="X6" s="71"/>
      <c r="Y6" s="71"/>
      <c r="Z6" s="71"/>
      <c r="AA6" s="71"/>
      <c r="AB6" s="71"/>
      <c r="AC6" s="71"/>
      <c r="AD6" s="71"/>
      <c r="AE6" s="71"/>
    </row>
    <row r="7" spans="1:39" s="24" customFormat="1" ht="12" customHeight="1">
      <c r="A7" s="101"/>
      <c r="B7" s="23" t="s">
        <v>61</v>
      </c>
      <c r="C7" s="19"/>
      <c r="D7" s="19"/>
      <c r="E7" s="20"/>
      <c r="F7" s="21" t="s">
        <v>3</v>
      </c>
      <c r="G7" s="13"/>
      <c r="H7" s="13" t="s">
        <v>13</v>
      </c>
      <c r="I7" s="71"/>
      <c r="J7" s="13" t="s">
        <v>12</v>
      </c>
      <c r="K7" s="71"/>
      <c r="L7" s="13" t="s">
        <v>0</v>
      </c>
      <c r="M7" s="71"/>
      <c r="N7" s="14" t="s">
        <v>70</v>
      </c>
      <c r="O7" s="13"/>
      <c r="P7" s="13"/>
      <c r="Q7" s="13"/>
      <c r="R7" s="13" t="s">
        <v>71</v>
      </c>
      <c r="S7" s="13"/>
      <c r="T7" s="13"/>
      <c r="U7" s="13"/>
      <c r="V7" s="100"/>
      <c r="W7" s="71"/>
      <c r="X7" s="71"/>
      <c r="Y7" s="71"/>
      <c r="Z7" s="71"/>
      <c r="AA7" s="71"/>
      <c r="AB7" s="71"/>
      <c r="AC7" s="71"/>
      <c r="AD7" s="71"/>
      <c r="AE7" s="71"/>
    </row>
    <row r="8" spans="1:39" s="19" customFormat="1" ht="12" customHeight="1">
      <c r="A8" s="127"/>
      <c r="C8" s="23"/>
      <c r="D8" s="23"/>
      <c r="E8" s="22"/>
      <c r="F8" s="13" t="s">
        <v>14</v>
      </c>
      <c r="H8" s="13"/>
      <c r="N8" s="14" t="s">
        <v>72</v>
      </c>
      <c r="O8" s="13"/>
      <c r="P8" s="13"/>
      <c r="Q8" s="13"/>
      <c r="R8" s="13" t="s">
        <v>73</v>
      </c>
      <c r="S8" s="13"/>
      <c r="T8" s="13"/>
      <c r="U8" s="13"/>
      <c r="V8" s="100"/>
    </row>
    <row r="9" spans="1:39" ht="12" customHeight="1">
      <c r="A9" s="64" t="s">
        <v>4</v>
      </c>
      <c r="B9" s="63"/>
      <c r="C9" s="18"/>
      <c r="D9" s="18"/>
      <c r="E9" s="17"/>
      <c r="F9" s="16"/>
      <c r="G9" s="15"/>
      <c r="H9" s="15"/>
      <c r="I9" s="15"/>
      <c r="J9" s="15"/>
      <c r="K9" s="15"/>
      <c r="L9" s="15"/>
      <c r="M9" s="15"/>
      <c r="N9" s="11" t="s">
        <v>74</v>
      </c>
      <c r="O9" s="10"/>
      <c r="P9" s="10"/>
      <c r="Q9" s="10"/>
      <c r="R9" s="10"/>
      <c r="S9" s="10"/>
      <c r="T9" s="9"/>
      <c r="U9" s="9"/>
      <c r="V9" s="8"/>
    </row>
    <row r="10" spans="1:39" ht="5.25" customHeight="1">
      <c r="A10" s="30"/>
      <c r="B10" s="29"/>
      <c r="C10" s="29"/>
      <c r="D10" s="29"/>
      <c r="E10" s="29"/>
      <c r="F10" s="62"/>
      <c r="G10" s="12"/>
      <c r="H10" s="12"/>
      <c r="I10" s="12"/>
      <c r="J10" s="12"/>
      <c r="K10" s="12"/>
      <c r="L10" s="12"/>
      <c r="M10" s="12"/>
      <c r="N10" s="12"/>
      <c r="O10" s="12"/>
      <c r="P10" s="12"/>
      <c r="Q10" s="61"/>
      <c r="R10" s="13"/>
      <c r="S10" s="13"/>
      <c r="T10" s="13"/>
      <c r="U10" s="13"/>
      <c r="V10" s="100"/>
    </row>
    <row r="11" spans="1:39" ht="12.75" customHeight="1" thickBot="1">
      <c r="A11" s="68"/>
      <c r="B11" s="57"/>
      <c r="C11" s="58"/>
      <c r="D11" s="56" t="s">
        <v>65</v>
      </c>
      <c r="E11" s="67"/>
      <c r="F11" s="60"/>
      <c r="G11" s="58"/>
      <c r="H11" s="58"/>
      <c r="I11" s="58"/>
      <c r="J11" s="56" t="s">
        <v>81</v>
      </c>
      <c r="K11" s="118"/>
      <c r="L11" s="59" t="s">
        <v>60</v>
      </c>
      <c r="M11" s="128">
        <f>48*7.25</f>
        <v>348</v>
      </c>
      <c r="N11" s="70"/>
      <c r="O11" s="58"/>
      <c r="P11" s="58"/>
      <c r="Q11" s="58"/>
      <c r="R11" s="57"/>
      <c r="S11" s="56" t="s">
        <v>89</v>
      </c>
      <c r="T11" s="119"/>
      <c r="U11" s="55" t="s">
        <v>59</v>
      </c>
      <c r="V11" s="107">
        <f>8*((E11*(E12/26)))*7.25</f>
        <v>0</v>
      </c>
    </row>
    <row r="12" spans="1:39" ht="12.75" customHeight="1" thickTop="1" thickBot="1">
      <c r="A12" s="53"/>
      <c r="C12" s="40"/>
      <c r="D12" s="54" t="s">
        <v>58</v>
      </c>
      <c r="E12" s="134"/>
      <c r="G12" s="39"/>
      <c r="H12" s="39"/>
      <c r="I12" s="39"/>
      <c r="J12" s="54" t="s">
        <v>80</v>
      </c>
      <c r="K12" s="106">
        <f>(24/26)*E11*7.25</f>
        <v>0</v>
      </c>
      <c r="L12" s="144"/>
      <c r="M12" s="145"/>
      <c r="N12" s="69"/>
      <c r="O12" s="39"/>
      <c r="P12" s="39"/>
      <c r="Q12" s="39"/>
      <c r="S12" s="54" t="s">
        <v>90</v>
      </c>
      <c r="T12" s="106">
        <f>8*E11*(E12/26)*7.25</f>
        <v>0</v>
      </c>
      <c r="V12" s="28"/>
      <c r="AK12" s="39"/>
    </row>
    <row r="13" spans="1:39" ht="12.75" customHeight="1" thickTop="1">
      <c r="A13" s="51"/>
      <c r="B13" s="9"/>
      <c r="C13" s="9"/>
      <c r="D13" s="52" t="s">
        <v>82</v>
      </c>
      <c r="E13" s="104">
        <f>2*E11*(E12/26)*7.25</f>
        <v>0</v>
      </c>
      <c r="F13" s="9"/>
      <c r="G13" s="108"/>
      <c r="H13" s="108"/>
      <c r="I13" s="108"/>
      <c r="J13" s="52" t="s">
        <v>93</v>
      </c>
      <c r="K13" s="105">
        <f>IF((26*K12)*(E12/26)+K11&gt;M11,M11,(26*K12)*(E12/26)+K11)</f>
        <v>0</v>
      </c>
      <c r="L13" s="9"/>
      <c r="M13" s="9"/>
      <c r="N13" s="51"/>
      <c r="O13" s="9"/>
      <c r="P13" s="9"/>
      <c r="Q13" s="9"/>
      <c r="R13" s="9"/>
      <c r="S13" s="109" t="s">
        <v>91</v>
      </c>
      <c r="T13" s="105">
        <f>IF((T12+T11)&gt;16*7.25,16*7.25,T12+T11)</f>
        <v>0</v>
      </c>
      <c r="U13" s="9"/>
      <c r="V13" s="8"/>
      <c r="AK13" s="39"/>
    </row>
    <row r="14" spans="1:39" ht="5.25" customHeight="1">
      <c r="A14" s="121"/>
      <c r="B14" s="120"/>
      <c r="C14" s="120"/>
      <c r="D14" s="126"/>
      <c r="E14" s="125"/>
      <c r="F14" s="120"/>
      <c r="G14" s="120"/>
      <c r="H14" s="120"/>
      <c r="I14" s="120"/>
      <c r="J14" s="120"/>
      <c r="K14" s="120"/>
      <c r="L14" s="120"/>
      <c r="M14" s="120"/>
      <c r="N14" s="120"/>
      <c r="O14" s="120"/>
      <c r="P14" s="120"/>
      <c r="Q14" s="120"/>
      <c r="R14" s="120"/>
      <c r="S14" s="120"/>
      <c r="T14" s="120"/>
      <c r="U14" s="120"/>
      <c r="V14" s="120"/>
      <c r="AL14" s="39"/>
    </row>
    <row r="15" spans="1:39" s="19" customFormat="1" ht="12" customHeight="1">
      <c r="A15" s="123"/>
      <c r="B15" s="122"/>
      <c r="C15" s="122"/>
      <c r="D15" s="122"/>
      <c r="E15" s="122"/>
      <c r="F15" s="122"/>
      <c r="G15" s="122"/>
      <c r="H15" s="122"/>
      <c r="I15" s="122"/>
      <c r="J15" s="122"/>
      <c r="K15" s="122"/>
      <c r="L15" s="122"/>
      <c r="M15" s="124"/>
      <c r="N15" s="124"/>
      <c r="O15" s="124"/>
      <c r="P15" s="166" t="s">
        <v>44</v>
      </c>
      <c r="Q15" s="167"/>
      <c r="R15" s="167"/>
      <c r="S15" s="167"/>
      <c r="T15" s="167"/>
      <c r="U15" s="167"/>
      <c r="V15" s="168"/>
    </row>
    <row r="16" spans="1:39" ht="15.75" customHeight="1">
      <c r="A16" s="41"/>
      <c r="B16" s="40"/>
      <c r="C16" s="40"/>
      <c r="D16" s="40"/>
      <c r="E16" s="40"/>
      <c r="F16" s="40"/>
      <c r="G16" s="40"/>
      <c r="K16" s="39"/>
      <c r="L16" s="39"/>
      <c r="M16" s="39"/>
      <c r="P16" s="146" t="s">
        <v>83</v>
      </c>
      <c r="Q16" s="160" t="s">
        <v>84</v>
      </c>
      <c r="R16" s="146" t="s">
        <v>41</v>
      </c>
      <c r="S16" s="160" t="s">
        <v>85</v>
      </c>
      <c r="T16" s="146" t="s">
        <v>86</v>
      </c>
      <c r="U16" s="160" t="s">
        <v>87</v>
      </c>
      <c r="V16" s="146" t="s">
        <v>88</v>
      </c>
    </row>
    <row r="17" spans="1:22" s="38" customFormat="1" ht="27.75" customHeight="1" thickBot="1">
      <c r="A17" s="131" t="s">
        <v>38</v>
      </c>
      <c r="B17" s="130" t="s">
        <v>37</v>
      </c>
      <c r="C17" s="130" t="s">
        <v>36</v>
      </c>
      <c r="D17" s="130" t="s">
        <v>35</v>
      </c>
      <c r="E17" s="130" t="s">
        <v>34</v>
      </c>
      <c r="F17" s="130" t="s">
        <v>33</v>
      </c>
      <c r="G17" s="130" t="s">
        <v>32</v>
      </c>
      <c r="H17" s="130" t="s">
        <v>31</v>
      </c>
      <c r="I17" s="130" t="s">
        <v>37</v>
      </c>
      <c r="J17" s="130" t="s">
        <v>36</v>
      </c>
      <c r="K17" s="130" t="s">
        <v>35</v>
      </c>
      <c r="L17" s="130" t="s">
        <v>34</v>
      </c>
      <c r="M17" s="130" t="s">
        <v>33</v>
      </c>
      <c r="N17" s="130" t="s">
        <v>32</v>
      </c>
      <c r="O17" s="130" t="s">
        <v>31</v>
      </c>
      <c r="P17" s="146"/>
      <c r="Q17" s="160"/>
      <c r="R17" s="146"/>
      <c r="S17" s="160"/>
      <c r="T17" s="146"/>
      <c r="U17" s="160"/>
      <c r="V17" s="146"/>
    </row>
    <row r="18" spans="1:22" ht="10.5" customHeight="1" thickTop="1">
      <c r="A18" s="94" t="s">
        <v>56</v>
      </c>
      <c r="B18" s="91">
        <v>25</v>
      </c>
      <c r="C18" s="91">
        <v>26</v>
      </c>
      <c r="D18" s="91">
        <v>27</v>
      </c>
      <c r="E18" s="91">
        <v>28</v>
      </c>
      <c r="F18" s="91">
        <v>29</v>
      </c>
      <c r="G18" s="90">
        <v>30</v>
      </c>
      <c r="H18" s="90">
        <v>1</v>
      </c>
      <c r="I18" s="91">
        <v>2</v>
      </c>
      <c r="J18" s="91">
        <v>3</v>
      </c>
      <c r="K18" s="92">
        <v>4</v>
      </c>
      <c r="L18" s="91">
        <v>5</v>
      </c>
      <c r="M18" s="91">
        <v>6</v>
      </c>
      <c r="N18" s="90">
        <v>7</v>
      </c>
      <c r="O18" s="90">
        <v>8</v>
      </c>
      <c r="P18" s="136"/>
      <c r="Q18" s="142"/>
      <c r="R18" s="136"/>
      <c r="S18" s="142"/>
      <c r="T18" s="141"/>
      <c r="U18" s="169"/>
      <c r="V18" s="140"/>
    </row>
    <row r="19" spans="1:22" ht="19.5" customHeight="1" thickBot="1">
      <c r="A19" s="135"/>
      <c r="B19" s="84"/>
      <c r="C19" s="84"/>
      <c r="D19" s="84"/>
      <c r="E19" s="84"/>
      <c r="F19" s="84"/>
      <c r="G19" s="83"/>
      <c r="H19" s="83"/>
      <c r="I19" s="84"/>
      <c r="J19" s="84"/>
      <c r="K19" s="85"/>
      <c r="L19" s="84"/>
      <c r="M19" s="84"/>
      <c r="N19" s="83"/>
      <c r="O19" s="83"/>
      <c r="P19" s="139">
        <f>K$11</f>
        <v>0</v>
      </c>
      <c r="Q19" s="170"/>
      <c r="R19" s="138">
        <f>IF(P19-Q18+$K$12&gt;$M$11,$M$11,P19-Q18+$K$12)</f>
        <v>0</v>
      </c>
      <c r="S19" s="170"/>
      <c r="T19" s="138">
        <f>T13-S18</f>
        <v>0</v>
      </c>
      <c r="U19" s="143"/>
      <c r="V19" s="137">
        <f>E13-U18</f>
        <v>0</v>
      </c>
    </row>
    <row r="20" spans="1:22" s="37" customFormat="1" ht="9.75" customHeight="1" thickTop="1">
      <c r="A20" s="94" t="s">
        <v>55</v>
      </c>
      <c r="B20" s="91">
        <v>9</v>
      </c>
      <c r="C20" s="91">
        <v>10</v>
      </c>
      <c r="D20" s="91">
        <v>11</v>
      </c>
      <c r="E20" s="91">
        <v>12</v>
      </c>
      <c r="F20" s="91">
        <v>13</v>
      </c>
      <c r="G20" s="90">
        <v>14</v>
      </c>
      <c r="H20" s="90">
        <v>15</v>
      </c>
      <c r="I20" s="91">
        <v>16</v>
      </c>
      <c r="J20" s="91">
        <v>17</v>
      </c>
      <c r="K20" s="91">
        <v>18</v>
      </c>
      <c r="L20" s="91">
        <v>19</v>
      </c>
      <c r="M20" s="91">
        <v>20</v>
      </c>
      <c r="N20" s="90">
        <v>21</v>
      </c>
      <c r="O20" s="90">
        <v>22</v>
      </c>
      <c r="P20" s="88"/>
      <c r="Q20" s="142"/>
      <c r="R20" s="88"/>
      <c r="S20" s="142"/>
      <c r="T20" s="88"/>
      <c r="U20" s="142"/>
      <c r="V20" s="87"/>
    </row>
    <row r="21" spans="1:22" ht="19.5" customHeight="1" thickBot="1">
      <c r="A21" s="36"/>
      <c r="B21" s="84"/>
      <c r="C21" s="84"/>
      <c r="D21" s="84"/>
      <c r="E21" s="84"/>
      <c r="F21" s="84"/>
      <c r="G21" s="83"/>
      <c r="H21" s="83"/>
      <c r="I21" s="84"/>
      <c r="J21" s="84"/>
      <c r="K21" s="84"/>
      <c r="L21" s="84"/>
      <c r="M21" s="84"/>
      <c r="N21" s="83"/>
      <c r="O21" s="83"/>
      <c r="P21" s="82">
        <f>R19</f>
        <v>0</v>
      </c>
      <c r="Q21" s="143"/>
      <c r="R21" s="105">
        <f>IF(P21-Q20+$K$12&gt;$M$11,$M$11,P21-Q20+$K$12)</f>
        <v>0</v>
      </c>
      <c r="S21" s="143"/>
      <c r="T21" s="105">
        <f>T19-S20</f>
        <v>0</v>
      </c>
      <c r="U21" s="143"/>
      <c r="V21" s="104">
        <f>V19-U20</f>
        <v>0</v>
      </c>
    </row>
    <row r="22" spans="1:22" s="37" customFormat="1" ht="9.75" customHeight="1" thickTop="1">
      <c r="A22" s="94" t="s">
        <v>54</v>
      </c>
      <c r="B22" s="91">
        <v>23</v>
      </c>
      <c r="C22" s="91">
        <v>24</v>
      </c>
      <c r="D22" s="91">
        <v>25</v>
      </c>
      <c r="E22" s="91">
        <v>26</v>
      </c>
      <c r="F22" s="91">
        <v>27</v>
      </c>
      <c r="G22" s="90">
        <v>28</v>
      </c>
      <c r="H22" s="90">
        <v>29</v>
      </c>
      <c r="I22" s="91">
        <v>30</v>
      </c>
      <c r="J22" s="91">
        <v>31</v>
      </c>
      <c r="K22" s="91">
        <v>1</v>
      </c>
      <c r="L22" s="91">
        <v>2</v>
      </c>
      <c r="M22" s="91">
        <v>3</v>
      </c>
      <c r="N22" s="90">
        <v>4</v>
      </c>
      <c r="O22" s="90">
        <v>5</v>
      </c>
      <c r="P22" s="88"/>
      <c r="Q22" s="142"/>
      <c r="R22" s="88"/>
      <c r="S22" s="142"/>
      <c r="T22" s="88"/>
      <c r="U22" s="142"/>
      <c r="V22" s="87"/>
    </row>
    <row r="23" spans="1:22" ht="19.5" customHeight="1" thickBot="1">
      <c r="A23" s="36"/>
      <c r="B23" s="84"/>
      <c r="C23" s="84"/>
      <c r="D23" s="84"/>
      <c r="E23" s="84"/>
      <c r="F23" s="84"/>
      <c r="G23" s="83"/>
      <c r="H23" s="83"/>
      <c r="I23" s="84"/>
      <c r="J23" s="84"/>
      <c r="K23" s="84"/>
      <c r="L23" s="84"/>
      <c r="M23" s="84"/>
      <c r="N23" s="83"/>
      <c r="O23" s="83"/>
      <c r="P23" s="82">
        <f>R21</f>
        <v>0</v>
      </c>
      <c r="Q23" s="143"/>
      <c r="R23" s="105">
        <f>IF(P23-Q22+$K$12&gt;$M$11,$M$11,P23-Q22+$K$12)</f>
        <v>0</v>
      </c>
      <c r="S23" s="143"/>
      <c r="T23" s="105">
        <f>T21-S22</f>
        <v>0</v>
      </c>
      <c r="U23" s="143"/>
      <c r="V23" s="104">
        <f>V21-U22</f>
        <v>0</v>
      </c>
    </row>
    <row r="24" spans="1:22" s="37" customFormat="1" ht="9.75" customHeight="1" thickTop="1">
      <c r="A24" s="94" t="s">
        <v>53</v>
      </c>
      <c r="B24" s="91">
        <v>6</v>
      </c>
      <c r="C24" s="91">
        <v>7</v>
      </c>
      <c r="D24" s="91">
        <v>8</v>
      </c>
      <c r="E24" s="91">
        <v>9</v>
      </c>
      <c r="F24" s="91">
        <v>10</v>
      </c>
      <c r="G24" s="90">
        <v>11</v>
      </c>
      <c r="H24" s="90">
        <v>12</v>
      </c>
      <c r="I24" s="91">
        <v>13</v>
      </c>
      <c r="J24" s="91">
        <v>14</v>
      </c>
      <c r="K24" s="91">
        <v>15</v>
      </c>
      <c r="L24" s="91">
        <v>16</v>
      </c>
      <c r="M24" s="91">
        <v>17</v>
      </c>
      <c r="N24" s="90">
        <v>18</v>
      </c>
      <c r="O24" s="90">
        <v>19</v>
      </c>
      <c r="P24" s="88"/>
      <c r="Q24" s="142"/>
      <c r="R24" s="88"/>
      <c r="S24" s="142"/>
      <c r="T24" s="88"/>
      <c r="U24" s="142"/>
      <c r="V24" s="87"/>
    </row>
    <row r="25" spans="1:22" ht="19.5" customHeight="1" thickBot="1">
      <c r="A25" s="36"/>
      <c r="B25" s="84"/>
      <c r="C25" s="84"/>
      <c r="D25" s="84"/>
      <c r="E25" s="84"/>
      <c r="F25" s="84"/>
      <c r="G25" s="83"/>
      <c r="H25" s="83"/>
      <c r="I25" s="84"/>
      <c r="J25" s="84"/>
      <c r="K25" s="84"/>
      <c r="L25" s="84"/>
      <c r="M25" s="84"/>
      <c r="N25" s="83"/>
      <c r="O25" s="83"/>
      <c r="P25" s="82">
        <f>R23</f>
        <v>0</v>
      </c>
      <c r="Q25" s="143"/>
      <c r="R25" s="105">
        <f>IF(P25-Q24+$K$12&gt;$M$11,$M$11,P25-Q24+$K$12)</f>
        <v>0</v>
      </c>
      <c r="S25" s="143"/>
      <c r="T25" s="105">
        <f>T23-S24</f>
        <v>0</v>
      </c>
      <c r="U25" s="143"/>
      <c r="V25" s="104">
        <f>V23-U24</f>
        <v>0</v>
      </c>
    </row>
    <row r="26" spans="1:22" s="37" customFormat="1" ht="9.75" customHeight="1" thickTop="1">
      <c r="A26" s="94" t="s">
        <v>52</v>
      </c>
      <c r="B26" s="91">
        <v>20</v>
      </c>
      <c r="C26" s="91">
        <v>21</v>
      </c>
      <c r="D26" s="91">
        <v>22</v>
      </c>
      <c r="E26" s="91">
        <v>23</v>
      </c>
      <c r="F26" s="91">
        <v>24</v>
      </c>
      <c r="G26" s="90">
        <v>25</v>
      </c>
      <c r="H26" s="90">
        <v>26</v>
      </c>
      <c r="I26" s="91">
        <v>27</v>
      </c>
      <c r="J26" s="91">
        <v>28</v>
      </c>
      <c r="K26" s="91">
        <v>29</v>
      </c>
      <c r="L26" s="91">
        <v>30</v>
      </c>
      <c r="M26" s="91">
        <v>31</v>
      </c>
      <c r="N26" s="90">
        <v>1</v>
      </c>
      <c r="O26" s="90">
        <v>2</v>
      </c>
      <c r="P26" s="88"/>
      <c r="Q26" s="142"/>
      <c r="R26" s="88"/>
      <c r="S26" s="142"/>
      <c r="T26" s="88"/>
      <c r="U26" s="142"/>
      <c r="V26" s="87"/>
    </row>
    <row r="27" spans="1:22" ht="19.5" customHeight="1" thickBot="1">
      <c r="A27" s="36"/>
      <c r="B27" s="84"/>
      <c r="C27" s="84"/>
      <c r="D27" s="84"/>
      <c r="E27" s="84"/>
      <c r="F27" s="84"/>
      <c r="G27" s="83"/>
      <c r="H27" s="83"/>
      <c r="I27" s="84"/>
      <c r="J27" s="84"/>
      <c r="K27" s="84"/>
      <c r="L27" s="84"/>
      <c r="M27" s="84"/>
      <c r="N27" s="83"/>
      <c r="O27" s="83"/>
      <c r="P27" s="82">
        <f>R25</f>
        <v>0</v>
      </c>
      <c r="Q27" s="143"/>
      <c r="R27" s="105">
        <f>IF(P27-Q26+$K$12&gt;$M$11,$M$11,P27-Q26+$K$12)</f>
        <v>0</v>
      </c>
      <c r="S27" s="143"/>
      <c r="T27" s="105">
        <f>T25-S26</f>
        <v>0</v>
      </c>
      <c r="U27" s="143"/>
      <c r="V27" s="104">
        <f>V25-U26</f>
        <v>0</v>
      </c>
    </row>
    <row r="28" spans="1:22" s="37" customFormat="1" ht="9.75" customHeight="1" thickTop="1">
      <c r="A28" s="94" t="s">
        <v>51</v>
      </c>
      <c r="B28" s="92">
        <v>3</v>
      </c>
      <c r="C28" s="91">
        <v>4</v>
      </c>
      <c r="D28" s="91">
        <v>5</v>
      </c>
      <c r="E28" s="91">
        <v>6</v>
      </c>
      <c r="F28" s="91">
        <v>7</v>
      </c>
      <c r="G28" s="90">
        <v>8</v>
      </c>
      <c r="H28" s="90">
        <v>9</v>
      </c>
      <c r="I28" s="91">
        <v>10</v>
      </c>
      <c r="J28" s="91">
        <v>11</v>
      </c>
      <c r="K28" s="91">
        <v>12</v>
      </c>
      <c r="L28" s="91">
        <v>13</v>
      </c>
      <c r="M28" s="91">
        <v>14</v>
      </c>
      <c r="N28" s="90">
        <v>15</v>
      </c>
      <c r="O28" s="90">
        <v>16</v>
      </c>
      <c r="P28" s="88"/>
      <c r="Q28" s="142"/>
      <c r="R28" s="88"/>
      <c r="S28" s="142"/>
      <c r="T28" s="88"/>
      <c r="U28" s="142"/>
      <c r="V28" s="87"/>
    </row>
    <row r="29" spans="1:22" ht="19.5" customHeight="1" thickBot="1">
      <c r="A29" s="36"/>
      <c r="B29" s="85"/>
      <c r="C29" s="84"/>
      <c r="D29" s="84"/>
      <c r="E29" s="84"/>
      <c r="F29" s="84"/>
      <c r="G29" s="83"/>
      <c r="H29" s="83"/>
      <c r="I29" s="84"/>
      <c r="J29" s="84"/>
      <c r="K29" s="84"/>
      <c r="L29" s="84"/>
      <c r="M29" s="84"/>
      <c r="N29" s="83"/>
      <c r="O29" s="83"/>
      <c r="P29" s="82">
        <f>R27</f>
        <v>0</v>
      </c>
      <c r="Q29" s="143"/>
      <c r="R29" s="105">
        <f>IF(P29-Q28+$K$12&gt;$M$11,$M$11,P29-Q28+$K$12)</f>
        <v>0</v>
      </c>
      <c r="S29" s="143"/>
      <c r="T29" s="105">
        <f>T27-S28</f>
        <v>0</v>
      </c>
      <c r="U29" s="143"/>
      <c r="V29" s="104">
        <f>V27-U28</f>
        <v>0</v>
      </c>
    </row>
    <row r="30" spans="1:22" s="37" customFormat="1" ht="9.75" customHeight="1" thickTop="1">
      <c r="A30" s="94" t="s">
        <v>50</v>
      </c>
      <c r="B30" s="91">
        <v>17</v>
      </c>
      <c r="C30" s="91">
        <v>18</v>
      </c>
      <c r="D30" s="91">
        <v>19</v>
      </c>
      <c r="E30" s="91">
        <v>20</v>
      </c>
      <c r="F30" s="91">
        <v>21</v>
      </c>
      <c r="G30" s="90">
        <v>22</v>
      </c>
      <c r="H30" s="90">
        <v>23</v>
      </c>
      <c r="I30" s="91">
        <v>24</v>
      </c>
      <c r="J30" s="91">
        <v>25</v>
      </c>
      <c r="K30" s="91">
        <v>26</v>
      </c>
      <c r="L30" s="91">
        <v>27</v>
      </c>
      <c r="M30" s="91">
        <v>28</v>
      </c>
      <c r="N30" s="90">
        <v>29</v>
      </c>
      <c r="O30" s="90">
        <v>30</v>
      </c>
      <c r="P30" s="88"/>
      <c r="Q30" s="142"/>
      <c r="R30" s="88"/>
      <c r="S30" s="142"/>
      <c r="T30" s="88"/>
      <c r="U30" s="142"/>
      <c r="V30" s="87"/>
    </row>
    <row r="31" spans="1:22" ht="19.5" customHeight="1" thickBot="1">
      <c r="A31" s="36"/>
      <c r="B31" s="84"/>
      <c r="C31" s="84"/>
      <c r="D31" s="84"/>
      <c r="E31" s="84"/>
      <c r="F31" s="84"/>
      <c r="G31" s="83"/>
      <c r="H31" s="83"/>
      <c r="I31" s="84"/>
      <c r="J31" s="84"/>
      <c r="K31" s="84"/>
      <c r="L31" s="84"/>
      <c r="M31" s="84"/>
      <c r="N31" s="83"/>
      <c r="O31" s="83"/>
      <c r="P31" s="82">
        <f>R29</f>
        <v>0</v>
      </c>
      <c r="Q31" s="143"/>
      <c r="R31" s="105">
        <f>IF(P31-Q30+$K$12&gt;$M$11,$M$11,P31-Q30+$K$12)</f>
        <v>0</v>
      </c>
      <c r="S31" s="143"/>
      <c r="T31" s="105">
        <f>T29-S30</f>
        <v>0</v>
      </c>
      <c r="U31" s="143"/>
      <c r="V31" s="104">
        <f>V29-U30</f>
        <v>0</v>
      </c>
    </row>
    <row r="32" spans="1:22" s="37" customFormat="1" ht="9.75" customHeight="1" thickTop="1">
      <c r="A32" s="94" t="s">
        <v>49</v>
      </c>
      <c r="B32" s="91">
        <v>1</v>
      </c>
      <c r="C32" s="91">
        <v>2</v>
      </c>
      <c r="D32" s="91">
        <v>3</v>
      </c>
      <c r="E32" s="91">
        <v>4</v>
      </c>
      <c r="F32" s="91">
        <v>5</v>
      </c>
      <c r="G32" s="90">
        <v>6</v>
      </c>
      <c r="H32" s="90">
        <v>7</v>
      </c>
      <c r="I32" s="91">
        <v>8</v>
      </c>
      <c r="J32" s="91">
        <v>9</v>
      </c>
      <c r="K32" s="91">
        <v>10</v>
      </c>
      <c r="L32" s="91">
        <v>11</v>
      </c>
      <c r="M32" s="91">
        <v>12</v>
      </c>
      <c r="N32" s="90">
        <v>13</v>
      </c>
      <c r="O32" s="90">
        <v>14</v>
      </c>
      <c r="P32" s="88"/>
      <c r="Q32" s="142"/>
      <c r="R32" s="88"/>
      <c r="S32" s="142"/>
      <c r="T32" s="88"/>
      <c r="U32" s="142"/>
      <c r="V32" s="87"/>
    </row>
    <row r="33" spans="1:22" ht="19.5" customHeight="1" thickBot="1">
      <c r="A33" s="36"/>
      <c r="B33" s="84"/>
      <c r="C33" s="84"/>
      <c r="D33" s="84"/>
      <c r="E33" s="84"/>
      <c r="F33" s="84"/>
      <c r="G33" s="83"/>
      <c r="H33" s="83"/>
      <c r="I33" s="84"/>
      <c r="J33" s="84"/>
      <c r="K33" s="84"/>
      <c r="L33" s="84"/>
      <c r="M33" s="84"/>
      <c r="N33" s="83"/>
      <c r="O33" s="83"/>
      <c r="P33" s="82">
        <f>R31</f>
        <v>0</v>
      </c>
      <c r="Q33" s="143"/>
      <c r="R33" s="105">
        <f>IF(P33-Q32+$K$12&gt;$M$11,$M$11,P33-Q32+$K$12)</f>
        <v>0</v>
      </c>
      <c r="S33" s="143"/>
      <c r="T33" s="105">
        <f>T31-S32</f>
        <v>0</v>
      </c>
      <c r="U33" s="143"/>
      <c r="V33" s="104">
        <f>V31-U32</f>
        <v>0</v>
      </c>
    </row>
    <row r="34" spans="1:22" s="37" customFormat="1" ht="9.75" customHeight="1" thickTop="1">
      <c r="A34" s="94" t="s">
        <v>48</v>
      </c>
      <c r="B34" s="91">
        <v>15</v>
      </c>
      <c r="C34" s="91">
        <v>16</v>
      </c>
      <c r="D34" s="91">
        <v>17</v>
      </c>
      <c r="E34" s="91">
        <v>18</v>
      </c>
      <c r="F34" s="91">
        <v>19</v>
      </c>
      <c r="G34" s="90">
        <v>20</v>
      </c>
      <c r="H34" s="90">
        <v>21</v>
      </c>
      <c r="I34" s="91">
        <v>22</v>
      </c>
      <c r="J34" s="91">
        <v>23</v>
      </c>
      <c r="K34" s="91">
        <v>24</v>
      </c>
      <c r="L34" s="91">
        <v>25</v>
      </c>
      <c r="M34" s="91">
        <v>26</v>
      </c>
      <c r="N34" s="90">
        <v>27</v>
      </c>
      <c r="O34" s="90">
        <v>28</v>
      </c>
      <c r="P34" s="88"/>
      <c r="Q34" s="142"/>
      <c r="R34" s="88"/>
      <c r="S34" s="142"/>
      <c r="T34" s="88"/>
      <c r="U34" s="142"/>
      <c r="V34" s="87"/>
    </row>
    <row r="35" spans="1:22" ht="19.5" customHeight="1" thickBot="1">
      <c r="A35" s="36"/>
      <c r="B35" s="84"/>
      <c r="C35" s="84"/>
      <c r="D35" s="84"/>
      <c r="E35" s="84"/>
      <c r="F35" s="84"/>
      <c r="G35" s="83"/>
      <c r="H35" s="83"/>
      <c r="I35" s="84"/>
      <c r="J35" s="84"/>
      <c r="K35" s="84"/>
      <c r="L35" s="84"/>
      <c r="M35" s="84"/>
      <c r="N35" s="83"/>
      <c r="O35" s="83"/>
      <c r="P35" s="82">
        <f>R33</f>
        <v>0</v>
      </c>
      <c r="Q35" s="143"/>
      <c r="R35" s="105">
        <f>IF(P35-Q34+$K$12&gt;$M$11,$M$11,P35-Q34+$K$12)</f>
        <v>0</v>
      </c>
      <c r="S35" s="143"/>
      <c r="T35" s="105">
        <f>T33-S34</f>
        <v>0</v>
      </c>
      <c r="U35" s="143"/>
      <c r="V35" s="104">
        <f>V33-U34</f>
        <v>0</v>
      </c>
    </row>
    <row r="36" spans="1:22" s="37" customFormat="1" ht="9.75" customHeight="1" thickTop="1">
      <c r="A36" s="94" t="s">
        <v>48</v>
      </c>
      <c r="B36" s="91">
        <v>29</v>
      </c>
      <c r="C36" s="91">
        <v>30</v>
      </c>
      <c r="D36" s="91">
        <v>31</v>
      </c>
      <c r="E36" s="91">
        <v>1</v>
      </c>
      <c r="F36" s="91">
        <v>2</v>
      </c>
      <c r="G36" s="90">
        <v>3</v>
      </c>
      <c r="H36" s="90">
        <v>4</v>
      </c>
      <c r="I36" s="91">
        <v>5</v>
      </c>
      <c r="J36" s="91">
        <v>6</v>
      </c>
      <c r="K36" s="91">
        <v>7</v>
      </c>
      <c r="L36" s="91">
        <v>8</v>
      </c>
      <c r="M36" s="91">
        <v>9</v>
      </c>
      <c r="N36" s="90">
        <v>10</v>
      </c>
      <c r="O36" s="90">
        <v>11</v>
      </c>
      <c r="P36" s="88"/>
      <c r="Q36" s="142"/>
      <c r="R36" s="88"/>
      <c r="S36" s="142"/>
      <c r="T36" s="88"/>
      <c r="U36" s="142"/>
      <c r="V36" s="87"/>
    </row>
    <row r="37" spans="1:22" ht="19.5" customHeight="1" thickBot="1">
      <c r="A37" s="36"/>
      <c r="B37" s="84"/>
      <c r="C37" s="84"/>
      <c r="D37" s="84"/>
      <c r="E37" s="84"/>
      <c r="F37" s="84"/>
      <c r="G37" s="83"/>
      <c r="H37" s="83"/>
      <c r="I37" s="84"/>
      <c r="J37" s="84"/>
      <c r="K37" s="84"/>
      <c r="L37" s="84"/>
      <c r="M37" s="84"/>
      <c r="N37" s="83"/>
      <c r="O37" s="83"/>
      <c r="P37" s="82">
        <f>R35</f>
        <v>0</v>
      </c>
      <c r="Q37" s="143"/>
      <c r="R37" s="105">
        <f>IF(P37-Q36+$K$12&gt;$M$11,$M$11,P37-Q36+$K$12)</f>
        <v>0</v>
      </c>
      <c r="S37" s="143"/>
      <c r="T37" s="105">
        <f>T35-S36</f>
        <v>0</v>
      </c>
      <c r="U37" s="143"/>
      <c r="V37" s="104">
        <f>V35-U36</f>
        <v>0</v>
      </c>
    </row>
    <row r="38" spans="1:22" s="37" customFormat="1" ht="9.75" customHeight="1" thickTop="1">
      <c r="A38" s="94" t="s">
        <v>47</v>
      </c>
      <c r="B38" s="91">
        <v>12</v>
      </c>
      <c r="C38" s="91">
        <v>13</v>
      </c>
      <c r="D38" s="91">
        <v>14</v>
      </c>
      <c r="E38" s="91">
        <v>15</v>
      </c>
      <c r="F38" s="91">
        <v>16</v>
      </c>
      <c r="G38" s="90">
        <v>17</v>
      </c>
      <c r="H38" s="90">
        <v>18</v>
      </c>
      <c r="I38" s="91">
        <v>19</v>
      </c>
      <c r="J38" s="91">
        <v>20</v>
      </c>
      <c r="K38" s="91">
        <v>21</v>
      </c>
      <c r="L38" s="92">
        <v>22</v>
      </c>
      <c r="M38" s="92">
        <v>23</v>
      </c>
      <c r="N38" s="90">
        <v>24</v>
      </c>
      <c r="O38" s="90">
        <v>25</v>
      </c>
      <c r="P38" s="88"/>
      <c r="Q38" s="142"/>
      <c r="R38" s="88"/>
      <c r="S38" s="142"/>
      <c r="T38" s="88"/>
      <c r="U38" s="142"/>
      <c r="V38" s="87"/>
    </row>
    <row r="39" spans="1:22" ht="19.5" customHeight="1" thickBot="1">
      <c r="A39" s="36"/>
      <c r="B39" s="84"/>
      <c r="C39" s="84"/>
      <c r="D39" s="84"/>
      <c r="E39" s="84"/>
      <c r="F39" s="84"/>
      <c r="G39" s="83"/>
      <c r="H39" s="83"/>
      <c r="I39" s="84"/>
      <c r="J39" s="84"/>
      <c r="K39" s="84"/>
      <c r="L39" s="85"/>
      <c r="M39" s="85"/>
      <c r="N39" s="83"/>
      <c r="O39" s="83"/>
      <c r="P39" s="82">
        <f>R37</f>
        <v>0</v>
      </c>
      <c r="Q39" s="143"/>
      <c r="R39" s="105">
        <f>IF(P39-Q38+$K$12&gt;$M$11,$M$11,P39-Q38+$K$12)</f>
        <v>0</v>
      </c>
      <c r="S39" s="143"/>
      <c r="T39" s="105">
        <f>T37-S38</f>
        <v>0</v>
      </c>
      <c r="U39" s="143"/>
      <c r="V39" s="104">
        <f>V37-U38</f>
        <v>0</v>
      </c>
    </row>
    <row r="40" spans="1:22" s="37" customFormat="1" ht="9.75" customHeight="1" thickTop="1">
      <c r="A40" s="94" t="s">
        <v>46</v>
      </c>
      <c r="B40" s="91">
        <v>26</v>
      </c>
      <c r="C40" s="91">
        <v>27</v>
      </c>
      <c r="D40" s="91">
        <v>28</v>
      </c>
      <c r="E40" s="91">
        <v>29</v>
      </c>
      <c r="F40" s="91">
        <v>30</v>
      </c>
      <c r="G40" s="90">
        <v>1</v>
      </c>
      <c r="H40" s="90">
        <v>2</v>
      </c>
      <c r="I40" s="91">
        <v>3</v>
      </c>
      <c r="J40" s="91">
        <v>4</v>
      </c>
      <c r="K40" s="91">
        <v>5</v>
      </c>
      <c r="L40" s="91">
        <v>6</v>
      </c>
      <c r="M40" s="91">
        <v>7</v>
      </c>
      <c r="N40" s="90">
        <v>8</v>
      </c>
      <c r="O40" s="90">
        <v>9</v>
      </c>
      <c r="P40" s="88"/>
      <c r="Q40" s="142"/>
      <c r="R40" s="88"/>
      <c r="S40" s="142"/>
      <c r="T40" s="88"/>
      <c r="U40" s="142"/>
      <c r="V40" s="87"/>
    </row>
    <row r="41" spans="1:22" ht="19.5" customHeight="1" thickBot="1">
      <c r="A41" s="36"/>
      <c r="B41" s="84"/>
      <c r="C41" s="84"/>
      <c r="D41" s="84"/>
      <c r="E41" s="84"/>
      <c r="F41" s="84"/>
      <c r="G41" s="83"/>
      <c r="H41" s="83"/>
      <c r="I41" s="84"/>
      <c r="J41" s="84"/>
      <c r="K41" s="84"/>
      <c r="L41" s="84"/>
      <c r="M41" s="84"/>
      <c r="N41" s="83"/>
      <c r="O41" s="83"/>
      <c r="P41" s="82">
        <f>R39</f>
        <v>0</v>
      </c>
      <c r="Q41" s="143"/>
      <c r="R41" s="105">
        <f>IF(P41-Q40+$K$12&gt;$M$11,$M$11,P41-Q40+$K$12)</f>
        <v>0</v>
      </c>
      <c r="S41" s="143"/>
      <c r="T41" s="105">
        <f>T39-S40</f>
        <v>0</v>
      </c>
      <c r="U41" s="143"/>
      <c r="V41" s="104">
        <f>V39-U40</f>
        <v>0</v>
      </c>
    </row>
    <row r="42" spans="1:22" s="37" customFormat="1" ht="9.75" customHeight="1" thickTop="1">
      <c r="A42" s="94" t="s">
        <v>30</v>
      </c>
      <c r="B42" s="114">
        <v>10</v>
      </c>
      <c r="C42" s="114">
        <v>11</v>
      </c>
      <c r="D42" s="114">
        <v>12</v>
      </c>
      <c r="E42" s="114">
        <v>13</v>
      </c>
      <c r="F42" s="114">
        <v>14</v>
      </c>
      <c r="G42" s="113">
        <v>15</v>
      </c>
      <c r="H42" s="113">
        <v>16</v>
      </c>
      <c r="I42" s="114">
        <v>17</v>
      </c>
      <c r="J42" s="114">
        <v>18</v>
      </c>
      <c r="K42" s="114">
        <v>19</v>
      </c>
      <c r="L42" s="114">
        <v>20</v>
      </c>
      <c r="M42" s="114">
        <v>21</v>
      </c>
      <c r="N42" s="113">
        <v>22</v>
      </c>
      <c r="O42" s="113">
        <v>23</v>
      </c>
      <c r="P42" s="88"/>
      <c r="Q42" s="142"/>
      <c r="R42" s="88"/>
      <c r="S42" s="142"/>
      <c r="T42" s="88"/>
      <c r="U42" s="142"/>
      <c r="V42" s="87"/>
    </row>
    <row r="43" spans="1:22" ht="18.75" customHeight="1" thickBot="1">
      <c r="A43" s="36"/>
      <c r="B43" s="111"/>
      <c r="C43" s="111"/>
      <c r="D43" s="111"/>
      <c r="E43" s="111"/>
      <c r="F43" s="111"/>
      <c r="G43" s="110"/>
      <c r="H43" s="110"/>
      <c r="I43" s="111"/>
      <c r="J43" s="111"/>
      <c r="K43" s="111"/>
      <c r="L43" s="111"/>
      <c r="M43" s="111"/>
      <c r="N43" s="110"/>
      <c r="O43" s="110"/>
      <c r="P43" s="82">
        <f>R41</f>
        <v>0</v>
      </c>
      <c r="Q43" s="143"/>
      <c r="R43" s="105">
        <f>IF(P43-Q42+$K$12&gt;$M$11,$M$11,P43-Q42+$K$12)</f>
        <v>0</v>
      </c>
      <c r="S43" s="143"/>
      <c r="T43" s="105">
        <f>T41-S42</f>
        <v>0</v>
      </c>
      <c r="U43" s="143"/>
      <c r="V43" s="104">
        <f>V41-U42</f>
        <v>0</v>
      </c>
    </row>
    <row r="44" spans="1:22" ht="17.25" customHeight="1" thickTop="1">
      <c r="A44" s="50" t="s">
        <v>45</v>
      </c>
      <c r="B44" s="49"/>
      <c r="C44" s="49"/>
      <c r="D44" s="49"/>
      <c r="E44" s="49"/>
      <c r="F44" s="49"/>
      <c r="G44" s="49"/>
      <c r="H44" s="49"/>
      <c r="I44" s="49"/>
      <c r="J44" s="49"/>
      <c r="K44" s="49"/>
      <c r="L44" s="49"/>
      <c r="M44" s="49"/>
      <c r="N44" s="49"/>
      <c r="O44" s="49"/>
      <c r="P44" s="48"/>
      <c r="Q44" s="47">
        <f>SUM(Q18:Q43)</f>
        <v>0</v>
      </c>
      <c r="R44" s="46"/>
      <c r="S44" s="104">
        <f>SUM(S18:S43)</f>
        <v>0</v>
      </c>
      <c r="T44" s="45"/>
      <c r="U44" s="104">
        <f>SUM(U18:U43)</f>
        <v>0</v>
      </c>
      <c r="V44" s="45"/>
    </row>
    <row r="45" spans="1:22" s="43" customFormat="1" ht="17.25" customHeight="1">
      <c r="A45" s="147" t="s">
        <v>75</v>
      </c>
      <c r="B45" s="147"/>
      <c r="C45" s="147"/>
      <c r="D45" s="147"/>
      <c r="E45" s="147"/>
      <c r="F45" s="147"/>
      <c r="G45" s="147"/>
      <c r="H45" s="147"/>
      <c r="I45" s="147"/>
      <c r="J45" s="147"/>
      <c r="K45" s="147"/>
      <c r="L45" s="147"/>
      <c r="M45" s="147"/>
      <c r="N45" s="147"/>
      <c r="O45" s="147"/>
      <c r="P45" s="147"/>
      <c r="Q45" s="147"/>
      <c r="R45" s="147"/>
      <c r="S45" s="147"/>
      <c r="T45" s="147"/>
      <c r="U45" s="147"/>
      <c r="V45" s="147"/>
    </row>
    <row r="46" spans="1:22" s="43" customFormat="1" ht="6" customHeight="1">
      <c r="A46" s="44"/>
      <c r="O46" s="40"/>
    </row>
    <row r="47" spans="1:22" s="19" customFormat="1" ht="12" customHeight="1">
      <c r="A47" s="27"/>
      <c r="B47" s="26"/>
      <c r="C47" s="26"/>
      <c r="D47" s="26"/>
      <c r="E47" s="26"/>
      <c r="F47" s="26"/>
      <c r="G47" s="26"/>
      <c r="H47" s="26"/>
      <c r="I47" s="95"/>
      <c r="J47" s="95"/>
      <c r="K47" s="26"/>
      <c r="L47" s="26"/>
      <c r="M47" s="42"/>
      <c r="N47" s="42"/>
      <c r="O47" s="42"/>
      <c r="P47" s="181" t="s">
        <v>44</v>
      </c>
      <c r="Q47" s="182"/>
      <c r="R47" s="182"/>
      <c r="S47" s="182"/>
      <c r="T47" s="182"/>
      <c r="U47" s="182"/>
      <c r="V47" s="183"/>
    </row>
    <row r="48" spans="1:22" ht="15.75" customHeight="1">
      <c r="A48" s="41"/>
      <c r="B48" s="40"/>
      <c r="C48" s="40"/>
      <c r="D48" s="40"/>
      <c r="E48" s="40"/>
      <c r="F48" s="40"/>
      <c r="G48" s="40"/>
      <c r="K48" s="39"/>
      <c r="L48" s="39"/>
      <c r="M48" s="39"/>
      <c r="P48" s="146" t="s">
        <v>43</v>
      </c>
      <c r="Q48" s="160" t="s">
        <v>42</v>
      </c>
      <c r="R48" s="146" t="s">
        <v>41</v>
      </c>
      <c r="S48" s="160" t="s">
        <v>40</v>
      </c>
      <c r="T48" s="146" t="s">
        <v>39</v>
      </c>
      <c r="U48" s="160" t="s">
        <v>77</v>
      </c>
      <c r="V48" s="146" t="s">
        <v>78</v>
      </c>
    </row>
    <row r="49" spans="1:22" s="38" customFormat="1" ht="27.75" customHeight="1" thickBot="1">
      <c r="A49" s="131" t="s">
        <v>38</v>
      </c>
      <c r="B49" s="130" t="s">
        <v>37</v>
      </c>
      <c r="C49" s="130" t="s">
        <v>36</v>
      </c>
      <c r="D49" s="130" t="s">
        <v>35</v>
      </c>
      <c r="E49" s="130" t="s">
        <v>34</v>
      </c>
      <c r="F49" s="130" t="s">
        <v>33</v>
      </c>
      <c r="G49" s="130" t="s">
        <v>32</v>
      </c>
      <c r="H49" s="130" t="s">
        <v>31</v>
      </c>
      <c r="I49" s="130" t="s">
        <v>37</v>
      </c>
      <c r="J49" s="130" t="s">
        <v>36</v>
      </c>
      <c r="K49" s="130" t="s">
        <v>35</v>
      </c>
      <c r="L49" s="130" t="s">
        <v>34</v>
      </c>
      <c r="M49" s="130" t="s">
        <v>33</v>
      </c>
      <c r="N49" s="130" t="s">
        <v>32</v>
      </c>
      <c r="O49" s="130" t="s">
        <v>31</v>
      </c>
      <c r="P49" s="161"/>
      <c r="Q49" s="162"/>
      <c r="R49" s="161"/>
      <c r="S49" s="162"/>
      <c r="T49" s="161"/>
      <c r="U49" s="162"/>
      <c r="V49" s="161"/>
    </row>
    <row r="50" spans="1:22" s="37" customFormat="1" ht="9.75" customHeight="1" thickTop="1">
      <c r="A50" s="94" t="s">
        <v>29</v>
      </c>
      <c r="B50" s="115">
        <v>24</v>
      </c>
      <c r="C50" s="115">
        <v>25</v>
      </c>
      <c r="D50" s="114">
        <v>26</v>
      </c>
      <c r="E50" s="114">
        <v>27</v>
      </c>
      <c r="F50" s="114">
        <v>28</v>
      </c>
      <c r="G50" s="113">
        <v>29</v>
      </c>
      <c r="H50" s="113">
        <v>30</v>
      </c>
      <c r="I50" s="115">
        <v>31</v>
      </c>
      <c r="J50" s="115">
        <v>1</v>
      </c>
      <c r="K50" s="114">
        <v>2</v>
      </c>
      <c r="L50" s="114">
        <v>3</v>
      </c>
      <c r="M50" s="114">
        <v>4</v>
      </c>
      <c r="N50" s="113">
        <v>5</v>
      </c>
      <c r="O50" s="113">
        <v>6</v>
      </c>
      <c r="P50" s="88"/>
      <c r="Q50" s="142"/>
      <c r="R50" s="88"/>
      <c r="S50" s="142"/>
      <c r="T50" s="88"/>
      <c r="U50" s="142"/>
      <c r="V50" s="87"/>
    </row>
    <row r="51" spans="1:22" ht="18.75" customHeight="1" thickBot="1">
      <c r="A51" s="36"/>
      <c r="B51" s="112"/>
      <c r="C51" s="112"/>
      <c r="D51" s="111"/>
      <c r="E51" s="111"/>
      <c r="F51" s="111"/>
      <c r="G51" s="110"/>
      <c r="H51" s="110"/>
      <c r="I51" s="112"/>
      <c r="J51" s="112"/>
      <c r="K51" s="111"/>
      <c r="L51" s="111"/>
      <c r="M51" s="111"/>
      <c r="N51" s="110"/>
      <c r="O51" s="110"/>
      <c r="P51" s="82">
        <f>R43</f>
        <v>0</v>
      </c>
      <c r="Q51" s="143"/>
      <c r="R51" s="105">
        <f>IF(P51-Q50+$K$12&gt;$M$11,$M$11,P51-Q50+$K$12)</f>
        <v>0</v>
      </c>
      <c r="S51" s="143"/>
      <c r="T51" s="105">
        <f>T43-S50</f>
        <v>0</v>
      </c>
      <c r="U51" s="143"/>
      <c r="V51" s="104">
        <f>V43-U50</f>
        <v>0</v>
      </c>
    </row>
    <row r="52" spans="1:22" s="37" customFormat="1" ht="9.75" customHeight="1" thickTop="1">
      <c r="A52" s="94" t="s">
        <v>28</v>
      </c>
      <c r="B52" s="114">
        <v>7</v>
      </c>
      <c r="C52" s="114">
        <v>8</v>
      </c>
      <c r="D52" s="114">
        <v>9</v>
      </c>
      <c r="E52" s="114">
        <v>10</v>
      </c>
      <c r="F52" s="114">
        <v>11</v>
      </c>
      <c r="G52" s="113">
        <v>12</v>
      </c>
      <c r="H52" s="113">
        <v>13</v>
      </c>
      <c r="I52" s="114">
        <v>14</v>
      </c>
      <c r="J52" s="114">
        <v>15</v>
      </c>
      <c r="K52" s="114">
        <v>16</v>
      </c>
      <c r="L52" s="114">
        <v>17</v>
      </c>
      <c r="M52" s="114">
        <v>18</v>
      </c>
      <c r="N52" s="113">
        <v>19</v>
      </c>
      <c r="O52" s="113">
        <v>20</v>
      </c>
      <c r="P52" s="89"/>
      <c r="Q52" s="142"/>
      <c r="R52" s="88"/>
      <c r="S52" s="142"/>
      <c r="T52" s="88"/>
      <c r="U52" s="142"/>
      <c r="V52" s="87"/>
    </row>
    <row r="53" spans="1:22" ht="18.75" customHeight="1" thickBot="1">
      <c r="A53" s="36"/>
      <c r="B53" s="111"/>
      <c r="C53" s="111"/>
      <c r="D53" s="111"/>
      <c r="E53" s="111"/>
      <c r="F53" s="111"/>
      <c r="G53" s="110"/>
      <c r="H53" s="110"/>
      <c r="I53" s="111"/>
      <c r="J53" s="111"/>
      <c r="K53" s="111"/>
      <c r="L53" s="111"/>
      <c r="M53" s="111"/>
      <c r="N53" s="110"/>
      <c r="O53" s="110"/>
      <c r="P53" s="82">
        <f>R51</f>
        <v>0</v>
      </c>
      <c r="Q53" s="143"/>
      <c r="R53" s="105">
        <f>IF(P53-Q52+$K$12&gt;$M$11,$M$11,P53-Q52+$K$12)</f>
        <v>0</v>
      </c>
      <c r="S53" s="143"/>
      <c r="T53" s="105">
        <f>T51-S52</f>
        <v>0</v>
      </c>
      <c r="U53" s="143"/>
      <c r="V53" s="104">
        <f>V51-U52</f>
        <v>0</v>
      </c>
    </row>
    <row r="54" spans="1:22" s="37" customFormat="1" ht="9.75" customHeight="1" thickTop="1">
      <c r="A54" s="94" t="s">
        <v>27</v>
      </c>
      <c r="B54" s="114">
        <v>21</v>
      </c>
      <c r="C54" s="114">
        <v>22</v>
      </c>
      <c r="D54" s="114">
        <v>23</v>
      </c>
      <c r="E54" s="114">
        <v>24</v>
      </c>
      <c r="F54" s="114">
        <v>25</v>
      </c>
      <c r="G54" s="113">
        <v>26</v>
      </c>
      <c r="H54" s="113">
        <v>27</v>
      </c>
      <c r="I54" s="114">
        <v>28</v>
      </c>
      <c r="J54" s="114">
        <v>29</v>
      </c>
      <c r="K54" s="114">
        <v>30</v>
      </c>
      <c r="L54" s="114">
        <v>31</v>
      </c>
      <c r="M54" s="114">
        <v>1</v>
      </c>
      <c r="N54" s="113">
        <v>2</v>
      </c>
      <c r="O54" s="113">
        <v>3</v>
      </c>
      <c r="P54" s="89"/>
      <c r="Q54" s="142"/>
      <c r="R54" s="88"/>
      <c r="S54" s="142"/>
      <c r="T54" s="88"/>
      <c r="U54" s="142"/>
      <c r="V54" s="87"/>
    </row>
    <row r="55" spans="1:22" ht="18.75" customHeight="1" thickBot="1">
      <c r="A55" s="36"/>
      <c r="B55" s="111"/>
      <c r="C55" s="111"/>
      <c r="D55" s="111"/>
      <c r="E55" s="111"/>
      <c r="F55" s="111"/>
      <c r="G55" s="110"/>
      <c r="H55" s="110"/>
      <c r="I55" s="111"/>
      <c r="J55" s="111"/>
      <c r="K55" s="111"/>
      <c r="L55" s="111"/>
      <c r="M55" s="111"/>
      <c r="N55" s="110"/>
      <c r="O55" s="110"/>
      <c r="P55" s="82">
        <f>R53</f>
        <v>0</v>
      </c>
      <c r="Q55" s="143"/>
      <c r="R55" s="105">
        <f>IF(P55-Q54+$K$12&gt;$M$11,$M$11,P55-Q54+$K$12)</f>
        <v>0</v>
      </c>
      <c r="S55" s="143"/>
      <c r="T55" s="105">
        <f>T53-S54</f>
        <v>0</v>
      </c>
      <c r="U55" s="143"/>
      <c r="V55" s="104">
        <f>V53-U54</f>
        <v>0</v>
      </c>
    </row>
    <row r="56" spans="1:22" s="37" customFormat="1" ht="9.75" customHeight="1" thickTop="1">
      <c r="A56" s="94" t="s">
        <v>26</v>
      </c>
      <c r="B56" s="114">
        <v>4</v>
      </c>
      <c r="C56" s="114">
        <v>5</v>
      </c>
      <c r="D56" s="114">
        <v>6</v>
      </c>
      <c r="E56" s="114">
        <v>7</v>
      </c>
      <c r="F56" s="114">
        <v>8</v>
      </c>
      <c r="G56" s="113">
        <v>9</v>
      </c>
      <c r="H56" s="113">
        <v>10</v>
      </c>
      <c r="I56" s="114">
        <v>11</v>
      </c>
      <c r="J56" s="114">
        <v>12</v>
      </c>
      <c r="K56" s="114">
        <v>13</v>
      </c>
      <c r="L56" s="114">
        <v>14</v>
      </c>
      <c r="M56" s="114">
        <v>15</v>
      </c>
      <c r="N56" s="113">
        <v>16</v>
      </c>
      <c r="O56" s="113">
        <v>17</v>
      </c>
      <c r="P56" s="89"/>
      <c r="Q56" s="142"/>
      <c r="R56" s="88"/>
      <c r="S56" s="142"/>
      <c r="T56" s="88"/>
      <c r="U56" s="142"/>
      <c r="V56" s="87"/>
    </row>
    <row r="57" spans="1:22" ht="18.75" customHeight="1" thickBot="1">
      <c r="A57" s="36"/>
      <c r="B57" s="111"/>
      <c r="C57" s="111"/>
      <c r="D57" s="111"/>
      <c r="E57" s="111"/>
      <c r="F57" s="111"/>
      <c r="G57" s="110"/>
      <c r="H57" s="110"/>
      <c r="I57" s="111"/>
      <c r="J57" s="111"/>
      <c r="K57" s="111"/>
      <c r="L57" s="111"/>
      <c r="M57" s="111"/>
      <c r="N57" s="110"/>
      <c r="O57" s="110"/>
      <c r="P57" s="82">
        <f>R55</f>
        <v>0</v>
      </c>
      <c r="Q57" s="143"/>
      <c r="R57" s="105">
        <f>IF(P57-Q56+$K$12&gt;$M$11,$M$11,P57-Q56+$K$12)</f>
        <v>0</v>
      </c>
      <c r="S57" s="143"/>
      <c r="T57" s="105">
        <f>T55-S56</f>
        <v>0</v>
      </c>
      <c r="U57" s="143"/>
      <c r="V57" s="104">
        <f>V55-U56</f>
        <v>0</v>
      </c>
    </row>
    <row r="58" spans="1:22" s="37" customFormat="1" ht="9.75" customHeight="1" thickTop="1">
      <c r="A58" s="94" t="s">
        <v>25</v>
      </c>
      <c r="B58" s="114">
        <v>18</v>
      </c>
      <c r="C58" s="114">
        <v>19</v>
      </c>
      <c r="D58" s="114">
        <v>20</v>
      </c>
      <c r="E58" s="114">
        <v>21</v>
      </c>
      <c r="F58" s="114">
        <v>22</v>
      </c>
      <c r="G58" s="113">
        <v>23</v>
      </c>
      <c r="H58" s="113">
        <v>24</v>
      </c>
      <c r="I58" s="114">
        <v>25</v>
      </c>
      <c r="J58" s="114">
        <v>26</v>
      </c>
      <c r="K58" s="114">
        <v>27</v>
      </c>
      <c r="L58" s="114">
        <v>28</v>
      </c>
      <c r="M58" s="114">
        <v>1</v>
      </c>
      <c r="N58" s="113">
        <v>2</v>
      </c>
      <c r="O58" s="113">
        <v>3</v>
      </c>
      <c r="P58" s="89"/>
      <c r="Q58" s="142"/>
      <c r="R58" s="88"/>
      <c r="S58" s="142"/>
      <c r="T58" s="88"/>
      <c r="U58" s="142"/>
      <c r="V58" s="87"/>
    </row>
    <row r="59" spans="1:22" ht="18.75" customHeight="1" thickBot="1">
      <c r="A59" s="36"/>
      <c r="B59" s="111"/>
      <c r="C59" s="111"/>
      <c r="D59" s="111"/>
      <c r="E59" s="111"/>
      <c r="F59" s="111"/>
      <c r="G59" s="110"/>
      <c r="H59" s="110"/>
      <c r="I59" s="111"/>
      <c r="J59" s="111"/>
      <c r="K59" s="111"/>
      <c r="L59" s="111"/>
      <c r="M59" s="111"/>
      <c r="N59" s="110"/>
      <c r="O59" s="110"/>
      <c r="P59" s="82">
        <f>R57</f>
        <v>0</v>
      </c>
      <c r="Q59" s="143"/>
      <c r="R59" s="105">
        <f>IF(P59-Q58+$K$12&gt;$M$11,$M$11,P59-Q58+$K$12)</f>
        <v>0</v>
      </c>
      <c r="S59" s="143"/>
      <c r="T59" s="105">
        <f>T57-S58</f>
        <v>0</v>
      </c>
      <c r="U59" s="143"/>
      <c r="V59" s="104">
        <f>V57-U58</f>
        <v>0</v>
      </c>
    </row>
    <row r="60" spans="1:22" s="37" customFormat="1" ht="9.75" customHeight="1" thickTop="1">
      <c r="A60" s="94" t="s">
        <v>24</v>
      </c>
      <c r="B60" s="114">
        <v>4</v>
      </c>
      <c r="C60" s="114">
        <v>5</v>
      </c>
      <c r="D60" s="114">
        <v>6</v>
      </c>
      <c r="E60" s="114">
        <v>7</v>
      </c>
      <c r="F60" s="114">
        <v>8</v>
      </c>
      <c r="G60" s="113">
        <v>9</v>
      </c>
      <c r="H60" s="113">
        <v>10</v>
      </c>
      <c r="I60" s="114">
        <v>11</v>
      </c>
      <c r="J60" s="114">
        <v>12</v>
      </c>
      <c r="K60" s="114">
        <v>13</v>
      </c>
      <c r="L60" s="114">
        <v>14</v>
      </c>
      <c r="M60" s="114">
        <v>15</v>
      </c>
      <c r="N60" s="113">
        <v>16</v>
      </c>
      <c r="O60" s="113">
        <v>17</v>
      </c>
      <c r="P60" s="89"/>
      <c r="Q60" s="142"/>
      <c r="R60" s="88"/>
      <c r="S60" s="142"/>
      <c r="T60" s="88"/>
      <c r="U60" s="142"/>
      <c r="V60" s="87"/>
    </row>
    <row r="61" spans="1:22" ht="18.75" customHeight="1" thickBot="1">
      <c r="A61" s="36"/>
      <c r="B61" s="111"/>
      <c r="C61" s="111"/>
      <c r="D61" s="111"/>
      <c r="E61" s="111"/>
      <c r="F61" s="111"/>
      <c r="G61" s="110"/>
      <c r="H61" s="110"/>
      <c r="I61" s="111"/>
      <c r="J61" s="111"/>
      <c r="K61" s="111"/>
      <c r="L61" s="111"/>
      <c r="M61" s="111"/>
      <c r="N61" s="110"/>
      <c r="O61" s="110"/>
      <c r="P61" s="82">
        <f>R59</f>
        <v>0</v>
      </c>
      <c r="Q61" s="143"/>
      <c r="R61" s="105">
        <f>IF(P61-Q60+$K$12&gt;$M$11,$M$11,P61-Q60+$K$12)</f>
        <v>0</v>
      </c>
      <c r="S61" s="143"/>
      <c r="T61" s="105">
        <f>T59-S60</f>
        <v>0</v>
      </c>
      <c r="U61" s="143"/>
      <c r="V61" s="104">
        <f>V59-U60</f>
        <v>0</v>
      </c>
    </row>
    <row r="62" spans="1:22" s="37" customFormat="1" ht="9.75" customHeight="1" thickTop="1">
      <c r="A62" s="94" t="s">
        <v>23</v>
      </c>
      <c r="B62" s="114">
        <v>18</v>
      </c>
      <c r="C62" s="114">
        <v>19</v>
      </c>
      <c r="D62" s="114">
        <v>20</v>
      </c>
      <c r="E62" s="114">
        <v>21</v>
      </c>
      <c r="F62" s="114">
        <v>22</v>
      </c>
      <c r="G62" s="113">
        <v>23</v>
      </c>
      <c r="H62" s="113">
        <v>24</v>
      </c>
      <c r="I62" s="114">
        <v>25</v>
      </c>
      <c r="J62" s="114">
        <v>26</v>
      </c>
      <c r="K62" s="114">
        <v>27</v>
      </c>
      <c r="L62" s="114">
        <v>28</v>
      </c>
      <c r="M62" s="114">
        <v>29</v>
      </c>
      <c r="N62" s="113">
        <v>30</v>
      </c>
      <c r="O62" s="113">
        <v>31</v>
      </c>
      <c r="P62" s="89"/>
      <c r="Q62" s="142"/>
      <c r="R62" s="88"/>
      <c r="S62" s="142"/>
      <c r="T62" s="88"/>
      <c r="U62" s="142"/>
      <c r="V62" s="87"/>
    </row>
    <row r="63" spans="1:22" ht="18.75" customHeight="1" thickBot="1">
      <c r="A63" s="36"/>
      <c r="B63" s="111"/>
      <c r="C63" s="111"/>
      <c r="D63" s="111"/>
      <c r="E63" s="111"/>
      <c r="F63" s="111"/>
      <c r="G63" s="110"/>
      <c r="H63" s="110"/>
      <c r="I63" s="111"/>
      <c r="J63" s="111"/>
      <c r="K63" s="111"/>
      <c r="L63" s="111"/>
      <c r="M63" s="111"/>
      <c r="N63" s="110"/>
      <c r="O63" s="110"/>
      <c r="P63" s="82">
        <f>R61</f>
        <v>0</v>
      </c>
      <c r="Q63" s="143"/>
      <c r="R63" s="105">
        <f>IF(P63-Q62+$K$12&gt;$M$11,$M$11,P63-Q62+$K$12)</f>
        <v>0</v>
      </c>
      <c r="S63" s="143"/>
      <c r="T63" s="105">
        <f>T61-S62</f>
        <v>0</v>
      </c>
      <c r="U63" s="143"/>
      <c r="V63" s="104">
        <f>V61-U62</f>
        <v>0</v>
      </c>
    </row>
    <row r="64" spans="1:22" s="37" customFormat="1" ht="9.75" customHeight="1" thickTop="1">
      <c r="A64" s="94" t="s">
        <v>22</v>
      </c>
      <c r="B64" s="114">
        <v>1</v>
      </c>
      <c r="C64" s="114">
        <v>2</v>
      </c>
      <c r="D64" s="114">
        <v>3</v>
      </c>
      <c r="E64" s="114">
        <v>4</v>
      </c>
      <c r="F64" s="114">
        <v>5</v>
      </c>
      <c r="G64" s="113">
        <v>6</v>
      </c>
      <c r="H64" s="113">
        <v>7</v>
      </c>
      <c r="I64" s="114">
        <v>8</v>
      </c>
      <c r="J64" s="114">
        <v>9</v>
      </c>
      <c r="K64" s="114">
        <v>10</v>
      </c>
      <c r="L64" s="114">
        <v>11</v>
      </c>
      <c r="M64" s="114">
        <v>12</v>
      </c>
      <c r="N64" s="113">
        <v>13</v>
      </c>
      <c r="O64" s="113">
        <v>14</v>
      </c>
      <c r="P64" s="89"/>
      <c r="Q64" s="142"/>
      <c r="R64" s="88"/>
      <c r="S64" s="142"/>
      <c r="T64" s="88"/>
      <c r="U64" s="142"/>
      <c r="V64" s="87"/>
    </row>
    <row r="65" spans="1:37" ht="18.75" customHeight="1" thickBot="1">
      <c r="A65" s="36"/>
      <c r="B65" s="111"/>
      <c r="C65" s="111"/>
      <c r="D65" s="111"/>
      <c r="E65" s="111"/>
      <c r="F65" s="111"/>
      <c r="G65" s="110"/>
      <c r="H65" s="110"/>
      <c r="I65" s="111"/>
      <c r="J65" s="111"/>
      <c r="K65" s="111"/>
      <c r="L65" s="111"/>
      <c r="M65" s="111"/>
      <c r="N65" s="110"/>
      <c r="O65" s="110"/>
      <c r="P65" s="82">
        <f>R63</f>
        <v>0</v>
      </c>
      <c r="Q65" s="143"/>
      <c r="R65" s="105">
        <f>IF(P65-Q64+$K$12&gt;$M$11,$M$11,P65-Q64+$K$12)</f>
        <v>0</v>
      </c>
      <c r="S65" s="143"/>
      <c r="T65" s="105">
        <f>T63-S64</f>
        <v>0</v>
      </c>
      <c r="U65" s="143"/>
      <c r="V65" s="104">
        <f>V63-U64</f>
        <v>0</v>
      </c>
    </row>
    <row r="66" spans="1:37" s="37" customFormat="1" ht="9.75" customHeight="1" thickTop="1">
      <c r="A66" s="94" t="s">
        <v>21</v>
      </c>
      <c r="B66" s="114">
        <v>15</v>
      </c>
      <c r="C66" s="114">
        <v>16</v>
      </c>
      <c r="D66" s="114">
        <v>17</v>
      </c>
      <c r="E66" s="114">
        <v>18</v>
      </c>
      <c r="F66" s="114">
        <v>19</v>
      </c>
      <c r="G66" s="113">
        <v>29</v>
      </c>
      <c r="H66" s="113">
        <v>21</v>
      </c>
      <c r="I66" s="114">
        <v>22</v>
      </c>
      <c r="J66" s="114">
        <v>23</v>
      </c>
      <c r="K66" s="114">
        <v>24</v>
      </c>
      <c r="L66" s="114">
        <v>25</v>
      </c>
      <c r="M66" s="114">
        <v>26</v>
      </c>
      <c r="N66" s="113">
        <v>27</v>
      </c>
      <c r="O66" s="113">
        <v>28</v>
      </c>
      <c r="P66" s="89"/>
      <c r="Q66" s="142"/>
      <c r="R66" s="88"/>
      <c r="S66" s="142"/>
      <c r="T66" s="88"/>
      <c r="U66" s="142"/>
      <c r="V66" s="87"/>
    </row>
    <row r="67" spans="1:37" ht="18.75" customHeight="1" thickBot="1">
      <c r="A67" s="36"/>
      <c r="B67" s="111"/>
      <c r="C67" s="111"/>
      <c r="D67" s="111"/>
      <c r="E67" s="111"/>
      <c r="F67" s="111"/>
      <c r="G67" s="110"/>
      <c r="H67" s="110"/>
      <c r="I67" s="111"/>
      <c r="J67" s="111"/>
      <c r="K67" s="111"/>
      <c r="L67" s="111"/>
      <c r="M67" s="111"/>
      <c r="N67" s="110"/>
      <c r="O67" s="110"/>
      <c r="P67" s="82">
        <f>R65</f>
        <v>0</v>
      </c>
      <c r="Q67" s="143"/>
      <c r="R67" s="105">
        <f>IF(P67-Q66+$K$12&gt;$M$11,$M$11,P67-Q66+$K$12)</f>
        <v>0</v>
      </c>
      <c r="S67" s="143"/>
      <c r="T67" s="105">
        <f>T65-S66</f>
        <v>0</v>
      </c>
      <c r="U67" s="143"/>
      <c r="V67" s="104">
        <f>V65-U66</f>
        <v>0</v>
      </c>
    </row>
    <row r="68" spans="1:37" s="37" customFormat="1" ht="9.75" customHeight="1" thickTop="1">
      <c r="A68" s="94" t="s">
        <v>21</v>
      </c>
      <c r="B68" s="114">
        <v>29</v>
      </c>
      <c r="C68" s="114">
        <v>30</v>
      </c>
      <c r="D68" s="114">
        <v>1</v>
      </c>
      <c r="E68" s="114">
        <v>2</v>
      </c>
      <c r="F68" s="114">
        <v>3</v>
      </c>
      <c r="G68" s="113">
        <v>4</v>
      </c>
      <c r="H68" s="113">
        <v>5</v>
      </c>
      <c r="I68" s="114">
        <v>6</v>
      </c>
      <c r="J68" s="114">
        <v>7</v>
      </c>
      <c r="K68" s="114">
        <v>8</v>
      </c>
      <c r="L68" s="114">
        <v>9</v>
      </c>
      <c r="M68" s="114">
        <v>10</v>
      </c>
      <c r="N68" s="113">
        <v>11</v>
      </c>
      <c r="O68" s="113">
        <v>12</v>
      </c>
      <c r="P68" s="89"/>
      <c r="Q68" s="142"/>
      <c r="R68" s="88"/>
      <c r="S68" s="142"/>
      <c r="T68" s="88"/>
      <c r="U68" s="142"/>
      <c r="V68" s="87"/>
    </row>
    <row r="69" spans="1:37" ht="18.75" customHeight="1" thickBot="1">
      <c r="A69" s="36"/>
      <c r="B69" s="111"/>
      <c r="C69" s="111"/>
      <c r="D69" s="111"/>
      <c r="E69" s="111"/>
      <c r="F69" s="111"/>
      <c r="G69" s="110"/>
      <c r="H69" s="110"/>
      <c r="I69" s="111"/>
      <c r="J69" s="111"/>
      <c r="K69" s="111"/>
      <c r="L69" s="111"/>
      <c r="M69" s="111"/>
      <c r="N69" s="110"/>
      <c r="O69" s="110"/>
      <c r="P69" s="82">
        <f>R67</f>
        <v>0</v>
      </c>
      <c r="Q69" s="143"/>
      <c r="R69" s="105">
        <f>IF(P69-Q68+$K$12&gt;$M$11,$M$11,P69-Q68+$K$12)</f>
        <v>0</v>
      </c>
      <c r="S69" s="143"/>
      <c r="T69" s="105">
        <f>T67-S68</f>
        <v>0</v>
      </c>
      <c r="U69" s="143"/>
      <c r="V69" s="104">
        <f>V67-U68</f>
        <v>0</v>
      </c>
    </row>
    <row r="70" spans="1:37" s="37" customFormat="1" ht="9.75" customHeight="1" thickTop="1">
      <c r="A70" s="93" t="s">
        <v>20</v>
      </c>
      <c r="B70" s="114">
        <v>13</v>
      </c>
      <c r="C70" s="114">
        <v>14</v>
      </c>
      <c r="D70" s="114">
        <v>15</v>
      </c>
      <c r="E70" s="114">
        <v>16</v>
      </c>
      <c r="F70" s="114">
        <v>17</v>
      </c>
      <c r="G70" s="113">
        <v>18</v>
      </c>
      <c r="H70" s="113">
        <v>19</v>
      </c>
      <c r="I70" s="114">
        <v>20</v>
      </c>
      <c r="J70" s="114">
        <v>21</v>
      </c>
      <c r="K70" s="114">
        <v>22</v>
      </c>
      <c r="L70" s="114">
        <v>23</v>
      </c>
      <c r="M70" s="114">
        <v>24</v>
      </c>
      <c r="N70" s="113">
        <v>25</v>
      </c>
      <c r="O70" s="113">
        <v>26</v>
      </c>
      <c r="P70" s="89"/>
      <c r="Q70" s="142"/>
      <c r="R70" s="88"/>
      <c r="S70" s="142"/>
      <c r="T70" s="88"/>
      <c r="U70" s="142"/>
      <c r="V70" s="87"/>
    </row>
    <row r="71" spans="1:37" ht="18.75" customHeight="1" thickBot="1">
      <c r="A71" s="36"/>
      <c r="B71" s="111"/>
      <c r="C71" s="111"/>
      <c r="D71" s="111"/>
      <c r="E71" s="111"/>
      <c r="F71" s="111"/>
      <c r="G71" s="110"/>
      <c r="H71" s="110"/>
      <c r="I71" s="111"/>
      <c r="J71" s="111"/>
      <c r="K71" s="111"/>
      <c r="L71" s="111"/>
      <c r="M71" s="111"/>
      <c r="N71" s="110"/>
      <c r="O71" s="110"/>
      <c r="P71" s="82">
        <f>R69</f>
        <v>0</v>
      </c>
      <c r="Q71" s="143"/>
      <c r="R71" s="105">
        <f>IF(P71-Q70+$K$12&gt;$M$11,$M$11,P71-Q70+$K$12)</f>
        <v>0</v>
      </c>
      <c r="S71" s="143"/>
      <c r="T71" s="105">
        <f>T69-S70</f>
        <v>0</v>
      </c>
      <c r="U71" s="143"/>
      <c r="V71" s="104">
        <f>V69-U70</f>
        <v>0</v>
      </c>
    </row>
    <row r="72" spans="1:37" s="37" customFormat="1" ht="9.75" customHeight="1" thickTop="1">
      <c r="A72" s="93" t="s">
        <v>19</v>
      </c>
      <c r="B72" s="115">
        <v>27</v>
      </c>
      <c r="C72" s="114">
        <v>28</v>
      </c>
      <c r="D72" s="114">
        <v>29</v>
      </c>
      <c r="E72" s="114">
        <v>30</v>
      </c>
      <c r="F72" s="114">
        <v>31</v>
      </c>
      <c r="G72" s="113">
        <v>1</v>
      </c>
      <c r="H72" s="113">
        <v>2</v>
      </c>
      <c r="I72" s="114">
        <v>3</v>
      </c>
      <c r="J72" s="114">
        <v>4</v>
      </c>
      <c r="K72" s="114">
        <v>5</v>
      </c>
      <c r="L72" s="114">
        <v>6</v>
      </c>
      <c r="M72" s="114">
        <v>7</v>
      </c>
      <c r="N72" s="113">
        <v>8</v>
      </c>
      <c r="O72" s="113">
        <v>9</v>
      </c>
      <c r="P72" s="89"/>
      <c r="Q72" s="142"/>
      <c r="R72" s="88"/>
      <c r="S72" s="142"/>
      <c r="T72" s="88"/>
      <c r="U72" s="142"/>
      <c r="V72" s="87"/>
    </row>
    <row r="73" spans="1:37" ht="18.75" customHeight="1" thickBot="1">
      <c r="A73" s="86"/>
      <c r="B73" s="112"/>
      <c r="C73" s="111"/>
      <c r="D73" s="111"/>
      <c r="E73" s="111"/>
      <c r="F73" s="111"/>
      <c r="G73" s="110"/>
      <c r="H73" s="110"/>
      <c r="I73" s="111"/>
      <c r="J73" s="111"/>
      <c r="K73" s="111"/>
      <c r="L73" s="111"/>
      <c r="M73" s="111"/>
      <c r="N73" s="110"/>
      <c r="O73" s="110"/>
      <c r="P73" s="82">
        <f>R71</f>
        <v>0</v>
      </c>
      <c r="Q73" s="143"/>
      <c r="R73" s="105">
        <f>IF(P73-Q72+$K$12&gt;$M$11,$M$11,P73-Q72+$K$12)</f>
        <v>0</v>
      </c>
      <c r="S73" s="143"/>
      <c r="T73" s="105">
        <f>T71-S72</f>
        <v>0</v>
      </c>
      <c r="U73" s="163"/>
      <c r="V73" s="96">
        <f>V71-U72</f>
        <v>0</v>
      </c>
    </row>
    <row r="74" spans="1:37" s="37" customFormat="1" ht="9.75" customHeight="1" thickTop="1">
      <c r="A74" s="94" t="s">
        <v>57</v>
      </c>
      <c r="B74" s="116">
        <v>10</v>
      </c>
      <c r="C74" s="116">
        <v>11</v>
      </c>
      <c r="D74" s="116">
        <v>12</v>
      </c>
      <c r="E74" s="116">
        <v>13</v>
      </c>
      <c r="F74" s="116">
        <v>14</v>
      </c>
      <c r="G74" s="117">
        <v>15</v>
      </c>
      <c r="H74" s="117">
        <v>16</v>
      </c>
      <c r="I74" s="116">
        <v>17</v>
      </c>
      <c r="J74" s="116">
        <v>18</v>
      </c>
      <c r="K74" s="116">
        <v>19</v>
      </c>
      <c r="L74" s="116">
        <v>20</v>
      </c>
      <c r="M74" s="116">
        <v>21</v>
      </c>
      <c r="N74" s="117">
        <v>22</v>
      </c>
      <c r="O74" s="117">
        <v>23</v>
      </c>
      <c r="P74" s="89"/>
      <c r="Q74" s="142"/>
      <c r="R74" s="88"/>
      <c r="S74" s="142"/>
      <c r="T74" s="88"/>
      <c r="U74" s="142"/>
      <c r="V74" s="87"/>
    </row>
    <row r="75" spans="1:37" ht="18.75" customHeight="1" thickBot="1">
      <c r="A75" s="36"/>
      <c r="B75" s="111"/>
      <c r="C75" s="111"/>
      <c r="D75" s="111"/>
      <c r="E75" s="111"/>
      <c r="F75" s="111"/>
      <c r="G75" s="110"/>
      <c r="H75" s="110"/>
      <c r="I75" s="111"/>
      <c r="J75" s="111"/>
      <c r="K75" s="111"/>
      <c r="L75" s="111"/>
      <c r="M75" s="111"/>
      <c r="N75" s="110"/>
      <c r="O75" s="110"/>
      <c r="P75" s="82">
        <f>R73</f>
        <v>0</v>
      </c>
      <c r="Q75" s="143"/>
      <c r="R75" s="105">
        <f>IF(P75-Q74+$K$12&gt;$M$11,$M$11,P75-Q74+$K$12)</f>
        <v>0</v>
      </c>
      <c r="S75" s="143"/>
      <c r="T75" s="105">
        <f>T73-S74</f>
        <v>0</v>
      </c>
      <c r="U75" s="143"/>
      <c r="V75" s="96">
        <f>V73-U74</f>
        <v>0</v>
      </c>
    </row>
    <row r="76" spans="1:37" ht="16.5" thickTop="1">
      <c r="A76" s="35" t="s">
        <v>18</v>
      </c>
      <c r="B76" s="81"/>
      <c r="C76" s="81"/>
      <c r="D76" s="81"/>
      <c r="E76" s="81"/>
      <c r="F76" s="81"/>
      <c r="G76" s="81"/>
      <c r="H76" s="81"/>
      <c r="I76" s="81"/>
      <c r="J76" s="81"/>
      <c r="K76" s="81"/>
      <c r="L76" s="80"/>
      <c r="M76" s="80"/>
      <c r="N76" s="80"/>
      <c r="O76" s="80"/>
      <c r="P76" s="34"/>
      <c r="Q76" s="104">
        <f>(SUM(Q50:Q75)+Q44)</f>
        <v>0</v>
      </c>
      <c r="R76" s="77"/>
      <c r="S76" s="104">
        <f>(SUM(S50:S75)+S44)</f>
        <v>0</v>
      </c>
      <c r="T76" s="33"/>
      <c r="U76" s="104">
        <f>(SUM(U50:U75)+U44)</f>
        <v>0</v>
      </c>
      <c r="V76" s="32"/>
    </row>
    <row r="77" spans="1:37">
      <c r="A77" s="164" t="s">
        <v>76</v>
      </c>
      <c r="B77" s="165"/>
      <c r="C77" s="165"/>
      <c r="D77" s="165"/>
      <c r="E77" s="165"/>
      <c r="F77" s="165"/>
      <c r="G77" s="165"/>
      <c r="H77" s="79"/>
      <c r="I77" s="79"/>
      <c r="J77" s="79"/>
      <c r="K77" s="79"/>
      <c r="L77" s="79"/>
      <c r="M77" s="79"/>
      <c r="N77" s="79"/>
      <c r="O77" s="79"/>
      <c r="P77" s="78"/>
      <c r="Q77" s="77"/>
      <c r="R77" s="104">
        <f>R75</f>
        <v>0</v>
      </c>
      <c r="S77" s="76"/>
      <c r="T77" s="31">
        <f>IF(T73&gt;$V$11,$V$11,T73)</f>
        <v>0</v>
      </c>
      <c r="U77" s="75"/>
      <c r="V77" s="74"/>
      <c r="W77" s="29"/>
      <c r="X77" s="29"/>
      <c r="Y77" s="29"/>
      <c r="Z77" s="29"/>
      <c r="AA77" s="29"/>
      <c r="AB77" s="29"/>
      <c r="AC77" s="29"/>
      <c r="AD77" s="29"/>
      <c r="AE77" s="29"/>
      <c r="AF77" s="29"/>
      <c r="AG77" s="29"/>
      <c r="AH77" s="29"/>
      <c r="AI77" s="29"/>
      <c r="AJ77" s="29"/>
      <c r="AK77" s="29"/>
    </row>
    <row r="78" spans="1:37">
      <c r="A78" s="30"/>
      <c r="B78" s="29"/>
      <c r="C78" s="29"/>
      <c r="D78" s="29"/>
      <c r="E78" s="29"/>
      <c r="F78" s="29"/>
      <c r="G78" s="29"/>
      <c r="H78" s="29"/>
      <c r="I78" s="29"/>
      <c r="J78" s="29"/>
      <c r="K78" s="29"/>
      <c r="L78" s="29"/>
      <c r="M78" s="29"/>
      <c r="N78" s="29"/>
      <c r="O78" s="29"/>
      <c r="P78" s="29"/>
      <c r="Q78" s="29"/>
      <c r="R78" s="29"/>
      <c r="S78" s="29"/>
      <c r="V78" s="28"/>
      <c r="AG78" s="3"/>
    </row>
    <row r="79" spans="1:37">
      <c r="A79" s="30"/>
      <c r="B79" s="29"/>
      <c r="C79" s="29"/>
      <c r="D79" s="29"/>
      <c r="E79" s="29"/>
      <c r="F79" s="29"/>
      <c r="G79" s="29"/>
      <c r="H79" s="29"/>
      <c r="I79" s="29"/>
      <c r="J79" s="29"/>
      <c r="K79" s="29"/>
      <c r="L79" s="29"/>
      <c r="M79" s="29"/>
      <c r="N79" s="29"/>
      <c r="O79" s="29"/>
      <c r="P79" s="29"/>
      <c r="Q79" s="29"/>
      <c r="R79" s="29"/>
      <c r="S79" s="29"/>
      <c r="V79" s="28"/>
      <c r="AG79" s="3"/>
    </row>
    <row r="80" spans="1:37" s="24" customFormat="1" ht="12.75" thickBot="1">
      <c r="A80" s="151" t="s">
        <v>17</v>
      </c>
      <c r="B80" s="152"/>
      <c r="C80" s="152"/>
      <c r="D80" s="152"/>
      <c r="E80" s="153"/>
      <c r="F80" s="154" t="s">
        <v>16</v>
      </c>
      <c r="G80" s="155"/>
      <c r="H80" s="155"/>
      <c r="I80" s="155"/>
      <c r="J80" s="155"/>
      <c r="K80" s="155"/>
      <c r="L80" s="155"/>
      <c r="M80" s="156"/>
      <c r="N80" s="157" t="s">
        <v>79</v>
      </c>
      <c r="O80" s="158"/>
      <c r="P80" s="158"/>
      <c r="Q80" s="158"/>
      <c r="R80" s="158"/>
      <c r="S80" s="158"/>
      <c r="T80" s="158"/>
      <c r="U80" s="158"/>
      <c r="V80" s="159"/>
      <c r="W80" s="71"/>
      <c r="X80" s="71"/>
      <c r="Y80" s="71"/>
      <c r="Z80" s="71"/>
      <c r="AA80" s="71"/>
      <c r="AB80" s="71"/>
      <c r="AC80" s="71"/>
      <c r="AD80" s="71"/>
      <c r="AE80" s="71"/>
    </row>
    <row r="81" spans="1:39" s="24" customFormat="1" ht="12.75" thickTop="1">
      <c r="A81" s="103"/>
      <c r="B81" s="23" t="s">
        <v>15</v>
      </c>
      <c r="C81" s="19"/>
      <c r="D81" s="19"/>
      <c r="E81" s="20"/>
      <c r="F81" s="129" t="s">
        <v>10</v>
      </c>
      <c r="G81" s="13"/>
      <c r="H81" s="13" t="s">
        <v>9</v>
      </c>
      <c r="I81" s="71"/>
      <c r="J81" s="13" t="s">
        <v>6</v>
      </c>
      <c r="K81" s="71"/>
      <c r="L81" s="13" t="s">
        <v>8</v>
      </c>
      <c r="M81" s="71"/>
      <c r="N81" s="14" t="s">
        <v>66</v>
      </c>
      <c r="O81" s="13"/>
      <c r="P81" s="13"/>
      <c r="Q81" s="13"/>
      <c r="R81" s="13" t="s">
        <v>67</v>
      </c>
      <c r="S81" s="13"/>
      <c r="T81" s="13"/>
      <c r="U81" s="97"/>
      <c r="V81" s="66"/>
      <c r="W81" s="71"/>
      <c r="X81" s="71"/>
      <c r="Y81" s="71"/>
      <c r="Z81" s="71"/>
      <c r="AA81" s="71"/>
      <c r="AB81" s="71"/>
      <c r="AC81" s="71"/>
      <c r="AD81" s="71"/>
      <c r="AE81" s="71"/>
    </row>
    <row r="82" spans="1:39" s="24" customFormat="1" ht="12">
      <c r="A82" s="102"/>
      <c r="B82" s="23" t="s">
        <v>11</v>
      </c>
      <c r="C82" s="19"/>
      <c r="D82" s="19"/>
      <c r="E82" s="20"/>
      <c r="F82" s="21" t="s">
        <v>7</v>
      </c>
      <c r="G82" s="13"/>
      <c r="H82" s="13" t="s">
        <v>2</v>
      </c>
      <c r="I82" s="71"/>
      <c r="J82" s="13" t="s">
        <v>1</v>
      </c>
      <c r="K82" s="71"/>
      <c r="L82" s="13" t="s">
        <v>5</v>
      </c>
      <c r="M82" s="71"/>
      <c r="N82" s="14" t="s">
        <v>68</v>
      </c>
      <c r="O82" s="13"/>
      <c r="P82" s="13"/>
      <c r="Q82" s="13"/>
      <c r="R82" s="13" t="s">
        <v>69</v>
      </c>
      <c r="S82" s="13"/>
      <c r="T82" s="13"/>
      <c r="U82" s="97"/>
      <c r="V82" s="66"/>
      <c r="W82" s="71"/>
      <c r="X82" s="71"/>
      <c r="Y82" s="71"/>
      <c r="Z82" s="71"/>
      <c r="AA82" s="71"/>
      <c r="AB82" s="71"/>
      <c r="AC82" s="71"/>
      <c r="AD82" s="71"/>
      <c r="AE82" s="71"/>
    </row>
    <row r="83" spans="1:39" s="24" customFormat="1" ht="12" customHeight="1">
      <c r="A83" s="101"/>
      <c r="B83" s="23" t="s">
        <v>61</v>
      </c>
      <c r="C83" s="19"/>
      <c r="D83" s="19"/>
      <c r="E83" s="20"/>
      <c r="F83" s="21" t="s">
        <v>3</v>
      </c>
      <c r="G83" s="13"/>
      <c r="H83" s="13" t="s">
        <v>13</v>
      </c>
      <c r="I83" s="71"/>
      <c r="J83" s="13" t="s">
        <v>12</v>
      </c>
      <c r="K83" s="71"/>
      <c r="L83" s="13" t="s">
        <v>0</v>
      </c>
      <c r="M83" s="71"/>
      <c r="N83" s="14" t="s">
        <v>70</v>
      </c>
      <c r="O83" s="13"/>
      <c r="P83" s="13"/>
      <c r="Q83" s="13"/>
      <c r="R83" s="13" t="s">
        <v>71</v>
      </c>
      <c r="S83" s="13"/>
      <c r="T83" s="13"/>
      <c r="U83" s="97"/>
      <c r="V83" s="66"/>
      <c r="W83" s="71"/>
      <c r="X83" s="71"/>
      <c r="Y83" s="71"/>
      <c r="Z83" s="71"/>
      <c r="AA83" s="71"/>
      <c r="AB83" s="71"/>
      <c r="AC83" s="71"/>
      <c r="AD83" s="71"/>
      <c r="AE83" s="71"/>
    </row>
    <row r="84" spans="1:39" s="19" customFormat="1" ht="12" customHeight="1">
      <c r="A84" s="127"/>
      <c r="C84" s="23"/>
      <c r="D84" s="23"/>
      <c r="E84" s="22"/>
      <c r="F84" s="21" t="s">
        <v>14</v>
      </c>
      <c r="H84" s="13"/>
      <c r="N84" s="14" t="s">
        <v>72</v>
      </c>
      <c r="O84" s="13"/>
      <c r="P84" s="13"/>
      <c r="Q84" s="13"/>
      <c r="R84" s="13" t="s">
        <v>73</v>
      </c>
      <c r="S84" s="13"/>
      <c r="T84" s="13"/>
      <c r="U84" s="97"/>
      <c r="V84" s="66"/>
    </row>
    <row r="85" spans="1:39" ht="12" customHeight="1">
      <c r="A85" s="64" t="s">
        <v>4</v>
      </c>
      <c r="B85" s="63"/>
      <c r="C85" s="18"/>
      <c r="D85" s="18"/>
      <c r="E85" s="17"/>
      <c r="F85" s="16"/>
      <c r="G85" s="15"/>
      <c r="H85" s="15"/>
      <c r="I85" s="15"/>
      <c r="J85" s="15"/>
      <c r="K85" s="15"/>
      <c r="L85" s="15"/>
      <c r="M85" s="15"/>
      <c r="N85" s="11" t="s">
        <v>74</v>
      </c>
      <c r="O85" s="10"/>
      <c r="P85" s="10"/>
      <c r="Q85" s="10"/>
      <c r="R85" s="10"/>
      <c r="S85" s="10"/>
      <c r="T85" s="9"/>
      <c r="U85" s="98"/>
      <c r="V85" s="99"/>
    </row>
    <row r="86" spans="1:39">
      <c r="A86" s="61"/>
      <c r="B86" s="13"/>
      <c r="C86" s="13"/>
      <c r="D86" s="13"/>
      <c r="E86" s="13"/>
      <c r="F86" s="13"/>
      <c r="G86" s="12"/>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row>
    <row r="87" spans="1:39">
      <c r="A87" s="61"/>
      <c r="B87" s="13"/>
      <c r="C87" s="13"/>
      <c r="D87" s="13"/>
      <c r="E87" s="13"/>
      <c r="F87" s="13"/>
    </row>
    <row r="90" spans="1:39">
      <c r="B90" s="6"/>
    </row>
    <row r="91" spans="1:39">
      <c r="A91" s="1"/>
      <c r="B91" s="6"/>
    </row>
    <row r="92" spans="1:39">
      <c r="A92" s="7"/>
      <c r="B92" s="6"/>
    </row>
    <row r="93" spans="1:39">
      <c r="A93" s="5"/>
      <c r="B93" s="6"/>
    </row>
    <row r="94" spans="1:39">
      <c r="A94" s="5"/>
    </row>
    <row r="95" spans="1:39">
      <c r="A95" s="5"/>
    </row>
    <row r="104" spans="1:4">
      <c r="A104" s="4"/>
      <c r="B104" s="3"/>
      <c r="C104" s="3"/>
      <c r="D104" s="3"/>
    </row>
  </sheetData>
  <sheetProtection password="C7D5" sheet="1" objects="1" scenarios="1" selectLockedCells="1"/>
  <mergeCells count="109">
    <mergeCell ref="A77:G77"/>
    <mergeCell ref="P15:V15"/>
    <mergeCell ref="Q70:Q71"/>
    <mergeCell ref="S70:S71"/>
    <mergeCell ref="U70:U71"/>
    <mergeCell ref="U18:U19"/>
    <mergeCell ref="S18:S19"/>
    <mergeCell ref="Q18:Q19"/>
    <mergeCell ref="A2:B2"/>
    <mergeCell ref="G2:H2"/>
    <mergeCell ref="N2:R2"/>
    <mergeCell ref="S2:V2"/>
    <mergeCell ref="C2:F2"/>
    <mergeCell ref="I2:M2"/>
    <mergeCell ref="Q74:Q75"/>
    <mergeCell ref="S74:S75"/>
    <mergeCell ref="U74:U75"/>
    <mergeCell ref="N4:V4"/>
    <mergeCell ref="P47:V47"/>
    <mergeCell ref="Q62:Q63"/>
    <mergeCell ref="S62:S63"/>
    <mergeCell ref="U62:U63"/>
    <mergeCell ref="Q64:Q65"/>
    <mergeCell ref="S64:S65"/>
    <mergeCell ref="U64:U65"/>
    <mergeCell ref="Q72:Q73"/>
    <mergeCell ref="S72:S73"/>
    <mergeCell ref="U72:U73"/>
    <mergeCell ref="Q66:Q67"/>
    <mergeCell ref="S66:S67"/>
    <mergeCell ref="U66:U67"/>
    <mergeCell ref="Q68:Q69"/>
    <mergeCell ref="S68:S69"/>
    <mergeCell ref="U68:U69"/>
    <mergeCell ref="Q56:Q57"/>
    <mergeCell ref="S56:S57"/>
    <mergeCell ref="U56:U57"/>
    <mergeCell ref="Q58:Q59"/>
    <mergeCell ref="S58:S59"/>
    <mergeCell ref="U58:U59"/>
    <mergeCell ref="Q60:Q61"/>
    <mergeCell ref="S60:S61"/>
    <mergeCell ref="U60:U61"/>
    <mergeCell ref="Q50:Q51"/>
    <mergeCell ref="S50:S51"/>
    <mergeCell ref="U50:U51"/>
    <mergeCell ref="Q52:Q53"/>
    <mergeCell ref="S52:S53"/>
    <mergeCell ref="U52:U53"/>
    <mergeCell ref="Q54:Q55"/>
    <mergeCell ref="S54:S55"/>
    <mergeCell ref="U54:U55"/>
    <mergeCell ref="V48:V49"/>
    <mergeCell ref="Q42:Q43"/>
    <mergeCell ref="S42:S43"/>
    <mergeCell ref="U42:U43"/>
    <mergeCell ref="P48:P49"/>
    <mergeCell ref="Q48:Q49"/>
    <mergeCell ref="R48:R49"/>
    <mergeCell ref="S48:S49"/>
    <mergeCell ref="T48:T49"/>
    <mergeCell ref="U48:U49"/>
    <mergeCell ref="Q40:Q41"/>
    <mergeCell ref="S40:S41"/>
    <mergeCell ref="U40:U41"/>
    <mergeCell ref="A45:V45"/>
    <mergeCell ref="Q36:Q37"/>
    <mergeCell ref="S36:S37"/>
    <mergeCell ref="U36:U37"/>
    <mergeCell ref="Q38:Q39"/>
    <mergeCell ref="S38:S39"/>
    <mergeCell ref="U38:U39"/>
    <mergeCell ref="A80:E80"/>
    <mergeCell ref="F80:M80"/>
    <mergeCell ref="N80:V80"/>
    <mergeCell ref="P16:P17"/>
    <mergeCell ref="Q16:Q17"/>
    <mergeCell ref="R16:R17"/>
    <mergeCell ref="S16:S17"/>
    <mergeCell ref="T16:T17"/>
    <mergeCell ref="U16:U17"/>
    <mergeCell ref="Q20:Q21"/>
    <mergeCell ref="S20:S21"/>
    <mergeCell ref="U20:U21"/>
    <mergeCell ref="Q22:Q23"/>
    <mergeCell ref="S22:S23"/>
    <mergeCell ref="U22:U23"/>
    <mergeCell ref="Q24:Q25"/>
    <mergeCell ref="S24:S25"/>
    <mergeCell ref="U24:U25"/>
    <mergeCell ref="Q30:Q31"/>
    <mergeCell ref="S30:S31"/>
    <mergeCell ref="U30:U31"/>
    <mergeCell ref="Q32:Q33"/>
    <mergeCell ref="S32:S33"/>
    <mergeCell ref="U32:U33"/>
    <mergeCell ref="Q34:Q35"/>
    <mergeCell ref="S34:S35"/>
    <mergeCell ref="U34:U35"/>
    <mergeCell ref="L12:M12"/>
    <mergeCell ref="V16:V17"/>
    <mergeCell ref="A1:V1"/>
    <mergeCell ref="A3:V3"/>
    <mergeCell ref="Q26:Q27"/>
    <mergeCell ref="S26:S27"/>
    <mergeCell ref="U26:U27"/>
    <mergeCell ref="Q28:Q29"/>
    <mergeCell ref="S28:S29"/>
    <mergeCell ref="U28:U29"/>
  </mergeCells>
  <dataValidations count="1">
    <dataValidation type="decimal" operator="lessThanOrEqual" allowBlank="1" showInputMessage="1" showErrorMessage="1" sqref="T11 K11">
      <formula1>M11</formula1>
    </dataValidation>
  </dataValidations>
  <pageMargins left="0.2" right="0.2" top="0.25" bottom="0" header="0.25" footer="0"/>
  <pageSetup scale="90" orientation="landscape" r:id="rId1"/>
  <headerFooter alignWithMargins="0"/>
  <rowBreaks count="1" manualBreakCount="1">
    <brk id="44"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BWB Hours</vt:lpstr>
      <vt:lpstr>'BWB Hours'!Print_Area</vt:lpstr>
    </vt:vector>
  </TitlesOfParts>
  <Company>Princeton University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celson</dc:creator>
  <cp:lastModifiedBy>celson</cp:lastModifiedBy>
  <cp:lastPrinted>2012-06-29T21:58:52Z</cp:lastPrinted>
  <dcterms:created xsi:type="dcterms:W3CDTF">2011-06-07T20:40:37Z</dcterms:created>
  <dcterms:modified xsi:type="dcterms:W3CDTF">2012-07-05T19:45:55Z</dcterms:modified>
</cp:coreProperties>
</file>