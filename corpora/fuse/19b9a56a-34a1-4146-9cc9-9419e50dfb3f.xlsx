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Preschool 15 Prelim Allocations" sheetId="1" r:id="rId1"/>
  </sheets>
  <calcPr calcId="144525"/>
</workbook>
</file>

<file path=xl/calcChain.xml><?xml version="1.0" encoding="utf-8"?>
<calcChain xmlns="http://schemas.openxmlformats.org/spreadsheetml/2006/main">
  <c r="G12" i="1" l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J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J67" i="1"/>
  <c r="G68" i="1"/>
  <c r="G69" i="1"/>
  <c r="C70" i="1"/>
  <c r="D70" i="1"/>
  <c r="E70" i="1"/>
  <c r="E75" i="1" s="1"/>
  <c r="E77" i="1" s="1"/>
  <c r="F70" i="1"/>
  <c r="F75" i="1" s="1"/>
  <c r="F77" i="1" s="1"/>
  <c r="I70" i="1"/>
  <c r="G72" i="1"/>
  <c r="G73" i="1" s="1"/>
  <c r="C73" i="1"/>
  <c r="D73" i="1"/>
  <c r="E73" i="1"/>
  <c r="F73" i="1"/>
  <c r="I73" i="1"/>
  <c r="D75" i="1"/>
  <c r="D77" i="1" s="1"/>
  <c r="I75" i="1"/>
  <c r="I77" i="1"/>
  <c r="G70" i="1" l="1"/>
  <c r="G75" i="1" s="1"/>
  <c r="J18" i="1"/>
  <c r="J26" i="1"/>
  <c r="J34" i="1"/>
  <c r="J42" i="1"/>
  <c r="J50" i="1"/>
  <c r="J58" i="1"/>
  <c r="J66" i="1"/>
  <c r="J12" i="1"/>
  <c r="J20" i="1"/>
  <c r="J28" i="1"/>
  <c r="J36" i="1"/>
  <c r="J44" i="1"/>
  <c r="J52" i="1"/>
  <c r="J60" i="1"/>
  <c r="J68" i="1"/>
  <c r="J17" i="1"/>
  <c r="J25" i="1"/>
  <c r="J33" i="1"/>
  <c r="J41" i="1"/>
  <c r="J49" i="1"/>
  <c r="J57" i="1"/>
  <c r="J65" i="1"/>
  <c r="J14" i="1"/>
  <c r="J22" i="1"/>
  <c r="J16" i="1"/>
  <c r="J24" i="1"/>
  <c r="J32" i="1"/>
  <c r="J40" i="1"/>
  <c r="J48" i="1"/>
  <c r="J56" i="1"/>
  <c r="J64" i="1"/>
  <c r="J72" i="1"/>
  <c r="J73" i="1" s="1"/>
  <c r="J13" i="1"/>
  <c r="J21" i="1"/>
  <c r="J29" i="1"/>
  <c r="J37" i="1"/>
  <c r="J45" i="1"/>
  <c r="J53" i="1"/>
  <c r="J61" i="1"/>
  <c r="J69" i="1"/>
  <c r="J15" i="1"/>
  <c r="J23" i="1"/>
  <c r="J31" i="1"/>
  <c r="J39" i="1"/>
  <c r="J47" i="1"/>
  <c r="J54" i="1"/>
  <c r="J43" i="1"/>
  <c r="J35" i="1"/>
  <c r="J27" i="1"/>
  <c r="C75" i="1"/>
  <c r="C77" i="1" s="1"/>
  <c r="J63" i="1"/>
  <c r="J59" i="1"/>
  <c r="J46" i="1"/>
  <c r="J38" i="1"/>
  <c r="J30" i="1"/>
  <c r="J62" i="1"/>
  <c r="J19" i="1"/>
  <c r="J55" i="1"/>
  <c r="H15" i="1" l="1"/>
  <c r="K15" i="1" s="1"/>
  <c r="L15" i="1" s="1"/>
  <c r="H23" i="1"/>
  <c r="K23" i="1" s="1"/>
  <c r="L23" i="1" s="1"/>
  <c r="H31" i="1"/>
  <c r="K31" i="1" s="1"/>
  <c r="L31" i="1" s="1"/>
  <c r="H39" i="1"/>
  <c r="K39" i="1" s="1"/>
  <c r="L39" i="1" s="1"/>
  <c r="H47" i="1"/>
  <c r="K47" i="1" s="1"/>
  <c r="L47" i="1" s="1"/>
  <c r="H55" i="1"/>
  <c r="K55" i="1" s="1"/>
  <c r="L55" i="1" s="1"/>
  <c r="H63" i="1"/>
  <c r="K63" i="1" s="1"/>
  <c r="L63" i="1" s="1"/>
  <c r="H17" i="1"/>
  <c r="K17" i="1" s="1"/>
  <c r="L17" i="1" s="1"/>
  <c r="H25" i="1"/>
  <c r="K25" i="1" s="1"/>
  <c r="L25" i="1" s="1"/>
  <c r="H33" i="1"/>
  <c r="K33" i="1" s="1"/>
  <c r="L33" i="1" s="1"/>
  <c r="H41" i="1"/>
  <c r="K41" i="1" s="1"/>
  <c r="L41" i="1" s="1"/>
  <c r="H49" i="1"/>
  <c r="K49" i="1" s="1"/>
  <c r="L49" i="1" s="1"/>
  <c r="H57" i="1"/>
  <c r="K57" i="1" s="1"/>
  <c r="L57" i="1" s="1"/>
  <c r="H65" i="1"/>
  <c r="K65" i="1" s="1"/>
  <c r="L65" i="1" s="1"/>
  <c r="H14" i="1"/>
  <c r="K14" i="1" s="1"/>
  <c r="L14" i="1" s="1"/>
  <c r="H22" i="1"/>
  <c r="K22" i="1" s="1"/>
  <c r="L22" i="1" s="1"/>
  <c r="H30" i="1"/>
  <c r="K30" i="1" s="1"/>
  <c r="L30" i="1" s="1"/>
  <c r="H38" i="1"/>
  <c r="K38" i="1" s="1"/>
  <c r="L38" i="1" s="1"/>
  <c r="H46" i="1"/>
  <c r="K46" i="1" s="1"/>
  <c r="L46" i="1" s="1"/>
  <c r="H54" i="1"/>
  <c r="K54" i="1" s="1"/>
  <c r="L54" i="1" s="1"/>
  <c r="H62" i="1"/>
  <c r="K62" i="1" s="1"/>
  <c r="L62" i="1" s="1"/>
  <c r="H19" i="1"/>
  <c r="K19" i="1" s="1"/>
  <c r="L19" i="1" s="1"/>
  <c r="H27" i="1"/>
  <c r="K27" i="1" s="1"/>
  <c r="L27" i="1" s="1"/>
  <c r="H13" i="1"/>
  <c r="K13" i="1" s="1"/>
  <c r="L13" i="1" s="1"/>
  <c r="H21" i="1"/>
  <c r="K21" i="1" s="1"/>
  <c r="L21" i="1" s="1"/>
  <c r="H29" i="1"/>
  <c r="K29" i="1" s="1"/>
  <c r="L29" i="1" s="1"/>
  <c r="H37" i="1"/>
  <c r="K37" i="1" s="1"/>
  <c r="L37" i="1" s="1"/>
  <c r="H45" i="1"/>
  <c r="K45" i="1" s="1"/>
  <c r="L45" i="1" s="1"/>
  <c r="H53" i="1"/>
  <c r="K53" i="1" s="1"/>
  <c r="L53" i="1" s="1"/>
  <c r="H61" i="1"/>
  <c r="K61" i="1" s="1"/>
  <c r="L61" i="1" s="1"/>
  <c r="H69" i="1"/>
  <c r="K69" i="1" s="1"/>
  <c r="L69" i="1" s="1"/>
  <c r="H18" i="1"/>
  <c r="K18" i="1" s="1"/>
  <c r="L18" i="1" s="1"/>
  <c r="H26" i="1"/>
  <c r="K26" i="1" s="1"/>
  <c r="L26" i="1" s="1"/>
  <c r="H34" i="1"/>
  <c r="K34" i="1" s="1"/>
  <c r="L34" i="1" s="1"/>
  <c r="H42" i="1"/>
  <c r="K42" i="1" s="1"/>
  <c r="L42" i="1" s="1"/>
  <c r="H50" i="1"/>
  <c r="K50" i="1" s="1"/>
  <c r="L50" i="1" s="1"/>
  <c r="H58" i="1"/>
  <c r="K58" i="1" s="1"/>
  <c r="L58" i="1" s="1"/>
  <c r="H66" i="1"/>
  <c r="K66" i="1" s="1"/>
  <c r="L66" i="1" s="1"/>
  <c r="H12" i="1"/>
  <c r="H20" i="1"/>
  <c r="K20" i="1" s="1"/>
  <c r="L20" i="1" s="1"/>
  <c r="H28" i="1"/>
  <c r="K28" i="1" s="1"/>
  <c r="L28" i="1" s="1"/>
  <c r="H36" i="1"/>
  <c r="K36" i="1" s="1"/>
  <c r="L36" i="1" s="1"/>
  <c r="H44" i="1"/>
  <c r="K44" i="1" s="1"/>
  <c r="L44" i="1" s="1"/>
  <c r="H24" i="1"/>
  <c r="K24" i="1" s="1"/>
  <c r="L24" i="1" s="1"/>
  <c r="H52" i="1"/>
  <c r="K52" i="1" s="1"/>
  <c r="L52" i="1" s="1"/>
  <c r="H68" i="1"/>
  <c r="K68" i="1" s="1"/>
  <c r="L68" i="1" s="1"/>
  <c r="H59" i="1"/>
  <c r="K59" i="1" s="1"/>
  <c r="L59" i="1" s="1"/>
  <c r="H56" i="1"/>
  <c r="K56" i="1" s="1"/>
  <c r="L56" i="1" s="1"/>
  <c r="H72" i="1"/>
  <c r="H64" i="1"/>
  <c r="K64" i="1" s="1"/>
  <c r="L64" i="1" s="1"/>
  <c r="H16" i="1"/>
  <c r="K16" i="1" s="1"/>
  <c r="L16" i="1" s="1"/>
  <c r="H35" i="1"/>
  <c r="K35" i="1" s="1"/>
  <c r="L35" i="1" s="1"/>
  <c r="H43" i="1"/>
  <c r="K43" i="1" s="1"/>
  <c r="L43" i="1" s="1"/>
  <c r="H60" i="1"/>
  <c r="K60" i="1" s="1"/>
  <c r="L60" i="1" s="1"/>
  <c r="H51" i="1"/>
  <c r="K51" i="1" s="1"/>
  <c r="L51" i="1" s="1"/>
  <c r="H67" i="1"/>
  <c r="K67" i="1" s="1"/>
  <c r="L67" i="1" s="1"/>
  <c r="H32" i="1"/>
  <c r="K32" i="1" s="1"/>
  <c r="L32" i="1" s="1"/>
  <c r="H40" i="1"/>
  <c r="K40" i="1" s="1"/>
  <c r="L40" i="1" s="1"/>
  <c r="H48" i="1"/>
  <c r="K48" i="1" s="1"/>
  <c r="L48" i="1" s="1"/>
  <c r="J70" i="1"/>
  <c r="J75" i="1" s="1"/>
  <c r="J77" i="1" s="1"/>
  <c r="K12" i="1" l="1"/>
  <c r="H70" i="1"/>
  <c r="H75" i="1" s="1"/>
  <c r="H77" i="1" s="1"/>
  <c r="H73" i="1"/>
  <c r="K72" i="1"/>
  <c r="K70" i="1" l="1"/>
  <c r="K75" i="1" s="1"/>
  <c r="K77" i="1" s="1"/>
  <c r="L12" i="1"/>
  <c r="L70" i="1" s="1"/>
  <c r="L75" i="1" s="1"/>
  <c r="L77" i="1" s="1"/>
  <c r="L72" i="1"/>
  <c r="L73" i="1" s="1"/>
  <c r="K73" i="1"/>
</calcChain>
</file>

<file path=xl/sharedStrings.xml><?xml version="1.0" encoding="utf-8"?>
<sst xmlns="http://schemas.openxmlformats.org/spreadsheetml/2006/main" count="180" uniqueCount="172">
  <si>
    <t xml:space="preserve">     GRAND TOTAL</t>
  </si>
  <si>
    <t xml:space="preserve">     Total State Operated Programs</t>
  </si>
  <si>
    <t>Colorado School for the Deaf and the Blind</t>
  </si>
  <si>
    <t>66050</t>
  </si>
  <si>
    <t>STATE OPERATED PROGRAMS</t>
  </si>
  <si>
    <t xml:space="preserve">     Total Administrative Units</t>
  </si>
  <si>
    <t>Charter School Institute</t>
  </si>
  <si>
    <t>80010</t>
  </si>
  <si>
    <t>Ute Pass BOCES, Woodland Park</t>
  </si>
  <si>
    <t>64205</t>
  </si>
  <si>
    <t>Uncompahgre BOCS, Telluride</t>
  </si>
  <si>
    <t>64200</t>
  </si>
  <si>
    <t>Southeastern BOCES, Lamar</t>
  </si>
  <si>
    <t>64193</t>
  </si>
  <si>
    <t>South Central BOCS, Pueblo</t>
  </si>
  <si>
    <t>64163</t>
  </si>
  <si>
    <t>Santa Fe Trail BOCES, La Junta</t>
  </si>
  <si>
    <t>64160</t>
  </si>
  <si>
    <t>San Luis Valley BOCS, Alamosa</t>
  </si>
  <si>
    <t>64153</t>
  </si>
  <si>
    <t>San Juan BOCS, Durango</t>
  </si>
  <si>
    <t>64143</t>
  </si>
  <si>
    <t>Rio Blanco BOCS, Rangely</t>
  </si>
  <si>
    <t>64213</t>
  </si>
  <si>
    <t>Pikes Peak BOCS, Colorado Springs</t>
  </si>
  <si>
    <t>64133</t>
  </si>
  <si>
    <t>Northwest Colorado BOCES, Steamboat Springs</t>
  </si>
  <si>
    <t>64123</t>
  </si>
  <si>
    <t>Northeast Colorado BOCES, Haxtun</t>
  </si>
  <si>
    <t>64103</t>
  </si>
  <si>
    <t>Mount Evans BOCS, Idaho Springs</t>
  </si>
  <si>
    <t>64053</t>
  </si>
  <si>
    <t>Mountain BOCES, Leadville</t>
  </si>
  <si>
    <t>64093</t>
  </si>
  <si>
    <t>East Central BOCES, Limon</t>
  </si>
  <si>
    <t>64043</t>
  </si>
  <si>
    <t>Centennial BOCES, La Salle</t>
  </si>
  <si>
    <t>64203</t>
  </si>
  <si>
    <t>Weld 6, Greeley</t>
  </si>
  <si>
    <t>62060</t>
  </si>
  <si>
    <t xml:space="preserve">Weld RE-5J Johnstown-Milliken </t>
  </si>
  <si>
    <t>62050</t>
  </si>
  <si>
    <t>Weld RE-4, Windsor</t>
  </si>
  <si>
    <t>62040</t>
  </si>
  <si>
    <t>Pueblo 70, Pueblo (rural)</t>
  </si>
  <si>
    <t>51020</t>
  </si>
  <si>
    <t>Pueblo 60, Pueblo (urban)</t>
  </si>
  <si>
    <t>51010</t>
  </si>
  <si>
    <t>Morgan Re-3, Fort Morgan</t>
  </si>
  <si>
    <t>44020</t>
  </si>
  <si>
    <t>Montrose RE-1J, Montrose</t>
  </si>
  <si>
    <t>43010</t>
  </si>
  <si>
    <t>Moffat RE 1, Craig</t>
  </si>
  <si>
    <t>41010</t>
  </si>
  <si>
    <t>Mesa 51, Grand Junction</t>
  </si>
  <si>
    <t>39031</t>
  </si>
  <si>
    <t>Logan RE-1, Sterling</t>
  </si>
  <si>
    <t>38010</t>
  </si>
  <si>
    <t>Larimer R-3, Estes Park</t>
  </si>
  <si>
    <t>35030</t>
  </si>
  <si>
    <t>Larimer R-2J, Loveland</t>
  </si>
  <si>
    <t>35020</t>
  </si>
  <si>
    <t>Larimer R-1, Fort Collins</t>
  </si>
  <si>
    <t>35010</t>
  </si>
  <si>
    <t>Jefferson R-1, Lakewood</t>
  </si>
  <si>
    <t>30011</t>
  </si>
  <si>
    <t>Gunnison RE1J, Gunnison</t>
  </si>
  <si>
    <t>26011</t>
  </si>
  <si>
    <t>Fremont RE-1, Canon City</t>
  </si>
  <si>
    <t>22010</t>
  </si>
  <si>
    <t>Fort Lupton/Keenesburg</t>
  </si>
  <si>
    <t>21490</t>
  </si>
  <si>
    <t>El Paso 49, Falcon</t>
  </si>
  <si>
    <t>21090</t>
  </si>
  <si>
    <t>El Paso 38, Lewis-Palmer</t>
  </si>
  <si>
    <t>21085</t>
  </si>
  <si>
    <t>El Paso 20, Academy</t>
  </si>
  <si>
    <t>21080</t>
  </si>
  <si>
    <t>El Paso 12, Cheyenne Mountain</t>
  </si>
  <si>
    <t>21060</t>
  </si>
  <si>
    <t>El Paso 11, Colorado Springs</t>
  </si>
  <si>
    <t>21050</t>
  </si>
  <si>
    <t>El Paso 8, Fountain</t>
  </si>
  <si>
    <t>21040</t>
  </si>
  <si>
    <t>El Paso 3, Widefield</t>
  </si>
  <si>
    <t>21030</t>
  </si>
  <si>
    <t>El Paso 2, Harrison</t>
  </si>
  <si>
    <t>21020</t>
  </si>
  <si>
    <t>Elbert, Elizabeth C-1</t>
  </si>
  <si>
    <t>xxxxx</t>
  </si>
  <si>
    <t>Eagle County RE 50J</t>
  </si>
  <si>
    <t>Douglas RE 1, Castle Rock</t>
  </si>
  <si>
    <t>18010</t>
  </si>
  <si>
    <t>Denver 1, Denver</t>
  </si>
  <si>
    <t>16010</t>
  </si>
  <si>
    <t>Delta 50J, Delta</t>
  </si>
  <si>
    <t>15010</t>
  </si>
  <si>
    <t>Boulder RE2, Boulder</t>
  </si>
  <si>
    <t>07020</t>
  </si>
  <si>
    <t>Boulder RE1J, Longmont</t>
  </si>
  <si>
    <t>07010</t>
  </si>
  <si>
    <t>Adams-Arapahoe 28J, Aurora</t>
  </si>
  <si>
    <t>03060</t>
  </si>
  <si>
    <t>Arapahoe 6, Littleton</t>
  </si>
  <si>
    <t>03040</t>
  </si>
  <si>
    <t>Arapahoe 5, Cherry Creek</t>
  </si>
  <si>
    <t>03030</t>
  </si>
  <si>
    <t>Arapahoe 2, Sheridan</t>
  </si>
  <si>
    <t>03020</t>
  </si>
  <si>
    <t>Arapahoe 1, Englewood</t>
  </si>
  <si>
    <t>03010</t>
  </si>
  <si>
    <t>Adams 50, Westminster</t>
  </si>
  <si>
    <t>01070</t>
  </si>
  <si>
    <t>Adams 27J, Brighton</t>
  </si>
  <si>
    <t>01040</t>
  </si>
  <si>
    <t>Adams 14, Commerce City</t>
  </si>
  <si>
    <t>01030</t>
  </si>
  <si>
    <t>Adams 12, Northglenn</t>
  </si>
  <si>
    <t>01020</t>
  </si>
  <si>
    <t>Adams 1, Mapleton</t>
  </si>
  <si>
    <t>01010</t>
  </si>
  <si>
    <t>ADMINISTRATIVE UNITS</t>
  </si>
  <si>
    <t>(A+I)</t>
  </si>
  <si>
    <t xml:space="preserve">(F+H) </t>
  </si>
  <si>
    <t>(Total Population)</t>
  </si>
  <si>
    <t>(B+C+D)</t>
  </si>
  <si>
    <t>Eligible Facilities</t>
  </si>
  <si>
    <t>Enrollment</t>
  </si>
  <si>
    <t/>
  </si>
  <si>
    <t>2014-2015</t>
  </si>
  <si>
    <t>Remaining Funds</t>
  </si>
  <si>
    <t>in Poverty</t>
  </si>
  <si>
    <t>Count</t>
  </si>
  <si>
    <t>Students in</t>
  </si>
  <si>
    <t>School</t>
  </si>
  <si>
    <t>Funds for</t>
  </si>
  <si>
    <t>Allocation of</t>
  </si>
  <si>
    <t>Children Living</t>
  </si>
  <si>
    <t>Low Income</t>
  </si>
  <si>
    <t>Relative</t>
  </si>
  <si>
    <t>Private School</t>
  </si>
  <si>
    <t>Count of</t>
  </si>
  <si>
    <t>Non-Public</t>
  </si>
  <si>
    <t>Public</t>
  </si>
  <si>
    <t>Allocation</t>
  </si>
  <si>
    <t>IDEA Preschool</t>
  </si>
  <si>
    <t>Total</t>
  </si>
  <si>
    <t>Allocation for</t>
  </si>
  <si>
    <t>Total Public and</t>
  </si>
  <si>
    <t>2013(Oct Ct)</t>
  </si>
  <si>
    <t>Base</t>
  </si>
  <si>
    <t>Children Living in Poverty</t>
  </si>
  <si>
    <t>K-12 Public and Private School Enrollment</t>
  </si>
  <si>
    <t>Adjusted</t>
  </si>
  <si>
    <t>Total Formula</t>
  </si>
  <si>
    <t>Through Funds Based on</t>
  </si>
  <si>
    <t>Based on</t>
  </si>
  <si>
    <t>FY15</t>
  </si>
  <si>
    <t>Allocation of Remaining Flow</t>
  </si>
  <si>
    <t>Allocation of Remaining Flow Through Funds</t>
  </si>
  <si>
    <t>J</t>
  </si>
  <si>
    <t>I</t>
  </si>
  <si>
    <t>H</t>
  </si>
  <si>
    <t>G</t>
  </si>
  <si>
    <t>F</t>
  </si>
  <si>
    <t>E</t>
  </si>
  <si>
    <t>D</t>
  </si>
  <si>
    <t>C</t>
  </si>
  <si>
    <t>B</t>
  </si>
  <si>
    <t>A</t>
  </si>
  <si>
    <t>Allocation Period:  7/1/14 - 9/30/16</t>
  </si>
  <si>
    <t>IDEA Preschool - Preliminary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</si>
</sst>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theme="1"/>
      </top>
      <bottom style="thin">
        <color indexed="8"/>
      </bottom>
      <diagonal/>
    </border>
    <border>
      <left style="thin">
        <color indexed="8"/>
      </left>
      <right/>
      <top style="thin">
        <color theme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</cellStyleXfs>
  <cellXfs count="77">
    <xf numFmtId="0" fontId="0" fillId="0" borderId="0" xfId="0"/>
    <xf numFmtId="164" fontId="2" fillId="0" borderId="0" xfId="2" applyNumberFormat="1"/>
    <xf numFmtId="0" fontId="2" fillId="0" borderId="0" xfId="2"/>
    <xf numFmtId="164" fontId="2" fillId="0" borderId="0" xfId="3" applyNumberFormat="1" applyFont="1"/>
    <xf numFmtId="3" fontId="2" fillId="0" borderId="0" xfId="2" applyNumberFormat="1"/>
    <xf numFmtId="2" fontId="2" fillId="0" borderId="0" xfId="2" applyNumberFormat="1"/>
    <xf numFmtId="165" fontId="4" fillId="0" borderId="1" xfId="2" applyNumberFormat="1" applyFont="1" applyBorder="1" applyProtection="1"/>
    <xf numFmtId="165" fontId="4" fillId="0" borderId="2" xfId="1" applyNumberFormat="1" applyFont="1" applyBorder="1" applyProtection="1"/>
    <xf numFmtId="37" fontId="4" fillId="0" borderId="1" xfId="2" applyNumberFormat="1" applyFont="1" applyBorder="1" applyProtection="1"/>
    <xf numFmtId="37" fontId="4" fillId="0" borderId="3" xfId="2" applyNumberFormat="1" applyFont="1" applyBorder="1" applyProtection="1"/>
    <xf numFmtId="0" fontId="4" fillId="0" borderId="4" xfId="2" applyFont="1" applyBorder="1" applyProtection="1"/>
    <xf numFmtId="0" fontId="2" fillId="0" borderId="2" xfId="2" applyBorder="1"/>
    <xf numFmtId="164" fontId="2" fillId="0" borderId="5" xfId="2" applyNumberFormat="1" applyBorder="1" applyProtection="1"/>
    <xf numFmtId="0" fontId="2" fillId="0" borderId="5" xfId="2" applyBorder="1" applyProtection="1"/>
    <xf numFmtId="37" fontId="2" fillId="0" borderId="5" xfId="2" applyNumberFormat="1" applyBorder="1" applyProtection="1"/>
    <xf numFmtId="0" fontId="4" fillId="0" borderId="5" xfId="2" applyFont="1" applyBorder="1" applyProtection="1"/>
    <xf numFmtId="0" fontId="2" fillId="0" borderId="6" xfId="2" applyBorder="1"/>
    <xf numFmtId="165" fontId="4" fillId="0" borderId="7" xfId="1" applyNumberFormat="1" applyFont="1" applyFill="1" applyBorder="1" applyProtection="1"/>
    <xf numFmtId="165" fontId="4" fillId="0" borderId="7" xfId="1" applyNumberFormat="1" applyFont="1" applyBorder="1" applyProtection="1"/>
    <xf numFmtId="37" fontId="4" fillId="0" borderId="8" xfId="2" applyNumberFormat="1" applyFont="1" applyBorder="1" applyProtection="1"/>
    <xf numFmtId="37" fontId="4" fillId="0" borderId="9" xfId="2" applyNumberFormat="1" applyFont="1" applyBorder="1" applyProtection="1"/>
    <xf numFmtId="37" fontId="4" fillId="0" borderId="10" xfId="2" applyNumberFormat="1" applyFont="1" applyBorder="1" applyProtection="1"/>
    <xf numFmtId="0" fontId="4" fillId="0" borderId="10" xfId="2" applyFont="1" applyBorder="1" applyProtection="1"/>
    <xf numFmtId="165" fontId="2" fillId="0" borderId="5" xfId="1" applyNumberFormat="1" applyFont="1" applyFill="1" applyBorder="1" applyProtection="1"/>
    <xf numFmtId="165" fontId="2" fillId="0" borderId="5" xfId="1" applyNumberFormat="1" applyFont="1" applyBorder="1" applyProtection="1"/>
    <xf numFmtId="37" fontId="2" fillId="0" borderId="5" xfId="2" applyNumberFormat="1" applyFill="1" applyBorder="1" applyProtection="1"/>
    <xf numFmtId="0" fontId="2" fillId="0" borderId="5" xfId="2" applyFill="1" applyBorder="1" applyProtection="1"/>
    <xf numFmtId="165" fontId="4" fillId="0" borderId="11" xfId="2" applyNumberFormat="1" applyFont="1" applyFill="1" applyBorder="1" applyProtection="1"/>
    <xf numFmtId="37" fontId="4" fillId="0" borderId="12" xfId="2" applyNumberFormat="1" applyFont="1" applyFill="1" applyBorder="1" applyProtection="1"/>
    <xf numFmtId="165" fontId="4" fillId="0" borderId="8" xfId="2" applyNumberFormat="1" applyFont="1" applyFill="1" applyBorder="1" applyProtection="1"/>
    <xf numFmtId="37" fontId="4" fillId="0" borderId="7" xfId="2" applyNumberFormat="1" applyFont="1" applyFill="1" applyBorder="1" applyProtection="1"/>
    <xf numFmtId="37" fontId="4" fillId="0" borderId="13" xfId="2" applyNumberFormat="1" applyFont="1" applyFill="1" applyBorder="1" applyProtection="1"/>
    <xf numFmtId="37" fontId="4" fillId="0" borderId="8" xfId="2" applyNumberFormat="1" applyFont="1" applyFill="1" applyBorder="1" applyProtection="1"/>
    <xf numFmtId="165" fontId="2" fillId="0" borderId="5" xfId="2" applyNumberFormat="1" applyFill="1" applyBorder="1" applyProtection="1"/>
    <xf numFmtId="3" fontId="2" fillId="0" borderId="14" xfId="2" applyNumberFormat="1" applyFill="1" applyBorder="1"/>
    <xf numFmtId="165" fontId="2" fillId="0" borderId="5" xfId="4" applyNumberFormat="1" applyFont="1" applyFill="1" applyBorder="1" applyProtection="1"/>
    <xf numFmtId="0" fontId="2" fillId="0" borderId="1" xfId="2" applyBorder="1" applyProtection="1"/>
    <xf numFmtId="0" fontId="2" fillId="0" borderId="6" xfId="2" applyFill="1" applyBorder="1"/>
    <xf numFmtId="0" fontId="0" fillId="0" borderId="0" xfId="0" applyFill="1"/>
    <xf numFmtId="0" fontId="2" fillId="0" borderId="6" xfId="2" quotePrefix="1" applyFill="1" applyBorder="1"/>
    <xf numFmtId="0" fontId="2" fillId="0" borderId="6" xfId="2" applyBorder="1" applyAlignment="1">
      <alignment horizontal="left"/>
    </xf>
    <xf numFmtId="0" fontId="2" fillId="0" borderId="6" xfId="2" quotePrefix="1" applyBorder="1"/>
    <xf numFmtId="0" fontId="2" fillId="0" borderId="1" xfId="2" applyBorder="1" applyAlignment="1" applyProtection="1">
      <alignment horizontal="center"/>
    </xf>
    <xf numFmtId="0" fontId="2" fillId="0" borderId="15" xfId="2" applyBorder="1" applyAlignment="1" applyProtection="1">
      <alignment horizontal="center"/>
    </xf>
    <xf numFmtId="0" fontId="5" fillId="0" borderId="4" xfId="2" applyFont="1" applyBorder="1" applyAlignment="1" applyProtection="1">
      <alignment horizontal="center" wrapText="1"/>
    </xf>
    <xf numFmtId="0" fontId="4" fillId="0" borderId="1" xfId="2" applyFont="1" applyBorder="1" applyProtection="1"/>
    <xf numFmtId="0" fontId="2" fillId="0" borderId="2" xfId="2" quotePrefix="1" applyBorder="1"/>
    <xf numFmtId="0" fontId="2" fillId="0" borderId="5" xfId="2" applyBorder="1" applyAlignment="1" applyProtection="1">
      <alignment horizontal="center"/>
    </xf>
    <xf numFmtId="0" fontId="2" fillId="0" borderId="14" xfId="2" applyBorder="1" applyAlignment="1" applyProtection="1">
      <alignment horizontal="center"/>
    </xf>
    <xf numFmtId="0" fontId="5" fillId="0" borderId="6" xfId="2" applyFont="1" applyBorder="1" applyAlignment="1" applyProtection="1">
      <alignment horizontal="center"/>
    </xf>
    <xf numFmtId="0" fontId="2" fillId="0" borderId="0" xfId="2" applyBorder="1" applyAlignment="1" applyProtection="1">
      <alignment horizontal="center"/>
    </xf>
    <xf numFmtId="0" fontId="2" fillId="0" borderId="16" xfId="2" applyBorder="1" applyAlignment="1" applyProtection="1">
      <alignment horizontal="center"/>
    </xf>
    <xf numFmtId="0" fontId="2" fillId="0" borderId="5" xfId="2" applyBorder="1" applyAlignment="1" applyProtection="1">
      <alignment horizontal="centerContinuous"/>
    </xf>
    <xf numFmtId="0" fontId="2" fillId="0" borderId="1" xfId="2" applyBorder="1" applyAlignment="1" applyProtection="1">
      <alignment horizontal="center"/>
    </xf>
    <xf numFmtId="0" fontId="2" fillId="0" borderId="17" xfId="2" applyBorder="1" applyAlignment="1" applyProtection="1">
      <alignment horizontal="center"/>
    </xf>
    <xf numFmtId="0" fontId="2" fillId="0" borderId="18" xfId="2" applyBorder="1" applyAlignment="1" applyProtection="1">
      <alignment horizontal="center"/>
    </xf>
    <xf numFmtId="0" fontId="2" fillId="0" borderId="19" xfId="2" applyBorder="1" applyAlignment="1" applyProtection="1">
      <alignment horizontal="center"/>
    </xf>
    <xf numFmtId="0" fontId="2" fillId="0" borderId="20" xfId="2" applyBorder="1" applyAlignment="1" applyProtection="1">
      <alignment horizontal="center"/>
    </xf>
    <xf numFmtId="0" fontId="2" fillId="0" borderId="21" xfId="2" applyBorder="1" applyAlignment="1" applyProtection="1">
      <alignment horizontal="center"/>
    </xf>
    <xf numFmtId="0" fontId="2" fillId="0" borderId="5" xfId="2" applyBorder="1" applyAlignment="1" applyProtection="1">
      <alignment horizontal="center"/>
    </xf>
    <xf numFmtId="0" fontId="2" fillId="0" borderId="21" xfId="2" applyBorder="1" applyAlignment="1" applyProtection="1">
      <alignment horizontal="center"/>
    </xf>
    <xf numFmtId="0" fontId="2" fillId="0" borderId="22" xfId="2" applyBorder="1" applyAlignment="1" applyProtection="1">
      <alignment horizontal="center"/>
    </xf>
    <xf numFmtId="0" fontId="2" fillId="0" borderId="0" xfId="2" applyBorder="1" applyAlignment="1" applyProtection="1">
      <alignment horizontal="center"/>
    </xf>
    <xf numFmtId="0" fontId="2" fillId="0" borderId="23" xfId="2" applyBorder="1" applyAlignment="1" applyProtection="1">
      <alignment horizontal="center"/>
    </xf>
    <xf numFmtId="0" fontId="2" fillId="0" borderId="24" xfId="2" applyBorder="1" applyAlignment="1" applyProtection="1">
      <alignment horizontal="center"/>
    </xf>
    <xf numFmtId="0" fontId="2" fillId="0" borderId="24" xfId="2" applyBorder="1" applyAlignment="1" applyProtection="1">
      <alignment horizontal="centerContinuous"/>
    </xf>
    <xf numFmtId="0" fontId="2" fillId="0" borderId="24" xfId="2" applyBorder="1" applyAlignment="1" applyProtection="1">
      <alignment horizontal="center"/>
    </xf>
    <xf numFmtId="0" fontId="2" fillId="0" borderId="25" xfId="2" applyBorder="1" applyAlignment="1" applyProtection="1">
      <alignment horizontal="center"/>
    </xf>
    <xf numFmtId="0" fontId="2" fillId="0" borderId="26" xfId="2" applyBorder="1" applyAlignment="1" applyProtection="1">
      <alignment horizontal="center"/>
    </xf>
    <xf numFmtId="0" fontId="2" fillId="0" borderId="27" xfId="2" applyBorder="1" applyAlignment="1" applyProtection="1">
      <alignment horizontal="center"/>
    </xf>
    <xf numFmtId="0" fontId="2" fillId="0" borderId="28" xfId="2" applyBorder="1" applyAlignment="1" applyProtection="1">
      <alignment horizontal="center"/>
    </xf>
    <xf numFmtId="0" fontId="2" fillId="0" borderId="29" xfId="2" applyBorder="1" applyAlignment="1" applyProtection="1">
      <alignment horizontal="centerContinuous"/>
    </xf>
    <xf numFmtId="0" fontId="4" fillId="0" borderId="24" xfId="2" applyFont="1" applyBorder="1" applyProtection="1"/>
    <xf numFmtId="0" fontId="2" fillId="0" borderId="30" xfId="2" applyBorder="1"/>
    <xf numFmtId="0" fontId="2" fillId="0" borderId="0" xfId="2" applyAlignment="1">
      <alignment horizontal="center"/>
    </xf>
    <xf numFmtId="0" fontId="4" fillId="0" borderId="0" xfId="2" applyFont="1" applyProtection="1"/>
    <xf numFmtId="0" fontId="6" fillId="0" borderId="0" xfId="2" applyFont="1" applyProtection="1"/>
  </cellXfs>
  <cellStyles count="6">
    <cellStyle name="Comma 2" xfId="3"/>
    <cellStyle name="Currency" xfId="1" builtinId="4"/>
    <cellStyle name="Currency 2" xfId="4"/>
    <cellStyle name="Normal" xfId="0" builtinId="0"/>
    <cellStyle name="Normal 2" xfId="2"/>
    <cellStyle name="Normal 2 2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7"/>
  <sheetViews>
    <sheetView tabSelected="1" zoomScale="85" zoomScaleNormal="85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9" sqref="C9"/>
    </sheetView>
  </sheetViews>
  <sheetFormatPr defaultRowHeight="15" x14ac:dyDescent="0.25"/>
  <cols>
    <col min="1" max="1" width="7.85546875" bestFit="1" customWidth="1"/>
    <col min="2" max="2" width="53.85546875" bestFit="1" customWidth="1"/>
    <col min="3" max="3" width="15.7109375" bestFit="1" customWidth="1"/>
    <col min="4" max="4" width="28" customWidth="1"/>
    <col min="5" max="5" width="17" bestFit="1" customWidth="1"/>
    <col min="6" max="6" width="18.140625" customWidth="1"/>
    <col min="7" max="7" width="18.5703125" bestFit="1" customWidth="1"/>
    <col min="8" max="8" width="19.85546875" customWidth="1"/>
    <col min="9" max="9" width="21.42578125" customWidth="1"/>
    <col min="10" max="10" width="16.7109375" customWidth="1"/>
    <col min="11" max="11" width="20.140625" customWidth="1"/>
    <col min="12" max="12" width="27.7109375" customWidth="1"/>
    <col min="13" max="13" width="20.42578125" customWidth="1"/>
  </cols>
  <sheetData>
    <row r="1" spans="1:12" ht="18" x14ac:dyDescent="0.25">
      <c r="A1" s="2"/>
      <c r="B1" s="75" t="s">
        <v>171</v>
      </c>
      <c r="C1" s="76"/>
      <c r="D1" s="2"/>
      <c r="E1" s="2"/>
      <c r="F1" s="2"/>
      <c r="G1" s="2"/>
      <c r="H1" s="2"/>
      <c r="I1" s="2"/>
      <c r="J1" s="2"/>
      <c r="K1" s="2"/>
      <c r="L1" s="2"/>
    </row>
    <row r="2" spans="1:12" ht="18" x14ac:dyDescent="0.25">
      <c r="A2" s="2"/>
      <c r="B2" s="75" t="s">
        <v>170</v>
      </c>
      <c r="C2" s="76"/>
      <c r="D2" s="2"/>
      <c r="E2" s="2"/>
      <c r="F2" s="2"/>
      <c r="G2" s="2"/>
      <c r="H2" s="2"/>
      <c r="I2" s="2"/>
      <c r="J2" s="2"/>
      <c r="K2" s="2"/>
      <c r="L2" s="2"/>
    </row>
    <row r="3" spans="1:12" ht="15.75" x14ac:dyDescent="0.25">
      <c r="A3" s="2"/>
      <c r="B3" s="75"/>
      <c r="C3" s="74" t="s">
        <v>169</v>
      </c>
      <c r="D3" s="74" t="s">
        <v>168</v>
      </c>
      <c r="E3" s="74" t="s">
        <v>167</v>
      </c>
      <c r="F3" s="74" t="s">
        <v>166</v>
      </c>
      <c r="G3" s="74" t="s">
        <v>165</v>
      </c>
      <c r="H3" s="74" t="s">
        <v>164</v>
      </c>
      <c r="I3" s="74" t="s">
        <v>163</v>
      </c>
      <c r="J3" s="74" t="s">
        <v>162</v>
      </c>
      <c r="K3" s="74" t="s">
        <v>161</v>
      </c>
      <c r="L3" s="74" t="s">
        <v>160</v>
      </c>
    </row>
    <row r="4" spans="1:12" ht="15.75" x14ac:dyDescent="0.25">
      <c r="A4" s="73"/>
      <c r="B4" s="72"/>
      <c r="C4" s="71"/>
      <c r="D4" s="70" t="s">
        <v>159</v>
      </c>
      <c r="E4" s="69"/>
      <c r="F4" s="69"/>
      <c r="G4" s="68"/>
      <c r="H4" s="65"/>
      <c r="I4" s="67" t="s">
        <v>158</v>
      </c>
      <c r="J4" s="66"/>
      <c r="K4" s="65"/>
      <c r="L4" s="64"/>
    </row>
    <row r="5" spans="1:12" ht="15.75" x14ac:dyDescent="0.25">
      <c r="A5" s="16"/>
      <c r="B5" s="15"/>
      <c r="C5" s="50" t="s">
        <v>157</v>
      </c>
      <c r="D5" s="63" t="s">
        <v>156</v>
      </c>
      <c r="E5" s="62"/>
      <c r="F5" s="62"/>
      <c r="G5" s="61"/>
      <c r="H5" s="52"/>
      <c r="I5" s="60" t="s">
        <v>155</v>
      </c>
      <c r="J5" s="59"/>
      <c r="K5" s="52"/>
      <c r="L5" s="47" t="s">
        <v>154</v>
      </c>
    </row>
    <row r="6" spans="1:12" ht="15.75" x14ac:dyDescent="0.25">
      <c r="A6" s="16"/>
      <c r="B6" s="15"/>
      <c r="C6" s="58" t="s">
        <v>153</v>
      </c>
      <c r="D6" s="57" t="s">
        <v>152</v>
      </c>
      <c r="E6" s="56"/>
      <c r="F6" s="56"/>
      <c r="G6" s="55"/>
      <c r="H6" s="52"/>
      <c r="I6" s="54" t="s">
        <v>151</v>
      </c>
      <c r="J6" s="53"/>
      <c r="K6" s="52"/>
      <c r="L6" s="47" t="s">
        <v>136</v>
      </c>
    </row>
    <row r="7" spans="1:12" ht="15.75" x14ac:dyDescent="0.25">
      <c r="A7" s="16"/>
      <c r="B7" s="15"/>
      <c r="C7" s="50" t="s">
        <v>150</v>
      </c>
      <c r="D7" s="48" t="s">
        <v>149</v>
      </c>
      <c r="E7" s="48" t="s">
        <v>149</v>
      </c>
      <c r="F7" s="48" t="s">
        <v>149</v>
      </c>
      <c r="G7" s="47" t="s">
        <v>148</v>
      </c>
      <c r="H7" s="51" t="s">
        <v>147</v>
      </c>
      <c r="I7" s="13"/>
      <c r="J7" s="47" t="s">
        <v>147</v>
      </c>
      <c r="K7" s="47" t="s">
        <v>146</v>
      </c>
      <c r="L7" s="47" t="s">
        <v>145</v>
      </c>
    </row>
    <row r="8" spans="1:12" ht="15.75" x14ac:dyDescent="0.25">
      <c r="A8" s="16"/>
      <c r="B8" s="15"/>
      <c r="C8" s="50" t="s">
        <v>144</v>
      </c>
      <c r="D8" s="48" t="s">
        <v>143</v>
      </c>
      <c r="E8" s="47" t="s">
        <v>142</v>
      </c>
      <c r="F8" s="47" t="s">
        <v>141</v>
      </c>
      <c r="G8" s="47" t="s">
        <v>140</v>
      </c>
      <c r="H8" s="47" t="s">
        <v>139</v>
      </c>
      <c r="I8" s="47" t="s">
        <v>138</v>
      </c>
      <c r="J8" s="47" t="s">
        <v>137</v>
      </c>
      <c r="K8" s="47" t="s">
        <v>136</v>
      </c>
      <c r="L8" s="47" t="s">
        <v>135</v>
      </c>
    </row>
    <row r="9" spans="1:12" ht="15.75" x14ac:dyDescent="0.25">
      <c r="A9" s="16"/>
      <c r="B9" s="15"/>
      <c r="C9" s="49"/>
      <c r="D9" s="48" t="s">
        <v>134</v>
      </c>
      <c r="E9" s="47" t="s">
        <v>134</v>
      </c>
      <c r="F9" s="47" t="s">
        <v>133</v>
      </c>
      <c r="G9" s="47" t="s">
        <v>127</v>
      </c>
      <c r="H9" s="47" t="s">
        <v>127</v>
      </c>
      <c r="I9" s="47" t="s">
        <v>132</v>
      </c>
      <c r="J9" s="47" t="s">
        <v>131</v>
      </c>
      <c r="K9" s="47" t="s">
        <v>130</v>
      </c>
      <c r="L9" s="47" t="s">
        <v>129</v>
      </c>
    </row>
    <row r="10" spans="1:12" ht="32.25" customHeight="1" x14ac:dyDescent="0.25">
      <c r="A10" s="46" t="s">
        <v>128</v>
      </c>
      <c r="B10" s="45"/>
      <c r="C10" s="44"/>
      <c r="D10" s="43" t="s">
        <v>127</v>
      </c>
      <c r="E10" s="42" t="s">
        <v>127</v>
      </c>
      <c r="F10" s="42" t="s">
        <v>126</v>
      </c>
      <c r="G10" s="42" t="s">
        <v>125</v>
      </c>
      <c r="H10" s="42" t="s">
        <v>124</v>
      </c>
      <c r="I10" s="36"/>
      <c r="J10" s="42"/>
      <c r="K10" s="42" t="s">
        <v>123</v>
      </c>
      <c r="L10" s="42" t="s">
        <v>122</v>
      </c>
    </row>
    <row r="11" spans="1:12" ht="15.75" x14ac:dyDescent="0.25">
      <c r="A11" s="16"/>
      <c r="B11" s="15" t="s">
        <v>121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ht="15.75" x14ac:dyDescent="0.25">
      <c r="A12" s="41" t="s">
        <v>120</v>
      </c>
      <c r="B12" s="13" t="s">
        <v>119</v>
      </c>
      <c r="C12" s="24">
        <v>39810</v>
      </c>
      <c r="D12" s="34">
        <v>7983</v>
      </c>
      <c r="E12" s="34">
        <v>0</v>
      </c>
      <c r="F12" s="34">
        <v>0</v>
      </c>
      <c r="G12" s="25">
        <f>SUM(D12:F12)</f>
        <v>7983</v>
      </c>
      <c r="H12" s="35">
        <f>ROUND((H$76/G$75)*G12,0)</f>
        <v>0</v>
      </c>
      <c r="I12" s="34">
        <v>4526.1000000000004</v>
      </c>
      <c r="J12" s="33">
        <f>ROUND((J$76/I$75)*I12,0)</f>
        <v>0</v>
      </c>
      <c r="K12" s="33">
        <f>ROUND(H12+J12,0)</f>
        <v>0</v>
      </c>
      <c r="L12" s="24">
        <f>ROUND(C12+K12,0)</f>
        <v>39810</v>
      </c>
    </row>
    <row r="13" spans="1:12" ht="15.75" x14ac:dyDescent="0.25">
      <c r="A13" s="41" t="s">
        <v>118</v>
      </c>
      <c r="B13" s="13" t="s">
        <v>117</v>
      </c>
      <c r="C13" s="24">
        <v>126475</v>
      </c>
      <c r="D13" s="34">
        <v>41333</v>
      </c>
      <c r="E13" s="34">
        <v>728</v>
      </c>
      <c r="F13" s="34">
        <v>53</v>
      </c>
      <c r="G13" s="25">
        <f>SUM(D13:F13)</f>
        <v>42114</v>
      </c>
      <c r="H13" s="35">
        <f>ROUND((H$76/G$75)*G13,0)</f>
        <v>0</v>
      </c>
      <c r="I13" s="34">
        <v>13740.9</v>
      </c>
      <c r="J13" s="33">
        <f>ROUND((J$76/I$75)*I13,0)</f>
        <v>0</v>
      </c>
      <c r="K13" s="33">
        <f>ROUND(H13+J13,0)</f>
        <v>0</v>
      </c>
      <c r="L13" s="24">
        <f>ROUND(C13+K13,0)</f>
        <v>126475</v>
      </c>
    </row>
    <row r="14" spans="1:12" ht="15.75" x14ac:dyDescent="0.25">
      <c r="A14" s="16" t="s">
        <v>116</v>
      </c>
      <c r="B14" s="13" t="s">
        <v>115</v>
      </c>
      <c r="C14" s="24">
        <v>49520</v>
      </c>
      <c r="D14" s="34">
        <v>6991</v>
      </c>
      <c r="E14" s="34">
        <v>39</v>
      </c>
      <c r="F14" s="34">
        <v>11</v>
      </c>
      <c r="G14" s="25">
        <f>SUM(D14:F14)</f>
        <v>7041</v>
      </c>
      <c r="H14" s="35">
        <f>ROUND((H$76/G$75)*G14,0)</f>
        <v>0</v>
      </c>
      <c r="I14" s="34">
        <v>5346.3</v>
      </c>
      <c r="J14" s="33">
        <f>ROUND((J$76/I$75)*I14,0)</f>
        <v>0</v>
      </c>
      <c r="K14" s="33">
        <f>ROUND(H14+J14,0)</f>
        <v>0</v>
      </c>
      <c r="L14" s="24">
        <f>ROUND(C14+K14,0)</f>
        <v>49520</v>
      </c>
    </row>
    <row r="15" spans="1:12" ht="15.75" x14ac:dyDescent="0.25">
      <c r="A15" s="16" t="s">
        <v>114</v>
      </c>
      <c r="B15" s="13" t="s">
        <v>113</v>
      </c>
      <c r="C15" s="24">
        <v>31918</v>
      </c>
      <c r="D15" s="34">
        <v>16193</v>
      </c>
      <c r="E15" s="34">
        <v>123</v>
      </c>
      <c r="F15" s="34">
        <v>0</v>
      </c>
      <c r="G15" s="25">
        <f>SUM(D15:F15)</f>
        <v>16316</v>
      </c>
      <c r="H15" s="35">
        <f>ROUND((H$76/G$75)*G15,0)</f>
        <v>0</v>
      </c>
      <c r="I15" s="34">
        <v>5244.9</v>
      </c>
      <c r="J15" s="33">
        <f>ROUND((J$76/I$75)*I15,0)</f>
        <v>0</v>
      </c>
      <c r="K15" s="33">
        <f>ROUND(H15+J15,0)</f>
        <v>0</v>
      </c>
      <c r="L15" s="24">
        <f>ROUND(C15+K15,0)</f>
        <v>31918</v>
      </c>
    </row>
    <row r="16" spans="1:12" ht="15.75" x14ac:dyDescent="0.25">
      <c r="A16" s="16" t="s">
        <v>112</v>
      </c>
      <c r="B16" s="13" t="s">
        <v>111</v>
      </c>
      <c r="C16" s="24">
        <v>54860</v>
      </c>
      <c r="D16" s="34">
        <v>9597</v>
      </c>
      <c r="E16" s="34">
        <v>37</v>
      </c>
      <c r="F16" s="34">
        <v>0</v>
      </c>
      <c r="G16" s="25">
        <f>SUM(D16:F16)</f>
        <v>9634</v>
      </c>
      <c r="H16" s="35">
        <f>ROUND((H$76/G$75)*G16,0)</f>
        <v>0</v>
      </c>
      <c r="I16" s="34">
        <v>6865.3</v>
      </c>
      <c r="J16" s="33">
        <f>ROUND((J$76/I$75)*I16,0)</f>
        <v>0</v>
      </c>
      <c r="K16" s="33">
        <f>ROUND(H16+J16,0)</f>
        <v>0</v>
      </c>
      <c r="L16" s="24">
        <f>ROUND(C16+K16,0)</f>
        <v>54860</v>
      </c>
    </row>
    <row r="17" spans="1:12" ht="15.75" x14ac:dyDescent="0.25">
      <c r="A17" s="16" t="s">
        <v>110</v>
      </c>
      <c r="B17" s="13" t="s">
        <v>109</v>
      </c>
      <c r="C17" s="24">
        <v>32528</v>
      </c>
      <c r="D17" s="34">
        <v>2627</v>
      </c>
      <c r="E17" s="34">
        <v>338</v>
      </c>
      <c r="F17" s="34">
        <v>0</v>
      </c>
      <c r="G17" s="25">
        <f>SUM(D17:F17)</f>
        <v>2965</v>
      </c>
      <c r="H17" s="35">
        <f>ROUND((H$76/G$75)*G17,0)</f>
        <v>0</v>
      </c>
      <c r="I17" s="34">
        <v>1430.7</v>
      </c>
      <c r="J17" s="33">
        <f>ROUND((J$76/I$75)*I17,0)</f>
        <v>0</v>
      </c>
      <c r="K17" s="33">
        <f>ROUND(H17+J17,0)</f>
        <v>0</v>
      </c>
      <c r="L17" s="24">
        <f>ROUND(C17+K17,0)</f>
        <v>32528</v>
      </c>
    </row>
    <row r="18" spans="1:12" ht="15.75" x14ac:dyDescent="0.25">
      <c r="A18" s="16" t="s">
        <v>108</v>
      </c>
      <c r="B18" s="13" t="s">
        <v>107</v>
      </c>
      <c r="C18" s="24">
        <v>12623</v>
      </c>
      <c r="D18" s="34">
        <v>1421</v>
      </c>
      <c r="E18" s="34">
        <v>0</v>
      </c>
      <c r="F18" s="34">
        <v>0</v>
      </c>
      <c r="G18" s="25">
        <f>SUM(D18:F18)</f>
        <v>1421</v>
      </c>
      <c r="H18" s="35">
        <f>ROUND((H$76/G$75)*G18,0)</f>
        <v>0</v>
      </c>
      <c r="I18" s="34">
        <v>1188.3</v>
      </c>
      <c r="J18" s="33">
        <f>ROUND((J$76/I$75)*I18,0)</f>
        <v>0</v>
      </c>
      <c r="K18" s="33">
        <f>ROUND(H18+J18,0)</f>
        <v>0</v>
      </c>
      <c r="L18" s="24">
        <f>ROUND(C18+K18,0)</f>
        <v>12623</v>
      </c>
    </row>
    <row r="19" spans="1:12" ht="15.75" x14ac:dyDescent="0.25">
      <c r="A19" s="16" t="s">
        <v>106</v>
      </c>
      <c r="B19" s="13" t="s">
        <v>105</v>
      </c>
      <c r="C19" s="24">
        <v>141763</v>
      </c>
      <c r="D19" s="34">
        <v>52560</v>
      </c>
      <c r="E19" s="34">
        <v>400</v>
      </c>
      <c r="F19" s="34">
        <v>113</v>
      </c>
      <c r="G19" s="25">
        <f>SUM(D19:F19)</f>
        <v>53073</v>
      </c>
      <c r="H19" s="35">
        <f>ROUND((H$76/G$75)*G19,0)</f>
        <v>0</v>
      </c>
      <c r="I19" s="34">
        <v>11354</v>
      </c>
      <c r="J19" s="33">
        <f>ROUND((J$76/I$75)*I19,0)</f>
        <v>0</v>
      </c>
      <c r="K19" s="33">
        <f>ROUND(H19+J19,0)</f>
        <v>0</v>
      </c>
      <c r="L19" s="24">
        <f>ROUND(C19+K19,0)</f>
        <v>141763</v>
      </c>
    </row>
    <row r="20" spans="1:12" ht="15.75" x14ac:dyDescent="0.25">
      <c r="A20" s="16" t="s">
        <v>104</v>
      </c>
      <c r="B20" s="13" t="s">
        <v>103</v>
      </c>
      <c r="C20" s="24">
        <v>63599</v>
      </c>
      <c r="D20" s="34">
        <v>15166</v>
      </c>
      <c r="E20" s="34">
        <v>469</v>
      </c>
      <c r="F20" s="34">
        <v>6</v>
      </c>
      <c r="G20" s="25">
        <f>SUM(D20:F20)</f>
        <v>15641</v>
      </c>
      <c r="H20" s="35">
        <f>ROUND((H$76/G$75)*G20,0)</f>
        <v>0</v>
      </c>
      <c r="I20" s="34">
        <v>2759.2</v>
      </c>
      <c r="J20" s="33">
        <f>ROUND((J$76/I$75)*I20,0)</f>
        <v>0</v>
      </c>
      <c r="K20" s="33">
        <f>ROUND(H20+J20,0)</f>
        <v>0</v>
      </c>
      <c r="L20" s="24">
        <f>ROUND(C20+K20,0)</f>
        <v>63599</v>
      </c>
    </row>
    <row r="21" spans="1:12" ht="15.75" x14ac:dyDescent="0.25">
      <c r="A21" s="16" t="s">
        <v>102</v>
      </c>
      <c r="B21" s="13" t="s">
        <v>101</v>
      </c>
      <c r="C21" s="24">
        <v>190797</v>
      </c>
      <c r="D21" s="34">
        <v>39135</v>
      </c>
      <c r="E21" s="34">
        <v>801</v>
      </c>
      <c r="F21" s="34">
        <v>158</v>
      </c>
      <c r="G21" s="25">
        <f>SUM(D21:F21)</f>
        <v>40094</v>
      </c>
      <c r="H21" s="35">
        <f>ROUND((H$76/G$75)*G21,0)</f>
        <v>0</v>
      </c>
      <c r="I21" s="34">
        <v>24061.3</v>
      </c>
      <c r="J21" s="33">
        <f>ROUND((J$76/I$75)*I21,0)</f>
        <v>0</v>
      </c>
      <c r="K21" s="33">
        <f>ROUND(H21+J21,0)</f>
        <v>0</v>
      </c>
      <c r="L21" s="24">
        <f>ROUND(C21+K21,0)</f>
        <v>190797</v>
      </c>
    </row>
    <row r="22" spans="1:12" ht="15.75" x14ac:dyDescent="0.25">
      <c r="A22" s="16" t="s">
        <v>100</v>
      </c>
      <c r="B22" s="13" t="s">
        <v>99</v>
      </c>
      <c r="C22" s="24">
        <v>57773</v>
      </c>
      <c r="D22" s="34">
        <v>28914</v>
      </c>
      <c r="E22" s="34">
        <v>894</v>
      </c>
      <c r="F22" s="34">
        <v>18</v>
      </c>
      <c r="G22" s="25">
        <f>SUM(D22:F22)</f>
        <v>29826</v>
      </c>
      <c r="H22" s="35">
        <f>ROUND((H$76/G$75)*G22,0)</f>
        <v>0</v>
      </c>
      <c r="I22" s="34">
        <v>9358.4</v>
      </c>
      <c r="J22" s="33">
        <f>ROUND((J$76/I$75)*I22,0)</f>
        <v>0</v>
      </c>
      <c r="K22" s="33">
        <f>ROUND(H22+J22,0)</f>
        <v>0</v>
      </c>
      <c r="L22" s="24">
        <f>ROUND(C22+K22,0)</f>
        <v>57773</v>
      </c>
    </row>
    <row r="23" spans="1:12" ht="15.75" x14ac:dyDescent="0.25">
      <c r="A23" s="16" t="s">
        <v>98</v>
      </c>
      <c r="B23" s="13" t="s">
        <v>97</v>
      </c>
      <c r="C23" s="24">
        <v>112634</v>
      </c>
      <c r="D23" s="34">
        <v>29663</v>
      </c>
      <c r="E23" s="34">
        <v>1977</v>
      </c>
      <c r="F23" s="34">
        <v>15</v>
      </c>
      <c r="G23" s="25">
        <f>SUM(D23:F23)</f>
        <v>31655</v>
      </c>
      <c r="H23" s="35">
        <f>ROUND((H$76/G$75)*G23,0)</f>
        <v>0</v>
      </c>
      <c r="I23" s="34">
        <v>5146.1000000000004</v>
      </c>
      <c r="J23" s="33">
        <f>ROUND((J$76/I$75)*I23,0)</f>
        <v>0</v>
      </c>
      <c r="K23" s="33">
        <f>ROUND(H23+J23,0)</f>
        <v>0</v>
      </c>
      <c r="L23" s="24">
        <f>ROUND(C23+K23,0)</f>
        <v>112634</v>
      </c>
    </row>
    <row r="24" spans="1:12" ht="15.75" x14ac:dyDescent="0.25">
      <c r="A24" s="16" t="s">
        <v>96</v>
      </c>
      <c r="B24" s="13" t="s">
        <v>95</v>
      </c>
      <c r="C24" s="24">
        <v>43694</v>
      </c>
      <c r="D24" s="34">
        <v>4810</v>
      </c>
      <c r="E24" s="34">
        <v>8</v>
      </c>
      <c r="F24" s="34">
        <v>8</v>
      </c>
      <c r="G24" s="25">
        <f>SUM(D24:F24)</f>
        <v>4826</v>
      </c>
      <c r="H24" s="35">
        <f>ROUND((H$76/G$75)*G24,0)</f>
        <v>0</v>
      </c>
      <c r="I24" s="34">
        <v>1933.9</v>
      </c>
      <c r="J24" s="33">
        <f>ROUND((J$76/I$75)*I24,0)</f>
        <v>0</v>
      </c>
      <c r="K24" s="33">
        <f>ROUND(H24+J24,0)</f>
        <v>0</v>
      </c>
      <c r="L24" s="24">
        <f>ROUND(C24+K24,0)</f>
        <v>43694</v>
      </c>
    </row>
    <row r="25" spans="1:12" ht="15.75" x14ac:dyDescent="0.25">
      <c r="A25" s="16" t="s">
        <v>94</v>
      </c>
      <c r="B25" s="13" t="s">
        <v>93</v>
      </c>
      <c r="C25" s="24">
        <v>370917</v>
      </c>
      <c r="D25" s="34">
        <v>81418</v>
      </c>
      <c r="E25" s="34">
        <v>5020</v>
      </c>
      <c r="F25" s="34">
        <v>539</v>
      </c>
      <c r="G25" s="25">
        <f>SUM(D25:F25)</f>
        <v>86977</v>
      </c>
      <c r="H25" s="35">
        <f>ROUND((H$76/G$75)*G25,0)</f>
        <v>0</v>
      </c>
      <c r="I25" s="34">
        <v>52253.2</v>
      </c>
      <c r="J25" s="33">
        <f>ROUND((J$76/I$75)*I25,0)</f>
        <v>0</v>
      </c>
      <c r="K25" s="33">
        <f>ROUND(H25+J25,0)</f>
        <v>0</v>
      </c>
      <c r="L25" s="24">
        <f>ROUND(C25+K25,0)</f>
        <v>370917</v>
      </c>
    </row>
    <row r="26" spans="1:12" ht="15.75" x14ac:dyDescent="0.25">
      <c r="A26" s="16" t="s">
        <v>92</v>
      </c>
      <c r="B26" s="13" t="s">
        <v>91</v>
      </c>
      <c r="C26" s="24">
        <v>100982</v>
      </c>
      <c r="D26" s="34">
        <v>64421</v>
      </c>
      <c r="E26" s="34">
        <v>682</v>
      </c>
      <c r="F26" s="34">
        <v>0</v>
      </c>
      <c r="G26" s="25">
        <f>SUM(D26:F26)</f>
        <v>65103</v>
      </c>
      <c r="H26" s="35">
        <f>ROUND((H$76/G$75)*G26,0)</f>
        <v>0</v>
      </c>
      <c r="I26" s="34">
        <v>6440.6</v>
      </c>
      <c r="J26" s="33">
        <f>ROUND((J$76/I$75)*I26,0)</f>
        <v>0</v>
      </c>
      <c r="K26" s="33">
        <f>ROUND(H26+J26,0)</f>
        <v>0</v>
      </c>
      <c r="L26" s="24">
        <f>ROUND(C26+K26,0)</f>
        <v>100982</v>
      </c>
    </row>
    <row r="27" spans="1:12" ht="15.75" x14ac:dyDescent="0.25">
      <c r="A27" s="40">
        <v>19010</v>
      </c>
      <c r="B27" s="13" t="s">
        <v>90</v>
      </c>
      <c r="C27" s="24">
        <v>25033.199955133477</v>
      </c>
      <c r="D27" s="34">
        <v>6278</v>
      </c>
      <c r="E27" s="34">
        <v>1185</v>
      </c>
      <c r="F27" s="34">
        <v>0</v>
      </c>
      <c r="G27" s="25">
        <f>SUM(D27:F27)</f>
        <v>7463</v>
      </c>
      <c r="H27" s="35">
        <f>ROUND((H$76/G$75)*G27,0)</f>
        <v>0</v>
      </c>
      <c r="I27" s="34">
        <v>2119.6999999999998</v>
      </c>
      <c r="J27" s="33">
        <f>ROUND((J$76/I$75)*I27,0)</f>
        <v>0</v>
      </c>
      <c r="K27" s="33">
        <f>ROUND(H27+J27,0)</f>
        <v>0</v>
      </c>
      <c r="L27" s="24">
        <f>ROUND(C27+K27,0)</f>
        <v>25033</v>
      </c>
    </row>
    <row r="28" spans="1:12" ht="15.75" x14ac:dyDescent="0.25">
      <c r="A28" s="37" t="s">
        <v>89</v>
      </c>
      <c r="B28" s="26" t="s">
        <v>88</v>
      </c>
      <c r="C28" s="24">
        <v>17811.788990825684</v>
      </c>
      <c r="D28" s="34">
        <v>2504</v>
      </c>
      <c r="E28" s="34">
        <v>0</v>
      </c>
      <c r="F28" s="34">
        <v>0</v>
      </c>
      <c r="G28" s="25">
        <f>SUM(D28:F28)</f>
        <v>2504</v>
      </c>
      <c r="H28" s="35">
        <f>ROUND((H$76/G$75)*G28,0)</f>
        <v>0</v>
      </c>
      <c r="I28" s="34">
        <v>376.5</v>
      </c>
      <c r="J28" s="33">
        <f>ROUND((J$76/I$75)*I28,0)</f>
        <v>0</v>
      </c>
      <c r="K28" s="33">
        <f>ROUND(H28+J28,0)</f>
        <v>0</v>
      </c>
      <c r="L28" s="24">
        <f>ROUND(C28+K28,0)</f>
        <v>17812</v>
      </c>
    </row>
    <row r="29" spans="1:12" ht="15.75" x14ac:dyDescent="0.25">
      <c r="A29" s="37" t="s">
        <v>87</v>
      </c>
      <c r="B29" s="26" t="s">
        <v>86</v>
      </c>
      <c r="C29" s="24">
        <v>83504</v>
      </c>
      <c r="D29" s="34">
        <v>11179</v>
      </c>
      <c r="E29" s="34">
        <v>80</v>
      </c>
      <c r="F29" s="34">
        <v>12</v>
      </c>
      <c r="G29" s="25">
        <f>SUM(D29:F29)</f>
        <v>11271</v>
      </c>
      <c r="H29" s="35">
        <f>ROUND((H$76/G$75)*G29,0)</f>
        <v>0</v>
      </c>
      <c r="I29" s="34">
        <v>6924.6</v>
      </c>
      <c r="J29" s="33">
        <f>ROUND((J$76/I$75)*I29,0)</f>
        <v>0</v>
      </c>
      <c r="K29" s="33">
        <f>ROUND(H29+J29,0)</f>
        <v>0</v>
      </c>
      <c r="L29" s="24">
        <f>ROUND(C29+K29,0)</f>
        <v>83504</v>
      </c>
    </row>
    <row r="30" spans="1:12" ht="15.75" x14ac:dyDescent="0.25">
      <c r="A30" s="16" t="s">
        <v>85</v>
      </c>
      <c r="B30" s="13" t="s">
        <v>84</v>
      </c>
      <c r="C30" s="24">
        <v>72338</v>
      </c>
      <c r="D30" s="34">
        <v>8904</v>
      </c>
      <c r="E30" s="34">
        <v>0</v>
      </c>
      <c r="F30" s="34">
        <v>0</v>
      </c>
      <c r="G30" s="25">
        <f>SUM(D30:F30)</f>
        <v>8904</v>
      </c>
      <c r="H30" s="35">
        <f>ROUND((H$76/G$75)*G30,0)</f>
        <v>0</v>
      </c>
      <c r="I30" s="34">
        <v>2700.4</v>
      </c>
      <c r="J30" s="33">
        <f>ROUND((J$76/I$75)*I30,0)</f>
        <v>0</v>
      </c>
      <c r="K30" s="33">
        <f>ROUND(H30+J30,0)</f>
        <v>0</v>
      </c>
      <c r="L30" s="24">
        <f>ROUND(C30+K30,0)</f>
        <v>72338</v>
      </c>
    </row>
    <row r="31" spans="1:12" ht="15.75" x14ac:dyDescent="0.25">
      <c r="A31" s="16" t="s">
        <v>83</v>
      </c>
      <c r="B31" s="13" t="s">
        <v>82</v>
      </c>
      <c r="C31" s="24">
        <v>55346</v>
      </c>
      <c r="D31" s="34">
        <v>7717</v>
      </c>
      <c r="E31" s="34">
        <v>0</v>
      </c>
      <c r="F31" s="34">
        <v>0</v>
      </c>
      <c r="G31" s="25">
        <f>SUM(D31:F31)</f>
        <v>7717</v>
      </c>
      <c r="H31" s="35">
        <f>ROUND((H$76/G$75)*G31,0)</f>
        <v>0</v>
      </c>
      <c r="I31" s="34">
        <v>2524</v>
      </c>
      <c r="J31" s="33">
        <f>ROUND((J$76/I$75)*I31,0)</f>
        <v>0</v>
      </c>
      <c r="K31" s="33">
        <f>ROUND(H31+J31,0)</f>
        <v>0</v>
      </c>
      <c r="L31" s="24">
        <f>ROUND(C31+K31,0)</f>
        <v>55346</v>
      </c>
    </row>
    <row r="32" spans="1:12" ht="15.75" x14ac:dyDescent="0.25">
      <c r="A32" s="16" t="s">
        <v>81</v>
      </c>
      <c r="B32" s="13" t="s">
        <v>80</v>
      </c>
      <c r="C32" s="24">
        <v>146133</v>
      </c>
      <c r="D32" s="34">
        <v>27714</v>
      </c>
      <c r="E32" s="34">
        <v>6228</v>
      </c>
      <c r="F32" s="34">
        <v>62</v>
      </c>
      <c r="G32" s="25">
        <f>SUM(D32:F32)</f>
        <v>34004</v>
      </c>
      <c r="H32" s="35">
        <f>ROUND((H$76/G$75)*G32,0)</f>
        <v>0</v>
      </c>
      <c r="I32" s="34">
        <v>13900.9</v>
      </c>
      <c r="J32" s="33">
        <f>ROUND((J$76/I$75)*I32,0)</f>
        <v>0</v>
      </c>
      <c r="K32" s="33">
        <f>ROUND(H32+J32,0)</f>
        <v>0</v>
      </c>
      <c r="L32" s="24">
        <f>ROUND(C32+K32,0)</f>
        <v>146133</v>
      </c>
    </row>
    <row r="33" spans="1:12" ht="15.75" x14ac:dyDescent="0.25">
      <c r="A33" s="16" t="s">
        <v>79</v>
      </c>
      <c r="B33" s="13" t="s">
        <v>78</v>
      </c>
      <c r="C33" s="24">
        <v>8686</v>
      </c>
      <c r="D33" s="34">
        <v>4978</v>
      </c>
      <c r="E33" s="34">
        <v>280</v>
      </c>
      <c r="F33" s="34">
        <v>0</v>
      </c>
      <c r="G33" s="25">
        <f>SUM(D33:F33)</f>
        <v>5258</v>
      </c>
      <c r="H33" s="35">
        <f>ROUND((H$76/G$75)*G33,0)</f>
        <v>0</v>
      </c>
      <c r="I33" s="34">
        <v>648.5</v>
      </c>
      <c r="J33" s="33">
        <f>ROUND((J$76/I$75)*I33,0)</f>
        <v>0</v>
      </c>
      <c r="K33" s="33">
        <f>ROUND(H33+J33,0)</f>
        <v>0</v>
      </c>
      <c r="L33" s="24">
        <f>ROUND(C33+K33,0)</f>
        <v>8686</v>
      </c>
    </row>
    <row r="34" spans="1:12" ht="15.75" x14ac:dyDescent="0.25">
      <c r="A34" s="16" t="s">
        <v>77</v>
      </c>
      <c r="B34" s="13" t="s">
        <v>76</v>
      </c>
      <c r="C34" s="24">
        <v>54860</v>
      </c>
      <c r="D34" s="34">
        <v>24130</v>
      </c>
      <c r="E34" s="34">
        <v>470</v>
      </c>
      <c r="F34" s="34">
        <v>0</v>
      </c>
      <c r="G34" s="25">
        <f>SUM(D34:F34)</f>
        <v>24600</v>
      </c>
      <c r="H34" s="35">
        <f>ROUND((H$76/G$75)*G34,0)</f>
        <v>0</v>
      </c>
      <c r="I34" s="34">
        <v>2471.1999999999998</v>
      </c>
      <c r="J34" s="33">
        <f>ROUND((J$76/I$75)*I34,0)</f>
        <v>0</v>
      </c>
      <c r="K34" s="33">
        <f>ROUND(H34+J34,0)</f>
        <v>0</v>
      </c>
      <c r="L34" s="24">
        <f>ROUND(C34+K34,0)</f>
        <v>54860</v>
      </c>
    </row>
    <row r="35" spans="1:12" ht="15.75" x14ac:dyDescent="0.25">
      <c r="A35" s="16" t="s">
        <v>75</v>
      </c>
      <c r="B35" s="13" t="s">
        <v>74</v>
      </c>
      <c r="C35" s="24">
        <v>15969</v>
      </c>
      <c r="D35" s="34">
        <v>6039</v>
      </c>
      <c r="E35" s="34">
        <v>4</v>
      </c>
      <c r="F35" s="34">
        <v>0</v>
      </c>
      <c r="G35" s="25">
        <f>SUM(D35:F35)</f>
        <v>6043</v>
      </c>
      <c r="H35" s="35">
        <f>ROUND((H$76/G$75)*G35,0)</f>
        <v>0</v>
      </c>
      <c r="I35" s="34">
        <v>467.8</v>
      </c>
      <c r="J35" s="33">
        <f>ROUND((J$76/I$75)*I35,0)</f>
        <v>0</v>
      </c>
      <c r="K35" s="33">
        <f>ROUND(H35+J35,0)</f>
        <v>0</v>
      </c>
      <c r="L35" s="24">
        <f>ROUND(C35+K35,0)</f>
        <v>15969</v>
      </c>
    </row>
    <row r="36" spans="1:12" ht="15.75" x14ac:dyDescent="0.25">
      <c r="A36" s="16" t="s">
        <v>73</v>
      </c>
      <c r="B36" s="13" t="s">
        <v>72</v>
      </c>
      <c r="C36" s="24">
        <v>26702</v>
      </c>
      <c r="D36" s="34">
        <v>18938</v>
      </c>
      <c r="E36" s="34">
        <v>0</v>
      </c>
      <c r="F36" s="34">
        <v>0</v>
      </c>
      <c r="G36" s="25">
        <f>SUM(D36:F36)</f>
        <v>18938</v>
      </c>
      <c r="H36" s="35">
        <f>ROUND((H$76/G$75)*G36,0)</f>
        <v>0</v>
      </c>
      <c r="I36" s="34">
        <v>4391.5</v>
      </c>
      <c r="J36" s="33">
        <f>ROUND((J$76/I$75)*I36,0)</f>
        <v>0</v>
      </c>
      <c r="K36" s="33">
        <f>ROUND(H36+J36,0)</f>
        <v>0</v>
      </c>
      <c r="L36" s="24">
        <f>ROUND(C36+K36,0)</f>
        <v>26702</v>
      </c>
    </row>
    <row r="37" spans="1:12" ht="15.75" x14ac:dyDescent="0.25">
      <c r="A37" s="16" t="s">
        <v>71</v>
      </c>
      <c r="B37" s="13" t="s">
        <v>70</v>
      </c>
      <c r="C37" s="24">
        <v>21847</v>
      </c>
      <c r="D37" s="34">
        <v>4429</v>
      </c>
      <c r="E37" s="34">
        <v>0</v>
      </c>
      <c r="F37" s="34">
        <v>0</v>
      </c>
      <c r="G37" s="25">
        <f>SUM(D37:F37)</f>
        <v>4429</v>
      </c>
      <c r="H37" s="35">
        <f>ROUND((H$76/G$75)*G37,0)</f>
        <v>0</v>
      </c>
      <c r="I37" s="34">
        <v>2190.8000000000002</v>
      </c>
      <c r="J37" s="33">
        <f>ROUND((J$76/I$75)*I37,0)</f>
        <v>0</v>
      </c>
      <c r="K37" s="33">
        <f>ROUND(H37+J37,0)</f>
        <v>0</v>
      </c>
      <c r="L37" s="24">
        <f>ROUND(C37+K37,0)</f>
        <v>21847</v>
      </c>
    </row>
    <row r="38" spans="1:12" ht="15.75" x14ac:dyDescent="0.25">
      <c r="A38" s="16" t="s">
        <v>69</v>
      </c>
      <c r="B38" s="13" t="s">
        <v>68</v>
      </c>
      <c r="C38" s="24">
        <v>43694</v>
      </c>
      <c r="D38" s="34">
        <v>3650</v>
      </c>
      <c r="E38" s="34">
        <v>1220</v>
      </c>
      <c r="F38" s="34">
        <v>50</v>
      </c>
      <c r="G38" s="25">
        <f>SUM(D38:F38)</f>
        <v>4920</v>
      </c>
      <c r="H38" s="35">
        <f>ROUND((H$76/G$75)*G38,0)</f>
        <v>0</v>
      </c>
      <c r="I38" s="34">
        <v>1659.2</v>
      </c>
      <c r="J38" s="33">
        <f>ROUND((J$76/I$75)*I38,0)</f>
        <v>0</v>
      </c>
      <c r="K38" s="33">
        <f>ROUND(H38+J38,0)</f>
        <v>0</v>
      </c>
      <c r="L38" s="24">
        <f>ROUND(C38+K38,0)</f>
        <v>43694</v>
      </c>
    </row>
    <row r="39" spans="1:12" ht="15.75" x14ac:dyDescent="0.25">
      <c r="A39" s="16" t="s">
        <v>67</v>
      </c>
      <c r="B39" s="13" t="s">
        <v>66</v>
      </c>
      <c r="C39" s="24">
        <v>3399</v>
      </c>
      <c r="D39" s="34">
        <v>1929</v>
      </c>
      <c r="E39" s="34">
        <v>284</v>
      </c>
      <c r="F39" s="34">
        <v>0</v>
      </c>
      <c r="G39" s="25">
        <f>SUM(D39:F39)</f>
        <v>2213</v>
      </c>
      <c r="H39" s="35">
        <f>ROUND((H$76/G$75)*G39,0)</f>
        <v>0</v>
      </c>
      <c r="I39" s="34">
        <v>430</v>
      </c>
      <c r="J39" s="33">
        <f>ROUND((J$76/I$75)*I39,0)</f>
        <v>0</v>
      </c>
      <c r="K39" s="33">
        <f>ROUND(H39+J39,0)</f>
        <v>0</v>
      </c>
      <c r="L39" s="24">
        <f>ROUND(C39+K39,0)</f>
        <v>3399</v>
      </c>
    </row>
    <row r="40" spans="1:12" ht="15.75" x14ac:dyDescent="0.25">
      <c r="A40" s="16" t="s">
        <v>65</v>
      </c>
      <c r="B40" s="13" t="s">
        <v>64</v>
      </c>
      <c r="C40" s="24">
        <v>325764</v>
      </c>
      <c r="D40" s="34">
        <v>82942</v>
      </c>
      <c r="E40" s="34">
        <v>1201</v>
      </c>
      <c r="F40" s="34">
        <v>146</v>
      </c>
      <c r="G40" s="25">
        <f>SUM(D40:F40)</f>
        <v>84289</v>
      </c>
      <c r="H40" s="35">
        <f>ROUND((H$76/G$75)*G40,0)</f>
        <v>0</v>
      </c>
      <c r="I40" s="34">
        <v>22400.5</v>
      </c>
      <c r="J40" s="33">
        <f>ROUND((J$76/I$75)*I40,0)</f>
        <v>0</v>
      </c>
      <c r="K40" s="33">
        <f>ROUND(H40+J40,0)</f>
        <v>0</v>
      </c>
      <c r="L40" s="24">
        <f>ROUND(C40+K40,0)</f>
        <v>325764</v>
      </c>
    </row>
    <row r="41" spans="1:12" ht="15.75" x14ac:dyDescent="0.25">
      <c r="A41" s="16" t="s">
        <v>63</v>
      </c>
      <c r="B41" s="13" t="s">
        <v>62</v>
      </c>
      <c r="C41" s="24">
        <v>82670</v>
      </c>
      <c r="D41" s="34">
        <v>27644</v>
      </c>
      <c r="E41" s="34">
        <v>2256</v>
      </c>
      <c r="F41" s="34">
        <v>27</v>
      </c>
      <c r="G41" s="25">
        <f>SUM(D41:F41)</f>
        <v>29927</v>
      </c>
      <c r="H41" s="35">
        <f>ROUND((H$76/G$75)*G41,0)</f>
        <v>0</v>
      </c>
      <c r="I41" s="34">
        <v>6736.7</v>
      </c>
      <c r="J41" s="33">
        <f>ROUND((J$76/I$75)*I41,0)</f>
        <v>0</v>
      </c>
      <c r="K41" s="33">
        <f>ROUND(H41+J41,0)</f>
        <v>0</v>
      </c>
      <c r="L41" s="24">
        <f>ROUND(C41+K41,0)</f>
        <v>82670</v>
      </c>
    </row>
    <row r="42" spans="1:12" ht="15.75" x14ac:dyDescent="0.25">
      <c r="A42" s="16" t="s">
        <v>61</v>
      </c>
      <c r="B42" s="13" t="s">
        <v>60</v>
      </c>
      <c r="C42" s="24">
        <v>74765</v>
      </c>
      <c r="D42" s="34">
        <v>15619</v>
      </c>
      <c r="E42" s="34">
        <v>898</v>
      </c>
      <c r="F42" s="34">
        <v>39</v>
      </c>
      <c r="G42" s="25">
        <f>SUM(D42:F42)</f>
        <v>16556</v>
      </c>
      <c r="H42" s="35">
        <f>ROUND((H$76/G$75)*G42,0)</f>
        <v>0</v>
      </c>
      <c r="I42" s="34">
        <v>4746.1000000000004</v>
      </c>
      <c r="J42" s="33">
        <f>ROUND((J$76/I$75)*I42,0)</f>
        <v>0</v>
      </c>
      <c r="K42" s="33">
        <f>ROUND(H42+J42,0)</f>
        <v>0</v>
      </c>
      <c r="L42" s="24">
        <f>ROUND(C42+K42,0)</f>
        <v>74765</v>
      </c>
    </row>
    <row r="43" spans="1:12" ht="15.75" x14ac:dyDescent="0.25">
      <c r="A43" s="16" t="s">
        <v>59</v>
      </c>
      <c r="B43" s="13" t="s">
        <v>58</v>
      </c>
      <c r="C43" s="24">
        <v>11652</v>
      </c>
      <c r="D43" s="34">
        <v>1062</v>
      </c>
      <c r="E43" s="34">
        <v>0</v>
      </c>
      <c r="F43" s="34">
        <v>0</v>
      </c>
      <c r="G43" s="25">
        <f>SUM(D43:F43)</f>
        <v>1062</v>
      </c>
      <c r="H43" s="35">
        <f>ROUND((H$76/G$75)*G43,0)</f>
        <v>0</v>
      </c>
      <c r="I43" s="34">
        <v>376.5</v>
      </c>
      <c r="J43" s="33">
        <f>ROUND((J$76/I$75)*I43,0)</f>
        <v>0</v>
      </c>
      <c r="K43" s="33">
        <f>ROUND(H43+J43,0)</f>
        <v>0</v>
      </c>
      <c r="L43" s="24">
        <f>ROUND(C43+K43,0)</f>
        <v>11652</v>
      </c>
    </row>
    <row r="44" spans="1:12" ht="15.75" x14ac:dyDescent="0.25">
      <c r="A44" s="16" t="s">
        <v>57</v>
      </c>
      <c r="B44" s="13" t="s">
        <v>56</v>
      </c>
      <c r="C44" s="24">
        <v>33984</v>
      </c>
      <c r="D44" s="34">
        <v>2135</v>
      </c>
      <c r="E44" s="34">
        <v>0</v>
      </c>
      <c r="F44" s="34">
        <v>0</v>
      </c>
      <c r="G44" s="25">
        <f>SUM(D44:F44)</f>
        <v>2135</v>
      </c>
      <c r="H44" s="35">
        <f>ROUND((H$76/G$75)*G44,0)</f>
        <v>0</v>
      </c>
      <c r="I44" s="34">
        <v>925.2</v>
      </c>
      <c r="J44" s="33">
        <f>ROUND((J$76/I$75)*I44,0)</f>
        <v>0</v>
      </c>
      <c r="K44" s="33">
        <f>ROUND(H44+J44,0)</f>
        <v>0</v>
      </c>
      <c r="L44" s="24">
        <f>ROUND(C44+K44,0)</f>
        <v>33984</v>
      </c>
    </row>
    <row r="45" spans="1:12" ht="15.75" x14ac:dyDescent="0.25">
      <c r="A45" s="16" t="s">
        <v>55</v>
      </c>
      <c r="B45" s="13" t="s">
        <v>54</v>
      </c>
      <c r="C45" s="24">
        <v>165066</v>
      </c>
      <c r="D45" s="34">
        <v>21733</v>
      </c>
      <c r="E45" s="34">
        <v>482</v>
      </c>
      <c r="F45" s="34">
        <v>28</v>
      </c>
      <c r="G45" s="25">
        <f>SUM(D45:F45)</f>
        <v>22243</v>
      </c>
      <c r="H45" s="35">
        <f>ROUND((H$76/G$75)*G45,0)</f>
        <v>0</v>
      </c>
      <c r="I45" s="34">
        <v>8028.7</v>
      </c>
      <c r="J45" s="33">
        <f>ROUND((J$76/I$75)*I45,0)</f>
        <v>0</v>
      </c>
      <c r="K45" s="33">
        <f>ROUND(H45+J45,0)</f>
        <v>0</v>
      </c>
      <c r="L45" s="24">
        <f>ROUND(C45+K45,0)</f>
        <v>165066</v>
      </c>
    </row>
    <row r="46" spans="1:12" ht="15.75" x14ac:dyDescent="0.25">
      <c r="A46" s="16" t="s">
        <v>53</v>
      </c>
      <c r="B46" s="13" t="s">
        <v>52</v>
      </c>
      <c r="C46" s="24">
        <v>21361</v>
      </c>
      <c r="D46" s="34">
        <v>2067</v>
      </c>
      <c r="E46" s="34">
        <v>0</v>
      </c>
      <c r="F46" s="34">
        <v>0</v>
      </c>
      <c r="G46" s="25">
        <f>SUM(D46:F46)</f>
        <v>2067</v>
      </c>
      <c r="H46" s="35">
        <f>ROUND((H$76/G$75)*G46,0)</f>
        <v>0</v>
      </c>
      <c r="I46" s="34">
        <v>775.3</v>
      </c>
      <c r="J46" s="33">
        <f>ROUND((J$76/I$75)*I46,0)</f>
        <v>0</v>
      </c>
      <c r="K46" s="33">
        <f>ROUND(H46+J46,0)</f>
        <v>0</v>
      </c>
      <c r="L46" s="24">
        <f>ROUND(C46+K46,0)</f>
        <v>21361</v>
      </c>
    </row>
    <row r="47" spans="1:12" ht="15.75" x14ac:dyDescent="0.25">
      <c r="A47" s="16" t="s">
        <v>51</v>
      </c>
      <c r="B47" s="13" t="s">
        <v>50</v>
      </c>
      <c r="C47" s="24">
        <v>29614</v>
      </c>
      <c r="D47" s="34">
        <v>5911</v>
      </c>
      <c r="E47" s="34">
        <v>7</v>
      </c>
      <c r="F47" s="34">
        <v>0</v>
      </c>
      <c r="G47" s="25">
        <f>SUM(D47:F47)</f>
        <v>5918</v>
      </c>
      <c r="H47" s="35">
        <f>ROUND((H$76/G$75)*G47,0)</f>
        <v>0</v>
      </c>
      <c r="I47" s="34">
        <v>2881.6</v>
      </c>
      <c r="J47" s="33">
        <f>ROUND((J$76/I$75)*I47,0)</f>
        <v>0</v>
      </c>
      <c r="K47" s="33">
        <f>ROUND(H47+J47,0)</f>
        <v>0</v>
      </c>
      <c r="L47" s="24">
        <f>ROUND(C47+K47,0)</f>
        <v>29614</v>
      </c>
    </row>
    <row r="48" spans="1:12" ht="15.75" x14ac:dyDescent="0.25">
      <c r="A48" s="16" t="s">
        <v>49</v>
      </c>
      <c r="B48" s="13" t="s">
        <v>48</v>
      </c>
      <c r="C48" s="24">
        <v>26702</v>
      </c>
      <c r="D48" s="34">
        <v>2969</v>
      </c>
      <c r="E48" s="34">
        <v>80</v>
      </c>
      <c r="F48" s="34">
        <v>0</v>
      </c>
      <c r="G48" s="25">
        <f>SUM(D48:F48)</f>
        <v>3049</v>
      </c>
      <c r="H48" s="35">
        <f>ROUND((H$76/G$75)*G48,0)</f>
        <v>0</v>
      </c>
      <c r="I48" s="34">
        <v>1774.8</v>
      </c>
      <c r="J48" s="33">
        <f>ROUND((J$76/I$75)*I48,0)</f>
        <v>0</v>
      </c>
      <c r="K48" s="33">
        <f>ROUND(H48+J48,0)</f>
        <v>0</v>
      </c>
      <c r="L48" s="24">
        <f>ROUND(C48+K48,0)</f>
        <v>26702</v>
      </c>
    </row>
    <row r="49" spans="1:12" ht="15.75" x14ac:dyDescent="0.25">
      <c r="A49" s="16" t="s">
        <v>47</v>
      </c>
      <c r="B49" s="13" t="s">
        <v>46</v>
      </c>
      <c r="C49" s="24">
        <v>73794</v>
      </c>
      <c r="D49" s="34">
        <v>16985</v>
      </c>
      <c r="E49" s="34">
        <v>746</v>
      </c>
      <c r="F49" s="34">
        <v>0</v>
      </c>
      <c r="G49" s="25">
        <f>SUM(D49:F49)</f>
        <v>17731</v>
      </c>
      <c r="H49" s="35">
        <f>ROUND((H$76/G$75)*G49,0)</f>
        <v>0</v>
      </c>
      <c r="I49" s="34">
        <v>10555.6</v>
      </c>
      <c r="J49" s="33">
        <f>ROUND((J$76/I$75)*I49,0)</f>
        <v>0</v>
      </c>
      <c r="K49" s="33">
        <f>ROUND(H49+J49,0)</f>
        <v>0</v>
      </c>
      <c r="L49" s="24">
        <f>ROUND(C49+K49,0)</f>
        <v>73794</v>
      </c>
    </row>
    <row r="50" spans="1:12" ht="15.75" x14ac:dyDescent="0.25">
      <c r="A50" s="16" t="s">
        <v>45</v>
      </c>
      <c r="B50" s="13" t="s">
        <v>44</v>
      </c>
      <c r="C50" s="24">
        <v>16507</v>
      </c>
      <c r="D50" s="34">
        <v>8971</v>
      </c>
      <c r="E50" s="34">
        <v>35</v>
      </c>
      <c r="F50" s="34">
        <v>49</v>
      </c>
      <c r="G50" s="25">
        <f>SUM(D50:F50)</f>
        <v>9055</v>
      </c>
      <c r="H50" s="35">
        <f>ROUND((H$76/G$75)*G50,0)</f>
        <v>0</v>
      </c>
      <c r="I50" s="34">
        <v>3067</v>
      </c>
      <c r="J50" s="33">
        <f>ROUND((J$76/I$75)*I50,0)</f>
        <v>0</v>
      </c>
      <c r="K50" s="33">
        <f>ROUND(H50+J50,0)</f>
        <v>0</v>
      </c>
      <c r="L50" s="24">
        <f>ROUND(C50+K50,0)</f>
        <v>16507</v>
      </c>
    </row>
    <row r="51" spans="1:12" ht="15.75" x14ac:dyDescent="0.25">
      <c r="A51" s="16" t="s">
        <v>43</v>
      </c>
      <c r="B51" s="13" t="s">
        <v>42</v>
      </c>
      <c r="C51" s="24">
        <v>16507</v>
      </c>
      <c r="D51" s="34">
        <v>4690</v>
      </c>
      <c r="E51" s="34">
        <v>0</v>
      </c>
      <c r="F51" s="34">
        <v>0</v>
      </c>
      <c r="G51" s="25">
        <f>SUM(D51:F51)</f>
        <v>4690</v>
      </c>
      <c r="H51" s="35">
        <f>ROUND((H$76/G$75)*G51,0)</f>
        <v>0</v>
      </c>
      <c r="I51" s="34">
        <v>626</v>
      </c>
      <c r="J51" s="33">
        <f>ROUND((J$76/I$75)*I51,0)</f>
        <v>0</v>
      </c>
      <c r="K51" s="33">
        <f>ROUND(H51+J51,0)</f>
        <v>0</v>
      </c>
      <c r="L51" s="24">
        <f>ROUND(C51+K51,0)</f>
        <v>16507</v>
      </c>
    </row>
    <row r="52" spans="1:12" s="38" customFormat="1" ht="15.75" x14ac:dyDescent="0.25">
      <c r="A52" s="39" t="s">
        <v>41</v>
      </c>
      <c r="B52" s="26" t="s">
        <v>40</v>
      </c>
      <c r="C52" s="24">
        <v>14004</v>
      </c>
      <c r="D52" s="34">
        <v>3429</v>
      </c>
      <c r="E52" s="34">
        <v>0</v>
      </c>
      <c r="F52" s="34">
        <v>0</v>
      </c>
      <c r="G52" s="25">
        <f>SUM(D52:F52)</f>
        <v>3429</v>
      </c>
      <c r="H52" s="35">
        <f>ROUND((H$76/G$75)*G52,0)</f>
        <v>0</v>
      </c>
      <c r="I52" s="34">
        <v>803</v>
      </c>
      <c r="J52" s="33">
        <f>ROUND((J$76/I$75)*I52,0)</f>
        <v>0</v>
      </c>
      <c r="K52" s="33">
        <f>ROUND(H52+J52,0)</f>
        <v>0</v>
      </c>
      <c r="L52" s="24">
        <f>ROUND(C52+K52,0)</f>
        <v>14004</v>
      </c>
    </row>
    <row r="53" spans="1:12" ht="15.75" x14ac:dyDescent="0.25">
      <c r="A53" s="16" t="s">
        <v>39</v>
      </c>
      <c r="B53" s="13" t="s">
        <v>38</v>
      </c>
      <c r="C53" s="24">
        <v>87874</v>
      </c>
      <c r="D53" s="34">
        <v>20442</v>
      </c>
      <c r="E53" s="34">
        <v>929</v>
      </c>
      <c r="F53" s="34">
        <v>16</v>
      </c>
      <c r="G53" s="25">
        <f>SUM(D53:F53)</f>
        <v>21387</v>
      </c>
      <c r="H53" s="35">
        <f>ROUND((H$76/G$75)*G53,0)</f>
        <v>0</v>
      </c>
      <c r="I53" s="34">
        <v>11842.5</v>
      </c>
      <c r="J53" s="33">
        <f>ROUND((J$76/I$75)*I53,0)</f>
        <v>0</v>
      </c>
      <c r="K53" s="33">
        <f>ROUND(H53+J53,0)</f>
        <v>0</v>
      </c>
      <c r="L53" s="24">
        <f>ROUND(C53+K53,0)</f>
        <v>87874</v>
      </c>
    </row>
    <row r="54" spans="1:12" ht="15.75" x14ac:dyDescent="0.25">
      <c r="A54" s="16" t="s">
        <v>37</v>
      </c>
      <c r="B54" s="13" t="s">
        <v>36</v>
      </c>
      <c r="C54" s="24">
        <v>36972</v>
      </c>
      <c r="D54" s="34">
        <v>8293</v>
      </c>
      <c r="E54" s="34">
        <v>365</v>
      </c>
      <c r="F54" s="34">
        <v>0</v>
      </c>
      <c r="G54" s="25">
        <f>SUM(D54:F54)</f>
        <v>8658</v>
      </c>
      <c r="H54" s="35">
        <f>ROUND((H$76/G$75)*G54,0)</f>
        <v>0</v>
      </c>
      <c r="I54" s="34">
        <v>3062.3999999999996</v>
      </c>
      <c r="J54" s="33">
        <f>ROUND((J$76/I$75)*I54,0)</f>
        <v>0</v>
      </c>
      <c r="K54" s="33">
        <f>ROUND(H54+J54,0)</f>
        <v>0</v>
      </c>
      <c r="L54" s="24">
        <f>ROUND(C54+K54,0)</f>
        <v>36972</v>
      </c>
    </row>
    <row r="55" spans="1:12" ht="15.75" x14ac:dyDescent="0.25">
      <c r="A55" s="37" t="s">
        <v>35</v>
      </c>
      <c r="B55" s="26" t="s">
        <v>34</v>
      </c>
      <c r="C55" s="24">
        <v>41926.211009174316</v>
      </c>
      <c r="D55" s="34">
        <v>5740</v>
      </c>
      <c r="E55" s="34">
        <v>76</v>
      </c>
      <c r="F55" s="34">
        <v>0</v>
      </c>
      <c r="G55" s="25">
        <f>SUM(D55:F55)</f>
        <v>5816</v>
      </c>
      <c r="H55" s="35">
        <f>ROUND((H$76/G$75)*G55,0)</f>
        <v>0</v>
      </c>
      <c r="I55" s="34">
        <v>1882.8</v>
      </c>
      <c r="J55" s="33">
        <f>ROUND((J$76/I$75)*I55,0)</f>
        <v>0</v>
      </c>
      <c r="K55" s="33">
        <f>ROUND(H55+J55,0)</f>
        <v>0</v>
      </c>
      <c r="L55" s="24">
        <f>ROUND(C55+K55,0)</f>
        <v>41926</v>
      </c>
    </row>
    <row r="56" spans="1:12" ht="15.75" x14ac:dyDescent="0.25">
      <c r="A56" s="16" t="s">
        <v>33</v>
      </c>
      <c r="B56" s="13" t="s">
        <v>32</v>
      </c>
      <c r="C56" s="24">
        <v>71344.800044866526</v>
      </c>
      <c r="D56" s="34">
        <v>19455</v>
      </c>
      <c r="E56" s="34">
        <v>794</v>
      </c>
      <c r="F56" s="34">
        <v>10</v>
      </c>
      <c r="G56" s="25">
        <f>SUM(D56:F56)</f>
        <v>20259</v>
      </c>
      <c r="H56" s="35">
        <f>ROUND((H$76/G$75)*G56,0)</f>
        <v>0</v>
      </c>
      <c r="I56" s="34">
        <v>6790.4000000000005</v>
      </c>
      <c r="J56" s="33">
        <f>ROUND((J$76/I$75)*I56,0)</f>
        <v>0</v>
      </c>
      <c r="K56" s="33">
        <f>ROUND(H56+J56,0)</f>
        <v>0</v>
      </c>
      <c r="L56" s="24">
        <f>ROUND(C56+K56,0)</f>
        <v>71345</v>
      </c>
    </row>
    <row r="57" spans="1:12" ht="15.75" x14ac:dyDescent="0.25">
      <c r="A57" s="16" t="s">
        <v>31</v>
      </c>
      <c r="B57" s="13" t="s">
        <v>30</v>
      </c>
      <c r="C57" s="24">
        <v>26702</v>
      </c>
      <c r="D57" s="34">
        <v>2203</v>
      </c>
      <c r="E57" s="34">
        <v>7</v>
      </c>
      <c r="F57" s="34">
        <v>0</v>
      </c>
      <c r="G57" s="25">
        <f>SUM(D57:F57)</f>
        <v>2210</v>
      </c>
      <c r="H57" s="35">
        <f>ROUND((H$76/G$75)*G57,0)</f>
        <v>0</v>
      </c>
      <c r="I57" s="34">
        <v>561.09999999999991</v>
      </c>
      <c r="J57" s="33">
        <f>ROUND((J$76/I$75)*I57,0)</f>
        <v>0</v>
      </c>
      <c r="K57" s="33">
        <f>ROUND(H57+J57,0)</f>
        <v>0</v>
      </c>
      <c r="L57" s="24">
        <f>ROUND(C57+K57,0)</f>
        <v>26702</v>
      </c>
    </row>
    <row r="58" spans="1:12" ht="15.75" x14ac:dyDescent="0.25">
      <c r="A58" s="16" t="s">
        <v>29</v>
      </c>
      <c r="B58" s="13" t="s">
        <v>28</v>
      </c>
      <c r="C58" s="24">
        <v>40559</v>
      </c>
      <c r="D58" s="34">
        <v>4665</v>
      </c>
      <c r="E58" s="34">
        <v>55</v>
      </c>
      <c r="F58" s="34">
        <v>0</v>
      </c>
      <c r="G58" s="25">
        <f>SUM(D58:F58)</f>
        <v>4720</v>
      </c>
      <c r="H58" s="35">
        <f>ROUND((H$76/G$75)*G58,0)</f>
        <v>0</v>
      </c>
      <c r="I58" s="34">
        <v>1854.9</v>
      </c>
      <c r="J58" s="33">
        <f>ROUND((J$76/I$75)*I58,0)</f>
        <v>0</v>
      </c>
      <c r="K58" s="33">
        <f>ROUND(H58+J58,0)</f>
        <v>0</v>
      </c>
      <c r="L58" s="24">
        <f>ROUND(C58+K58,0)</f>
        <v>40559</v>
      </c>
    </row>
    <row r="59" spans="1:12" ht="15.75" x14ac:dyDescent="0.25">
      <c r="A59" s="16" t="s">
        <v>27</v>
      </c>
      <c r="B59" s="13" t="s">
        <v>26</v>
      </c>
      <c r="C59" s="24">
        <v>30586</v>
      </c>
      <c r="D59" s="34">
        <v>4990</v>
      </c>
      <c r="E59" s="34">
        <v>172</v>
      </c>
      <c r="F59" s="34">
        <v>0</v>
      </c>
      <c r="G59" s="25">
        <f>SUM(D59:F59)</f>
        <v>5162</v>
      </c>
      <c r="H59" s="35">
        <f>ROUND((H$76/G$75)*G59,0)</f>
        <v>0</v>
      </c>
      <c r="I59" s="34">
        <v>1074.7</v>
      </c>
      <c r="J59" s="33">
        <f>ROUND((J$76/I$75)*I59,0)</f>
        <v>0</v>
      </c>
      <c r="K59" s="33">
        <f>ROUND(H59+J59,0)</f>
        <v>0</v>
      </c>
      <c r="L59" s="24">
        <f>ROUND(C59+K59,0)</f>
        <v>30586</v>
      </c>
    </row>
    <row r="60" spans="1:12" ht="15.75" x14ac:dyDescent="0.25">
      <c r="A60" s="16" t="s">
        <v>25</v>
      </c>
      <c r="B60" s="13" t="s">
        <v>24</v>
      </c>
      <c r="C60" s="24">
        <v>32600</v>
      </c>
      <c r="D60" s="34">
        <v>4520</v>
      </c>
      <c r="E60" s="34">
        <v>0</v>
      </c>
      <c r="F60" s="34">
        <v>0</v>
      </c>
      <c r="G60" s="25">
        <f>SUM(D60:F60)</f>
        <v>4520</v>
      </c>
      <c r="H60" s="35">
        <f>ROUND((H$76/G$75)*G60,0)</f>
        <v>0</v>
      </c>
      <c r="I60" s="34">
        <v>1949.7999999999997</v>
      </c>
      <c r="J60" s="33">
        <f>ROUND((J$76/I$75)*I60,0)</f>
        <v>0</v>
      </c>
      <c r="K60" s="33">
        <f>ROUND(H60+J60,0)</f>
        <v>0</v>
      </c>
      <c r="L60" s="24">
        <f>ROUND(C60+K60,0)</f>
        <v>32600</v>
      </c>
    </row>
    <row r="61" spans="1:12" ht="15.75" x14ac:dyDescent="0.25">
      <c r="A61" s="16" t="s">
        <v>23</v>
      </c>
      <c r="B61" s="13" t="s">
        <v>22</v>
      </c>
      <c r="C61" s="24">
        <v>13593</v>
      </c>
      <c r="D61" s="34">
        <v>1152</v>
      </c>
      <c r="E61" s="34">
        <v>0</v>
      </c>
      <c r="F61" s="34">
        <v>0</v>
      </c>
      <c r="G61" s="25">
        <f>SUM(D61:F61)</f>
        <v>1152</v>
      </c>
      <c r="H61" s="35">
        <f>ROUND((H$76/G$75)*G61,0)</f>
        <v>0</v>
      </c>
      <c r="I61" s="34">
        <v>305.89999999999998</v>
      </c>
      <c r="J61" s="33">
        <f>ROUND((J$76/I$75)*I61,0)</f>
        <v>0</v>
      </c>
      <c r="K61" s="33">
        <f>ROUND(H61+J61,0)</f>
        <v>0</v>
      </c>
      <c r="L61" s="24">
        <f>ROUND(C61+K61,0)</f>
        <v>13593</v>
      </c>
    </row>
    <row r="62" spans="1:12" ht="15.75" x14ac:dyDescent="0.25">
      <c r="A62" s="16" t="s">
        <v>21</v>
      </c>
      <c r="B62" s="13" t="s">
        <v>20</v>
      </c>
      <c r="C62" s="24">
        <v>51948</v>
      </c>
      <c r="D62" s="34">
        <v>12107</v>
      </c>
      <c r="E62" s="34">
        <v>358</v>
      </c>
      <c r="F62" s="34">
        <v>0</v>
      </c>
      <c r="G62" s="25">
        <f>SUM(D62:F62)</f>
        <v>12465</v>
      </c>
      <c r="H62" s="35">
        <f>ROUND((H$76/G$75)*G62,0)</f>
        <v>0</v>
      </c>
      <c r="I62" s="34">
        <v>4320.5000000000009</v>
      </c>
      <c r="J62" s="33">
        <f>ROUND((J$76/I$75)*I62,0)</f>
        <v>0</v>
      </c>
      <c r="K62" s="33">
        <f>ROUND(H62+J62,0)</f>
        <v>0</v>
      </c>
      <c r="L62" s="24">
        <f>ROUND(C62+K62,0)</f>
        <v>51948</v>
      </c>
    </row>
    <row r="63" spans="1:12" ht="15.75" x14ac:dyDescent="0.25">
      <c r="A63" s="16" t="s">
        <v>19</v>
      </c>
      <c r="B63" s="13" t="s">
        <v>18</v>
      </c>
      <c r="C63" s="24">
        <v>35441</v>
      </c>
      <c r="D63" s="34">
        <v>7351</v>
      </c>
      <c r="E63" s="34">
        <v>314</v>
      </c>
      <c r="F63" s="34">
        <v>11</v>
      </c>
      <c r="G63" s="25">
        <f>SUM(D63:F63)</f>
        <v>7676</v>
      </c>
      <c r="H63" s="35">
        <f>ROUND((H$76/G$75)*G63,0)</f>
        <v>0</v>
      </c>
      <c r="I63" s="34">
        <v>4260.6000000000004</v>
      </c>
      <c r="J63" s="33">
        <f>ROUND((J$76/I$75)*I63,0)</f>
        <v>0</v>
      </c>
      <c r="K63" s="33">
        <f>ROUND(H63+J63,0)</f>
        <v>0</v>
      </c>
      <c r="L63" s="24">
        <f>ROUND(C63+K63,0)</f>
        <v>35441</v>
      </c>
    </row>
    <row r="64" spans="1:12" ht="15.75" x14ac:dyDescent="0.25">
      <c r="A64" s="16" t="s">
        <v>17</v>
      </c>
      <c r="B64" s="13" t="s">
        <v>16</v>
      </c>
      <c r="C64" s="24">
        <v>23789</v>
      </c>
      <c r="D64" s="34">
        <v>3085</v>
      </c>
      <c r="E64" s="34">
        <v>102</v>
      </c>
      <c r="F64" s="34">
        <v>0</v>
      </c>
      <c r="G64" s="25">
        <f>SUM(D64:F64)</f>
        <v>3187</v>
      </c>
      <c r="H64" s="35">
        <f>ROUND((H$76/G$75)*G64,0)</f>
        <v>0</v>
      </c>
      <c r="I64" s="34">
        <v>1935.9</v>
      </c>
      <c r="J64" s="33">
        <f>ROUND((J$76/I$75)*I64,0)</f>
        <v>0</v>
      </c>
      <c r="K64" s="33">
        <f>ROUND(H64+J64,0)</f>
        <v>0</v>
      </c>
      <c r="L64" s="24">
        <f>ROUND(C64+K64,0)</f>
        <v>23789</v>
      </c>
    </row>
    <row r="65" spans="1:13" ht="15.75" x14ac:dyDescent="0.25">
      <c r="A65" s="16" t="s">
        <v>15</v>
      </c>
      <c r="B65" s="13" t="s">
        <v>14</v>
      </c>
      <c r="C65" s="24">
        <v>35128</v>
      </c>
      <c r="D65" s="34">
        <v>4371</v>
      </c>
      <c r="E65" s="34">
        <v>21</v>
      </c>
      <c r="F65" s="34">
        <v>0</v>
      </c>
      <c r="G65" s="25">
        <f>SUM(D65:F65)</f>
        <v>4392</v>
      </c>
      <c r="H65" s="35">
        <f>ROUND((H$76/G$75)*G65,0)</f>
        <v>0</v>
      </c>
      <c r="I65" s="34">
        <v>2024</v>
      </c>
      <c r="J65" s="33">
        <f>ROUND((J$76/I$75)*I65,0)</f>
        <v>0</v>
      </c>
      <c r="K65" s="33">
        <f>ROUND(H65+J65,0)</f>
        <v>0</v>
      </c>
      <c r="L65" s="24">
        <f>ROUND(C65+K65,0)</f>
        <v>35128</v>
      </c>
    </row>
    <row r="66" spans="1:13" ht="15.75" x14ac:dyDescent="0.25">
      <c r="A66" s="16" t="s">
        <v>13</v>
      </c>
      <c r="B66" s="13" t="s">
        <v>12</v>
      </c>
      <c r="C66" s="24">
        <v>44180</v>
      </c>
      <c r="D66" s="34">
        <v>3331</v>
      </c>
      <c r="E66" s="34">
        <v>0</v>
      </c>
      <c r="F66" s="34">
        <v>0</v>
      </c>
      <c r="G66" s="25">
        <f>SUM(D66:F66)</f>
        <v>3331</v>
      </c>
      <c r="H66" s="35">
        <f>ROUND((H$76/G$75)*G66,0)</f>
        <v>0</v>
      </c>
      <c r="I66" s="34">
        <v>1760.6</v>
      </c>
      <c r="J66" s="33">
        <f>ROUND((J$76/I$75)*I66,0)</f>
        <v>0</v>
      </c>
      <c r="K66" s="33">
        <f>ROUND(H66+J66,0)</f>
        <v>0</v>
      </c>
      <c r="L66" s="24">
        <f>ROUND(C66+K66,0)</f>
        <v>44180</v>
      </c>
    </row>
    <row r="67" spans="1:13" ht="15.75" x14ac:dyDescent="0.25">
      <c r="A67" s="16" t="s">
        <v>11</v>
      </c>
      <c r="B67" s="13" t="s">
        <v>10</v>
      </c>
      <c r="C67" s="24">
        <v>10196</v>
      </c>
      <c r="D67" s="34">
        <v>1810</v>
      </c>
      <c r="E67" s="34">
        <v>302</v>
      </c>
      <c r="F67" s="34">
        <v>0</v>
      </c>
      <c r="G67" s="25">
        <f>SUM(D67:F67)</f>
        <v>2112</v>
      </c>
      <c r="H67" s="35">
        <f>ROUND((H$76/G$75)*G67,0)</f>
        <v>0</v>
      </c>
      <c r="I67" s="34">
        <v>493.6</v>
      </c>
      <c r="J67" s="33">
        <f>ROUND((J$76/I$75)*I67,0)</f>
        <v>0</v>
      </c>
      <c r="K67" s="33">
        <f>ROUND(H67+J67,0)</f>
        <v>0</v>
      </c>
      <c r="L67" s="24">
        <f>ROUND(C67+K67,0)</f>
        <v>10196</v>
      </c>
    </row>
    <row r="68" spans="1:13" ht="15.75" x14ac:dyDescent="0.25">
      <c r="A68" s="16" t="s">
        <v>9</v>
      </c>
      <c r="B68" s="13" t="s">
        <v>8</v>
      </c>
      <c r="C68" s="24">
        <v>22877</v>
      </c>
      <c r="D68" s="34">
        <v>4261</v>
      </c>
      <c r="E68" s="34">
        <v>788</v>
      </c>
      <c r="F68" s="34">
        <v>0</v>
      </c>
      <c r="G68" s="25">
        <f>SUM(D68:F68)</f>
        <v>5049</v>
      </c>
      <c r="H68" s="35">
        <f>ROUND((H$76/G$75)*G68,0)</f>
        <v>0</v>
      </c>
      <c r="I68" s="34">
        <v>1294.4000000000001</v>
      </c>
      <c r="J68" s="33">
        <f>ROUND((J$76/I$75)*I68,0)</f>
        <v>0</v>
      </c>
      <c r="K68" s="33">
        <f>ROUND(H68+J68,0)</f>
        <v>0</v>
      </c>
      <c r="L68" s="24">
        <f>ROUND(C68+K68,0)</f>
        <v>22877</v>
      </c>
    </row>
    <row r="69" spans="1:13" ht="15.75" x14ac:dyDescent="0.25">
      <c r="A69" s="16" t="s">
        <v>7</v>
      </c>
      <c r="B69" s="36" t="s">
        <v>6</v>
      </c>
      <c r="C69" s="24">
        <v>5251</v>
      </c>
      <c r="D69" s="34">
        <v>10359</v>
      </c>
      <c r="E69" s="34">
        <v>0</v>
      </c>
      <c r="F69" s="34">
        <v>0</v>
      </c>
      <c r="G69" s="25">
        <f>SUM(D69:F69)</f>
        <v>10359</v>
      </c>
      <c r="H69" s="35">
        <f>ROUND((H$76/G$75)*G69,0)</f>
        <v>0</v>
      </c>
      <c r="I69" s="34">
        <v>3696</v>
      </c>
      <c r="J69" s="33">
        <f>ROUND((J$76/I$75)*I69,0)</f>
        <v>0</v>
      </c>
      <c r="K69" s="33">
        <f>ROUND(H69+J69,0)</f>
        <v>0</v>
      </c>
      <c r="L69" s="24">
        <f>ROUND(C69+K69,0)</f>
        <v>5251</v>
      </c>
    </row>
    <row r="70" spans="1:13" ht="15.75" x14ac:dyDescent="0.25">
      <c r="A70" s="16"/>
      <c r="B70" s="10" t="s">
        <v>5</v>
      </c>
      <c r="C70" s="18">
        <f>SUM(C12:C69)</f>
        <v>3508573</v>
      </c>
      <c r="D70" s="32">
        <f>SUM(D12:D69)</f>
        <v>844913</v>
      </c>
      <c r="E70" s="28">
        <f>SUM(E12:E69)</f>
        <v>31255</v>
      </c>
      <c r="F70" s="31">
        <f>SUM(F12:F69)</f>
        <v>1371</v>
      </c>
      <c r="G70" s="30">
        <f>SUM(G12:G69)</f>
        <v>877539</v>
      </c>
      <c r="H70" s="29">
        <f>SUM(H12:H69)</f>
        <v>0</v>
      </c>
      <c r="I70" s="28">
        <f>SUM(I12:I69)</f>
        <v>305261.40000000008</v>
      </c>
      <c r="J70" s="18">
        <f>SUM(J12:J69)</f>
        <v>0</v>
      </c>
      <c r="K70" s="18">
        <f>SUM(K12:K69)</f>
        <v>0</v>
      </c>
      <c r="L70" s="27">
        <f>SUM(L12:L69)</f>
        <v>3508573</v>
      </c>
    </row>
    <row r="71" spans="1:13" ht="15.75" x14ac:dyDescent="0.25">
      <c r="A71" s="16"/>
      <c r="B71" s="15" t="s">
        <v>4</v>
      </c>
      <c r="C71" s="13"/>
      <c r="D71" s="25"/>
      <c r="E71" s="25"/>
      <c r="F71" s="25"/>
      <c r="G71" s="26"/>
      <c r="H71" s="26"/>
      <c r="I71" s="25"/>
      <c r="J71" s="13"/>
      <c r="K71" s="13"/>
      <c r="L71" s="26"/>
    </row>
    <row r="72" spans="1:13" ht="15.75" x14ac:dyDescent="0.25">
      <c r="A72" s="16" t="s">
        <v>3</v>
      </c>
      <c r="B72" s="13" t="s">
        <v>2</v>
      </c>
      <c r="C72" s="24">
        <v>10681</v>
      </c>
      <c r="D72" s="25">
        <v>0</v>
      </c>
      <c r="E72" s="25">
        <v>0</v>
      </c>
      <c r="F72" s="25">
        <v>204</v>
      </c>
      <c r="G72" s="25">
        <f>SUM(D72:F72)</f>
        <v>204</v>
      </c>
      <c r="H72" s="23">
        <f>ROUND((H$76/G$75)*G72,0)</f>
        <v>0</v>
      </c>
      <c r="I72" s="25">
        <v>71</v>
      </c>
      <c r="J72" s="24">
        <f>ROUND((J$76/I$75)*I72,0)</f>
        <v>0</v>
      </c>
      <c r="K72" s="24">
        <f>ROUND(H72+J72,0)</f>
        <v>0</v>
      </c>
      <c r="L72" s="23">
        <f>ROUND(C72+K72,0)</f>
        <v>10681</v>
      </c>
    </row>
    <row r="73" spans="1:13" ht="15.75" x14ac:dyDescent="0.25">
      <c r="A73" s="16"/>
      <c r="B73" s="22" t="s">
        <v>1</v>
      </c>
      <c r="C73" s="18">
        <f>SUM(C72:C72)</f>
        <v>10681</v>
      </c>
      <c r="D73" s="21">
        <f>SUM(D72:D72)</f>
        <v>0</v>
      </c>
      <c r="E73" s="21">
        <f>SUM(E72:E72)</f>
        <v>0</v>
      </c>
      <c r="F73" s="21">
        <f>SUM(F72:F72)</f>
        <v>204</v>
      </c>
      <c r="G73" s="20">
        <f>SUM(G72:G72)</f>
        <v>204</v>
      </c>
      <c r="H73" s="17">
        <f>SUM(H72:H72)</f>
        <v>0</v>
      </c>
      <c r="I73" s="19">
        <f>SUM(I72:I72)</f>
        <v>71</v>
      </c>
      <c r="J73" s="18">
        <f>SUM(J72:J72)</f>
        <v>0</v>
      </c>
      <c r="K73" s="18">
        <f>SUM(K72:K72)</f>
        <v>0</v>
      </c>
      <c r="L73" s="17">
        <f>SUM(L72:L72)</f>
        <v>10681</v>
      </c>
    </row>
    <row r="74" spans="1:13" ht="15.75" x14ac:dyDescent="0.25">
      <c r="A74" s="16"/>
      <c r="B74" s="15"/>
      <c r="C74" s="13"/>
      <c r="D74" s="14"/>
      <c r="E74" s="14"/>
      <c r="F74" s="14"/>
      <c r="G74" s="13"/>
      <c r="H74" s="12"/>
      <c r="I74" s="14"/>
      <c r="J74" s="13"/>
      <c r="K74" s="13"/>
      <c r="L74" s="12"/>
    </row>
    <row r="75" spans="1:13" ht="15.75" x14ac:dyDescent="0.25">
      <c r="A75" s="11"/>
      <c r="B75" s="10" t="s">
        <v>0</v>
      </c>
      <c r="C75" s="7">
        <f>C70+C73</f>
        <v>3519254</v>
      </c>
      <c r="D75" s="9">
        <f>D70+D73</f>
        <v>844913</v>
      </c>
      <c r="E75" s="8">
        <f>E70+E73</f>
        <v>31255</v>
      </c>
      <c r="F75" s="8">
        <f>F70+F73</f>
        <v>1575</v>
      </c>
      <c r="G75" s="8">
        <f>G70+G73</f>
        <v>877743</v>
      </c>
      <c r="H75" s="6">
        <f>ROUND(H70+H73,1)</f>
        <v>0</v>
      </c>
      <c r="I75" s="8">
        <f>I70+I73</f>
        <v>305332.40000000008</v>
      </c>
      <c r="J75" s="7">
        <f>J70+J73</f>
        <v>0</v>
      </c>
      <c r="K75" s="7">
        <f>K70+K73</f>
        <v>0</v>
      </c>
      <c r="L75" s="6">
        <f>L70+L73</f>
        <v>3519254</v>
      </c>
    </row>
    <row r="76" spans="1:13" ht="15.75" hidden="1" x14ac:dyDescent="0.25">
      <c r="A76" s="2"/>
      <c r="B76" s="2"/>
      <c r="C76" s="3">
        <v>3519254</v>
      </c>
      <c r="D76" s="4">
        <v>844913</v>
      </c>
      <c r="E76" s="4">
        <v>31255</v>
      </c>
      <c r="F76" s="5">
        <v>1575</v>
      </c>
      <c r="G76" s="2"/>
      <c r="H76" s="3">
        <v>0</v>
      </c>
      <c r="I76" s="4">
        <v>305261.4000000002</v>
      </c>
      <c r="J76" s="3">
        <v>0</v>
      </c>
      <c r="K76" s="1">
        <v>0</v>
      </c>
      <c r="L76" s="1">
        <v>3519254</v>
      </c>
    </row>
    <row r="77" spans="1:13" ht="15.75" hidden="1" x14ac:dyDescent="0.25">
      <c r="A77" s="2"/>
      <c r="B77" s="2"/>
      <c r="C77" s="1">
        <f>C76-C75</f>
        <v>0</v>
      </c>
      <c r="D77" s="1">
        <f>+D75-D76</f>
        <v>0</v>
      </c>
      <c r="E77" s="1">
        <f>+E75-E76</f>
        <v>0</v>
      </c>
      <c r="F77" s="1">
        <f>+F75-F76</f>
        <v>0</v>
      </c>
      <c r="G77" s="1"/>
      <c r="H77" s="1">
        <f>+H75-H76</f>
        <v>0</v>
      </c>
      <c r="I77" s="1">
        <f>+I70-I76</f>
        <v>0</v>
      </c>
      <c r="J77" s="1">
        <f>+J75-J76</f>
        <v>0</v>
      </c>
      <c r="K77" s="1">
        <f>+K75-K76</f>
        <v>0</v>
      </c>
      <c r="L77" s="1">
        <f>+L75-L76</f>
        <v>0</v>
      </c>
      <c r="M77" s="1"/>
    </row>
  </sheetData>
  <sheetProtection algorithmName="SHA-512" hashValue="UrkTGUr48+pkDZiWyiKo1eo52maGfgdNShP1BnhPu6wy5Z2oZRPasw3TEzHDwUJl2WS9OjjaqLwfHbIbOdSsBg==" saltValue="hd+PNZqi1vCnImqIDv6PDw==" spinCount="100000" sheet="1" objects="1" scenarios="1"/>
  <mergeCells count="6">
    <mergeCell ref="D4:G4"/>
    <mergeCell ref="I4:J4"/>
    <mergeCell ref="D5:G5"/>
    <mergeCell ref="I5:J5"/>
    <mergeCell ref="D6:G6"/>
    <mergeCell ref="I6:J6"/>
  </mergeCells>
  <printOptions horizontalCentered="1" verticalCentered="1"/>
  <pageMargins left="0.25" right="0.25" top="0.75" bottom="0.75" header="0.3" footer="0.3"/>
  <pageSetup scale="42" orientation="landscape" r:id="rId1"/>
  <headerFooter>
    <oddFooter>&amp;LCDE Office of Grants Fiscal&amp;R4/25/2014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Preschool 15 Prelim Allocations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Kahle</dc:creator>
  <cp:lastModifiedBy>Tim Kahle</cp:lastModifiedBy>
  <dcterms:created xsi:type="dcterms:W3CDTF">2014-04-29T19:46:22Z</dcterms:created>
  <dcterms:modified xsi:type="dcterms:W3CDTF">2014-04-29T19:47:54Z</dcterms:modified>
</cp:coreProperties>
</file>